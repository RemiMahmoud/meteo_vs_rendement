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corlouer\Documents\AA_FICHIERS_ELABORATION_IPC\Actualisation_2019_N\R2017\"/>
    </mc:Choice>
  </mc:AlternateContent>
  <bookViews>
    <workbookView xWindow="0" yWindow="0" windowWidth="19200" windowHeight="10860"/>
  </bookViews>
  <sheets>
    <sheet name="N+" sheetId="1" r:id="rId1"/>
    <sheet name="N-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243" i="1" l="1"/>
  <c r="AB235" i="1"/>
  <c r="AB225" i="1"/>
  <c r="AB217" i="1"/>
  <c r="AD241" i="1"/>
  <c r="AD239" i="1"/>
  <c r="AD237" i="1"/>
  <c r="AD243" i="1" l="1"/>
  <c r="AD235" i="1"/>
  <c r="U186" i="2"/>
  <c r="U187" i="2"/>
  <c r="U188" i="2"/>
  <c r="U189" i="2" s="1"/>
  <c r="U190" i="2" s="1"/>
  <c r="U191" i="2" s="1"/>
  <c r="U192" i="2" s="1"/>
  <c r="U193" i="2" s="1"/>
  <c r="U194" i="2" s="1"/>
  <c r="U195" i="2" s="1"/>
  <c r="U196" i="2" s="1"/>
  <c r="U197" i="2" s="1"/>
  <c r="U198" i="2" s="1"/>
  <c r="U199" i="2" s="1"/>
  <c r="U200" i="2" s="1"/>
  <c r="U201" i="2" s="1"/>
  <c r="U202" i="2" s="1"/>
  <c r="U203" i="2" s="1"/>
  <c r="U204" i="2" s="1"/>
  <c r="U205" i="2" s="1"/>
  <c r="U206" i="2" s="1"/>
  <c r="U207" i="2" s="1"/>
  <c r="U208" i="2" s="1"/>
  <c r="U209" i="2" s="1"/>
  <c r="U210" i="2" s="1"/>
  <c r="U211" i="2" s="1"/>
  <c r="U212" i="2" s="1"/>
  <c r="U213" i="2" s="1"/>
  <c r="U214" i="2" s="1"/>
  <c r="U215" i="2" s="1"/>
  <c r="U216" i="2" s="1"/>
  <c r="U217" i="2" s="1"/>
  <c r="U218" i="2" s="1"/>
  <c r="U219" i="2" s="1"/>
  <c r="U220" i="2" s="1"/>
  <c r="U221" i="2" s="1"/>
  <c r="U222" i="2" s="1"/>
  <c r="U223" i="2" s="1"/>
  <c r="U224" i="2" s="1"/>
  <c r="U225" i="2" s="1"/>
  <c r="U226" i="2" s="1"/>
  <c r="U227" i="2" s="1"/>
  <c r="U228" i="2" s="1"/>
  <c r="U229" i="2" s="1"/>
  <c r="U230" i="2" s="1"/>
  <c r="U231" i="2" s="1"/>
  <c r="U232" i="2" s="1"/>
  <c r="U233" i="2" s="1"/>
  <c r="U234" i="2" s="1"/>
  <c r="U235" i="2" s="1"/>
  <c r="U236" i="2" s="1"/>
  <c r="U237" i="2" s="1"/>
  <c r="U238" i="2" s="1"/>
  <c r="U239" i="2" s="1"/>
  <c r="U240" i="2" s="1"/>
  <c r="U241" i="2" s="1"/>
  <c r="U242" i="2" s="1"/>
  <c r="U243" i="2" s="1"/>
  <c r="U244" i="2" s="1"/>
  <c r="U245" i="2" s="1"/>
  <c r="U246" i="2" s="1"/>
  <c r="U247" i="2" s="1"/>
  <c r="U248" i="2" s="1"/>
  <c r="U249" i="2" s="1"/>
  <c r="U250" i="2" s="1"/>
  <c r="U251" i="2" s="1"/>
  <c r="U252" i="2" s="1"/>
  <c r="U253" i="2" s="1"/>
  <c r="U254" i="2" s="1"/>
  <c r="U255" i="2" s="1"/>
  <c r="U256" i="2" s="1"/>
  <c r="U257" i="2" s="1"/>
  <c r="U258" i="2" s="1"/>
  <c r="U259" i="2" s="1"/>
  <c r="U260" i="2" s="1"/>
  <c r="U261" i="2" s="1"/>
  <c r="U262" i="2" s="1"/>
  <c r="U263" i="2" s="1"/>
  <c r="U264" i="2" s="1"/>
  <c r="U265" i="2" s="1"/>
  <c r="U266" i="2" s="1"/>
  <c r="U267" i="2" s="1"/>
  <c r="U268" i="2" s="1"/>
  <c r="U269" i="2" s="1"/>
  <c r="U270" i="2" s="1"/>
  <c r="U271" i="2" s="1"/>
  <c r="U272" i="2" s="1"/>
  <c r="U273" i="2" s="1"/>
  <c r="U274" i="2" s="1"/>
  <c r="U275" i="2" s="1"/>
  <c r="U276" i="2" s="1"/>
  <c r="U277" i="2" s="1"/>
  <c r="U278" i="2" s="1"/>
  <c r="U279" i="2" s="1"/>
  <c r="U280" i="2" s="1"/>
  <c r="U281" i="2" s="1"/>
  <c r="U282" i="2" s="1"/>
  <c r="U283" i="2" s="1"/>
  <c r="U284" i="2" s="1"/>
  <c r="U285" i="2" s="1"/>
  <c r="U286" i="2" s="1"/>
  <c r="U287" i="2" s="1"/>
  <c r="U288" i="2" s="1"/>
  <c r="U289" i="2" s="1"/>
  <c r="U290" i="2" s="1"/>
  <c r="U291" i="2" s="1"/>
  <c r="U292" i="2" s="1"/>
  <c r="U293" i="2" s="1"/>
  <c r="U294" i="2" s="1"/>
  <c r="U295" i="2" s="1"/>
  <c r="U296" i="2" s="1"/>
  <c r="U297" i="2" s="1"/>
  <c r="U298" i="2" s="1"/>
  <c r="U299" i="2" s="1"/>
  <c r="U300" i="2" s="1"/>
  <c r="U301" i="2" s="1"/>
  <c r="U302" i="2" s="1"/>
  <c r="U303" i="2" s="1"/>
  <c r="U304" i="2" s="1"/>
  <c r="U305" i="2" s="1"/>
  <c r="U306" i="2" s="1"/>
  <c r="U307" i="2" s="1"/>
  <c r="U308" i="2" s="1"/>
  <c r="U309" i="2" s="1"/>
  <c r="U310" i="2" s="1"/>
  <c r="U311" i="2" s="1"/>
  <c r="U312" i="2" s="1"/>
  <c r="U313" i="2" s="1"/>
  <c r="U314" i="2" s="1"/>
  <c r="U315" i="2" s="1"/>
  <c r="U316" i="2" s="1"/>
  <c r="U317" i="2" s="1"/>
  <c r="U318" i="2" s="1"/>
  <c r="U319" i="2" s="1"/>
  <c r="U320" i="2" s="1"/>
  <c r="U321" i="2" s="1"/>
  <c r="U322" i="2" s="1"/>
  <c r="U323" i="2" s="1"/>
  <c r="U324" i="2" s="1"/>
  <c r="U325" i="2" s="1"/>
  <c r="U326" i="2" s="1"/>
  <c r="U327" i="2" s="1"/>
  <c r="U328" i="2" s="1"/>
  <c r="U329" i="2" s="1"/>
  <c r="U330" i="2" s="1"/>
  <c r="U331" i="2" s="1"/>
  <c r="U332" i="2" s="1"/>
  <c r="U333" i="2" s="1"/>
  <c r="U334" i="2" s="1"/>
  <c r="U335" i="2" s="1"/>
  <c r="U336" i="2" s="1"/>
  <c r="U337" i="2" s="1"/>
  <c r="U338" i="2" s="1"/>
  <c r="U339" i="2" s="1"/>
  <c r="U340" i="2" s="1"/>
  <c r="U341" i="2" s="1"/>
  <c r="U342" i="2" s="1"/>
  <c r="U343" i="2" s="1"/>
  <c r="U344" i="2" s="1"/>
  <c r="U345" i="2" s="1"/>
  <c r="U346" i="2" s="1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29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185" i="2"/>
  <c r="U186" i="1"/>
  <c r="U187" i="1"/>
  <c r="U188" i="1"/>
  <c r="U189" i="1" s="1"/>
  <c r="U190" i="1" s="1"/>
  <c r="U191" i="1" s="1"/>
  <c r="U192" i="1" s="1"/>
  <c r="U193" i="1" s="1"/>
  <c r="U194" i="1" s="1"/>
  <c r="U195" i="1" s="1"/>
  <c r="U196" i="1" s="1"/>
  <c r="U197" i="1" s="1"/>
  <c r="U198" i="1" s="1"/>
  <c r="U199" i="1" s="1"/>
  <c r="U200" i="1" s="1"/>
  <c r="U201" i="1" s="1"/>
  <c r="U202" i="1" s="1"/>
  <c r="U203" i="1" s="1"/>
  <c r="U204" i="1" s="1"/>
  <c r="U205" i="1" s="1"/>
  <c r="U206" i="1" s="1"/>
  <c r="U207" i="1" s="1"/>
  <c r="U208" i="1" s="1"/>
  <c r="U209" i="1" s="1"/>
  <c r="U210" i="1" s="1"/>
  <c r="U211" i="1" s="1"/>
  <c r="U212" i="1" s="1"/>
  <c r="U213" i="1" s="1"/>
  <c r="U214" i="1" s="1"/>
  <c r="U215" i="1" s="1"/>
  <c r="U216" i="1" s="1"/>
  <c r="U217" i="1" s="1"/>
  <c r="U218" i="1" s="1"/>
  <c r="U219" i="1" s="1"/>
  <c r="U220" i="1" s="1"/>
  <c r="U221" i="1" s="1"/>
  <c r="U222" i="1" s="1"/>
  <c r="U223" i="1" s="1"/>
  <c r="U224" i="1" s="1"/>
  <c r="U225" i="1" s="1"/>
  <c r="U226" i="1" s="1"/>
  <c r="U227" i="1" s="1"/>
  <c r="U228" i="1" s="1"/>
  <c r="U229" i="1" s="1"/>
  <c r="U230" i="1" s="1"/>
  <c r="U231" i="1" s="1"/>
  <c r="U232" i="1" s="1"/>
  <c r="U233" i="1" s="1"/>
  <c r="U234" i="1" s="1"/>
  <c r="U235" i="1" s="1"/>
  <c r="U236" i="1" s="1"/>
  <c r="U237" i="1" s="1"/>
  <c r="U238" i="1" s="1"/>
  <c r="U239" i="1" s="1"/>
  <c r="U240" i="1" s="1"/>
  <c r="U241" i="1" s="1"/>
  <c r="U242" i="1" s="1"/>
  <c r="U243" i="1" s="1"/>
  <c r="U244" i="1" s="1"/>
  <c r="U245" i="1" s="1"/>
  <c r="U246" i="1" s="1"/>
  <c r="U247" i="1" s="1"/>
  <c r="U248" i="1" s="1"/>
  <c r="U249" i="1" s="1"/>
  <c r="U250" i="1" s="1"/>
  <c r="U251" i="1" s="1"/>
  <c r="U252" i="1" s="1"/>
  <c r="U253" i="1" s="1"/>
  <c r="U254" i="1" s="1"/>
  <c r="U255" i="1" s="1"/>
  <c r="U256" i="1" s="1"/>
  <c r="U257" i="1" s="1"/>
  <c r="U258" i="1" s="1"/>
  <c r="U259" i="1" s="1"/>
  <c r="U260" i="1" s="1"/>
  <c r="U261" i="1" s="1"/>
  <c r="U262" i="1" s="1"/>
  <c r="U263" i="1" s="1"/>
  <c r="U264" i="1" s="1"/>
  <c r="U265" i="1" s="1"/>
  <c r="U266" i="1" s="1"/>
  <c r="U267" i="1" s="1"/>
  <c r="U268" i="1" s="1"/>
  <c r="U269" i="1" s="1"/>
  <c r="U270" i="1" s="1"/>
  <c r="U271" i="1" s="1"/>
  <c r="U272" i="1" s="1"/>
  <c r="U273" i="1" s="1"/>
  <c r="U274" i="1" s="1"/>
  <c r="U275" i="1" s="1"/>
  <c r="U276" i="1" s="1"/>
  <c r="U277" i="1" s="1"/>
  <c r="U278" i="1" s="1"/>
  <c r="U279" i="1" s="1"/>
  <c r="U280" i="1" s="1"/>
  <c r="U281" i="1" s="1"/>
  <c r="U282" i="1" s="1"/>
  <c r="U283" i="1" s="1"/>
  <c r="U284" i="1" s="1"/>
  <c r="U285" i="1" s="1"/>
  <c r="U286" i="1" s="1"/>
  <c r="U287" i="1" s="1"/>
  <c r="U288" i="1" s="1"/>
  <c r="U289" i="1" s="1"/>
  <c r="U290" i="1" s="1"/>
  <c r="U291" i="1" s="1"/>
  <c r="U292" i="1" s="1"/>
  <c r="U293" i="1" s="1"/>
  <c r="U294" i="1" s="1"/>
  <c r="U295" i="1" s="1"/>
  <c r="U296" i="1" s="1"/>
  <c r="U297" i="1" s="1"/>
  <c r="U298" i="1" s="1"/>
  <c r="U299" i="1" s="1"/>
  <c r="U300" i="1" s="1"/>
  <c r="U301" i="1" s="1"/>
  <c r="U302" i="1" s="1"/>
  <c r="U303" i="1" s="1"/>
  <c r="U304" i="1" s="1"/>
  <c r="U305" i="1" s="1"/>
  <c r="U306" i="1" s="1"/>
  <c r="U307" i="1" s="1"/>
  <c r="U308" i="1" s="1"/>
  <c r="U309" i="1" s="1"/>
  <c r="U310" i="1" s="1"/>
  <c r="U311" i="1" s="1"/>
  <c r="U312" i="1" s="1"/>
  <c r="U313" i="1" s="1"/>
  <c r="U314" i="1" s="1"/>
  <c r="U315" i="1" s="1"/>
  <c r="U316" i="1" s="1"/>
  <c r="U317" i="1" s="1"/>
  <c r="U318" i="1" s="1"/>
  <c r="U319" i="1" s="1"/>
  <c r="U320" i="1" s="1"/>
  <c r="U321" i="1" s="1"/>
  <c r="U322" i="1" s="1"/>
  <c r="U323" i="1" s="1"/>
  <c r="U324" i="1" s="1"/>
  <c r="U325" i="1" s="1"/>
  <c r="U326" i="1" s="1"/>
  <c r="U327" i="1" s="1"/>
  <c r="U328" i="1" s="1"/>
  <c r="U329" i="1" s="1"/>
  <c r="U330" i="1" s="1"/>
  <c r="U331" i="1" s="1"/>
  <c r="U332" i="1" s="1"/>
  <c r="U333" i="1" s="1"/>
  <c r="U334" i="1" s="1"/>
  <c r="U335" i="1" s="1"/>
  <c r="U336" i="1" s="1"/>
  <c r="U337" i="1" s="1"/>
  <c r="U338" i="1" s="1"/>
  <c r="U339" i="1" s="1"/>
  <c r="U340" i="1" s="1"/>
  <c r="U341" i="1" s="1"/>
  <c r="U342" i="1" s="1"/>
  <c r="U343" i="1" s="1"/>
  <c r="U344" i="1" s="1"/>
  <c r="U345" i="1" s="1"/>
  <c r="U346" i="1" s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185" i="1"/>
  <c r="Z312" i="2" l="1"/>
  <c r="L319" i="2"/>
  <c r="L317" i="2"/>
  <c r="L315" i="2"/>
  <c r="Z295" i="2"/>
  <c r="L298" i="2"/>
  <c r="L302" i="2"/>
  <c r="L300" i="2"/>
  <c r="Z268" i="2"/>
  <c r="L275" i="2"/>
  <c r="L273" i="2"/>
  <c r="L271" i="2"/>
  <c r="AB250" i="2"/>
  <c r="L254" i="2"/>
  <c r="L252" i="2"/>
  <c r="L250" i="2"/>
  <c r="L192" i="2"/>
  <c r="L190" i="2"/>
  <c r="L188" i="2"/>
  <c r="K312" i="2"/>
  <c r="K295" i="2"/>
  <c r="K268" i="2"/>
  <c r="Z249" i="2"/>
  <c r="Z250" i="2" s="1"/>
  <c r="Z251" i="2" s="1"/>
  <c r="Z252" i="2" s="1"/>
  <c r="Z253" i="2" s="1"/>
  <c r="Z254" i="2" s="1"/>
  <c r="Z255" i="2" s="1"/>
  <c r="Z256" i="2" s="1"/>
  <c r="Z257" i="2" s="1"/>
  <c r="Z258" i="2" s="1"/>
  <c r="Z259" i="2" s="1"/>
  <c r="Z260" i="2" s="1"/>
  <c r="Z261" i="2" s="1"/>
  <c r="Z262" i="2" s="1"/>
  <c r="Z263" i="2" s="1"/>
  <c r="Z264" i="2" s="1"/>
  <c r="Z265" i="2" s="1"/>
  <c r="Z266" i="2" s="1"/>
  <c r="Z267" i="2" s="1"/>
  <c r="Z269" i="2" s="1"/>
  <c r="Z270" i="2" s="1"/>
  <c r="Z271" i="2" s="1"/>
  <c r="Z272" i="2" s="1"/>
  <c r="Z273" i="2" s="1"/>
  <c r="Z274" i="2" s="1"/>
  <c r="Z275" i="2" s="1"/>
  <c r="Z276" i="2" s="1"/>
  <c r="Z277" i="2" s="1"/>
  <c r="Z278" i="2" s="1"/>
  <c r="Z279" i="2" s="1"/>
  <c r="Z280" i="2" s="1"/>
  <c r="Z281" i="2" s="1"/>
  <c r="Z282" i="2" s="1"/>
  <c r="Z283" i="2" s="1"/>
  <c r="Z284" i="2" s="1"/>
  <c r="Z285" i="2" s="1"/>
  <c r="Z286" i="2" s="1"/>
  <c r="Z287" i="2" s="1"/>
  <c r="Z288" i="2" s="1"/>
  <c r="Z289" i="2" s="1"/>
  <c r="Z290" i="2" s="1"/>
  <c r="Z291" i="2" s="1"/>
  <c r="Z292" i="2" s="1"/>
  <c r="Z293" i="2" s="1"/>
  <c r="Z294" i="2" s="1"/>
  <c r="Z296" i="2" s="1"/>
  <c r="Z297" i="2" s="1"/>
  <c r="Z298" i="2" s="1"/>
  <c r="Z299" i="2" s="1"/>
  <c r="Z300" i="2" s="1"/>
  <c r="Z301" i="2" s="1"/>
  <c r="Z302" i="2" s="1"/>
  <c r="Z303" i="2" s="1"/>
  <c r="Z304" i="2" s="1"/>
  <c r="Z305" i="2" s="1"/>
  <c r="Z306" i="2" s="1"/>
  <c r="Z307" i="2" s="1"/>
  <c r="Z308" i="2" s="1"/>
  <c r="Z309" i="2" s="1"/>
  <c r="Z310" i="2" s="1"/>
  <c r="Z311" i="2" s="1"/>
  <c r="Z248" i="2"/>
  <c r="Z247" i="2"/>
  <c r="K249" i="2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47" i="2"/>
  <c r="V135" i="2"/>
  <c r="V47" i="2"/>
  <c r="Z313" i="1"/>
  <c r="Z296" i="1"/>
  <c r="L303" i="1"/>
  <c r="L301" i="1"/>
  <c r="L299" i="1"/>
  <c r="L276" i="1"/>
  <c r="L274" i="1"/>
  <c r="L272" i="1"/>
  <c r="Z269" i="1"/>
  <c r="L255" i="1"/>
  <c r="L253" i="1"/>
  <c r="L251" i="1"/>
  <c r="L192" i="1"/>
  <c r="L190" i="1"/>
  <c r="L188" i="1"/>
  <c r="K313" i="1"/>
  <c r="K296" i="1"/>
  <c r="K269" i="1"/>
  <c r="Z250" i="1"/>
  <c r="Z251" i="1" s="1"/>
  <c r="Z252" i="1" s="1"/>
  <c r="Z253" i="1" s="1"/>
  <c r="Z254" i="1" s="1"/>
  <c r="Z255" i="1" s="1"/>
  <c r="Z256" i="1" s="1"/>
  <c r="Z257" i="1" s="1"/>
  <c r="Z258" i="1" s="1"/>
  <c r="Z259" i="1" s="1"/>
  <c r="Z260" i="1" s="1"/>
  <c r="Z261" i="1" s="1"/>
  <c r="Z262" i="1" s="1"/>
  <c r="Z263" i="1" s="1"/>
  <c r="Z264" i="1" s="1"/>
  <c r="Z265" i="1" s="1"/>
  <c r="Z266" i="1" s="1"/>
  <c r="Z267" i="1" s="1"/>
  <c r="Z268" i="1" s="1"/>
  <c r="Z249" i="1"/>
  <c r="Z248" i="1"/>
  <c r="K251" i="1"/>
  <c r="K252" i="1" s="1"/>
  <c r="K253" i="1" s="1"/>
  <c r="K254" i="1" s="1"/>
  <c r="K255" i="1" s="1"/>
  <c r="K256" i="1" s="1"/>
  <c r="K257" i="1" s="1"/>
  <c r="K258" i="1" s="1"/>
  <c r="K259" i="1" s="1"/>
  <c r="K260" i="1" s="1"/>
  <c r="K261" i="1" s="1"/>
  <c r="K262" i="1" s="1"/>
  <c r="K263" i="1" s="1"/>
  <c r="K264" i="1" s="1"/>
  <c r="K265" i="1" s="1"/>
  <c r="K266" i="1" s="1"/>
  <c r="K267" i="1" s="1"/>
  <c r="K268" i="1" s="1"/>
  <c r="K249" i="1"/>
  <c r="K248" i="1"/>
  <c r="V135" i="1"/>
  <c r="V47" i="1"/>
  <c r="S346" i="2"/>
  <c r="T346" i="2" s="1"/>
  <c r="O346" i="2"/>
  <c r="T345" i="2"/>
  <c r="S345" i="2"/>
  <c r="O345" i="2"/>
  <c r="T344" i="2"/>
  <c r="S344" i="2"/>
  <c r="O344" i="2"/>
  <c r="S343" i="2"/>
  <c r="T343" i="2" s="1"/>
  <c r="O343" i="2"/>
  <c r="S342" i="2"/>
  <c r="T342" i="2" s="1"/>
  <c r="O342" i="2"/>
  <c r="S341" i="2"/>
  <c r="T341" i="2" s="1"/>
  <c r="O341" i="2"/>
  <c r="S340" i="2"/>
  <c r="T340" i="2" s="1"/>
  <c r="O340" i="2"/>
  <c r="S339" i="2"/>
  <c r="T339" i="2" s="1"/>
  <c r="O339" i="2"/>
  <c r="S338" i="2"/>
  <c r="T338" i="2" s="1"/>
  <c r="O338" i="2"/>
  <c r="S337" i="2"/>
  <c r="T337" i="2" s="1"/>
  <c r="P337" i="2"/>
  <c r="O337" i="2"/>
  <c r="S336" i="2"/>
  <c r="T336" i="2" s="1"/>
  <c r="O336" i="2"/>
  <c r="P336" i="2" s="1"/>
  <c r="S335" i="2"/>
  <c r="T335" i="2" s="1"/>
  <c r="O335" i="2"/>
  <c r="S334" i="2"/>
  <c r="T334" i="2" s="1"/>
  <c r="O334" i="2"/>
  <c r="S333" i="2"/>
  <c r="T333" i="2" s="1"/>
  <c r="O333" i="2"/>
  <c r="S332" i="2"/>
  <c r="T332" i="2" s="1"/>
  <c r="O332" i="2"/>
  <c r="T331" i="2"/>
  <c r="S331" i="2"/>
  <c r="O331" i="2"/>
  <c r="S330" i="2"/>
  <c r="T330" i="2" s="1"/>
  <c r="O330" i="2"/>
  <c r="T329" i="2"/>
  <c r="S329" i="2"/>
  <c r="O329" i="2"/>
  <c r="S328" i="2"/>
  <c r="T328" i="2" s="1"/>
  <c r="O328" i="2"/>
  <c r="S327" i="2"/>
  <c r="T327" i="2" s="1"/>
  <c r="O327" i="2"/>
  <c r="S326" i="2"/>
  <c r="T326" i="2" s="1"/>
  <c r="O326" i="2"/>
  <c r="S325" i="2"/>
  <c r="T325" i="2" s="1"/>
  <c r="O325" i="2"/>
  <c r="S324" i="2"/>
  <c r="T324" i="2" s="1"/>
  <c r="O324" i="2"/>
  <c r="S323" i="2"/>
  <c r="T323" i="2" s="1"/>
  <c r="O323" i="2"/>
  <c r="S322" i="2"/>
  <c r="T322" i="2" s="1"/>
  <c r="O322" i="2"/>
  <c r="S321" i="2"/>
  <c r="T321" i="2" s="1"/>
  <c r="O321" i="2"/>
  <c r="S320" i="2"/>
  <c r="T320" i="2" s="1"/>
  <c r="O320" i="2"/>
  <c r="S319" i="2"/>
  <c r="T319" i="2" s="1"/>
  <c r="O319" i="2"/>
  <c r="S318" i="2"/>
  <c r="T318" i="2" s="1"/>
  <c r="O318" i="2"/>
  <c r="S317" i="2"/>
  <c r="T317" i="2" s="1"/>
  <c r="O317" i="2"/>
  <c r="AB315" i="2"/>
  <c r="S316" i="2"/>
  <c r="T316" i="2" s="1"/>
  <c r="O316" i="2"/>
  <c r="S315" i="2"/>
  <c r="T315" i="2" s="1"/>
  <c r="O315" i="2"/>
  <c r="S314" i="2"/>
  <c r="T314" i="2" s="1"/>
  <c r="O314" i="2"/>
  <c r="S313" i="2"/>
  <c r="T313" i="2" s="1"/>
  <c r="O313" i="2"/>
  <c r="S312" i="2"/>
  <c r="T312" i="2" s="1"/>
  <c r="O312" i="2"/>
  <c r="S311" i="2"/>
  <c r="T311" i="2" s="1"/>
  <c r="O311" i="2"/>
  <c r="S310" i="2"/>
  <c r="T310" i="2" s="1"/>
  <c r="O310" i="2"/>
  <c r="S309" i="2"/>
  <c r="T309" i="2" s="1"/>
  <c r="O309" i="2"/>
  <c r="S308" i="2"/>
  <c r="T308" i="2" s="1"/>
  <c r="O308" i="2"/>
  <c r="S307" i="2"/>
  <c r="T307" i="2" s="1"/>
  <c r="O307" i="2"/>
  <c r="S306" i="2"/>
  <c r="T306" i="2" s="1"/>
  <c r="O306" i="2"/>
  <c r="S305" i="2"/>
  <c r="T305" i="2" s="1"/>
  <c r="O305" i="2"/>
  <c r="T304" i="2"/>
  <c r="S304" i="2"/>
  <c r="O304" i="2"/>
  <c r="S303" i="2"/>
  <c r="T303" i="2" s="1"/>
  <c r="O303" i="2"/>
  <c r="S302" i="2"/>
  <c r="T302" i="2" s="1"/>
  <c r="O302" i="2"/>
  <c r="S301" i="2"/>
  <c r="T301" i="2" s="1"/>
  <c r="O301" i="2"/>
  <c r="S300" i="2"/>
  <c r="T300" i="2" s="1"/>
  <c r="O300" i="2"/>
  <c r="AB298" i="2"/>
  <c r="S299" i="2"/>
  <c r="T299" i="2" s="1"/>
  <c r="O299" i="2"/>
  <c r="S298" i="2"/>
  <c r="T298" i="2" s="1"/>
  <c r="O298" i="2"/>
  <c r="S297" i="2"/>
  <c r="T297" i="2" s="1"/>
  <c r="O297" i="2"/>
  <c r="S296" i="2"/>
  <c r="T296" i="2" s="1"/>
  <c r="O296" i="2"/>
  <c r="S295" i="2"/>
  <c r="T295" i="2" s="1"/>
  <c r="O295" i="2"/>
  <c r="T294" i="2"/>
  <c r="S294" i="2"/>
  <c r="O294" i="2"/>
  <c r="T293" i="2"/>
  <c r="S293" i="2"/>
  <c r="O293" i="2"/>
  <c r="S292" i="2"/>
  <c r="T292" i="2" s="1"/>
  <c r="O292" i="2"/>
  <c r="S291" i="2"/>
  <c r="T291" i="2" s="1"/>
  <c r="O291" i="2"/>
  <c r="T290" i="2"/>
  <c r="S290" i="2"/>
  <c r="O290" i="2"/>
  <c r="T289" i="2"/>
  <c r="S289" i="2"/>
  <c r="O289" i="2"/>
  <c r="S288" i="2"/>
  <c r="T288" i="2" s="1"/>
  <c r="O288" i="2"/>
  <c r="T287" i="2"/>
  <c r="S287" i="2"/>
  <c r="O287" i="2"/>
  <c r="S286" i="2"/>
  <c r="T286" i="2" s="1"/>
  <c r="O286" i="2"/>
  <c r="T285" i="2"/>
  <c r="S285" i="2"/>
  <c r="O285" i="2"/>
  <c r="S284" i="2"/>
  <c r="T284" i="2" s="1"/>
  <c r="O284" i="2"/>
  <c r="T283" i="2"/>
  <c r="S283" i="2"/>
  <c r="O283" i="2"/>
  <c r="T282" i="2"/>
  <c r="S282" i="2"/>
  <c r="O282" i="2"/>
  <c r="S281" i="2"/>
  <c r="T281" i="2" s="1"/>
  <c r="O281" i="2"/>
  <c r="T280" i="2"/>
  <c r="S280" i="2"/>
  <c r="O280" i="2"/>
  <c r="T279" i="2"/>
  <c r="S279" i="2"/>
  <c r="O279" i="2"/>
  <c r="T278" i="2"/>
  <c r="S278" i="2"/>
  <c r="O278" i="2"/>
  <c r="T277" i="2"/>
  <c r="S277" i="2"/>
  <c r="O277" i="2"/>
  <c r="S276" i="2"/>
  <c r="T276" i="2" s="1"/>
  <c r="O276" i="2"/>
  <c r="S275" i="2"/>
  <c r="T275" i="2" s="1"/>
  <c r="O275" i="2"/>
  <c r="T274" i="2"/>
  <c r="S274" i="2"/>
  <c r="O274" i="2"/>
  <c r="AB271" i="2"/>
  <c r="S273" i="2"/>
  <c r="T273" i="2" s="1"/>
  <c r="O273" i="2"/>
  <c r="T272" i="2"/>
  <c r="S272" i="2"/>
  <c r="O272" i="2"/>
  <c r="S271" i="2"/>
  <c r="T271" i="2" s="1"/>
  <c r="O271" i="2"/>
  <c r="T270" i="2"/>
  <c r="S270" i="2"/>
  <c r="O270" i="2"/>
  <c r="T269" i="2"/>
  <c r="S269" i="2"/>
  <c r="O269" i="2"/>
  <c r="T268" i="2"/>
  <c r="S268" i="2"/>
  <c r="O268" i="2"/>
  <c r="T267" i="2"/>
  <c r="S267" i="2"/>
  <c r="O267" i="2"/>
  <c r="S266" i="2"/>
  <c r="T266" i="2" s="1"/>
  <c r="O266" i="2"/>
  <c r="S265" i="2"/>
  <c r="T265" i="2" s="1"/>
  <c r="O265" i="2"/>
  <c r="T264" i="2"/>
  <c r="S264" i="2"/>
  <c r="O264" i="2"/>
  <c r="S263" i="2"/>
  <c r="T263" i="2" s="1"/>
  <c r="O263" i="2"/>
  <c r="T262" i="2"/>
  <c r="S262" i="2"/>
  <c r="O262" i="2"/>
  <c r="T261" i="2"/>
  <c r="S261" i="2"/>
  <c r="O261" i="2"/>
  <c r="S260" i="2"/>
  <c r="T260" i="2" s="1"/>
  <c r="O260" i="2"/>
  <c r="T259" i="2"/>
  <c r="S259" i="2"/>
  <c r="O259" i="2"/>
  <c r="T258" i="2"/>
  <c r="S258" i="2"/>
  <c r="O258" i="2"/>
  <c r="S257" i="2"/>
  <c r="T257" i="2" s="1"/>
  <c r="O257" i="2"/>
  <c r="S256" i="2"/>
  <c r="T256" i="2" s="1"/>
  <c r="O256" i="2"/>
  <c r="S255" i="2"/>
  <c r="T255" i="2" s="1"/>
  <c r="O255" i="2"/>
  <c r="S254" i="2"/>
  <c r="T254" i="2" s="1"/>
  <c r="O254" i="2"/>
  <c r="S253" i="2"/>
  <c r="T253" i="2" s="1"/>
  <c r="O253" i="2"/>
  <c r="S252" i="2"/>
  <c r="T252" i="2" s="1"/>
  <c r="O252" i="2"/>
  <c r="S251" i="2"/>
  <c r="T251" i="2" s="1"/>
  <c r="O251" i="2"/>
  <c r="T250" i="2"/>
  <c r="S250" i="2"/>
  <c r="O250" i="2"/>
  <c r="S249" i="2"/>
  <c r="T249" i="2" s="1"/>
  <c r="O249" i="2"/>
  <c r="R248" i="2"/>
  <c r="S248" i="2" s="1"/>
  <c r="T248" i="2" s="1"/>
  <c r="O248" i="2"/>
  <c r="S247" i="2"/>
  <c r="T247" i="2" s="1"/>
  <c r="O247" i="2"/>
  <c r="S246" i="2"/>
  <c r="T246" i="2" s="1"/>
  <c r="O246" i="2"/>
  <c r="S245" i="2"/>
  <c r="T245" i="2" s="1"/>
  <c r="O245" i="2"/>
  <c r="S244" i="2"/>
  <c r="T244" i="2" s="1"/>
  <c r="O244" i="2"/>
  <c r="S243" i="2"/>
  <c r="T243" i="2" s="1"/>
  <c r="O243" i="2"/>
  <c r="S242" i="2"/>
  <c r="T242" i="2" s="1"/>
  <c r="O242" i="2"/>
  <c r="S241" i="2"/>
  <c r="T241" i="2" s="1"/>
  <c r="O241" i="2"/>
  <c r="S240" i="2"/>
  <c r="T240" i="2" s="1"/>
  <c r="O240" i="2"/>
  <c r="S239" i="2"/>
  <c r="T239" i="2" s="1"/>
  <c r="O239" i="2"/>
  <c r="S238" i="2"/>
  <c r="T238" i="2" s="1"/>
  <c r="O238" i="2"/>
  <c r="S237" i="2"/>
  <c r="T237" i="2" s="1"/>
  <c r="O237" i="2"/>
  <c r="S236" i="2"/>
  <c r="T236" i="2" s="1"/>
  <c r="O236" i="2"/>
  <c r="S235" i="2"/>
  <c r="T235" i="2" s="1"/>
  <c r="O235" i="2"/>
  <c r="S234" i="2"/>
  <c r="T234" i="2" s="1"/>
  <c r="O234" i="2"/>
  <c r="T233" i="2"/>
  <c r="S233" i="2"/>
  <c r="O233" i="2"/>
  <c r="S232" i="2"/>
  <c r="T232" i="2" s="1"/>
  <c r="O232" i="2"/>
  <c r="S231" i="2"/>
  <c r="T231" i="2" s="1"/>
  <c r="O231" i="2"/>
  <c r="S230" i="2"/>
  <c r="T230" i="2" s="1"/>
  <c r="O230" i="2"/>
  <c r="S229" i="2"/>
  <c r="T229" i="2" s="1"/>
  <c r="O229" i="2"/>
  <c r="S228" i="2"/>
  <c r="T228" i="2" s="1"/>
  <c r="O228" i="2"/>
  <c r="S227" i="2"/>
  <c r="T227" i="2" s="1"/>
  <c r="O227" i="2"/>
  <c r="T226" i="2"/>
  <c r="S226" i="2"/>
  <c r="O226" i="2"/>
  <c r="S225" i="2"/>
  <c r="T225" i="2" s="1"/>
  <c r="O225" i="2"/>
  <c r="S224" i="2"/>
  <c r="T224" i="2" s="1"/>
  <c r="O224" i="2"/>
  <c r="S223" i="2"/>
  <c r="T223" i="2" s="1"/>
  <c r="O223" i="2"/>
  <c r="S222" i="2"/>
  <c r="T222" i="2" s="1"/>
  <c r="O222" i="2"/>
  <c r="T221" i="2"/>
  <c r="S221" i="2"/>
  <c r="O221" i="2"/>
  <c r="S220" i="2"/>
  <c r="T220" i="2" s="1"/>
  <c r="O220" i="2"/>
  <c r="S219" i="2"/>
  <c r="T219" i="2" s="1"/>
  <c r="O219" i="2"/>
  <c r="S218" i="2"/>
  <c r="T218" i="2" s="1"/>
  <c r="O218" i="2"/>
  <c r="T217" i="2"/>
  <c r="S217" i="2"/>
  <c r="O217" i="2"/>
  <c r="S216" i="2"/>
  <c r="T216" i="2" s="1"/>
  <c r="O216" i="2"/>
  <c r="S215" i="2"/>
  <c r="T215" i="2" s="1"/>
  <c r="O215" i="2"/>
  <c r="S214" i="2"/>
  <c r="T214" i="2" s="1"/>
  <c r="O214" i="2"/>
  <c r="S213" i="2"/>
  <c r="T213" i="2" s="1"/>
  <c r="O213" i="2"/>
  <c r="T212" i="2"/>
  <c r="S212" i="2"/>
  <c r="O212" i="2"/>
  <c r="S211" i="2"/>
  <c r="T211" i="2" s="1"/>
  <c r="O211" i="2"/>
  <c r="S210" i="2"/>
  <c r="T210" i="2" s="1"/>
  <c r="O210" i="2"/>
  <c r="S209" i="2"/>
  <c r="T209" i="2" s="1"/>
  <c r="O209" i="2"/>
  <c r="S208" i="2"/>
  <c r="T208" i="2" s="1"/>
  <c r="O208" i="2"/>
  <c r="S207" i="2"/>
  <c r="T207" i="2" s="1"/>
  <c r="O207" i="2"/>
  <c r="S206" i="2"/>
  <c r="T206" i="2" s="1"/>
  <c r="O206" i="2"/>
  <c r="T205" i="2"/>
  <c r="S205" i="2"/>
  <c r="O205" i="2"/>
  <c r="S204" i="2"/>
  <c r="T204" i="2" s="1"/>
  <c r="O204" i="2"/>
  <c r="T203" i="2"/>
  <c r="S203" i="2"/>
  <c r="O203" i="2"/>
  <c r="S202" i="2"/>
  <c r="T202" i="2" s="1"/>
  <c r="O202" i="2"/>
  <c r="S201" i="2"/>
  <c r="T201" i="2" s="1"/>
  <c r="O201" i="2"/>
  <c r="S200" i="2"/>
  <c r="T200" i="2" s="1"/>
  <c r="O200" i="2"/>
  <c r="S199" i="2"/>
  <c r="T199" i="2" s="1"/>
  <c r="O199" i="2"/>
  <c r="S198" i="2"/>
  <c r="T198" i="2" s="1"/>
  <c r="O198" i="2"/>
  <c r="S197" i="2"/>
  <c r="T197" i="2" s="1"/>
  <c r="O197" i="2"/>
  <c r="S196" i="2"/>
  <c r="T196" i="2" s="1"/>
  <c r="O196" i="2"/>
  <c r="S195" i="2"/>
  <c r="T195" i="2" s="1"/>
  <c r="O195" i="2"/>
  <c r="K195" i="2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8" i="2" s="1"/>
  <c r="S194" i="2"/>
  <c r="T194" i="2" s="1"/>
  <c r="O194" i="2"/>
  <c r="S193" i="2"/>
  <c r="T193" i="2" s="1"/>
  <c r="O193" i="2"/>
  <c r="S192" i="2"/>
  <c r="T192" i="2" s="1"/>
  <c r="O192" i="2"/>
  <c r="S191" i="2"/>
  <c r="T191" i="2" s="1"/>
  <c r="O191" i="2"/>
  <c r="S190" i="2"/>
  <c r="T190" i="2" s="1"/>
  <c r="O190" i="2"/>
  <c r="S189" i="2"/>
  <c r="T189" i="2" s="1"/>
  <c r="O189" i="2"/>
  <c r="AB188" i="2"/>
  <c r="S188" i="2"/>
  <c r="T188" i="2" s="1"/>
  <c r="O188" i="2"/>
  <c r="S187" i="2"/>
  <c r="T187" i="2" s="1"/>
  <c r="O187" i="2"/>
  <c r="J187" i="2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S186" i="2"/>
  <c r="T186" i="2" s="1"/>
  <c r="O186" i="2"/>
  <c r="J186" i="2"/>
  <c r="Z185" i="2"/>
  <c r="Z186" i="2" s="1"/>
  <c r="Z187" i="2" s="1"/>
  <c r="Z188" i="2" s="1"/>
  <c r="Z189" i="2" s="1"/>
  <c r="Z190" i="2" s="1"/>
  <c r="Z191" i="2" s="1"/>
  <c r="Z192" i="2" s="1"/>
  <c r="Z193" i="2" s="1"/>
  <c r="Z194" i="2" s="1"/>
  <c r="Z195" i="2" s="1"/>
  <c r="Z196" i="2" s="1"/>
  <c r="Z197" i="2" s="1"/>
  <c r="Z198" i="2" s="1"/>
  <c r="Z199" i="2" s="1"/>
  <c r="Z200" i="2" s="1"/>
  <c r="Z201" i="2" s="1"/>
  <c r="Z202" i="2" s="1"/>
  <c r="Z203" i="2" s="1"/>
  <c r="Z204" i="2" s="1"/>
  <c r="Z205" i="2" s="1"/>
  <c r="Z206" i="2" s="1"/>
  <c r="Z207" i="2" s="1"/>
  <c r="Z208" i="2" s="1"/>
  <c r="Z209" i="2" s="1"/>
  <c r="Z210" i="2" s="1"/>
  <c r="Z211" i="2" s="1"/>
  <c r="Z212" i="2" s="1"/>
  <c r="Z213" i="2" s="1"/>
  <c r="Z214" i="2" s="1"/>
  <c r="Z215" i="2" s="1"/>
  <c r="Z216" i="2" s="1"/>
  <c r="Z217" i="2" s="1"/>
  <c r="Z218" i="2" s="1"/>
  <c r="Z219" i="2" s="1"/>
  <c r="Z220" i="2" s="1"/>
  <c r="Z221" i="2" s="1"/>
  <c r="Z222" i="2" s="1"/>
  <c r="Z223" i="2" s="1"/>
  <c r="Z224" i="2" s="1"/>
  <c r="Z225" i="2" s="1"/>
  <c r="Z226" i="2" s="1"/>
  <c r="Z227" i="2" s="1"/>
  <c r="Z228" i="2" s="1"/>
  <c r="Z229" i="2" s="1"/>
  <c r="Z230" i="2" s="1"/>
  <c r="Z231" i="2" s="1"/>
  <c r="Z232" i="2" s="1"/>
  <c r="Z233" i="2" s="1"/>
  <c r="Z234" i="2" s="1"/>
  <c r="Z235" i="2" s="1"/>
  <c r="Z236" i="2" s="1"/>
  <c r="Z237" i="2" s="1"/>
  <c r="Z238" i="2" s="1"/>
  <c r="Z239" i="2" s="1"/>
  <c r="Z240" i="2" s="1"/>
  <c r="Z241" i="2" s="1"/>
  <c r="Z242" i="2" s="1"/>
  <c r="Z243" i="2" s="1"/>
  <c r="Z244" i="2" s="1"/>
  <c r="Z245" i="2" s="1"/>
  <c r="Z246" i="2" s="1"/>
  <c r="T185" i="2"/>
  <c r="S185" i="2"/>
  <c r="O185" i="2"/>
  <c r="K185" i="2"/>
  <c r="K186" i="2" s="1"/>
  <c r="K187" i="2" s="1"/>
  <c r="K188" i="2" s="1"/>
  <c r="K189" i="2" s="1"/>
  <c r="K190" i="2" s="1"/>
  <c r="K191" i="2" s="1"/>
  <c r="K192" i="2" s="1"/>
  <c r="K193" i="2" s="1"/>
  <c r="K194" i="2" s="1"/>
  <c r="J185" i="2"/>
  <c r="T184" i="2"/>
  <c r="S184" i="2"/>
  <c r="O184" i="2"/>
  <c r="K184" i="2"/>
  <c r="J184" i="2"/>
  <c r="S183" i="2"/>
  <c r="T183" i="2" s="1"/>
  <c r="O183" i="2"/>
  <c r="T182" i="2"/>
  <c r="S182" i="2"/>
  <c r="O182" i="2"/>
  <c r="S181" i="2"/>
  <c r="T181" i="2" s="1"/>
  <c r="O181" i="2"/>
  <c r="T180" i="2"/>
  <c r="S180" i="2"/>
  <c r="O180" i="2"/>
  <c r="S179" i="2"/>
  <c r="T179" i="2" s="1"/>
  <c r="O179" i="2"/>
  <c r="T178" i="2"/>
  <c r="S178" i="2"/>
  <c r="O178" i="2"/>
  <c r="S177" i="2"/>
  <c r="T177" i="2" s="1"/>
  <c r="O177" i="2"/>
  <c r="T176" i="2"/>
  <c r="S176" i="2"/>
  <c r="O176" i="2"/>
  <c r="S175" i="2"/>
  <c r="T175" i="2" s="1"/>
  <c r="O175" i="2"/>
  <c r="T174" i="2"/>
  <c r="S174" i="2"/>
  <c r="O174" i="2"/>
  <c r="S173" i="2"/>
  <c r="T173" i="2" s="1"/>
  <c r="O173" i="2"/>
  <c r="T172" i="2"/>
  <c r="S172" i="2"/>
  <c r="O172" i="2"/>
  <c r="S171" i="2"/>
  <c r="T171" i="2" s="1"/>
  <c r="O171" i="2"/>
  <c r="T170" i="2"/>
  <c r="S170" i="2"/>
  <c r="O170" i="2"/>
  <c r="K170" i="2"/>
  <c r="K171" i="2" s="1"/>
  <c r="K172" i="2" s="1"/>
  <c r="K173" i="2" s="1"/>
  <c r="S169" i="2"/>
  <c r="T169" i="2" s="1"/>
  <c r="O169" i="2"/>
  <c r="J169" i="2"/>
  <c r="J170" i="2" s="1"/>
  <c r="J171" i="2" s="1"/>
  <c r="J172" i="2" s="1"/>
  <c r="J173" i="2" s="1"/>
  <c r="T168" i="2"/>
  <c r="S168" i="2"/>
  <c r="O168" i="2"/>
  <c r="K168" i="2"/>
  <c r="K169" i="2" s="1"/>
  <c r="S167" i="2"/>
  <c r="T167" i="2" s="1"/>
  <c r="O167" i="2"/>
  <c r="J167" i="2"/>
  <c r="J168" i="2" s="1"/>
  <c r="T166" i="2"/>
  <c r="S166" i="2"/>
  <c r="O166" i="2"/>
  <c r="K166" i="2"/>
  <c r="K167" i="2" s="1"/>
  <c r="S165" i="2"/>
  <c r="T165" i="2" s="1"/>
  <c r="O165" i="2"/>
  <c r="K165" i="2"/>
  <c r="J165" i="2"/>
  <c r="J166" i="2" s="1"/>
  <c r="T164" i="2"/>
  <c r="S164" i="2"/>
  <c r="O164" i="2"/>
  <c r="S163" i="2"/>
  <c r="T163" i="2" s="1"/>
  <c r="O163" i="2"/>
  <c r="T162" i="2"/>
  <c r="S162" i="2"/>
  <c r="O162" i="2"/>
  <c r="K162" i="2"/>
  <c r="S161" i="2"/>
  <c r="T161" i="2" s="1"/>
  <c r="O161" i="2"/>
  <c r="K161" i="2"/>
  <c r="J161" i="2"/>
  <c r="J162" i="2" s="1"/>
  <c r="T160" i="2"/>
  <c r="S160" i="2"/>
  <c r="O160" i="2"/>
  <c r="S159" i="2"/>
  <c r="T159" i="2" s="1"/>
  <c r="O159" i="2"/>
  <c r="K159" i="2"/>
  <c r="J159" i="2"/>
  <c r="T158" i="2"/>
  <c r="S158" i="2"/>
  <c r="O158" i="2"/>
  <c r="S157" i="2"/>
  <c r="T157" i="2" s="1"/>
  <c r="O157" i="2"/>
  <c r="T156" i="2"/>
  <c r="S156" i="2"/>
  <c r="O156" i="2"/>
  <c r="S155" i="2"/>
  <c r="T155" i="2" s="1"/>
  <c r="O155" i="2"/>
  <c r="T154" i="2"/>
  <c r="S154" i="2"/>
  <c r="O154" i="2"/>
  <c r="S153" i="2"/>
  <c r="T153" i="2" s="1"/>
  <c r="O153" i="2"/>
  <c r="S152" i="2"/>
  <c r="T152" i="2" s="1"/>
  <c r="O152" i="2"/>
  <c r="T151" i="2"/>
  <c r="S151" i="2"/>
  <c r="O151" i="2"/>
  <c r="S150" i="2"/>
  <c r="T150" i="2" s="1"/>
  <c r="O150" i="2"/>
  <c r="S149" i="2"/>
  <c r="T149" i="2" s="1"/>
  <c r="O149" i="2"/>
  <c r="T148" i="2"/>
  <c r="S148" i="2"/>
  <c r="O148" i="2"/>
  <c r="S147" i="2"/>
  <c r="T147" i="2" s="1"/>
  <c r="O147" i="2"/>
  <c r="S146" i="2"/>
  <c r="T146" i="2" s="1"/>
  <c r="O146" i="2"/>
  <c r="T145" i="2"/>
  <c r="S145" i="2"/>
  <c r="O145" i="2"/>
  <c r="S144" i="2"/>
  <c r="T144" i="2" s="1"/>
  <c r="O144" i="2"/>
  <c r="T143" i="2"/>
  <c r="S143" i="2"/>
  <c r="O143" i="2"/>
  <c r="S142" i="2"/>
  <c r="T142" i="2" s="1"/>
  <c r="O142" i="2"/>
  <c r="S141" i="2"/>
  <c r="T141" i="2" s="1"/>
  <c r="O141" i="2"/>
  <c r="T140" i="2"/>
  <c r="S140" i="2"/>
  <c r="O140" i="2"/>
  <c r="S139" i="2"/>
  <c r="T139" i="2" s="1"/>
  <c r="O139" i="2"/>
  <c r="S138" i="2"/>
  <c r="T138" i="2" s="1"/>
  <c r="O138" i="2"/>
  <c r="J138" i="2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T137" i="2"/>
  <c r="S137" i="2"/>
  <c r="O137" i="2"/>
  <c r="T136" i="2"/>
  <c r="S136" i="2"/>
  <c r="O136" i="2"/>
  <c r="J136" i="2"/>
  <c r="J137" i="2" s="1"/>
  <c r="S135" i="2"/>
  <c r="T135" i="2" s="1"/>
  <c r="O135" i="2"/>
  <c r="S134" i="2"/>
  <c r="T134" i="2" s="1"/>
  <c r="O134" i="2"/>
  <c r="S133" i="2"/>
  <c r="T133" i="2" s="1"/>
  <c r="O133" i="2"/>
  <c r="S132" i="2"/>
  <c r="T132" i="2" s="1"/>
  <c r="O132" i="2"/>
  <c r="S131" i="2"/>
  <c r="T131" i="2" s="1"/>
  <c r="O131" i="2"/>
  <c r="L131" i="2"/>
  <c r="Z130" i="2"/>
  <c r="Z131" i="2" s="1"/>
  <c r="Z132" i="2" s="1"/>
  <c r="Z133" i="2" s="1"/>
  <c r="Z134" i="2" s="1"/>
  <c r="Z135" i="2" s="1"/>
  <c r="Z136" i="2" s="1"/>
  <c r="Z137" i="2" s="1"/>
  <c r="Z138" i="2" s="1"/>
  <c r="Z139" i="2" s="1"/>
  <c r="Z140" i="2" s="1"/>
  <c r="Z141" i="2" s="1"/>
  <c r="Z142" i="2" s="1"/>
  <c r="Z143" i="2" s="1"/>
  <c r="Z144" i="2" s="1"/>
  <c r="Z145" i="2" s="1"/>
  <c r="Z146" i="2" s="1"/>
  <c r="Z147" i="2" s="1"/>
  <c r="Z148" i="2" s="1"/>
  <c r="Z149" i="2" s="1"/>
  <c r="Z150" i="2" s="1"/>
  <c r="Z151" i="2" s="1"/>
  <c r="Z152" i="2" s="1"/>
  <c r="Z153" i="2" s="1"/>
  <c r="Z154" i="2" s="1"/>
  <c r="Z155" i="2" s="1"/>
  <c r="Z156" i="2" s="1"/>
  <c r="Z157" i="2" s="1"/>
  <c r="Z158" i="2" s="1"/>
  <c r="Z159" i="2" s="1"/>
  <c r="Z160" i="2" s="1"/>
  <c r="Z161" i="2" s="1"/>
  <c r="Z162" i="2" s="1"/>
  <c r="Z163" i="2" s="1"/>
  <c r="Z164" i="2" s="1"/>
  <c r="Z165" i="2" s="1"/>
  <c r="Z166" i="2" s="1"/>
  <c r="Z167" i="2" s="1"/>
  <c r="Z168" i="2" s="1"/>
  <c r="Z169" i="2" s="1"/>
  <c r="Z170" i="2" s="1"/>
  <c r="Z171" i="2" s="1"/>
  <c r="Z172" i="2" s="1"/>
  <c r="Z173" i="2" s="1"/>
  <c r="Z174" i="2" s="1"/>
  <c r="Z175" i="2" s="1"/>
  <c r="Z176" i="2" s="1"/>
  <c r="Z177" i="2" s="1"/>
  <c r="Z178" i="2" s="1"/>
  <c r="Z179" i="2" s="1"/>
  <c r="Z180" i="2" s="1"/>
  <c r="Z181" i="2" s="1"/>
  <c r="Z182" i="2" s="1"/>
  <c r="Z183" i="2" s="1"/>
  <c r="Z184" i="2" s="1"/>
  <c r="S130" i="2"/>
  <c r="T130" i="2" s="1"/>
  <c r="O130" i="2"/>
  <c r="S129" i="2"/>
  <c r="T129" i="2" s="1"/>
  <c r="O129" i="2"/>
  <c r="L129" i="2"/>
  <c r="T128" i="2"/>
  <c r="S128" i="2"/>
  <c r="O128" i="2"/>
  <c r="K128" i="2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J128" i="2"/>
  <c r="J129" i="2" s="1"/>
  <c r="J130" i="2" s="1"/>
  <c r="J131" i="2" s="1"/>
  <c r="J132" i="2" s="1"/>
  <c r="J133" i="2" s="1"/>
  <c r="J134" i="2" s="1"/>
  <c r="J135" i="2" s="1"/>
  <c r="AB127" i="2"/>
  <c r="Z127" i="2"/>
  <c r="Z128" i="2" s="1"/>
  <c r="Z129" i="2" s="1"/>
  <c r="S127" i="2"/>
  <c r="T127" i="2" s="1"/>
  <c r="O127" i="2"/>
  <c r="L127" i="2"/>
  <c r="S126" i="2"/>
  <c r="T126" i="2" s="1"/>
  <c r="O126" i="2"/>
  <c r="T125" i="2"/>
  <c r="S125" i="2"/>
  <c r="O125" i="2"/>
  <c r="Z124" i="2"/>
  <c r="Z125" i="2" s="1"/>
  <c r="Z126" i="2" s="1"/>
  <c r="S124" i="2"/>
  <c r="T124" i="2" s="1"/>
  <c r="O124" i="2"/>
  <c r="K124" i="2"/>
  <c r="K125" i="2" s="1"/>
  <c r="S123" i="2"/>
  <c r="T123" i="2" s="1"/>
  <c r="R123" i="2"/>
  <c r="O123" i="2"/>
  <c r="R122" i="2"/>
  <c r="S122" i="2" s="1"/>
  <c r="T122" i="2" s="1"/>
  <c r="O122" i="2"/>
  <c r="S121" i="2"/>
  <c r="T121" i="2" s="1"/>
  <c r="R121" i="2"/>
  <c r="O121" i="2"/>
  <c r="R120" i="2"/>
  <c r="S120" i="2" s="1"/>
  <c r="T120" i="2" s="1"/>
  <c r="O120" i="2"/>
  <c r="S119" i="2"/>
  <c r="T119" i="2" s="1"/>
  <c r="R119" i="2"/>
  <c r="O119" i="2"/>
  <c r="R118" i="2"/>
  <c r="S118" i="2" s="1"/>
  <c r="T118" i="2" s="1"/>
  <c r="O118" i="2"/>
  <c r="S117" i="2"/>
  <c r="T117" i="2" s="1"/>
  <c r="R117" i="2"/>
  <c r="O117" i="2"/>
  <c r="R116" i="2"/>
  <c r="S116" i="2" s="1"/>
  <c r="T116" i="2" s="1"/>
  <c r="O116" i="2"/>
  <c r="S115" i="2"/>
  <c r="T115" i="2" s="1"/>
  <c r="R115" i="2"/>
  <c r="O115" i="2"/>
  <c r="R114" i="2"/>
  <c r="S114" i="2" s="1"/>
  <c r="T114" i="2" s="1"/>
  <c r="O114" i="2"/>
  <c r="S113" i="2"/>
  <c r="T113" i="2" s="1"/>
  <c r="R113" i="2"/>
  <c r="O113" i="2"/>
  <c r="R112" i="2"/>
  <c r="S112" i="2" s="1"/>
  <c r="T112" i="2" s="1"/>
  <c r="O112" i="2"/>
  <c r="S111" i="2"/>
  <c r="T111" i="2" s="1"/>
  <c r="R111" i="2"/>
  <c r="O111" i="2"/>
  <c r="R110" i="2"/>
  <c r="S110" i="2" s="1"/>
  <c r="T110" i="2" s="1"/>
  <c r="O110" i="2"/>
  <c r="S109" i="2"/>
  <c r="T109" i="2" s="1"/>
  <c r="R109" i="2"/>
  <c r="O109" i="2"/>
  <c r="R108" i="2"/>
  <c r="S108" i="2" s="1"/>
  <c r="T108" i="2" s="1"/>
  <c r="O108" i="2"/>
  <c r="S107" i="2"/>
  <c r="T107" i="2" s="1"/>
  <c r="R107" i="2"/>
  <c r="O107" i="2"/>
  <c r="R106" i="2"/>
  <c r="S106" i="2" s="1"/>
  <c r="T106" i="2" s="1"/>
  <c r="O106" i="2"/>
  <c r="S105" i="2"/>
  <c r="T105" i="2" s="1"/>
  <c r="R105" i="2"/>
  <c r="O105" i="2"/>
  <c r="R104" i="2"/>
  <c r="S104" i="2" s="1"/>
  <c r="T104" i="2" s="1"/>
  <c r="O104" i="2"/>
  <c r="S103" i="2"/>
  <c r="T103" i="2" s="1"/>
  <c r="R103" i="2"/>
  <c r="O103" i="2"/>
  <c r="R102" i="2"/>
  <c r="S102" i="2" s="1"/>
  <c r="T102" i="2" s="1"/>
  <c r="O102" i="2"/>
  <c r="S101" i="2"/>
  <c r="T101" i="2" s="1"/>
  <c r="R101" i="2"/>
  <c r="O101" i="2"/>
  <c r="R100" i="2"/>
  <c r="S100" i="2" s="1"/>
  <c r="T100" i="2" s="1"/>
  <c r="O100" i="2"/>
  <c r="T99" i="2"/>
  <c r="R99" i="2"/>
  <c r="S99" i="2" s="1"/>
  <c r="O99" i="2"/>
  <c r="T98" i="2"/>
  <c r="R98" i="2"/>
  <c r="S98" i="2" s="1"/>
  <c r="O98" i="2"/>
  <c r="R97" i="2"/>
  <c r="S97" i="2" s="1"/>
  <c r="T97" i="2" s="1"/>
  <c r="O97" i="2"/>
  <c r="R96" i="2"/>
  <c r="S96" i="2" s="1"/>
  <c r="T96" i="2" s="1"/>
  <c r="O96" i="2"/>
  <c r="R95" i="2"/>
  <c r="S95" i="2" s="1"/>
  <c r="T95" i="2" s="1"/>
  <c r="O95" i="2"/>
  <c r="R94" i="2"/>
  <c r="S94" i="2" s="1"/>
  <c r="T94" i="2" s="1"/>
  <c r="O94" i="2"/>
  <c r="R93" i="2"/>
  <c r="S93" i="2" s="1"/>
  <c r="T93" i="2" s="1"/>
  <c r="O93" i="2"/>
  <c r="R92" i="2"/>
  <c r="S92" i="2" s="1"/>
  <c r="T92" i="2" s="1"/>
  <c r="O92" i="2"/>
  <c r="R91" i="2"/>
  <c r="S91" i="2" s="1"/>
  <c r="T91" i="2" s="1"/>
  <c r="O91" i="2"/>
  <c r="R90" i="2"/>
  <c r="S90" i="2" s="1"/>
  <c r="T90" i="2" s="1"/>
  <c r="O90" i="2"/>
  <c r="R89" i="2"/>
  <c r="S89" i="2" s="1"/>
  <c r="T89" i="2" s="1"/>
  <c r="O89" i="2"/>
  <c r="R88" i="2"/>
  <c r="S88" i="2" s="1"/>
  <c r="T88" i="2" s="1"/>
  <c r="O88" i="2"/>
  <c r="R87" i="2"/>
  <c r="S87" i="2" s="1"/>
  <c r="T87" i="2" s="1"/>
  <c r="O87" i="2"/>
  <c r="R86" i="2"/>
  <c r="S86" i="2" s="1"/>
  <c r="T86" i="2" s="1"/>
  <c r="O86" i="2"/>
  <c r="R85" i="2"/>
  <c r="S85" i="2" s="1"/>
  <c r="T85" i="2" s="1"/>
  <c r="O85" i="2"/>
  <c r="R84" i="2"/>
  <c r="S84" i="2" s="1"/>
  <c r="T84" i="2" s="1"/>
  <c r="O84" i="2"/>
  <c r="R83" i="2"/>
  <c r="S83" i="2" s="1"/>
  <c r="T83" i="2" s="1"/>
  <c r="O83" i="2"/>
  <c r="R82" i="2"/>
  <c r="S82" i="2" s="1"/>
  <c r="T82" i="2" s="1"/>
  <c r="O82" i="2"/>
  <c r="R81" i="2"/>
  <c r="S81" i="2" s="1"/>
  <c r="T81" i="2" s="1"/>
  <c r="O81" i="2"/>
  <c r="R80" i="2"/>
  <c r="S80" i="2" s="1"/>
  <c r="T80" i="2" s="1"/>
  <c r="O80" i="2"/>
  <c r="R79" i="2"/>
  <c r="S79" i="2" s="1"/>
  <c r="T79" i="2" s="1"/>
  <c r="O79" i="2"/>
  <c r="P79" i="2" s="1"/>
  <c r="R78" i="2"/>
  <c r="S78" i="2" s="1"/>
  <c r="T78" i="2" s="1"/>
  <c r="O78" i="2"/>
  <c r="P78" i="2" s="1"/>
  <c r="T77" i="2"/>
  <c r="S77" i="2"/>
  <c r="R77" i="2"/>
  <c r="O77" i="2"/>
  <c r="R76" i="2"/>
  <c r="S76" i="2" s="1"/>
  <c r="T76" i="2" s="1"/>
  <c r="O76" i="2"/>
  <c r="T75" i="2"/>
  <c r="R75" i="2"/>
  <c r="S75" i="2" s="1"/>
  <c r="O75" i="2"/>
  <c r="T74" i="2"/>
  <c r="S74" i="2"/>
  <c r="R74" i="2"/>
  <c r="O74" i="2"/>
  <c r="S73" i="2"/>
  <c r="T73" i="2" s="1"/>
  <c r="R73" i="2"/>
  <c r="O73" i="2"/>
  <c r="R72" i="2"/>
  <c r="S72" i="2" s="1"/>
  <c r="T72" i="2" s="1"/>
  <c r="O72" i="2"/>
  <c r="S71" i="2"/>
  <c r="T71" i="2" s="1"/>
  <c r="R71" i="2"/>
  <c r="O71" i="2"/>
  <c r="T70" i="2"/>
  <c r="S70" i="2"/>
  <c r="R70" i="2"/>
  <c r="O70" i="2"/>
  <c r="S69" i="2"/>
  <c r="T69" i="2" s="1"/>
  <c r="R69" i="2"/>
  <c r="O69" i="2"/>
  <c r="R68" i="2"/>
  <c r="S68" i="2" s="1"/>
  <c r="T68" i="2" s="1"/>
  <c r="O68" i="2"/>
  <c r="S67" i="2"/>
  <c r="T67" i="2" s="1"/>
  <c r="R67" i="2"/>
  <c r="O67" i="2"/>
  <c r="T66" i="2"/>
  <c r="S66" i="2"/>
  <c r="R66" i="2"/>
  <c r="O66" i="2"/>
  <c r="S65" i="2"/>
  <c r="T65" i="2" s="1"/>
  <c r="R65" i="2"/>
  <c r="O65" i="2"/>
  <c r="R64" i="2"/>
  <c r="S64" i="2" s="1"/>
  <c r="T64" i="2" s="1"/>
  <c r="O64" i="2"/>
  <c r="S63" i="2"/>
  <c r="T63" i="2" s="1"/>
  <c r="R63" i="2"/>
  <c r="O63" i="2"/>
  <c r="T62" i="2"/>
  <c r="S62" i="2"/>
  <c r="R62" i="2"/>
  <c r="O62" i="2"/>
  <c r="S61" i="2"/>
  <c r="T61" i="2" s="1"/>
  <c r="R61" i="2"/>
  <c r="O61" i="2"/>
  <c r="R60" i="2"/>
  <c r="S60" i="2" s="1"/>
  <c r="T60" i="2" s="1"/>
  <c r="O60" i="2"/>
  <c r="T59" i="2"/>
  <c r="S59" i="2"/>
  <c r="R59" i="2"/>
  <c r="O59" i="2"/>
  <c r="T58" i="2"/>
  <c r="S58" i="2"/>
  <c r="R58" i="2"/>
  <c r="O58" i="2"/>
  <c r="T57" i="2"/>
  <c r="S57" i="2"/>
  <c r="R57" i="2"/>
  <c r="O57" i="2"/>
  <c r="T56" i="2"/>
  <c r="S56" i="2"/>
  <c r="R56" i="2"/>
  <c r="O56" i="2"/>
  <c r="T55" i="2"/>
  <c r="S55" i="2"/>
  <c r="R55" i="2"/>
  <c r="O55" i="2"/>
  <c r="R54" i="2"/>
  <c r="S54" i="2" s="1"/>
  <c r="T54" i="2" s="1"/>
  <c r="O54" i="2"/>
  <c r="R53" i="2"/>
  <c r="S53" i="2" s="1"/>
  <c r="T53" i="2" s="1"/>
  <c r="O53" i="2"/>
  <c r="R52" i="2"/>
  <c r="S52" i="2" s="1"/>
  <c r="T52" i="2" s="1"/>
  <c r="O52" i="2"/>
  <c r="R51" i="2"/>
  <c r="S51" i="2" s="1"/>
  <c r="T51" i="2" s="1"/>
  <c r="O51" i="2"/>
  <c r="R50" i="2"/>
  <c r="S50" i="2" s="1"/>
  <c r="T50" i="2" s="1"/>
  <c r="O50" i="2"/>
  <c r="R49" i="2"/>
  <c r="S49" i="2" s="1"/>
  <c r="T49" i="2" s="1"/>
  <c r="U49" i="2" s="1"/>
  <c r="O49" i="2"/>
  <c r="P49" i="2" s="1"/>
  <c r="S48" i="2"/>
  <c r="T48" i="2" s="1"/>
  <c r="R48" i="2"/>
  <c r="O48" i="2"/>
  <c r="R47" i="2"/>
  <c r="S47" i="2" s="1"/>
  <c r="T47" i="2" s="1"/>
  <c r="O47" i="2"/>
  <c r="T46" i="2"/>
  <c r="S46" i="2"/>
  <c r="O46" i="2"/>
  <c r="S45" i="2"/>
  <c r="T45" i="2" s="1"/>
  <c r="O45" i="2"/>
  <c r="T44" i="2"/>
  <c r="S44" i="2"/>
  <c r="O44" i="2"/>
  <c r="S43" i="2"/>
  <c r="T43" i="2" s="1"/>
  <c r="O43" i="2"/>
  <c r="L43" i="2"/>
  <c r="T42" i="2"/>
  <c r="S42" i="2"/>
  <c r="O42" i="2"/>
  <c r="T41" i="2"/>
  <c r="S41" i="2"/>
  <c r="O41" i="2"/>
  <c r="L41" i="2"/>
  <c r="T40" i="2"/>
  <c r="S40" i="2"/>
  <c r="O40" i="2"/>
  <c r="AB39" i="2"/>
  <c r="T39" i="2"/>
  <c r="U39" i="2" s="1"/>
  <c r="S39" i="2"/>
  <c r="P39" i="2"/>
  <c r="P40" i="2" s="1"/>
  <c r="P41" i="2" s="1"/>
  <c r="O39" i="2"/>
  <c r="L39" i="2"/>
  <c r="S38" i="2"/>
  <c r="T38" i="2" s="1"/>
  <c r="O38" i="2"/>
  <c r="T37" i="2"/>
  <c r="S37" i="2"/>
  <c r="O37" i="2"/>
  <c r="Y36" i="2"/>
  <c r="Y37" i="2" s="1"/>
  <c r="Y38" i="2" s="1"/>
  <c r="Y39" i="2" s="1"/>
  <c r="Y40" i="2" s="1"/>
  <c r="Y41" i="2" s="1"/>
  <c r="Y42" i="2" s="1"/>
  <c r="Y43" i="2" s="1"/>
  <c r="Y44" i="2" s="1"/>
  <c r="Y45" i="2" s="1"/>
  <c r="Y46" i="2" s="1"/>
  <c r="Y47" i="2" s="1"/>
  <c r="Y48" i="2" s="1"/>
  <c r="Y49" i="2" s="1"/>
  <c r="Y50" i="2" s="1"/>
  <c r="Y51" i="2" s="1"/>
  <c r="Y52" i="2" s="1"/>
  <c r="Y53" i="2" s="1"/>
  <c r="Y54" i="2" s="1"/>
  <c r="Y55" i="2" s="1"/>
  <c r="Y56" i="2" s="1"/>
  <c r="Y57" i="2" s="1"/>
  <c r="Y58" i="2" s="1"/>
  <c r="Y59" i="2" s="1"/>
  <c r="Y60" i="2" s="1"/>
  <c r="Y61" i="2" s="1"/>
  <c r="Y62" i="2" s="1"/>
  <c r="Y63" i="2" s="1"/>
  <c r="Y64" i="2" s="1"/>
  <c r="Y65" i="2" s="1"/>
  <c r="Y66" i="2" s="1"/>
  <c r="Y67" i="2" s="1"/>
  <c r="Y68" i="2" s="1"/>
  <c r="Y69" i="2" s="1"/>
  <c r="Y70" i="2" s="1"/>
  <c r="Y71" i="2" s="1"/>
  <c r="Y72" i="2" s="1"/>
  <c r="Y73" i="2" s="1"/>
  <c r="Y74" i="2" s="1"/>
  <c r="Y75" i="2" s="1"/>
  <c r="Y76" i="2" s="1"/>
  <c r="Y77" i="2" s="1"/>
  <c r="Y78" i="2" s="1"/>
  <c r="Y79" i="2" s="1"/>
  <c r="Y80" i="2" s="1"/>
  <c r="Y81" i="2" s="1"/>
  <c r="Y82" i="2" s="1"/>
  <c r="Y83" i="2" s="1"/>
  <c r="Y84" i="2" s="1"/>
  <c r="Y85" i="2" s="1"/>
  <c r="Y86" i="2" s="1"/>
  <c r="Y87" i="2" s="1"/>
  <c r="Y88" i="2" s="1"/>
  <c r="Y89" i="2" s="1"/>
  <c r="Y90" i="2" s="1"/>
  <c r="Y91" i="2" s="1"/>
  <c r="Y92" i="2" s="1"/>
  <c r="Y93" i="2" s="1"/>
  <c r="Y94" i="2" s="1"/>
  <c r="Y95" i="2" s="1"/>
  <c r="Y96" i="2" s="1"/>
  <c r="Y97" i="2" s="1"/>
  <c r="Y98" i="2" s="1"/>
  <c r="Y99" i="2" s="1"/>
  <c r="Y100" i="2" s="1"/>
  <c r="Y101" i="2" s="1"/>
  <c r="Y102" i="2" s="1"/>
  <c r="Y103" i="2" s="1"/>
  <c r="Y104" i="2" s="1"/>
  <c r="Y105" i="2" s="1"/>
  <c r="Y106" i="2" s="1"/>
  <c r="Y107" i="2" s="1"/>
  <c r="Y108" i="2" s="1"/>
  <c r="Y109" i="2" s="1"/>
  <c r="Y110" i="2" s="1"/>
  <c r="Y111" i="2" s="1"/>
  <c r="Y112" i="2" s="1"/>
  <c r="Y113" i="2" s="1"/>
  <c r="Y114" i="2" s="1"/>
  <c r="Y115" i="2" s="1"/>
  <c r="Y116" i="2" s="1"/>
  <c r="Y117" i="2" s="1"/>
  <c r="Y118" i="2" s="1"/>
  <c r="Y119" i="2" s="1"/>
  <c r="Y120" i="2" s="1"/>
  <c r="Y121" i="2" s="1"/>
  <c r="Y122" i="2" s="1"/>
  <c r="Y123" i="2" s="1"/>
  <c r="Y124" i="2" s="1"/>
  <c r="Y125" i="2" s="1"/>
  <c r="Y126" i="2" s="1"/>
  <c r="Y127" i="2" s="1"/>
  <c r="Y128" i="2" s="1"/>
  <c r="Y129" i="2" s="1"/>
  <c r="Y130" i="2" s="1"/>
  <c r="Y131" i="2" s="1"/>
  <c r="Y132" i="2" s="1"/>
  <c r="Y133" i="2" s="1"/>
  <c r="Y134" i="2" s="1"/>
  <c r="Y135" i="2" s="1"/>
  <c r="Y136" i="2" s="1"/>
  <c r="Y137" i="2" s="1"/>
  <c r="Y138" i="2" s="1"/>
  <c r="Y139" i="2" s="1"/>
  <c r="Y140" i="2" s="1"/>
  <c r="Y141" i="2" s="1"/>
  <c r="Y142" i="2" s="1"/>
  <c r="Y143" i="2" s="1"/>
  <c r="Y144" i="2" s="1"/>
  <c r="Y145" i="2" s="1"/>
  <c r="Y146" i="2" s="1"/>
  <c r="Y147" i="2" s="1"/>
  <c r="Y148" i="2" s="1"/>
  <c r="Y149" i="2" s="1"/>
  <c r="Y150" i="2" s="1"/>
  <c r="Y151" i="2" s="1"/>
  <c r="Y152" i="2" s="1"/>
  <c r="Y153" i="2" s="1"/>
  <c r="Y154" i="2" s="1"/>
  <c r="Y155" i="2" s="1"/>
  <c r="Y156" i="2" s="1"/>
  <c r="Y157" i="2" s="1"/>
  <c r="Y158" i="2" s="1"/>
  <c r="Y159" i="2" s="1"/>
  <c r="Y160" i="2" s="1"/>
  <c r="Y161" i="2" s="1"/>
  <c r="Y162" i="2" s="1"/>
  <c r="Y163" i="2" s="1"/>
  <c r="Y164" i="2" s="1"/>
  <c r="Y165" i="2" s="1"/>
  <c r="Y166" i="2" s="1"/>
  <c r="Y167" i="2" s="1"/>
  <c r="Y168" i="2" s="1"/>
  <c r="Y169" i="2" s="1"/>
  <c r="Y170" i="2" s="1"/>
  <c r="Y171" i="2" s="1"/>
  <c r="Y172" i="2" s="1"/>
  <c r="Y173" i="2" s="1"/>
  <c r="Y174" i="2" s="1"/>
  <c r="Y175" i="2" s="1"/>
  <c r="Y176" i="2" s="1"/>
  <c r="Y177" i="2" s="1"/>
  <c r="Y178" i="2" s="1"/>
  <c r="Y179" i="2" s="1"/>
  <c r="Y180" i="2" s="1"/>
  <c r="Y181" i="2" s="1"/>
  <c r="Y182" i="2" s="1"/>
  <c r="Y183" i="2" s="1"/>
  <c r="Y184" i="2" s="1"/>
  <c r="Y185" i="2" s="1"/>
  <c r="Y186" i="2" s="1"/>
  <c r="Y187" i="2" s="1"/>
  <c r="Y188" i="2" s="1"/>
  <c r="Y189" i="2" s="1"/>
  <c r="Y190" i="2" s="1"/>
  <c r="Y191" i="2" s="1"/>
  <c r="Y192" i="2" s="1"/>
  <c r="Y193" i="2" s="1"/>
  <c r="Y194" i="2" s="1"/>
  <c r="Y195" i="2" s="1"/>
  <c r="Y196" i="2" s="1"/>
  <c r="Y197" i="2" s="1"/>
  <c r="Y198" i="2" s="1"/>
  <c r="Y199" i="2" s="1"/>
  <c r="Y200" i="2" s="1"/>
  <c r="Y201" i="2" s="1"/>
  <c r="Y202" i="2" s="1"/>
  <c r="Y203" i="2" s="1"/>
  <c r="Y204" i="2" s="1"/>
  <c r="Y205" i="2" s="1"/>
  <c r="Y206" i="2" s="1"/>
  <c r="Y207" i="2" s="1"/>
  <c r="Y208" i="2" s="1"/>
  <c r="Y209" i="2" s="1"/>
  <c r="Y210" i="2" s="1"/>
  <c r="Y211" i="2" s="1"/>
  <c r="Y212" i="2" s="1"/>
  <c r="Y213" i="2" s="1"/>
  <c r="Y214" i="2" s="1"/>
  <c r="Y215" i="2" s="1"/>
  <c r="Y216" i="2" s="1"/>
  <c r="Y217" i="2" s="1"/>
  <c r="Y218" i="2" s="1"/>
  <c r="Y219" i="2" s="1"/>
  <c r="Y220" i="2" s="1"/>
  <c r="Y221" i="2" s="1"/>
  <c r="Y222" i="2" s="1"/>
  <c r="Y223" i="2" s="1"/>
  <c r="Y224" i="2" s="1"/>
  <c r="Y225" i="2" s="1"/>
  <c r="Y226" i="2" s="1"/>
  <c r="Y227" i="2" s="1"/>
  <c r="Y228" i="2" s="1"/>
  <c r="Y229" i="2" s="1"/>
  <c r="Y230" i="2" s="1"/>
  <c r="Y231" i="2" s="1"/>
  <c r="Y232" i="2" s="1"/>
  <c r="Y233" i="2" s="1"/>
  <c r="Y234" i="2" s="1"/>
  <c r="Y235" i="2" s="1"/>
  <c r="Y236" i="2" s="1"/>
  <c r="Y237" i="2" s="1"/>
  <c r="Y238" i="2" s="1"/>
  <c r="Y239" i="2" s="1"/>
  <c r="Y240" i="2" s="1"/>
  <c r="Y241" i="2" s="1"/>
  <c r="Y242" i="2" s="1"/>
  <c r="Y243" i="2" s="1"/>
  <c r="Y244" i="2" s="1"/>
  <c r="Y245" i="2" s="1"/>
  <c r="Y246" i="2" s="1"/>
  <c r="Y247" i="2" s="1"/>
  <c r="Y248" i="2" s="1"/>
  <c r="Y249" i="2" s="1"/>
  <c r="Y250" i="2" s="1"/>
  <c r="Y251" i="2" s="1"/>
  <c r="Y252" i="2" s="1"/>
  <c r="Y253" i="2" s="1"/>
  <c r="Y254" i="2" s="1"/>
  <c r="Y255" i="2" s="1"/>
  <c r="Y256" i="2" s="1"/>
  <c r="Y257" i="2" s="1"/>
  <c r="Y258" i="2" s="1"/>
  <c r="Y259" i="2" s="1"/>
  <c r="Y260" i="2" s="1"/>
  <c r="Y261" i="2" s="1"/>
  <c r="Y262" i="2" s="1"/>
  <c r="Y263" i="2" s="1"/>
  <c r="Y264" i="2" s="1"/>
  <c r="Y265" i="2" s="1"/>
  <c r="Y266" i="2" s="1"/>
  <c r="Y267" i="2" s="1"/>
  <c r="Y268" i="2" s="1"/>
  <c r="Y269" i="2" s="1"/>
  <c r="Y270" i="2" s="1"/>
  <c r="Y271" i="2" s="1"/>
  <c r="Y272" i="2" s="1"/>
  <c r="Y273" i="2" s="1"/>
  <c r="Y274" i="2" s="1"/>
  <c r="Y275" i="2" s="1"/>
  <c r="Y276" i="2" s="1"/>
  <c r="Y277" i="2" s="1"/>
  <c r="Y278" i="2" s="1"/>
  <c r="Y279" i="2" s="1"/>
  <c r="Y280" i="2" s="1"/>
  <c r="Y281" i="2" s="1"/>
  <c r="Y282" i="2" s="1"/>
  <c r="Y283" i="2" s="1"/>
  <c r="Y284" i="2" s="1"/>
  <c r="Y285" i="2" s="1"/>
  <c r="Y286" i="2" s="1"/>
  <c r="Y287" i="2" s="1"/>
  <c r="Y288" i="2" s="1"/>
  <c r="Y289" i="2" s="1"/>
  <c r="Y290" i="2" s="1"/>
  <c r="Y291" i="2" s="1"/>
  <c r="Y292" i="2" s="1"/>
  <c r="Y293" i="2" s="1"/>
  <c r="Y294" i="2" s="1"/>
  <c r="Y295" i="2" s="1"/>
  <c r="Y296" i="2" s="1"/>
  <c r="Y297" i="2" s="1"/>
  <c r="Y298" i="2" s="1"/>
  <c r="Y299" i="2" s="1"/>
  <c r="Y300" i="2" s="1"/>
  <c r="Y301" i="2" s="1"/>
  <c r="Y302" i="2" s="1"/>
  <c r="Y303" i="2" s="1"/>
  <c r="Y304" i="2" s="1"/>
  <c r="Y305" i="2" s="1"/>
  <c r="Y306" i="2" s="1"/>
  <c r="Y307" i="2" s="1"/>
  <c r="Y308" i="2" s="1"/>
  <c r="Y309" i="2" s="1"/>
  <c r="Y310" i="2" s="1"/>
  <c r="Y311" i="2" s="1"/>
  <c r="Y312" i="2" s="1"/>
  <c r="Y313" i="2" s="1"/>
  <c r="Y314" i="2" s="1"/>
  <c r="Y315" i="2" s="1"/>
  <c r="Y316" i="2" s="1"/>
  <c r="Y317" i="2" s="1"/>
  <c r="Y318" i="2" s="1"/>
  <c r="Y319" i="2" s="1"/>
  <c r="Y320" i="2" s="1"/>
  <c r="Y321" i="2" s="1"/>
  <c r="Y322" i="2" s="1"/>
  <c r="Y323" i="2" s="1"/>
  <c r="Y324" i="2" s="1"/>
  <c r="Y325" i="2" s="1"/>
  <c r="Y326" i="2" s="1"/>
  <c r="Y327" i="2" s="1"/>
  <c r="Y328" i="2" s="1"/>
  <c r="Y329" i="2" s="1"/>
  <c r="Y330" i="2" s="1"/>
  <c r="Y331" i="2" s="1"/>
  <c r="Y332" i="2" s="1"/>
  <c r="Y333" i="2" s="1"/>
  <c r="Y334" i="2" s="1"/>
  <c r="Y335" i="2" s="1"/>
  <c r="Y336" i="2" s="1"/>
  <c r="Y337" i="2" s="1"/>
  <c r="Y338" i="2" s="1"/>
  <c r="Y339" i="2" s="1"/>
  <c r="Y340" i="2" s="1"/>
  <c r="Y341" i="2" s="1"/>
  <c r="Y342" i="2" s="1"/>
  <c r="Y343" i="2" s="1"/>
  <c r="Y344" i="2" s="1"/>
  <c r="Y345" i="2" s="1"/>
  <c r="Y346" i="2" s="1"/>
  <c r="T36" i="2"/>
  <c r="S36" i="2"/>
  <c r="O36" i="2"/>
  <c r="J36" i="2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P20" i="2" s="1"/>
  <c r="P21" i="2" s="1"/>
  <c r="P22" i="2" s="1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P7" i="2" s="1"/>
  <c r="O6" i="2"/>
  <c r="O5" i="2"/>
  <c r="O4" i="2"/>
  <c r="O3" i="2"/>
  <c r="Z313" i="2" l="1"/>
  <c r="Z314" i="2" s="1"/>
  <c r="Z315" i="2" s="1"/>
  <c r="Z316" i="2" s="1"/>
  <c r="Z317" i="2" s="1"/>
  <c r="Z318" i="2" s="1"/>
  <c r="Z319" i="2" s="1"/>
  <c r="Z320" i="2" s="1"/>
  <c r="Z321" i="2" s="1"/>
  <c r="Z322" i="2" s="1"/>
  <c r="Z323" i="2" s="1"/>
  <c r="Z324" i="2" s="1"/>
  <c r="Z325" i="2" s="1"/>
  <c r="Z326" i="2" s="1"/>
  <c r="Z327" i="2" s="1"/>
  <c r="Z328" i="2" s="1"/>
  <c r="Z329" i="2" s="1"/>
  <c r="Z330" i="2" s="1"/>
  <c r="Z331" i="2" s="1"/>
  <c r="Z332" i="2" s="1"/>
  <c r="Z333" i="2" s="1"/>
  <c r="Z334" i="2" s="1"/>
  <c r="Z335" i="2" s="1"/>
  <c r="Z336" i="2" s="1"/>
  <c r="Z337" i="2" s="1"/>
  <c r="Z338" i="2" s="1"/>
  <c r="Z339" i="2" s="1"/>
  <c r="Z340" i="2" s="1"/>
  <c r="Z341" i="2" s="1"/>
  <c r="Z342" i="2" s="1"/>
  <c r="Z343" i="2" s="1"/>
  <c r="Z344" i="2" s="1"/>
  <c r="Z345" i="2" s="1"/>
  <c r="Z346" i="2" s="1"/>
  <c r="K269" i="2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Z270" i="1"/>
  <c r="Z271" i="1" s="1"/>
  <c r="Z272" i="1" s="1"/>
  <c r="Z273" i="1" s="1"/>
  <c r="Z274" i="1" s="1"/>
  <c r="Z275" i="1" s="1"/>
  <c r="Z276" i="1" s="1"/>
  <c r="Z277" i="1" s="1"/>
  <c r="Z278" i="1" s="1"/>
  <c r="Z279" i="1" s="1"/>
  <c r="Z280" i="1" s="1"/>
  <c r="Z281" i="1" s="1"/>
  <c r="Z282" i="1" s="1"/>
  <c r="Z283" i="1" s="1"/>
  <c r="Z284" i="1" s="1"/>
  <c r="Z285" i="1" s="1"/>
  <c r="Z286" i="1" s="1"/>
  <c r="Z287" i="1" s="1"/>
  <c r="Z288" i="1" s="1"/>
  <c r="Z289" i="1" s="1"/>
  <c r="Z290" i="1" s="1"/>
  <c r="Z291" i="1" s="1"/>
  <c r="Z292" i="1" s="1"/>
  <c r="Z293" i="1" s="1"/>
  <c r="Z294" i="1" s="1"/>
  <c r="Z295" i="1" s="1"/>
  <c r="Z297" i="1" s="1"/>
  <c r="Z298" i="1" s="1"/>
  <c r="Z299" i="1" s="1"/>
  <c r="Z300" i="1" s="1"/>
  <c r="Z301" i="1" s="1"/>
  <c r="Z302" i="1" s="1"/>
  <c r="Z303" i="1" s="1"/>
  <c r="Z304" i="1" s="1"/>
  <c r="Z305" i="1" s="1"/>
  <c r="Z306" i="1" s="1"/>
  <c r="Z307" i="1" s="1"/>
  <c r="Z308" i="1" s="1"/>
  <c r="Z309" i="1" s="1"/>
  <c r="Z310" i="1" s="1"/>
  <c r="Z311" i="1" s="1"/>
  <c r="Z312" i="1" s="1"/>
  <c r="Z314" i="1" s="1"/>
  <c r="Z315" i="1" s="1"/>
  <c r="Z316" i="1" s="1"/>
  <c r="Z317" i="1" s="1"/>
  <c r="Z318" i="1" s="1"/>
  <c r="Z319" i="1" s="1"/>
  <c r="Z320" i="1" s="1"/>
  <c r="Z321" i="1" s="1"/>
  <c r="Z322" i="1" s="1"/>
  <c r="Z323" i="1" s="1"/>
  <c r="Z324" i="1" s="1"/>
  <c r="Z325" i="1" s="1"/>
  <c r="Z326" i="1" s="1"/>
  <c r="Z327" i="1" s="1"/>
  <c r="Z328" i="1" s="1"/>
  <c r="Z329" i="1" s="1"/>
  <c r="Z330" i="1" s="1"/>
  <c r="Z331" i="1" s="1"/>
  <c r="Z332" i="1" s="1"/>
  <c r="Z333" i="1" s="1"/>
  <c r="Z334" i="1" s="1"/>
  <c r="Z335" i="1" s="1"/>
  <c r="Z336" i="1" s="1"/>
  <c r="Z337" i="1" s="1"/>
  <c r="Z338" i="1" s="1"/>
  <c r="Z339" i="1" s="1"/>
  <c r="Z340" i="1" s="1"/>
  <c r="Z341" i="1" s="1"/>
  <c r="Z342" i="1" s="1"/>
  <c r="Z343" i="1" s="1"/>
  <c r="Z344" i="1" s="1"/>
  <c r="Z345" i="1" s="1"/>
  <c r="Z346" i="1" s="1"/>
  <c r="K270" i="1"/>
  <c r="K271" i="1" s="1"/>
  <c r="K272" i="1" s="1"/>
  <c r="K273" i="1" s="1"/>
  <c r="K274" i="1" s="1"/>
  <c r="K275" i="1" s="1"/>
  <c r="K276" i="1" s="1"/>
  <c r="K277" i="1" s="1"/>
  <c r="K278" i="1" s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K291" i="1" s="1"/>
  <c r="K292" i="1" s="1"/>
  <c r="K293" i="1" s="1"/>
  <c r="K294" i="1" s="1"/>
  <c r="K295" i="1" s="1"/>
  <c r="K297" i="1" s="1"/>
  <c r="K298" i="1" s="1"/>
  <c r="K299" i="1" s="1"/>
  <c r="K300" i="1" s="1"/>
  <c r="K301" i="1" s="1"/>
  <c r="K302" i="1" s="1"/>
  <c r="K303" i="1" s="1"/>
  <c r="K304" i="1" s="1"/>
  <c r="K305" i="1" s="1"/>
  <c r="K306" i="1" s="1"/>
  <c r="K307" i="1" s="1"/>
  <c r="K308" i="1" s="1"/>
  <c r="K309" i="1" s="1"/>
  <c r="K310" i="1" s="1"/>
  <c r="K311" i="1" s="1"/>
  <c r="K312" i="1" s="1"/>
  <c r="K314" i="1" s="1"/>
  <c r="K315" i="1" s="1"/>
  <c r="K316" i="1" s="1"/>
  <c r="K317" i="1" s="1"/>
  <c r="K318" i="1" s="1"/>
  <c r="K319" i="1" s="1"/>
  <c r="K320" i="1" s="1"/>
  <c r="K321" i="1" s="1"/>
  <c r="K322" i="1" s="1"/>
  <c r="K323" i="1" s="1"/>
  <c r="K324" i="1" s="1"/>
  <c r="K325" i="1" s="1"/>
  <c r="K326" i="1" s="1"/>
  <c r="K327" i="1" s="1"/>
  <c r="K328" i="1" s="1"/>
  <c r="K329" i="1" s="1"/>
  <c r="K330" i="1" s="1"/>
  <c r="K331" i="1" s="1"/>
  <c r="K332" i="1" s="1"/>
  <c r="K333" i="1" s="1"/>
  <c r="K334" i="1" s="1"/>
  <c r="K335" i="1" s="1"/>
  <c r="K336" i="1" s="1"/>
  <c r="K337" i="1" s="1"/>
  <c r="K338" i="1" s="1"/>
  <c r="K339" i="1" s="1"/>
  <c r="K340" i="1" s="1"/>
  <c r="K341" i="1" s="1"/>
  <c r="K342" i="1" s="1"/>
  <c r="K343" i="1" s="1"/>
  <c r="K344" i="1" s="1"/>
  <c r="K345" i="1" s="1"/>
  <c r="K346" i="1" s="1"/>
  <c r="U50" i="2"/>
  <c r="U51" i="2" s="1"/>
  <c r="U52" i="2" s="1"/>
  <c r="U53" i="2" s="1"/>
  <c r="U54" i="2" s="1"/>
  <c r="U55" i="2" s="1"/>
  <c r="U56" i="2" s="1"/>
  <c r="U57" i="2" s="1"/>
  <c r="U58" i="2" s="1"/>
  <c r="U59" i="2" s="1"/>
  <c r="U60" i="2" s="1"/>
  <c r="U61" i="2" s="1"/>
  <c r="U62" i="2" s="1"/>
  <c r="U63" i="2" s="1"/>
  <c r="U64" i="2" s="1"/>
  <c r="U65" i="2" s="1"/>
  <c r="U66" i="2" s="1"/>
  <c r="U67" i="2" s="1"/>
  <c r="U68" i="2" s="1"/>
  <c r="U69" i="2" s="1"/>
  <c r="U70" i="2" s="1"/>
  <c r="U71" i="2" s="1"/>
  <c r="U72" i="2" s="1"/>
  <c r="U73" i="2" s="1"/>
  <c r="U74" i="2" s="1"/>
  <c r="U75" i="2" s="1"/>
  <c r="U76" i="2" s="1"/>
  <c r="U77" i="2" s="1"/>
  <c r="U78" i="2" s="1"/>
  <c r="U79" i="2" s="1"/>
  <c r="U80" i="2" s="1"/>
  <c r="U81" i="2" s="1"/>
  <c r="U82" i="2" s="1"/>
  <c r="U83" i="2" s="1"/>
  <c r="U84" i="2" s="1"/>
  <c r="U85" i="2" s="1"/>
  <c r="U86" i="2" s="1"/>
  <c r="U87" i="2" s="1"/>
  <c r="U88" i="2" s="1"/>
  <c r="U89" i="2" s="1"/>
  <c r="U90" i="2" s="1"/>
  <c r="U91" i="2" s="1"/>
  <c r="U92" i="2" s="1"/>
  <c r="U93" i="2" s="1"/>
  <c r="U94" i="2" s="1"/>
  <c r="U95" i="2" s="1"/>
  <c r="U96" i="2" s="1"/>
  <c r="U97" i="2" s="1"/>
  <c r="U98" i="2" s="1"/>
  <c r="U99" i="2" s="1"/>
  <c r="U100" i="2" s="1"/>
  <c r="U101" i="2" s="1"/>
  <c r="U102" i="2" s="1"/>
  <c r="U103" i="2" s="1"/>
  <c r="U104" i="2" s="1"/>
  <c r="U105" i="2" s="1"/>
  <c r="U106" i="2" s="1"/>
  <c r="U107" i="2" s="1"/>
  <c r="U108" i="2" s="1"/>
  <c r="U109" i="2" s="1"/>
  <c r="U110" i="2" s="1"/>
  <c r="U111" i="2" s="1"/>
  <c r="U112" i="2" s="1"/>
  <c r="U113" i="2" s="1"/>
  <c r="U114" i="2" s="1"/>
  <c r="U115" i="2" s="1"/>
  <c r="U116" i="2" s="1"/>
  <c r="U117" i="2" s="1"/>
  <c r="U118" i="2" s="1"/>
  <c r="U119" i="2" s="1"/>
  <c r="U120" i="2" s="1"/>
  <c r="U121" i="2" s="1"/>
  <c r="U122" i="2" s="1"/>
  <c r="U123" i="2" s="1"/>
  <c r="U124" i="2" s="1"/>
  <c r="P50" i="2"/>
  <c r="P51" i="2" s="1"/>
  <c r="P52" i="2" s="1"/>
  <c r="P53" i="2" s="1"/>
  <c r="P54" i="2" s="1"/>
  <c r="P55" i="2" s="1"/>
  <c r="P56" i="2" s="1"/>
  <c r="P57" i="2" s="1"/>
  <c r="P58" i="2" s="1"/>
  <c r="P59" i="2" s="1"/>
  <c r="P60" i="2" s="1"/>
  <c r="P61" i="2" s="1"/>
  <c r="P62" i="2" s="1"/>
  <c r="P63" i="2" s="1"/>
  <c r="P64" i="2" s="1"/>
  <c r="P65" i="2" s="1"/>
  <c r="P66" i="2" s="1"/>
  <c r="P67" i="2" s="1"/>
  <c r="P68" i="2" s="1"/>
  <c r="P69" i="2" s="1"/>
  <c r="P70" i="2" s="1"/>
  <c r="P71" i="2" s="1"/>
  <c r="P72" i="2" s="1"/>
  <c r="P73" i="2" s="1"/>
  <c r="U40" i="2"/>
  <c r="U41" i="2" s="1"/>
  <c r="U42" i="2" s="1"/>
  <c r="U43" i="2" s="1"/>
  <c r="U44" i="2" s="1"/>
  <c r="V43" i="2"/>
  <c r="P80" i="2"/>
  <c r="P81" i="2" s="1"/>
  <c r="P82" i="2" s="1"/>
  <c r="P83" i="2" s="1"/>
  <c r="P84" i="2" s="1"/>
  <c r="P85" i="2" s="1"/>
  <c r="P86" i="2" s="1"/>
  <c r="P87" i="2" s="1"/>
  <c r="P88" i="2" s="1"/>
  <c r="P89" i="2" s="1"/>
  <c r="P90" i="2" s="1"/>
  <c r="P91" i="2" s="1"/>
  <c r="P92" i="2" s="1"/>
  <c r="P93" i="2" s="1"/>
  <c r="P94" i="2" s="1"/>
  <c r="P95" i="2" s="1"/>
  <c r="P96" i="2" s="1"/>
  <c r="P97" i="2" s="1"/>
  <c r="P98" i="2" s="1"/>
  <c r="P99" i="2" s="1"/>
  <c r="P100" i="2" s="1"/>
  <c r="P101" i="2" s="1"/>
  <c r="P102" i="2" s="1"/>
  <c r="P103" i="2" s="1"/>
  <c r="P104" i="2" s="1"/>
  <c r="P105" i="2" s="1"/>
  <c r="P106" i="2" s="1"/>
  <c r="P107" i="2" s="1"/>
  <c r="P108" i="2" s="1"/>
  <c r="P109" i="2" s="1"/>
  <c r="P110" i="2" s="1"/>
  <c r="P111" i="2" s="1"/>
  <c r="P112" i="2" s="1"/>
  <c r="P113" i="2" s="1"/>
  <c r="P114" i="2" s="1"/>
  <c r="P115" i="2" s="1"/>
  <c r="P116" i="2" s="1"/>
  <c r="P117" i="2" s="1"/>
  <c r="P118" i="2" s="1"/>
  <c r="P119" i="2" s="1"/>
  <c r="P120" i="2" s="1"/>
  <c r="P121" i="2" s="1"/>
  <c r="P122" i="2" s="1"/>
  <c r="P123" i="2" s="1"/>
  <c r="P124" i="2" s="1"/>
  <c r="P125" i="2" s="1"/>
  <c r="P126" i="2" s="1"/>
  <c r="P127" i="2" s="1"/>
  <c r="P128" i="2" s="1"/>
  <c r="P129" i="2" s="1"/>
  <c r="P130" i="2" s="1"/>
  <c r="P131" i="2" s="1"/>
  <c r="P132" i="2" s="1"/>
  <c r="P133" i="2" s="1"/>
  <c r="P134" i="2" s="1"/>
  <c r="P135" i="2" s="1"/>
  <c r="P136" i="2" s="1"/>
  <c r="P137" i="2" s="1"/>
  <c r="P138" i="2" s="1"/>
  <c r="P139" i="2" s="1"/>
  <c r="P140" i="2" s="1"/>
  <c r="P141" i="2" s="1"/>
  <c r="P142" i="2" s="1"/>
  <c r="P143" i="2" s="1"/>
  <c r="P144" i="2" s="1"/>
  <c r="P145" i="2" s="1"/>
  <c r="P146" i="2" s="1"/>
  <c r="P147" i="2" s="1"/>
  <c r="P148" i="2" s="1"/>
  <c r="P149" i="2" s="1"/>
  <c r="P150" i="2" s="1"/>
  <c r="P151" i="2" s="1"/>
  <c r="P152" i="2" s="1"/>
  <c r="P153" i="2" s="1"/>
  <c r="P154" i="2" s="1"/>
  <c r="P155" i="2" s="1"/>
  <c r="P156" i="2" s="1"/>
  <c r="P157" i="2" s="1"/>
  <c r="P158" i="2" s="1"/>
  <c r="P159" i="2" s="1"/>
  <c r="P160" i="2" s="1"/>
  <c r="P161" i="2" s="1"/>
  <c r="P162" i="2" s="1"/>
  <c r="P163" i="2" s="1"/>
  <c r="P164" i="2" s="1"/>
  <c r="P165" i="2" s="1"/>
  <c r="P166" i="2" s="1"/>
  <c r="P167" i="2" s="1"/>
  <c r="P168" i="2" s="1"/>
  <c r="P169" i="2" s="1"/>
  <c r="P170" i="2" s="1"/>
  <c r="P171" i="2" s="1"/>
  <c r="P172" i="2" s="1"/>
  <c r="P173" i="2" s="1"/>
  <c r="P174" i="2" s="1"/>
  <c r="P175" i="2" s="1"/>
  <c r="P176" i="2" s="1"/>
  <c r="P177" i="2" s="1"/>
  <c r="P178" i="2" s="1"/>
  <c r="P179" i="2" s="1"/>
  <c r="P180" i="2" s="1"/>
  <c r="P181" i="2" s="1"/>
  <c r="P182" i="2" s="1"/>
  <c r="P183" i="2" s="1"/>
  <c r="P184" i="2" s="1"/>
  <c r="P185" i="2" s="1"/>
  <c r="P186" i="2" s="1"/>
  <c r="P187" i="2" s="1"/>
  <c r="P188" i="2" s="1"/>
  <c r="P189" i="2" s="1"/>
  <c r="P190" i="2" s="1"/>
  <c r="P191" i="2" s="1"/>
  <c r="P192" i="2" s="1"/>
  <c r="P193" i="2" s="1"/>
  <c r="P194" i="2" s="1"/>
  <c r="P195" i="2" s="1"/>
  <c r="P196" i="2" s="1"/>
  <c r="P197" i="2" s="1"/>
  <c r="P198" i="2" s="1"/>
  <c r="P199" i="2" s="1"/>
  <c r="P200" i="2" s="1"/>
  <c r="P201" i="2" s="1"/>
  <c r="P202" i="2" s="1"/>
  <c r="P203" i="2" s="1"/>
  <c r="P204" i="2" s="1"/>
  <c r="P205" i="2" s="1"/>
  <c r="P206" i="2" s="1"/>
  <c r="P207" i="2" s="1"/>
  <c r="P208" i="2" s="1"/>
  <c r="P209" i="2" s="1"/>
  <c r="P210" i="2" s="1"/>
  <c r="P211" i="2" s="1"/>
  <c r="P212" i="2" s="1"/>
  <c r="P213" i="2" s="1"/>
  <c r="P214" i="2" s="1"/>
  <c r="P215" i="2" s="1"/>
  <c r="P216" i="2" s="1"/>
  <c r="P217" i="2" s="1"/>
  <c r="P218" i="2" s="1"/>
  <c r="P219" i="2" s="1"/>
  <c r="P220" i="2" s="1"/>
  <c r="P221" i="2" s="1"/>
  <c r="P222" i="2" s="1"/>
  <c r="P223" i="2" s="1"/>
  <c r="P224" i="2" s="1"/>
  <c r="P225" i="2" s="1"/>
  <c r="P226" i="2" s="1"/>
  <c r="P227" i="2" s="1"/>
  <c r="P228" i="2" s="1"/>
  <c r="P229" i="2" s="1"/>
  <c r="P230" i="2" s="1"/>
  <c r="P231" i="2" s="1"/>
  <c r="P232" i="2" s="1"/>
  <c r="P233" i="2" s="1"/>
  <c r="P234" i="2" s="1"/>
  <c r="P235" i="2" s="1"/>
  <c r="P236" i="2" s="1"/>
  <c r="P237" i="2" s="1"/>
  <c r="P238" i="2" s="1"/>
  <c r="P239" i="2" s="1"/>
  <c r="P240" i="2" s="1"/>
  <c r="P241" i="2" s="1"/>
  <c r="P242" i="2" s="1"/>
  <c r="P243" i="2" s="1"/>
  <c r="P244" i="2" s="1"/>
  <c r="P245" i="2" s="1"/>
  <c r="P246" i="2" s="1"/>
  <c r="P247" i="2" s="1"/>
  <c r="P248" i="2" s="1"/>
  <c r="P249" i="2" s="1"/>
  <c r="P250" i="2" s="1"/>
  <c r="P251" i="2" s="1"/>
  <c r="P252" i="2" s="1"/>
  <c r="P253" i="2" s="1"/>
  <c r="P254" i="2" s="1"/>
  <c r="P255" i="2" s="1"/>
  <c r="P256" i="2" s="1"/>
  <c r="P257" i="2" s="1"/>
  <c r="P258" i="2" s="1"/>
  <c r="P259" i="2" s="1"/>
  <c r="P260" i="2" s="1"/>
  <c r="P261" i="2" s="1"/>
  <c r="P262" i="2" s="1"/>
  <c r="P263" i="2" s="1"/>
  <c r="P264" i="2" s="1"/>
  <c r="P265" i="2" s="1"/>
  <c r="P266" i="2" s="1"/>
  <c r="P267" i="2" s="1"/>
  <c r="P268" i="2" s="1"/>
  <c r="P269" i="2" s="1"/>
  <c r="P270" i="2" s="1"/>
  <c r="P271" i="2" s="1"/>
  <c r="P272" i="2" s="1"/>
  <c r="P273" i="2" s="1"/>
  <c r="P274" i="2" s="1"/>
  <c r="P275" i="2" s="1"/>
  <c r="P276" i="2" s="1"/>
  <c r="P277" i="2" s="1"/>
  <c r="P278" i="2" s="1"/>
  <c r="P279" i="2" s="1"/>
  <c r="P280" i="2" s="1"/>
  <c r="P281" i="2" s="1"/>
  <c r="P282" i="2" s="1"/>
  <c r="P283" i="2" s="1"/>
  <c r="P284" i="2" s="1"/>
  <c r="P285" i="2" s="1"/>
  <c r="P286" i="2" s="1"/>
  <c r="P287" i="2" s="1"/>
  <c r="P288" i="2" s="1"/>
  <c r="P289" i="2" s="1"/>
  <c r="P290" i="2" s="1"/>
  <c r="P291" i="2" s="1"/>
  <c r="P292" i="2" s="1"/>
  <c r="P293" i="2" s="1"/>
  <c r="P294" i="2" s="1"/>
  <c r="P295" i="2" s="1"/>
  <c r="P296" i="2" s="1"/>
  <c r="P297" i="2" s="1"/>
  <c r="P298" i="2" s="1"/>
  <c r="P299" i="2" s="1"/>
  <c r="P300" i="2" s="1"/>
  <c r="P301" i="2" s="1"/>
  <c r="P302" i="2" s="1"/>
  <c r="P303" i="2" s="1"/>
  <c r="P304" i="2" s="1"/>
  <c r="P305" i="2" s="1"/>
  <c r="P306" i="2" s="1"/>
  <c r="P307" i="2" s="1"/>
  <c r="P308" i="2" s="1"/>
  <c r="P309" i="2" s="1"/>
  <c r="P310" i="2" s="1"/>
  <c r="P311" i="2" s="1"/>
  <c r="P312" i="2" s="1"/>
  <c r="P313" i="2" s="1"/>
  <c r="P314" i="2" s="1"/>
  <c r="P315" i="2" s="1"/>
  <c r="P316" i="2" s="1"/>
  <c r="P317" i="2" s="1"/>
  <c r="P318" i="2" s="1"/>
  <c r="P319" i="2" s="1"/>
  <c r="P320" i="2" s="1"/>
  <c r="P321" i="2" s="1"/>
  <c r="P322" i="2" s="1"/>
  <c r="P323" i="2" s="1"/>
  <c r="P324" i="2" s="1"/>
  <c r="P325" i="2" s="1"/>
  <c r="P326" i="2" s="1"/>
  <c r="P327" i="2" s="1"/>
  <c r="P328" i="2" s="1"/>
  <c r="P329" i="2" s="1"/>
  <c r="P330" i="2" s="1"/>
  <c r="P331" i="2" s="1"/>
  <c r="P332" i="2" s="1"/>
  <c r="P338" i="2"/>
  <c r="P339" i="2" s="1"/>
  <c r="P340" i="2" s="1"/>
  <c r="P341" i="2" s="1"/>
  <c r="P342" i="2" s="1"/>
  <c r="V45" i="2" l="1"/>
  <c r="U125" i="2"/>
  <c r="U126" i="2" s="1"/>
  <c r="U127" i="2" s="1"/>
  <c r="U128" i="2" s="1"/>
  <c r="U129" i="2" s="1"/>
  <c r="U130" i="2" s="1"/>
  <c r="U131" i="2" s="1"/>
  <c r="U132" i="2" s="1"/>
  <c r="U133" i="2" s="1"/>
  <c r="U134" i="2" s="1"/>
  <c r="U135" i="2" s="1"/>
  <c r="U136" i="2" s="1"/>
  <c r="U137" i="2" s="1"/>
  <c r="U138" i="2" s="1"/>
  <c r="U139" i="2" s="1"/>
  <c r="U140" i="2" s="1"/>
  <c r="U141" i="2" s="1"/>
  <c r="U142" i="2" s="1"/>
  <c r="U143" i="2" s="1"/>
  <c r="U144" i="2" s="1"/>
  <c r="U145" i="2" s="1"/>
  <c r="U146" i="2" s="1"/>
  <c r="U147" i="2" s="1"/>
  <c r="U148" i="2" s="1"/>
  <c r="U149" i="2" s="1"/>
  <c r="U150" i="2" s="1"/>
  <c r="U151" i="2" s="1"/>
  <c r="U152" i="2" s="1"/>
  <c r="U153" i="2" s="1"/>
  <c r="U154" i="2" s="1"/>
  <c r="U155" i="2" s="1"/>
  <c r="U156" i="2" s="1"/>
  <c r="U157" i="2" s="1"/>
  <c r="U158" i="2" s="1"/>
  <c r="U159" i="2" s="1"/>
  <c r="U160" i="2" s="1"/>
  <c r="U161" i="2" s="1"/>
  <c r="U162" i="2" s="1"/>
  <c r="U163" i="2" s="1"/>
  <c r="U164" i="2" s="1"/>
  <c r="U165" i="2" s="1"/>
  <c r="U166" i="2" s="1"/>
  <c r="U167" i="2" s="1"/>
  <c r="U168" i="2" s="1"/>
  <c r="U169" i="2" s="1"/>
  <c r="U170" i="2" s="1"/>
  <c r="U171" i="2" s="1"/>
  <c r="U172" i="2" s="1"/>
  <c r="U173" i="2" s="1"/>
  <c r="U174" i="2" s="1"/>
  <c r="U175" i="2" s="1"/>
  <c r="U176" i="2" s="1"/>
  <c r="U177" i="2" s="1"/>
  <c r="U178" i="2" s="1"/>
  <c r="U179" i="2" s="1"/>
  <c r="U180" i="2" s="1"/>
  <c r="U181" i="2" s="1"/>
  <c r="U182" i="2" s="1"/>
  <c r="U183" i="2" s="1"/>
  <c r="U184" i="2" s="1"/>
  <c r="U185" i="2" s="1"/>
  <c r="V133" i="1"/>
  <c r="V131" i="1"/>
  <c r="V129" i="1"/>
  <c r="V45" i="1"/>
  <c r="V43" i="1"/>
  <c r="U40" i="1"/>
  <c r="U41" i="1" s="1"/>
  <c r="U42" i="1" s="1"/>
  <c r="U43" i="1" s="1"/>
  <c r="U44" i="1" s="1"/>
  <c r="U49" i="1" s="1"/>
  <c r="U50" i="1" s="1"/>
  <c r="U51" i="1" s="1"/>
  <c r="U52" i="1" s="1"/>
  <c r="U53" i="1" s="1"/>
  <c r="U54" i="1" s="1"/>
  <c r="U55" i="1" s="1"/>
  <c r="U56" i="1" s="1"/>
  <c r="U57" i="1" s="1"/>
  <c r="U58" i="1" s="1"/>
  <c r="U59" i="1" s="1"/>
  <c r="U60" i="1" s="1"/>
  <c r="U61" i="1" s="1"/>
  <c r="U62" i="1" s="1"/>
  <c r="U63" i="1" s="1"/>
  <c r="U64" i="1" s="1"/>
  <c r="U65" i="1" s="1"/>
  <c r="U66" i="1" s="1"/>
  <c r="U67" i="1" s="1"/>
  <c r="U68" i="1" s="1"/>
  <c r="U69" i="1" s="1"/>
  <c r="U70" i="1" s="1"/>
  <c r="U71" i="1" s="1"/>
  <c r="U72" i="1" s="1"/>
  <c r="U73" i="1" s="1"/>
  <c r="U74" i="1" s="1"/>
  <c r="U75" i="1" s="1"/>
  <c r="U76" i="1" s="1"/>
  <c r="U77" i="1" s="1"/>
  <c r="U78" i="1" s="1"/>
  <c r="U79" i="1" s="1"/>
  <c r="U80" i="1" s="1"/>
  <c r="U81" i="1" s="1"/>
  <c r="U82" i="1" s="1"/>
  <c r="U83" i="1" s="1"/>
  <c r="U84" i="1" s="1"/>
  <c r="U85" i="1" s="1"/>
  <c r="U86" i="1" s="1"/>
  <c r="U87" i="1" s="1"/>
  <c r="U88" i="1" s="1"/>
  <c r="U89" i="1" s="1"/>
  <c r="U90" i="1" s="1"/>
  <c r="U91" i="1" s="1"/>
  <c r="U92" i="1" s="1"/>
  <c r="U93" i="1" s="1"/>
  <c r="U94" i="1" s="1"/>
  <c r="U95" i="1" s="1"/>
  <c r="U96" i="1" s="1"/>
  <c r="U97" i="1" s="1"/>
  <c r="U98" i="1" s="1"/>
  <c r="U99" i="1" s="1"/>
  <c r="U100" i="1" s="1"/>
  <c r="U101" i="1" s="1"/>
  <c r="U102" i="1" s="1"/>
  <c r="U103" i="1" s="1"/>
  <c r="U104" i="1" s="1"/>
  <c r="U105" i="1" s="1"/>
  <c r="U106" i="1" s="1"/>
  <c r="U107" i="1" s="1"/>
  <c r="U108" i="1" s="1"/>
  <c r="U109" i="1" s="1"/>
  <c r="U110" i="1" s="1"/>
  <c r="U111" i="1" s="1"/>
  <c r="U112" i="1" s="1"/>
  <c r="U113" i="1" s="1"/>
  <c r="U114" i="1" s="1"/>
  <c r="U115" i="1" s="1"/>
  <c r="U116" i="1" s="1"/>
  <c r="U117" i="1" s="1"/>
  <c r="U118" i="1" s="1"/>
  <c r="U119" i="1" s="1"/>
  <c r="U120" i="1" s="1"/>
  <c r="U121" i="1" s="1"/>
  <c r="U122" i="1" s="1"/>
  <c r="U123" i="1" s="1"/>
  <c r="U124" i="1" s="1"/>
  <c r="U125" i="1" s="1"/>
  <c r="U126" i="1" s="1"/>
  <c r="U127" i="1" s="1"/>
  <c r="U128" i="1" s="1"/>
  <c r="U129" i="1" s="1"/>
  <c r="U130" i="1" s="1"/>
  <c r="U131" i="1" s="1"/>
  <c r="U132" i="1" s="1"/>
  <c r="U133" i="1" s="1"/>
  <c r="U134" i="1" s="1"/>
  <c r="U135" i="1" s="1"/>
  <c r="U136" i="1" s="1"/>
  <c r="U137" i="1" s="1"/>
  <c r="U138" i="1" s="1"/>
  <c r="U139" i="1" s="1"/>
  <c r="U140" i="1" s="1"/>
  <c r="U141" i="1" s="1"/>
  <c r="U142" i="1" s="1"/>
  <c r="U143" i="1" s="1"/>
  <c r="U144" i="1" s="1"/>
  <c r="U145" i="1" s="1"/>
  <c r="U146" i="1" s="1"/>
  <c r="U147" i="1" s="1"/>
  <c r="U148" i="1" s="1"/>
  <c r="U149" i="1" s="1"/>
  <c r="U150" i="1" s="1"/>
  <c r="U151" i="1" s="1"/>
  <c r="U152" i="1" s="1"/>
  <c r="U153" i="1" s="1"/>
  <c r="U154" i="1" s="1"/>
  <c r="U155" i="1" s="1"/>
  <c r="U156" i="1" s="1"/>
  <c r="U157" i="1" s="1"/>
  <c r="U158" i="1" s="1"/>
  <c r="U159" i="1" s="1"/>
  <c r="U160" i="1" s="1"/>
  <c r="U161" i="1" s="1"/>
  <c r="U162" i="1" s="1"/>
  <c r="U163" i="1" s="1"/>
  <c r="U164" i="1" s="1"/>
  <c r="U165" i="1" s="1"/>
  <c r="U166" i="1" s="1"/>
  <c r="U167" i="1" s="1"/>
  <c r="U168" i="1" s="1"/>
  <c r="U169" i="1" s="1"/>
  <c r="U170" i="1" s="1"/>
  <c r="U171" i="1" s="1"/>
  <c r="U172" i="1" s="1"/>
  <c r="U173" i="1" s="1"/>
  <c r="U174" i="1" s="1"/>
  <c r="U175" i="1" s="1"/>
  <c r="U176" i="1" s="1"/>
  <c r="U177" i="1" s="1"/>
  <c r="U178" i="1" s="1"/>
  <c r="U179" i="1" s="1"/>
  <c r="U180" i="1" s="1"/>
  <c r="U181" i="1" s="1"/>
  <c r="U182" i="1" s="1"/>
  <c r="U183" i="1" s="1"/>
  <c r="U184" i="1" s="1"/>
  <c r="U39" i="1"/>
  <c r="V131" i="2" l="1"/>
  <c r="V133" i="2"/>
  <c r="V129" i="2"/>
  <c r="AB316" i="1"/>
  <c r="AB299" i="1"/>
  <c r="AB272" i="1"/>
  <c r="AB251" i="1"/>
  <c r="AB188" i="1"/>
  <c r="Z185" i="1"/>
  <c r="AB127" i="1"/>
  <c r="AB39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296" i="1"/>
  <c r="S296" i="1" s="1"/>
  <c r="T296" i="1" s="1"/>
  <c r="S186" i="1"/>
  <c r="T186" i="1" s="1"/>
  <c r="S190" i="1"/>
  <c r="T190" i="1" s="1"/>
  <c r="S193" i="1"/>
  <c r="T193" i="1" s="1"/>
  <c r="S194" i="1"/>
  <c r="T194" i="1" s="1"/>
  <c r="S198" i="1"/>
  <c r="T198" i="1" s="1"/>
  <c r="S201" i="1"/>
  <c r="T201" i="1" s="1"/>
  <c r="S202" i="1"/>
  <c r="T202" i="1" s="1"/>
  <c r="S206" i="1"/>
  <c r="T206" i="1" s="1"/>
  <c r="S209" i="1"/>
  <c r="T209" i="1" s="1"/>
  <c r="S210" i="1"/>
  <c r="T210" i="1" s="1"/>
  <c r="S214" i="1"/>
  <c r="T214" i="1" s="1"/>
  <c r="S217" i="1"/>
  <c r="T217" i="1" s="1"/>
  <c r="S218" i="1"/>
  <c r="T218" i="1" s="1"/>
  <c r="S222" i="1"/>
  <c r="T222" i="1" s="1"/>
  <c r="S225" i="1"/>
  <c r="T225" i="1" s="1"/>
  <c r="S226" i="1"/>
  <c r="T226" i="1" s="1"/>
  <c r="S230" i="1"/>
  <c r="T230" i="1" s="1"/>
  <c r="S233" i="1"/>
  <c r="T233" i="1" s="1"/>
  <c r="S234" i="1"/>
  <c r="T234" i="1" s="1"/>
  <c r="S238" i="1"/>
  <c r="T238" i="1" s="1"/>
  <c r="S241" i="1"/>
  <c r="T241" i="1" s="1"/>
  <c r="S242" i="1"/>
  <c r="T242" i="1" s="1"/>
  <c r="S246" i="1"/>
  <c r="T246" i="1" s="1"/>
  <c r="S185" i="1"/>
  <c r="T185" i="1" s="1"/>
  <c r="U185" i="1" s="1"/>
  <c r="R48" i="1"/>
  <c r="R49" i="1"/>
  <c r="R50" i="1"/>
  <c r="R51" i="1"/>
  <c r="R52" i="1"/>
  <c r="R53" i="1"/>
  <c r="R54" i="1"/>
  <c r="R55" i="1"/>
  <c r="S55" i="1" s="1"/>
  <c r="T55" i="1" s="1"/>
  <c r="R56" i="1"/>
  <c r="R57" i="1"/>
  <c r="R58" i="1"/>
  <c r="R59" i="1"/>
  <c r="R60" i="1"/>
  <c r="R61" i="1"/>
  <c r="R62" i="1"/>
  <c r="R63" i="1"/>
  <c r="S63" i="1" s="1"/>
  <c r="T63" i="1" s="1"/>
  <c r="R64" i="1"/>
  <c r="R65" i="1"/>
  <c r="R66" i="1"/>
  <c r="R67" i="1"/>
  <c r="R68" i="1"/>
  <c r="R69" i="1"/>
  <c r="R70" i="1"/>
  <c r="R71" i="1"/>
  <c r="S71" i="1" s="1"/>
  <c r="T71" i="1" s="1"/>
  <c r="R72" i="1"/>
  <c r="R73" i="1"/>
  <c r="R74" i="1"/>
  <c r="R75" i="1"/>
  <c r="R76" i="1"/>
  <c r="R77" i="1"/>
  <c r="R78" i="1"/>
  <c r="R79" i="1"/>
  <c r="S79" i="1" s="1"/>
  <c r="T79" i="1" s="1"/>
  <c r="R80" i="1"/>
  <c r="R81" i="1"/>
  <c r="R82" i="1"/>
  <c r="R83" i="1"/>
  <c r="R84" i="1"/>
  <c r="R85" i="1"/>
  <c r="R86" i="1"/>
  <c r="R87" i="1"/>
  <c r="S87" i="1" s="1"/>
  <c r="T87" i="1" s="1"/>
  <c r="R88" i="1"/>
  <c r="R89" i="1"/>
  <c r="R90" i="1"/>
  <c r="R91" i="1"/>
  <c r="R92" i="1"/>
  <c r="R93" i="1"/>
  <c r="R94" i="1"/>
  <c r="R95" i="1"/>
  <c r="S95" i="1" s="1"/>
  <c r="T95" i="1" s="1"/>
  <c r="R96" i="1"/>
  <c r="R97" i="1"/>
  <c r="R98" i="1"/>
  <c r="R99" i="1"/>
  <c r="R100" i="1"/>
  <c r="R101" i="1"/>
  <c r="R102" i="1"/>
  <c r="R103" i="1"/>
  <c r="S103" i="1" s="1"/>
  <c r="T103" i="1" s="1"/>
  <c r="R104" i="1"/>
  <c r="R105" i="1"/>
  <c r="R106" i="1"/>
  <c r="R107" i="1"/>
  <c r="R108" i="1"/>
  <c r="R109" i="1"/>
  <c r="R110" i="1"/>
  <c r="R111" i="1"/>
  <c r="S111" i="1" s="1"/>
  <c r="T111" i="1" s="1"/>
  <c r="R112" i="1"/>
  <c r="R113" i="1"/>
  <c r="R114" i="1"/>
  <c r="R115" i="1"/>
  <c r="R116" i="1"/>
  <c r="R117" i="1"/>
  <c r="R118" i="1"/>
  <c r="R119" i="1"/>
  <c r="S119" i="1" s="1"/>
  <c r="T119" i="1" s="1"/>
  <c r="R120" i="1"/>
  <c r="R121" i="1"/>
  <c r="R122" i="1"/>
  <c r="R123" i="1"/>
  <c r="R47" i="1"/>
  <c r="P40" i="1"/>
  <c r="P41" i="1" s="1"/>
  <c r="P49" i="1" s="1"/>
  <c r="P50" i="1" s="1"/>
  <c r="P51" i="1" s="1"/>
  <c r="P52" i="1" s="1"/>
  <c r="P53" i="1" s="1"/>
  <c r="P54" i="1" s="1"/>
  <c r="P55" i="1" s="1"/>
  <c r="P56" i="1" s="1"/>
  <c r="P57" i="1" s="1"/>
  <c r="P58" i="1" s="1"/>
  <c r="P59" i="1" s="1"/>
  <c r="P60" i="1" s="1"/>
  <c r="P61" i="1" s="1"/>
  <c r="P62" i="1" s="1"/>
  <c r="P63" i="1" s="1"/>
  <c r="P64" i="1" s="1"/>
  <c r="P65" i="1" s="1"/>
  <c r="P66" i="1" s="1"/>
  <c r="P67" i="1" s="1"/>
  <c r="P68" i="1" s="1"/>
  <c r="P69" i="1" s="1"/>
  <c r="P70" i="1" s="1"/>
  <c r="P71" i="1" s="1"/>
  <c r="P72" i="1" s="1"/>
  <c r="P73" i="1" s="1"/>
  <c r="P78" i="1" s="1"/>
  <c r="P79" i="1" s="1"/>
  <c r="P80" i="1" s="1"/>
  <c r="P81" i="1" s="1"/>
  <c r="P82" i="1" s="1"/>
  <c r="P83" i="1" s="1"/>
  <c r="P84" i="1" s="1"/>
  <c r="P85" i="1" s="1"/>
  <c r="P86" i="1" s="1"/>
  <c r="P87" i="1" s="1"/>
  <c r="P88" i="1" s="1"/>
  <c r="P89" i="1" s="1"/>
  <c r="P90" i="1" s="1"/>
  <c r="P91" i="1" s="1"/>
  <c r="P92" i="1" s="1"/>
  <c r="P93" i="1" s="1"/>
  <c r="P94" i="1" s="1"/>
  <c r="P95" i="1" s="1"/>
  <c r="P96" i="1" s="1"/>
  <c r="P97" i="1" s="1"/>
  <c r="P98" i="1" s="1"/>
  <c r="P99" i="1" s="1"/>
  <c r="P100" i="1" s="1"/>
  <c r="P101" i="1" s="1"/>
  <c r="P102" i="1" s="1"/>
  <c r="P103" i="1" s="1"/>
  <c r="P104" i="1" s="1"/>
  <c r="P105" i="1" s="1"/>
  <c r="P106" i="1" s="1"/>
  <c r="P107" i="1" s="1"/>
  <c r="P108" i="1" s="1"/>
  <c r="P109" i="1" s="1"/>
  <c r="P110" i="1" s="1"/>
  <c r="P111" i="1" s="1"/>
  <c r="P112" i="1" s="1"/>
  <c r="P113" i="1" s="1"/>
  <c r="P114" i="1" s="1"/>
  <c r="P115" i="1" s="1"/>
  <c r="P116" i="1" s="1"/>
  <c r="P117" i="1" s="1"/>
  <c r="P118" i="1" s="1"/>
  <c r="P119" i="1" s="1"/>
  <c r="P120" i="1" s="1"/>
  <c r="P121" i="1" s="1"/>
  <c r="P122" i="1" s="1"/>
  <c r="P123" i="1" s="1"/>
  <c r="P124" i="1" s="1"/>
  <c r="P125" i="1" s="1"/>
  <c r="P126" i="1" s="1"/>
  <c r="P127" i="1" s="1"/>
  <c r="P128" i="1" s="1"/>
  <c r="P129" i="1" s="1"/>
  <c r="P130" i="1" s="1"/>
  <c r="P131" i="1" s="1"/>
  <c r="P132" i="1" s="1"/>
  <c r="P133" i="1" s="1"/>
  <c r="P134" i="1" s="1"/>
  <c r="P135" i="1" s="1"/>
  <c r="P136" i="1" s="1"/>
  <c r="P137" i="1" s="1"/>
  <c r="P138" i="1" s="1"/>
  <c r="P139" i="1" s="1"/>
  <c r="P140" i="1" s="1"/>
  <c r="P141" i="1" s="1"/>
  <c r="P142" i="1" s="1"/>
  <c r="P143" i="1" s="1"/>
  <c r="P144" i="1" s="1"/>
  <c r="P145" i="1" s="1"/>
  <c r="P146" i="1" s="1"/>
  <c r="P147" i="1" s="1"/>
  <c r="P148" i="1" s="1"/>
  <c r="P149" i="1" s="1"/>
  <c r="P150" i="1" s="1"/>
  <c r="P151" i="1" s="1"/>
  <c r="P152" i="1" s="1"/>
  <c r="P153" i="1" s="1"/>
  <c r="P154" i="1" s="1"/>
  <c r="P155" i="1" s="1"/>
  <c r="P156" i="1" s="1"/>
  <c r="P157" i="1" s="1"/>
  <c r="P158" i="1" s="1"/>
  <c r="P159" i="1" s="1"/>
  <c r="P160" i="1" s="1"/>
  <c r="P161" i="1" s="1"/>
  <c r="P162" i="1" s="1"/>
  <c r="P163" i="1" s="1"/>
  <c r="P164" i="1" s="1"/>
  <c r="P165" i="1" s="1"/>
  <c r="P166" i="1" s="1"/>
  <c r="P167" i="1" s="1"/>
  <c r="P168" i="1" s="1"/>
  <c r="P169" i="1" s="1"/>
  <c r="P170" i="1" s="1"/>
  <c r="P171" i="1" s="1"/>
  <c r="P172" i="1" s="1"/>
  <c r="P173" i="1" s="1"/>
  <c r="P174" i="1" s="1"/>
  <c r="P175" i="1" s="1"/>
  <c r="P176" i="1" s="1"/>
  <c r="P177" i="1" s="1"/>
  <c r="P178" i="1" s="1"/>
  <c r="P179" i="1" s="1"/>
  <c r="P180" i="1" s="1"/>
  <c r="P181" i="1" s="1"/>
  <c r="P182" i="1" s="1"/>
  <c r="P183" i="1" s="1"/>
  <c r="P184" i="1" s="1"/>
  <c r="P185" i="1" s="1"/>
  <c r="P186" i="1" s="1"/>
  <c r="P187" i="1" s="1"/>
  <c r="P188" i="1" s="1"/>
  <c r="P189" i="1" s="1"/>
  <c r="P190" i="1" s="1"/>
  <c r="P191" i="1" s="1"/>
  <c r="P192" i="1" s="1"/>
  <c r="P193" i="1" s="1"/>
  <c r="P194" i="1" s="1"/>
  <c r="P195" i="1" s="1"/>
  <c r="P196" i="1" s="1"/>
  <c r="P197" i="1" s="1"/>
  <c r="P198" i="1" s="1"/>
  <c r="P199" i="1" s="1"/>
  <c r="P200" i="1" s="1"/>
  <c r="P201" i="1" s="1"/>
  <c r="P202" i="1" s="1"/>
  <c r="P203" i="1" s="1"/>
  <c r="P204" i="1" s="1"/>
  <c r="P205" i="1" s="1"/>
  <c r="P206" i="1" s="1"/>
  <c r="P207" i="1" s="1"/>
  <c r="P208" i="1" s="1"/>
  <c r="P209" i="1" s="1"/>
  <c r="P210" i="1" s="1"/>
  <c r="P211" i="1" s="1"/>
  <c r="P212" i="1" s="1"/>
  <c r="P213" i="1" s="1"/>
  <c r="P214" i="1" s="1"/>
  <c r="P215" i="1" s="1"/>
  <c r="P216" i="1" s="1"/>
  <c r="P217" i="1" s="1"/>
  <c r="P218" i="1" s="1"/>
  <c r="P219" i="1" s="1"/>
  <c r="P220" i="1" s="1"/>
  <c r="P221" i="1" s="1"/>
  <c r="P222" i="1" s="1"/>
  <c r="P223" i="1" s="1"/>
  <c r="P224" i="1" s="1"/>
  <c r="P225" i="1" s="1"/>
  <c r="P226" i="1" s="1"/>
  <c r="P227" i="1" s="1"/>
  <c r="P228" i="1" s="1"/>
  <c r="P229" i="1" s="1"/>
  <c r="P230" i="1" s="1"/>
  <c r="P231" i="1" s="1"/>
  <c r="P232" i="1" s="1"/>
  <c r="P233" i="1" s="1"/>
  <c r="P234" i="1" s="1"/>
  <c r="P235" i="1" s="1"/>
  <c r="P236" i="1" s="1"/>
  <c r="P237" i="1" s="1"/>
  <c r="P238" i="1" s="1"/>
  <c r="P239" i="1" s="1"/>
  <c r="P240" i="1" s="1"/>
  <c r="P241" i="1" s="1"/>
  <c r="P242" i="1" s="1"/>
  <c r="P243" i="1" s="1"/>
  <c r="P244" i="1" s="1"/>
  <c r="P245" i="1" s="1"/>
  <c r="P246" i="1" s="1"/>
  <c r="P247" i="1" s="1"/>
  <c r="P248" i="1" s="1"/>
  <c r="P249" i="1" s="1"/>
  <c r="P250" i="1" s="1"/>
  <c r="P251" i="1" s="1"/>
  <c r="P252" i="1" s="1"/>
  <c r="P253" i="1" s="1"/>
  <c r="P254" i="1" s="1"/>
  <c r="P255" i="1" s="1"/>
  <c r="P256" i="1" s="1"/>
  <c r="P257" i="1" s="1"/>
  <c r="P258" i="1" s="1"/>
  <c r="P259" i="1" s="1"/>
  <c r="P260" i="1" s="1"/>
  <c r="P261" i="1" s="1"/>
  <c r="P262" i="1" s="1"/>
  <c r="P263" i="1" s="1"/>
  <c r="P264" i="1" s="1"/>
  <c r="P265" i="1" s="1"/>
  <c r="P266" i="1" s="1"/>
  <c r="P267" i="1" s="1"/>
  <c r="P268" i="1" s="1"/>
  <c r="P269" i="1" s="1"/>
  <c r="P270" i="1" s="1"/>
  <c r="P271" i="1" s="1"/>
  <c r="P272" i="1" s="1"/>
  <c r="P273" i="1" s="1"/>
  <c r="P274" i="1" s="1"/>
  <c r="P275" i="1" s="1"/>
  <c r="P276" i="1" s="1"/>
  <c r="P277" i="1" s="1"/>
  <c r="P278" i="1" s="1"/>
  <c r="P279" i="1" s="1"/>
  <c r="P280" i="1" s="1"/>
  <c r="P281" i="1" s="1"/>
  <c r="P282" i="1" s="1"/>
  <c r="P283" i="1" s="1"/>
  <c r="P284" i="1" s="1"/>
  <c r="P285" i="1" s="1"/>
  <c r="P286" i="1" s="1"/>
  <c r="P287" i="1" s="1"/>
  <c r="P288" i="1" s="1"/>
  <c r="P289" i="1" s="1"/>
  <c r="P290" i="1" s="1"/>
  <c r="P291" i="1" s="1"/>
  <c r="P292" i="1" s="1"/>
  <c r="P293" i="1" s="1"/>
  <c r="P294" i="1" s="1"/>
  <c r="P295" i="1" s="1"/>
  <c r="P296" i="1" s="1"/>
  <c r="P297" i="1" s="1"/>
  <c r="P298" i="1" s="1"/>
  <c r="P299" i="1" s="1"/>
  <c r="P300" i="1" s="1"/>
  <c r="P301" i="1" s="1"/>
  <c r="P302" i="1" s="1"/>
  <c r="P303" i="1" s="1"/>
  <c r="P304" i="1" s="1"/>
  <c r="P305" i="1" s="1"/>
  <c r="P306" i="1" s="1"/>
  <c r="P307" i="1" s="1"/>
  <c r="P308" i="1" s="1"/>
  <c r="P309" i="1" s="1"/>
  <c r="P310" i="1" s="1"/>
  <c r="P311" i="1" s="1"/>
  <c r="P312" i="1" s="1"/>
  <c r="P313" i="1" s="1"/>
  <c r="P314" i="1" s="1"/>
  <c r="P315" i="1" s="1"/>
  <c r="P316" i="1" s="1"/>
  <c r="P317" i="1" s="1"/>
  <c r="P318" i="1" s="1"/>
  <c r="P319" i="1" s="1"/>
  <c r="P320" i="1" s="1"/>
  <c r="P321" i="1" s="1"/>
  <c r="P322" i="1" s="1"/>
  <c r="P323" i="1" s="1"/>
  <c r="P324" i="1" s="1"/>
  <c r="P325" i="1" s="1"/>
  <c r="P326" i="1" s="1"/>
  <c r="P327" i="1" s="1"/>
  <c r="P328" i="1" s="1"/>
  <c r="P329" i="1" s="1"/>
  <c r="P330" i="1" s="1"/>
  <c r="P331" i="1" s="1"/>
  <c r="P332" i="1" s="1"/>
  <c r="P336" i="1" s="1"/>
  <c r="P337" i="1" s="1"/>
  <c r="P338" i="1" s="1"/>
  <c r="P339" i="1" s="1"/>
  <c r="P340" i="1" s="1"/>
  <c r="P341" i="1" s="1"/>
  <c r="P342" i="1" s="1"/>
  <c r="P39" i="1"/>
  <c r="P20" i="1"/>
  <c r="P21" i="1" s="1"/>
  <c r="P22" i="1" s="1"/>
  <c r="P7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" i="1"/>
  <c r="L43" i="1"/>
  <c r="L41" i="1"/>
  <c r="L39" i="1"/>
  <c r="L131" i="1"/>
  <c r="L129" i="1"/>
  <c r="L127" i="1"/>
  <c r="L320" i="1"/>
  <c r="L318" i="1"/>
  <c r="L316" i="1"/>
  <c r="Z126" i="1"/>
  <c r="Z127" i="1" s="1"/>
  <c r="Z128" i="1" s="1"/>
  <c r="Z129" i="1" s="1"/>
  <c r="Z130" i="1" s="1"/>
  <c r="Z131" i="1" s="1"/>
  <c r="Z132" i="1" s="1"/>
  <c r="Z133" i="1" s="1"/>
  <c r="Z134" i="1" s="1"/>
  <c r="Z135" i="1" s="1"/>
  <c r="Z136" i="1" s="1"/>
  <c r="Z137" i="1" s="1"/>
  <c r="Z138" i="1" s="1"/>
  <c r="Z139" i="1" s="1"/>
  <c r="Z140" i="1" s="1"/>
  <c r="Z141" i="1" s="1"/>
  <c r="Z142" i="1" s="1"/>
  <c r="Z143" i="1" s="1"/>
  <c r="Z144" i="1" s="1"/>
  <c r="Z145" i="1" s="1"/>
  <c r="Z146" i="1" s="1"/>
  <c r="Z147" i="1" s="1"/>
  <c r="Z148" i="1" s="1"/>
  <c r="Z149" i="1" s="1"/>
  <c r="Z150" i="1" s="1"/>
  <c r="Z151" i="1" s="1"/>
  <c r="Z152" i="1" s="1"/>
  <c r="Z153" i="1" s="1"/>
  <c r="Z154" i="1" s="1"/>
  <c r="Z155" i="1" s="1"/>
  <c r="Z156" i="1" s="1"/>
  <c r="Z157" i="1" s="1"/>
  <c r="Z158" i="1" s="1"/>
  <c r="Z159" i="1" s="1"/>
  <c r="Z160" i="1" s="1"/>
  <c r="Z161" i="1" s="1"/>
  <c r="Z162" i="1" s="1"/>
  <c r="Z163" i="1" s="1"/>
  <c r="Z164" i="1" s="1"/>
  <c r="Z165" i="1" s="1"/>
  <c r="Z166" i="1" s="1"/>
  <c r="Z167" i="1" s="1"/>
  <c r="Z168" i="1" s="1"/>
  <c r="Z169" i="1" s="1"/>
  <c r="Z170" i="1" s="1"/>
  <c r="Z171" i="1" s="1"/>
  <c r="Z172" i="1" s="1"/>
  <c r="Z173" i="1" s="1"/>
  <c r="Z174" i="1" s="1"/>
  <c r="Z175" i="1" s="1"/>
  <c r="Z176" i="1" s="1"/>
  <c r="Z177" i="1" s="1"/>
  <c r="Z178" i="1" s="1"/>
  <c r="Z179" i="1" s="1"/>
  <c r="Z180" i="1" s="1"/>
  <c r="Z181" i="1" s="1"/>
  <c r="Z182" i="1" s="1"/>
  <c r="Z183" i="1" s="1"/>
  <c r="Z184" i="1" s="1"/>
  <c r="Z125" i="1"/>
  <c r="Z124" i="1"/>
  <c r="Y38" i="1"/>
  <c r="Y39" i="1" s="1"/>
  <c r="Y40" i="1" s="1"/>
  <c r="Y41" i="1" s="1"/>
  <c r="Y42" i="1" s="1"/>
  <c r="Y43" i="1" s="1"/>
  <c r="Y44" i="1" s="1"/>
  <c r="Y45" i="1" s="1"/>
  <c r="Y46" i="1" s="1"/>
  <c r="Y47" i="1" s="1"/>
  <c r="Y48" i="1" s="1"/>
  <c r="Y49" i="1" s="1"/>
  <c r="Y50" i="1" s="1"/>
  <c r="Y51" i="1" s="1"/>
  <c r="Y52" i="1" s="1"/>
  <c r="Y53" i="1" s="1"/>
  <c r="Y54" i="1" s="1"/>
  <c r="Y55" i="1" s="1"/>
  <c r="Y56" i="1" s="1"/>
  <c r="Y57" i="1" s="1"/>
  <c r="Y58" i="1" s="1"/>
  <c r="Y59" i="1" s="1"/>
  <c r="Y60" i="1" s="1"/>
  <c r="Y61" i="1" s="1"/>
  <c r="Y62" i="1" s="1"/>
  <c r="Y63" i="1" s="1"/>
  <c r="Y64" i="1" s="1"/>
  <c r="Y65" i="1" s="1"/>
  <c r="Y66" i="1" s="1"/>
  <c r="Y67" i="1" s="1"/>
  <c r="Y68" i="1" s="1"/>
  <c r="Y69" i="1" s="1"/>
  <c r="Y70" i="1" s="1"/>
  <c r="Y71" i="1" s="1"/>
  <c r="Y72" i="1" s="1"/>
  <c r="Y73" i="1" s="1"/>
  <c r="Y74" i="1" s="1"/>
  <c r="Y75" i="1" s="1"/>
  <c r="Y76" i="1" s="1"/>
  <c r="Y77" i="1" s="1"/>
  <c r="Y78" i="1" s="1"/>
  <c r="Y79" i="1" s="1"/>
  <c r="Y80" i="1" s="1"/>
  <c r="Y81" i="1" s="1"/>
  <c r="Y82" i="1" s="1"/>
  <c r="Y83" i="1" s="1"/>
  <c r="Y84" i="1" s="1"/>
  <c r="Y85" i="1" s="1"/>
  <c r="Y86" i="1" s="1"/>
  <c r="Y87" i="1" s="1"/>
  <c r="Y88" i="1" s="1"/>
  <c r="Y89" i="1" s="1"/>
  <c r="Y90" i="1" s="1"/>
  <c r="Y91" i="1" s="1"/>
  <c r="Y92" i="1" s="1"/>
  <c r="Y93" i="1" s="1"/>
  <c r="Y94" i="1" s="1"/>
  <c r="Y95" i="1" s="1"/>
  <c r="Y96" i="1" s="1"/>
  <c r="Y97" i="1" s="1"/>
  <c r="Y98" i="1" s="1"/>
  <c r="Y99" i="1" s="1"/>
  <c r="Y100" i="1" s="1"/>
  <c r="Y101" i="1" s="1"/>
  <c r="Y102" i="1" s="1"/>
  <c r="Y103" i="1" s="1"/>
  <c r="Y104" i="1" s="1"/>
  <c r="Y105" i="1" s="1"/>
  <c r="Y106" i="1" s="1"/>
  <c r="Y107" i="1" s="1"/>
  <c r="Y108" i="1" s="1"/>
  <c r="Y109" i="1" s="1"/>
  <c r="Y110" i="1" s="1"/>
  <c r="Y111" i="1" s="1"/>
  <c r="Y112" i="1" s="1"/>
  <c r="Y113" i="1" s="1"/>
  <c r="Y114" i="1" s="1"/>
  <c r="Y115" i="1" s="1"/>
  <c r="Y116" i="1" s="1"/>
  <c r="Y117" i="1" s="1"/>
  <c r="Y118" i="1" s="1"/>
  <c r="Y119" i="1" s="1"/>
  <c r="Y120" i="1" s="1"/>
  <c r="Y121" i="1" s="1"/>
  <c r="Y122" i="1" s="1"/>
  <c r="Y123" i="1" s="1"/>
  <c r="Y124" i="1" s="1"/>
  <c r="Y125" i="1" s="1"/>
  <c r="Y126" i="1" s="1"/>
  <c r="Y127" i="1" s="1"/>
  <c r="Y128" i="1" s="1"/>
  <c r="Y129" i="1" s="1"/>
  <c r="Y130" i="1" s="1"/>
  <c r="Y131" i="1" s="1"/>
  <c r="Y132" i="1" s="1"/>
  <c r="Y133" i="1" s="1"/>
  <c r="Y134" i="1" s="1"/>
  <c r="Y135" i="1" s="1"/>
  <c r="Y136" i="1" s="1"/>
  <c r="Y137" i="1" s="1"/>
  <c r="Y138" i="1" s="1"/>
  <c r="Y139" i="1" s="1"/>
  <c r="Y140" i="1" s="1"/>
  <c r="Y141" i="1" s="1"/>
  <c r="Y142" i="1" s="1"/>
  <c r="Y143" i="1" s="1"/>
  <c r="Y144" i="1" s="1"/>
  <c r="Y145" i="1" s="1"/>
  <c r="Y146" i="1" s="1"/>
  <c r="Y147" i="1" s="1"/>
  <c r="Y148" i="1" s="1"/>
  <c r="Y149" i="1" s="1"/>
  <c r="Y150" i="1" s="1"/>
  <c r="Y151" i="1" s="1"/>
  <c r="Y152" i="1" s="1"/>
  <c r="Y153" i="1" s="1"/>
  <c r="Y154" i="1" s="1"/>
  <c r="Y155" i="1" s="1"/>
  <c r="Y156" i="1" s="1"/>
  <c r="Y157" i="1" s="1"/>
  <c r="Y158" i="1" s="1"/>
  <c r="Y159" i="1" s="1"/>
  <c r="Y160" i="1" s="1"/>
  <c r="Y161" i="1" s="1"/>
  <c r="Y162" i="1" s="1"/>
  <c r="Y163" i="1" s="1"/>
  <c r="Y164" i="1" s="1"/>
  <c r="Y165" i="1" s="1"/>
  <c r="Y166" i="1" s="1"/>
  <c r="Y167" i="1" s="1"/>
  <c r="Y168" i="1" s="1"/>
  <c r="Y169" i="1" s="1"/>
  <c r="Y170" i="1" s="1"/>
  <c r="Y171" i="1" s="1"/>
  <c r="Y172" i="1" s="1"/>
  <c r="Y173" i="1" s="1"/>
  <c r="Y174" i="1" s="1"/>
  <c r="Y175" i="1" s="1"/>
  <c r="Y176" i="1" s="1"/>
  <c r="Y177" i="1" s="1"/>
  <c r="Y178" i="1" s="1"/>
  <c r="Y179" i="1" s="1"/>
  <c r="Y180" i="1" s="1"/>
  <c r="Y181" i="1" s="1"/>
  <c r="Y182" i="1" s="1"/>
  <c r="Y183" i="1" s="1"/>
  <c r="Y184" i="1" s="1"/>
  <c r="Y185" i="1" s="1"/>
  <c r="Y186" i="1" s="1"/>
  <c r="Y187" i="1" s="1"/>
  <c r="Y188" i="1" s="1"/>
  <c r="Y189" i="1" s="1"/>
  <c r="Y190" i="1" s="1"/>
  <c r="Y191" i="1" s="1"/>
  <c r="Y192" i="1" s="1"/>
  <c r="Y193" i="1" s="1"/>
  <c r="Y194" i="1" s="1"/>
  <c r="Y195" i="1" s="1"/>
  <c r="Y196" i="1" s="1"/>
  <c r="Y197" i="1" s="1"/>
  <c r="Y198" i="1" s="1"/>
  <c r="Y199" i="1" s="1"/>
  <c r="Y200" i="1" s="1"/>
  <c r="Y201" i="1" s="1"/>
  <c r="Y202" i="1" s="1"/>
  <c r="Y203" i="1" s="1"/>
  <c r="Y204" i="1" s="1"/>
  <c r="Y205" i="1" s="1"/>
  <c r="Y206" i="1" s="1"/>
  <c r="Y207" i="1" s="1"/>
  <c r="Y208" i="1" s="1"/>
  <c r="Y209" i="1" s="1"/>
  <c r="Y210" i="1" s="1"/>
  <c r="Y211" i="1" s="1"/>
  <c r="Y212" i="1" s="1"/>
  <c r="Y213" i="1" s="1"/>
  <c r="Y214" i="1" s="1"/>
  <c r="Y215" i="1" s="1"/>
  <c r="Y216" i="1" s="1"/>
  <c r="Y217" i="1" s="1"/>
  <c r="Y218" i="1" s="1"/>
  <c r="Y219" i="1" s="1"/>
  <c r="Y220" i="1" s="1"/>
  <c r="Y221" i="1" s="1"/>
  <c r="Y222" i="1" s="1"/>
  <c r="Y223" i="1" s="1"/>
  <c r="Y224" i="1" s="1"/>
  <c r="Y225" i="1" s="1"/>
  <c r="Y226" i="1" s="1"/>
  <c r="Y227" i="1" s="1"/>
  <c r="Y228" i="1" s="1"/>
  <c r="Y229" i="1" s="1"/>
  <c r="Y230" i="1" s="1"/>
  <c r="Y231" i="1" s="1"/>
  <c r="Y232" i="1" s="1"/>
  <c r="Y233" i="1" s="1"/>
  <c r="Y234" i="1" s="1"/>
  <c r="Y235" i="1" s="1"/>
  <c r="Y236" i="1" s="1"/>
  <c r="Y237" i="1" s="1"/>
  <c r="Y238" i="1" s="1"/>
  <c r="Y239" i="1" s="1"/>
  <c r="Y240" i="1" s="1"/>
  <c r="Y241" i="1" s="1"/>
  <c r="Y242" i="1" s="1"/>
  <c r="Y243" i="1" s="1"/>
  <c r="Y244" i="1" s="1"/>
  <c r="Y245" i="1" s="1"/>
  <c r="Y246" i="1" s="1"/>
  <c r="Y247" i="1" s="1"/>
  <c r="Y248" i="1" s="1"/>
  <c r="Y249" i="1" s="1"/>
  <c r="Y250" i="1" s="1"/>
  <c r="Y251" i="1" s="1"/>
  <c r="Y252" i="1" s="1"/>
  <c r="Y253" i="1" s="1"/>
  <c r="Y254" i="1" s="1"/>
  <c r="Y255" i="1" s="1"/>
  <c r="Y256" i="1" s="1"/>
  <c r="Y257" i="1" s="1"/>
  <c r="Y258" i="1" s="1"/>
  <c r="Y259" i="1" s="1"/>
  <c r="Y260" i="1" s="1"/>
  <c r="Y261" i="1" s="1"/>
  <c r="Y262" i="1" s="1"/>
  <c r="Y263" i="1" s="1"/>
  <c r="Y264" i="1" s="1"/>
  <c r="Y265" i="1" s="1"/>
  <c r="Y266" i="1" s="1"/>
  <c r="Y267" i="1" s="1"/>
  <c r="Y268" i="1" s="1"/>
  <c r="Y269" i="1" s="1"/>
  <c r="Y270" i="1" s="1"/>
  <c r="Y271" i="1" s="1"/>
  <c r="Y272" i="1" s="1"/>
  <c r="Y273" i="1" s="1"/>
  <c r="Y274" i="1" s="1"/>
  <c r="Y275" i="1" s="1"/>
  <c r="Y276" i="1" s="1"/>
  <c r="Y277" i="1" s="1"/>
  <c r="Y278" i="1" s="1"/>
  <c r="Y279" i="1" s="1"/>
  <c r="Y280" i="1" s="1"/>
  <c r="Y281" i="1" s="1"/>
  <c r="Y282" i="1" s="1"/>
  <c r="Y283" i="1" s="1"/>
  <c r="Y284" i="1" s="1"/>
  <c r="Y285" i="1" s="1"/>
  <c r="Y286" i="1" s="1"/>
  <c r="Y287" i="1" s="1"/>
  <c r="Y288" i="1" s="1"/>
  <c r="Y289" i="1" s="1"/>
  <c r="Y290" i="1" s="1"/>
  <c r="Y291" i="1" s="1"/>
  <c r="Y292" i="1" s="1"/>
  <c r="Y293" i="1" s="1"/>
  <c r="Y294" i="1" s="1"/>
  <c r="Y295" i="1" s="1"/>
  <c r="Y296" i="1" s="1"/>
  <c r="Y297" i="1" s="1"/>
  <c r="Y298" i="1" s="1"/>
  <c r="Y299" i="1" s="1"/>
  <c r="Y300" i="1" s="1"/>
  <c r="Y301" i="1" s="1"/>
  <c r="Y302" i="1" s="1"/>
  <c r="Y303" i="1" s="1"/>
  <c r="Y304" i="1" s="1"/>
  <c r="Y305" i="1" s="1"/>
  <c r="Y306" i="1" s="1"/>
  <c r="Y307" i="1" s="1"/>
  <c r="Y308" i="1" s="1"/>
  <c r="Y309" i="1" s="1"/>
  <c r="Y310" i="1" s="1"/>
  <c r="Y311" i="1" s="1"/>
  <c r="Y312" i="1" s="1"/>
  <c r="Y313" i="1" s="1"/>
  <c r="Y314" i="1" s="1"/>
  <c r="Y315" i="1" s="1"/>
  <c r="Y316" i="1" s="1"/>
  <c r="Y317" i="1" s="1"/>
  <c r="Y318" i="1" s="1"/>
  <c r="Y319" i="1" s="1"/>
  <c r="Y320" i="1" s="1"/>
  <c r="Y321" i="1" s="1"/>
  <c r="Y322" i="1" s="1"/>
  <c r="Y323" i="1" s="1"/>
  <c r="Y324" i="1" s="1"/>
  <c r="Y325" i="1" s="1"/>
  <c r="Y326" i="1" s="1"/>
  <c r="Y327" i="1" s="1"/>
  <c r="Y328" i="1" s="1"/>
  <c r="Y329" i="1" s="1"/>
  <c r="Y330" i="1" s="1"/>
  <c r="Y331" i="1" s="1"/>
  <c r="Y332" i="1" s="1"/>
  <c r="Y333" i="1" s="1"/>
  <c r="Y334" i="1" s="1"/>
  <c r="Y335" i="1" s="1"/>
  <c r="Y336" i="1" s="1"/>
  <c r="Y337" i="1" s="1"/>
  <c r="Y338" i="1" s="1"/>
  <c r="Y339" i="1" s="1"/>
  <c r="Y340" i="1" s="1"/>
  <c r="Y341" i="1" s="1"/>
  <c r="Y342" i="1" s="1"/>
  <c r="Y343" i="1" s="1"/>
  <c r="Y344" i="1" s="1"/>
  <c r="Y345" i="1" s="1"/>
  <c r="Y346" i="1" s="1"/>
  <c r="Y37" i="1"/>
  <c r="Y36" i="1"/>
  <c r="T37" i="1"/>
  <c r="T46" i="1"/>
  <c r="T47" i="1"/>
  <c r="T50" i="1"/>
  <c r="T58" i="1"/>
  <c r="T59" i="1"/>
  <c r="T66" i="1"/>
  <c r="T67" i="1"/>
  <c r="T74" i="1"/>
  <c r="T75" i="1"/>
  <c r="T82" i="1"/>
  <c r="T83" i="1"/>
  <c r="T90" i="1"/>
  <c r="T91" i="1"/>
  <c r="T98" i="1"/>
  <c r="T99" i="1"/>
  <c r="T106" i="1"/>
  <c r="T107" i="1"/>
  <c r="T114" i="1"/>
  <c r="T115" i="1"/>
  <c r="T122" i="1"/>
  <c r="T123" i="1"/>
  <c r="T124" i="1"/>
  <c r="T127" i="1"/>
  <c r="T150" i="1"/>
  <c r="T151" i="1"/>
  <c r="T161" i="1"/>
  <c r="T162" i="1"/>
  <c r="T163" i="1"/>
  <c r="T165" i="1"/>
  <c r="T167" i="1"/>
  <c r="T168" i="1"/>
  <c r="T169" i="1"/>
  <c r="T179" i="1"/>
  <c r="T184" i="1"/>
  <c r="T203" i="1"/>
  <c r="T204" i="1"/>
  <c r="T211" i="1"/>
  <c r="T220" i="1"/>
  <c r="T235" i="1"/>
  <c r="T236" i="1"/>
  <c r="T243" i="1"/>
  <c r="T249" i="1"/>
  <c r="T250" i="1"/>
  <c r="T251" i="1"/>
  <c r="T252" i="1"/>
  <c r="T253" i="1"/>
  <c r="T276" i="1"/>
  <c r="T278" i="1"/>
  <c r="T284" i="1"/>
  <c r="T286" i="1"/>
  <c r="T292" i="1"/>
  <c r="T293" i="1"/>
  <c r="T294" i="1"/>
  <c r="T300" i="1"/>
  <c r="T308" i="1"/>
  <c r="T316" i="1"/>
  <c r="T324" i="1"/>
  <c r="T332" i="1"/>
  <c r="T340" i="1"/>
  <c r="S37" i="1"/>
  <c r="S38" i="1"/>
  <c r="T38" i="1" s="1"/>
  <c r="S39" i="1"/>
  <c r="T39" i="1" s="1"/>
  <c r="S40" i="1"/>
  <c r="T40" i="1" s="1"/>
  <c r="S41" i="1"/>
  <c r="T41" i="1" s="1"/>
  <c r="S42" i="1"/>
  <c r="T42" i="1" s="1"/>
  <c r="S43" i="1"/>
  <c r="T43" i="1" s="1"/>
  <c r="S44" i="1"/>
  <c r="T44" i="1" s="1"/>
  <c r="S45" i="1"/>
  <c r="T45" i="1" s="1"/>
  <c r="S46" i="1"/>
  <c r="S47" i="1"/>
  <c r="S48" i="1"/>
  <c r="T48" i="1" s="1"/>
  <c r="S49" i="1"/>
  <c r="T49" i="1" s="1"/>
  <c r="S50" i="1"/>
  <c r="S51" i="1"/>
  <c r="T51" i="1" s="1"/>
  <c r="S52" i="1"/>
  <c r="T52" i="1" s="1"/>
  <c r="S53" i="1"/>
  <c r="T53" i="1" s="1"/>
  <c r="S54" i="1"/>
  <c r="T54" i="1" s="1"/>
  <c r="S56" i="1"/>
  <c r="T56" i="1" s="1"/>
  <c r="S57" i="1"/>
  <c r="T57" i="1" s="1"/>
  <c r="S58" i="1"/>
  <c r="S59" i="1"/>
  <c r="S60" i="1"/>
  <c r="T60" i="1" s="1"/>
  <c r="S61" i="1"/>
  <c r="T61" i="1" s="1"/>
  <c r="S62" i="1"/>
  <c r="T62" i="1" s="1"/>
  <c r="S64" i="1"/>
  <c r="T64" i="1" s="1"/>
  <c r="S65" i="1"/>
  <c r="T65" i="1" s="1"/>
  <c r="S66" i="1"/>
  <c r="S67" i="1"/>
  <c r="S68" i="1"/>
  <c r="T68" i="1" s="1"/>
  <c r="S69" i="1"/>
  <c r="T69" i="1" s="1"/>
  <c r="S70" i="1"/>
  <c r="T70" i="1" s="1"/>
  <c r="S72" i="1"/>
  <c r="T72" i="1" s="1"/>
  <c r="S73" i="1"/>
  <c r="T73" i="1" s="1"/>
  <c r="S74" i="1"/>
  <c r="S75" i="1"/>
  <c r="S76" i="1"/>
  <c r="T76" i="1" s="1"/>
  <c r="S77" i="1"/>
  <c r="T77" i="1" s="1"/>
  <c r="S78" i="1"/>
  <c r="T78" i="1" s="1"/>
  <c r="S80" i="1"/>
  <c r="T80" i="1" s="1"/>
  <c r="S81" i="1"/>
  <c r="T81" i="1" s="1"/>
  <c r="S82" i="1"/>
  <c r="S83" i="1"/>
  <c r="S84" i="1"/>
  <c r="T84" i="1" s="1"/>
  <c r="S85" i="1"/>
  <c r="T85" i="1" s="1"/>
  <c r="S86" i="1"/>
  <c r="T86" i="1" s="1"/>
  <c r="S88" i="1"/>
  <c r="T88" i="1" s="1"/>
  <c r="S89" i="1"/>
  <c r="T89" i="1" s="1"/>
  <c r="S90" i="1"/>
  <c r="S91" i="1"/>
  <c r="S92" i="1"/>
  <c r="T92" i="1" s="1"/>
  <c r="S93" i="1"/>
  <c r="T93" i="1" s="1"/>
  <c r="S94" i="1"/>
  <c r="T94" i="1" s="1"/>
  <c r="S96" i="1"/>
  <c r="T96" i="1" s="1"/>
  <c r="S97" i="1"/>
  <c r="T97" i="1" s="1"/>
  <c r="S98" i="1"/>
  <c r="S99" i="1"/>
  <c r="S100" i="1"/>
  <c r="T100" i="1" s="1"/>
  <c r="S101" i="1"/>
  <c r="T101" i="1" s="1"/>
  <c r="S102" i="1"/>
  <c r="T102" i="1" s="1"/>
  <c r="S104" i="1"/>
  <c r="T104" i="1" s="1"/>
  <c r="S105" i="1"/>
  <c r="T105" i="1" s="1"/>
  <c r="S106" i="1"/>
  <c r="S107" i="1"/>
  <c r="S108" i="1"/>
  <c r="T108" i="1" s="1"/>
  <c r="S109" i="1"/>
  <c r="T109" i="1" s="1"/>
  <c r="S110" i="1"/>
  <c r="T110" i="1" s="1"/>
  <c r="S112" i="1"/>
  <c r="T112" i="1" s="1"/>
  <c r="S113" i="1"/>
  <c r="T113" i="1" s="1"/>
  <c r="S114" i="1"/>
  <c r="S115" i="1"/>
  <c r="S116" i="1"/>
  <c r="T116" i="1" s="1"/>
  <c r="S117" i="1"/>
  <c r="T117" i="1" s="1"/>
  <c r="S118" i="1"/>
  <c r="T118" i="1" s="1"/>
  <c r="S120" i="1"/>
  <c r="T120" i="1" s="1"/>
  <c r="S121" i="1"/>
  <c r="T121" i="1" s="1"/>
  <c r="S122" i="1"/>
  <c r="S123" i="1"/>
  <c r="S124" i="1"/>
  <c r="S125" i="1"/>
  <c r="T125" i="1" s="1"/>
  <c r="S126" i="1"/>
  <c r="T126" i="1" s="1"/>
  <c r="S127" i="1"/>
  <c r="S128" i="1"/>
  <c r="T128" i="1" s="1"/>
  <c r="S129" i="1"/>
  <c r="T129" i="1" s="1"/>
  <c r="S130" i="1"/>
  <c r="T130" i="1" s="1"/>
  <c r="S131" i="1"/>
  <c r="T131" i="1" s="1"/>
  <c r="S132" i="1"/>
  <c r="T132" i="1" s="1"/>
  <c r="S133" i="1"/>
  <c r="T133" i="1" s="1"/>
  <c r="S134" i="1"/>
  <c r="T134" i="1" s="1"/>
  <c r="S135" i="1"/>
  <c r="T135" i="1" s="1"/>
  <c r="S136" i="1"/>
  <c r="T136" i="1" s="1"/>
  <c r="S137" i="1"/>
  <c r="T137" i="1" s="1"/>
  <c r="S138" i="1"/>
  <c r="T138" i="1" s="1"/>
  <c r="S139" i="1"/>
  <c r="T139" i="1" s="1"/>
  <c r="S140" i="1"/>
  <c r="T140" i="1" s="1"/>
  <c r="S141" i="1"/>
  <c r="T141" i="1" s="1"/>
  <c r="S142" i="1"/>
  <c r="T142" i="1" s="1"/>
  <c r="S143" i="1"/>
  <c r="T143" i="1" s="1"/>
  <c r="S144" i="1"/>
  <c r="T144" i="1" s="1"/>
  <c r="S145" i="1"/>
  <c r="T145" i="1" s="1"/>
  <c r="S146" i="1"/>
  <c r="T146" i="1" s="1"/>
  <c r="S147" i="1"/>
  <c r="T147" i="1" s="1"/>
  <c r="S148" i="1"/>
  <c r="T148" i="1" s="1"/>
  <c r="S149" i="1"/>
  <c r="T149" i="1" s="1"/>
  <c r="S150" i="1"/>
  <c r="S151" i="1"/>
  <c r="S152" i="1"/>
  <c r="T152" i="1" s="1"/>
  <c r="S153" i="1"/>
  <c r="T153" i="1" s="1"/>
  <c r="S154" i="1"/>
  <c r="T154" i="1" s="1"/>
  <c r="S155" i="1"/>
  <c r="T155" i="1" s="1"/>
  <c r="S156" i="1"/>
  <c r="T156" i="1" s="1"/>
  <c r="S157" i="1"/>
  <c r="T157" i="1" s="1"/>
  <c r="S158" i="1"/>
  <c r="T158" i="1" s="1"/>
  <c r="S159" i="1"/>
  <c r="T159" i="1" s="1"/>
  <c r="S160" i="1"/>
  <c r="T160" i="1" s="1"/>
  <c r="S161" i="1"/>
  <c r="S162" i="1"/>
  <c r="S163" i="1"/>
  <c r="S164" i="1"/>
  <c r="T164" i="1" s="1"/>
  <c r="S165" i="1"/>
  <c r="S166" i="1"/>
  <c r="T166" i="1" s="1"/>
  <c r="S167" i="1"/>
  <c r="S168" i="1"/>
  <c r="S169" i="1"/>
  <c r="S170" i="1"/>
  <c r="T170" i="1" s="1"/>
  <c r="S171" i="1"/>
  <c r="T171" i="1" s="1"/>
  <c r="S172" i="1"/>
  <c r="T172" i="1" s="1"/>
  <c r="S173" i="1"/>
  <c r="T173" i="1" s="1"/>
  <c r="S174" i="1"/>
  <c r="T174" i="1" s="1"/>
  <c r="S175" i="1"/>
  <c r="T175" i="1" s="1"/>
  <c r="S176" i="1"/>
  <c r="T176" i="1" s="1"/>
  <c r="S177" i="1"/>
  <c r="T177" i="1" s="1"/>
  <c r="S178" i="1"/>
  <c r="T178" i="1" s="1"/>
  <c r="S179" i="1"/>
  <c r="S180" i="1"/>
  <c r="T180" i="1" s="1"/>
  <c r="S181" i="1"/>
  <c r="T181" i="1" s="1"/>
  <c r="S182" i="1"/>
  <c r="T182" i="1" s="1"/>
  <c r="S183" i="1"/>
  <c r="T183" i="1" s="1"/>
  <c r="S184" i="1"/>
  <c r="S187" i="1"/>
  <c r="T187" i="1" s="1"/>
  <c r="S188" i="1"/>
  <c r="T188" i="1" s="1"/>
  <c r="S189" i="1"/>
  <c r="T189" i="1" s="1"/>
  <c r="S191" i="1"/>
  <c r="T191" i="1" s="1"/>
  <c r="S192" i="1"/>
  <c r="T192" i="1" s="1"/>
  <c r="S195" i="1"/>
  <c r="T195" i="1" s="1"/>
  <c r="S196" i="1"/>
  <c r="T196" i="1" s="1"/>
  <c r="S197" i="1"/>
  <c r="T197" i="1" s="1"/>
  <c r="S199" i="1"/>
  <c r="T199" i="1" s="1"/>
  <c r="S200" i="1"/>
  <c r="T200" i="1" s="1"/>
  <c r="S203" i="1"/>
  <c r="S204" i="1"/>
  <c r="S205" i="1"/>
  <c r="T205" i="1" s="1"/>
  <c r="S207" i="1"/>
  <c r="T207" i="1" s="1"/>
  <c r="S208" i="1"/>
  <c r="T208" i="1" s="1"/>
  <c r="S211" i="1"/>
  <c r="S212" i="1"/>
  <c r="T212" i="1" s="1"/>
  <c r="S213" i="1"/>
  <c r="T213" i="1" s="1"/>
  <c r="S215" i="1"/>
  <c r="T215" i="1" s="1"/>
  <c r="S216" i="1"/>
  <c r="T216" i="1" s="1"/>
  <c r="S219" i="1"/>
  <c r="T219" i="1" s="1"/>
  <c r="S220" i="1"/>
  <c r="S221" i="1"/>
  <c r="T221" i="1" s="1"/>
  <c r="S223" i="1"/>
  <c r="T223" i="1" s="1"/>
  <c r="S224" i="1"/>
  <c r="T224" i="1" s="1"/>
  <c r="S227" i="1"/>
  <c r="T227" i="1" s="1"/>
  <c r="S228" i="1"/>
  <c r="T228" i="1" s="1"/>
  <c r="S229" i="1"/>
  <c r="T229" i="1" s="1"/>
  <c r="S231" i="1"/>
  <c r="T231" i="1" s="1"/>
  <c r="S232" i="1"/>
  <c r="T232" i="1" s="1"/>
  <c r="S235" i="1"/>
  <c r="S236" i="1"/>
  <c r="S237" i="1"/>
  <c r="T237" i="1" s="1"/>
  <c r="S239" i="1"/>
  <c r="T239" i="1" s="1"/>
  <c r="S240" i="1"/>
  <c r="T240" i="1" s="1"/>
  <c r="S243" i="1"/>
  <c r="S244" i="1"/>
  <c r="T244" i="1" s="1"/>
  <c r="S245" i="1"/>
  <c r="T245" i="1" s="1"/>
  <c r="S247" i="1"/>
  <c r="T247" i="1" s="1"/>
  <c r="S248" i="1"/>
  <c r="T248" i="1" s="1"/>
  <c r="S249" i="1"/>
  <c r="S250" i="1"/>
  <c r="S251" i="1"/>
  <c r="S252" i="1"/>
  <c r="S253" i="1"/>
  <c r="S254" i="1"/>
  <c r="T254" i="1" s="1"/>
  <c r="S255" i="1"/>
  <c r="T255" i="1" s="1"/>
  <c r="S256" i="1"/>
  <c r="T256" i="1" s="1"/>
  <c r="S257" i="1"/>
  <c r="T257" i="1" s="1"/>
  <c r="S258" i="1"/>
  <c r="T258" i="1" s="1"/>
  <c r="S259" i="1"/>
  <c r="T259" i="1" s="1"/>
  <c r="S260" i="1"/>
  <c r="T260" i="1" s="1"/>
  <c r="S261" i="1"/>
  <c r="T261" i="1" s="1"/>
  <c r="S262" i="1"/>
  <c r="T262" i="1" s="1"/>
  <c r="S263" i="1"/>
  <c r="T263" i="1" s="1"/>
  <c r="S264" i="1"/>
  <c r="T264" i="1" s="1"/>
  <c r="S265" i="1"/>
  <c r="T265" i="1" s="1"/>
  <c r="S266" i="1"/>
  <c r="T266" i="1" s="1"/>
  <c r="S267" i="1"/>
  <c r="T267" i="1" s="1"/>
  <c r="S268" i="1"/>
  <c r="T268" i="1" s="1"/>
  <c r="S269" i="1"/>
  <c r="T269" i="1" s="1"/>
  <c r="S270" i="1"/>
  <c r="T270" i="1" s="1"/>
  <c r="S271" i="1"/>
  <c r="T271" i="1" s="1"/>
  <c r="S272" i="1"/>
  <c r="T272" i="1" s="1"/>
  <c r="S273" i="1"/>
  <c r="T273" i="1" s="1"/>
  <c r="S274" i="1"/>
  <c r="T274" i="1" s="1"/>
  <c r="S275" i="1"/>
  <c r="T275" i="1" s="1"/>
  <c r="S276" i="1"/>
  <c r="S277" i="1"/>
  <c r="T277" i="1" s="1"/>
  <c r="S278" i="1"/>
  <c r="S279" i="1"/>
  <c r="T279" i="1" s="1"/>
  <c r="S280" i="1"/>
  <c r="T280" i="1" s="1"/>
  <c r="S281" i="1"/>
  <c r="T281" i="1" s="1"/>
  <c r="S282" i="1"/>
  <c r="T282" i="1" s="1"/>
  <c r="S283" i="1"/>
  <c r="T283" i="1" s="1"/>
  <c r="S284" i="1"/>
  <c r="S285" i="1"/>
  <c r="T285" i="1" s="1"/>
  <c r="S286" i="1"/>
  <c r="S287" i="1"/>
  <c r="T287" i="1" s="1"/>
  <c r="S288" i="1"/>
  <c r="T288" i="1" s="1"/>
  <c r="S289" i="1"/>
  <c r="T289" i="1" s="1"/>
  <c r="S290" i="1"/>
  <c r="T290" i="1" s="1"/>
  <c r="S291" i="1"/>
  <c r="T291" i="1" s="1"/>
  <c r="S292" i="1"/>
  <c r="S293" i="1"/>
  <c r="S294" i="1"/>
  <c r="S295" i="1"/>
  <c r="T295" i="1" s="1"/>
  <c r="S297" i="1"/>
  <c r="T297" i="1" s="1"/>
  <c r="S298" i="1"/>
  <c r="T298" i="1" s="1"/>
  <c r="S299" i="1"/>
  <c r="T299" i="1" s="1"/>
  <c r="S300" i="1"/>
  <c r="S301" i="1"/>
  <c r="T301" i="1" s="1"/>
  <c r="S302" i="1"/>
  <c r="T302" i="1" s="1"/>
  <c r="S303" i="1"/>
  <c r="T303" i="1" s="1"/>
  <c r="S304" i="1"/>
  <c r="T304" i="1" s="1"/>
  <c r="S305" i="1"/>
  <c r="T305" i="1" s="1"/>
  <c r="S306" i="1"/>
  <c r="T306" i="1" s="1"/>
  <c r="S307" i="1"/>
  <c r="T307" i="1" s="1"/>
  <c r="S308" i="1"/>
  <c r="S309" i="1"/>
  <c r="T309" i="1" s="1"/>
  <c r="S310" i="1"/>
  <c r="T310" i="1" s="1"/>
  <c r="S311" i="1"/>
  <c r="T311" i="1" s="1"/>
  <c r="S312" i="1"/>
  <c r="T312" i="1" s="1"/>
  <c r="S313" i="1"/>
  <c r="T313" i="1" s="1"/>
  <c r="S314" i="1"/>
  <c r="T314" i="1" s="1"/>
  <c r="S315" i="1"/>
  <c r="T315" i="1" s="1"/>
  <c r="S316" i="1"/>
  <c r="S317" i="1"/>
  <c r="T317" i="1" s="1"/>
  <c r="S318" i="1"/>
  <c r="T318" i="1" s="1"/>
  <c r="S319" i="1"/>
  <c r="T319" i="1" s="1"/>
  <c r="S320" i="1"/>
  <c r="T320" i="1" s="1"/>
  <c r="S321" i="1"/>
  <c r="T321" i="1" s="1"/>
  <c r="S322" i="1"/>
  <c r="T322" i="1" s="1"/>
  <c r="S323" i="1"/>
  <c r="T323" i="1" s="1"/>
  <c r="S324" i="1"/>
  <c r="S325" i="1"/>
  <c r="T325" i="1" s="1"/>
  <c r="S326" i="1"/>
  <c r="T326" i="1" s="1"/>
  <c r="S327" i="1"/>
  <c r="T327" i="1" s="1"/>
  <c r="S328" i="1"/>
  <c r="T328" i="1" s="1"/>
  <c r="S329" i="1"/>
  <c r="T329" i="1" s="1"/>
  <c r="S330" i="1"/>
  <c r="T330" i="1" s="1"/>
  <c r="S331" i="1"/>
  <c r="T331" i="1" s="1"/>
  <c r="S332" i="1"/>
  <c r="S333" i="1"/>
  <c r="T333" i="1" s="1"/>
  <c r="S334" i="1"/>
  <c r="T334" i="1" s="1"/>
  <c r="S335" i="1"/>
  <c r="T335" i="1" s="1"/>
  <c r="S336" i="1"/>
  <c r="T336" i="1" s="1"/>
  <c r="S337" i="1"/>
  <c r="T337" i="1" s="1"/>
  <c r="S338" i="1"/>
  <c r="T338" i="1" s="1"/>
  <c r="S339" i="1"/>
  <c r="T339" i="1" s="1"/>
  <c r="S340" i="1"/>
  <c r="S341" i="1"/>
  <c r="T341" i="1" s="1"/>
  <c r="S342" i="1"/>
  <c r="T342" i="1" s="1"/>
  <c r="S343" i="1"/>
  <c r="T343" i="1" s="1"/>
  <c r="S344" i="1"/>
  <c r="T344" i="1" s="1"/>
  <c r="S345" i="1"/>
  <c r="T345" i="1" s="1"/>
  <c r="S346" i="1"/>
  <c r="T346" i="1" s="1"/>
  <c r="S36" i="1"/>
  <c r="T36" i="1" s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6" i="1"/>
  <c r="K185" i="1"/>
  <c r="K128" i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9" i="1" s="1"/>
  <c r="K161" i="1" s="1"/>
  <c r="K162" i="1" s="1"/>
  <c r="K165" i="1" s="1"/>
  <c r="K166" i="1" s="1"/>
  <c r="K167" i="1" s="1"/>
  <c r="K168" i="1" s="1"/>
  <c r="K169" i="1" s="1"/>
  <c r="K170" i="1" s="1"/>
  <c r="K171" i="1" s="1"/>
  <c r="K172" i="1" s="1"/>
  <c r="K173" i="1" s="1"/>
  <c r="K184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K246" i="1" s="1"/>
  <c r="K247" i="1" s="1"/>
  <c r="K125" i="1"/>
  <c r="K124" i="1"/>
  <c r="J38" i="1"/>
  <c r="J39" i="1"/>
  <c r="J40" i="1" s="1"/>
  <c r="J41" i="1"/>
  <c r="J42" i="1"/>
  <c r="J43" i="1" s="1"/>
  <c r="J44" i="1" s="1"/>
  <c r="J45" i="1" s="1"/>
  <c r="J46" i="1" s="1"/>
  <c r="J47" i="1" s="1"/>
  <c r="J48" i="1" s="1"/>
  <c r="J49" i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37" i="1"/>
  <c r="J36" i="1"/>
  <c r="V192" i="2" l="1"/>
  <c r="V194" i="2"/>
  <c r="V196" i="2" s="1"/>
  <c r="V190" i="2"/>
  <c r="Z186" i="1"/>
  <c r="Z187" i="1" s="1"/>
  <c r="Z188" i="1" s="1"/>
  <c r="Z189" i="1" s="1"/>
  <c r="Z190" i="1" s="1"/>
  <c r="Z191" i="1" s="1"/>
  <c r="Z192" i="1" s="1"/>
  <c r="Z193" i="1" s="1"/>
  <c r="Z194" i="1" s="1"/>
  <c r="Z195" i="1" s="1"/>
  <c r="Z196" i="1" s="1"/>
  <c r="Z197" i="1" s="1"/>
  <c r="Z198" i="1" s="1"/>
  <c r="Z199" i="1" s="1"/>
  <c r="Z200" i="1" s="1"/>
  <c r="Z201" i="1" s="1"/>
  <c r="Z202" i="1" s="1"/>
  <c r="Z203" i="1" s="1"/>
  <c r="Z204" i="1" s="1"/>
  <c r="Z205" i="1" s="1"/>
  <c r="Z206" i="1" s="1"/>
  <c r="Z207" i="1" s="1"/>
  <c r="Z208" i="1" s="1"/>
  <c r="Z209" i="1" s="1"/>
  <c r="Z210" i="1" s="1"/>
  <c r="Z211" i="1" s="1"/>
  <c r="Z212" i="1" s="1"/>
  <c r="Z213" i="1" s="1"/>
  <c r="Z214" i="1" s="1"/>
  <c r="Z215" i="1" s="1"/>
  <c r="Z216" i="1" s="1"/>
  <c r="Z217" i="1" s="1"/>
  <c r="Z218" i="1" s="1"/>
  <c r="Z219" i="1" s="1"/>
  <c r="Z220" i="1" s="1"/>
  <c r="Z221" i="1" s="1"/>
  <c r="Z222" i="1" s="1"/>
  <c r="Z223" i="1" s="1"/>
  <c r="Z224" i="1" s="1"/>
  <c r="Z225" i="1" s="1"/>
  <c r="Z226" i="1" s="1"/>
  <c r="Z227" i="1" s="1"/>
  <c r="Z228" i="1" s="1"/>
  <c r="Z229" i="1" s="1"/>
  <c r="Z230" i="1" s="1"/>
  <c r="Z231" i="1" s="1"/>
  <c r="Z232" i="1" s="1"/>
  <c r="Z233" i="1" s="1"/>
  <c r="Z234" i="1" s="1"/>
  <c r="Z235" i="1" s="1"/>
  <c r="Z236" i="1" s="1"/>
  <c r="Z237" i="1" s="1"/>
  <c r="Z238" i="1" s="1"/>
  <c r="Z239" i="1" s="1"/>
  <c r="Z240" i="1" s="1"/>
  <c r="Z241" i="1" s="1"/>
  <c r="Z242" i="1" s="1"/>
  <c r="Z243" i="1" s="1"/>
  <c r="Z244" i="1" s="1"/>
  <c r="Z245" i="1" s="1"/>
  <c r="Z246" i="1" s="1"/>
  <c r="Z247" i="1" s="1"/>
  <c r="K250" i="1"/>
  <c r="J128" i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9" i="1" s="1"/>
  <c r="J161" i="1" s="1"/>
  <c r="J162" i="1" s="1"/>
  <c r="J165" i="1" s="1"/>
  <c r="J166" i="1" s="1"/>
  <c r="J167" i="1" s="1"/>
  <c r="J168" i="1" s="1"/>
  <c r="J169" i="1" s="1"/>
  <c r="J170" i="1" s="1"/>
  <c r="J171" i="1" s="1"/>
  <c r="J172" i="1" s="1"/>
  <c r="J17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J338" i="1" s="1"/>
  <c r="J339" i="1" s="1"/>
  <c r="J340" i="1" s="1"/>
  <c r="J341" i="1" s="1"/>
  <c r="J342" i="1" s="1"/>
  <c r="J343" i="1" s="1"/>
  <c r="J344" i="1" s="1"/>
  <c r="J345" i="1" s="1"/>
  <c r="J346" i="1" s="1"/>
  <c r="V256" i="2" l="1"/>
  <c r="V258" i="2" s="1"/>
  <c r="V254" i="2"/>
  <c r="V252" i="2"/>
  <c r="V192" i="1"/>
  <c r="V190" i="1"/>
  <c r="V194" i="1"/>
  <c r="V196" i="1" s="1"/>
  <c r="V277" i="2" l="1"/>
  <c r="V279" i="2" s="1"/>
  <c r="V275" i="2"/>
  <c r="V273" i="2"/>
  <c r="V253" i="1"/>
  <c r="V255" i="1"/>
  <c r="V257" i="1"/>
  <c r="V259" i="1" s="1"/>
  <c r="V278" i="1" l="1"/>
  <c r="V280" i="1" s="1"/>
  <c r="V274" i="1"/>
  <c r="V276" i="1"/>
  <c r="V302" i="2" l="1"/>
  <c r="V300" i="2"/>
  <c r="V304" i="2"/>
  <c r="V306" i="2" s="1"/>
  <c r="V301" i="1"/>
  <c r="V303" i="1"/>
  <c r="V305" i="1"/>
  <c r="V307" i="1" s="1"/>
  <c r="V319" i="2" l="1"/>
  <c r="V317" i="2"/>
  <c r="V321" i="2"/>
  <c r="V323" i="2" s="1"/>
  <c r="V322" i="1"/>
  <c r="V324" i="1" s="1"/>
  <c r="V318" i="1"/>
  <c r="V320" i="1"/>
</calcChain>
</file>

<file path=xl/sharedStrings.xml><?xml version="1.0" encoding="utf-8"?>
<sst xmlns="http://schemas.openxmlformats.org/spreadsheetml/2006/main" count="325" uniqueCount="69">
  <si>
    <t>LAMBX</t>
  </si>
  <si>
    <t>LAMBY</t>
  </si>
  <si>
    <t>DATE</t>
  </si>
  <si>
    <t>PRELIQ_Q</t>
  </si>
  <si>
    <t>T_Q</t>
  </si>
  <si>
    <t>SSI_Q</t>
  </si>
  <si>
    <t>ETP_Q</t>
  </si>
  <si>
    <t>TINF_H_Q</t>
  </si>
  <si>
    <t>TSUP_H_Q</t>
  </si>
  <si>
    <t>TEMPERATURE</t>
  </si>
  <si>
    <t>EAU</t>
  </si>
  <si>
    <t>BILAN HYDRIQUE</t>
  </si>
  <si>
    <t>SOLAIRE</t>
  </si>
  <si>
    <t>Floraison</t>
  </si>
  <si>
    <t>Vernalisation</t>
  </si>
  <si>
    <t>Période</t>
  </si>
  <si>
    <t>GDD_Cumul</t>
  </si>
  <si>
    <t>GDD/période</t>
  </si>
  <si>
    <t>Indicateurs</t>
  </si>
  <si>
    <t>P-ETP</t>
  </si>
  <si>
    <t>RU_avant_semis</t>
  </si>
  <si>
    <t>i</t>
  </si>
  <si>
    <t>kc</t>
  </si>
  <si>
    <t>ETM</t>
  </si>
  <si>
    <t>P-ETM</t>
  </si>
  <si>
    <t>WSCi</t>
  </si>
  <si>
    <t>indicateur</t>
  </si>
  <si>
    <t>QTP</t>
  </si>
  <si>
    <t>SSI_Cumul</t>
  </si>
  <si>
    <t>SSI/période</t>
  </si>
  <si>
    <t>photopériode</t>
  </si>
  <si>
    <t>Indicateur</t>
  </si>
  <si>
    <t>Semis</t>
  </si>
  <si>
    <t>levée</t>
  </si>
  <si>
    <t>Fin flo</t>
  </si>
  <si>
    <t>RECOLTE</t>
  </si>
  <si>
    <t>SEMIS</t>
  </si>
  <si>
    <t>fin hiver</t>
  </si>
  <si>
    <t>hiver</t>
  </si>
  <si>
    <t>LGDD</t>
  </si>
  <si>
    <t>TMN</t>
  </si>
  <si>
    <t>TMIN</t>
  </si>
  <si>
    <t>TMAX</t>
  </si>
  <si>
    <t>NBD_HT</t>
  </si>
  <si>
    <t>NBD_LT</t>
  </si>
  <si>
    <t>NBD_FR</t>
  </si>
  <si>
    <t>FALL</t>
  </si>
  <si>
    <t>CLIMATIC WINTER</t>
  </si>
  <si>
    <t>BOLTING</t>
  </si>
  <si>
    <t>FLOWERING</t>
  </si>
  <si>
    <t>P300</t>
  </si>
  <si>
    <t>P600</t>
  </si>
  <si>
    <t>P1000</t>
  </si>
  <si>
    <t>NBD_WD</t>
  </si>
  <si>
    <t>NBD_WS</t>
  </si>
  <si>
    <t>WSC_MIN</t>
  </si>
  <si>
    <t>WSC_MAX</t>
  </si>
  <si>
    <t>WSC_MN</t>
  </si>
  <si>
    <t>SSR</t>
  </si>
  <si>
    <t>QPT</t>
  </si>
  <si>
    <t>NBD_DSR</t>
  </si>
  <si>
    <t>s</t>
  </si>
  <si>
    <t>NBD_VERN_OPTI</t>
  </si>
  <si>
    <t>N50</t>
  </si>
  <si>
    <t>WSC_I</t>
  </si>
  <si>
    <t>BI</t>
  </si>
  <si>
    <t>DRF</t>
  </si>
  <si>
    <t>TS</t>
  </si>
  <si>
    <t>IRF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</si>
</sst>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5FC9"/>
        <bgColor indexed="64"/>
      </patternFill>
    </fill>
    <fill>
      <patternFill patternType="solid">
        <fgColor rgb="FFC67DFF"/>
        <bgColor indexed="64"/>
      </patternFill>
    </fill>
    <fill>
      <patternFill patternType="solid">
        <fgColor rgb="FF05A6FF"/>
        <bgColor indexed="64"/>
      </patternFill>
    </fill>
    <fill>
      <patternFill patternType="solid">
        <fgColor rgb="FF0ABFC6"/>
        <bgColor indexed="64"/>
      </patternFill>
    </fill>
    <fill>
      <patternFill patternType="solid">
        <fgColor rgb="FF00CC67"/>
        <bgColor indexed="64"/>
      </patternFill>
    </fill>
    <fill>
      <patternFill patternType="solid">
        <fgColor rgb="FF7BAE02"/>
        <bgColor indexed="64"/>
      </patternFill>
    </fill>
    <fill>
      <patternFill patternType="solid">
        <fgColor rgb="FFCF9C0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NumberFormat="1" applyFont="1" applyFill="1"/>
    <xf numFmtId="0" fontId="1" fillId="0" borderId="0" xfId="0" applyNumberFormat="1" applyFont="1" applyFill="1" applyBorder="1"/>
    <xf numFmtId="0" fontId="0" fillId="0" borderId="0" xfId="0" applyNumberFormat="1"/>
    <xf numFmtId="0" fontId="1" fillId="0" borderId="0" xfId="0" applyNumberFormat="1" applyFont="1" applyAlignment="1">
      <alignment horizontal="center" vertical="center"/>
    </xf>
    <xf numFmtId="0" fontId="1" fillId="0" borderId="0" xfId="0" applyNumberFormat="1" applyFont="1"/>
    <xf numFmtId="0" fontId="1" fillId="0" borderId="1" xfId="0" applyNumberFormat="1" applyFont="1" applyFill="1" applyBorder="1"/>
    <xf numFmtId="14" fontId="0" fillId="0" borderId="0" xfId="0" applyNumberFormat="1"/>
    <xf numFmtId="0" fontId="0" fillId="3" borderId="2" xfId="0" applyNumberFormat="1" applyFill="1" applyBorder="1"/>
    <xf numFmtId="0" fontId="0" fillId="2" borderId="2" xfId="0" applyNumberFormat="1" applyFill="1" applyBorder="1"/>
    <xf numFmtId="0" fontId="1" fillId="4" borderId="1" xfId="0" applyFont="1" applyFill="1" applyBorder="1"/>
    <xf numFmtId="0" fontId="0" fillId="0" borderId="1" xfId="0" applyBorder="1"/>
    <xf numFmtId="0" fontId="0" fillId="0" borderId="1" xfId="0" applyFont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2" fontId="0" fillId="0" borderId="1" xfId="0" applyNumberFormat="1" applyBorder="1"/>
    <xf numFmtId="0" fontId="0" fillId="0" borderId="1" xfId="0" applyFill="1" applyBorder="1"/>
    <xf numFmtId="0" fontId="1" fillId="8" borderId="1" xfId="0" applyFont="1" applyFill="1" applyBorder="1"/>
    <xf numFmtId="0" fontId="1" fillId="9" borderId="1" xfId="0" applyFont="1" applyFill="1" applyBorder="1"/>
    <xf numFmtId="0" fontId="1" fillId="10" borderId="1" xfId="0" applyFont="1" applyFill="1" applyBorder="1"/>
    <xf numFmtId="0" fontId="1" fillId="0" borderId="3" xfId="0" applyNumberFormat="1" applyFont="1" applyBorder="1"/>
    <xf numFmtId="14" fontId="1" fillId="0" borderId="3" xfId="0" applyNumberFormat="1" applyFont="1" applyBorder="1"/>
    <xf numFmtId="0" fontId="0" fillId="0" borderId="1" xfId="0" applyNumberFormat="1" applyBorder="1"/>
    <xf numFmtId="0" fontId="0" fillId="3" borderId="6" xfId="0" applyNumberFormat="1" applyFill="1" applyBorder="1"/>
    <xf numFmtId="0" fontId="1" fillId="0" borderId="7" xfId="0" applyNumberFormat="1" applyFont="1" applyBorder="1"/>
    <xf numFmtId="0" fontId="0" fillId="2" borderId="6" xfId="0" applyNumberFormat="1" applyFill="1" applyBorder="1"/>
    <xf numFmtId="0" fontId="0" fillId="0" borderId="0" xfId="0" applyNumberFormat="1" applyFill="1" applyBorder="1"/>
    <xf numFmtId="2" fontId="0" fillId="0" borderId="0" xfId="0" applyNumberFormat="1"/>
    <xf numFmtId="2" fontId="1" fillId="0" borderId="3" xfId="0" applyNumberFormat="1" applyFont="1" applyBorder="1"/>
    <xf numFmtId="0" fontId="0" fillId="0" borderId="3" xfId="0" applyNumberFormat="1" applyBorder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0" fillId="11" borderId="0" xfId="0" applyNumberFormat="1" applyFill="1"/>
    <xf numFmtId="0" fontId="1" fillId="11" borderId="3" xfId="0" applyNumberFormat="1" applyFont="1" applyFill="1" applyBorder="1"/>
    <xf numFmtId="0" fontId="1" fillId="0" borderId="0" xfId="0" applyNumberFormat="1" applyFont="1" applyAlignment="1">
      <alignment horizontal="center" vertical="center"/>
    </xf>
    <xf numFmtId="0" fontId="0" fillId="0" borderId="0" xfId="0" applyNumberFormat="1" applyFont="1" applyBorder="1"/>
    <xf numFmtId="14" fontId="0" fillId="0" borderId="0" xfId="0" applyNumberFormat="1" applyFont="1" applyBorder="1"/>
    <xf numFmtId="2" fontId="0" fillId="0" borderId="0" xfId="0" applyNumberFormat="1" applyFont="1" applyBorder="1"/>
    <xf numFmtId="0" fontId="1" fillId="0" borderId="3" xfId="0" applyNumberFormat="1" applyFont="1" applyFill="1" applyBorder="1"/>
    <xf numFmtId="164" fontId="0" fillId="0" borderId="0" xfId="0" applyNumberFormat="1"/>
    <xf numFmtId="0" fontId="1" fillId="0" borderId="0" xfId="0" applyNumberFormat="1" applyFont="1" applyAlignment="1">
      <alignment horizontal="center" vertical="center"/>
    </xf>
    <xf numFmtId="0" fontId="2" fillId="2" borderId="2" xfId="0" applyNumberFormat="1" applyFont="1" applyFill="1" applyBorder="1" applyAlignment="1">
      <alignment horizontal="center" vertical="center"/>
    </xf>
    <xf numFmtId="0" fontId="2" fillId="3" borderId="2" xfId="0" applyNumberFormat="1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 textRotation="255"/>
    </xf>
    <xf numFmtId="0" fontId="1" fillId="4" borderId="0" xfId="0" applyFont="1" applyFill="1" applyBorder="1" applyAlignment="1">
      <alignment horizontal="center" vertical="center" textRotation="255"/>
    </xf>
    <xf numFmtId="0" fontId="1" fillId="4" borderId="3" xfId="0" applyFont="1" applyFill="1" applyBorder="1" applyAlignment="1">
      <alignment horizontal="center" vertical="center" textRotation="255"/>
    </xf>
    <xf numFmtId="0" fontId="1" fillId="5" borderId="5" xfId="0" applyFont="1" applyFill="1" applyBorder="1" applyAlignment="1">
      <alignment horizontal="center" vertical="center" textRotation="255"/>
    </xf>
    <xf numFmtId="0" fontId="1" fillId="5" borderId="0" xfId="0" applyFont="1" applyFill="1" applyBorder="1" applyAlignment="1">
      <alignment horizontal="center" vertical="center" textRotation="255"/>
    </xf>
    <xf numFmtId="0" fontId="1" fillId="5" borderId="3" xfId="0" applyFont="1" applyFill="1" applyBorder="1" applyAlignment="1">
      <alignment horizontal="center" vertical="center" textRotation="255"/>
    </xf>
    <xf numFmtId="0" fontId="1" fillId="9" borderId="5" xfId="0" applyFont="1" applyFill="1" applyBorder="1" applyAlignment="1">
      <alignment horizontal="center" vertical="center" textRotation="255"/>
    </xf>
    <xf numFmtId="0" fontId="1" fillId="9" borderId="0" xfId="0" applyFont="1" applyFill="1" applyBorder="1" applyAlignment="1">
      <alignment horizontal="center" vertical="center" textRotation="255"/>
    </xf>
    <xf numFmtId="0" fontId="1" fillId="9" borderId="3" xfId="0" applyFont="1" applyFill="1" applyBorder="1" applyAlignment="1">
      <alignment horizontal="center" vertical="center" textRotation="255"/>
    </xf>
    <xf numFmtId="0" fontId="1" fillId="10" borderId="5" xfId="0" applyFont="1" applyFill="1" applyBorder="1" applyAlignment="1">
      <alignment horizontal="center" vertical="center" textRotation="255"/>
    </xf>
    <xf numFmtId="0" fontId="1" fillId="10" borderId="0" xfId="0" applyFont="1" applyFill="1" applyBorder="1" applyAlignment="1">
      <alignment horizontal="center" vertical="center" textRotation="255"/>
    </xf>
    <xf numFmtId="0" fontId="1" fillId="10" borderId="3" xfId="0" applyFont="1" applyFill="1" applyBorder="1" applyAlignment="1">
      <alignment horizontal="center" vertical="center" textRotation="255"/>
    </xf>
    <xf numFmtId="0" fontId="1" fillId="6" borderId="5" xfId="0" applyFont="1" applyFill="1" applyBorder="1" applyAlignment="1">
      <alignment horizontal="center" vertical="center" textRotation="255"/>
    </xf>
    <xf numFmtId="0" fontId="1" fillId="6" borderId="0" xfId="0" applyFont="1" applyFill="1" applyBorder="1" applyAlignment="1">
      <alignment horizontal="center" vertical="center" textRotation="255"/>
    </xf>
    <xf numFmtId="0" fontId="1" fillId="7" borderId="5" xfId="0" applyFont="1" applyFill="1" applyBorder="1" applyAlignment="1">
      <alignment horizontal="center" vertical="center" textRotation="255"/>
    </xf>
    <xf numFmtId="0" fontId="1" fillId="7" borderId="0" xfId="0" applyFont="1" applyFill="1" applyBorder="1" applyAlignment="1">
      <alignment horizontal="center" vertical="center" textRotation="255"/>
    </xf>
    <xf numFmtId="0" fontId="1" fillId="7" borderId="3" xfId="0" applyFont="1" applyFill="1" applyBorder="1" applyAlignment="1">
      <alignment horizontal="center" vertical="center" textRotation="255"/>
    </xf>
    <xf numFmtId="0" fontId="1" fillId="8" borderId="5" xfId="0" applyFont="1" applyFill="1" applyBorder="1" applyAlignment="1">
      <alignment horizontal="center" vertical="center" textRotation="255"/>
    </xf>
    <xf numFmtId="0" fontId="1" fillId="8" borderId="0" xfId="0" applyFont="1" applyFill="1" applyBorder="1" applyAlignment="1">
      <alignment horizontal="center" vertical="center" textRotation="255"/>
    </xf>
    <xf numFmtId="0" fontId="1" fillId="8" borderId="3" xfId="0" applyFont="1" applyFill="1" applyBorder="1" applyAlignment="1">
      <alignment horizontal="center" vertical="center" textRotation="255"/>
    </xf>
    <xf numFmtId="0" fontId="1" fillId="6" borderId="3" xfId="0" applyFont="1" applyFill="1" applyBorder="1" applyAlignment="1">
      <alignment horizontal="center" vertical="center" textRotation="255"/>
    </xf>
    <xf numFmtId="0" fontId="0" fillId="12" borderId="0" xfId="0" applyNumberFormat="1" applyFill="1"/>
    <xf numFmtId="14" fontId="0" fillId="12" borderId="0" xfId="0" applyNumberFormat="1" applyFill="1"/>
    <xf numFmtId="0" fontId="0" fillId="12" borderId="1" xfId="0" applyNumberFormat="1" applyFill="1" applyBorder="1"/>
    <xf numFmtId="2" fontId="0" fillId="12" borderId="0" xfId="0" applyNumberFormat="1" applyFill="1"/>
    <xf numFmtId="0" fontId="0" fillId="13" borderId="0" xfId="0" applyNumberFormat="1" applyFill="1"/>
    <xf numFmtId="2" fontId="0" fillId="13" borderId="0" xfId="0" applyNumberFormat="1" applyFill="1"/>
  </cellXfs>
  <cellStyles count="1">
    <cellStyle name="Normal" xfId="0" builtinId="0"/>
  </cellStyles>
  <dxfs count="64">
    <dxf>
      <fill>
        <patternFill>
          <bgColor theme="5" tint="0.59996337778862885"/>
        </patternFill>
      </fill>
    </dxf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4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4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4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4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4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4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1"/>
  <sheetViews>
    <sheetView tabSelected="1" zoomScale="70" zoomScaleNormal="70" workbookViewId="0">
      <pane xSplit="6" ySplit="2" topLeftCell="G201" activePane="bottomRight" state="frozen"/>
      <selection pane="topRight" activeCell="G1" sqref="G1"/>
      <selection pane="bottomLeft" activeCell="A3" sqref="A3"/>
      <selection pane="bottomRight" activeCell="P240" sqref="P240"/>
    </sheetView>
  </sheetViews>
  <sheetFormatPr baseColWidth="10" defaultRowHeight="15" x14ac:dyDescent="0.25"/>
  <cols>
    <col min="12" max="12" width="11.42578125" style="11"/>
  </cols>
  <sheetData>
    <row r="1" spans="1:28" s="3" customFormat="1" x14ac:dyDescent="0.25">
      <c r="G1" s="46" t="s">
        <v>9</v>
      </c>
      <c r="H1" s="46"/>
      <c r="I1" s="46"/>
      <c r="J1" s="46"/>
      <c r="K1" s="46"/>
      <c r="L1" s="46"/>
      <c r="M1" s="46" t="s">
        <v>10</v>
      </c>
      <c r="N1" s="46"/>
      <c r="O1" s="46"/>
      <c r="P1" s="46"/>
      <c r="Q1" s="46" t="s">
        <v>11</v>
      </c>
      <c r="R1" s="46"/>
      <c r="S1" s="46"/>
      <c r="T1" s="46"/>
      <c r="U1" s="46"/>
      <c r="V1" s="4"/>
      <c r="W1" s="46" t="s">
        <v>12</v>
      </c>
      <c r="X1" s="46"/>
      <c r="Y1" s="46"/>
      <c r="Z1" s="46"/>
      <c r="AA1" s="46"/>
      <c r="AB1" s="46"/>
    </row>
    <row r="2" spans="1:28" s="3" customFormat="1" x14ac:dyDescent="0.25">
      <c r="A2" s="5" t="s">
        <v>0</v>
      </c>
      <c r="B2" s="5" t="s">
        <v>1</v>
      </c>
      <c r="C2" s="5" t="s">
        <v>2</v>
      </c>
      <c r="D2" s="5" t="s">
        <v>13</v>
      </c>
      <c r="E2" s="5" t="s">
        <v>14</v>
      </c>
      <c r="F2" s="5" t="s">
        <v>15</v>
      </c>
      <c r="G2" s="5" t="s">
        <v>4</v>
      </c>
      <c r="H2" s="5" t="s">
        <v>7</v>
      </c>
      <c r="I2" s="5" t="s">
        <v>8</v>
      </c>
      <c r="J2" s="1" t="s">
        <v>16</v>
      </c>
      <c r="K2" s="1" t="s">
        <v>17</v>
      </c>
      <c r="L2" s="6" t="s">
        <v>18</v>
      </c>
      <c r="M2" s="1" t="s">
        <v>3</v>
      </c>
      <c r="N2" s="1" t="s">
        <v>6</v>
      </c>
      <c r="O2" s="2" t="s">
        <v>19</v>
      </c>
      <c r="P2" s="2" t="s">
        <v>20</v>
      </c>
      <c r="Q2" s="2" t="s">
        <v>21</v>
      </c>
      <c r="R2" s="2" t="s">
        <v>22</v>
      </c>
      <c r="S2" s="2" t="s">
        <v>23</v>
      </c>
      <c r="T2" s="2" t="s">
        <v>24</v>
      </c>
      <c r="U2" s="2" t="s">
        <v>25</v>
      </c>
      <c r="V2" s="6" t="s">
        <v>26</v>
      </c>
      <c r="W2" s="1" t="s">
        <v>5</v>
      </c>
      <c r="X2" s="1" t="s">
        <v>27</v>
      </c>
      <c r="Y2" s="1" t="s">
        <v>28</v>
      </c>
      <c r="Z2" s="1" t="s">
        <v>29</v>
      </c>
      <c r="AA2" s="1" t="s">
        <v>30</v>
      </c>
      <c r="AB2" s="1" t="s">
        <v>31</v>
      </c>
    </row>
    <row r="3" spans="1:28" s="3" customFormat="1" x14ac:dyDescent="0.25">
      <c r="A3" s="3">
        <v>5400</v>
      </c>
      <c r="B3" s="3">
        <v>24010</v>
      </c>
      <c r="C3" s="7">
        <v>42582</v>
      </c>
      <c r="G3" s="3">
        <v>19.100000000000001</v>
      </c>
      <c r="H3" s="3">
        <v>15</v>
      </c>
      <c r="I3" s="3">
        <v>22.9</v>
      </c>
      <c r="L3" s="23"/>
      <c r="M3" s="3">
        <v>0</v>
      </c>
      <c r="N3" s="3">
        <v>3.2</v>
      </c>
      <c r="O3" s="3">
        <f>M3-N3</f>
        <v>-3.2</v>
      </c>
      <c r="P3" s="3">
        <v>0</v>
      </c>
      <c r="W3" s="3">
        <v>1373.1</v>
      </c>
    </row>
    <row r="4" spans="1:28" s="3" customFormat="1" x14ac:dyDescent="0.25">
      <c r="A4" s="3">
        <v>5400</v>
      </c>
      <c r="B4" s="3">
        <v>24010</v>
      </c>
      <c r="C4" s="7">
        <v>42583</v>
      </c>
      <c r="G4" s="3">
        <v>18.5</v>
      </c>
      <c r="H4" s="3">
        <v>13.2</v>
      </c>
      <c r="I4" s="3">
        <v>22.5</v>
      </c>
      <c r="L4" s="23"/>
      <c r="M4" s="3">
        <v>1</v>
      </c>
      <c r="N4" s="3">
        <v>4.3</v>
      </c>
      <c r="O4" s="3">
        <f t="shared" ref="O4:O34" si="0">M4-N4</f>
        <v>-3.3</v>
      </c>
      <c r="P4" s="3">
        <v>0</v>
      </c>
      <c r="W4" s="3">
        <v>2108.6</v>
      </c>
    </row>
    <row r="5" spans="1:28" s="3" customFormat="1" x14ac:dyDescent="0.25">
      <c r="A5" s="3">
        <v>5400</v>
      </c>
      <c r="B5" s="3">
        <v>24010</v>
      </c>
      <c r="C5" s="7">
        <v>42584</v>
      </c>
      <c r="G5" s="3">
        <v>19.3</v>
      </c>
      <c r="H5" s="3">
        <v>16.100000000000001</v>
      </c>
      <c r="I5" s="3">
        <v>21.2</v>
      </c>
      <c r="L5" s="23"/>
      <c r="M5" s="3">
        <v>0.8</v>
      </c>
      <c r="N5" s="3">
        <v>2</v>
      </c>
      <c r="O5" s="3">
        <f t="shared" si="0"/>
        <v>-1.2</v>
      </c>
      <c r="P5" s="3">
        <v>0</v>
      </c>
      <c r="W5" s="3">
        <v>830.6</v>
      </c>
    </row>
    <row r="6" spans="1:28" s="3" customFormat="1" x14ac:dyDescent="0.25">
      <c r="A6" s="3">
        <v>5400</v>
      </c>
      <c r="B6" s="3">
        <v>24010</v>
      </c>
      <c r="C6" s="7">
        <v>42585</v>
      </c>
      <c r="G6" s="3">
        <v>20.2</v>
      </c>
      <c r="H6" s="3">
        <v>17.5</v>
      </c>
      <c r="I6" s="3">
        <v>24.3</v>
      </c>
      <c r="L6" s="23"/>
      <c r="M6" s="3">
        <v>0.9</v>
      </c>
      <c r="N6" s="3">
        <v>3.9</v>
      </c>
      <c r="O6" s="3">
        <f t="shared" si="0"/>
        <v>-3</v>
      </c>
      <c r="P6" s="3">
        <v>0</v>
      </c>
      <c r="W6" s="3">
        <v>1660.3</v>
      </c>
    </row>
    <row r="7" spans="1:28" s="3" customFormat="1" x14ac:dyDescent="0.25">
      <c r="A7" s="3">
        <v>5400</v>
      </c>
      <c r="B7" s="3">
        <v>24010</v>
      </c>
      <c r="C7" s="7">
        <v>42586</v>
      </c>
      <c r="G7" s="3">
        <v>17.399999999999999</v>
      </c>
      <c r="H7" s="3">
        <v>16</v>
      </c>
      <c r="I7" s="3">
        <v>19.5</v>
      </c>
      <c r="L7" s="23"/>
      <c r="M7" s="3">
        <v>4.4000000000000004</v>
      </c>
      <c r="N7" s="3">
        <v>2.4</v>
      </c>
      <c r="O7" s="3">
        <f t="shared" si="0"/>
        <v>2.0000000000000004</v>
      </c>
      <c r="P7" s="3">
        <f>O7</f>
        <v>2.0000000000000004</v>
      </c>
      <c r="W7" s="3">
        <v>1504.1</v>
      </c>
    </row>
    <row r="8" spans="1:28" s="3" customFormat="1" x14ac:dyDescent="0.25">
      <c r="A8" s="3">
        <v>5400</v>
      </c>
      <c r="B8" s="3">
        <v>24010</v>
      </c>
      <c r="C8" s="7">
        <v>42587</v>
      </c>
      <c r="G8" s="3">
        <v>17.100000000000001</v>
      </c>
      <c r="H8" s="3">
        <v>13</v>
      </c>
      <c r="I8" s="3">
        <v>21.2</v>
      </c>
      <c r="L8" s="23"/>
      <c r="M8" s="3">
        <v>0</v>
      </c>
      <c r="N8" s="3">
        <v>3</v>
      </c>
      <c r="O8" s="3">
        <f t="shared" si="0"/>
        <v>-3</v>
      </c>
      <c r="P8" s="3">
        <v>0</v>
      </c>
      <c r="W8" s="3">
        <v>1579.8</v>
      </c>
    </row>
    <row r="9" spans="1:28" s="3" customFormat="1" x14ac:dyDescent="0.25">
      <c r="A9" s="3">
        <v>5400</v>
      </c>
      <c r="B9" s="3">
        <v>24010</v>
      </c>
      <c r="C9" s="7">
        <v>42588</v>
      </c>
      <c r="G9" s="3">
        <v>18.399999999999999</v>
      </c>
      <c r="H9" s="3">
        <v>12.5</v>
      </c>
      <c r="I9" s="3">
        <v>25.1</v>
      </c>
      <c r="L9" s="23"/>
      <c r="M9" s="3">
        <v>0</v>
      </c>
      <c r="N9" s="3">
        <v>3.7</v>
      </c>
      <c r="O9" s="3">
        <f t="shared" si="0"/>
        <v>-3.7</v>
      </c>
      <c r="P9" s="3">
        <v>0</v>
      </c>
      <c r="W9" s="3">
        <v>1806.8</v>
      </c>
    </row>
    <row r="10" spans="1:28" s="3" customFormat="1" x14ac:dyDescent="0.25">
      <c r="A10" s="3">
        <v>5400</v>
      </c>
      <c r="B10" s="3">
        <v>24010</v>
      </c>
      <c r="C10" s="7">
        <v>42589</v>
      </c>
      <c r="G10" s="3">
        <v>21.4</v>
      </c>
      <c r="H10" s="3">
        <v>14.3</v>
      </c>
      <c r="I10" s="3">
        <v>27.8</v>
      </c>
      <c r="L10" s="23"/>
      <c r="M10" s="3">
        <v>0</v>
      </c>
      <c r="N10" s="3">
        <v>5</v>
      </c>
      <c r="O10" s="3">
        <f t="shared" si="0"/>
        <v>-5</v>
      </c>
      <c r="P10" s="3">
        <v>0</v>
      </c>
      <c r="W10" s="3">
        <v>2365.6999999999998</v>
      </c>
    </row>
    <row r="11" spans="1:28" s="3" customFormat="1" x14ac:dyDescent="0.25">
      <c r="A11" s="3">
        <v>5400</v>
      </c>
      <c r="B11" s="3">
        <v>24010</v>
      </c>
      <c r="C11" s="7">
        <v>42590</v>
      </c>
      <c r="G11" s="3">
        <v>18.399999999999999</v>
      </c>
      <c r="H11" s="3">
        <v>16.600000000000001</v>
      </c>
      <c r="I11" s="3">
        <v>20.8</v>
      </c>
      <c r="L11" s="23"/>
      <c r="M11" s="3">
        <v>0</v>
      </c>
      <c r="N11" s="3">
        <v>2.2999999999999998</v>
      </c>
      <c r="O11" s="3">
        <f t="shared" si="0"/>
        <v>-2.2999999999999998</v>
      </c>
      <c r="P11" s="3">
        <v>0</v>
      </c>
      <c r="W11" s="3">
        <v>894.5</v>
      </c>
    </row>
    <row r="12" spans="1:28" s="3" customFormat="1" x14ac:dyDescent="0.25">
      <c r="A12" s="3">
        <v>5400</v>
      </c>
      <c r="B12" s="3">
        <v>24010</v>
      </c>
      <c r="C12" s="7">
        <v>42591</v>
      </c>
      <c r="G12" s="3">
        <v>16.399999999999999</v>
      </c>
      <c r="H12" s="3">
        <v>12.8</v>
      </c>
      <c r="I12" s="3">
        <v>20.2</v>
      </c>
      <c r="L12" s="23"/>
      <c r="M12" s="3">
        <v>0</v>
      </c>
      <c r="N12" s="3">
        <v>3.2</v>
      </c>
      <c r="O12" s="3">
        <f t="shared" si="0"/>
        <v>-3.2</v>
      </c>
      <c r="P12" s="3">
        <v>0</v>
      </c>
      <c r="W12" s="3">
        <v>1561.9</v>
      </c>
    </row>
    <row r="13" spans="1:28" s="3" customFormat="1" x14ac:dyDescent="0.25">
      <c r="A13" s="3">
        <v>5400</v>
      </c>
      <c r="B13" s="3">
        <v>24010</v>
      </c>
      <c r="C13" s="7">
        <v>42592</v>
      </c>
      <c r="G13" s="3">
        <v>14.1</v>
      </c>
      <c r="H13" s="3">
        <v>10.8</v>
      </c>
      <c r="I13" s="3">
        <v>18.5</v>
      </c>
      <c r="L13" s="23"/>
      <c r="M13" s="3">
        <v>0</v>
      </c>
      <c r="N13" s="3">
        <v>2.6</v>
      </c>
      <c r="O13" s="3">
        <f t="shared" si="0"/>
        <v>-2.6</v>
      </c>
      <c r="P13" s="3">
        <v>0</v>
      </c>
      <c r="W13" s="3">
        <v>1206.8</v>
      </c>
    </row>
    <row r="14" spans="1:28" s="3" customFormat="1" x14ac:dyDescent="0.25">
      <c r="A14" s="3">
        <v>5400</v>
      </c>
      <c r="B14" s="3">
        <v>24010</v>
      </c>
      <c r="C14" s="7">
        <v>42593</v>
      </c>
      <c r="G14" s="3">
        <v>15.5</v>
      </c>
      <c r="H14" s="3">
        <v>8.8000000000000007</v>
      </c>
      <c r="I14" s="3">
        <v>21.8</v>
      </c>
      <c r="L14" s="23"/>
      <c r="M14" s="3">
        <v>0</v>
      </c>
      <c r="N14" s="3">
        <v>2.5</v>
      </c>
      <c r="O14" s="3">
        <f t="shared" si="0"/>
        <v>-2.5</v>
      </c>
      <c r="P14" s="3">
        <v>0</v>
      </c>
      <c r="W14" s="3">
        <v>1150.5999999999999</v>
      </c>
    </row>
    <row r="15" spans="1:28" s="3" customFormat="1" x14ac:dyDescent="0.25">
      <c r="A15" s="3">
        <v>5400</v>
      </c>
      <c r="B15" s="3">
        <v>24010</v>
      </c>
      <c r="C15" s="7">
        <v>42594</v>
      </c>
      <c r="G15" s="3">
        <v>19.7</v>
      </c>
      <c r="H15" s="3">
        <v>12.9</v>
      </c>
      <c r="I15" s="3">
        <v>26.6</v>
      </c>
      <c r="L15" s="23"/>
      <c r="M15" s="3">
        <v>0</v>
      </c>
      <c r="N15" s="3">
        <v>5.3</v>
      </c>
      <c r="O15" s="3">
        <f t="shared" si="0"/>
        <v>-5.3</v>
      </c>
      <c r="P15" s="3">
        <v>0</v>
      </c>
      <c r="W15" s="3">
        <v>2700.4</v>
      </c>
    </row>
    <row r="16" spans="1:28" s="3" customFormat="1" x14ac:dyDescent="0.25">
      <c r="A16" s="3">
        <v>5400</v>
      </c>
      <c r="B16" s="3">
        <v>24010</v>
      </c>
      <c r="C16" s="7">
        <v>42595</v>
      </c>
      <c r="G16" s="3">
        <v>20.9</v>
      </c>
      <c r="H16" s="3">
        <v>13.8</v>
      </c>
      <c r="I16" s="3">
        <v>27.9</v>
      </c>
      <c r="L16" s="23"/>
      <c r="M16" s="3">
        <v>0</v>
      </c>
      <c r="N16" s="3">
        <v>4.7</v>
      </c>
      <c r="O16" s="3">
        <f t="shared" si="0"/>
        <v>-4.7</v>
      </c>
      <c r="P16" s="3">
        <v>0</v>
      </c>
      <c r="W16" s="3">
        <v>2019.8</v>
      </c>
    </row>
    <row r="17" spans="1:23" s="3" customFormat="1" x14ac:dyDescent="0.25">
      <c r="A17" s="3">
        <v>5400</v>
      </c>
      <c r="B17" s="3">
        <v>24010</v>
      </c>
      <c r="C17" s="7">
        <v>42596</v>
      </c>
      <c r="G17" s="3">
        <v>20.6</v>
      </c>
      <c r="H17" s="3">
        <v>14.5</v>
      </c>
      <c r="I17" s="3">
        <v>26.9</v>
      </c>
      <c r="L17" s="23"/>
      <c r="M17" s="3">
        <v>0</v>
      </c>
      <c r="N17" s="3">
        <v>4.5</v>
      </c>
      <c r="O17" s="3">
        <f t="shared" si="0"/>
        <v>-4.5</v>
      </c>
      <c r="P17" s="3">
        <v>0</v>
      </c>
      <c r="W17" s="3">
        <v>2156.1</v>
      </c>
    </row>
    <row r="18" spans="1:23" s="3" customFormat="1" x14ac:dyDescent="0.25">
      <c r="A18" s="3">
        <v>5400</v>
      </c>
      <c r="B18" s="3">
        <v>24010</v>
      </c>
      <c r="C18" s="7">
        <v>42597</v>
      </c>
      <c r="G18" s="3">
        <v>21</v>
      </c>
      <c r="H18" s="3">
        <v>15</v>
      </c>
      <c r="I18" s="3">
        <v>26.6</v>
      </c>
      <c r="L18" s="23"/>
      <c r="M18" s="3">
        <v>0</v>
      </c>
      <c r="N18" s="3">
        <v>5.7</v>
      </c>
      <c r="O18" s="3">
        <f t="shared" si="0"/>
        <v>-5.7</v>
      </c>
      <c r="P18" s="3">
        <v>0</v>
      </c>
      <c r="W18" s="3">
        <v>2665.6</v>
      </c>
    </row>
    <row r="19" spans="1:23" s="3" customFormat="1" x14ac:dyDescent="0.25">
      <c r="A19" s="3">
        <v>5400</v>
      </c>
      <c r="B19" s="3">
        <v>24010</v>
      </c>
      <c r="C19" s="7">
        <v>42598</v>
      </c>
      <c r="G19" s="3">
        <v>22.3</v>
      </c>
      <c r="H19" s="3">
        <v>15.4</v>
      </c>
      <c r="I19" s="3">
        <v>28.7</v>
      </c>
      <c r="L19" s="23"/>
      <c r="M19" s="3">
        <v>0</v>
      </c>
      <c r="N19" s="3">
        <v>5.2</v>
      </c>
      <c r="O19" s="3">
        <f t="shared" si="0"/>
        <v>-5.2</v>
      </c>
      <c r="P19" s="3">
        <v>0</v>
      </c>
      <c r="W19" s="3">
        <v>2480.9</v>
      </c>
    </row>
    <row r="20" spans="1:23" s="3" customFormat="1" x14ac:dyDescent="0.25">
      <c r="A20" s="3">
        <v>5400</v>
      </c>
      <c r="B20" s="3">
        <v>24010</v>
      </c>
      <c r="C20" s="7">
        <v>42599</v>
      </c>
      <c r="G20" s="3">
        <v>23.1</v>
      </c>
      <c r="H20" s="3">
        <v>15.1</v>
      </c>
      <c r="I20" s="3">
        <v>29.7</v>
      </c>
      <c r="L20" s="23"/>
      <c r="M20" s="3">
        <v>6.2</v>
      </c>
      <c r="N20" s="3">
        <v>5</v>
      </c>
      <c r="O20" s="3">
        <f t="shared" si="0"/>
        <v>1.2000000000000002</v>
      </c>
      <c r="P20" s="3">
        <f t="shared" ref="P20:P22" si="1">P19+O20</f>
        <v>1.2000000000000002</v>
      </c>
      <c r="W20" s="3">
        <v>2264.4</v>
      </c>
    </row>
    <row r="21" spans="1:23" s="3" customFormat="1" x14ac:dyDescent="0.25">
      <c r="A21" s="3">
        <v>5400</v>
      </c>
      <c r="B21" s="3">
        <v>24010</v>
      </c>
      <c r="C21" s="7">
        <v>42600</v>
      </c>
      <c r="G21" s="3">
        <v>20.3</v>
      </c>
      <c r="H21" s="3">
        <v>18.600000000000001</v>
      </c>
      <c r="I21" s="3">
        <v>21.6</v>
      </c>
      <c r="L21" s="23"/>
      <c r="M21" s="3">
        <v>2</v>
      </c>
      <c r="N21" s="3">
        <v>1.1000000000000001</v>
      </c>
      <c r="O21" s="3">
        <f t="shared" si="0"/>
        <v>0.89999999999999991</v>
      </c>
      <c r="P21" s="3">
        <f t="shared" si="1"/>
        <v>2.1</v>
      </c>
      <c r="W21" s="3">
        <v>472</v>
      </c>
    </row>
    <row r="22" spans="1:23" s="3" customFormat="1" x14ac:dyDescent="0.25">
      <c r="A22" s="3">
        <v>5400</v>
      </c>
      <c r="B22" s="3">
        <v>24010</v>
      </c>
      <c r="C22" s="7">
        <v>42601</v>
      </c>
      <c r="G22" s="3">
        <v>17.3</v>
      </c>
      <c r="H22" s="3">
        <v>16.3</v>
      </c>
      <c r="I22" s="3">
        <v>19.100000000000001</v>
      </c>
      <c r="L22" s="23"/>
      <c r="M22" s="3">
        <v>1.9</v>
      </c>
      <c r="N22" s="3">
        <v>1.5</v>
      </c>
      <c r="O22" s="3">
        <f t="shared" si="0"/>
        <v>0.39999999999999991</v>
      </c>
      <c r="P22" s="3">
        <f t="shared" si="1"/>
        <v>2.5</v>
      </c>
      <c r="W22" s="3">
        <v>805.6</v>
      </c>
    </row>
    <row r="23" spans="1:23" s="3" customFormat="1" x14ac:dyDescent="0.25">
      <c r="A23" s="3">
        <v>5400</v>
      </c>
      <c r="B23" s="3">
        <v>24010</v>
      </c>
      <c r="C23" s="7">
        <v>42602</v>
      </c>
      <c r="G23" s="3">
        <v>17.8</v>
      </c>
      <c r="H23" s="3">
        <v>13.7</v>
      </c>
      <c r="I23" s="3">
        <v>22.5</v>
      </c>
      <c r="L23" s="23"/>
      <c r="M23" s="3">
        <v>0.1</v>
      </c>
      <c r="N23" s="3">
        <v>3.9</v>
      </c>
      <c r="O23" s="3">
        <f t="shared" si="0"/>
        <v>-3.8</v>
      </c>
      <c r="P23" s="3">
        <v>0</v>
      </c>
      <c r="W23" s="3">
        <v>1788.1</v>
      </c>
    </row>
    <row r="24" spans="1:23" s="3" customFormat="1" x14ac:dyDescent="0.25">
      <c r="A24" s="3">
        <v>5400</v>
      </c>
      <c r="B24" s="3">
        <v>24010</v>
      </c>
      <c r="C24" s="7">
        <v>42603</v>
      </c>
      <c r="G24" s="3">
        <v>16.7</v>
      </c>
      <c r="H24" s="3">
        <v>12.1</v>
      </c>
      <c r="I24" s="3">
        <v>21.2</v>
      </c>
      <c r="L24" s="23"/>
      <c r="M24" s="3">
        <v>0</v>
      </c>
      <c r="N24" s="3">
        <v>2.7</v>
      </c>
      <c r="O24" s="3">
        <f t="shared" si="0"/>
        <v>-2.7</v>
      </c>
      <c r="P24" s="3">
        <v>0</v>
      </c>
      <c r="W24" s="3">
        <v>978.4</v>
      </c>
    </row>
    <row r="25" spans="1:23" s="3" customFormat="1" x14ac:dyDescent="0.25">
      <c r="A25" s="3">
        <v>5400</v>
      </c>
      <c r="B25" s="3">
        <v>24010</v>
      </c>
      <c r="C25" s="7">
        <v>42604</v>
      </c>
      <c r="G25" s="3">
        <v>20.5</v>
      </c>
      <c r="H25" s="3">
        <v>13.3</v>
      </c>
      <c r="I25" s="3">
        <v>27.1</v>
      </c>
      <c r="L25" s="23"/>
      <c r="M25" s="3">
        <v>0</v>
      </c>
      <c r="N25" s="3">
        <v>4.9000000000000004</v>
      </c>
      <c r="O25" s="3">
        <f t="shared" si="0"/>
        <v>-4.9000000000000004</v>
      </c>
      <c r="P25" s="3">
        <v>0</v>
      </c>
      <c r="W25" s="3">
        <v>2405.5</v>
      </c>
    </row>
    <row r="26" spans="1:23" s="3" customFormat="1" x14ac:dyDescent="0.25">
      <c r="A26" s="3">
        <v>5400</v>
      </c>
      <c r="B26" s="3">
        <v>24010</v>
      </c>
      <c r="C26" s="7">
        <v>42605</v>
      </c>
      <c r="G26" s="3">
        <v>24.1</v>
      </c>
      <c r="H26" s="3">
        <v>16.2</v>
      </c>
      <c r="I26" s="3">
        <v>31.5</v>
      </c>
      <c r="L26" s="23"/>
      <c r="M26" s="3">
        <v>0</v>
      </c>
      <c r="N26" s="3">
        <v>6.3</v>
      </c>
      <c r="O26" s="3">
        <f t="shared" si="0"/>
        <v>-6.3</v>
      </c>
      <c r="P26" s="3">
        <v>0</v>
      </c>
      <c r="W26" s="3">
        <v>2484.6</v>
      </c>
    </row>
    <row r="27" spans="1:23" s="3" customFormat="1" x14ac:dyDescent="0.25">
      <c r="A27" s="3">
        <v>5400</v>
      </c>
      <c r="B27" s="3">
        <v>24010</v>
      </c>
      <c r="C27" s="7">
        <v>42606</v>
      </c>
      <c r="G27" s="3">
        <v>26.7</v>
      </c>
      <c r="H27" s="3">
        <v>18.600000000000001</v>
      </c>
      <c r="I27" s="3">
        <v>34.299999999999997</v>
      </c>
      <c r="L27" s="23"/>
      <c r="M27" s="3">
        <v>0</v>
      </c>
      <c r="N27" s="3">
        <v>6.2</v>
      </c>
      <c r="O27" s="3">
        <f t="shared" si="0"/>
        <v>-6.2</v>
      </c>
      <c r="P27" s="3">
        <v>0</v>
      </c>
      <c r="W27" s="3">
        <v>2475.1999999999998</v>
      </c>
    </row>
    <row r="28" spans="1:23" s="3" customFormat="1" x14ac:dyDescent="0.25">
      <c r="A28" s="3">
        <v>5400</v>
      </c>
      <c r="B28" s="3">
        <v>24010</v>
      </c>
      <c r="C28" s="7">
        <v>42607</v>
      </c>
      <c r="G28" s="3">
        <v>26.2</v>
      </c>
      <c r="H28" s="3">
        <v>17.899999999999999</v>
      </c>
      <c r="I28" s="3">
        <v>34</v>
      </c>
      <c r="L28" s="23"/>
      <c r="M28" s="3">
        <v>0</v>
      </c>
      <c r="N28" s="3">
        <v>5.9</v>
      </c>
      <c r="O28" s="3">
        <f t="shared" si="0"/>
        <v>-5.9</v>
      </c>
      <c r="P28" s="3">
        <v>0</v>
      </c>
      <c r="W28" s="3">
        <v>2361.9</v>
      </c>
    </row>
    <row r="29" spans="1:23" s="3" customFormat="1" x14ac:dyDescent="0.25">
      <c r="A29" s="3">
        <v>5400</v>
      </c>
      <c r="B29" s="3">
        <v>24010</v>
      </c>
      <c r="C29" s="7">
        <v>42608</v>
      </c>
      <c r="G29" s="3">
        <v>25.7</v>
      </c>
      <c r="H29" s="3">
        <v>19.5</v>
      </c>
      <c r="I29" s="3">
        <v>31.6</v>
      </c>
      <c r="L29" s="23"/>
      <c r="M29" s="3">
        <v>0</v>
      </c>
      <c r="N29" s="3">
        <v>5</v>
      </c>
      <c r="O29" s="3">
        <f t="shared" si="0"/>
        <v>-5</v>
      </c>
      <c r="P29" s="3">
        <v>0</v>
      </c>
      <c r="W29" s="3">
        <v>2139.6</v>
      </c>
    </row>
    <row r="30" spans="1:23" s="3" customFormat="1" x14ac:dyDescent="0.25">
      <c r="A30" s="3">
        <v>5400</v>
      </c>
      <c r="B30" s="3">
        <v>24010</v>
      </c>
      <c r="C30" s="7">
        <v>42609</v>
      </c>
      <c r="G30" s="3">
        <v>25.7</v>
      </c>
      <c r="H30" s="3">
        <v>17.600000000000001</v>
      </c>
      <c r="I30" s="3">
        <v>31.9</v>
      </c>
      <c r="L30" s="23"/>
      <c r="M30" s="3">
        <v>0</v>
      </c>
      <c r="N30" s="3">
        <v>4.2</v>
      </c>
      <c r="O30" s="3">
        <f t="shared" si="0"/>
        <v>-4.2</v>
      </c>
      <c r="P30" s="3">
        <v>0</v>
      </c>
      <c r="W30" s="3">
        <v>1821.9</v>
      </c>
    </row>
    <row r="31" spans="1:23" s="3" customFormat="1" x14ac:dyDescent="0.25">
      <c r="A31" s="3">
        <v>5400</v>
      </c>
      <c r="B31" s="3">
        <v>24010</v>
      </c>
      <c r="C31" s="7">
        <v>42610</v>
      </c>
      <c r="G31" s="3">
        <v>21.6</v>
      </c>
      <c r="H31" s="3">
        <v>18.7</v>
      </c>
      <c r="I31" s="3">
        <v>24.6</v>
      </c>
      <c r="L31" s="23"/>
      <c r="M31" s="3">
        <v>0</v>
      </c>
      <c r="N31" s="3">
        <v>4</v>
      </c>
      <c r="O31" s="3">
        <f t="shared" si="0"/>
        <v>-4</v>
      </c>
      <c r="P31" s="3">
        <v>0</v>
      </c>
      <c r="W31" s="3">
        <v>1529.2</v>
      </c>
    </row>
    <row r="32" spans="1:23" s="3" customFormat="1" x14ac:dyDescent="0.25">
      <c r="A32" s="3">
        <v>5400</v>
      </c>
      <c r="B32" s="3">
        <v>24010</v>
      </c>
      <c r="C32" s="7">
        <v>42611</v>
      </c>
      <c r="G32" s="3">
        <v>18.5</v>
      </c>
      <c r="H32" s="3">
        <v>16.8</v>
      </c>
      <c r="I32" s="3">
        <v>21.3</v>
      </c>
      <c r="L32" s="23"/>
      <c r="M32" s="3">
        <v>0.4</v>
      </c>
      <c r="N32" s="3">
        <v>1.9</v>
      </c>
      <c r="O32" s="3">
        <f t="shared" si="0"/>
        <v>-1.5</v>
      </c>
      <c r="P32" s="3">
        <v>0</v>
      </c>
      <c r="W32" s="3">
        <v>1031.7</v>
      </c>
    </row>
    <row r="33" spans="1:28" s="3" customFormat="1" x14ac:dyDescent="0.25">
      <c r="A33" s="3">
        <v>5400</v>
      </c>
      <c r="B33" s="3">
        <v>24010</v>
      </c>
      <c r="C33" s="7">
        <v>42612</v>
      </c>
      <c r="G33" s="3">
        <v>19.2</v>
      </c>
      <c r="H33" s="3">
        <v>13</v>
      </c>
      <c r="I33" s="3">
        <v>24.7</v>
      </c>
      <c r="L33" s="23"/>
      <c r="M33" s="3">
        <v>0</v>
      </c>
      <c r="N33" s="3">
        <v>3.9</v>
      </c>
      <c r="O33" s="3">
        <f t="shared" si="0"/>
        <v>-3.9</v>
      </c>
      <c r="P33" s="3">
        <v>0</v>
      </c>
      <c r="V33" s="3">
        <v>153.9</v>
      </c>
      <c r="W33" s="3">
        <v>1935.2</v>
      </c>
    </row>
    <row r="34" spans="1:28" s="3" customFormat="1" x14ac:dyDescent="0.25">
      <c r="A34" s="3">
        <v>5400</v>
      </c>
      <c r="B34" s="3">
        <v>24010</v>
      </c>
      <c r="C34" s="7">
        <v>42613</v>
      </c>
      <c r="G34" s="3">
        <v>20.2</v>
      </c>
      <c r="H34" s="3">
        <v>13.7</v>
      </c>
      <c r="I34" s="3">
        <v>26.2</v>
      </c>
      <c r="L34" s="23"/>
      <c r="M34" s="3">
        <v>0</v>
      </c>
      <c r="N34" s="3">
        <v>3.8</v>
      </c>
      <c r="O34" s="3">
        <f t="shared" si="0"/>
        <v>-3.8</v>
      </c>
      <c r="P34" s="3">
        <v>0</v>
      </c>
      <c r="W34" s="3">
        <v>1794</v>
      </c>
    </row>
    <row r="35" spans="1:28" s="8" customFormat="1" x14ac:dyDescent="0.25">
      <c r="A35" s="48" t="s">
        <v>36</v>
      </c>
      <c r="B35" s="48"/>
      <c r="C35" s="48"/>
      <c r="D35" s="48"/>
      <c r="E35" s="48"/>
      <c r="F35" s="48"/>
      <c r="L35" s="24"/>
    </row>
    <row r="36" spans="1:28" s="3" customFormat="1" x14ac:dyDescent="0.25">
      <c r="A36" s="3">
        <v>5400</v>
      </c>
      <c r="B36" s="3">
        <v>24010</v>
      </c>
      <c r="C36" s="7">
        <v>42614</v>
      </c>
      <c r="D36" s="3" t="s">
        <v>32</v>
      </c>
      <c r="F36" s="49" t="s">
        <v>46</v>
      </c>
      <c r="G36" s="3">
        <v>19.399999999999999</v>
      </c>
      <c r="H36" s="3">
        <v>12.7</v>
      </c>
      <c r="I36" s="3">
        <v>25</v>
      </c>
      <c r="J36" s="3">
        <f>G36</f>
        <v>19.399999999999999</v>
      </c>
      <c r="L36" s="10" t="s">
        <v>39</v>
      </c>
      <c r="M36" s="3">
        <v>0</v>
      </c>
      <c r="N36" s="3">
        <v>3.1</v>
      </c>
      <c r="O36" s="3">
        <f>M36-N36</f>
        <v>-3.1</v>
      </c>
      <c r="P36" s="3">
        <v>0</v>
      </c>
      <c r="Q36" s="3">
        <v>1</v>
      </c>
      <c r="R36" s="27">
        <v>0.35</v>
      </c>
      <c r="S36" s="3">
        <f>R36*N36</f>
        <v>1.085</v>
      </c>
      <c r="T36" s="28">
        <f>M36-S36</f>
        <v>-1.085</v>
      </c>
      <c r="U36" s="3">
        <v>0</v>
      </c>
      <c r="V36" s="31" t="s">
        <v>53</v>
      </c>
      <c r="W36" s="3">
        <v>1735.6</v>
      </c>
      <c r="Y36" s="3">
        <f>W36</f>
        <v>1735.6</v>
      </c>
      <c r="AA36" s="3">
        <v>13.180892965476614</v>
      </c>
      <c r="AB36" s="31" t="s">
        <v>58</v>
      </c>
    </row>
    <row r="37" spans="1:28" s="3" customFormat="1" x14ac:dyDescent="0.25">
      <c r="A37" s="3">
        <v>5400</v>
      </c>
      <c r="B37" s="3">
        <v>24010</v>
      </c>
      <c r="C37" s="7">
        <v>42615</v>
      </c>
      <c r="F37" s="50"/>
      <c r="G37" s="3">
        <v>20.399999999999999</v>
      </c>
      <c r="H37" s="3">
        <v>12.7</v>
      </c>
      <c r="I37" s="3">
        <v>27.2</v>
      </c>
      <c r="J37" s="3">
        <f>J36+G37</f>
        <v>39.799999999999997</v>
      </c>
      <c r="L37" s="11">
        <v>1062.7</v>
      </c>
      <c r="M37" s="3">
        <v>0</v>
      </c>
      <c r="N37" s="3">
        <v>2.9</v>
      </c>
      <c r="O37" s="3">
        <f t="shared" ref="O37:O100" si="2">M37-N37</f>
        <v>-2.9</v>
      </c>
      <c r="P37" s="27">
        <v>0</v>
      </c>
      <c r="Q37" s="3">
        <v>2</v>
      </c>
      <c r="R37" s="27">
        <v>0.35</v>
      </c>
      <c r="S37" s="3">
        <f t="shared" ref="S37:S100" si="3">R37*N37</f>
        <v>1.0149999999999999</v>
      </c>
      <c r="T37" s="28">
        <f t="shared" ref="T37:T100" si="4">M37-S37</f>
        <v>-1.0149999999999999</v>
      </c>
      <c r="U37" s="3">
        <v>0</v>
      </c>
      <c r="V37" s="3">
        <v>7</v>
      </c>
      <c r="W37" s="3">
        <v>1398.5</v>
      </c>
      <c r="Y37" s="3">
        <f>Y36+W37</f>
        <v>3134.1</v>
      </c>
      <c r="AA37" s="3">
        <v>13.121352797326681</v>
      </c>
      <c r="AB37">
        <v>59556.5</v>
      </c>
    </row>
    <row r="38" spans="1:28" s="3" customFormat="1" x14ac:dyDescent="0.25">
      <c r="A38" s="3">
        <v>5400</v>
      </c>
      <c r="B38" s="3">
        <v>24010</v>
      </c>
      <c r="C38" s="7">
        <v>42616</v>
      </c>
      <c r="F38" s="50"/>
      <c r="G38" s="3">
        <v>20.9</v>
      </c>
      <c r="H38" s="3">
        <v>14.1</v>
      </c>
      <c r="I38" s="3">
        <v>25.7</v>
      </c>
      <c r="J38" s="3">
        <f t="shared" ref="J38:J101" si="5">J37+G38</f>
        <v>60.699999999999996</v>
      </c>
      <c r="L38" s="10" t="s">
        <v>40</v>
      </c>
      <c r="M38" s="3">
        <v>0</v>
      </c>
      <c r="N38" s="3">
        <v>3.7</v>
      </c>
      <c r="O38" s="3">
        <f t="shared" si="2"/>
        <v>-3.7</v>
      </c>
      <c r="P38" s="27">
        <v>0</v>
      </c>
      <c r="Q38" s="3">
        <v>3</v>
      </c>
      <c r="R38" s="27">
        <v>0.35</v>
      </c>
      <c r="S38" s="3">
        <f t="shared" si="3"/>
        <v>1.2949999999999999</v>
      </c>
      <c r="T38" s="28">
        <f t="shared" si="4"/>
        <v>-1.2949999999999999</v>
      </c>
      <c r="U38" s="3">
        <v>0</v>
      </c>
      <c r="V38" s="31" t="s">
        <v>54</v>
      </c>
      <c r="W38" s="3">
        <v>1863.9</v>
      </c>
      <c r="Y38" s="3">
        <f t="shared" ref="Y38:Y101" si="6">Y37+W38</f>
        <v>4998</v>
      </c>
      <c r="AA38" s="3">
        <v>13.061645837825738</v>
      </c>
      <c r="AB38" s="31" t="s">
        <v>59</v>
      </c>
    </row>
    <row r="39" spans="1:28" s="3" customFormat="1" x14ac:dyDescent="0.25">
      <c r="A39" s="3">
        <v>5400</v>
      </c>
      <c r="B39" s="3">
        <v>24010</v>
      </c>
      <c r="C39" s="7">
        <v>42617</v>
      </c>
      <c r="F39" s="50"/>
      <c r="G39" s="3">
        <v>19.600000000000001</v>
      </c>
      <c r="H39" s="3">
        <v>18</v>
      </c>
      <c r="I39" s="3">
        <v>21.1</v>
      </c>
      <c r="J39" s="3">
        <f t="shared" si="5"/>
        <v>80.3</v>
      </c>
      <c r="L39" s="11">
        <f>AVERAGE(G36:G123)</f>
        <v>12.076136363636373</v>
      </c>
      <c r="M39" s="3">
        <v>3.9</v>
      </c>
      <c r="N39" s="3">
        <v>1.1000000000000001</v>
      </c>
      <c r="O39" s="3">
        <f t="shared" si="2"/>
        <v>2.8</v>
      </c>
      <c r="P39" s="3">
        <f>O39+P38</f>
        <v>2.8</v>
      </c>
      <c r="Q39" s="3">
        <v>4</v>
      </c>
      <c r="R39" s="27">
        <v>0.35</v>
      </c>
      <c r="S39" s="3">
        <f t="shared" si="3"/>
        <v>0.38500000000000001</v>
      </c>
      <c r="T39" s="28">
        <f t="shared" si="4"/>
        <v>3.5149999999999997</v>
      </c>
      <c r="U39" s="28">
        <f>MIN(U38+T39,153.9)</f>
        <v>3.5149999999999997</v>
      </c>
      <c r="V39">
        <v>62</v>
      </c>
      <c r="W39" s="3">
        <v>640.4</v>
      </c>
      <c r="Y39" s="3">
        <f t="shared" si="6"/>
        <v>5638.4</v>
      </c>
      <c r="AA39" s="3">
        <v>13.001782710764417</v>
      </c>
      <c r="AB39">
        <f>(AB37/100)/L37</f>
        <v>0.56042627270160916</v>
      </c>
    </row>
    <row r="40" spans="1:28" s="3" customFormat="1" x14ac:dyDescent="0.25">
      <c r="A40" s="3">
        <v>5400</v>
      </c>
      <c r="B40" s="3">
        <v>24010</v>
      </c>
      <c r="C40" s="7">
        <v>42618</v>
      </c>
      <c r="F40" s="50"/>
      <c r="G40" s="3">
        <v>19.3</v>
      </c>
      <c r="H40" s="3">
        <v>16.100000000000001</v>
      </c>
      <c r="I40" s="3">
        <v>22.8</v>
      </c>
      <c r="J40" s="3">
        <f t="shared" si="5"/>
        <v>99.6</v>
      </c>
      <c r="L40" s="10" t="s">
        <v>41</v>
      </c>
      <c r="M40" s="3">
        <v>1.1000000000000001</v>
      </c>
      <c r="N40" s="3">
        <v>0.6</v>
      </c>
      <c r="O40" s="3">
        <f t="shared" si="2"/>
        <v>0.50000000000000011</v>
      </c>
      <c r="P40" s="3">
        <f t="shared" ref="P40:P103" si="7">O40+P39</f>
        <v>3.3</v>
      </c>
      <c r="Q40" s="3">
        <v>5</v>
      </c>
      <c r="R40" s="27">
        <v>0.35</v>
      </c>
      <c r="S40" s="3">
        <f t="shared" si="3"/>
        <v>0.21</v>
      </c>
      <c r="T40" s="28">
        <f t="shared" si="4"/>
        <v>0.89000000000000012</v>
      </c>
      <c r="U40" s="28">
        <f t="shared" ref="U40:U103" si="8">MIN(U39+T40,153.9)</f>
        <v>4.4049999999999994</v>
      </c>
      <c r="V40" s="31" t="s">
        <v>55</v>
      </c>
      <c r="W40" s="3">
        <v>299.2</v>
      </c>
      <c r="Y40" s="3">
        <f t="shared" si="6"/>
        <v>5937.5999999999995</v>
      </c>
      <c r="AA40" s="3">
        <v>12.941773775694921</v>
      </c>
      <c r="AB40" s="31" t="s">
        <v>60</v>
      </c>
    </row>
    <row r="41" spans="1:28" s="3" customFormat="1" x14ac:dyDescent="0.25">
      <c r="A41" s="3">
        <v>5400</v>
      </c>
      <c r="B41" s="3">
        <v>24010</v>
      </c>
      <c r="C41" s="7">
        <v>42619</v>
      </c>
      <c r="F41" s="50"/>
      <c r="G41" s="3">
        <v>19.5</v>
      </c>
      <c r="H41" s="3">
        <v>16.899999999999999</v>
      </c>
      <c r="I41" s="3">
        <v>22</v>
      </c>
      <c r="J41" s="3">
        <f t="shared" si="5"/>
        <v>119.1</v>
      </c>
      <c r="L41" s="12">
        <f>MIN(H36:H123)</f>
        <v>-0.5</v>
      </c>
      <c r="M41" s="3">
        <v>0.2</v>
      </c>
      <c r="N41" s="3">
        <v>1.2</v>
      </c>
      <c r="O41" s="3">
        <f t="shared" si="2"/>
        <v>-1</v>
      </c>
      <c r="P41" s="3">
        <f t="shared" si="7"/>
        <v>2.2999999999999998</v>
      </c>
      <c r="Q41" s="3">
        <v>6</v>
      </c>
      <c r="R41" s="27">
        <v>0.35</v>
      </c>
      <c r="S41" s="3">
        <f t="shared" si="3"/>
        <v>0.42</v>
      </c>
      <c r="T41" s="28">
        <f t="shared" si="4"/>
        <v>-0.21999999999999997</v>
      </c>
      <c r="U41" s="28">
        <f t="shared" si="8"/>
        <v>4.1849999999999996</v>
      </c>
      <c r="V41">
        <v>0</v>
      </c>
      <c r="W41" s="3">
        <v>554.4</v>
      </c>
      <c r="Y41" s="3">
        <f t="shared" si="6"/>
        <v>6491.9999999999991</v>
      </c>
      <c r="AA41" s="3">
        <v>12.881629141875932</v>
      </c>
      <c r="AB41">
        <v>62</v>
      </c>
    </row>
    <row r="42" spans="1:28" s="3" customFormat="1" x14ac:dyDescent="0.25">
      <c r="A42" s="3">
        <v>5400</v>
      </c>
      <c r="B42" s="3">
        <v>24010</v>
      </c>
      <c r="C42" s="7">
        <v>42620</v>
      </c>
      <c r="F42" s="50"/>
      <c r="G42" s="3">
        <v>20.3</v>
      </c>
      <c r="H42" s="3">
        <v>14.7</v>
      </c>
      <c r="I42" s="3">
        <v>26.6</v>
      </c>
      <c r="J42" s="3">
        <f t="shared" si="5"/>
        <v>139.4</v>
      </c>
      <c r="L42" s="10" t="s">
        <v>42</v>
      </c>
      <c r="M42" s="3">
        <v>0</v>
      </c>
      <c r="N42" s="3">
        <v>4.5999999999999996</v>
      </c>
      <c r="O42" s="3">
        <f t="shared" si="2"/>
        <v>-4.5999999999999996</v>
      </c>
      <c r="P42" s="3">
        <v>0</v>
      </c>
      <c r="Q42" s="3">
        <v>7</v>
      </c>
      <c r="R42" s="27">
        <v>0.35</v>
      </c>
      <c r="S42" s="3">
        <f t="shared" si="3"/>
        <v>1.6099999999999999</v>
      </c>
      <c r="T42" s="28">
        <f t="shared" si="4"/>
        <v>-1.6099999999999999</v>
      </c>
      <c r="U42" s="28">
        <f t="shared" si="8"/>
        <v>2.5749999999999997</v>
      </c>
      <c r="V42" s="31" t="s">
        <v>56</v>
      </c>
      <c r="W42" s="3">
        <v>2120.6</v>
      </c>
      <c r="Y42" s="3">
        <f t="shared" si="6"/>
        <v>8612.5999999999985</v>
      </c>
      <c r="AA42" s="3">
        <v>12.821358682453193</v>
      </c>
    </row>
    <row r="43" spans="1:28" s="3" customFormat="1" x14ac:dyDescent="0.25">
      <c r="A43" s="3">
        <v>5400</v>
      </c>
      <c r="B43" s="3">
        <v>24010</v>
      </c>
      <c r="C43" s="7">
        <v>42621</v>
      </c>
      <c r="F43" s="50"/>
      <c r="G43" s="3">
        <v>17.899999999999999</v>
      </c>
      <c r="H43" s="3">
        <v>13.2</v>
      </c>
      <c r="I43" s="3">
        <v>23.9</v>
      </c>
      <c r="J43" s="3">
        <f t="shared" si="5"/>
        <v>157.30000000000001</v>
      </c>
      <c r="L43" s="11">
        <f>MAX(I36:I123)</f>
        <v>31.3</v>
      </c>
      <c r="M43" s="3">
        <v>0</v>
      </c>
      <c r="N43" s="3">
        <v>2.4</v>
      </c>
      <c r="O43" s="3">
        <f t="shared" si="2"/>
        <v>-2.4</v>
      </c>
      <c r="P43" s="3">
        <v>0</v>
      </c>
      <c r="Q43" s="3">
        <v>8</v>
      </c>
      <c r="R43" s="27">
        <v>0.35</v>
      </c>
      <c r="S43" s="3">
        <f t="shared" si="3"/>
        <v>0.84</v>
      </c>
      <c r="T43" s="28">
        <f t="shared" si="4"/>
        <v>-0.84</v>
      </c>
      <c r="U43" s="28">
        <f t="shared" si="8"/>
        <v>1.7349999999999999</v>
      </c>
      <c r="V43" s="28">
        <f>MAX(U36:U123)</f>
        <v>81.503311688311683</v>
      </c>
      <c r="W43" s="3">
        <v>982.3</v>
      </c>
      <c r="Y43" s="3">
        <f t="shared" si="6"/>
        <v>9594.8999999999978</v>
      </c>
      <c r="AA43" s="3">
        <v>12.760972048851871</v>
      </c>
    </row>
    <row r="44" spans="1:28" s="3" customFormat="1" x14ac:dyDescent="0.25">
      <c r="A44" s="3">
        <v>5400</v>
      </c>
      <c r="B44" s="3">
        <v>24010</v>
      </c>
      <c r="C44" s="7">
        <v>42622</v>
      </c>
      <c r="F44" s="50"/>
      <c r="G44" s="3">
        <v>17.2</v>
      </c>
      <c r="H44" s="3">
        <v>10</v>
      </c>
      <c r="I44" s="3">
        <v>24.3</v>
      </c>
      <c r="J44" s="3">
        <f t="shared" si="5"/>
        <v>174.5</v>
      </c>
      <c r="L44" s="10" t="s">
        <v>43</v>
      </c>
      <c r="M44" s="3">
        <v>0</v>
      </c>
      <c r="N44" s="3">
        <v>2.8</v>
      </c>
      <c r="O44" s="3">
        <f t="shared" si="2"/>
        <v>-2.8</v>
      </c>
      <c r="P44" s="3">
        <v>0</v>
      </c>
      <c r="Q44" s="3">
        <v>9</v>
      </c>
      <c r="R44" s="27">
        <v>0.35</v>
      </c>
      <c r="S44" s="3">
        <f t="shared" si="3"/>
        <v>0.97999999999999987</v>
      </c>
      <c r="T44" s="28">
        <f t="shared" si="4"/>
        <v>-0.97999999999999987</v>
      </c>
      <c r="U44" s="28">
        <f t="shared" si="8"/>
        <v>0.755</v>
      </c>
      <c r="V44" s="31" t="s">
        <v>57</v>
      </c>
      <c r="W44" s="3">
        <v>1352.8</v>
      </c>
      <c r="Y44" s="3">
        <f t="shared" si="6"/>
        <v>10947.699999999997</v>
      </c>
      <c r="AA44" s="3">
        <v>12.700478685358499</v>
      </c>
    </row>
    <row r="45" spans="1:28" s="3" customFormat="1" x14ac:dyDescent="0.25">
      <c r="A45" s="3">
        <v>5400</v>
      </c>
      <c r="B45" s="3">
        <v>24010</v>
      </c>
      <c r="C45" s="7">
        <v>42623</v>
      </c>
      <c r="F45" s="50"/>
      <c r="G45" s="3">
        <v>18.3</v>
      </c>
      <c r="H45" s="3">
        <v>9.3000000000000007</v>
      </c>
      <c r="I45" s="3">
        <v>24.6</v>
      </c>
      <c r="J45" s="3">
        <f t="shared" si="5"/>
        <v>192.8</v>
      </c>
      <c r="L45" s="11">
        <v>6</v>
      </c>
      <c r="M45" s="3">
        <v>0</v>
      </c>
      <c r="N45" s="3">
        <v>2.6</v>
      </c>
      <c r="O45" s="3">
        <f t="shared" si="2"/>
        <v>-2.6</v>
      </c>
      <c r="P45" s="3">
        <v>0</v>
      </c>
      <c r="Q45" s="3">
        <v>10</v>
      </c>
      <c r="R45" s="27">
        <v>0.35</v>
      </c>
      <c r="S45" s="3">
        <f t="shared" si="3"/>
        <v>0.90999999999999992</v>
      </c>
      <c r="T45" s="28">
        <f t="shared" si="4"/>
        <v>-0.90999999999999992</v>
      </c>
      <c r="U45" s="28">
        <v>0</v>
      </c>
      <c r="V45" s="28">
        <f>AVERAGE(U36:U123)</f>
        <v>33.79623524203069</v>
      </c>
      <c r="W45" s="3">
        <v>1432.2</v>
      </c>
      <c r="Y45" s="3">
        <f t="shared" si="6"/>
        <v>12379.899999999998</v>
      </c>
      <c r="AA45" s="3">
        <v>12.639887843872035</v>
      </c>
    </row>
    <row r="46" spans="1:28" s="3" customFormat="1" x14ac:dyDescent="0.25">
      <c r="A46" s="3">
        <v>5400</v>
      </c>
      <c r="B46" s="3">
        <v>24010</v>
      </c>
      <c r="C46" s="7">
        <v>42624</v>
      </c>
      <c r="D46" s="3" t="s">
        <v>33</v>
      </c>
      <c r="F46" s="50"/>
      <c r="G46" s="3">
        <v>20.3</v>
      </c>
      <c r="H46" s="3">
        <v>18</v>
      </c>
      <c r="I46" s="3">
        <v>22.7</v>
      </c>
      <c r="J46" s="3">
        <f t="shared" si="5"/>
        <v>213.10000000000002</v>
      </c>
      <c r="L46" s="10" t="s">
        <v>44</v>
      </c>
      <c r="M46" s="3">
        <v>0.1</v>
      </c>
      <c r="N46" s="3">
        <v>1.3</v>
      </c>
      <c r="O46" s="3">
        <f t="shared" si="2"/>
        <v>-1.2</v>
      </c>
      <c r="P46" s="3">
        <v>0</v>
      </c>
      <c r="Q46" s="3">
        <v>11</v>
      </c>
      <c r="R46" s="27">
        <v>0.35</v>
      </c>
      <c r="S46" s="3">
        <f t="shared" si="3"/>
        <v>0.45499999999999996</v>
      </c>
      <c r="T46" s="28">
        <f t="shared" si="4"/>
        <v>-0.35499999999999998</v>
      </c>
      <c r="U46" s="28">
        <v>0</v>
      </c>
      <c r="W46" s="3">
        <v>543.20000000000005</v>
      </c>
      <c r="Y46" s="3">
        <f t="shared" si="6"/>
        <v>12923.099999999999</v>
      </c>
      <c r="AA46" s="3">
        <v>12.579208598805145</v>
      </c>
    </row>
    <row r="47" spans="1:28" s="3" customFormat="1" x14ac:dyDescent="0.25">
      <c r="A47" s="3">
        <v>5400</v>
      </c>
      <c r="B47" s="3">
        <v>24010</v>
      </c>
      <c r="C47" s="7">
        <v>42625</v>
      </c>
      <c r="F47" s="50"/>
      <c r="G47" s="3">
        <v>21.8</v>
      </c>
      <c r="H47" s="3">
        <v>14.4</v>
      </c>
      <c r="I47" s="3">
        <v>29.6</v>
      </c>
      <c r="J47" s="3">
        <f t="shared" si="5"/>
        <v>234.90000000000003</v>
      </c>
      <c r="L47" s="11">
        <v>15</v>
      </c>
      <c r="M47" s="3">
        <v>0</v>
      </c>
      <c r="N47" s="3">
        <v>3.6</v>
      </c>
      <c r="O47" s="3">
        <f t="shared" si="2"/>
        <v>-3.6</v>
      </c>
      <c r="P47" s="3">
        <v>0</v>
      </c>
      <c r="Q47" s="3">
        <v>12</v>
      </c>
      <c r="R47" s="3">
        <f>0.35+((Q47-11)/77)*(1-0.35)</f>
        <v>0.35844155844155839</v>
      </c>
      <c r="S47" s="3">
        <f t="shared" si="3"/>
        <v>1.2903896103896102</v>
      </c>
      <c r="T47" s="28">
        <f t="shared" si="4"/>
        <v>-1.2903896103896102</v>
      </c>
      <c r="U47" s="28">
        <v>0</v>
      </c>
      <c r="V47" s="3">
        <f>(V45*100)/153.9</f>
        <v>21.959866953886088</v>
      </c>
      <c r="W47" s="3">
        <v>1544.9</v>
      </c>
      <c r="Y47" s="3">
        <f t="shared" si="6"/>
        <v>14467.999999999998</v>
      </c>
      <c r="AA47" s="3">
        <v>12.518449862118331</v>
      </c>
    </row>
    <row r="48" spans="1:28" s="3" customFormat="1" x14ac:dyDescent="0.25">
      <c r="A48" s="3">
        <v>5400</v>
      </c>
      <c r="B48" s="3">
        <v>24010</v>
      </c>
      <c r="C48" s="7">
        <v>42626</v>
      </c>
      <c r="F48" s="50"/>
      <c r="G48" s="3">
        <v>24.1</v>
      </c>
      <c r="H48" s="3">
        <v>17.2</v>
      </c>
      <c r="I48" s="3">
        <v>31.3</v>
      </c>
      <c r="J48" s="3">
        <f t="shared" si="5"/>
        <v>259.00000000000006</v>
      </c>
      <c r="L48" s="10" t="s">
        <v>45</v>
      </c>
      <c r="M48" s="3">
        <v>0</v>
      </c>
      <c r="N48" s="3">
        <v>4.2</v>
      </c>
      <c r="O48" s="3">
        <f t="shared" si="2"/>
        <v>-4.2</v>
      </c>
      <c r="P48" s="3">
        <v>0</v>
      </c>
      <c r="Q48" s="3">
        <v>13</v>
      </c>
      <c r="R48" s="3">
        <f t="shared" ref="R48:R111" si="9">0.35+((Q48-11)/77)*(1-0.35)</f>
        <v>0.36688311688311687</v>
      </c>
      <c r="S48" s="3">
        <f t="shared" si="3"/>
        <v>1.540909090909091</v>
      </c>
      <c r="T48" s="28">
        <f t="shared" si="4"/>
        <v>-1.540909090909091</v>
      </c>
      <c r="U48" s="28">
        <v>0</v>
      </c>
      <c r="W48" s="3">
        <v>1491.8</v>
      </c>
      <c r="Y48" s="3">
        <f t="shared" si="6"/>
        <v>15959.799999999997</v>
      </c>
      <c r="AA48" s="3">
        <v>12.457620398470777</v>
      </c>
    </row>
    <row r="49" spans="1:27" s="3" customFormat="1" x14ac:dyDescent="0.25">
      <c r="A49" s="3">
        <v>5400</v>
      </c>
      <c r="B49" s="3">
        <v>24010</v>
      </c>
      <c r="C49" s="7">
        <v>42627</v>
      </c>
      <c r="F49" s="50"/>
      <c r="G49" s="3">
        <v>19.7</v>
      </c>
      <c r="H49" s="3">
        <v>15.2</v>
      </c>
      <c r="I49" s="3">
        <v>24.2</v>
      </c>
      <c r="J49" s="3">
        <f t="shared" si="5"/>
        <v>278.70000000000005</v>
      </c>
      <c r="L49" s="11">
        <v>2</v>
      </c>
      <c r="M49" s="3">
        <v>28.5</v>
      </c>
      <c r="N49" s="3">
        <v>2.2000000000000002</v>
      </c>
      <c r="O49" s="3">
        <f t="shared" si="2"/>
        <v>26.3</v>
      </c>
      <c r="P49" s="3">
        <f t="shared" si="7"/>
        <v>26.3</v>
      </c>
      <c r="Q49" s="3">
        <v>14</v>
      </c>
      <c r="R49" s="3">
        <f t="shared" si="9"/>
        <v>0.37532467532467528</v>
      </c>
      <c r="S49" s="3">
        <f t="shared" si="3"/>
        <v>0.82571428571428573</v>
      </c>
      <c r="T49" s="28">
        <f t="shared" si="4"/>
        <v>27.674285714285713</v>
      </c>
      <c r="U49" s="28">
        <f t="shared" si="8"/>
        <v>27.674285714285713</v>
      </c>
      <c r="W49" s="3">
        <v>916.9</v>
      </c>
      <c r="Y49" s="3">
        <f t="shared" si="6"/>
        <v>16876.699999999997</v>
      </c>
      <c r="AA49" s="3">
        <v>12.396728840473136</v>
      </c>
    </row>
    <row r="50" spans="1:27" s="3" customFormat="1" x14ac:dyDescent="0.25">
      <c r="A50" s="3">
        <v>5400</v>
      </c>
      <c r="B50" s="3">
        <v>24010</v>
      </c>
      <c r="C50" s="7">
        <v>42628</v>
      </c>
      <c r="F50" s="50"/>
      <c r="G50" s="3">
        <v>16.399999999999999</v>
      </c>
      <c r="H50" s="3">
        <v>16</v>
      </c>
      <c r="I50" s="3">
        <v>17.399999999999999</v>
      </c>
      <c r="J50" s="3">
        <f t="shared" si="5"/>
        <v>295.10000000000002</v>
      </c>
      <c r="L50" s="23"/>
      <c r="M50" s="3">
        <v>0.5</v>
      </c>
      <c r="N50" s="3">
        <v>0.6</v>
      </c>
      <c r="O50" s="3">
        <f t="shared" si="2"/>
        <v>-9.9999999999999978E-2</v>
      </c>
      <c r="P50" s="3">
        <f t="shared" si="7"/>
        <v>26.2</v>
      </c>
      <c r="Q50" s="3">
        <v>15</v>
      </c>
      <c r="R50" s="3">
        <f t="shared" si="9"/>
        <v>0.38376623376623376</v>
      </c>
      <c r="S50" s="3">
        <f t="shared" si="3"/>
        <v>0.23025974025974025</v>
      </c>
      <c r="T50" s="28">
        <f t="shared" si="4"/>
        <v>0.26974025974025972</v>
      </c>
      <c r="U50" s="28">
        <f t="shared" si="8"/>
        <v>27.944025974025973</v>
      </c>
      <c r="W50" s="3">
        <v>409</v>
      </c>
      <c r="Y50" s="3">
        <f t="shared" si="6"/>
        <v>17285.699999999997</v>
      </c>
      <c r="AA50" s="3">
        <v>12.33578370402849</v>
      </c>
    </row>
    <row r="51" spans="1:27" s="3" customFormat="1" x14ac:dyDescent="0.25">
      <c r="A51" s="3">
        <v>5400</v>
      </c>
      <c r="B51" s="3">
        <v>24010</v>
      </c>
      <c r="C51" s="7">
        <v>42629</v>
      </c>
      <c r="F51" s="50"/>
      <c r="G51" s="3">
        <v>14.9</v>
      </c>
      <c r="H51" s="3">
        <v>13.4</v>
      </c>
      <c r="I51" s="3">
        <v>17.899999999999999</v>
      </c>
      <c r="J51" s="3">
        <f t="shared" si="5"/>
        <v>310</v>
      </c>
      <c r="L51" s="23"/>
      <c r="M51" s="3">
        <v>5.6</v>
      </c>
      <c r="N51" s="3">
        <v>1.6</v>
      </c>
      <c r="O51" s="3">
        <f t="shared" si="2"/>
        <v>3.9999999999999996</v>
      </c>
      <c r="P51" s="3">
        <f t="shared" si="7"/>
        <v>30.2</v>
      </c>
      <c r="Q51" s="3">
        <v>16</v>
      </c>
      <c r="R51" s="3">
        <f t="shared" si="9"/>
        <v>0.39220779220779217</v>
      </c>
      <c r="S51" s="3">
        <f t="shared" si="3"/>
        <v>0.6275324675324675</v>
      </c>
      <c r="T51" s="28">
        <f t="shared" si="4"/>
        <v>4.9724675324675323</v>
      </c>
      <c r="U51" s="28">
        <f t="shared" si="8"/>
        <v>32.916493506493502</v>
      </c>
      <c r="W51" s="3">
        <v>833.3</v>
      </c>
      <c r="Y51" s="3">
        <f t="shared" si="6"/>
        <v>18118.999999999996</v>
      </c>
      <c r="AA51" s="3">
        <v>12.274793403748804</v>
      </c>
    </row>
    <row r="52" spans="1:27" s="3" customFormat="1" x14ac:dyDescent="0.25">
      <c r="A52" s="3">
        <v>5400</v>
      </c>
      <c r="B52" s="3">
        <v>24010</v>
      </c>
      <c r="C52" s="7">
        <v>42630</v>
      </c>
      <c r="F52" s="50"/>
      <c r="G52" s="3">
        <v>13.9</v>
      </c>
      <c r="H52" s="3">
        <v>11.6</v>
      </c>
      <c r="I52" s="3">
        <v>17</v>
      </c>
      <c r="J52" s="3">
        <f t="shared" si="5"/>
        <v>323.89999999999998</v>
      </c>
      <c r="L52" s="23"/>
      <c r="M52" s="3">
        <v>1.3</v>
      </c>
      <c r="N52" s="3">
        <v>1</v>
      </c>
      <c r="O52" s="3">
        <f t="shared" si="2"/>
        <v>0.30000000000000004</v>
      </c>
      <c r="P52" s="3">
        <f t="shared" si="7"/>
        <v>30.5</v>
      </c>
      <c r="Q52" s="3">
        <v>17</v>
      </c>
      <c r="R52" s="3">
        <f t="shared" si="9"/>
        <v>0.40064935064935064</v>
      </c>
      <c r="S52" s="3">
        <f t="shared" si="3"/>
        <v>0.40064935064935064</v>
      </c>
      <c r="T52" s="28">
        <f t="shared" si="4"/>
        <v>0.89935064935064934</v>
      </c>
      <c r="U52" s="28">
        <f t="shared" si="8"/>
        <v>33.815844155844154</v>
      </c>
      <c r="W52" s="3">
        <v>492.1</v>
      </c>
      <c r="Y52" s="3">
        <f t="shared" si="6"/>
        <v>18611.099999999995</v>
      </c>
      <c r="AA52" s="3">
        <v>12.213766268434986</v>
      </c>
    </row>
    <row r="53" spans="1:27" s="3" customFormat="1" x14ac:dyDescent="0.25">
      <c r="A53" s="3">
        <v>5400</v>
      </c>
      <c r="B53" s="3">
        <v>24010</v>
      </c>
      <c r="C53" s="7">
        <v>42631</v>
      </c>
      <c r="F53" s="50"/>
      <c r="G53" s="3">
        <v>15.7</v>
      </c>
      <c r="H53" s="3">
        <v>13.5</v>
      </c>
      <c r="I53" s="3">
        <v>17.8</v>
      </c>
      <c r="J53" s="3">
        <f t="shared" si="5"/>
        <v>339.59999999999997</v>
      </c>
      <c r="L53" s="23"/>
      <c r="M53" s="3">
        <v>0</v>
      </c>
      <c r="N53" s="3">
        <v>0.5</v>
      </c>
      <c r="O53" s="3">
        <f t="shared" si="2"/>
        <v>-0.5</v>
      </c>
      <c r="P53" s="3">
        <f t="shared" si="7"/>
        <v>30</v>
      </c>
      <c r="Q53" s="3">
        <v>18</v>
      </c>
      <c r="R53" s="3">
        <f t="shared" si="9"/>
        <v>0.40909090909090906</v>
      </c>
      <c r="S53" s="3">
        <f t="shared" si="3"/>
        <v>0.20454545454545453</v>
      </c>
      <c r="T53" s="28">
        <f t="shared" si="4"/>
        <v>-0.20454545454545453</v>
      </c>
      <c r="U53" s="28">
        <f t="shared" si="8"/>
        <v>33.611298701298701</v>
      </c>
      <c r="W53" s="3">
        <v>404.7</v>
      </c>
      <c r="Y53" s="3">
        <f t="shared" si="6"/>
        <v>19015.799999999996</v>
      </c>
      <c r="AA53" s="3">
        <v>12.152710556609536</v>
      </c>
    </row>
    <row r="54" spans="1:27" s="3" customFormat="1" x14ac:dyDescent="0.25">
      <c r="A54" s="3">
        <v>5400</v>
      </c>
      <c r="B54" s="3">
        <v>24010</v>
      </c>
      <c r="C54" s="7">
        <v>42632</v>
      </c>
      <c r="F54" s="50"/>
      <c r="G54" s="3">
        <v>16.100000000000001</v>
      </c>
      <c r="H54" s="3">
        <v>13.7</v>
      </c>
      <c r="I54" s="3">
        <v>18.8</v>
      </c>
      <c r="J54" s="3">
        <f t="shared" si="5"/>
        <v>355.7</v>
      </c>
      <c r="L54" s="23"/>
      <c r="M54" s="3">
        <v>0.2</v>
      </c>
      <c r="N54" s="3">
        <v>1.2</v>
      </c>
      <c r="O54" s="3">
        <f t="shared" si="2"/>
        <v>-1</v>
      </c>
      <c r="P54" s="3">
        <f t="shared" si="7"/>
        <v>29</v>
      </c>
      <c r="Q54" s="3">
        <v>19</v>
      </c>
      <c r="R54" s="3">
        <f t="shared" si="9"/>
        <v>0.41753246753246753</v>
      </c>
      <c r="S54" s="3">
        <f t="shared" si="3"/>
        <v>0.50103896103896106</v>
      </c>
      <c r="T54" s="28">
        <f t="shared" si="4"/>
        <v>-0.30103896103896105</v>
      </c>
      <c r="U54" s="28">
        <f t="shared" si="8"/>
        <v>33.310259740259738</v>
      </c>
      <c r="W54" s="3">
        <v>821.8</v>
      </c>
      <c r="Y54" s="3">
        <f t="shared" si="6"/>
        <v>19837.599999999995</v>
      </c>
      <c r="AA54" s="3">
        <v>12.091634472091268</v>
      </c>
    </row>
    <row r="55" spans="1:27" s="3" customFormat="1" x14ac:dyDescent="0.25">
      <c r="A55" s="3">
        <v>5400</v>
      </c>
      <c r="B55" s="3">
        <v>24010</v>
      </c>
      <c r="C55" s="7">
        <v>42633</v>
      </c>
      <c r="F55" s="50"/>
      <c r="G55" s="3">
        <v>15.7</v>
      </c>
      <c r="H55" s="3">
        <v>14.1</v>
      </c>
      <c r="I55" s="3">
        <v>18.399999999999999</v>
      </c>
      <c r="J55" s="3">
        <f t="shared" si="5"/>
        <v>371.4</v>
      </c>
      <c r="L55" s="23"/>
      <c r="M55" s="3">
        <v>0.6</v>
      </c>
      <c r="N55" s="3">
        <v>0.8</v>
      </c>
      <c r="O55" s="3">
        <f t="shared" si="2"/>
        <v>-0.20000000000000007</v>
      </c>
      <c r="P55" s="3">
        <f t="shared" si="7"/>
        <v>28.8</v>
      </c>
      <c r="Q55" s="3">
        <v>20</v>
      </c>
      <c r="R55" s="3">
        <f t="shared" si="9"/>
        <v>0.42597402597402595</v>
      </c>
      <c r="S55" s="3">
        <f t="shared" si="3"/>
        <v>0.34077922077922079</v>
      </c>
      <c r="T55" s="28">
        <f t="shared" si="4"/>
        <v>0.25922077922077918</v>
      </c>
      <c r="U55" s="28">
        <f t="shared" si="8"/>
        <v>33.569480519480514</v>
      </c>
      <c r="W55" s="3">
        <v>371</v>
      </c>
      <c r="Y55" s="3">
        <f t="shared" si="6"/>
        <v>20208.599999999995</v>
      </c>
      <c r="AA55" s="3">
        <v>12.030546179602295</v>
      </c>
    </row>
    <row r="56" spans="1:27" s="3" customFormat="1" x14ac:dyDescent="0.25">
      <c r="A56" s="3">
        <v>5400</v>
      </c>
      <c r="B56" s="3">
        <v>24010</v>
      </c>
      <c r="C56" s="7">
        <v>42634</v>
      </c>
      <c r="F56" s="50"/>
      <c r="G56" s="3">
        <v>14.4</v>
      </c>
      <c r="H56" s="3">
        <v>8.9</v>
      </c>
      <c r="I56" s="3">
        <v>20.2</v>
      </c>
      <c r="J56" s="3">
        <f t="shared" si="5"/>
        <v>385.79999999999995</v>
      </c>
      <c r="L56" s="23"/>
      <c r="M56" s="3">
        <v>0.2</v>
      </c>
      <c r="N56" s="3">
        <v>2.5</v>
      </c>
      <c r="O56" s="3">
        <f t="shared" si="2"/>
        <v>-2.2999999999999998</v>
      </c>
      <c r="P56" s="3">
        <f t="shared" si="7"/>
        <v>26.5</v>
      </c>
      <c r="Q56" s="3">
        <v>21</v>
      </c>
      <c r="R56" s="3">
        <f t="shared" si="9"/>
        <v>0.43441558441558437</v>
      </c>
      <c r="S56" s="3">
        <f t="shared" si="3"/>
        <v>1.0860389610389609</v>
      </c>
      <c r="T56" s="28">
        <f t="shared" si="4"/>
        <v>-0.88603896103896096</v>
      </c>
      <c r="U56" s="28">
        <f t="shared" si="8"/>
        <v>32.683441558441551</v>
      </c>
      <c r="W56" s="3">
        <v>1516</v>
      </c>
      <c r="Y56" s="3">
        <f t="shared" si="6"/>
        <v>21724.599999999995</v>
      </c>
      <c r="AA56" s="3">
        <v>11.969453820397703</v>
      </c>
    </row>
    <row r="57" spans="1:27" s="3" customFormat="1" x14ac:dyDescent="0.25">
      <c r="A57" s="3">
        <v>5400</v>
      </c>
      <c r="B57" s="3">
        <v>24010</v>
      </c>
      <c r="C57" s="7">
        <v>42635</v>
      </c>
      <c r="F57" s="50"/>
      <c r="G57" s="3">
        <v>15.5</v>
      </c>
      <c r="H57" s="3">
        <v>9.3000000000000007</v>
      </c>
      <c r="I57" s="3">
        <v>21.7</v>
      </c>
      <c r="J57" s="3">
        <f t="shared" si="5"/>
        <v>401.29999999999995</v>
      </c>
      <c r="L57" s="23"/>
      <c r="M57" s="3">
        <v>0</v>
      </c>
      <c r="N57" s="3">
        <v>1.2</v>
      </c>
      <c r="O57" s="3">
        <f t="shared" si="2"/>
        <v>-1.2</v>
      </c>
      <c r="P57" s="3">
        <f t="shared" si="7"/>
        <v>25.3</v>
      </c>
      <c r="Q57" s="3">
        <v>22</v>
      </c>
      <c r="R57" s="3">
        <f t="shared" si="9"/>
        <v>0.44285714285714284</v>
      </c>
      <c r="S57" s="3">
        <f t="shared" si="3"/>
        <v>0.53142857142857136</v>
      </c>
      <c r="T57" s="28">
        <f t="shared" si="4"/>
        <v>-0.53142857142857136</v>
      </c>
      <c r="U57" s="28">
        <f t="shared" si="8"/>
        <v>32.152012987012981</v>
      </c>
      <c r="W57" s="3">
        <v>797.4</v>
      </c>
      <c r="Y57" s="3">
        <f t="shared" si="6"/>
        <v>22521.999999999996</v>
      </c>
      <c r="AA57" s="3">
        <v>11.908365527908732</v>
      </c>
    </row>
    <row r="58" spans="1:27" s="3" customFormat="1" x14ac:dyDescent="0.25">
      <c r="A58" s="3">
        <v>5400</v>
      </c>
      <c r="B58" s="3">
        <v>24010</v>
      </c>
      <c r="C58" s="7">
        <v>42636</v>
      </c>
      <c r="F58" s="50"/>
      <c r="G58" s="3">
        <v>16.399999999999999</v>
      </c>
      <c r="H58" s="3">
        <v>13</v>
      </c>
      <c r="I58" s="3">
        <v>22.2</v>
      </c>
      <c r="J58" s="3">
        <f t="shared" si="5"/>
        <v>417.69999999999993</v>
      </c>
      <c r="L58" s="23"/>
      <c r="M58" s="3">
        <v>0</v>
      </c>
      <c r="N58" s="3">
        <v>2.5</v>
      </c>
      <c r="O58" s="3">
        <f t="shared" si="2"/>
        <v>-2.5</v>
      </c>
      <c r="P58" s="3">
        <f t="shared" si="7"/>
        <v>22.8</v>
      </c>
      <c r="Q58" s="3">
        <v>23</v>
      </c>
      <c r="R58" s="3">
        <f t="shared" si="9"/>
        <v>0.45129870129870131</v>
      </c>
      <c r="S58" s="3">
        <f t="shared" si="3"/>
        <v>1.1282467532467533</v>
      </c>
      <c r="T58" s="28">
        <f t="shared" si="4"/>
        <v>-1.1282467532467533</v>
      </c>
      <c r="U58" s="28">
        <f t="shared" si="8"/>
        <v>31.023766233766228</v>
      </c>
      <c r="W58" s="3">
        <v>1400.3</v>
      </c>
      <c r="Y58" s="3">
        <f t="shared" si="6"/>
        <v>23922.299999999996</v>
      </c>
      <c r="AA58" s="3">
        <v>11.847289443390466</v>
      </c>
    </row>
    <row r="59" spans="1:27" s="3" customFormat="1" x14ac:dyDescent="0.25">
      <c r="A59" s="3">
        <v>5400</v>
      </c>
      <c r="B59" s="3">
        <v>24010</v>
      </c>
      <c r="C59" s="7">
        <v>42637</v>
      </c>
      <c r="F59" s="50"/>
      <c r="G59" s="3">
        <v>16.8</v>
      </c>
      <c r="H59" s="3">
        <v>11.1</v>
      </c>
      <c r="I59" s="3">
        <v>24.1</v>
      </c>
      <c r="J59" s="3">
        <f t="shared" si="5"/>
        <v>434.49999999999994</v>
      </c>
      <c r="L59" s="23"/>
      <c r="M59" s="3">
        <v>0.2</v>
      </c>
      <c r="N59" s="3">
        <v>3.3</v>
      </c>
      <c r="O59" s="3">
        <f t="shared" si="2"/>
        <v>-3.0999999999999996</v>
      </c>
      <c r="P59" s="3">
        <f t="shared" si="7"/>
        <v>19.700000000000003</v>
      </c>
      <c r="Q59" s="3">
        <v>24</v>
      </c>
      <c r="R59" s="3">
        <f t="shared" si="9"/>
        <v>0.45974025974025973</v>
      </c>
      <c r="S59" s="3">
        <f t="shared" si="3"/>
        <v>1.5171428571428571</v>
      </c>
      <c r="T59" s="28">
        <f t="shared" si="4"/>
        <v>-1.3171428571428572</v>
      </c>
      <c r="U59" s="28">
        <f t="shared" si="8"/>
        <v>29.706623376623369</v>
      </c>
      <c r="W59" s="3">
        <v>1501.1</v>
      </c>
      <c r="Y59" s="3">
        <f t="shared" si="6"/>
        <v>25423.399999999994</v>
      </c>
      <c r="AA59" s="3">
        <v>11.786233731565012</v>
      </c>
    </row>
    <row r="60" spans="1:27" s="3" customFormat="1" x14ac:dyDescent="0.25">
      <c r="A60" s="3">
        <v>5400</v>
      </c>
      <c r="B60" s="3">
        <v>24010</v>
      </c>
      <c r="C60" s="7">
        <v>42638</v>
      </c>
      <c r="F60" s="50"/>
      <c r="G60" s="3">
        <v>14.5</v>
      </c>
      <c r="H60" s="3">
        <v>13.7</v>
      </c>
      <c r="I60" s="3">
        <v>17.3</v>
      </c>
      <c r="J60" s="3">
        <f t="shared" si="5"/>
        <v>448.99999999999994</v>
      </c>
      <c r="L60" s="23"/>
      <c r="M60" s="3">
        <v>0.4</v>
      </c>
      <c r="N60" s="3">
        <v>1.8</v>
      </c>
      <c r="O60" s="3">
        <f t="shared" si="2"/>
        <v>-1.4</v>
      </c>
      <c r="P60" s="3">
        <f t="shared" si="7"/>
        <v>18.300000000000004</v>
      </c>
      <c r="Q60" s="3">
        <v>25</v>
      </c>
      <c r="R60" s="3">
        <f t="shared" si="9"/>
        <v>0.46818181818181814</v>
      </c>
      <c r="S60" s="3">
        <f t="shared" si="3"/>
        <v>0.84272727272727266</v>
      </c>
      <c r="T60" s="28">
        <f t="shared" si="4"/>
        <v>-0.44272727272727264</v>
      </c>
      <c r="U60" s="28">
        <f t="shared" si="8"/>
        <v>29.263896103896098</v>
      </c>
      <c r="W60" s="3">
        <v>988.2</v>
      </c>
      <c r="Y60" s="3">
        <f t="shared" si="6"/>
        <v>26411.599999999995</v>
      </c>
      <c r="AA60" s="3">
        <v>11.725206596251198</v>
      </c>
    </row>
    <row r="61" spans="1:27" s="3" customFormat="1" x14ac:dyDescent="0.25">
      <c r="A61" s="3">
        <v>5400</v>
      </c>
      <c r="B61" s="3">
        <v>24010</v>
      </c>
      <c r="C61" s="7">
        <v>42639</v>
      </c>
      <c r="F61" s="50"/>
      <c r="G61" s="3">
        <v>14.1</v>
      </c>
      <c r="H61" s="3">
        <v>8.5</v>
      </c>
      <c r="I61" s="3">
        <v>19.8</v>
      </c>
      <c r="J61" s="3">
        <f t="shared" si="5"/>
        <v>463.09999999999997</v>
      </c>
      <c r="L61" s="23"/>
      <c r="M61" s="3">
        <v>0</v>
      </c>
      <c r="N61" s="3">
        <v>1.5</v>
      </c>
      <c r="O61" s="3">
        <f t="shared" si="2"/>
        <v>-1.5</v>
      </c>
      <c r="P61" s="3">
        <f t="shared" si="7"/>
        <v>16.800000000000004</v>
      </c>
      <c r="Q61" s="3">
        <v>26</v>
      </c>
      <c r="R61" s="3">
        <f t="shared" si="9"/>
        <v>0.47662337662337662</v>
      </c>
      <c r="S61" s="3">
        <f t="shared" si="3"/>
        <v>0.71493506493506498</v>
      </c>
      <c r="T61" s="28">
        <f t="shared" si="4"/>
        <v>-0.71493506493506498</v>
      </c>
      <c r="U61" s="28">
        <f t="shared" si="8"/>
        <v>28.548961038961032</v>
      </c>
      <c r="W61" s="3">
        <v>935.9</v>
      </c>
      <c r="Y61" s="3">
        <f t="shared" si="6"/>
        <v>27347.499999999996</v>
      </c>
      <c r="AA61" s="3">
        <v>11.664216295971508</v>
      </c>
    </row>
    <row r="62" spans="1:27" s="3" customFormat="1" x14ac:dyDescent="0.25">
      <c r="A62" s="3">
        <v>5400</v>
      </c>
      <c r="B62" s="3">
        <v>24010</v>
      </c>
      <c r="C62" s="7">
        <v>42640</v>
      </c>
      <c r="F62" s="50"/>
      <c r="G62" s="3">
        <v>16.600000000000001</v>
      </c>
      <c r="H62" s="3">
        <v>10.6</v>
      </c>
      <c r="I62" s="3">
        <v>22.1</v>
      </c>
      <c r="J62" s="3">
        <f t="shared" si="5"/>
        <v>479.7</v>
      </c>
      <c r="L62" s="23"/>
      <c r="M62" s="3">
        <v>0</v>
      </c>
      <c r="N62" s="3">
        <v>2.2000000000000002</v>
      </c>
      <c r="O62" s="3">
        <f t="shared" si="2"/>
        <v>-2.2000000000000002</v>
      </c>
      <c r="P62" s="3">
        <f t="shared" si="7"/>
        <v>14.600000000000005</v>
      </c>
      <c r="Q62" s="3">
        <v>27</v>
      </c>
      <c r="R62" s="3">
        <f t="shared" si="9"/>
        <v>0.48506493506493509</v>
      </c>
      <c r="S62" s="3">
        <f t="shared" si="3"/>
        <v>1.0671428571428572</v>
      </c>
      <c r="T62" s="28">
        <f t="shared" si="4"/>
        <v>-1.0671428571428572</v>
      </c>
      <c r="U62" s="28">
        <f t="shared" si="8"/>
        <v>27.481818181818173</v>
      </c>
      <c r="W62" s="3">
        <v>1048.0999999999999</v>
      </c>
      <c r="Y62" s="3">
        <f t="shared" si="6"/>
        <v>28395.599999999995</v>
      </c>
      <c r="AA62" s="3">
        <v>11.603271159526866</v>
      </c>
    </row>
    <row r="63" spans="1:27" s="3" customFormat="1" x14ac:dyDescent="0.25">
      <c r="A63" s="3">
        <v>5400</v>
      </c>
      <c r="B63" s="3">
        <v>24010</v>
      </c>
      <c r="C63" s="7">
        <v>42641</v>
      </c>
      <c r="F63" s="50"/>
      <c r="G63" s="3">
        <v>17.399999999999999</v>
      </c>
      <c r="H63" s="3">
        <v>16</v>
      </c>
      <c r="I63" s="3">
        <v>21.1</v>
      </c>
      <c r="J63" s="3">
        <f t="shared" si="5"/>
        <v>497.09999999999997</v>
      </c>
      <c r="L63" s="23"/>
      <c r="M63" s="3">
        <v>0.2</v>
      </c>
      <c r="N63" s="3">
        <v>1.9</v>
      </c>
      <c r="O63" s="3">
        <f t="shared" si="2"/>
        <v>-1.7</v>
      </c>
      <c r="P63" s="3">
        <f t="shared" si="7"/>
        <v>12.900000000000006</v>
      </c>
      <c r="Q63" s="3">
        <v>28</v>
      </c>
      <c r="R63" s="3">
        <f t="shared" si="9"/>
        <v>0.49350649350649345</v>
      </c>
      <c r="S63" s="3">
        <f t="shared" si="3"/>
        <v>0.93766233766233753</v>
      </c>
      <c r="T63" s="28">
        <f t="shared" si="4"/>
        <v>-0.73766233766233746</v>
      </c>
      <c r="U63" s="28">
        <f t="shared" si="8"/>
        <v>26.744155844155834</v>
      </c>
      <c r="W63" s="3">
        <v>818.6</v>
      </c>
      <c r="Y63" s="3">
        <f t="shared" si="6"/>
        <v>29214.199999999993</v>
      </c>
      <c r="AA63" s="3">
        <v>11.542379601529223</v>
      </c>
    </row>
    <row r="64" spans="1:27" s="3" customFormat="1" x14ac:dyDescent="0.25">
      <c r="A64" s="3">
        <v>5400</v>
      </c>
      <c r="B64" s="3">
        <v>24010</v>
      </c>
      <c r="C64" s="7">
        <v>42642</v>
      </c>
      <c r="F64" s="50"/>
      <c r="G64" s="3">
        <v>16.600000000000001</v>
      </c>
      <c r="H64" s="3">
        <v>13.7</v>
      </c>
      <c r="I64" s="3">
        <v>18.7</v>
      </c>
      <c r="J64" s="3">
        <f t="shared" si="5"/>
        <v>513.69999999999993</v>
      </c>
      <c r="L64" s="23"/>
      <c r="M64" s="3">
        <v>0</v>
      </c>
      <c r="N64" s="3">
        <v>1</v>
      </c>
      <c r="O64" s="3">
        <f t="shared" si="2"/>
        <v>-1</v>
      </c>
      <c r="P64" s="3">
        <f t="shared" si="7"/>
        <v>11.900000000000006</v>
      </c>
      <c r="Q64" s="3">
        <v>29</v>
      </c>
      <c r="R64" s="3">
        <f t="shared" si="9"/>
        <v>0.50194805194805192</v>
      </c>
      <c r="S64" s="3">
        <f t="shared" si="3"/>
        <v>0.50194805194805192</v>
      </c>
      <c r="T64" s="28">
        <f t="shared" si="4"/>
        <v>-0.50194805194805192</v>
      </c>
      <c r="U64" s="28">
        <f t="shared" si="8"/>
        <v>26.242207792207783</v>
      </c>
      <c r="W64" s="3">
        <v>433.8</v>
      </c>
      <c r="Y64" s="3">
        <f t="shared" si="6"/>
        <v>29647.999999999993</v>
      </c>
      <c r="AA64" s="3">
        <v>11.481550137881669</v>
      </c>
    </row>
    <row r="65" spans="1:27" s="3" customFormat="1" x14ac:dyDescent="0.25">
      <c r="A65" s="3">
        <v>5400</v>
      </c>
      <c r="B65" s="3">
        <v>24010</v>
      </c>
      <c r="C65" s="7">
        <v>42643</v>
      </c>
      <c r="F65" s="50"/>
      <c r="G65" s="3">
        <v>14.4</v>
      </c>
      <c r="H65" s="3">
        <v>12.6</v>
      </c>
      <c r="I65" s="3">
        <v>16.7</v>
      </c>
      <c r="J65" s="3">
        <f t="shared" si="5"/>
        <v>528.09999999999991</v>
      </c>
      <c r="L65" s="23"/>
      <c r="M65" s="3">
        <v>4.4000000000000004</v>
      </c>
      <c r="N65" s="3">
        <v>0.7</v>
      </c>
      <c r="O65" s="3">
        <f t="shared" si="2"/>
        <v>3.7</v>
      </c>
      <c r="P65" s="3">
        <f t="shared" si="7"/>
        <v>15.600000000000005</v>
      </c>
      <c r="Q65" s="3">
        <v>30</v>
      </c>
      <c r="R65" s="3">
        <f t="shared" si="9"/>
        <v>0.51038961038961039</v>
      </c>
      <c r="S65" s="3">
        <f t="shared" si="3"/>
        <v>0.35727272727272724</v>
      </c>
      <c r="T65" s="28">
        <f t="shared" si="4"/>
        <v>4.0427272727272729</v>
      </c>
      <c r="U65" s="28">
        <f t="shared" si="8"/>
        <v>30.284935064935055</v>
      </c>
      <c r="W65" s="3">
        <v>405.9</v>
      </c>
      <c r="Y65" s="3">
        <f t="shared" si="6"/>
        <v>30053.899999999994</v>
      </c>
      <c r="AA65" s="3">
        <v>11.420791401194855</v>
      </c>
    </row>
    <row r="66" spans="1:27" s="3" customFormat="1" x14ac:dyDescent="0.25">
      <c r="A66" s="3">
        <v>5400</v>
      </c>
      <c r="B66" s="3">
        <v>24010</v>
      </c>
      <c r="C66" s="7">
        <v>42644</v>
      </c>
      <c r="F66" s="50"/>
      <c r="G66" s="3">
        <v>12.9</v>
      </c>
      <c r="H66" s="3">
        <v>10.9</v>
      </c>
      <c r="I66" s="3">
        <v>17.100000000000001</v>
      </c>
      <c r="J66" s="3">
        <f t="shared" si="5"/>
        <v>540.99999999999989</v>
      </c>
      <c r="L66" s="23"/>
      <c r="M66" s="3">
        <v>0.7</v>
      </c>
      <c r="N66" s="3">
        <v>1.9</v>
      </c>
      <c r="O66" s="3">
        <f t="shared" si="2"/>
        <v>-1.2</v>
      </c>
      <c r="P66" s="3">
        <f t="shared" si="7"/>
        <v>14.400000000000006</v>
      </c>
      <c r="Q66" s="3">
        <v>31</v>
      </c>
      <c r="R66" s="3">
        <f t="shared" si="9"/>
        <v>0.51883116883116887</v>
      </c>
      <c r="S66" s="3">
        <f t="shared" si="3"/>
        <v>0.98577922077922076</v>
      </c>
      <c r="T66" s="28">
        <f t="shared" si="4"/>
        <v>-0.2857792207792208</v>
      </c>
      <c r="U66" s="28">
        <f t="shared" si="8"/>
        <v>29.999155844155833</v>
      </c>
      <c r="W66" s="3">
        <v>1080.5999999999999</v>
      </c>
      <c r="Y66" s="3">
        <f t="shared" si="6"/>
        <v>31134.499999999993</v>
      </c>
      <c r="AA66" s="3">
        <v>11.360112156127965</v>
      </c>
    </row>
    <row r="67" spans="1:27" s="3" customFormat="1" x14ac:dyDescent="0.25">
      <c r="A67" s="3">
        <v>5400</v>
      </c>
      <c r="B67" s="3">
        <v>24010</v>
      </c>
      <c r="C67" s="7">
        <v>42645</v>
      </c>
      <c r="F67" s="50"/>
      <c r="G67" s="3">
        <v>11</v>
      </c>
      <c r="H67" s="3">
        <v>8.1999999999999993</v>
      </c>
      <c r="I67" s="3">
        <v>15.6</v>
      </c>
      <c r="J67" s="3">
        <f t="shared" si="5"/>
        <v>551.99999999999989</v>
      </c>
      <c r="L67" s="23"/>
      <c r="M67" s="3">
        <v>0.1</v>
      </c>
      <c r="N67" s="3">
        <v>1.6</v>
      </c>
      <c r="O67" s="3">
        <f t="shared" si="2"/>
        <v>-1.5</v>
      </c>
      <c r="P67" s="3">
        <f t="shared" si="7"/>
        <v>12.900000000000006</v>
      </c>
      <c r="Q67" s="3">
        <v>32</v>
      </c>
      <c r="R67" s="3">
        <f t="shared" si="9"/>
        <v>0.52727272727272723</v>
      </c>
      <c r="S67" s="3">
        <f t="shared" si="3"/>
        <v>0.84363636363636363</v>
      </c>
      <c r="T67" s="28">
        <f t="shared" si="4"/>
        <v>-0.74363636363636365</v>
      </c>
      <c r="U67" s="28">
        <f t="shared" si="8"/>
        <v>29.255519480519471</v>
      </c>
      <c r="W67" s="3">
        <v>868.7</v>
      </c>
      <c r="Y67" s="3">
        <f t="shared" si="6"/>
        <v>32003.199999999993</v>
      </c>
      <c r="AA67" s="3">
        <v>11.299521314641499</v>
      </c>
    </row>
    <row r="68" spans="1:27" s="3" customFormat="1" x14ac:dyDescent="0.25">
      <c r="A68" s="3">
        <v>5400</v>
      </c>
      <c r="B68" s="3">
        <v>24010</v>
      </c>
      <c r="C68" s="7">
        <v>42646</v>
      </c>
      <c r="F68" s="50"/>
      <c r="G68" s="3">
        <v>10.7</v>
      </c>
      <c r="H68" s="3">
        <v>3.8</v>
      </c>
      <c r="I68" s="3">
        <v>17.5</v>
      </c>
      <c r="J68" s="3">
        <f t="shared" si="5"/>
        <v>562.69999999999993</v>
      </c>
      <c r="L68" s="23"/>
      <c r="M68" s="3">
        <v>0.1</v>
      </c>
      <c r="N68" s="3">
        <v>2.1</v>
      </c>
      <c r="O68" s="3">
        <f t="shared" si="2"/>
        <v>-2</v>
      </c>
      <c r="P68" s="3">
        <f t="shared" si="7"/>
        <v>10.900000000000006</v>
      </c>
      <c r="Q68" s="3">
        <v>33</v>
      </c>
      <c r="R68" s="3">
        <f t="shared" si="9"/>
        <v>0.5357142857142857</v>
      </c>
      <c r="S68" s="3">
        <f t="shared" si="3"/>
        <v>1.125</v>
      </c>
      <c r="T68" s="28">
        <f t="shared" si="4"/>
        <v>-1.0249999999999999</v>
      </c>
      <c r="U68" s="28">
        <f t="shared" si="8"/>
        <v>28.230519480519472</v>
      </c>
      <c r="W68" s="3">
        <v>1389.1</v>
      </c>
      <c r="Y68" s="3">
        <f t="shared" si="6"/>
        <v>33392.299999999996</v>
      </c>
      <c r="AA68" s="3">
        <v>11.239027951148129</v>
      </c>
    </row>
    <row r="69" spans="1:27" s="3" customFormat="1" x14ac:dyDescent="0.25">
      <c r="A69" s="3">
        <v>5400</v>
      </c>
      <c r="B69" s="3">
        <v>24010</v>
      </c>
      <c r="C69" s="7">
        <v>42647</v>
      </c>
      <c r="F69" s="50"/>
      <c r="G69" s="3">
        <v>13.1</v>
      </c>
      <c r="H69" s="3">
        <v>8.4</v>
      </c>
      <c r="I69" s="3">
        <v>18.600000000000001</v>
      </c>
      <c r="J69" s="3">
        <f t="shared" si="5"/>
        <v>575.79999999999995</v>
      </c>
      <c r="L69" s="23"/>
      <c r="M69" s="3">
        <v>0</v>
      </c>
      <c r="N69" s="3">
        <v>2.7</v>
      </c>
      <c r="O69" s="3">
        <f t="shared" si="2"/>
        <v>-2.7</v>
      </c>
      <c r="P69" s="3">
        <f t="shared" si="7"/>
        <v>8.2000000000000064</v>
      </c>
      <c r="Q69" s="3">
        <v>34</v>
      </c>
      <c r="R69" s="3">
        <f t="shared" si="9"/>
        <v>0.54415584415584417</v>
      </c>
      <c r="S69" s="3">
        <f t="shared" si="3"/>
        <v>1.4692207792207794</v>
      </c>
      <c r="T69" s="28">
        <f t="shared" si="4"/>
        <v>-1.4692207792207794</v>
      </c>
      <c r="U69" s="28">
        <f t="shared" si="8"/>
        <v>26.761298701298692</v>
      </c>
      <c r="W69" s="3">
        <v>1447.6</v>
      </c>
      <c r="Y69" s="3">
        <f t="shared" si="6"/>
        <v>34839.899999999994</v>
      </c>
      <c r="AA69" s="3">
        <v>11.178641317546811</v>
      </c>
    </row>
    <row r="70" spans="1:27" s="3" customFormat="1" x14ac:dyDescent="0.25">
      <c r="A70" s="3">
        <v>5400</v>
      </c>
      <c r="B70" s="3">
        <v>24010</v>
      </c>
      <c r="C70" s="7">
        <v>42648</v>
      </c>
      <c r="F70" s="50"/>
      <c r="G70" s="3">
        <v>12.2</v>
      </c>
      <c r="H70" s="3">
        <v>9.6</v>
      </c>
      <c r="I70" s="3">
        <v>16.5</v>
      </c>
      <c r="J70" s="3">
        <f t="shared" si="5"/>
        <v>588</v>
      </c>
      <c r="L70" s="23"/>
      <c r="M70" s="3">
        <v>0</v>
      </c>
      <c r="N70" s="3">
        <v>2.7</v>
      </c>
      <c r="O70" s="3">
        <f t="shared" si="2"/>
        <v>-2.7</v>
      </c>
      <c r="P70" s="3">
        <f t="shared" si="7"/>
        <v>5.5000000000000062</v>
      </c>
      <c r="Q70" s="3">
        <v>35</v>
      </c>
      <c r="R70" s="3">
        <f t="shared" si="9"/>
        <v>0.55259740259740253</v>
      </c>
      <c r="S70" s="3">
        <f t="shared" si="3"/>
        <v>1.492012987012987</v>
      </c>
      <c r="T70" s="28">
        <f t="shared" si="4"/>
        <v>-1.492012987012987</v>
      </c>
      <c r="U70" s="28">
        <f t="shared" si="8"/>
        <v>25.269285714285704</v>
      </c>
      <c r="W70" s="3">
        <v>1411.3</v>
      </c>
      <c r="Y70" s="3">
        <f t="shared" si="6"/>
        <v>36251.199999999997</v>
      </c>
      <c r="AA70" s="3">
        <v>11.118370858124068</v>
      </c>
    </row>
    <row r="71" spans="1:27" s="3" customFormat="1" x14ac:dyDescent="0.25">
      <c r="A71" s="3">
        <v>5400</v>
      </c>
      <c r="B71" s="3">
        <v>24010</v>
      </c>
      <c r="C71" s="7">
        <v>42649</v>
      </c>
      <c r="F71" s="50"/>
      <c r="G71" s="3">
        <v>9.9</v>
      </c>
      <c r="H71" s="3">
        <v>4.9000000000000004</v>
      </c>
      <c r="I71" s="3">
        <v>13.9</v>
      </c>
      <c r="J71" s="3">
        <f t="shared" si="5"/>
        <v>597.9</v>
      </c>
      <c r="L71" s="23"/>
      <c r="M71" s="3">
        <v>0</v>
      </c>
      <c r="N71" s="3">
        <v>2.1</v>
      </c>
      <c r="O71" s="3">
        <f t="shared" si="2"/>
        <v>-2.1</v>
      </c>
      <c r="P71" s="3">
        <f t="shared" si="7"/>
        <v>3.4000000000000061</v>
      </c>
      <c r="Q71" s="3">
        <v>36</v>
      </c>
      <c r="R71" s="3">
        <f t="shared" si="9"/>
        <v>0.561038961038961</v>
      </c>
      <c r="S71" s="3">
        <f t="shared" si="3"/>
        <v>1.1781818181818182</v>
      </c>
      <c r="T71" s="28">
        <f t="shared" si="4"/>
        <v>-1.1781818181818182</v>
      </c>
      <c r="U71" s="28">
        <f t="shared" si="8"/>
        <v>24.091103896103885</v>
      </c>
      <c r="W71" s="3">
        <v>1338.6</v>
      </c>
      <c r="Y71" s="3">
        <f t="shared" si="6"/>
        <v>37589.799999999996</v>
      </c>
      <c r="AA71" s="3">
        <v>11.058226224305077</v>
      </c>
    </row>
    <row r="72" spans="1:27" s="3" customFormat="1" x14ac:dyDescent="0.25">
      <c r="A72" s="3">
        <v>5400</v>
      </c>
      <c r="B72" s="3">
        <v>24010</v>
      </c>
      <c r="C72" s="7">
        <v>42650</v>
      </c>
      <c r="F72" s="50"/>
      <c r="G72" s="3">
        <v>10.7</v>
      </c>
      <c r="H72" s="3">
        <v>6.9</v>
      </c>
      <c r="I72" s="3">
        <v>13.5</v>
      </c>
      <c r="J72" s="3">
        <f t="shared" si="5"/>
        <v>608.6</v>
      </c>
      <c r="L72" s="23"/>
      <c r="M72" s="3">
        <v>0</v>
      </c>
      <c r="N72" s="3">
        <v>0.9</v>
      </c>
      <c r="O72" s="3">
        <f t="shared" si="2"/>
        <v>-0.9</v>
      </c>
      <c r="P72" s="3">
        <f t="shared" si="7"/>
        <v>2.5000000000000062</v>
      </c>
      <c r="Q72" s="3">
        <v>37</v>
      </c>
      <c r="R72" s="3">
        <f t="shared" si="9"/>
        <v>0.56948051948051948</v>
      </c>
      <c r="S72" s="3">
        <f t="shared" si="3"/>
        <v>0.51253246753246751</v>
      </c>
      <c r="T72" s="28">
        <f t="shared" si="4"/>
        <v>-0.51253246753246751</v>
      </c>
      <c r="U72" s="28">
        <f t="shared" si="8"/>
        <v>23.578571428571419</v>
      </c>
      <c r="W72" s="3">
        <v>469.3</v>
      </c>
      <c r="Y72" s="3">
        <f t="shared" si="6"/>
        <v>38059.1</v>
      </c>
      <c r="AA72" s="3">
        <v>10.998217289235583</v>
      </c>
    </row>
    <row r="73" spans="1:27" s="3" customFormat="1" x14ac:dyDescent="0.25">
      <c r="A73" s="3">
        <v>5400</v>
      </c>
      <c r="B73" s="3">
        <v>24010</v>
      </c>
      <c r="C73" s="7">
        <v>42651</v>
      </c>
      <c r="F73" s="50"/>
      <c r="G73" s="3">
        <v>11.1</v>
      </c>
      <c r="H73" s="3">
        <v>9.5</v>
      </c>
      <c r="I73" s="3">
        <v>14.7</v>
      </c>
      <c r="J73" s="3">
        <f t="shared" si="5"/>
        <v>619.70000000000005</v>
      </c>
      <c r="L73" s="23"/>
      <c r="M73" s="3">
        <v>0</v>
      </c>
      <c r="N73" s="3">
        <v>1.3</v>
      </c>
      <c r="O73" s="3">
        <f t="shared" si="2"/>
        <v>-1.3</v>
      </c>
      <c r="P73" s="3">
        <f t="shared" si="7"/>
        <v>1.2000000000000062</v>
      </c>
      <c r="Q73" s="3">
        <v>38</v>
      </c>
      <c r="R73" s="3">
        <f t="shared" si="9"/>
        <v>0.57792207792207795</v>
      </c>
      <c r="S73" s="3">
        <f t="shared" si="3"/>
        <v>0.75129870129870135</v>
      </c>
      <c r="T73" s="28">
        <f t="shared" si="4"/>
        <v>-0.75129870129870135</v>
      </c>
      <c r="U73" s="28">
        <f t="shared" si="8"/>
        <v>22.827272727272717</v>
      </c>
      <c r="W73" s="3">
        <v>610.5</v>
      </c>
      <c r="Y73" s="3">
        <f t="shared" si="6"/>
        <v>38669.599999999999</v>
      </c>
      <c r="AA73" s="3">
        <v>10.938354162174264</v>
      </c>
    </row>
    <row r="74" spans="1:27" s="3" customFormat="1" x14ac:dyDescent="0.25">
      <c r="A74" s="3">
        <v>5400</v>
      </c>
      <c r="B74" s="3">
        <v>24010</v>
      </c>
      <c r="C74" s="7">
        <v>42652</v>
      </c>
      <c r="F74" s="50"/>
      <c r="G74" s="3">
        <v>9.5</v>
      </c>
      <c r="H74" s="3">
        <v>5.0999999999999996</v>
      </c>
      <c r="I74" s="3">
        <v>15.6</v>
      </c>
      <c r="J74" s="3">
        <f t="shared" si="5"/>
        <v>629.20000000000005</v>
      </c>
      <c r="L74" s="23"/>
      <c r="M74" s="3">
        <v>0</v>
      </c>
      <c r="N74" s="3">
        <v>1.2</v>
      </c>
      <c r="O74" s="3">
        <f t="shared" si="2"/>
        <v>-1.2</v>
      </c>
      <c r="P74" s="3">
        <v>0</v>
      </c>
      <c r="Q74" s="3">
        <v>39</v>
      </c>
      <c r="R74" s="3">
        <f t="shared" si="9"/>
        <v>0.58636363636363642</v>
      </c>
      <c r="S74" s="3">
        <f t="shared" si="3"/>
        <v>0.70363636363636373</v>
      </c>
      <c r="T74" s="28">
        <f t="shared" si="4"/>
        <v>-0.70363636363636373</v>
      </c>
      <c r="U74" s="28">
        <f t="shared" si="8"/>
        <v>22.123636363636354</v>
      </c>
      <c r="W74" s="3">
        <v>623.4</v>
      </c>
      <c r="Y74" s="3">
        <f t="shared" si="6"/>
        <v>39293</v>
      </c>
      <c r="AA74" s="3">
        <v>10.878647202673317</v>
      </c>
    </row>
    <row r="75" spans="1:27" s="3" customFormat="1" x14ac:dyDescent="0.25">
      <c r="A75" s="3">
        <v>5400</v>
      </c>
      <c r="B75" s="3">
        <v>24010</v>
      </c>
      <c r="C75" s="7">
        <v>42653</v>
      </c>
      <c r="F75" s="50"/>
      <c r="G75" s="3">
        <v>7.7</v>
      </c>
      <c r="H75" s="3">
        <v>1.6</v>
      </c>
      <c r="I75" s="3">
        <v>14</v>
      </c>
      <c r="J75" s="3">
        <f t="shared" si="5"/>
        <v>636.90000000000009</v>
      </c>
      <c r="L75" s="23"/>
      <c r="M75" s="3">
        <v>0</v>
      </c>
      <c r="N75" s="3">
        <v>1.2</v>
      </c>
      <c r="O75" s="3">
        <f t="shared" si="2"/>
        <v>-1.2</v>
      </c>
      <c r="P75" s="3">
        <v>0</v>
      </c>
      <c r="Q75" s="3">
        <v>40</v>
      </c>
      <c r="R75" s="3">
        <f t="shared" si="9"/>
        <v>0.59480519480519478</v>
      </c>
      <c r="S75" s="3">
        <f t="shared" si="3"/>
        <v>0.71376623376623372</v>
      </c>
      <c r="T75" s="28">
        <f t="shared" si="4"/>
        <v>-0.71376623376623372</v>
      </c>
      <c r="U75" s="28">
        <f t="shared" si="8"/>
        <v>21.409870129870122</v>
      </c>
      <c r="W75" s="3">
        <v>902</v>
      </c>
      <c r="Y75" s="3">
        <f t="shared" si="6"/>
        <v>40195</v>
      </c>
      <c r="AA75" s="3">
        <v>10.819107034523386</v>
      </c>
    </row>
    <row r="76" spans="1:27" s="3" customFormat="1" x14ac:dyDescent="0.25">
      <c r="A76" s="3">
        <v>5400</v>
      </c>
      <c r="B76" s="3">
        <v>24010</v>
      </c>
      <c r="C76" s="7">
        <v>42654</v>
      </c>
      <c r="F76" s="50"/>
      <c r="G76" s="3">
        <v>7.5</v>
      </c>
      <c r="H76" s="3">
        <v>4.5</v>
      </c>
      <c r="I76" s="3">
        <v>11.7</v>
      </c>
      <c r="J76" s="3">
        <f t="shared" si="5"/>
        <v>644.40000000000009</v>
      </c>
      <c r="L76" s="23"/>
      <c r="M76" s="3">
        <v>0.2</v>
      </c>
      <c r="N76" s="3">
        <v>1.4</v>
      </c>
      <c r="O76" s="3">
        <f t="shared" si="2"/>
        <v>-1.2</v>
      </c>
      <c r="P76" s="3">
        <v>0</v>
      </c>
      <c r="Q76" s="3">
        <v>41</v>
      </c>
      <c r="R76" s="3">
        <f t="shared" si="9"/>
        <v>0.60324675324675325</v>
      </c>
      <c r="S76" s="3">
        <f t="shared" si="3"/>
        <v>0.84454545454545449</v>
      </c>
      <c r="T76" s="28">
        <f t="shared" si="4"/>
        <v>-0.64454545454545453</v>
      </c>
      <c r="U76" s="28">
        <f t="shared" si="8"/>
        <v>20.765324675324667</v>
      </c>
      <c r="W76" s="3">
        <v>1153.9000000000001</v>
      </c>
      <c r="Y76" s="3">
        <f t="shared" si="6"/>
        <v>41348.9</v>
      </c>
      <c r="AA76" s="3">
        <v>10.759744559436816</v>
      </c>
    </row>
    <row r="77" spans="1:27" s="3" customFormat="1" x14ac:dyDescent="0.25">
      <c r="A77" s="3">
        <v>5400</v>
      </c>
      <c r="B77" s="3">
        <v>24010</v>
      </c>
      <c r="C77" s="7">
        <v>42655</v>
      </c>
      <c r="F77" s="50"/>
      <c r="G77" s="3">
        <v>7.9</v>
      </c>
      <c r="H77" s="3">
        <v>1.8</v>
      </c>
      <c r="I77" s="3">
        <v>13.7</v>
      </c>
      <c r="J77" s="3">
        <f t="shared" si="5"/>
        <v>652.30000000000007</v>
      </c>
      <c r="L77" s="23"/>
      <c r="M77" s="3">
        <v>0</v>
      </c>
      <c r="N77" s="3">
        <v>1.7</v>
      </c>
      <c r="O77" s="3">
        <f t="shared" si="2"/>
        <v>-1.7</v>
      </c>
      <c r="P77" s="3">
        <v>0</v>
      </c>
      <c r="Q77" s="3">
        <v>42</v>
      </c>
      <c r="R77" s="3">
        <f t="shared" si="9"/>
        <v>0.61168831168831161</v>
      </c>
      <c r="S77" s="3">
        <f t="shared" si="3"/>
        <v>1.0398701298701296</v>
      </c>
      <c r="T77" s="28">
        <f t="shared" si="4"/>
        <v>-1.0398701298701296</v>
      </c>
      <c r="U77" s="28">
        <f t="shared" si="8"/>
        <v>19.725454545454536</v>
      </c>
      <c r="W77" s="3">
        <v>1286.5999999999999</v>
      </c>
      <c r="Y77" s="3">
        <f t="shared" si="6"/>
        <v>42635.5</v>
      </c>
      <c r="AA77" s="3">
        <v>10.700570970441477</v>
      </c>
    </row>
    <row r="78" spans="1:27" s="3" customFormat="1" x14ac:dyDescent="0.25">
      <c r="A78" s="3">
        <v>5400</v>
      </c>
      <c r="B78" s="3">
        <v>24010</v>
      </c>
      <c r="C78" s="7">
        <v>42656</v>
      </c>
      <c r="F78" s="50"/>
      <c r="G78" s="3">
        <v>7.7</v>
      </c>
      <c r="H78" s="3">
        <v>4.5</v>
      </c>
      <c r="I78" s="3">
        <v>9.6</v>
      </c>
      <c r="J78" s="3">
        <f t="shared" si="5"/>
        <v>660.00000000000011</v>
      </c>
      <c r="L78" s="23"/>
      <c r="M78" s="3">
        <v>2.4</v>
      </c>
      <c r="N78" s="3">
        <v>0.3</v>
      </c>
      <c r="O78" s="3">
        <f t="shared" si="2"/>
        <v>2.1</v>
      </c>
      <c r="P78" s="3">
        <f t="shared" si="7"/>
        <v>2.1</v>
      </c>
      <c r="Q78" s="3">
        <v>43</v>
      </c>
      <c r="R78" s="3">
        <f t="shared" si="9"/>
        <v>0.62012987012987009</v>
      </c>
      <c r="S78" s="3">
        <f t="shared" si="3"/>
        <v>0.18603896103896103</v>
      </c>
      <c r="T78" s="28">
        <f t="shared" si="4"/>
        <v>2.2139610389610387</v>
      </c>
      <c r="U78" s="28">
        <f t="shared" si="8"/>
        <v>21.939415584415574</v>
      </c>
      <c r="W78" s="3">
        <v>282.89999999999998</v>
      </c>
      <c r="Y78" s="3">
        <f t="shared" si="6"/>
        <v>42918.400000000001</v>
      </c>
      <c r="AA78" s="3">
        <v>10.641597764954994</v>
      </c>
    </row>
    <row r="79" spans="1:27" s="3" customFormat="1" x14ac:dyDescent="0.25">
      <c r="A79" s="3">
        <v>5400</v>
      </c>
      <c r="B79" s="3">
        <v>24010</v>
      </c>
      <c r="C79" s="7">
        <v>42657</v>
      </c>
      <c r="F79" s="50"/>
      <c r="G79" s="3">
        <v>10.7</v>
      </c>
      <c r="H79" s="3">
        <v>8.6</v>
      </c>
      <c r="I79" s="3">
        <v>12.3</v>
      </c>
      <c r="J79" s="3">
        <f t="shared" si="5"/>
        <v>670.70000000000016</v>
      </c>
      <c r="L79" s="23"/>
      <c r="M79" s="3">
        <v>0.8</v>
      </c>
      <c r="N79" s="3">
        <v>0.4</v>
      </c>
      <c r="O79" s="3">
        <f t="shared" si="2"/>
        <v>0.4</v>
      </c>
      <c r="P79" s="3">
        <f t="shared" si="7"/>
        <v>2.5</v>
      </c>
      <c r="Q79" s="3">
        <v>44</v>
      </c>
      <c r="R79" s="3">
        <f t="shared" si="9"/>
        <v>0.62857142857142856</v>
      </c>
      <c r="S79" s="3">
        <f t="shared" si="3"/>
        <v>0.25142857142857145</v>
      </c>
      <c r="T79" s="28">
        <f t="shared" si="4"/>
        <v>0.5485714285714286</v>
      </c>
      <c r="U79" s="28">
        <f t="shared" si="8"/>
        <v>22.487987012987002</v>
      </c>
      <c r="W79" s="3">
        <v>213.9</v>
      </c>
      <c r="Y79" s="3">
        <f t="shared" si="6"/>
        <v>43132.3</v>
      </c>
      <c r="AA79" s="3">
        <v>10.582836757507264</v>
      </c>
    </row>
    <row r="80" spans="1:27" s="3" customFormat="1" x14ac:dyDescent="0.25">
      <c r="A80" s="3">
        <v>5400</v>
      </c>
      <c r="B80" s="3">
        <v>24010</v>
      </c>
      <c r="C80" s="7">
        <v>42658</v>
      </c>
      <c r="F80" s="50"/>
      <c r="G80" s="3">
        <v>12.1</v>
      </c>
      <c r="H80" s="3">
        <v>7</v>
      </c>
      <c r="I80" s="3">
        <v>16.7</v>
      </c>
      <c r="J80" s="3">
        <f t="shared" si="5"/>
        <v>682.80000000000018</v>
      </c>
      <c r="L80" s="23"/>
      <c r="M80" s="3">
        <v>0</v>
      </c>
      <c r="N80" s="3">
        <v>1.4</v>
      </c>
      <c r="O80" s="3">
        <f t="shared" si="2"/>
        <v>-1.4</v>
      </c>
      <c r="P80" s="3">
        <f t="shared" si="7"/>
        <v>1.1000000000000001</v>
      </c>
      <c r="Q80" s="3">
        <v>45</v>
      </c>
      <c r="R80" s="3">
        <f t="shared" si="9"/>
        <v>0.63701298701298703</v>
      </c>
      <c r="S80" s="3">
        <f t="shared" si="3"/>
        <v>0.89181818181818173</v>
      </c>
      <c r="T80" s="28">
        <f t="shared" si="4"/>
        <v>-0.89181818181818173</v>
      </c>
      <c r="U80" s="28">
        <f t="shared" si="8"/>
        <v>21.596168831168821</v>
      </c>
      <c r="W80" s="3">
        <v>956.4</v>
      </c>
      <c r="Y80" s="3">
        <f t="shared" si="6"/>
        <v>44088.700000000004</v>
      </c>
      <c r="AA80" s="3">
        <v>10.524300092076585</v>
      </c>
    </row>
    <row r="81" spans="1:27" s="3" customFormat="1" x14ac:dyDescent="0.25">
      <c r="A81" s="3">
        <v>5400</v>
      </c>
      <c r="B81" s="3">
        <v>24010</v>
      </c>
      <c r="C81" s="7">
        <v>42659</v>
      </c>
      <c r="F81" s="50"/>
      <c r="G81" s="3">
        <v>13.5</v>
      </c>
      <c r="H81" s="3">
        <v>8.4</v>
      </c>
      <c r="I81" s="3">
        <v>18.7</v>
      </c>
      <c r="J81" s="3">
        <f t="shared" si="5"/>
        <v>696.30000000000018</v>
      </c>
      <c r="L81" s="23"/>
      <c r="M81" s="3">
        <v>4.7</v>
      </c>
      <c r="N81" s="3">
        <v>1.8</v>
      </c>
      <c r="O81" s="3">
        <f t="shared" si="2"/>
        <v>2.9000000000000004</v>
      </c>
      <c r="P81" s="3">
        <f t="shared" si="7"/>
        <v>4</v>
      </c>
      <c r="Q81" s="3">
        <v>46</v>
      </c>
      <c r="R81" s="3">
        <f t="shared" si="9"/>
        <v>0.6454545454545455</v>
      </c>
      <c r="S81" s="3">
        <f t="shared" si="3"/>
        <v>1.1618181818181819</v>
      </c>
      <c r="T81" s="28">
        <f t="shared" si="4"/>
        <v>3.5381818181818181</v>
      </c>
      <c r="U81" s="28">
        <f t="shared" si="8"/>
        <v>25.13435064935064</v>
      </c>
      <c r="W81" s="3">
        <v>964.5</v>
      </c>
      <c r="Y81" s="3">
        <f t="shared" si="6"/>
        <v>45053.200000000004</v>
      </c>
      <c r="AA81" s="3">
        <v>10.466000254002532</v>
      </c>
    </row>
    <row r="82" spans="1:27" s="3" customFormat="1" x14ac:dyDescent="0.25">
      <c r="A82" s="3">
        <v>5400</v>
      </c>
      <c r="B82" s="3">
        <v>24010</v>
      </c>
      <c r="C82" s="7">
        <v>42660</v>
      </c>
      <c r="F82" s="50"/>
      <c r="G82" s="3">
        <v>12.2</v>
      </c>
      <c r="H82" s="3">
        <v>11.5</v>
      </c>
      <c r="I82" s="3">
        <v>15.9</v>
      </c>
      <c r="J82" s="3">
        <f t="shared" si="5"/>
        <v>708.50000000000023</v>
      </c>
      <c r="L82" s="23"/>
      <c r="M82" s="3">
        <v>0.8</v>
      </c>
      <c r="N82" s="3">
        <v>1.4</v>
      </c>
      <c r="O82" s="3">
        <f t="shared" si="2"/>
        <v>-0.59999999999999987</v>
      </c>
      <c r="P82" s="3">
        <f t="shared" si="7"/>
        <v>3.4000000000000004</v>
      </c>
      <c r="Q82" s="3">
        <v>47</v>
      </c>
      <c r="R82" s="3">
        <f t="shared" si="9"/>
        <v>0.65389610389610386</v>
      </c>
      <c r="S82" s="3">
        <f t="shared" si="3"/>
        <v>0.9154545454545453</v>
      </c>
      <c r="T82" s="28">
        <f t="shared" si="4"/>
        <v>-0.11545454545454525</v>
      </c>
      <c r="U82" s="28">
        <f t="shared" si="8"/>
        <v>25.018896103896097</v>
      </c>
      <c r="W82" s="3">
        <v>749.5</v>
      </c>
      <c r="Y82" s="3">
        <f t="shared" si="6"/>
        <v>45802.700000000004</v>
      </c>
      <c r="AA82" s="3">
        <v>10.407950081436105</v>
      </c>
    </row>
    <row r="83" spans="1:27" s="3" customFormat="1" x14ac:dyDescent="0.25">
      <c r="A83" s="3">
        <v>5400</v>
      </c>
      <c r="B83" s="3">
        <v>24010</v>
      </c>
      <c r="C83" s="7">
        <v>42661</v>
      </c>
      <c r="F83" s="50"/>
      <c r="G83" s="3">
        <v>10</v>
      </c>
      <c r="H83" s="3">
        <v>5.7</v>
      </c>
      <c r="I83" s="3">
        <v>15.5</v>
      </c>
      <c r="J83" s="3">
        <f t="shared" si="5"/>
        <v>718.50000000000023</v>
      </c>
      <c r="L83" s="23"/>
      <c r="M83" s="3">
        <v>1.3</v>
      </c>
      <c r="N83" s="3">
        <v>0.9</v>
      </c>
      <c r="O83" s="3">
        <f t="shared" si="2"/>
        <v>0.4</v>
      </c>
      <c r="P83" s="3">
        <f t="shared" si="7"/>
        <v>3.8000000000000003</v>
      </c>
      <c r="Q83" s="3">
        <v>48</v>
      </c>
      <c r="R83" s="3">
        <f t="shared" si="9"/>
        <v>0.66233766233766234</v>
      </c>
      <c r="S83" s="3">
        <f t="shared" si="3"/>
        <v>0.59610389610389614</v>
      </c>
      <c r="T83" s="28">
        <f t="shared" si="4"/>
        <v>0.70389610389610391</v>
      </c>
      <c r="U83" s="28">
        <f t="shared" si="8"/>
        <v>25.7227922077922</v>
      </c>
      <c r="W83" s="3">
        <v>401.5</v>
      </c>
      <c r="Y83" s="3">
        <f t="shared" si="6"/>
        <v>46204.200000000004</v>
      </c>
      <c r="AA83" s="3">
        <v>10.350162776285252</v>
      </c>
    </row>
    <row r="84" spans="1:27" s="3" customFormat="1" x14ac:dyDescent="0.25">
      <c r="A84" s="3">
        <v>5400</v>
      </c>
      <c r="B84" s="3">
        <v>24010</v>
      </c>
      <c r="C84" s="7">
        <v>42662</v>
      </c>
      <c r="F84" s="50"/>
      <c r="G84" s="3">
        <v>8.8000000000000007</v>
      </c>
      <c r="H84" s="3">
        <v>5.7</v>
      </c>
      <c r="I84" s="3">
        <v>11.8</v>
      </c>
      <c r="J84" s="3">
        <f t="shared" si="5"/>
        <v>727.30000000000018</v>
      </c>
      <c r="L84" s="23"/>
      <c r="M84" s="3">
        <v>0.9</v>
      </c>
      <c r="N84" s="3">
        <v>0.9</v>
      </c>
      <c r="O84" s="3">
        <f t="shared" si="2"/>
        <v>0</v>
      </c>
      <c r="P84" s="3">
        <f t="shared" si="7"/>
        <v>3.8000000000000003</v>
      </c>
      <c r="Q84" s="3">
        <v>49</v>
      </c>
      <c r="R84" s="3">
        <f t="shared" si="9"/>
        <v>0.6707792207792207</v>
      </c>
      <c r="S84" s="3">
        <f t="shared" si="3"/>
        <v>0.60370129870129863</v>
      </c>
      <c r="T84" s="28">
        <f t="shared" si="4"/>
        <v>0.29629870129870139</v>
      </c>
      <c r="U84" s="28">
        <f t="shared" si="8"/>
        <v>26.019090909090902</v>
      </c>
      <c r="W84" s="3">
        <v>688.6</v>
      </c>
      <c r="Y84" s="3">
        <f t="shared" si="6"/>
        <v>46892.800000000003</v>
      </c>
      <c r="AA84" s="3">
        <v>10.292651914611147</v>
      </c>
    </row>
    <row r="85" spans="1:27" s="3" customFormat="1" x14ac:dyDescent="0.25">
      <c r="A85" s="3">
        <v>5400</v>
      </c>
      <c r="B85" s="3">
        <v>24010</v>
      </c>
      <c r="C85" s="7">
        <v>42663</v>
      </c>
      <c r="F85" s="50"/>
      <c r="G85" s="3">
        <v>10.3</v>
      </c>
      <c r="H85" s="3">
        <v>7.8</v>
      </c>
      <c r="I85" s="3">
        <v>13.1</v>
      </c>
      <c r="J85" s="3">
        <f t="shared" si="5"/>
        <v>737.60000000000014</v>
      </c>
      <c r="L85" s="23"/>
      <c r="M85" s="3">
        <v>0.3</v>
      </c>
      <c r="N85" s="3">
        <v>0.7</v>
      </c>
      <c r="O85" s="3">
        <f t="shared" si="2"/>
        <v>-0.39999999999999997</v>
      </c>
      <c r="P85" s="3">
        <f t="shared" si="7"/>
        <v>3.4000000000000004</v>
      </c>
      <c r="Q85" s="3">
        <v>50</v>
      </c>
      <c r="R85" s="3">
        <f t="shared" si="9"/>
        <v>0.67922077922077917</v>
      </c>
      <c r="S85" s="3">
        <f t="shared" si="3"/>
        <v>0.47545454545454541</v>
      </c>
      <c r="T85" s="28">
        <f t="shared" si="4"/>
        <v>-0.17545454545454542</v>
      </c>
      <c r="U85" s="28">
        <f t="shared" si="8"/>
        <v>25.843636363636357</v>
      </c>
      <c r="W85" s="3">
        <v>509.8</v>
      </c>
      <c r="Y85" s="3">
        <f t="shared" si="6"/>
        <v>47402.600000000006</v>
      </c>
      <c r="AA85" s="3">
        <v>10.235431456428106</v>
      </c>
    </row>
    <row r="86" spans="1:27" s="3" customFormat="1" x14ac:dyDescent="0.25">
      <c r="A86" s="3">
        <v>5400</v>
      </c>
      <c r="B86" s="3">
        <v>24010</v>
      </c>
      <c r="C86" s="7">
        <v>42664</v>
      </c>
      <c r="F86" s="50"/>
      <c r="G86" s="3">
        <v>9.9</v>
      </c>
      <c r="H86" s="3">
        <v>7.5</v>
      </c>
      <c r="I86" s="3">
        <v>13.2</v>
      </c>
      <c r="J86" s="3">
        <f t="shared" si="5"/>
        <v>747.50000000000011</v>
      </c>
      <c r="L86" s="23"/>
      <c r="M86" s="3">
        <v>0.2</v>
      </c>
      <c r="N86" s="3">
        <v>1.1000000000000001</v>
      </c>
      <c r="O86" s="3">
        <f t="shared" si="2"/>
        <v>-0.90000000000000013</v>
      </c>
      <c r="P86" s="3">
        <f t="shared" si="7"/>
        <v>2.5</v>
      </c>
      <c r="Q86" s="3">
        <v>51</v>
      </c>
      <c r="R86" s="3">
        <f t="shared" si="9"/>
        <v>0.68766233766233764</v>
      </c>
      <c r="S86" s="3">
        <f t="shared" si="3"/>
        <v>0.75642857142857145</v>
      </c>
      <c r="T86" s="28">
        <f t="shared" si="4"/>
        <v>-0.55642857142857149</v>
      </c>
      <c r="U86" s="28">
        <f t="shared" si="8"/>
        <v>25.287207792207784</v>
      </c>
      <c r="W86" s="3">
        <v>862.1</v>
      </c>
      <c r="Y86" s="3">
        <f t="shared" si="6"/>
        <v>48264.700000000004</v>
      </c>
      <c r="AA86" s="3">
        <v>10.17851575485734</v>
      </c>
    </row>
    <row r="87" spans="1:27" s="3" customFormat="1" x14ac:dyDescent="0.25">
      <c r="A87" s="3">
        <v>5400</v>
      </c>
      <c r="B87" s="3">
        <v>24010</v>
      </c>
      <c r="C87" s="7">
        <v>42665</v>
      </c>
      <c r="F87" s="50"/>
      <c r="G87" s="3">
        <v>7.8</v>
      </c>
      <c r="H87" s="3">
        <v>6</v>
      </c>
      <c r="I87" s="3">
        <v>9.9</v>
      </c>
      <c r="J87" s="3">
        <f t="shared" si="5"/>
        <v>755.30000000000007</v>
      </c>
      <c r="L87" s="23"/>
      <c r="M87" s="3">
        <v>0.2</v>
      </c>
      <c r="N87" s="3">
        <v>0.5</v>
      </c>
      <c r="O87" s="3">
        <f t="shared" si="2"/>
        <v>-0.3</v>
      </c>
      <c r="P87" s="3">
        <f t="shared" si="7"/>
        <v>2.2000000000000002</v>
      </c>
      <c r="Q87" s="3">
        <v>52</v>
      </c>
      <c r="R87" s="3">
        <f t="shared" si="9"/>
        <v>0.69610389610389611</v>
      </c>
      <c r="S87" s="3">
        <f t="shared" si="3"/>
        <v>0.34805194805194806</v>
      </c>
      <c r="T87" s="28">
        <f t="shared" si="4"/>
        <v>-0.14805194805194805</v>
      </c>
      <c r="U87" s="28">
        <f t="shared" si="8"/>
        <v>25.139155844155837</v>
      </c>
      <c r="W87" s="3">
        <v>435.8</v>
      </c>
      <c r="Y87" s="3">
        <f t="shared" si="6"/>
        <v>48700.500000000007</v>
      </c>
      <c r="AA87" s="3">
        <v>10.121919564581995</v>
      </c>
    </row>
    <row r="88" spans="1:27" s="3" customFormat="1" x14ac:dyDescent="0.25">
      <c r="A88" s="3">
        <v>5400</v>
      </c>
      <c r="B88" s="3">
        <v>24010</v>
      </c>
      <c r="C88" s="7">
        <v>42666</v>
      </c>
      <c r="F88" s="50"/>
      <c r="G88" s="3">
        <v>8.1</v>
      </c>
      <c r="H88" s="3">
        <v>3.9</v>
      </c>
      <c r="I88" s="3">
        <v>10.8</v>
      </c>
      <c r="J88" s="3">
        <f t="shared" si="5"/>
        <v>763.40000000000009</v>
      </c>
      <c r="L88" s="23"/>
      <c r="M88" s="3">
        <v>6.9</v>
      </c>
      <c r="N88" s="3">
        <v>0.4</v>
      </c>
      <c r="O88" s="3">
        <f t="shared" si="2"/>
        <v>6.5</v>
      </c>
      <c r="P88" s="3">
        <f t="shared" si="7"/>
        <v>8.6999999999999993</v>
      </c>
      <c r="Q88" s="3">
        <v>53</v>
      </c>
      <c r="R88" s="3">
        <f t="shared" si="9"/>
        <v>0.70454545454545459</v>
      </c>
      <c r="S88" s="3">
        <f t="shared" si="3"/>
        <v>0.28181818181818186</v>
      </c>
      <c r="T88" s="28">
        <f t="shared" si="4"/>
        <v>6.6181818181818182</v>
      </c>
      <c r="U88" s="28">
        <f t="shared" si="8"/>
        <v>31.757337662337655</v>
      </c>
      <c r="W88" s="3">
        <v>363.7</v>
      </c>
      <c r="Y88" s="3">
        <f t="shared" si="6"/>
        <v>49064.200000000004</v>
      </c>
      <c r="AA88" s="3">
        <v>10.06565804954837</v>
      </c>
    </row>
    <row r="89" spans="1:27" s="3" customFormat="1" x14ac:dyDescent="0.25">
      <c r="A89" s="3">
        <v>5400</v>
      </c>
      <c r="B89" s="3">
        <v>24010</v>
      </c>
      <c r="C89" s="7">
        <v>42667</v>
      </c>
      <c r="F89" s="50"/>
      <c r="G89" s="3">
        <v>11.7</v>
      </c>
      <c r="H89" s="3">
        <v>9.5</v>
      </c>
      <c r="I89" s="3">
        <v>13.1</v>
      </c>
      <c r="J89" s="3">
        <f t="shared" si="5"/>
        <v>775.10000000000014</v>
      </c>
      <c r="L89" s="23"/>
      <c r="M89" s="3">
        <v>0.6</v>
      </c>
      <c r="N89" s="3">
        <v>0</v>
      </c>
      <c r="O89" s="3">
        <f t="shared" si="2"/>
        <v>0.6</v>
      </c>
      <c r="P89" s="3">
        <f t="shared" si="7"/>
        <v>9.2999999999999989</v>
      </c>
      <c r="Q89" s="3">
        <v>54</v>
      </c>
      <c r="R89" s="3">
        <f t="shared" si="9"/>
        <v>0.71298701298701295</v>
      </c>
      <c r="S89" s="3">
        <f t="shared" si="3"/>
        <v>0</v>
      </c>
      <c r="T89" s="28">
        <f t="shared" si="4"/>
        <v>0.6</v>
      </c>
      <c r="U89" s="28">
        <f t="shared" si="8"/>
        <v>32.357337662337656</v>
      </c>
      <c r="W89" s="3">
        <v>115.4</v>
      </c>
      <c r="Y89" s="3">
        <f t="shared" si="6"/>
        <v>49179.600000000006</v>
      </c>
      <c r="AA89" s="3">
        <v>10.00974678985561</v>
      </c>
    </row>
    <row r="90" spans="1:27" s="3" customFormat="1" x14ac:dyDescent="0.25">
      <c r="A90" s="3">
        <v>5400</v>
      </c>
      <c r="B90" s="3">
        <v>24010</v>
      </c>
      <c r="C90" s="7">
        <v>42668</v>
      </c>
      <c r="F90" s="50"/>
      <c r="G90" s="3">
        <v>12.8</v>
      </c>
      <c r="H90" s="3">
        <v>12.5</v>
      </c>
      <c r="I90" s="3">
        <v>13.5</v>
      </c>
      <c r="J90" s="3">
        <f t="shared" si="5"/>
        <v>787.90000000000009</v>
      </c>
      <c r="L90" s="23"/>
      <c r="M90" s="3">
        <v>0.2</v>
      </c>
      <c r="N90" s="3">
        <v>0.3</v>
      </c>
      <c r="O90" s="3">
        <f t="shared" si="2"/>
        <v>-9.9999999999999978E-2</v>
      </c>
      <c r="P90" s="3">
        <f t="shared" si="7"/>
        <v>9.1999999999999993</v>
      </c>
      <c r="Q90" s="3">
        <v>55</v>
      </c>
      <c r="R90" s="3">
        <f t="shared" si="9"/>
        <v>0.72142857142857142</v>
      </c>
      <c r="S90" s="3">
        <f t="shared" si="3"/>
        <v>0.21642857142857141</v>
      </c>
      <c r="T90" s="28">
        <f t="shared" si="4"/>
        <v>-1.6428571428571404E-2</v>
      </c>
      <c r="U90" s="28">
        <f t="shared" si="8"/>
        <v>32.340909090909086</v>
      </c>
      <c r="W90" s="3">
        <v>260.2</v>
      </c>
      <c r="Y90" s="3">
        <f t="shared" si="6"/>
        <v>49439.8</v>
      </c>
      <c r="AA90" s="3">
        <v>9.9542017877735063</v>
      </c>
    </row>
    <row r="91" spans="1:27" s="3" customFormat="1" x14ac:dyDescent="0.25">
      <c r="A91" s="3">
        <v>5400</v>
      </c>
      <c r="B91" s="3">
        <v>24010</v>
      </c>
      <c r="C91" s="7">
        <v>42669</v>
      </c>
      <c r="F91" s="50"/>
      <c r="G91" s="3">
        <v>10.7</v>
      </c>
      <c r="H91" s="3">
        <v>10.3</v>
      </c>
      <c r="I91" s="3">
        <v>11.5</v>
      </c>
      <c r="J91" s="3">
        <f t="shared" si="5"/>
        <v>798.60000000000014</v>
      </c>
      <c r="L91" s="23"/>
      <c r="M91" s="3">
        <v>0.2</v>
      </c>
      <c r="N91" s="3">
        <v>0.4</v>
      </c>
      <c r="O91" s="3">
        <f t="shared" si="2"/>
        <v>-0.2</v>
      </c>
      <c r="P91" s="3">
        <f t="shared" si="7"/>
        <v>9</v>
      </c>
      <c r="Q91" s="3">
        <v>56</v>
      </c>
      <c r="R91" s="3">
        <f t="shared" si="9"/>
        <v>0.72987012987012978</v>
      </c>
      <c r="S91" s="3">
        <f t="shared" si="3"/>
        <v>0.2919480519480519</v>
      </c>
      <c r="T91" s="28">
        <f t="shared" si="4"/>
        <v>-9.194805194805189E-2</v>
      </c>
      <c r="U91" s="28">
        <f t="shared" si="8"/>
        <v>32.248961038961035</v>
      </c>
      <c r="W91" s="3">
        <v>269.2</v>
      </c>
      <c r="Y91" s="3">
        <f t="shared" si="6"/>
        <v>49709</v>
      </c>
      <c r="AA91" s="3">
        <v>9.8990394728256526</v>
      </c>
    </row>
    <row r="92" spans="1:27" s="3" customFormat="1" x14ac:dyDescent="0.25">
      <c r="A92" s="3">
        <v>5400</v>
      </c>
      <c r="B92" s="3">
        <v>24010</v>
      </c>
      <c r="C92" s="7">
        <v>42670</v>
      </c>
      <c r="F92" s="50"/>
      <c r="G92" s="3">
        <v>9.6999999999999993</v>
      </c>
      <c r="H92" s="3">
        <v>8.1999999999999993</v>
      </c>
      <c r="I92" s="3">
        <v>13.8</v>
      </c>
      <c r="J92" s="3">
        <f t="shared" si="5"/>
        <v>808.30000000000018</v>
      </c>
      <c r="L92" s="23"/>
      <c r="M92" s="3">
        <v>0.2</v>
      </c>
      <c r="N92" s="3">
        <v>0.8</v>
      </c>
      <c r="O92" s="3">
        <f t="shared" si="2"/>
        <v>-0.60000000000000009</v>
      </c>
      <c r="P92" s="3">
        <f t="shared" si="7"/>
        <v>8.4</v>
      </c>
      <c r="Q92" s="3">
        <v>57</v>
      </c>
      <c r="R92" s="3">
        <f t="shared" si="9"/>
        <v>0.73831168831168825</v>
      </c>
      <c r="S92" s="3">
        <f t="shared" si="3"/>
        <v>0.59064935064935065</v>
      </c>
      <c r="T92" s="28">
        <f t="shared" si="4"/>
        <v>-0.39064935064935064</v>
      </c>
      <c r="U92" s="28">
        <f t="shared" si="8"/>
        <v>31.858311688311684</v>
      </c>
      <c r="W92" s="3">
        <v>407.1</v>
      </c>
      <c r="Y92" s="3">
        <f t="shared" si="6"/>
        <v>50116.1</v>
      </c>
      <c r="AA92" s="3">
        <v>9.8442767058728222</v>
      </c>
    </row>
    <row r="93" spans="1:27" s="3" customFormat="1" x14ac:dyDescent="0.25">
      <c r="A93" s="3">
        <v>5400</v>
      </c>
      <c r="B93" s="3">
        <v>24010</v>
      </c>
      <c r="C93" s="7">
        <v>42671</v>
      </c>
      <c r="F93" s="50"/>
      <c r="G93" s="3">
        <v>9.6999999999999993</v>
      </c>
      <c r="H93" s="3">
        <v>5.6</v>
      </c>
      <c r="I93" s="3">
        <v>13.2</v>
      </c>
      <c r="J93" s="3">
        <f t="shared" si="5"/>
        <v>818.00000000000023</v>
      </c>
      <c r="L93" s="23"/>
      <c r="M93" s="3">
        <v>0.2</v>
      </c>
      <c r="N93" s="3">
        <v>0.9</v>
      </c>
      <c r="O93" s="3">
        <f t="shared" si="2"/>
        <v>-0.7</v>
      </c>
      <c r="P93" s="3">
        <f t="shared" si="7"/>
        <v>7.7</v>
      </c>
      <c r="Q93" s="3">
        <v>58</v>
      </c>
      <c r="R93" s="3">
        <f t="shared" si="9"/>
        <v>0.74675324675324672</v>
      </c>
      <c r="S93" s="3">
        <f t="shared" si="3"/>
        <v>0.67207792207792205</v>
      </c>
      <c r="T93" s="28">
        <f t="shared" si="4"/>
        <v>-0.47207792207792204</v>
      </c>
      <c r="U93" s="28">
        <f t="shared" si="8"/>
        <v>31.386233766233762</v>
      </c>
      <c r="W93" s="3">
        <v>538.6</v>
      </c>
      <c r="Y93" s="3">
        <f t="shared" si="6"/>
        <v>50654.7</v>
      </c>
      <c r="AA93" s="3">
        <v>9.7899307821292449</v>
      </c>
    </row>
    <row r="94" spans="1:27" s="3" customFormat="1" x14ac:dyDescent="0.25">
      <c r="A94" s="3">
        <v>5400</v>
      </c>
      <c r="B94" s="3">
        <v>24010</v>
      </c>
      <c r="C94" s="7">
        <v>42672</v>
      </c>
      <c r="F94" s="50"/>
      <c r="G94" s="3">
        <v>11.2</v>
      </c>
      <c r="H94" s="3">
        <v>10.8</v>
      </c>
      <c r="I94" s="3">
        <v>12.1</v>
      </c>
      <c r="J94" s="3">
        <f t="shared" si="5"/>
        <v>829.20000000000027</v>
      </c>
      <c r="L94" s="23"/>
      <c r="M94" s="3">
        <v>0.2</v>
      </c>
      <c r="N94" s="3">
        <v>0.6</v>
      </c>
      <c r="O94" s="3">
        <f t="shared" si="2"/>
        <v>-0.39999999999999997</v>
      </c>
      <c r="P94" s="3">
        <f t="shared" si="7"/>
        <v>7.3</v>
      </c>
      <c r="Q94" s="3">
        <v>59</v>
      </c>
      <c r="R94" s="3">
        <f t="shared" si="9"/>
        <v>0.7551948051948052</v>
      </c>
      <c r="S94" s="3">
        <f t="shared" si="3"/>
        <v>0.45311688311688308</v>
      </c>
      <c r="T94" s="28">
        <f t="shared" si="4"/>
        <v>-0.25311688311688307</v>
      </c>
      <c r="U94" s="28">
        <f t="shared" si="8"/>
        <v>31.133116883116877</v>
      </c>
      <c r="W94" s="3">
        <v>188.2</v>
      </c>
      <c r="Y94" s="3">
        <f t="shared" si="6"/>
        <v>50842.899999999994</v>
      </c>
      <c r="AA94" s="3">
        <v>9.7360194330423706</v>
      </c>
    </row>
    <row r="95" spans="1:27" s="3" customFormat="1" x14ac:dyDescent="0.25">
      <c r="A95" s="3">
        <v>5400</v>
      </c>
      <c r="B95" s="3">
        <v>24010</v>
      </c>
      <c r="C95" s="7">
        <v>42673</v>
      </c>
      <c r="F95" s="50"/>
      <c r="G95" s="3">
        <v>10.9</v>
      </c>
      <c r="H95" s="3">
        <v>7</v>
      </c>
      <c r="I95" s="3">
        <v>15.1</v>
      </c>
      <c r="J95" s="3">
        <f t="shared" si="5"/>
        <v>840.10000000000025</v>
      </c>
      <c r="L95" s="23"/>
      <c r="M95" s="3">
        <v>0.2</v>
      </c>
      <c r="N95" s="3">
        <v>1.1000000000000001</v>
      </c>
      <c r="O95" s="3">
        <f t="shared" si="2"/>
        <v>-0.90000000000000013</v>
      </c>
      <c r="P95" s="3">
        <f t="shared" si="7"/>
        <v>6.3999999999999995</v>
      </c>
      <c r="Q95" s="3">
        <v>60</v>
      </c>
      <c r="R95" s="3">
        <f t="shared" si="9"/>
        <v>0.76363636363636367</v>
      </c>
      <c r="S95" s="3">
        <f t="shared" si="3"/>
        <v>0.84000000000000008</v>
      </c>
      <c r="T95" s="28">
        <f t="shared" si="4"/>
        <v>-0.64000000000000012</v>
      </c>
      <c r="U95" s="28">
        <f t="shared" si="8"/>
        <v>30.493116883116876</v>
      </c>
      <c r="W95" s="3">
        <v>791.8</v>
      </c>
      <c r="Y95" s="3">
        <f t="shared" si="6"/>
        <v>51634.7</v>
      </c>
      <c r="AA95" s="3">
        <v>9.6825608269650267</v>
      </c>
    </row>
    <row r="96" spans="1:27" s="3" customFormat="1" x14ac:dyDescent="0.25">
      <c r="A96" s="3">
        <v>5400</v>
      </c>
      <c r="B96" s="3">
        <v>24010</v>
      </c>
      <c r="C96" s="7">
        <v>42674</v>
      </c>
      <c r="F96" s="50"/>
      <c r="G96" s="3">
        <v>11</v>
      </c>
      <c r="H96" s="3">
        <v>6.7</v>
      </c>
      <c r="I96" s="3">
        <v>16.5</v>
      </c>
      <c r="J96" s="3">
        <f t="shared" si="5"/>
        <v>851.10000000000025</v>
      </c>
      <c r="L96" s="23"/>
      <c r="M96" s="3">
        <v>0.1</v>
      </c>
      <c r="N96" s="3">
        <v>1.1000000000000001</v>
      </c>
      <c r="O96" s="3">
        <f t="shared" si="2"/>
        <v>-1</v>
      </c>
      <c r="P96" s="3">
        <f t="shared" si="7"/>
        <v>5.3999999999999995</v>
      </c>
      <c r="Q96" s="3">
        <v>61</v>
      </c>
      <c r="R96" s="3">
        <f t="shared" si="9"/>
        <v>0.77207792207792214</v>
      </c>
      <c r="S96" s="3">
        <f t="shared" si="3"/>
        <v>0.84928571428571442</v>
      </c>
      <c r="T96" s="28">
        <f t="shared" si="4"/>
        <v>-0.74928571428571444</v>
      </c>
      <c r="U96" s="28">
        <f t="shared" si="8"/>
        <v>29.743831168831161</v>
      </c>
      <c r="W96" s="3">
        <v>748</v>
      </c>
      <c r="Y96" s="3">
        <f t="shared" si="6"/>
        <v>52382.7</v>
      </c>
      <c r="AA96" s="3">
        <v>9.629573568547217</v>
      </c>
    </row>
    <row r="97" spans="1:27" s="3" customFormat="1" x14ac:dyDescent="0.25">
      <c r="A97" s="3">
        <v>5400</v>
      </c>
      <c r="B97" s="3">
        <v>24010</v>
      </c>
      <c r="C97" s="7">
        <v>42675</v>
      </c>
      <c r="F97" s="50"/>
      <c r="G97" s="3">
        <v>8.1999999999999993</v>
      </c>
      <c r="H97" s="3">
        <v>4</v>
      </c>
      <c r="I97" s="3">
        <v>11.8</v>
      </c>
      <c r="J97" s="3">
        <f t="shared" si="5"/>
        <v>859.3000000000003</v>
      </c>
      <c r="L97" s="23"/>
      <c r="M97" s="3">
        <v>0.2</v>
      </c>
      <c r="N97" s="3">
        <v>0.6</v>
      </c>
      <c r="O97" s="3">
        <f t="shared" si="2"/>
        <v>-0.39999999999999997</v>
      </c>
      <c r="P97" s="3">
        <f t="shared" si="7"/>
        <v>4.9999999999999991</v>
      </c>
      <c r="Q97" s="3">
        <v>62</v>
      </c>
      <c r="R97" s="3">
        <f t="shared" si="9"/>
        <v>0.7805194805194805</v>
      </c>
      <c r="S97" s="3">
        <f t="shared" si="3"/>
        <v>0.46831168831168829</v>
      </c>
      <c r="T97" s="28">
        <f t="shared" si="4"/>
        <v>-0.26831168831168828</v>
      </c>
      <c r="U97" s="28">
        <f t="shared" si="8"/>
        <v>29.475519480519473</v>
      </c>
      <c r="W97" s="3">
        <v>551.1</v>
      </c>
      <c r="Y97" s="3">
        <f t="shared" si="6"/>
        <v>52933.799999999996</v>
      </c>
      <c r="AA97" s="3">
        <v>9.5770766967736716</v>
      </c>
    </row>
    <row r="98" spans="1:27" s="3" customFormat="1" x14ac:dyDescent="0.25">
      <c r="A98" s="3">
        <v>5400</v>
      </c>
      <c r="B98" s="3">
        <v>24010</v>
      </c>
      <c r="C98" s="7">
        <v>42676</v>
      </c>
      <c r="F98" s="50"/>
      <c r="G98" s="3">
        <v>8</v>
      </c>
      <c r="H98" s="3">
        <v>5.0999999999999996</v>
      </c>
      <c r="I98" s="3">
        <v>11.7</v>
      </c>
      <c r="J98" s="3">
        <f t="shared" si="5"/>
        <v>867.3000000000003</v>
      </c>
      <c r="L98" s="23"/>
      <c r="M98" s="3">
        <v>0.1</v>
      </c>
      <c r="N98" s="3">
        <v>0.2</v>
      </c>
      <c r="O98" s="3">
        <f t="shared" si="2"/>
        <v>-0.1</v>
      </c>
      <c r="P98" s="3">
        <f t="shared" si="7"/>
        <v>4.8999999999999995</v>
      </c>
      <c r="Q98" s="3">
        <v>63</v>
      </c>
      <c r="R98" s="3">
        <f t="shared" si="9"/>
        <v>0.78896103896103897</v>
      </c>
      <c r="S98" s="3">
        <f t="shared" si="3"/>
        <v>0.15779220779220782</v>
      </c>
      <c r="T98" s="28">
        <f t="shared" si="4"/>
        <v>-5.7792207792207811E-2</v>
      </c>
      <c r="U98" s="28">
        <f t="shared" si="8"/>
        <v>29.417727272727266</v>
      </c>
      <c r="W98" s="3">
        <v>260.3</v>
      </c>
      <c r="Y98" s="3">
        <f t="shared" si="6"/>
        <v>53194.1</v>
      </c>
      <c r="AA98" s="3">
        <v>9.525089681572414</v>
      </c>
    </row>
    <row r="99" spans="1:27" s="3" customFormat="1" x14ac:dyDescent="0.25">
      <c r="A99" s="3">
        <v>5400</v>
      </c>
      <c r="B99" s="3">
        <v>24010</v>
      </c>
      <c r="C99" s="7">
        <v>42677</v>
      </c>
      <c r="F99" s="50"/>
      <c r="G99" s="3">
        <v>4.3</v>
      </c>
      <c r="H99" s="3">
        <v>-0.5</v>
      </c>
      <c r="I99" s="3">
        <v>10.5</v>
      </c>
      <c r="J99" s="3">
        <f t="shared" si="5"/>
        <v>871.60000000000025</v>
      </c>
      <c r="L99" s="23"/>
      <c r="M99" s="3">
        <v>0.2</v>
      </c>
      <c r="N99" s="3">
        <v>0.8</v>
      </c>
      <c r="O99" s="3">
        <f t="shared" si="2"/>
        <v>-0.60000000000000009</v>
      </c>
      <c r="P99" s="3">
        <f t="shared" si="7"/>
        <v>4.2999999999999989</v>
      </c>
      <c r="Q99" s="3">
        <v>64</v>
      </c>
      <c r="R99" s="3">
        <f t="shared" si="9"/>
        <v>0.79740259740259734</v>
      </c>
      <c r="S99" s="3">
        <f t="shared" si="3"/>
        <v>0.63792207792207789</v>
      </c>
      <c r="T99" s="28">
        <f t="shared" si="4"/>
        <v>-0.43792207792207788</v>
      </c>
      <c r="U99" s="28">
        <f t="shared" si="8"/>
        <v>28.979805194805188</v>
      </c>
      <c r="W99" s="3">
        <v>689.1</v>
      </c>
      <c r="Y99" s="3">
        <f t="shared" si="6"/>
        <v>53883.199999999997</v>
      </c>
      <c r="AA99" s="3">
        <v>9.4736324189190402</v>
      </c>
    </row>
    <row r="100" spans="1:27" s="3" customFormat="1" x14ac:dyDescent="0.25">
      <c r="A100" s="3">
        <v>5400</v>
      </c>
      <c r="B100" s="3">
        <v>24010</v>
      </c>
      <c r="C100" s="7">
        <v>42678</v>
      </c>
      <c r="F100" s="50"/>
      <c r="G100" s="3">
        <v>5.5</v>
      </c>
      <c r="H100" s="3">
        <v>1.9</v>
      </c>
      <c r="I100" s="3">
        <v>7.7</v>
      </c>
      <c r="J100" s="3">
        <f t="shared" si="5"/>
        <v>877.10000000000025</v>
      </c>
      <c r="L100" s="23"/>
      <c r="M100" s="3">
        <v>8</v>
      </c>
      <c r="N100" s="3">
        <v>0</v>
      </c>
      <c r="O100" s="3">
        <f t="shared" si="2"/>
        <v>8</v>
      </c>
      <c r="P100" s="3">
        <f t="shared" si="7"/>
        <v>12.299999999999999</v>
      </c>
      <c r="Q100" s="3">
        <v>65</v>
      </c>
      <c r="R100" s="3">
        <f t="shared" si="9"/>
        <v>0.80584415584415581</v>
      </c>
      <c r="S100" s="3">
        <f t="shared" si="3"/>
        <v>0</v>
      </c>
      <c r="T100" s="28">
        <f t="shared" si="4"/>
        <v>8</v>
      </c>
      <c r="U100" s="28">
        <f t="shared" si="8"/>
        <v>36.979805194805188</v>
      </c>
      <c r="W100" s="3">
        <v>125.4</v>
      </c>
      <c r="Y100" s="3">
        <f t="shared" si="6"/>
        <v>54008.6</v>
      </c>
      <c r="AA100" s="3">
        <v>9.4227252243615833</v>
      </c>
    </row>
    <row r="101" spans="1:27" s="3" customFormat="1" x14ac:dyDescent="0.25">
      <c r="A101" s="3">
        <v>5400</v>
      </c>
      <c r="B101" s="3">
        <v>24010</v>
      </c>
      <c r="C101" s="7">
        <v>42679</v>
      </c>
      <c r="F101" s="50"/>
      <c r="G101" s="3">
        <v>8.1</v>
      </c>
      <c r="H101" s="3">
        <v>7.2</v>
      </c>
      <c r="I101" s="3">
        <v>10.5</v>
      </c>
      <c r="J101" s="3">
        <f t="shared" si="5"/>
        <v>885.20000000000027</v>
      </c>
      <c r="L101" s="23"/>
      <c r="M101" s="3">
        <v>1</v>
      </c>
      <c r="N101" s="3">
        <v>0.7</v>
      </c>
      <c r="O101" s="3">
        <f t="shared" ref="O101:O164" si="10">M101-N101</f>
        <v>0.30000000000000004</v>
      </c>
      <c r="P101" s="3">
        <f t="shared" si="7"/>
        <v>12.6</v>
      </c>
      <c r="Q101" s="3">
        <v>66</v>
      </c>
      <c r="R101" s="3">
        <f t="shared" si="9"/>
        <v>0.81428571428571428</v>
      </c>
      <c r="S101" s="3">
        <f t="shared" ref="S101:S164" si="11">R101*N101</f>
        <v>0.56999999999999995</v>
      </c>
      <c r="T101" s="28">
        <f t="shared" ref="T101:T164" si="12">M101-S101</f>
        <v>0.43000000000000005</v>
      </c>
      <c r="U101" s="28">
        <f t="shared" si="8"/>
        <v>37.409805194805188</v>
      </c>
      <c r="W101" s="3">
        <v>415.6</v>
      </c>
      <c r="Y101" s="3">
        <f t="shared" si="6"/>
        <v>54424.2</v>
      </c>
      <c r="AA101" s="3">
        <v>9.3723888248912726</v>
      </c>
    </row>
    <row r="102" spans="1:27" s="3" customFormat="1" x14ac:dyDescent="0.25">
      <c r="A102" s="3">
        <v>5400</v>
      </c>
      <c r="B102" s="3">
        <v>24010</v>
      </c>
      <c r="C102" s="7">
        <v>42680</v>
      </c>
      <c r="F102" s="50"/>
      <c r="G102" s="3">
        <v>4.5</v>
      </c>
      <c r="H102" s="3">
        <v>3.4</v>
      </c>
      <c r="I102" s="3">
        <v>7.5</v>
      </c>
      <c r="J102" s="3">
        <f t="shared" ref="J102:J165" si="13">J101+G102</f>
        <v>889.70000000000027</v>
      </c>
      <c r="L102" s="23"/>
      <c r="M102" s="3">
        <v>0.5</v>
      </c>
      <c r="N102" s="3">
        <v>0.9</v>
      </c>
      <c r="O102" s="3">
        <f t="shared" si="10"/>
        <v>-0.4</v>
      </c>
      <c r="P102" s="3">
        <f t="shared" si="7"/>
        <v>12.2</v>
      </c>
      <c r="Q102" s="3">
        <v>67</v>
      </c>
      <c r="R102" s="3">
        <f t="shared" si="9"/>
        <v>0.82272727272727275</v>
      </c>
      <c r="S102" s="3">
        <f t="shared" si="11"/>
        <v>0.74045454545454548</v>
      </c>
      <c r="T102" s="28">
        <f t="shared" si="12"/>
        <v>-0.24045454545454548</v>
      </c>
      <c r="U102" s="28">
        <f t="shared" si="8"/>
        <v>37.16935064935064</v>
      </c>
      <c r="W102" s="3">
        <v>685</v>
      </c>
      <c r="Y102" s="3">
        <f t="shared" ref="Y102:Y165" si="14">Y101+W102</f>
        <v>55109.2</v>
      </c>
      <c r="AA102" s="3">
        <v>9.3226443490855946</v>
      </c>
    </row>
    <row r="103" spans="1:27" s="3" customFormat="1" x14ac:dyDescent="0.25">
      <c r="A103" s="3">
        <v>5400</v>
      </c>
      <c r="B103" s="3">
        <v>24010</v>
      </c>
      <c r="C103" s="7">
        <v>42681</v>
      </c>
      <c r="F103" s="50"/>
      <c r="G103" s="3">
        <v>3.8</v>
      </c>
      <c r="H103" s="3">
        <v>1.2</v>
      </c>
      <c r="I103" s="3">
        <v>7.4</v>
      </c>
      <c r="J103" s="3">
        <f t="shared" si="13"/>
        <v>893.50000000000023</v>
      </c>
      <c r="L103" s="23"/>
      <c r="M103" s="3">
        <v>5</v>
      </c>
      <c r="N103" s="3">
        <v>0.4</v>
      </c>
      <c r="O103" s="3">
        <f t="shared" si="10"/>
        <v>4.5999999999999996</v>
      </c>
      <c r="P103" s="3">
        <f t="shared" si="7"/>
        <v>16.799999999999997</v>
      </c>
      <c r="Q103" s="3">
        <v>68</v>
      </c>
      <c r="R103" s="3">
        <f t="shared" si="9"/>
        <v>0.83116883116883122</v>
      </c>
      <c r="S103" s="3">
        <f t="shared" si="11"/>
        <v>0.33246753246753252</v>
      </c>
      <c r="T103" s="28">
        <f t="shared" si="12"/>
        <v>4.6675324675324674</v>
      </c>
      <c r="U103" s="28">
        <f t="shared" si="8"/>
        <v>41.836883116883108</v>
      </c>
      <c r="W103" s="3">
        <v>102.6</v>
      </c>
      <c r="Y103" s="3">
        <f t="shared" si="14"/>
        <v>55211.799999999996</v>
      </c>
      <c r="AA103" s="3">
        <v>9.2735133154519289</v>
      </c>
    </row>
    <row r="104" spans="1:27" s="3" customFormat="1" x14ac:dyDescent="0.25">
      <c r="A104" s="3">
        <v>5400</v>
      </c>
      <c r="B104" s="3">
        <v>24010</v>
      </c>
      <c r="C104" s="7">
        <v>42682</v>
      </c>
      <c r="F104" s="50"/>
      <c r="G104" s="3">
        <v>4.5</v>
      </c>
      <c r="H104" s="3">
        <v>1.5</v>
      </c>
      <c r="I104" s="3">
        <v>6</v>
      </c>
      <c r="J104" s="3">
        <f t="shared" si="13"/>
        <v>898.00000000000023</v>
      </c>
      <c r="L104" s="23"/>
      <c r="M104" s="3">
        <v>7.7</v>
      </c>
      <c r="N104" s="3">
        <v>0.2</v>
      </c>
      <c r="O104" s="3">
        <f t="shared" si="10"/>
        <v>7.5</v>
      </c>
      <c r="P104" s="3">
        <f t="shared" ref="P104:P167" si="15">O104+P103</f>
        <v>24.299999999999997</v>
      </c>
      <c r="Q104" s="3">
        <v>69</v>
      </c>
      <c r="R104" s="3">
        <f t="shared" si="9"/>
        <v>0.8396103896103897</v>
      </c>
      <c r="S104" s="3">
        <f t="shared" si="11"/>
        <v>0.16792207792207794</v>
      </c>
      <c r="T104" s="28">
        <f t="shared" si="12"/>
        <v>7.5320779220779226</v>
      </c>
      <c r="U104" s="28">
        <f t="shared" ref="U104:U167" si="16">MIN(U103+T104,153.9)</f>
        <v>49.368961038961032</v>
      </c>
      <c r="W104" s="3">
        <v>308.7</v>
      </c>
      <c r="Y104" s="3">
        <f t="shared" si="14"/>
        <v>55520.499999999993</v>
      </c>
      <c r="AA104" s="3">
        <v>9.2250176189023261</v>
      </c>
    </row>
    <row r="105" spans="1:27" s="3" customFormat="1" x14ac:dyDescent="0.25">
      <c r="A105" s="3">
        <v>5400</v>
      </c>
      <c r="B105" s="3">
        <v>24010</v>
      </c>
      <c r="C105" s="7">
        <v>42683</v>
      </c>
      <c r="F105" s="50"/>
      <c r="G105" s="3">
        <v>7.7</v>
      </c>
      <c r="H105" s="3">
        <v>5.6</v>
      </c>
      <c r="I105" s="3">
        <v>9.6</v>
      </c>
      <c r="J105" s="3">
        <f t="shared" si="13"/>
        <v>905.70000000000027</v>
      </c>
      <c r="L105" s="23"/>
      <c r="M105" s="3">
        <v>6.5</v>
      </c>
      <c r="N105" s="3">
        <v>0.5</v>
      </c>
      <c r="O105" s="3">
        <f t="shared" si="10"/>
        <v>6</v>
      </c>
      <c r="P105" s="3">
        <f t="shared" si="15"/>
        <v>30.299999999999997</v>
      </c>
      <c r="Q105" s="3">
        <v>70</v>
      </c>
      <c r="R105" s="3">
        <f t="shared" si="9"/>
        <v>0.84805194805194806</v>
      </c>
      <c r="S105" s="3">
        <f t="shared" si="11"/>
        <v>0.42402597402597403</v>
      </c>
      <c r="T105" s="28">
        <f t="shared" si="12"/>
        <v>6.075974025974026</v>
      </c>
      <c r="U105" s="28">
        <f t="shared" si="16"/>
        <v>55.444935064935059</v>
      </c>
      <c r="W105" s="3">
        <v>117.6</v>
      </c>
      <c r="Y105" s="3">
        <f t="shared" si="14"/>
        <v>55638.099999999991</v>
      </c>
      <c r="AA105" s="3">
        <v>9.177179515293366</v>
      </c>
    </row>
    <row r="106" spans="1:27" s="3" customFormat="1" x14ac:dyDescent="0.25">
      <c r="A106" s="3">
        <v>5400</v>
      </c>
      <c r="B106" s="3">
        <v>24010</v>
      </c>
      <c r="C106" s="7">
        <v>42684</v>
      </c>
      <c r="F106" s="50"/>
      <c r="G106" s="3">
        <v>8.6</v>
      </c>
      <c r="H106" s="3">
        <v>7.3</v>
      </c>
      <c r="I106" s="3">
        <v>9.8000000000000007</v>
      </c>
      <c r="J106" s="3">
        <f t="shared" si="13"/>
        <v>914.3000000000003</v>
      </c>
      <c r="L106" s="23"/>
      <c r="M106" s="3">
        <v>2</v>
      </c>
      <c r="N106" s="3">
        <v>0.2</v>
      </c>
      <c r="O106" s="3">
        <f t="shared" si="10"/>
        <v>1.8</v>
      </c>
      <c r="P106" s="3">
        <f t="shared" si="15"/>
        <v>32.099999999999994</v>
      </c>
      <c r="Q106" s="3">
        <v>71</v>
      </c>
      <c r="R106" s="3">
        <f t="shared" si="9"/>
        <v>0.85649350649350653</v>
      </c>
      <c r="S106" s="3">
        <f t="shared" si="11"/>
        <v>0.17129870129870131</v>
      </c>
      <c r="T106" s="28">
        <f t="shared" si="12"/>
        <v>1.8287012987012987</v>
      </c>
      <c r="U106" s="28">
        <f t="shared" si="16"/>
        <v>57.273636363636356</v>
      </c>
      <c r="W106" s="3">
        <v>123.2</v>
      </c>
      <c r="Y106" s="3">
        <f t="shared" si="14"/>
        <v>55761.299999999988</v>
      </c>
      <c r="AA106" s="3">
        <v>9.1300216039688866</v>
      </c>
    </row>
    <row r="107" spans="1:27" s="3" customFormat="1" x14ac:dyDescent="0.25">
      <c r="A107" s="3">
        <v>5400</v>
      </c>
      <c r="B107" s="3">
        <v>24010</v>
      </c>
      <c r="C107" s="7">
        <v>42685</v>
      </c>
      <c r="F107" s="50"/>
      <c r="G107" s="3">
        <v>4.5999999999999996</v>
      </c>
      <c r="H107" s="3">
        <v>3</v>
      </c>
      <c r="I107" s="3">
        <v>8.5</v>
      </c>
      <c r="J107" s="3">
        <f t="shared" si="13"/>
        <v>918.90000000000032</v>
      </c>
      <c r="L107" s="23"/>
      <c r="M107" s="3">
        <v>0.1</v>
      </c>
      <c r="N107" s="3">
        <v>0.5</v>
      </c>
      <c r="O107" s="3">
        <f t="shared" si="10"/>
        <v>-0.4</v>
      </c>
      <c r="P107" s="3">
        <f t="shared" si="15"/>
        <v>31.699999999999996</v>
      </c>
      <c r="Q107" s="3">
        <v>72</v>
      </c>
      <c r="R107" s="3">
        <f t="shared" si="9"/>
        <v>0.864935064935065</v>
      </c>
      <c r="S107" s="3">
        <f t="shared" si="11"/>
        <v>0.4324675324675325</v>
      </c>
      <c r="T107" s="28">
        <f t="shared" si="12"/>
        <v>-0.33246753246753247</v>
      </c>
      <c r="U107" s="28">
        <f t="shared" si="16"/>
        <v>56.941168831168824</v>
      </c>
      <c r="W107" s="3">
        <v>325.60000000000002</v>
      </c>
      <c r="Y107" s="3">
        <f t="shared" si="14"/>
        <v>56086.899999999987</v>
      </c>
      <c r="AA107" s="3">
        <v>9.0835668082484347</v>
      </c>
    </row>
    <row r="108" spans="1:27" s="3" customFormat="1" x14ac:dyDescent="0.25">
      <c r="A108" s="3">
        <v>5400</v>
      </c>
      <c r="B108" s="3">
        <v>24010</v>
      </c>
      <c r="C108" s="7">
        <v>42686</v>
      </c>
      <c r="F108" s="50"/>
      <c r="G108" s="3">
        <v>4.5999999999999996</v>
      </c>
      <c r="H108" s="3">
        <v>-0.4</v>
      </c>
      <c r="I108" s="3">
        <v>8.1</v>
      </c>
      <c r="J108" s="3">
        <f t="shared" si="13"/>
        <v>923.50000000000034</v>
      </c>
      <c r="L108" s="23"/>
      <c r="M108" s="3">
        <v>6.6</v>
      </c>
      <c r="N108" s="3">
        <v>0.1</v>
      </c>
      <c r="O108" s="3">
        <f t="shared" si="10"/>
        <v>6.5</v>
      </c>
      <c r="P108" s="3">
        <f t="shared" si="15"/>
        <v>38.199999999999996</v>
      </c>
      <c r="Q108" s="3">
        <v>73</v>
      </c>
      <c r="R108" s="3">
        <f t="shared" si="9"/>
        <v>0.87337662337662336</v>
      </c>
      <c r="S108" s="3">
        <f t="shared" si="11"/>
        <v>8.7337662337662339E-2</v>
      </c>
      <c r="T108" s="28">
        <f t="shared" si="12"/>
        <v>6.5126623376623369</v>
      </c>
      <c r="U108" s="28">
        <f t="shared" si="16"/>
        <v>63.453831168831158</v>
      </c>
      <c r="W108" s="3">
        <v>80.5</v>
      </c>
      <c r="Y108" s="3">
        <f t="shared" si="14"/>
        <v>56167.399999999987</v>
      </c>
      <c r="AA108" s="3">
        <v>9.0378383538099403</v>
      </c>
    </row>
    <row r="109" spans="1:27" s="3" customFormat="1" x14ac:dyDescent="0.25">
      <c r="A109" s="3">
        <v>5400</v>
      </c>
      <c r="B109" s="3">
        <v>24010</v>
      </c>
      <c r="C109" s="7">
        <v>42687</v>
      </c>
      <c r="E109" s="3" t="s">
        <v>61</v>
      </c>
      <c r="F109" s="50"/>
      <c r="G109" s="3">
        <v>8.1999999999999993</v>
      </c>
      <c r="H109" s="3">
        <v>7.2</v>
      </c>
      <c r="I109" s="3">
        <v>10</v>
      </c>
      <c r="J109" s="3">
        <f t="shared" si="13"/>
        <v>931.70000000000039</v>
      </c>
      <c r="L109" s="23"/>
      <c r="M109" s="3">
        <v>0.2</v>
      </c>
      <c r="N109" s="3">
        <v>0.2</v>
      </c>
      <c r="O109" s="3">
        <f t="shared" si="10"/>
        <v>0</v>
      </c>
      <c r="P109" s="3">
        <f t="shared" si="15"/>
        <v>38.199999999999996</v>
      </c>
      <c r="Q109" s="3">
        <v>74</v>
      </c>
      <c r="R109" s="3">
        <f t="shared" si="9"/>
        <v>0.88181818181818183</v>
      </c>
      <c r="S109" s="3">
        <f t="shared" si="11"/>
        <v>0.17636363636363639</v>
      </c>
      <c r="T109" s="28">
        <f t="shared" si="12"/>
        <v>2.3636363636363622E-2</v>
      </c>
      <c r="U109" s="28">
        <f t="shared" si="16"/>
        <v>63.477467532467521</v>
      </c>
      <c r="W109" s="3">
        <v>127.3</v>
      </c>
      <c r="Y109" s="3">
        <f t="shared" si="14"/>
        <v>56294.69999999999</v>
      </c>
      <c r="AA109" s="38">
        <v>8.9928597449220451</v>
      </c>
    </row>
    <row r="110" spans="1:27" s="3" customFormat="1" x14ac:dyDescent="0.25">
      <c r="A110" s="3">
        <v>5400</v>
      </c>
      <c r="B110" s="3">
        <v>24010</v>
      </c>
      <c r="C110" s="7">
        <v>42688</v>
      </c>
      <c r="F110" s="50"/>
      <c r="G110" s="3">
        <v>8.1</v>
      </c>
      <c r="H110" s="3">
        <v>6.8</v>
      </c>
      <c r="I110" s="3">
        <v>9</v>
      </c>
      <c r="J110" s="3">
        <f t="shared" si="13"/>
        <v>939.80000000000041</v>
      </c>
      <c r="L110" s="23"/>
      <c r="M110" s="3">
        <v>0.3</v>
      </c>
      <c r="N110" s="3">
        <v>0.2</v>
      </c>
      <c r="O110" s="3">
        <f t="shared" si="10"/>
        <v>9.9999999999999978E-2</v>
      </c>
      <c r="P110" s="3">
        <f t="shared" si="15"/>
        <v>38.299999999999997</v>
      </c>
      <c r="Q110" s="3">
        <v>75</v>
      </c>
      <c r="R110" s="3">
        <f t="shared" si="9"/>
        <v>0.89025974025974031</v>
      </c>
      <c r="S110" s="3">
        <f t="shared" si="11"/>
        <v>0.17805194805194807</v>
      </c>
      <c r="T110" s="28">
        <f t="shared" si="12"/>
        <v>0.12194805194805192</v>
      </c>
      <c r="U110" s="28">
        <f t="shared" si="16"/>
        <v>63.599415584415574</v>
      </c>
      <c r="W110" s="3">
        <v>108.8</v>
      </c>
      <c r="Y110" s="3">
        <f t="shared" si="14"/>
        <v>56403.499999999993</v>
      </c>
      <c r="AA110" s="38">
        <v>8.9486547384892265</v>
      </c>
    </row>
    <row r="111" spans="1:27" s="3" customFormat="1" x14ac:dyDescent="0.25">
      <c r="A111" s="3">
        <v>5400</v>
      </c>
      <c r="B111" s="3">
        <v>24010</v>
      </c>
      <c r="C111" s="7">
        <v>42689</v>
      </c>
      <c r="F111" s="50"/>
      <c r="G111" s="3">
        <v>10.7</v>
      </c>
      <c r="H111" s="3">
        <v>8.4</v>
      </c>
      <c r="I111" s="3">
        <v>11.9</v>
      </c>
      <c r="J111" s="3">
        <f t="shared" si="13"/>
        <v>950.50000000000045</v>
      </c>
      <c r="L111" s="23"/>
      <c r="M111" s="3">
        <v>1.7</v>
      </c>
      <c r="N111" s="3">
        <v>0.2</v>
      </c>
      <c r="O111" s="3">
        <f t="shared" si="10"/>
        <v>1.5</v>
      </c>
      <c r="P111" s="3">
        <f t="shared" si="15"/>
        <v>39.799999999999997</v>
      </c>
      <c r="Q111" s="3">
        <v>76</v>
      </c>
      <c r="R111" s="3">
        <f t="shared" si="9"/>
        <v>0.89870129870129867</v>
      </c>
      <c r="S111" s="3">
        <f t="shared" si="11"/>
        <v>0.17974025974025976</v>
      </c>
      <c r="T111" s="28">
        <f t="shared" si="12"/>
        <v>1.5202597402597402</v>
      </c>
      <c r="U111" s="28">
        <f t="shared" si="16"/>
        <v>65.119675324675313</v>
      </c>
      <c r="W111" s="3">
        <v>123</v>
      </c>
      <c r="Y111" s="3">
        <f t="shared" si="14"/>
        <v>56526.499999999993</v>
      </c>
      <c r="AA111" s="38">
        <v>8.9052473158817218</v>
      </c>
    </row>
    <row r="112" spans="1:27" s="3" customFormat="1" x14ac:dyDescent="0.25">
      <c r="A112" s="3">
        <v>5400</v>
      </c>
      <c r="B112" s="3">
        <v>24010</v>
      </c>
      <c r="C112" s="7">
        <v>42690</v>
      </c>
      <c r="F112" s="50"/>
      <c r="G112" s="3">
        <v>11.6</v>
      </c>
      <c r="H112" s="3">
        <v>11.5</v>
      </c>
      <c r="I112" s="3">
        <v>12</v>
      </c>
      <c r="J112" s="3">
        <f t="shared" si="13"/>
        <v>962.10000000000048</v>
      </c>
      <c r="L112" s="23"/>
      <c r="M112" s="3">
        <v>0.3</v>
      </c>
      <c r="N112" s="3">
        <v>0.2</v>
      </c>
      <c r="O112" s="3">
        <f t="shared" si="10"/>
        <v>9.9999999999999978E-2</v>
      </c>
      <c r="P112" s="3">
        <f t="shared" si="15"/>
        <v>39.9</v>
      </c>
      <c r="Q112" s="3">
        <v>77</v>
      </c>
      <c r="R112" s="3">
        <f t="shared" ref="R112:R123" si="17">0.35+((Q112-11)/77)*(1-0.35)</f>
        <v>0.90714285714285714</v>
      </c>
      <c r="S112" s="3">
        <f t="shared" si="11"/>
        <v>0.18142857142857144</v>
      </c>
      <c r="T112" s="28">
        <f t="shared" si="12"/>
        <v>0.11857142857142855</v>
      </c>
      <c r="U112" s="28">
        <f t="shared" si="16"/>
        <v>65.238246753246742</v>
      </c>
      <c r="W112" s="3">
        <v>119.4</v>
      </c>
      <c r="Y112" s="3">
        <f t="shared" si="14"/>
        <v>56645.899999999994</v>
      </c>
      <c r="AA112" s="38">
        <v>8.8626616525322603</v>
      </c>
    </row>
    <row r="113" spans="1:28" s="3" customFormat="1" x14ac:dyDescent="0.25">
      <c r="A113" s="3">
        <v>5400</v>
      </c>
      <c r="B113" s="3">
        <v>24010</v>
      </c>
      <c r="C113" s="7">
        <v>42691</v>
      </c>
      <c r="F113" s="50"/>
      <c r="G113" s="3">
        <v>11.3</v>
      </c>
      <c r="H113" s="3">
        <v>9.1999999999999993</v>
      </c>
      <c r="I113" s="3">
        <v>12.9</v>
      </c>
      <c r="J113" s="3">
        <f t="shared" si="13"/>
        <v>973.40000000000043</v>
      </c>
      <c r="L113" s="23"/>
      <c r="M113" s="3">
        <v>4</v>
      </c>
      <c r="N113" s="3">
        <v>0.6</v>
      </c>
      <c r="O113" s="3">
        <f t="shared" si="10"/>
        <v>3.4</v>
      </c>
      <c r="P113" s="3">
        <f t="shared" si="15"/>
        <v>43.3</v>
      </c>
      <c r="Q113" s="3">
        <v>78</v>
      </c>
      <c r="R113" s="3">
        <f t="shared" si="17"/>
        <v>0.9155844155844155</v>
      </c>
      <c r="S113" s="3">
        <f t="shared" si="11"/>
        <v>0.54935064935064926</v>
      </c>
      <c r="T113" s="28">
        <f t="shared" si="12"/>
        <v>3.4506493506493507</v>
      </c>
      <c r="U113" s="28">
        <f t="shared" si="16"/>
        <v>68.688896103896099</v>
      </c>
      <c r="W113" s="3">
        <v>213.5</v>
      </c>
      <c r="Y113" s="3">
        <f t="shared" si="14"/>
        <v>56859.399999999994</v>
      </c>
      <c r="AA113" s="38">
        <v>8.8209220852924872</v>
      </c>
    </row>
    <row r="114" spans="1:28" s="3" customFormat="1" x14ac:dyDescent="0.25">
      <c r="A114" s="3">
        <v>5400</v>
      </c>
      <c r="B114" s="3">
        <v>24010</v>
      </c>
      <c r="C114" s="7">
        <v>42692</v>
      </c>
      <c r="F114" s="50"/>
      <c r="G114" s="3">
        <v>8.1999999999999993</v>
      </c>
      <c r="H114" s="3">
        <v>6.8</v>
      </c>
      <c r="I114" s="3">
        <v>10.1</v>
      </c>
      <c r="J114" s="3">
        <f t="shared" si="13"/>
        <v>981.60000000000048</v>
      </c>
      <c r="L114" s="23"/>
      <c r="M114" s="3">
        <v>0</v>
      </c>
      <c r="N114" s="3">
        <v>1</v>
      </c>
      <c r="O114" s="3">
        <f t="shared" si="10"/>
        <v>-1</v>
      </c>
      <c r="P114" s="3">
        <f t="shared" si="15"/>
        <v>42.3</v>
      </c>
      <c r="Q114" s="3">
        <v>79</v>
      </c>
      <c r="R114" s="3">
        <f t="shared" si="17"/>
        <v>0.92402597402597397</v>
      </c>
      <c r="S114" s="3">
        <f t="shared" si="11"/>
        <v>0.92402597402597397</v>
      </c>
      <c r="T114" s="28">
        <f t="shared" si="12"/>
        <v>-0.92402597402597397</v>
      </c>
      <c r="U114" s="28">
        <f t="shared" si="16"/>
        <v>67.764870129870118</v>
      </c>
      <c r="W114" s="3">
        <v>529</v>
      </c>
      <c r="Y114" s="3">
        <f t="shared" si="14"/>
        <v>57388.399999999994</v>
      </c>
      <c r="AA114" s="38">
        <v>8.780053077554232</v>
      </c>
    </row>
    <row r="115" spans="1:28" s="3" customFormat="1" x14ac:dyDescent="0.25">
      <c r="A115" s="3">
        <v>5400</v>
      </c>
      <c r="B115" s="3">
        <v>24010</v>
      </c>
      <c r="C115" s="7">
        <v>42693</v>
      </c>
      <c r="F115" s="50"/>
      <c r="G115" s="3">
        <v>6.6</v>
      </c>
      <c r="H115" s="3">
        <v>3.6</v>
      </c>
      <c r="I115" s="3">
        <v>10.8</v>
      </c>
      <c r="J115" s="3">
        <f t="shared" si="13"/>
        <v>988.2000000000005</v>
      </c>
      <c r="L115" s="23"/>
      <c r="M115" s="3">
        <v>1.4</v>
      </c>
      <c r="N115" s="3">
        <v>1</v>
      </c>
      <c r="O115" s="3">
        <f t="shared" si="10"/>
        <v>0.39999999999999991</v>
      </c>
      <c r="P115" s="3">
        <f t="shared" si="15"/>
        <v>42.699999999999996</v>
      </c>
      <c r="Q115" s="3">
        <v>80</v>
      </c>
      <c r="R115" s="3">
        <f t="shared" si="17"/>
        <v>0.93246753246753245</v>
      </c>
      <c r="S115" s="3">
        <f t="shared" si="11"/>
        <v>0.93246753246753245</v>
      </c>
      <c r="T115" s="28">
        <f t="shared" si="12"/>
        <v>0.46753246753246747</v>
      </c>
      <c r="U115" s="28">
        <f t="shared" si="16"/>
        <v>68.232402597402583</v>
      </c>
      <c r="W115" s="3">
        <v>521.9</v>
      </c>
      <c r="Y115" s="3">
        <f t="shared" si="14"/>
        <v>57910.299999999996</v>
      </c>
      <c r="AA115" s="38">
        <v>8.7400791821537709</v>
      </c>
    </row>
    <row r="116" spans="1:28" s="3" customFormat="1" x14ac:dyDescent="0.25">
      <c r="A116" s="3">
        <v>5400</v>
      </c>
      <c r="B116" s="3">
        <v>24010</v>
      </c>
      <c r="C116" s="7">
        <v>42694</v>
      </c>
      <c r="F116" s="50"/>
      <c r="G116" s="3">
        <v>11.2</v>
      </c>
      <c r="H116" s="3">
        <v>7.6</v>
      </c>
      <c r="I116" s="3">
        <v>11.9</v>
      </c>
      <c r="J116" s="3">
        <f t="shared" si="13"/>
        <v>999.40000000000055</v>
      </c>
      <c r="L116" s="23"/>
      <c r="M116" s="3">
        <v>5.2</v>
      </c>
      <c r="N116" s="3">
        <v>0.2</v>
      </c>
      <c r="O116" s="3">
        <f t="shared" si="10"/>
        <v>5</v>
      </c>
      <c r="P116" s="3">
        <f t="shared" si="15"/>
        <v>47.699999999999996</v>
      </c>
      <c r="Q116" s="3">
        <v>81</v>
      </c>
      <c r="R116" s="3">
        <f t="shared" si="17"/>
        <v>0.94090909090909092</v>
      </c>
      <c r="S116" s="3">
        <f t="shared" si="11"/>
        <v>0.1881818181818182</v>
      </c>
      <c r="T116" s="28">
        <f t="shared" si="12"/>
        <v>5.0118181818181817</v>
      </c>
      <c r="U116" s="28">
        <f t="shared" si="16"/>
        <v>73.244220779220768</v>
      </c>
      <c r="W116" s="3">
        <v>109.5</v>
      </c>
      <c r="Y116" s="3">
        <f t="shared" si="14"/>
        <v>58019.799999999996</v>
      </c>
      <c r="AA116" s="38">
        <v>8.701025002091729</v>
      </c>
    </row>
    <row r="117" spans="1:28" s="3" customFormat="1" x14ac:dyDescent="0.25">
      <c r="A117" s="3">
        <v>5400</v>
      </c>
      <c r="B117" s="3">
        <v>24010</v>
      </c>
      <c r="C117" s="7">
        <v>42695</v>
      </c>
      <c r="F117" s="50"/>
      <c r="G117" s="3">
        <v>11</v>
      </c>
      <c r="H117" s="3">
        <v>10.8</v>
      </c>
      <c r="I117" s="3">
        <v>11.3</v>
      </c>
      <c r="J117" s="3">
        <f t="shared" si="13"/>
        <v>1010.4000000000005</v>
      </c>
      <c r="L117" s="23"/>
      <c r="M117" s="3">
        <v>1</v>
      </c>
      <c r="N117" s="3">
        <v>0.6</v>
      </c>
      <c r="O117" s="3">
        <f t="shared" si="10"/>
        <v>0.4</v>
      </c>
      <c r="P117" s="3">
        <f t="shared" si="15"/>
        <v>48.099999999999994</v>
      </c>
      <c r="Q117" s="3">
        <v>82</v>
      </c>
      <c r="R117" s="3">
        <f t="shared" si="17"/>
        <v>0.94935064935064928</v>
      </c>
      <c r="S117" s="3">
        <f t="shared" si="11"/>
        <v>0.56961038961038957</v>
      </c>
      <c r="T117" s="28">
        <f t="shared" si="12"/>
        <v>0.43038961038961043</v>
      </c>
      <c r="U117" s="28">
        <f t="shared" si="16"/>
        <v>73.674610389610379</v>
      </c>
      <c r="W117" s="3">
        <v>108.8</v>
      </c>
      <c r="Y117" s="3">
        <f t="shared" si="14"/>
        <v>58128.6</v>
      </c>
      <c r="AA117" s="38">
        <v>8.6629151491161931</v>
      </c>
    </row>
    <row r="118" spans="1:28" s="3" customFormat="1" x14ac:dyDescent="0.25">
      <c r="A118" s="3">
        <v>5400</v>
      </c>
      <c r="B118" s="3">
        <v>24010</v>
      </c>
      <c r="C118" s="7">
        <v>42696</v>
      </c>
      <c r="F118" s="50"/>
      <c r="G118" s="3">
        <v>8.8000000000000007</v>
      </c>
      <c r="H118" s="3">
        <v>7.8</v>
      </c>
      <c r="I118" s="3">
        <v>10.7</v>
      </c>
      <c r="J118" s="3">
        <f t="shared" si="13"/>
        <v>1019.2000000000005</v>
      </c>
      <c r="L118" s="23"/>
      <c r="M118" s="3">
        <v>7.5</v>
      </c>
      <c r="N118" s="3">
        <v>0.6</v>
      </c>
      <c r="O118" s="3">
        <f t="shared" si="10"/>
        <v>6.9</v>
      </c>
      <c r="P118" s="3">
        <f t="shared" si="15"/>
        <v>54.999999999999993</v>
      </c>
      <c r="Q118" s="3">
        <v>83</v>
      </c>
      <c r="R118" s="3">
        <f t="shared" si="17"/>
        <v>0.95779220779220775</v>
      </c>
      <c r="S118" s="3">
        <f t="shared" si="11"/>
        <v>0.57467532467532467</v>
      </c>
      <c r="T118" s="28">
        <f t="shared" si="12"/>
        <v>6.9253246753246751</v>
      </c>
      <c r="U118" s="28">
        <f t="shared" si="16"/>
        <v>80.599935064935053</v>
      </c>
      <c r="W118" s="3">
        <v>517.70000000000005</v>
      </c>
      <c r="Y118" s="3">
        <f t="shared" si="14"/>
        <v>58646.299999999996</v>
      </c>
      <c r="AA118" s="38">
        <v>8.6257742002330531</v>
      </c>
    </row>
    <row r="119" spans="1:28" s="3" customFormat="1" x14ac:dyDescent="0.25">
      <c r="A119" s="3">
        <v>5400</v>
      </c>
      <c r="B119" s="3">
        <v>24010</v>
      </c>
      <c r="C119" s="7">
        <v>42697</v>
      </c>
      <c r="F119" s="50"/>
      <c r="G119" s="3">
        <v>10.3</v>
      </c>
      <c r="H119" s="3">
        <v>7.3</v>
      </c>
      <c r="I119" s="3">
        <v>12.2</v>
      </c>
      <c r="J119" s="3">
        <f t="shared" si="13"/>
        <v>1029.5000000000005</v>
      </c>
      <c r="L119" s="23"/>
      <c r="M119" s="3">
        <v>1</v>
      </c>
      <c r="N119" s="3">
        <v>0.1</v>
      </c>
      <c r="O119" s="3">
        <f t="shared" si="10"/>
        <v>0.9</v>
      </c>
      <c r="P119" s="3">
        <f t="shared" si="15"/>
        <v>55.899999999999991</v>
      </c>
      <c r="Q119" s="3">
        <v>84</v>
      </c>
      <c r="R119" s="3">
        <f t="shared" si="17"/>
        <v>0.96623376623376622</v>
      </c>
      <c r="S119" s="3">
        <f t="shared" si="11"/>
        <v>9.6623376623376625E-2</v>
      </c>
      <c r="T119" s="28">
        <f t="shared" si="12"/>
        <v>0.90337662337662339</v>
      </c>
      <c r="U119" s="28">
        <f t="shared" si="16"/>
        <v>81.503311688311683</v>
      </c>
      <c r="W119" s="3">
        <v>105.1</v>
      </c>
      <c r="Y119" s="3">
        <f t="shared" si="14"/>
        <v>58751.399999999994</v>
      </c>
      <c r="AA119" s="38">
        <v>8.5896266522244549</v>
      </c>
    </row>
    <row r="120" spans="1:28" s="3" customFormat="1" x14ac:dyDescent="0.25">
      <c r="A120" s="3">
        <v>5400</v>
      </c>
      <c r="B120" s="3">
        <v>24010</v>
      </c>
      <c r="C120" s="7">
        <v>42698</v>
      </c>
      <c r="F120" s="50"/>
      <c r="G120" s="3">
        <v>10.199999999999999</v>
      </c>
      <c r="H120" s="3">
        <v>9.6999999999999993</v>
      </c>
      <c r="I120" s="3">
        <v>11.9</v>
      </c>
      <c r="J120" s="3">
        <f t="shared" si="13"/>
        <v>1039.7000000000005</v>
      </c>
      <c r="L120" s="23"/>
      <c r="M120" s="3">
        <v>0</v>
      </c>
      <c r="N120" s="3">
        <v>0.6</v>
      </c>
      <c r="O120" s="3">
        <f t="shared" si="10"/>
        <v>-0.6</v>
      </c>
      <c r="P120" s="3">
        <f t="shared" si="15"/>
        <v>55.29999999999999</v>
      </c>
      <c r="Q120" s="3">
        <v>85</v>
      </c>
      <c r="R120" s="3">
        <f t="shared" si="17"/>
        <v>0.97467532467532469</v>
      </c>
      <c r="S120" s="3">
        <f t="shared" si="11"/>
        <v>0.58480519480519477</v>
      </c>
      <c r="T120" s="28">
        <f t="shared" si="12"/>
        <v>-0.58480519480519477</v>
      </c>
      <c r="U120" s="28">
        <f t="shared" si="16"/>
        <v>80.918506493506484</v>
      </c>
      <c r="W120" s="3">
        <v>147.19999999999999</v>
      </c>
      <c r="Y120" s="3">
        <f t="shared" si="14"/>
        <v>58898.599999999991</v>
      </c>
      <c r="AA120" s="38">
        <v>8.5544968742740934</v>
      </c>
    </row>
    <row r="121" spans="1:28" s="3" customFormat="1" x14ac:dyDescent="0.25">
      <c r="A121" s="3">
        <v>5400</v>
      </c>
      <c r="B121" s="3">
        <v>24010</v>
      </c>
      <c r="C121" s="7">
        <v>42699</v>
      </c>
      <c r="F121" s="50"/>
      <c r="G121" s="3">
        <v>7.9</v>
      </c>
      <c r="H121" s="3">
        <v>7.3</v>
      </c>
      <c r="I121" s="3">
        <v>8.3000000000000007</v>
      </c>
      <c r="J121" s="3">
        <f t="shared" si="13"/>
        <v>1047.6000000000006</v>
      </c>
      <c r="L121" s="23"/>
      <c r="M121" s="3">
        <v>0.3</v>
      </c>
      <c r="N121" s="3">
        <v>0.2</v>
      </c>
      <c r="O121" s="3">
        <f t="shared" si="10"/>
        <v>9.9999999999999978E-2</v>
      </c>
      <c r="P121" s="3">
        <f t="shared" si="15"/>
        <v>55.399999999999991</v>
      </c>
      <c r="Q121" s="3">
        <v>86</v>
      </c>
      <c r="R121" s="3">
        <f t="shared" si="17"/>
        <v>0.98311688311688306</v>
      </c>
      <c r="S121" s="3">
        <f t="shared" si="11"/>
        <v>0.19662337662337662</v>
      </c>
      <c r="T121" s="28">
        <f t="shared" si="12"/>
        <v>0.10337662337662337</v>
      </c>
      <c r="U121" s="28">
        <f t="shared" si="16"/>
        <v>81.021883116883103</v>
      </c>
      <c r="W121" s="3">
        <v>107.5</v>
      </c>
      <c r="Y121" s="3">
        <f t="shared" si="14"/>
        <v>59006.099999999991</v>
      </c>
      <c r="AA121" s="38">
        <v>8.5204090588164121</v>
      </c>
    </row>
    <row r="122" spans="1:28" s="3" customFormat="1" x14ac:dyDescent="0.25">
      <c r="A122" s="3">
        <v>5400</v>
      </c>
      <c r="B122" s="3">
        <v>24010</v>
      </c>
      <c r="C122" s="7">
        <v>42700</v>
      </c>
      <c r="F122" s="50"/>
      <c r="G122" s="3">
        <v>8.4</v>
      </c>
      <c r="H122" s="3">
        <v>7.2</v>
      </c>
      <c r="I122" s="3">
        <v>9.6</v>
      </c>
      <c r="J122" s="3">
        <f t="shared" si="13"/>
        <v>1056.0000000000007</v>
      </c>
      <c r="L122" s="23"/>
      <c r="M122" s="3">
        <v>0</v>
      </c>
      <c r="N122" s="3">
        <v>0.1</v>
      </c>
      <c r="O122" s="3">
        <f t="shared" si="10"/>
        <v>-0.1</v>
      </c>
      <c r="P122" s="3">
        <f t="shared" si="15"/>
        <v>55.29999999999999</v>
      </c>
      <c r="Q122" s="3">
        <v>87</v>
      </c>
      <c r="R122" s="3">
        <f t="shared" si="17"/>
        <v>0.99155844155844153</v>
      </c>
      <c r="S122" s="3">
        <f t="shared" si="11"/>
        <v>9.9155844155844164E-2</v>
      </c>
      <c r="T122" s="28">
        <f t="shared" si="12"/>
        <v>-9.9155844155844164E-2</v>
      </c>
      <c r="U122" s="28">
        <f t="shared" si="16"/>
        <v>80.922727272727258</v>
      </c>
      <c r="W122" s="3">
        <v>124.8</v>
      </c>
      <c r="Y122" s="3">
        <f t="shared" si="14"/>
        <v>59130.899999999994</v>
      </c>
      <c r="AA122" s="38">
        <v>8.4873871707455866</v>
      </c>
    </row>
    <row r="123" spans="1:28" s="21" customFormat="1" ht="15.75" thickBot="1" x14ac:dyDescent="0.3">
      <c r="A123" s="21">
        <v>5400</v>
      </c>
      <c r="B123" s="21">
        <v>24010</v>
      </c>
      <c r="C123" s="22">
        <v>42701</v>
      </c>
      <c r="F123" s="51"/>
      <c r="G123" s="21">
        <v>6.7</v>
      </c>
      <c r="H123" s="21">
        <v>4.5999999999999996</v>
      </c>
      <c r="I123" s="21">
        <v>8.3000000000000007</v>
      </c>
      <c r="J123" s="21">
        <f t="shared" si="13"/>
        <v>1062.7000000000007</v>
      </c>
      <c r="L123" s="25"/>
      <c r="M123" s="21">
        <v>0.1</v>
      </c>
      <c r="N123" s="21">
        <v>0.4</v>
      </c>
      <c r="O123" s="21">
        <f t="shared" si="10"/>
        <v>-0.30000000000000004</v>
      </c>
      <c r="P123" s="30">
        <f t="shared" si="15"/>
        <v>54.999999999999993</v>
      </c>
      <c r="Q123" s="21">
        <v>88</v>
      </c>
      <c r="R123" s="30">
        <f t="shared" si="17"/>
        <v>1</v>
      </c>
      <c r="S123" s="21">
        <f t="shared" si="11"/>
        <v>0.4</v>
      </c>
      <c r="T123" s="29">
        <f t="shared" si="12"/>
        <v>-0.30000000000000004</v>
      </c>
      <c r="U123" s="28">
        <f t="shared" si="16"/>
        <v>80.622727272727261</v>
      </c>
      <c r="W123" s="21">
        <v>425.6</v>
      </c>
      <c r="Y123" s="21">
        <f t="shared" si="14"/>
        <v>59556.499999999993</v>
      </c>
      <c r="AA123" s="39">
        <v>8.4554548951393524</v>
      </c>
    </row>
    <row r="124" spans="1:28" s="3" customFormat="1" x14ac:dyDescent="0.25">
      <c r="A124" s="3">
        <v>5400</v>
      </c>
      <c r="B124" s="3">
        <v>24010</v>
      </c>
      <c r="C124" s="7">
        <v>42702</v>
      </c>
      <c r="D124" s="3" t="s">
        <v>38</v>
      </c>
      <c r="E124" s="38">
        <v>1</v>
      </c>
      <c r="F124" s="52" t="s">
        <v>47</v>
      </c>
      <c r="G124" s="3">
        <v>4.0999999999999996</v>
      </c>
      <c r="H124" s="3">
        <v>3.3</v>
      </c>
      <c r="I124" s="3">
        <v>6.8</v>
      </c>
      <c r="J124" s="3">
        <f t="shared" si="13"/>
        <v>1066.8000000000006</v>
      </c>
      <c r="K124" s="3">
        <f>G124</f>
        <v>4.0999999999999996</v>
      </c>
      <c r="L124" s="13" t="s">
        <v>39</v>
      </c>
      <c r="M124" s="3">
        <v>0</v>
      </c>
      <c r="N124" s="3">
        <v>1.4</v>
      </c>
      <c r="O124" s="3">
        <f t="shared" si="10"/>
        <v>-1.4</v>
      </c>
      <c r="P124" s="3">
        <f t="shared" si="15"/>
        <v>53.599999999999994</v>
      </c>
      <c r="Q124" s="3">
        <v>89</v>
      </c>
      <c r="R124" s="27">
        <v>1</v>
      </c>
      <c r="S124" s="3">
        <f t="shared" si="11"/>
        <v>1.4</v>
      </c>
      <c r="T124" s="3">
        <f t="shared" si="12"/>
        <v>-1.4</v>
      </c>
      <c r="U124" s="28">
        <f t="shared" si="16"/>
        <v>79.222727272727255</v>
      </c>
      <c r="V124" s="32" t="s">
        <v>53</v>
      </c>
      <c r="W124" s="3">
        <v>730.2</v>
      </c>
      <c r="Y124" s="3">
        <f t="shared" si="14"/>
        <v>60286.69999999999</v>
      </c>
      <c r="Z124" s="3">
        <f>W124</f>
        <v>730.2</v>
      </c>
      <c r="AA124" s="38">
        <v>8.4246355836717974</v>
      </c>
      <c r="AB124" s="32" t="s">
        <v>58</v>
      </c>
    </row>
    <row r="125" spans="1:28" s="3" customFormat="1" x14ac:dyDescent="0.25">
      <c r="A125" s="3">
        <v>5400</v>
      </c>
      <c r="B125" s="3">
        <v>24010</v>
      </c>
      <c r="C125" s="7">
        <v>42703</v>
      </c>
      <c r="E125" s="38">
        <v>2</v>
      </c>
      <c r="F125" s="53"/>
      <c r="G125" s="3">
        <v>0</v>
      </c>
      <c r="H125" s="3">
        <v>-1.5</v>
      </c>
      <c r="I125" s="3">
        <v>3.3</v>
      </c>
      <c r="J125" s="3">
        <f t="shared" si="13"/>
        <v>1066.8000000000006</v>
      </c>
      <c r="K125" s="3">
        <f>K124+G125</f>
        <v>4.0999999999999996</v>
      </c>
      <c r="L125" s="11">
        <v>166.4</v>
      </c>
      <c r="M125" s="3">
        <v>0</v>
      </c>
      <c r="N125" s="3">
        <v>0.9</v>
      </c>
      <c r="O125" s="3">
        <f t="shared" si="10"/>
        <v>-0.9</v>
      </c>
      <c r="P125" s="3">
        <f t="shared" si="15"/>
        <v>52.699999999999996</v>
      </c>
      <c r="Q125" s="3">
        <v>90</v>
      </c>
      <c r="R125" s="27">
        <v>1</v>
      </c>
      <c r="S125" s="3">
        <f t="shared" si="11"/>
        <v>0.9</v>
      </c>
      <c r="T125" s="3">
        <f t="shared" si="12"/>
        <v>-0.9</v>
      </c>
      <c r="U125" s="28">
        <f t="shared" si="16"/>
        <v>78.322727272727249</v>
      </c>
      <c r="V125">
        <v>0</v>
      </c>
      <c r="W125" s="3">
        <v>748.6</v>
      </c>
      <c r="Y125" s="3">
        <f t="shared" si="14"/>
        <v>61035.299999999988</v>
      </c>
      <c r="Z125" s="3">
        <f>Z124+W125</f>
        <v>1478.8000000000002</v>
      </c>
      <c r="AA125" s="38">
        <v>8.3949521999084222</v>
      </c>
      <c r="AB125">
        <v>21101.1</v>
      </c>
    </row>
    <row r="126" spans="1:28" s="3" customFormat="1" x14ac:dyDescent="0.25">
      <c r="A126" s="3">
        <v>5400</v>
      </c>
      <c r="B126" s="3">
        <v>24010</v>
      </c>
      <c r="C126" s="7">
        <v>42704</v>
      </c>
      <c r="E126" s="38">
        <v>3</v>
      </c>
      <c r="F126" s="53"/>
      <c r="G126" s="3">
        <v>-1</v>
      </c>
      <c r="H126" s="3">
        <v>-4.4000000000000004</v>
      </c>
      <c r="I126" s="3">
        <v>4.8</v>
      </c>
      <c r="J126" s="3">
        <v>1066.8</v>
      </c>
      <c r="K126" s="3">
        <v>4.0999999999999996</v>
      </c>
      <c r="L126" s="13" t="s">
        <v>40</v>
      </c>
      <c r="M126" s="3">
        <v>0</v>
      </c>
      <c r="N126" s="3">
        <v>0.7</v>
      </c>
      <c r="O126" s="3">
        <f t="shared" si="10"/>
        <v>-0.7</v>
      </c>
      <c r="P126" s="3">
        <f t="shared" si="15"/>
        <v>51.999999999999993</v>
      </c>
      <c r="Q126" s="3">
        <v>91</v>
      </c>
      <c r="R126" s="27">
        <v>1</v>
      </c>
      <c r="S126" s="3">
        <f t="shared" si="11"/>
        <v>0.7</v>
      </c>
      <c r="T126" s="3">
        <f t="shared" si="12"/>
        <v>-0.7</v>
      </c>
      <c r="U126" s="28">
        <f t="shared" si="16"/>
        <v>77.622727272727246</v>
      </c>
      <c r="V126" s="32" t="s">
        <v>54</v>
      </c>
      <c r="W126" s="3">
        <v>661.7</v>
      </c>
      <c r="Y126" s="3">
        <f t="shared" si="14"/>
        <v>61696.999999999985</v>
      </c>
      <c r="Z126" s="3">
        <f t="shared" ref="Z126:Z189" si="18">Z125+W126</f>
        <v>2140.5</v>
      </c>
      <c r="AA126" s="38">
        <v>8.3664272636952148</v>
      </c>
      <c r="AB126" s="32" t="s">
        <v>59</v>
      </c>
    </row>
    <row r="127" spans="1:28" s="3" customFormat="1" x14ac:dyDescent="0.25">
      <c r="A127" s="3">
        <v>5400</v>
      </c>
      <c r="B127" s="3">
        <v>24010</v>
      </c>
      <c r="C127" s="7">
        <v>42705</v>
      </c>
      <c r="E127" s="38">
        <v>4</v>
      </c>
      <c r="F127" s="53"/>
      <c r="G127" s="3">
        <v>-0.5</v>
      </c>
      <c r="H127" s="3">
        <v>-5.0999999999999996</v>
      </c>
      <c r="I127" s="3">
        <v>5.3</v>
      </c>
      <c r="J127" s="3">
        <v>1066.8</v>
      </c>
      <c r="K127" s="3">
        <v>4.0999999999999996</v>
      </c>
      <c r="L127" s="11">
        <f>AVERAGE(G124:G184)</f>
        <v>2.1229508196721314</v>
      </c>
      <c r="M127" s="3">
        <v>0</v>
      </c>
      <c r="N127" s="3">
        <v>0.7</v>
      </c>
      <c r="O127" s="3">
        <f t="shared" si="10"/>
        <v>-0.7</v>
      </c>
      <c r="P127" s="3">
        <f t="shared" si="15"/>
        <v>51.29999999999999</v>
      </c>
      <c r="Q127" s="3">
        <v>92</v>
      </c>
      <c r="R127" s="27">
        <v>1</v>
      </c>
      <c r="S127" s="3">
        <f t="shared" si="11"/>
        <v>0.7</v>
      </c>
      <c r="T127" s="3">
        <f t="shared" si="12"/>
        <v>-0.7</v>
      </c>
      <c r="U127" s="28">
        <f t="shared" si="16"/>
        <v>76.922727272727244</v>
      </c>
      <c r="V127">
        <v>0</v>
      </c>
      <c r="W127" s="3">
        <v>641.1</v>
      </c>
      <c r="Y127" s="3">
        <f t="shared" si="14"/>
        <v>62338.099999999984</v>
      </c>
      <c r="Z127" s="3">
        <f t="shared" si="18"/>
        <v>2781.6</v>
      </c>
      <c r="AA127" s="38">
        <v>8.3390827948717341</v>
      </c>
      <c r="AB127">
        <f>(AB125/100)/L125</f>
        <v>1.2680949519230769</v>
      </c>
    </row>
    <row r="128" spans="1:28" s="3" customFormat="1" x14ac:dyDescent="0.25">
      <c r="A128" s="3">
        <v>5400</v>
      </c>
      <c r="B128" s="3">
        <v>24010</v>
      </c>
      <c r="C128" s="7">
        <v>42706</v>
      </c>
      <c r="E128" s="38">
        <v>5</v>
      </c>
      <c r="F128" s="53"/>
      <c r="G128" s="3">
        <v>3.3</v>
      </c>
      <c r="H128" s="3">
        <v>-1.2</v>
      </c>
      <c r="I128" s="3">
        <v>5.9</v>
      </c>
      <c r="J128" s="3">
        <f t="shared" si="13"/>
        <v>1070.0999999999999</v>
      </c>
      <c r="K128" s="3">
        <f t="shared" ref="K128:K189" si="19">K127+G128</f>
        <v>7.3999999999999995</v>
      </c>
      <c r="L128" s="13" t="s">
        <v>41</v>
      </c>
      <c r="M128" s="3">
        <v>0.1</v>
      </c>
      <c r="N128" s="3">
        <v>0.1</v>
      </c>
      <c r="O128" s="3">
        <f t="shared" si="10"/>
        <v>0</v>
      </c>
      <c r="P128" s="3">
        <f t="shared" si="15"/>
        <v>51.29999999999999</v>
      </c>
      <c r="Q128" s="3">
        <v>93</v>
      </c>
      <c r="R128" s="27">
        <v>1</v>
      </c>
      <c r="S128" s="3">
        <f t="shared" si="11"/>
        <v>0.1</v>
      </c>
      <c r="T128" s="3">
        <f t="shared" si="12"/>
        <v>0</v>
      </c>
      <c r="U128" s="28">
        <f t="shared" si="16"/>
        <v>76.922727272727244</v>
      </c>
      <c r="V128" s="32" t="s">
        <v>55</v>
      </c>
      <c r="W128" s="3">
        <v>135.19999999999999</v>
      </c>
      <c r="Y128" s="3">
        <f t="shared" si="14"/>
        <v>62473.299999999981</v>
      </c>
      <c r="Z128" s="3">
        <f t="shared" si="18"/>
        <v>2916.7999999999997</v>
      </c>
      <c r="AA128" s="38">
        <v>8.3129402565550219</v>
      </c>
      <c r="AB128" s="32" t="s">
        <v>60</v>
      </c>
    </row>
    <row r="129" spans="1:28" s="3" customFormat="1" x14ac:dyDescent="0.25">
      <c r="A129" s="3">
        <v>5400</v>
      </c>
      <c r="B129" s="3">
        <v>24010</v>
      </c>
      <c r="C129" s="7">
        <v>42707</v>
      </c>
      <c r="E129" s="38">
        <v>6</v>
      </c>
      <c r="F129" s="53"/>
      <c r="G129" s="3">
        <v>4.9000000000000004</v>
      </c>
      <c r="H129" s="3">
        <v>3.3</v>
      </c>
      <c r="I129" s="3">
        <v>7.5</v>
      </c>
      <c r="J129" s="3">
        <f t="shared" si="13"/>
        <v>1075</v>
      </c>
      <c r="K129" s="3">
        <f t="shared" si="19"/>
        <v>12.3</v>
      </c>
      <c r="L129" s="12">
        <f>MIN(H124:H184)</f>
        <v>-7.9</v>
      </c>
      <c r="M129" s="3">
        <v>0</v>
      </c>
      <c r="N129" s="3">
        <v>0.8</v>
      </c>
      <c r="O129" s="3">
        <f t="shared" si="10"/>
        <v>-0.8</v>
      </c>
      <c r="P129" s="3">
        <f t="shared" si="15"/>
        <v>50.499999999999993</v>
      </c>
      <c r="Q129" s="3">
        <v>94</v>
      </c>
      <c r="R129" s="27">
        <v>1</v>
      </c>
      <c r="S129" s="3">
        <f t="shared" si="11"/>
        <v>0.8</v>
      </c>
      <c r="T129" s="3">
        <f t="shared" si="12"/>
        <v>-0.8</v>
      </c>
      <c r="U129" s="28">
        <f t="shared" si="16"/>
        <v>76.122727272727246</v>
      </c>
      <c r="V129" s="28">
        <f>MIN(U124:U184)</f>
        <v>73.022727272727224</v>
      </c>
      <c r="W129" s="3">
        <v>592.70000000000005</v>
      </c>
      <c r="Y129" s="3">
        <f t="shared" si="14"/>
        <v>63065.999999999978</v>
      </c>
      <c r="Z129" s="3">
        <f t="shared" si="18"/>
        <v>3509.5</v>
      </c>
      <c r="AA129" s="38">
        <v>8.2880204982572767</v>
      </c>
      <c r="AB129">
        <v>61</v>
      </c>
    </row>
    <row r="130" spans="1:28" s="3" customFormat="1" x14ac:dyDescent="0.25">
      <c r="A130" s="3">
        <v>5400</v>
      </c>
      <c r="B130" s="3">
        <v>24010</v>
      </c>
      <c r="C130" s="7">
        <v>42708</v>
      </c>
      <c r="E130" s="38">
        <v>7</v>
      </c>
      <c r="F130" s="53"/>
      <c r="G130" s="3">
        <v>1.2</v>
      </c>
      <c r="H130" s="3">
        <v>-1</v>
      </c>
      <c r="I130" s="3">
        <v>2.8</v>
      </c>
      <c r="J130" s="3">
        <f t="shared" si="13"/>
        <v>1076.2</v>
      </c>
      <c r="K130" s="3">
        <f t="shared" si="19"/>
        <v>13.5</v>
      </c>
      <c r="L130" s="13" t="s">
        <v>42</v>
      </c>
      <c r="M130" s="3">
        <v>0</v>
      </c>
      <c r="N130" s="3">
        <v>0.4</v>
      </c>
      <c r="O130" s="3">
        <f t="shared" si="10"/>
        <v>-0.4</v>
      </c>
      <c r="P130" s="3">
        <f t="shared" si="15"/>
        <v>50.099999999999994</v>
      </c>
      <c r="Q130" s="3">
        <v>95</v>
      </c>
      <c r="R130" s="27">
        <v>1</v>
      </c>
      <c r="S130" s="3">
        <f t="shared" si="11"/>
        <v>0.4</v>
      </c>
      <c r="T130" s="3">
        <f t="shared" si="12"/>
        <v>-0.4</v>
      </c>
      <c r="U130" s="28">
        <f t="shared" si="16"/>
        <v>75.722727272727241</v>
      </c>
      <c r="V130" s="32" t="s">
        <v>56</v>
      </c>
      <c r="W130" s="3">
        <v>540.6</v>
      </c>
      <c r="Y130" s="3">
        <f t="shared" si="14"/>
        <v>63606.599999999977</v>
      </c>
      <c r="Z130" s="3">
        <f t="shared" si="18"/>
        <v>4050.1</v>
      </c>
      <c r="AA130" s="38">
        <v>8.2643436991144696</v>
      </c>
      <c r="AB130" s="3" t="s">
        <v>62</v>
      </c>
    </row>
    <row r="131" spans="1:28" s="3" customFormat="1" x14ac:dyDescent="0.25">
      <c r="A131" s="3">
        <v>5400</v>
      </c>
      <c r="B131" s="3">
        <v>24010</v>
      </c>
      <c r="C131" s="7">
        <v>42709</v>
      </c>
      <c r="E131" s="38">
        <v>8</v>
      </c>
      <c r="F131" s="53"/>
      <c r="G131" s="3">
        <v>3.6</v>
      </c>
      <c r="H131" s="3">
        <v>1.2</v>
      </c>
      <c r="I131" s="3">
        <v>7.9</v>
      </c>
      <c r="J131" s="3">
        <f t="shared" si="13"/>
        <v>1079.8</v>
      </c>
      <c r="K131" s="3">
        <f t="shared" si="19"/>
        <v>17.100000000000001</v>
      </c>
      <c r="L131" s="11">
        <f>MAX(I124:I184)</f>
        <v>10.1</v>
      </c>
      <c r="M131" s="3">
        <v>0</v>
      </c>
      <c r="N131" s="3">
        <v>0.7</v>
      </c>
      <c r="O131" s="3">
        <f t="shared" si="10"/>
        <v>-0.7</v>
      </c>
      <c r="P131" s="3">
        <f t="shared" si="15"/>
        <v>49.399999999999991</v>
      </c>
      <c r="Q131" s="3">
        <v>96</v>
      </c>
      <c r="R131" s="27">
        <v>1</v>
      </c>
      <c r="S131" s="3">
        <f t="shared" si="11"/>
        <v>0.7</v>
      </c>
      <c r="T131" s="3">
        <f t="shared" si="12"/>
        <v>-0.7</v>
      </c>
      <c r="U131" s="28">
        <f t="shared" si="16"/>
        <v>75.022727272727238</v>
      </c>
      <c r="V131" s="28">
        <f>MAX(U124:U184)</f>
        <v>107.0227272727272</v>
      </c>
      <c r="W131" s="3">
        <v>537</v>
      </c>
      <c r="Y131" s="3">
        <f t="shared" si="14"/>
        <v>64143.599999999977</v>
      </c>
      <c r="Z131" s="3">
        <f t="shared" si="18"/>
        <v>4587.1000000000004</v>
      </c>
      <c r="AA131" s="38">
        <v>8.2419293115158112</v>
      </c>
      <c r="AB131" s="3">
        <v>50</v>
      </c>
    </row>
    <row r="132" spans="1:28" s="3" customFormat="1" x14ac:dyDescent="0.25">
      <c r="A132" s="3">
        <v>5400</v>
      </c>
      <c r="B132" s="3">
        <v>24010</v>
      </c>
      <c r="C132" s="7">
        <v>42710</v>
      </c>
      <c r="E132" s="38">
        <v>9</v>
      </c>
      <c r="F132" s="53"/>
      <c r="G132" s="3">
        <v>4</v>
      </c>
      <c r="H132" s="3">
        <v>-0.1</v>
      </c>
      <c r="I132" s="3">
        <v>10</v>
      </c>
      <c r="J132" s="3">
        <f t="shared" si="13"/>
        <v>1083.8</v>
      </c>
      <c r="K132" s="3">
        <f t="shared" si="19"/>
        <v>21.1</v>
      </c>
      <c r="L132" s="13" t="s">
        <v>43</v>
      </c>
      <c r="M132" s="3">
        <v>0.1</v>
      </c>
      <c r="N132" s="3">
        <v>0.5</v>
      </c>
      <c r="O132" s="3">
        <f t="shared" si="10"/>
        <v>-0.4</v>
      </c>
      <c r="P132" s="3">
        <f t="shared" si="15"/>
        <v>48.999999999999993</v>
      </c>
      <c r="Q132" s="3">
        <v>97</v>
      </c>
      <c r="R132" s="27">
        <v>1</v>
      </c>
      <c r="S132" s="3">
        <f t="shared" si="11"/>
        <v>0.5</v>
      </c>
      <c r="T132" s="3">
        <f t="shared" si="12"/>
        <v>-0.4</v>
      </c>
      <c r="U132" s="28">
        <f t="shared" si="16"/>
        <v>74.622727272727232</v>
      </c>
      <c r="V132" s="32" t="s">
        <v>57</v>
      </c>
      <c r="W132" s="3">
        <v>191.2</v>
      </c>
      <c r="Y132" s="3">
        <f t="shared" si="14"/>
        <v>64334.799999999974</v>
      </c>
      <c r="Z132" s="3">
        <f t="shared" si="18"/>
        <v>4778.3</v>
      </c>
      <c r="AA132" s="38">
        <v>8.220796005434563</v>
      </c>
    </row>
    <row r="133" spans="1:28" s="3" customFormat="1" x14ac:dyDescent="0.25">
      <c r="A133" s="3">
        <v>5400</v>
      </c>
      <c r="B133" s="3">
        <v>24010</v>
      </c>
      <c r="C133" s="7">
        <v>42711</v>
      </c>
      <c r="E133" s="38">
        <v>10</v>
      </c>
      <c r="F133" s="53"/>
      <c r="G133" s="3">
        <v>4.2</v>
      </c>
      <c r="H133" s="3">
        <v>1</v>
      </c>
      <c r="I133" s="3">
        <v>9.6999999999999993</v>
      </c>
      <c r="J133" s="3">
        <f t="shared" si="13"/>
        <v>1088</v>
      </c>
      <c r="K133" s="3">
        <f t="shared" si="19"/>
        <v>25.3</v>
      </c>
      <c r="L133" s="11">
        <v>0</v>
      </c>
      <c r="M133" s="3">
        <v>0.1</v>
      </c>
      <c r="N133" s="3">
        <v>0.8</v>
      </c>
      <c r="O133" s="3">
        <f t="shared" si="10"/>
        <v>-0.70000000000000007</v>
      </c>
      <c r="P133" s="3">
        <f t="shared" si="15"/>
        <v>48.29999999999999</v>
      </c>
      <c r="Q133" s="3">
        <v>98</v>
      </c>
      <c r="R133" s="27">
        <v>1</v>
      </c>
      <c r="S133" s="3">
        <f t="shared" si="11"/>
        <v>0.8</v>
      </c>
      <c r="T133" s="3">
        <f t="shared" si="12"/>
        <v>-0.70000000000000007</v>
      </c>
      <c r="U133" s="28">
        <f t="shared" si="16"/>
        <v>73.922727272727229</v>
      </c>
      <c r="V133" s="28">
        <f>AVERAGE(U124:U184)</f>
        <v>87.403055141579713</v>
      </c>
      <c r="W133" s="3">
        <v>431.8</v>
      </c>
      <c r="Y133" s="3">
        <f t="shared" si="14"/>
        <v>64766.599999999977</v>
      </c>
      <c r="Z133" s="3">
        <f t="shared" si="18"/>
        <v>5210.1000000000004</v>
      </c>
      <c r="AA133" s="38">
        <v>8.2009616137689036</v>
      </c>
    </row>
    <row r="134" spans="1:28" s="3" customFormat="1" x14ac:dyDescent="0.25">
      <c r="A134" s="3">
        <v>5400</v>
      </c>
      <c r="B134" s="3">
        <v>24010</v>
      </c>
      <c r="C134" s="7">
        <v>42712</v>
      </c>
      <c r="E134" s="38">
        <v>11</v>
      </c>
      <c r="F134" s="53"/>
      <c r="G134" s="3">
        <v>4.2</v>
      </c>
      <c r="H134" s="3">
        <v>0.4</v>
      </c>
      <c r="I134" s="3">
        <v>8.1</v>
      </c>
      <c r="J134" s="3">
        <f t="shared" si="13"/>
        <v>1092.2</v>
      </c>
      <c r="K134" s="3">
        <f t="shared" si="19"/>
        <v>29.5</v>
      </c>
      <c r="L134" s="13" t="s">
        <v>44</v>
      </c>
      <c r="M134" s="3">
        <v>0.2</v>
      </c>
      <c r="N134" s="3">
        <v>0.6</v>
      </c>
      <c r="O134" s="3">
        <f t="shared" si="10"/>
        <v>-0.39999999999999997</v>
      </c>
      <c r="P134" s="3">
        <f t="shared" si="15"/>
        <v>47.899999999999991</v>
      </c>
      <c r="Q134" s="3">
        <v>99</v>
      </c>
      <c r="R134" s="27">
        <v>1</v>
      </c>
      <c r="S134" s="3">
        <f t="shared" si="11"/>
        <v>0.6</v>
      </c>
      <c r="T134" s="3">
        <f t="shared" si="12"/>
        <v>-0.39999999999999997</v>
      </c>
      <c r="U134" s="28">
        <f t="shared" si="16"/>
        <v>73.522727272727224</v>
      </c>
      <c r="W134" s="3">
        <v>449.8</v>
      </c>
      <c r="Y134" s="3">
        <f t="shared" si="14"/>
        <v>65216.39999999998</v>
      </c>
      <c r="Z134" s="3">
        <f t="shared" si="18"/>
        <v>5659.9000000000005</v>
      </c>
      <c r="AA134" s="38">
        <v>8.182443079007399</v>
      </c>
    </row>
    <row r="135" spans="1:28" s="3" customFormat="1" x14ac:dyDescent="0.25">
      <c r="A135" s="3">
        <v>5400</v>
      </c>
      <c r="B135" s="3">
        <v>24010</v>
      </c>
      <c r="C135" s="7">
        <v>42713</v>
      </c>
      <c r="E135" s="38">
        <v>12</v>
      </c>
      <c r="F135" s="53"/>
      <c r="G135" s="3">
        <v>4.5999999999999996</v>
      </c>
      <c r="H135" s="3">
        <v>1.8</v>
      </c>
      <c r="I135" s="3">
        <v>8.5</v>
      </c>
      <c r="J135" s="3">
        <f t="shared" si="13"/>
        <v>1096.8</v>
      </c>
      <c r="K135" s="3">
        <f t="shared" si="19"/>
        <v>34.1</v>
      </c>
      <c r="L135" s="11">
        <v>22</v>
      </c>
      <c r="M135" s="3">
        <v>0.2</v>
      </c>
      <c r="N135" s="3">
        <v>0.6</v>
      </c>
      <c r="O135" s="3">
        <f t="shared" si="10"/>
        <v>-0.39999999999999997</v>
      </c>
      <c r="P135" s="3">
        <f t="shared" si="15"/>
        <v>47.499999999999993</v>
      </c>
      <c r="Q135" s="3">
        <v>100</v>
      </c>
      <c r="R135" s="27">
        <v>1</v>
      </c>
      <c r="S135" s="3">
        <f t="shared" si="11"/>
        <v>0.6</v>
      </c>
      <c r="T135" s="3">
        <f t="shared" si="12"/>
        <v>-0.39999999999999997</v>
      </c>
      <c r="U135" s="28">
        <f t="shared" si="16"/>
        <v>73.122727272727218</v>
      </c>
      <c r="V135" s="3">
        <f>(V133*100)/153.9</f>
        <v>56.792108604015411</v>
      </c>
      <c r="W135" s="3">
        <v>420.5</v>
      </c>
      <c r="Y135" s="3">
        <f t="shared" si="14"/>
        <v>65636.89999999998</v>
      </c>
      <c r="Z135" s="3">
        <f t="shared" si="18"/>
        <v>6080.4000000000005</v>
      </c>
      <c r="AA135" s="38">
        <v>8.1652564015364657</v>
      </c>
    </row>
    <row r="136" spans="1:28" s="3" customFormat="1" x14ac:dyDescent="0.25">
      <c r="A136" s="3">
        <v>5400</v>
      </c>
      <c r="B136" s="3">
        <v>24010</v>
      </c>
      <c r="C136" s="7">
        <v>42714</v>
      </c>
      <c r="E136" s="38">
        <v>13</v>
      </c>
      <c r="F136" s="53"/>
      <c r="G136" s="3">
        <v>3.8</v>
      </c>
      <c r="H136" s="3">
        <v>0.9</v>
      </c>
      <c r="I136" s="3">
        <v>5.2</v>
      </c>
      <c r="J136" s="3">
        <f t="shared" si="13"/>
        <v>1100.5999999999999</v>
      </c>
      <c r="K136" s="3">
        <f t="shared" si="19"/>
        <v>37.9</v>
      </c>
      <c r="L136" s="13" t="s">
        <v>45</v>
      </c>
      <c r="M136" s="3">
        <v>0.2</v>
      </c>
      <c r="N136" s="3">
        <v>0.3</v>
      </c>
      <c r="O136" s="3">
        <f t="shared" si="10"/>
        <v>-9.9999999999999978E-2</v>
      </c>
      <c r="P136" s="3">
        <f t="shared" si="15"/>
        <v>47.399999999999991</v>
      </c>
      <c r="Q136" s="3">
        <v>101</v>
      </c>
      <c r="R136" s="27">
        <v>1</v>
      </c>
      <c r="S136" s="3">
        <f t="shared" si="11"/>
        <v>0.3</v>
      </c>
      <c r="T136" s="3">
        <f t="shared" si="12"/>
        <v>-9.9999999999999978E-2</v>
      </c>
      <c r="U136" s="28">
        <f t="shared" si="16"/>
        <v>73.022727272727224</v>
      </c>
      <c r="W136" s="3">
        <v>189.8</v>
      </c>
      <c r="Y136" s="3">
        <f t="shared" si="14"/>
        <v>65826.699999999983</v>
      </c>
      <c r="Z136" s="3">
        <f t="shared" si="18"/>
        <v>6270.2000000000007</v>
      </c>
      <c r="AA136" s="38">
        <v>8.1494165899072062</v>
      </c>
    </row>
    <row r="137" spans="1:28" s="3" customFormat="1" x14ac:dyDescent="0.25">
      <c r="A137" s="3">
        <v>5400</v>
      </c>
      <c r="B137" s="3">
        <v>24010</v>
      </c>
      <c r="C137" s="7">
        <v>42715</v>
      </c>
      <c r="F137" s="53"/>
      <c r="G137" s="3">
        <v>5.4</v>
      </c>
      <c r="H137" s="3">
        <v>3.7</v>
      </c>
      <c r="I137" s="3">
        <v>7.2</v>
      </c>
      <c r="J137" s="3">
        <f t="shared" si="13"/>
        <v>1106</v>
      </c>
      <c r="K137" s="3">
        <f t="shared" si="19"/>
        <v>43.3</v>
      </c>
      <c r="L137" s="11">
        <v>33</v>
      </c>
      <c r="M137" s="3">
        <v>0.2</v>
      </c>
      <c r="N137" s="3">
        <v>0.2</v>
      </c>
      <c r="O137" s="3">
        <f t="shared" si="10"/>
        <v>0</v>
      </c>
      <c r="P137" s="3">
        <f t="shared" si="15"/>
        <v>47.399999999999991</v>
      </c>
      <c r="Q137" s="3">
        <v>102</v>
      </c>
      <c r="R137" s="27">
        <v>1</v>
      </c>
      <c r="S137" s="3">
        <f t="shared" si="11"/>
        <v>0.2</v>
      </c>
      <c r="T137" s="3">
        <f t="shared" si="12"/>
        <v>0</v>
      </c>
      <c r="U137" s="28">
        <f t="shared" si="16"/>
        <v>73.022727272727224</v>
      </c>
      <c r="W137" s="3">
        <v>198.4</v>
      </c>
      <c r="Y137" s="3">
        <f t="shared" si="14"/>
        <v>66025.099999999977</v>
      </c>
      <c r="Z137" s="3">
        <f t="shared" si="18"/>
        <v>6468.6</v>
      </c>
      <c r="AA137" s="38">
        <v>8.1349376133758931</v>
      </c>
    </row>
    <row r="138" spans="1:28" s="3" customFormat="1" x14ac:dyDescent="0.25">
      <c r="A138" s="3">
        <v>5400</v>
      </c>
      <c r="B138" s="3">
        <v>24010</v>
      </c>
      <c r="C138" s="7">
        <v>42716</v>
      </c>
      <c r="E138" s="38">
        <v>14</v>
      </c>
      <c r="F138" s="53"/>
      <c r="G138" s="3">
        <v>4.5</v>
      </c>
      <c r="H138" s="3">
        <v>3.4</v>
      </c>
      <c r="I138" s="3">
        <v>6</v>
      </c>
      <c r="J138" s="3">
        <f t="shared" si="13"/>
        <v>1110.5</v>
      </c>
      <c r="K138" s="3">
        <f t="shared" si="19"/>
        <v>47.8</v>
      </c>
      <c r="L138" s="23"/>
      <c r="M138" s="3">
        <v>2</v>
      </c>
      <c r="N138" s="3">
        <v>0.2</v>
      </c>
      <c r="O138" s="3">
        <f t="shared" si="10"/>
        <v>1.8</v>
      </c>
      <c r="P138" s="3">
        <f t="shared" si="15"/>
        <v>49.199999999999989</v>
      </c>
      <c r="Q138" s="3">
        <v>103</v>
      </c>
      <c r="R138" s="27">
        <v>1</v>
      </c>
      <c r="S138" s="3">
        <f t="shared" si="11"/>
        <v>0.2</v>
      </c>
      <c r="T138" s="3">
        <f t="shared" si="12"/>
        <v>1.8</v>
      </c>
      <c r="U138" s="28">
        <f t="shared" si="16"/>
        <v>74.822727272727221</v>
      </c>
      <c r="W138" s="3">
        <v>48.6</v>
      </c>
      <c r="Y138" s="3">
        <f t="shared" si="14"/>
        <v>66073.699999999983</v>
      </c>
      <c r="Z138" s="3">
        <f t="shared" si="18"/>
        <v>6517.2000000000007</v>
      </c>
      <c r="AA138" s="38">
        <v>8.12183235702582</v>
      </c>
    </row>
    <row r="139" spans="1:28" s="3" customFormat="1" x14ac:dyDescent="0.25">
      <c r="A139" s="3">
        <v>5400</v>
      </c>
      <c r="B139" s="3">
        <v>24010</v>
      </c>
      <c r="C139" s="7">
        <v>42717</v>
      </c>
      <c r="F139" s="53"/>
      <c r="G139" s="3">
        <v>6.6</v>
      </c>
      <c r="H139" s="3">
        <v>5.0999999999999996</v>
      </c>
      <c r="I139" s="3">
        <v>8.9</v>
      </c>
      <c r="J139" s="3">
        <f t="shared" si="13"/>
        <v>1117.0999999999999</v>
      </c>
      <c r="K139" s="3">
        <f t="shared" si="19"/>
        <v>54.4</v>
      </c>
      <c r="L139" s="23"/>
      <c r="M139" s="3">
        <v>0</v>
      </c>
      <c r="N139" s="3">
        <v>0.2</v>
      </c>
      <c r="O139" s="3">
        <f t="shared" si="10"/>
        <v>-0.2</v>
      </c>
      <c r="P139" s="3">
        <f t="shared" si="15"/>
        <v>48.999999999999986</v>
      </c>
      <c r="Q139" s="3">
        <v>104</v>
      </c>
      <c r="R139" s="27">
        <v>1</v>
      </c>
      <c r="S139" s="3">
        <f t="shared" si="11"/>
        <v>0.2</v>
      </c>
      <c r="T139" s="3">
        <f t="shared" si="12"/>
        <v>-0.2</v>
      </c>
      <c r="U139" s="28">
        <f t="shared" si="16"/>
        <v>74.622727272727218</v>
      </c>
      <c r="W139" s="3">
        <v>142.19999999999999</v>
      </c>
      <c r="Y139" s="3">
        <f t="shared" si="14"/>
        <v>66215.89999999998</v>
      </c>
      <c r="Z139" s="3">
        <f t="shared" si="18"/>
        <v>6659.4000000000005</v>
      </c>
      <c r="AA139" s="38">
        <v>8.1101125797686802</v>
      </c>
    </row>
    <row r="140" spans="1:28" s="3" customFormat="1" x14ac:dyDescent="0.25">
      <c r="A140" s="3">
        <v>5400</v>
      </c>
      <c r="B140" s="3">
        <v>24010</v>
      </c>
      <c r="C140" s="7">
        <v>42718</v>
      </c>
      <c r="E140" s="38">
        <v>15</v>
      </c>
      <c r="F140" s="53"/>
      <c r="G140" s="3">
        <v>3.7</v>
      </c>
      <c r="H140" s="3">
        <v>1.7</v>
      </c>
      <c r="I140" s="3">
        <v>7.5</v>
      </c>
      <c r="J140" s="3">
        <f t="shared" si="13"/>
        <v>1120.8</v>
      </c>
      <c r="K140" s="3">
        <f t="shared" si="19"/>
        <v>58.1</v>
      </c>
      <c r="L140" s="23"/>
      <c r="M140" s="3">
        <v>0</v>
      </c>
      <c r="N140" s="3">
        <v>0.6</v>
      </c>
      <c r="O140" s="3">
        <f t="shared" si="10"/>
        <v>-0.6</v>
      </c>
      <c r="P140" s="3">
        <f t="shared" si="15"/>
        <v>48.399999999999984</v>
      </c>
      <c r="Q140" s="3">
        <v>105</v>
      </c>
      <c r="R140" s="27">
        <v>1</v>
      </c>
      <c r="S140" s="3">
        <f t="shared" si="11"/>
        <v>0.6</v>
      </c>
      <c r="T140" s="3">
        <f t="shared" si="12"/>
        <v>-0.6</v>
      </c>
      <c r="U140" s="28">
        <f t="shared" si="16"/>
        <v>74.022727272727224</v>
      </c>
      <c r="W140" s="3">
        <v>507.5</v>
      </c>
      <c r="Y140" s="3">
        <f t="shared" si="14"/>
        <v>66723.39999999998</v>
      </c>
      <c r="Z140" s="3">
        <f t="shared" si="18"/>
        <v>7166.9000000000005</v>
      </c>
      <c r="AA140" s="38">
        <v>8.0997888755104928</v>
      </c>
    </row>
    <row r="141" spans="1:28" s="3" customFormat="1" x14ac:dyDescent="0.25">
      <c r="A141" s="3">
        <v>5400</v>
      </c>
      <c r="B141" s="3">
        <v>24010</v>
      </c>
      <c r="C141" s="7">
        <v>42719</v>
      </c>
      <c r="E141" s="38">
        <v>16</v>
      </c>
      <c r="F141" s="53"/>
      <c r="G141" s="3">
        <v>3.6</v>
      </c>
      <c r="H141" s="3">
        <v>-0.4</v>
      </c>
      <c r="I141" s="3">
        <v>5.9</v>
      </c>
      <c r="J141" s="3">
        <f t="shared" si="13"/>
        <v>1124.3999999999999</v>
      </c>
      <c r="K141" s="3">
        <f t="shared" si="19"/>
        <v>61.7</v>
      </c>
      <c r="L141" s="23"/>
      <c r="M141" s="3">
        <v>0</v>
      </c>
      <c r="N141" s="3">
        <v>0.1</v>
      </c>
      <c r="O141" s="3">
        <f t="shared" si="10"/>
        <v>-0.1</v>
      </c>
      <c r="P141" s="3">
        <f t="shared" si="15"/>
        <v>48.299999999999983</v>
      </c>
      <c r="Q141" s="3">
        <v>106</v>
      </c>
      <c r="R141" s="27">
        <v>1</v>
      </c>
      <c r="S141" s="3">
        <f t="shared" si="11"/>
        <v>0.1</v>
      </c>
      <c r="T141" s="3">
        <f t="shared" si="12"/>
        <v>-0.1</v>
      </c>
      <c r="U141" s="28">
        <f t="shared" si="16"/>
        <v>73.922727272727229</v>
      </c>
      <c r="W141" s="3">
        <v>133.4</v>
      </c>
      <c r="Y141" s="3">
        <f t="shared" si="14"/>
        <v>66856.799999999974</v>
      </c>
      <c r="Z141" s="3">
        <f t="shared" si="18"/>
        <v>7300.3</v>
      </c>
      <c r="AA141" s="38">
        <v>8.0908706377508093</v>
      </c>
    </row>
    <row r="142" spans="1:28" s="3" customFormat="1" x14ac:dyDescent="0.25">
      <c r="A142" s="3">
        <v>5400</v>
      </c>
      <c r="B142" s="3">
        <v>24010</v>
      </c>
      <c r="C142" s="7">
        <v>42720</v>
      </c>
      <c r="F142" s="53"/>
      <c r="G142" s="3">
        <v>5.0999999999999996</v>
      </c>
      <c r="H142" s="3">
        <v>2.9</v>
      </c>
      <c r="I142" s="3">
        <v>7.8</v>
      </c>
      <c r="J142" s="3">
        <f t="shared" si="13"/>
        <v>1129.4999999999998</v>
      </c>
      <c r="K142" s="3">
        <f t="shared" si="19"/>
        <v>66.8</v>
      </c>
      <c r="L142" s="23"/>
      <c r="M142" s="3">
        <v>0.1</v>
      </c>
      <c r="N142" s="3">
        <v>0.3</v>
      </c>
      <c r="O142" s="3">
        <f t="shared" si="10"/>
        <v>-0.19999999999999998</v>
      </c>
      <c r="P142" s="3">
        <f t="shared" si="15"/>
        <v>48.09999999999998</v>
      </c>
      <c r="Q142" s="3">
        <v>107</v>
      </c>
      <c r="R142" s="27">
        <v>1</v>
      </c>
      <c r="S142" s="3">
        <f t="shared" si="11"/>
        <v>0.3</v>
      </c>
      <c r="T142" s="3">
        <f t="shared" si="12"/>
        <v>-0.19999999999999998</v>
      </c>
      <c r="U142" s="28">
        <f t="shared" si="16"/>
        <v>73.722727272727226</v>
      </c>
      <c r="W142" s="3">
        <v>334.1</v>
      </c>
      <c r="Y142" s="3">
        <f t="shared" si="14"/>
        <v>67190.89999999998</v>
      </c>
      <c r="Z142" s="3">
        <f t="shared" si="18"/>
        <v>7634.4000000000005</v>
      </c>
      <c r="AA142" s="38">
        <v>8.0833660278644306</v>
      </c>
    </row>
    <row r="143" spans="1:28" s="3" customFormat="1" x14ac:dyDescent="0.25">
      <c r="A143" s="3">
        <v>5400</v>
      </c>
      <c r="B143" s="3">
        <v>24010</v>
      </c>
      <c r="C143" s="7">
        <v>42721</v>
      </c>
      <c r="E143" s="38">
        <v>17</v>
      </c>
      <c r="F143" s="53"/>
      <c r="G143" s="3">
        <v>3.3</v>
      </c>
      <c r="H143" s="3">
        <v>-0.3</v>
      </c>
      <c r="I143" s="3">
        <v>7.3</v>
      </c>
      <c r="J143" s="3">
        <f t="shared" si="13"/>
        <v>1132.7999999999997</v>
      </c>
      <c r="K143" s="3">
        <f t="shared" si="19"/>
        <v>70.099999999999994</v>
      </c>
      <c r="L143" s="23"/>
      <c r="M143" s="3">
        <v>0.3</v>
      </c>
      <c r="N143" s="3">
        <v>0.6</v>
      </c>
      <c r="O143" s="3">
        <f t="shared" si="10"/>
        <v>-0.3</v>
      </c>
      <c r="P143" s="3">
        <f t="shared" si="15"/>
        <v>47.799999999999983</v>
      </c>
      <c r="Q143" s="3">
        <v>108</v>
      </c>
      <c r="R143" s="27">
        <v>1</v>
      </c>
      <c r="S143" s="3">
        <f t="shared" si="11"/>
        <v>0.6</v>
      </c>
      <c r="T143" s="3">
        <f t="shared" si="12"/>
        <v>-0.3</v>
      </c>
      <c r="U143" s="28">
        <f t="shared" si="16"/>
        <v>73.422727272727229</v>
      </c>
      <c r="W143" s="3">
        <v>499.1</v>
      </c>
      <c r="Y143" s="3">
        <f t="shared" si="14"/>
        <v>67689.999999999985</v>
      </c>
      <c r="Z143" s="3">
        <f t="shared" si="18"/>
        <v>8133.5000000000009</v>
      </c>
      <c r="AA143" s="38">
        <v>8.0772819472923967</v>
      </c>
    </row>
    <row r="144" spans="1:28" s="3" customFormat="1" x14ac:dyDescent="0.25">
      <c r="A144" s="3">
        <v>5400</v>
      </c>
      <c r="B144" s="3">
        <v>24010</v>
      </c>
      <c r="C144" s="7">
        <v>42722</v>
      </c>
      <c r="E144" s="38">
        <v>18</v>
      </c>
      <c r="F144" s="53"/>
      <c r="G144" s="3">
        <v>2.7</v>
      </c>
      <c r="H144" s="3">
        <v>2.2999999999999998</v>
      </c>
      <c r="I144" s="3">
        <v>3.1</v>
      </c>
      <c r="J144" s="3">
        <f t="shared" si="13"/>
        <v>1135.4999999999998</v>
      </c>
      <c r="K144" s="3">
        <f t="shared" si="19"/>
        <v>72.8</v>
      </c>
      <c r="L144" s="23"/>
      <c r="M144" s="3">
        <v>0.2</v>
      </c>
      <c r="N144" s="3">
        <v>0.1</v>
      </c>
      <c r="O144" s="3">
        <f t="shared" si="10"/>
        <v>0.1</v>
      </c>
      <c r="P144" s="3">
        <f t="shared" si="15"/>
        <v>47.899999999999984</v>
      </c>
      <c r="Q144" s="3">
        <v>109</v>
      </c>
      <c r="R144" s="27">
        <v>1</v>
      </c>
      <c r="S144" s="3">
        <f t="shared" si="11"/>
        <v>0.1</v>
      </c>
      <c r="T144" s="3">
        <f t="shared" si="12"/>
        <v>0.1</v>
      </c>
      <c r="U144" s="28">
        <f t="shared" si="16"/>
        <v>73.522727272727224</v>
      </c>
      <c r="W144" s="3">
        <v>173.5</v>
      </c>
      <c r="Y144" s="3">
        <f t="shared" si="14"/>
        <v>67863.499999999985</v>
      </c>
      <c r="Z144" s="3">
        <f t="shared" si="18"/>
        <v>8307</v>
      </c>
      <c r="AA144" s="38">
        <v>8.0726240138436918</v>
      </c>
    </row>
    <row r="145" spans="1:27" s="3" customFormat="1" x14ac:dyDescent="0.25">
      <c r="A145" s="3">
        <v>5400</v>
      </c>
      <c r="B145" s="3">
        <v>24010</v>
      </c>
      <c r="C145" s="7">
        <v>42723</v>
      </c>
      <c r="E145" s="38">
        <v>19</v>
      </c>
      <c r="F145" s="53"/>
      <c r="G145" s="3">
        <v>3.3</v>
      </c>
      <c r="H145" s="3">
        <v>1.4</v>
      </c>
      <c r="I145" s="3">
        <v>4.3</v>
      </c>
      <c r="J145" s="3">
        <f t="shared" si="13"/>
        <v>1138.7999999999997</v>
      </c>
      <c r="K145" s="3">
        <f t="shared" si="19"/>
        <v>76.099999999999994</v>
      </c>
      <c r="L145" s="23"/>
      <c r="M145" s="3">
        <v>0</v>
      </c>
      <c r="N145" s="3">
        <v>0</v>
      </c>
      <c r="O145" s="3">
        <f t="shared" si="10"/>
        <v>0</v>
      </c>
      <c r="P145" s="3">
        <f t="shared" si="15"/>
        <v>47.899999999999984</v>
      </c>
      <c r="Q145" s="3">
        <v>110</v>
      </c>
      <c r="R145" s="27">
        <v>1</v>
      </c>
      <c r="S145" s="3">
        <f t="shared" si="11"/>
        <v>0</v>
      </c>
      <c r="T145" s="3">
        <f t="shared" si="12"/>
        <v>0</v>
      </c>
      <c r="U145" s="28">
        <f t="shared" si="16"/>
        <v>73.522727272727224</v>
      </c>
      <c r="W145" s="3">
        <v>114.8</v>
      </c>
      <c r="Y145" s="3">
        <f t="shared" si="14"/>
        <v>67978.299999999988</v>
      </c>
      <c r="Z145" s="3">
        <f t="shared" si="18"/>
        <v>8421.7999999999993</v>
      </c>
      <c r="AA145" s="38">
        <v>8.0693965422811367</v>
      </c>
    </row>
    <row r="146" spans="1:27" s="3" customFormat="1" x14ac:dyDescent="0.25">
      <c r="A146" s="3">
        <v>5400</v>
      </c>
      <c r="B146" s="3">
        <v>24010</v>
      </c>
      <c r="C146" s="7">
        <v>42724</v>
      </c>
      <c r="E146" s="38">
        <v>20</v>
      </c>
      <c r="F146" s="53"/>
      <c r="G146" s="3">
        <v>2.2999999999999998</v>
      </c>
      <c r="H146" s="3">
        <v>1.1000000000000001</v>
      </c>
      <c r="I146" s="3">
        <v>4</v>
      </c>
      <c r="J146" s="3">
        <f t="shared" si="13"/>
        <v>1141.0999999999997</v>
      </c>
      <c r="K146" s="3">
        <f t="shared" si="19"/>
        <v>78.399999999999991</v>
      </c>
      <c r="L146" s="23"/>
      <c r="M146" s="3">
        <v>0</v>
      </c>
      <c r="N146" s="3">
        <v>0.2</v>
      </c>
      <c r="O146" s="3">
        <f t="shared" si="10"/>
        <v>-0.2</v>
      </c>
      <c r="P146" s="3">
        <f t="shared" si="15"/>
        <v>47.699999999999982</v>
      </c>
      <c r="Q146" s="3">
        <v>111</v>
      </c>
      <c r="R146" s="27">
        <v>1</v>
      </c>
      <c r="S146" s="3">
        <f t="shared" si="11"/>
        <v>0.2</v>
      </c>
      <c r="T146" s="3">
        <f t="shared" si="12"/>
        <v>-0.2</v>
      </c>
      <c r="U146" s="28">
        <f t="shared" si="16"/>
        <v>73.322727272727221</v>
      </c>
      <c r="W146" s="3">
        <v>119.2</v>
      </c>
      <c r="Y146" s="3">
        <f t="shared" si="14"/>
        <v>68097.499999999985</v>
      </c>
      <c r="Z146" s="3">
        <f t="shared" si="18"/>
        <v>8541</v>
      </c>
      <c r="AA146" s="38">
        <v>8.0676025293351383</v>
      </c>
    </row>
    <row r="147" spans="1:27" s="3" customFormat="1" x14ac:dyDescent="0.25">
      <c r="A147" s="3">
        <v>5400</v>
      </c>
      <c r="B147" s="3">
        <v>24010</v>
      </c>
      <c r="C147" s="7">
        <v>42725</v>
      </c>
      <c r="E147" s="38">
        <v>21</v>
      </c>
      <c r="F147" s="53"/>
      <c r="G147" s="3">
        <v>3.2</v>
      </c>
      <c r="H147" s="3">
        <v>-0.1</v>
      </c>
      <c r="I147" s="3">
        <v>6.9</v>
      </c>
      <c r="J147" s="3">
        <f t="shared" si="13"/>
        <v>1144.2999999999997</v>
      </c>
      <c r="K147" s="3">
        <f t="shared" si="19"/>
        <v>81.599999999999994</v>
      </c>
      <c r="L147" s="23"/>
      <c r="M147" s="3">
        <v>13.9</v>
      </c>
      <c r="N147" s="3">
        <v>0.3</v>
      </c>
      <c r="O147" s="3">
        <f t="shared" si="10"/>
        <v>13.6</v>
      </c>
      <c r="P147" s="3">
        <f t="shared" si="15"/>
        <v>61.299999999999983</v>
      </c>
      <c r="Q147" s="3">
        <v>112</v>
      </c>
      <c r="R147" s="27">
        <v>1</v>
      </c>
      <c r="S147" s="3">
        <f t="shared" si="11"/>
        <v>0.3</v>
      </c>
      <c r="T147" s="3">
        <f t="shared" si="12"/>
        <v>13.6</v>
      </c>
      <c r="U147" s="28">
        <f t="shared" si="16"/>
        <v>86.922727272727215</v>
      </c>
      <c r="W147" s="3">
        <v>103.2</v>
      </c>
      <c r="Y147" s="3">
        <f t="shared" si="14"/>
        <v>68200.699999999983</v>
      </c>
      <c r="Z147" s="3">
        <f t="shared" si="18"/>
        <v>8644.2000000000007</v>
      </c>
      <c r="AA147" s="38">
        <v>8.0672436432567221</v>
      </c>
    </row>
    <row r="148" spans="1:27" s="3" customFormat="1" x14ac:dyDescent="0.25">
      <c r="A148" s="3">
        <v>5400</v>
      </c>
      <c r="B148" s="3">
        <v>24010</v>
      </c>
      <c r="C148" s="7">
        <v>42726</v>
      </c>
      <c r="F148" s="53"/>
      <c r="G148" s="3">
        <v>6.6</v>
      </c>
      <c r="H148" s="3">
        <v>5.6</v>
      </c>
      <c r="I148" s="3">
        <v>9</v>
      </c>
      <c r="J148" s="3">
        <f t="shared" si="13"/>
        <v>1150.8999999999996</v>
      </c>
      <c r="K148" s="3">
        <f t="shared" si="19"/>
        <v>88.199999999999989</v>
      </c>
      <c r="L148" s="23"/>
      <c r="M148" s="3">
        <v>1</v>
      </c>
      <c r="N148" s="3">
        <v>0.2</v>
      </c>
      <c r="O148" s="3">
        <f t="shared" si="10"/>
        <v>0.8</v>
      </c>
      <c r="P148" s="3">
        <f t="shared" si="15"/>
        <v>62.09999999999998</v>
      </c>
      <c r="Q148" s="3">
        <v>113</v>
      </c>
      <c r="R148" s="27">
        <v>1</v>
      </c>
      <c r="S148" s="3">
        <f t="shared" si="11"/>
        <v>0.2</v>
      </c>
      <c r="T148" s="3">
        <f t="shared" si="12"/>
        <v>0.8</v>
      </c>
      <c r="U148" s="28">
        <f t="shared" si="16"/>
        <v>87.722727272727212</v>
      </c>
      <c r="W148" s="3">
        <v>109.4</v>
      </c>
      <c r="Y148" s="3">
        <f t="shared" si="14"/>
        <v>68310.099999999977</v>
      </c>
      <c r="Z148" s="3">
        <f t="shared" si="18"/>
        <v>8753.6</v>
      </c>
      <c r="AA148" s="38">
        <v>8.0683202179881395</v>
      </c>
    </row>
    <row r="149" spans="1:27" s="3" customFormat="1" x14ac:dyDescent="0.25">
      <c r="A149" s="3">
        <v>5400</v>
      </c>
      <c r="B149" s="3">
        <v>24010</v>
      </c>
      <c r="C149" s="7">
        <v>42727</v>
      </c>
      <c r="E149" s="38">
        <v>22</v>
      </c>
      <c r="F149" s="53"/>
      <c r="G149" s="3">
        <v>3.8</v>
      </c>
      <c r="H149" s="3">
        <v>-0.3</v>
      </c>
      <c r="I149" s="3">
        <v>7</v>
      </c>
      <c r="J149" s="3">
        <f t="shared" si="13"/>
        <v>1154.6999999999996</v>
      </c>
      <c r="K149" s="3">
        <f t="shared" si="19"/>
        <v>91.999999999999986</v>
      </c>
      <c r="L149" s="23"/>
      <c r="M149" s="3">
        <v>0.9</v>
      </c>
      <c r="N149" s="3">
        <v>0.1</v>
      </c>
      <c r="O149" s="3">
        <f t="shared" si="10"/>
        <v>0.8</v>
      </c>
      <c r="P149" s="3">
        <f t="shared" si="15"/>
        <v>62.899999999999977</v>
      </c>
      <c r="Q149" s="3">
        <v>114</v>
      </c>
      <c r="R149" s="27">
        <v>1</v>
      </c>
      <c r="S149" s="3">
        <f t="shared" si="11"/>
        <v>0.1</v>
      </c>
      <c r="T149" s="3">
        <f t="shared" si="12"/>
        <v>0.8</v>
      </c>
      <c r="U149" s="28">
        <f t="shared" si="16"/>
        <v>88.522727272727209</v>
      </c>
      <c r="W149" s="3">
        <v>86.6</v>
      </c>
      <c r="Y149" s="3">
        <f t="shared" si="14"/>
        <v>68396.699999999983</v>
      </c>
      <c r="Z149" s="3">
        <f t="shared" si="18"/>
        <v>8840.2000000000007</v>
      </c>
      <c r="AA149" s="38">
        <v>8.0708312519947913</v>
      </c>
    </row>
    <row r="150" spans="1:27" s="3" customFormat="1" x14ac:dyDescent="0.25">
      <c r="A150" s="3">
        <v>5400</v>
      </c>
      <c r="B150" s="3">
        <v>24010</v>
      </c>
      <c r="C150" s="7">
        <v>42728</v>
      </c>
      <c r="F150" s="53"/>
      <c r="G150" s="3">
        <v>7.3</v>
      </c>
      <c r="H150" s="3">
        <v>5.7</v>
      </c>
      <c r="I150" s="3">
        <v>8.5</v>
      </c>
      <c r="J150" s="3">
        <f t="shared" si="13"/>
        <v>1161.9999999999995</v>
      </c>
      <c r="K150" s="3">
        <f t="shared" si="19"/>
        <v>99.299999999999983</v>
      </c>
      <c r="L150" s="23"/>
      <c r="M150" s="3">
        <v>0</v>
      </c>
      <c r="N150" s="3">
        <v>0.2</v>
      </c>
      <c r="O150" s="3">
        <f t="shared" si="10"/>
        <v>-0.2</v>
      </c>
      <c r="P150" s="3">
        <f t="shared" si="15"/>
        <v>62.699999999999974</v>
      </c>
      <c r="Q150" s="3">
        <v>115</v>
      </c>
      <c r="R150" s="27">
        <v>1</v>
      </c>
      <c r="S150" s="3">
        <f t="shared" si="11"/>
        <v>0.2</v>
      </c>
      <c r="T150" s="3">
        <f t="shared" si="12"/>
        <v>-0.2</v>
      </c>
      <c r="U150" s="28">
        <f t="shared" si="16"/>
        <v>88.322727272727207</v>
      </c>
      <c r="W150" s="3">
        <v>286.89999999999998</v>
      </c>
      <c r="Y150" s="3">
        <f t="shared" si="14"/>
        <v>68683.599999999977</v>
      </c>
      <c r="Z150" s="3">
        <f t="shared" si="18"/>
        <v>9127.1</v>
      </c>
      <c r="AA150" s="38">
        <v>8.07477441176726</v>
      </c>
    </row>
    <row r="151" spans="1:27" s="3" customFormat="1" x14ac:dyDescent="0.25">
      <c r="A151" s="3">
        <v>5400</v>
      </c>
      <c r="B151" s="3">
        <v>24010</v>
      </c>
      <c r="C151" s="7">
        <v>42729</v>
      </c>
      <c r="F151" s="53"/>
      <c r="G151" s="3">
        <v>8.8000000000000007</v>
      </c>
      <c r="H151" s="3">
        <v>6.6</v>
      </c>
      <c r="I151" s="3">
        <v>10.1</v>
      </c>
      <c r="J151" s="3">
        <f t="shared" si="13"/>
        <v>1170.7999999999995</v>
      </c>
      <c r="K151" s="3">
        <f t="shared" si="19"/>
        <v>108.09999999999998</v>
      </c>
      <c r="L151" s="23"/>
      <c r="M151" s="3">
        <v>0.1</v>
      </c>
      <c r="N151" s="3">
        <v>0.2</v>
      </c>
      <c r="O151" s="3">
        <f t="shared" si="10"/>
        <v>-0.1</v>
      </c>
      <c r="P151" s="3">
        <f t="shared" si="15"/>
        <v>62.599999999999973</v>
      </c>
      <c r="Q151" s="3">
        <v>116</v>
      </c>
      <c r="R151" s="27">
        <v>1</v>
      </c>
      <c r="S151" s="3">
        <f t="shared" si="11"/>
        <v>0.2</v>
      </c>
      <c r="T151" s="3">
        <f t="shared" si="12"/>
        <v>-0.1</v>
      </c>
      <c r="U151" s="28">
        <f t="shared" si="16"/>
        <v>88.222727272727212</v>
      </c>
      <c r="W151" s="3">
        <v>81.2</v>
      </c>
      <c r="Y151" s="3">
        <f t="shared" si="14"/>
        <v>68764.799999999974</v>
      </c>
      <c r="Z151" s="3">
        <f t="shared" si="18"/>
        <v>9208.3000000000011</v>
      </c>
      <c r="AA151" s="38">
        <v>8.0801460399671221</v>
      </c>
    </row>
    <row r="152" spans="1:27" s="3" customFormat="1" x14ac:dyDescent="0.25">
      <c r="A152" s="3">
        <v>5400</v>
      </c>
      <c r="B152" s="3">
        <v>24010</v>
      </c>
      <c r="C152" s="7">
        <v>42730</v>
      </c>
      <c r="F152" s="53"/>
      <c r="G152" s="3">
        <v>7.6</v>
      </c>
      <c r="H152" s="3">
        <v>6.2</v>
      </c>
      <c r="I152" s="3">
        <v>9.8000000000000007</v>
      </c>
      <c r="J152" s="3">
        <f t="shared" si="13"/>
        <v>1178.3999999999994</v>
      </c>
      <c r="K152" s="3">
        <f t="shared" si="19"/>
        <v>115.69999999999997</v>
      </c>
      <c r="L152" s="23"/>
      <c r="M152" s="3">
        <v>0.1</v>
      </c>
      <c r="N152" s="3">
        <v>0.3</v>
      </c>
      <c r="O152" s="3">
        <f t="shared" si="10"/>
        <v>-0.19999999999999998</v>
      </c>
      <c r="P152" s="3">
        <f t="shared" si="15"/>
        <v>62.39999999999997</v>
      </c>
      <c r="Q152" s="3">
        <v>117</v>
      </c>
      <c r="R152" s="27">
        <v>1</v>
      </c>
      <c r="S152" s="3">
        <f t="shared" si="11"/>
        <v>0.3</v>
      </c>
      <c r="T152" s="3">
        <f t="shared" si="12"/>
        <v>-0.19999999999999998</v>
      </c>
      <c r="U152" s="28">
        <f t="shared" si="16"/>
        <v>88.022727272727209</v>
      </c>
      <c r="W152" s="3">
        <v>175.3</v>
      </c>
      <c r="Y152" s="3">
        <f t="shared" si="14"/>
        <v>68940.099999999977</v>
      </c>
      <c r="Z152" s="3">
        <f t="shared" si="18"/>
        <v>9383.6</v>
      </c>
      <c r="AA152" s="38">
        <v>8.0869411681554517</v>
      </c>
    </row>
    <row r="153" spans="1:27" s="3" customFormat="1" x14ac:dyDescent="0.25">
      <c r="A153" s="3">
        <v>5400</v>
      </c>
      <c r="B153" s="3">
        <v>24010</v>
      </c>
      <c r="C153" s="7">
        <v>42731</v>
      </c>
      <c r="E153" s="38">
        <v>23</v>
      </c>
      <c r="F153" s="53"/>
      <c r="G153" s="3">
        <v>2.2000000000000002</v>
      </c>
      <c r="H153" s="3">
        <v>-1.4</v>
      </c>
      <c r="I153" s="3">
        <v>6.1</v>
      </c>
      <c r="J153" s="3">
        <f t="shared" si="13"/>
        <v>1180.5999999999995</v>
      </c>
      <c r="K153" s="3">
        <f t="shared" si="19"/>
        <v>117.89999999999998</v>
      </c>
      <c r="L153" s="23"/>
      <c r="M153" s="3">
        <v>0.1</v>
      </c>
      <c r="N153" s="3">
        <v>0.5</v>
      </c>
      <c r="O153" s="3">
        <f t="shared" si="10"/>
        <v>-0.4</v>
      </c>
      <c r="P153" s="3">
        <f t="shared" si="15"/>
        <v>61.999999999999972</v>
      </c>
      <c r="Q153" s="3">
        <v>118</v>
      </c>
      <c r="R153" s="27">
        <v>1</v>
      </c>
      <c r="S153" s="3">
        <f t="shared" si="11"/>
        <v>0.5</v>
      </c>
      <c r="T153" s="3">
        <f t="shared" si="12"/>
        <v>-0.4</v>
      </c>
      <c r="U153" s="28">
        <f t="shared" si="16"/>
        <v>87.622727272727204</v>
      </c>
      <c r="W153" s="3">
        <v>537</v>
      </c>
      <c r="Y153" s="3">
        <f t="shared" si="14"/>
        <v>69477.099999999977</v>
      </c>
      <c r="Z153" s="3">
        <f t="shared" si="18"/>
        <v>9920.6</v>
      </c>
      <c r="AA153" s="38">
        <v>8.0951535340089951</v>
      </c>
    </row>
    <row r="154" spans="1:27" s="3" customFormat="1" x14ac:dyDescent="0.25">
      <c r="A154" s="3">
        <v>5400</v>
      </c>
      <c r="B154" s="3">
        <v>24010</v>
      </c>
      <c r="C154" s="7">
        <v>42732</v>
      </c>
      <c r="E154" s="38">
        <v>24</v>
      </c>
      <c r="F154" s="53"/>
      <c r="G154" s="3">
        <v>2.8</v>
      </c>
      <c r="H154" s="3">
        <v>0.7</v>
      </c>
      <c r="I154" s="3">
        <v>5.7</v>
      </c>
      <c r="J154" s="3">
        <f t="shared" si="13"/>
        <v>1183.3999999999994</v>
      </c>
      <c r="K154" s="3">
        <f t="shared" si="19"/>
        <v>120.69999999999997</v>
      </c>
      <c r="L154" s="23"/>
      <c r="M154" s="3">
        <v>0.1</v>
      </c>
      <c r="N154" s="3">
        <v>0.6</v>
      </c>
      <c r="O154" s="3">
        <f t="shared" si="10"/>
        <v>-0.5</v>
      </c>
      <c r="P154" s="3">
        <f t="shared" si="15"/>
        <v>61.499999999999972</v>
      </c>
      <c r="Q154" s="3">
        <v>119</v>
      </c>
      <c r="R154" s="27">
        <v>1</v>
      </c>
      <c r="S154" s="3">
        <f t="shared" si="11"/>
        <v>0.6</v>
      </c>
      <c r="T154" s="3">
        <f t="shared" si="12"/>
        <v>-0.5</v>
      </c>
      <c r="U154" s="28">
        <f t="shared" si="16"/>
        <v>87.122727272727204</v>
      </c>
      <c r="W154" s="3">
        <v>516.6</v>
      </c>
      <c r="Y154" s="3">
        <f t="shared" si="14"/>
        <v>69993.699999999983</v>
      </c>
      <c r="Z154" s="3">
        <f t="shared" si="18"/>
        <v>10437.200000000001</v>
      </c>
      <c r="AA154" s="38">
        <v>8.1047756028962095</v>
      </c>
    </row>
    <row r="155" spans="1:27" s="3" customFormat="1" x14ac:dyDescent="0.25">
      <c r="A155" s="3">
        <v>5400</v>
      </c>
      <c r="B155" s="3">
        <v>24010</v>
      </c>
      <c r="C155" s="7">
        <v>42733</v>
      </c>
      <c r="E155" s="38">
        <v>25</v>
      </c>
      <c r="F155" s="53"/>
      <c r="G155" s="3">
        <v>-1.2</v>
      </c>
      <c r="H155" s="3">
        <v>-1.5</v>
      </c>
      <c r="I155" s="3">
        <v>-1.2</v>
      </c>
      <c r="J155" s="3">
        <v>1183.4000000000001</v>
      </c>
      <c r="K155" s="3">
        <v>120.7</v>
      </c>
      <c r="L155" s="23"/>
      <c r="M155" s="3">
        <v>0</v>
      </c>
      <c r="N155" s="3">
        <v>0.2</v>
      </c>
      <c r="O155" s="3">
        <f t="shared" si="10"/>
        <v>-0.2</v>
      </c>
      <c r="P155" s="3">
        <f t="shared" si="15"/>
        <v>61.299999999999969</v>
      </c>
      <c r="Q155" s="3">
        <v>120</v>
      </c>
      <c r="R155" s="27">
        <v>1</v>
      </c>
      <c r="S155" s="3">
        <f t="shared" si="11"/>
        <v>0.2</v>
      </c>
      <c r="T155" s="3">
        <f t="shared" si="12"/>
        <v>-0.2</v>
      </c>
      <c r="U155" s="28">
        <f t="shared" si="16"/>
        <v>86.922727272727201</v>
      </c>
      <c r="W155" s="3">
        <v>198.4</v>
      </c>
      <c r="Y155" s="3">
        <f t="shared" si="14"/>
        <v>70192.099999999977</v>
      </c>
      <c r="Z155" s="3">
        <f t="shared" si="18"/>
        <v>10635.6</v>
      </c>
      <c r="AA155" s="38">
        <v>8.1157985936544357</v>
      </c>
    </row>
    <row r="156" spans="1:27" s="3" customFormat="1" x14ac:dyDescent="0.25">
      <c r="A156" s="3">
        <v>5400</v>
      </c>
      <c r="B156" s="3">
        <v>24010</v>
      </c>
      <c r="C156" s="7">
        <v>42734</v>
      </c>
      <c r="E156" s="38">
        <v>26</v>
      </c>
      <c r="F156" s="53"/>
      <c r="G156" s="3">
        <v>-3.3</v>
      </c>
      <c r="H156" s="3">
        <v>-3.6</v>
      </c>
      <c r="I156" s="3">
        <v>-3</v>
      </c>
      <c r="J156" s="3">
        <v>1183.4000000000001</v>
      </c>
      <c r="K156" s="3">
        <v>120.7</v>
      </c>
      <c r="L156" s="23"/>
      <c r="M156" s="3">
        <v>0</v>
      </c>
      <c r="N156" s="3">
        <v>0.3</v>
      </c>
      <c r="O156" s="3">
        <f t="shared" si="10"/>
        <v>-0.3</v>
      </c>
      <c r="P156" s="3">
        <f t="shared" si="15"/>
        <v>60.999999999999972</v>
      </c>
      <c r="Q156" s="3">
        <v>121</v>
      </c>
      <c r="R156" s="27">
        <v>1</v>
      </c>
      <c r="S156" s="3">
        <f t="shared" si="11"/>
        <v>0.3</v>
      </c>
      <c r="T156" s="3">
        <f t="shared" si="12"/>
        <v>-0.3</v>
      </c>
      <c r="U156" s="28">
        <f t="shared" si="16"/>
        <v>86.622727272727204</v>
      </c>
      <c r="W156" s="3">
        <v>276.39999999999998</v>
      </c>
      <c r="Y156" s="3">
        <f t="shared" si="14"/>
        <v>70468.499999999971</v>
      </c>
      <c r="Z156" s="3">
        <f t="shared" si="18"/>
        <v>10912</v>
      </c>
      <c r="AA156" s="38">
        <v>8.1282125083803596</v>
      </c>
    </row>
    <row r="157" spans="1:27" s="3" customFormat="1" x14ac:dyDescent="0.25">
      <c r="A157" s="3">
        <v>5400</v>
      </c>
      <c r="B157" s="3">
        <v>24010</v>
      </c>
      <c r="C157" s="7">
        <v>42735</v>
      </c>
      <c r="E157" s="38">
        <v>27</v>
      </c>
      <c r="F157" s="53"/>
      <c r="G157" s="3">
        <v>-4</v>
      </c>
      <c r="H157" s="3">
        <v>-4.2</v>
      </c>
      <c r="I157" s="3">
        <v>-3.5</v>
      </c>
      <c r="J157" s="3">
        <v>1183.4000000000001</v>
      </c>
      <c r="K157" s="3">
        <v>120.7</v>
      </c>
      <c r="L157" s="23"/>
      <c r="M157" s="3">
        <v>0</v>
      </c>
      <c r="N157" s="3">
        <v>0.2</v>
      </c>
      <c r="O157" s="3">
        <f t="shared" si="10"/>
        <v>-0.2</v>
      </c>
      <c r="P157" s="3">
        <f t="shared" si="15"/>
        <v>60.799999999999969</v>
      </c>
      <c r="Q157" s="3">
        <v>122</v>
      </c>
      <c r="R157" s="27">
        <v>1</v>
      </c>
      <c r="S157" s="3">
        <f t="shared" si="11"/>
        <v>0.2</v>
      </c>
      <c r="T157" s="3">
        <f t="shared" si="12"/>
        <v>-0.2</v>
      </c>
      <c r="U157" s="28">
        <f t="shared" si="16"/>
        <v>86.422727272727201</v>
      </c>
      <c r="W157" s="3">
        <v>184.9</v>
      </c>
      <c r="Y157" s="3">
        <f t="shared" si="14"/>
        <v>70653.399999999965</v>
      </c>
      <c r="Z157" s="3">
        <f t="shared" si="18"/>
        <v>11096.9</v>
      </c>
      <c r="AA157" s="38">
        <v>8.1420061660193515</v>
      </c>
    </row>
    <row r="158" spans="1:27" s="3" customFormat="1" x14ac:dyDescent="0.25">
      <c r="A158" s="3">
        <v>5400</v>
      </c>
      <c r="B158" s="3">
        <v>24010</v>
      </c>
      <c r="C158" s="7">
        <v>42736</v>
      </c>
      <c r="E158" s="38">
        <v>28</v>
      </c>
      <c r="F158" s="53"/>
      <c r="G158" s="3">
        <v>-1.7</v>
      </c>
      <c r="H158" s="3">
        <v>-4.4000000000000004</v>
      </c>
      <c r="I158" s="3">
        <v>0.6</v>
      </c>
      <c r="J158" s="3">
        <v>1183.4000000000001</v>
      </c>
      <c r="K158" s="3">
        <v>120.7</v>
      </c>
      <c r="L158" s="23"/>
      <c r="M158" s="3">
        <v>0.5</v>
      </c>
      <c r="N158" s="3">
        <v>0.1</v>
      </c>
      <c r="O158" s="3">
        <f t="shared" si="10"/>
        <v>0.4</v>
      </c>
      <c r="P158" s="3">
        <f t="shared" si="15"/>
        <v>61.199999999999967</v>
      </c>
      <c r="Q158" s="3">
        <v>123</v>
      </c>
      <c r="R158" s="27">
        <v>1</v>
      </c>
      <c r="S158" s="3">
        <f t="shared" si="11"/>
        <v>0.1</v>
      </c>
      <c r="T158" s="3">
        <f t="shared" si="12"/>
        <v>0.4</v>
      </c>
      <c r="U158" s="28">
        <f t="shared" si="16"/>
        <v>86.822727272727207</v>
      </c>
      <c r="W158" s="3">
        <v>125.9</v>
      </c>
      <c r="Y158" s="3">
        <f t="shared" si="14"/>
        <v>70779.299999999959</v>
      </c>
      <c r="Z158" s="3">
        <f t="shared" si="18"/>
        <v>11222.8</v>
      </c>
      <c r="AA158" s="38">
        <v>8.1571672395153776</v>
      </c>
    </row>
    <row r="159" spans="1:27" s="3" customFormat="1" x14ac:dyDescent="0.25">
      <c r="A159" s="3">
        <v>5400</v>
      </c>
      <c r="B159" s="3">
        <v>24010</v>
      </c>
      <c r="C159" s="7">
        <v>42737</v>
      </c>
      <c r="E159" s="38">
        <v>29</v>
      </c>
      <c r="F159" s="53"/>
      <c r="G159" s="3">
        <v>0.9</v>
      </c>
      <c r="H159" s="3">
        <v>-0.3</v>
      </c>
      <c r="I159" s="3">
        <v>1.3</v>
      </c>
      <c r="J159" s="3">
        <f t="shared" si="13"/>
        <v>1184.3000000000002</v>
      </c>
      <c r="K159" s="3">
        <f t="shared" si="19"/>
        <v>121.60000000000001</v>
      </c>
      <c r="L159" s="23"/>
      <c r="M159" s="3">
        <v>0.6</v>
      </c>
      <c r="N159" s="3">
        <v>0.1</v>
      </c>
      <c r="O159" s="3">
        <f t="shared" si="10"/>
        <v>0.5</v>
      </c>
      <c r="P159" s="3">
        <f t="shared" si="15"/>
        <v>61.699999999999967</v>
      </c>
      <c r="Q159" s="3">
        <v>124</v>
      </c>
      <c r="R159" s="27">
        <v>1</v>
      </c>
      <c r="S159" s="3">
        <f t="shared" si="11"/>
        <v>0.1</v>
      </c>
      <c r="T159" s="3">
        <f t="shared" si="12"/>
        <v>0.5</v>
      </c>
      <c r="U159" s="28">
        <f t="shared" si="16"/>
        <v>87.322727272727207</v>
      </c>
      <c r="W159" s="3">
        <v>98.2</v>
      </c>
      <c r="Y159" s="3">
        <f t="shared" si="14"/>
        <v>70877.499999999956</v>
      </c>
      <c r="Z159" s="3">
        <f t="shared" si="18"/>
        <v>11321</v>
      </c>
      <c r="AA159" s="38">
        <v>8.173682296262001</v>
      </c>
    </row>
    <row r="160" spans="1:27" s="3" customFormat="1" x14ac:dyDescent="0.25">
      <c r="A160" s="3">
        <v>5400</v>
      </c>
      <c r="B160" s="3">
        <v>24010</v>
      </c>
      <c r="C160" s="7">
        <v>42738</v>
      </c>
      <c r="E160" s="38">
        <v>30</v>
      </c>
      <c r="F160" s="53"/>
      <c r="G160" s="3">
        <v>-0.6</v>
      </c>
      <c r="H160" s="3">
        <v>-0.7</v>
      </c>
      <c r="I160" s="3">
        <v>-0.3</v>
      </c>
      <c r="J160" s="3">
        <v>1184.3</v>
      </c>
      <c r="K160" s="3">
        <v>121.6</v>
      </c>
      <c r="L160" s="23"/>
      <c r="M160" s="3">
        <v>0</v>
      </c>
      <c r="N160" s="3">
        <v>0.2</v>
      </c>
      <c r="O160" s="3">
        <f t="shared" si="10"/>
        <v>-0.2</v>
      </c>
      <c r="P160" s="3">
        <f t="shared" si="15"/>
        <v>61.499999999999964</v>
      </c>
      <c r="Q160" s="3">
        <v>125</v>
      </c>
      <c r="R160" s="27">
        <v>1</v>
      </c>
      <c r="S160" s="3">
        <f t="shared" si="11"/>
        <v>0.2</v>
      </c>
      <c r="T160" s="3">
        <f t="shared" si="12"/>
        <v>-0.2</v>
      </c>
      <c r="U160" s="28">
        <f t="shared" si="16"/>
        <v>87.122727272727204</v>
      </c>
      <c r="W160" s="3">
        <v>271.5</v>
      </c>
      <c r="Y160" s="3">
        <f t="shared" si="14"/>
        <v>71148.999999999956</v>
      </c>
      <c r="Z160" s="3">
        <f t="shared" si="18"/>
        <v>11592.5</v>
      </c>
      <c r="AA160" s="38">
        <v>8.1915368415773155</v>
      </c>
    </row>
    <row r="161" spans="1:27" s="3" customFormat="1" x14ac:dyDescent="0.25">
      <c r="A161" s="3">
        <v>5400</v>
      </c>
      <c r="B161" s="3">
        <v>24010</v>
      </c>
      <c r="C161" s="7">
        <v>42739</v>
      </c>
      <c r="E161" s="38">
        <v>31</v>
      </c>
      <c r="F161" s="53"/>
      <c r="G161" s="3">
        <v>1</v>
      </c>
      <c r="H161" s="3">
        <v>-1.4</v>
      </c>
      <c r="I161" s="3">
        <v>2.9</v>
      </c>
      <c r="J161" s="3">
        <f t="shared" si="13"/>
        <v>1185.3</v>
      </c>
      <c r="K161" s="3">
        <f t="shared" si="19"/>
        <v>122.6</v>
      </c>
      <c r="L161" s="23"/>
      <c r="M161" s="3">
        <v>0.4</v>
      </c>
      <c r="N161" s="3">
        <v>0.1</v>
      </c>
      <c r="O161" s="3">
        <f t="shared" si="10"/>
        <v>0.30000000000000004</v>
      </c>
      <c r="P161" s="3">
        <f t="shared" si="15"/>
        <v>61.799999999999962</v>
      </c>
      <c r="Q161" s="3">
        <v>126</v>
      </c>
      <c r="R161" s="27">
        <v>1</v>
      </c>
      <c r="S161" s="3">
        <f t="shared" si="11"/>
        <v>0.1</v>
      </c>
      <c r="T161" s="3">
        <f t="shared" si="12"/>
        <v>0.30000000000000004</v>
      </c>
      <c r="U161" s="28">
        <f t="shared" si="16"/>
        <v>87.422727272727201</v>
      </c>
      <c r="W161" s="3">
        <v>96.2</v>
      </c>
      <c r="Y161" s="3">
        <f t="shared" si="14"/>
        <v>71245.199999999953</v>
      </c>
      <c r="Z161" s="3">
        <f t="shared" si="18"/>
        <v>11688.7</v>
      </c>
      <c r="AA161" s="38">
        <v>8.2107153649107083</v>
      </c>
    </row>
    <row r="162" spans="1:27" s="3" customFormat="1" x14ac:dyDescent="0.25">
      <c r="A162" s="3">
        <v>5400</v>
      </c>
      <c r="B162" s="3">
        <v>24010</v>
      </c>
      <c r="C162" s="7">
        <v>42740</v>
      </c>
      <c r="E162" s="38">
        <v>32</v>
      </c>
      <c r="F162" s="53"/>
      <c r="G162" s="3">
        <v>0.9</v>
      </c>
      <c r="H162" s="3">
        <v>-1.3</v>
      </c>
      <c r="I162" s="3">
        <v>4.3</v>
      </c>
      <c r="J162" s="3">
        <f t="shared" si="13"/>
        <v>1186.2</v>
      </c>
      <c r="K162" s="3">
        <f t="shared" si="19"/>
        <v>123.5</v>
      </c>
      <c r="L162" s="23"/>
      <c r="M162" s="3">
        <v>0.1</v>
      </c>
      <c r="N162" s="3">
        <v>0.4</v>
      </c>
      <c r="O162" s="3">
        <f t="shared" si="10"/>
        <v>-0.30000000000000004</v>
      </c>
      <c r="P162" s="3">
        <f t="shared" si="15"/>
        <v>61.499999999999964</v>
      </c>
      <c r="Q162" s="3">
        <v>127</v>
      </c>
      <c r="R162" s="27">
        <v>1</v>
      </c>
      <c r="S162" s="3">
        <f t="shared" si="11"/>
        <v>0.4</v>
      </c>
      <c r="T162" s="3">
        <f t="shared" si="12"/>
        <v>-0.30000000000000004</v>
      </c>
      <c r="U162" s="28">
        <f t="shared" si="16"/>
        <v>87.122727272727204</v>
      </c>
      <c r="W162" s="3">
        <v>494.3</v>
      </c>
      <c r="Y162" s="3">
        <f t="shared" si="14"/>
        <v>71739.499999999956</v>
      </c>
      <c r="Z162" s="3">
        <f t="shared" si="18"/>
        <v>12183</v>
      </c>
      <c r="AA162" s="38">
        <v>8.2312013884781727</v>
      </c>
    </row>
    <row r="163" spans="1:27" s="3" customFormat="1" x14ac:dyDescent="0.25">
      <c r="A163" s="3">
        <v>5400</v>
      </c>
      <c r="B163" s="3">
        <v>24010</v>
      </c>
      <c r="C163" s="7">
        <v>42741</v>
      </c>
      <c r="E163" s="38">
        <v>33</v>
      </c>
      <c r="F163" s="53"/>
      <c r="G163" s="3">
        <v>-2.2000000000000002</v>
      </c>
      <c r="H163" s="3">
        <v>-3.6</v>
      </c>
      <c r="I163" s="3">
        <v>0.9</v>
      </c>
      <c r="J163" s="3">
        <v>1186.2</v>
      </c>
      <c r="K163" s="3">
        <v>123.5</v>
      </c>
      <c r="L163" s="23"/>
      <c r="M163" s="3">
        <v>0</v>
      </c>
      <c r="N163" s="3">
        <v>0.4</v>
      </c>
      <c r="O163" s="3">
        <f t="shared" si="10"/>
        <v>-0.4</v>
      </c>
      <c r="P163" s="3">
        <f t="shared" si="15"/>
        <v>61.099999999999966</v>
      </c>
      <c r="Q163" s="3">
        <v>128</v>
      </c>
      <c r="R163" s="27">
        <v>1</v>
      </c>
      <c r="S163" s="3">
        <f t="shared" si="11"/>
        <v>0.4</v>
      </c>
      <c r="T163" s="3">
        <f t="shared" si="12"/>
        <v>-0.4</v>
      </c>
      <c r="U163" s="28">
        <f t="shared" si="16"/>
        <v>86.722727272727198</v>
      </c>
      <c r="W163" s="3">
        <v>520.9</v>
      </c>
      <c r="Y163" s="3">
        <f t="shared" si="14"/>
        <v>72260.399999999951</v>
      </c>
      <c r="Z163" s="3">
        <f t="shared" si="18"/>
        <v>12703.9</v>
      </c>
      <c r="AA163" s="38">
        <v>8.2529775180146867</v>
      </c>
    </row>
    <row r="164" spans="1:27" s="3" customFormat="1" x14ac:dyDescent="0.25">
      <c r="A164" s="3">
        <v>5400</v>
      </c>
      <c r="B164" s="3">
        <v>24010</v>
      </c>
      <c r="C164" s="7">
        <v>42742</v>
      </c>
      <c r="E164" s="38">
        <v>34</v>
      </c>
      <c r="F164" s="53"/>
      <c r="G164" s="3">
        <v>-1</v>
      </c>
      <c r="H164" s="3">
        <v>-5.0999999999999996</v>
      </c>
      <c r="I164" s="3">
        <v>2.2999999999999998</v>
      </c>
      <c r="J164" s="3">
        <v>1186.2</v>
      </c>
      <c r="K164" s="3">
        <v>123.5</v>
      </c>
      <c r="L164" s="23"/>
      <c r="M164" s="3">
        <v>1.2</v>
      </c>
      <c r="N164" s="3">
        <v>0.2</v>
      </c>
      <c r="O164" s="3">
        <f t="shared" si="10"/>
        <v>1</v>
      </c>
      <c r="P164" s="3">
        <f t="shared" si="15"/>
        <v>62.099999999999966</v>
      </c>
      <c r="Q164" s="3">
        <v>129</v>
      </c>
      <c r="R164" s="27">
        <v>1</v>
      </c>
      <c r="S164" s="3">
        <f t="shared" si="11"/>
        <v>0.2</v>
      </c>
      <c r="T164" s="3">
        <f t="shared" si="12"/>
        <v>1</v>
      </c>
      <c r="U164" s="28">
        <f t="shared" si="16"/>
        <v>87.722727272727198</v>
      </c>
      <c r="W164" s="3">
        <v>97.4</v>
      </c>
      <c r="Y164" s="3">
        <f t="shared" si="14"/>
        <v>72357.799999999945</v>
      </c>
      <c r="Z164" s="3">
        <f t="shared" si="18"/>
        <v>12801.3</v>
      </c>
      <c r="AA164" s="38">
        <v>8.2760254953275076</v>
      </c>
    </row>
    <row r="165" spans="1:27" s="3" customFormat="1" x14ac:dyDescent="0.25">
      <c r="A165" s="3">
        <v>5400</v>
      </c>
      <c r="B165" s="3">
        <v>24010</v>
      </c>
      <c r="C165" s="7">
        <v>42743</v>
      </c>
      <c r="E165" s="38">
        <v>35</v>
      </c>
      <c r="F165" s="53"/>
      <c r="G165" s="3">
        <v>4.3</v>
      </c>
      <c r="H165" s="3">
        <v>0.7</v>
      </c>
      <c r="I165" s="3">
        <v>6.2</v>
      </c>
      <c r="J165" s="3">
        <f t="shared" si="13"/>
        <v>1190.5</v>
      </c>
      <c r="K165" s="3">
        <f t="shared" si="19"/>
        <v>127.8</v>
      </c>
      <c r="L165" s="23"/>
      <c r="M165" s="3">
        <v>0.8</v>
      </c>
      <c r="N165" s="3">
        <v>0.2</v>
      </c>
      <c r="O165" s="3">
        <f t="shared" ref="O165:O228" si="20">M165-N165</f>
        <v>0.60000000000000009</v>
      </c>
      <c r="P165" s="3">
        <f t="shared" si="15"/>
        <v>62.699999999999967</v>
      </c>
      <c r="Q165" s="3">
        <v>130</v>
      </c>
      <c r="R165" s="27">
        <v>1</v>
      </c>
      <c r="S165" s="3">
        <f t="shared" ref="S165:S228" si="21">R165*N165</f>
        <v>0.2</v>
      </c>
      <c r="T165" s="3">
        <f t="shared" ref="T165:T228" si="22">M165-S165</f>
        <v>0.60000000000000009</v>
      </c>
      <c r="U165" s="28">
        <f t="shared" si="16"/>
        <v>88.322727272727192</v>
      </c>
      <c r="W165" s="3">
        <v>111.9</v>
      </c>
      <c r="Y165" s="3">
        <f t="shared" si="14"/>
        <v>72469.699999999939</v>
      </c>
      <c r="Z165" s="3">
        <f t="shared" si="18"/>
        <v>12913.199999999999</v>
      </c>
      <c r="AA165" s="38">
        <v>8.3003262523325674</v>
      </c>
    </row>
    <row r="166" spans="1:27" s="3" customFormat="1" x14ac:dyDescent="0.25">
      <c r="A166" s="3">
        <v>5400</v>
      </c>
      <c r="B166" s="3">
        <v>24010</v>
      </c>
      <c r="C166" s="7">
        <v>42744</v>
      </c>
      <c r="F166" s="53"/>
      <c r="G166" s="3">
        <v>6.5</v>
      </c>
      <c r="H166" s="3">
        <v>4.9000000000000004</v>
      </c>
      <c r="I166" s="3">
        <v>7.4</v>
      </c>
      <c r="J166" s="3">
        <f t="shared" ref="J166:J229" si="23">J165+G166</f>
        <v>1197</v>
      </c>
      <c r="K166" s="3">
        <f t="shared" si="19"/>
        <v>134.30000000000001</v>
      </c>
      <c r="L166" s="23"/>
      <c r="M166" s="3">
        <v>5.5</v>
      </c>
      <c r="N166" s="3">
        <v>0.2</v>
      </c>
      <c r="O166" s="3">
        <f t="shared" si="20"/>
        <v>5.3</v>
      </c>
      <c r="P166" s="3">
        <f t="shared" si="15"/>
        <v>67.999999999999972</v>
      </c>
      <c r="Q166" s="3">
        <v>131</v>
      </c>
      <c r="R166" s="27">
        <v>1</v>
      </c>
      <c r="S166" s="3">
        <f t="shared" si="21"/>
        <v>0.2</v>
      </c>
      <c r="T166" s="3">
        <f t="shared" si="22"/>
        <v>5.3</v>
      </c>
      <c r="U166" s="28">
        <f t="shared" si="16"/>
        <v>93.62272727272719</v>
      </c>
      <c r="W166" s="3">
        <v>128.80000000000001</v>
      </c>
      <c r="Y166" s="3">
        <f t="shared" ref="Y166:Y229" si="24">Y165+W166</f>
        <v>72598.499999999942</v>
      </c>
      <c r="Z166" s="3">
        <f t="shared" si="18"/>
        <v>13041.999999999998</v>
      </c>
      <c r="AA166" s="38">
        <v>8.3258599662576298</v>
      </c>
    </row>
    <row r="167" spans="1:27" s="3" customFormat="1" x14ac:dyDescent="0.25">
      <c r="A167" s="3">
        <v>5400</v>
      </c>
      <c r="B167" s="3">
        <v>24010</v>
      </c>
      <c r="C167" s="7">
        <v>42745</v>
      </c>
      <c r="F167" s="53"/>
      <c r="G167" s="3">
        <v>5.4</v>
      </c>
      <c r="H167" s="3">
        <v>3.7</v>
      </c>
      <c r="I167" s="3">
        <v>7.3</v>
      </c>
      <c r="J167" s="3">
        <f t="shared" si="23"/>
        <v>1202.4000000000001</v>
      </c>
      <c r="K167" s="3">
        <f t="shared" si="19"/>
        <v>139.70000000000002</v>
      </c>
      <c r="L167" s="23"/>
      <c r="M167" s="3">
        <v>0.8</v>
      </c>
      <c r="N167" s="3">
        <v>0.2</v>
      </c>
      <c r="O167" s="3">
        <f t="shared" si="20"/>
        <v>0.60000000000000009</v>
      </c>
      <c r="P167" s="3">
        <f t="shared" si="15"/>
        <v>68.599999999999966</v>
      </c>
      <c r="Q167" s="3">
        <v>132</v>
      </c>
      <c r="R167" s="27">
        <v>1</v>
      </c>
      <c r="S167" s="3">
        <f t="shared" si="21"/>
        <v>0.2</v>
      </c>
      <c r="T167" s="3">
        <f t="shared" si="22"/>
        <v>0.60000000000000009</v>
      </c>
      <c r="U167" s="28">
        <f t="shared" si="16"/>
        <v>94.222727272727184</v>
      </c>
      <c r="W167" s="3">
        <v>170</v>
      </c>
      <c r="Y167" s="3">
        <f t="shared" si="24"/>
        <v>72768.499999999942</v>
      </c>
      <c r="Z167" s="3">
        <f t="shared" si="18"/>
        <v>13211.999999999998</v>
      </c>
      <c r="AA167" s="38">
        <v>8.3526061157003184</v>
      </c>
    </row>
    <row r="168" spans="1:27" s="3" customFormat="1" x14ac:dyDescent="0.25">
      <c r="A168" s="3">
        <v>5400</v>
      </c>
      <c r="B168" s="3">
        <v>24010</v>
      </c>
      <c r="C168" s="7">
        <v>42746</v>
      </c>
      <c r="F168" s="53"/>
      <c r="G168" s="3">
        <v>7.4</v>
      </c>
      <c r="H168" s="3">
        <v>3.2</v>
      </c>
      <c r="I168" s="3">
        <v>9.6999999999999993</v>
      </c>
      <c r="J168" s="3">
        <f t="shared" si="23"/>
        <v>1209.8000000000002</v>
      </c>
      <c r="K168" s="3">
        <f t="shared" si="19"/>
        <v>147.10000000000002</v>
      </c>
      <c r="L168" s="23"/>
      <c r="M168" s="3">
        <v>0.5</v>
      </c>
      <c r="N168" s="3">
        <v>0</v>
      </c>
      <c r="O168" s="3">
        <f t="shared" si="20"/>
        <v>0.5</v>
      </c>
      <c r="P168" s="3">
        <f t="shared" ref="P168:P231" si="25">O168+P167</f>
        <v>69.099999999999966</v>
      </c>
      <c r="Q168" s="3">
        <v>133</v>
      </c>
      <c r="R168" s="27">
        <v>1</v>
      </c>
      <c r="S168" s="3">
        <f t="shared" si="21"/>
        <v>0</v>
      </c>
      <c r="T168" s="3">
        <f t="shared" si="22"/>
        <v>0.5</v>
      </c>
      <c r="U168" s="28">
        <f t="shared" ref="U168:U231" si="26">MIN(U167+T168,153.9)</f>
        <v>94.722727272727184</v>
      </c>
      <c r="W168" s="3">
        <v>87.7</v>
      </c>
      <c r="Y168" s="3">
        <f t="shared" si="24"/>
        <v>72856.199999999939</v>
      </c>
      <c r="Z168" s="3">
        <f t="shared" si="18"/>
        <v>13299.699999999999</v>
      </c>
      <c r="AA168" s="38">
        <v>8.3805435372360009</v>
      </c>
    </row>
    <row r="169" spans="1:27" s="3" customFormat="1" x14ac:dyDescent="0.25">
      <c r="A169" s="3">
        <v>5400</v>
      </c>
      <c r="B169" s="3">
        <v>24010</v>
      </c>
      <c r="C169" s="7">
        <v>42747</v>
      </c>
      <c r="F169" s="53"/>
      <c r="G169" s="3">
        <v>6.4</v>
      </c>
      <c r="H169" s="3">
        <v>5.6</v>
      </c>
      <c r="I169" s="3">
        <v>8.6999999999999993</v>
      </c>
      <c r="J169" s="3">
        <f t="shared" si="23"/>
        <v>1216.2000000000003</v>
      </c>
      <c r="K169" s="3">
        <f t="shared" si="19"/>
        <v>153.50000000000003</v>
      </c>
      <c r="L169" s="23"/>
      <c r="M169" s="3">
        <v>6.3</v>
      </c>
      <c r="N169" s="3">
        <v>0.6</v>
      </c>
      <c r="O169" s="3">
        <f t="shared" si="20"/>
        <v>5.7</v>
      </c>
      <c r="P169" s="3">
        <f t="shared" si="25"/>
        <v>74.799999999999969</v>
      </c>
      <c r="Q169" s="3">
        <v>134</v>
      </c>
      <c r="R169" s="27">
        <v>1</v>
      </c>
      <c r="S169" s="3">
        <f t="shared" si="21"/>
        <v>0.6</v>
      </c>
      <c r="T169" s="3">
        <f t="shared" si="22"/>
        <v>5.7</v>
      </c>
      <c r="U169" s="28">
        <f t="shared" si="26"/>
        <v>100.42272727272719</v>
      </c>
      <c r="W169" s="3">
        <v>80.400000000000006</v>
      </c>
      <c r="Y169" s="3">
        <f t="shared" si="24"/>
        <v>72936.599999999933</v>
      </c>
      <c r="Z169" s="3">
        <f t="shared" si="18"/>
        <v>13380.099999999999</v>
      </c>
      <c r="AA169" s="38">
        <v>8.4096504822801403</v>
      </c>
    </row>
    <row r="170" spans="1:27" s="3" customFormat="1" x14ac:dyDescent="0.25">
      <c r="A170" s="3">
        <v>5400</v>
      </c>
      <c r="B170" s="3">
        <v>24010</v>
      </c>
      <c r="C170" s="7">
        <v>42748</v>
      </c>
      <c r="E170" s="38">
        <v>36</v>
      </c>
      <c r="F170" s="53"/>
      <c r="G170" s="3">
        <v>3</v>
      </c>
      <c r="H170" s="3">
        <v>1.2</v>
      </c>
      <c r="I170" s="3">
        <v>4.5999999999999996</v>
      </c>
      <c r="J170" s="3">
        <f t="shared" si="23"/>
        <v>1219.2000000000003</v>
      </c>
      <c r="K170" s="3">
        <f t="shared" si="19"/>
        <v>156.50000000000003</v>
      </c>
      <c r="L170" s="23"/>
      <c r="M170" s="3">
        <v>1.4</v>
      </c>
      <c r="N170" s="3">
        <v>0.4</v>
      </c>
      <c r="O170" s="3">
        <f t="shared" si="20"/>
        <v>0.99999999999999989</v>
      </c>
      <c r="P170" s="3">
        <f t="shared" si="25"/>
        <v>75.799999999999969</v>
      </c>
      <c r="Q170" s="3">
        <v>135</v>
      </c>
      <c r="R170" s="27">
        <v>1</v>
      </c>
      <c r="S170" s="3">
        <f t="shared" si="21"/>
        <v>0.4</v>
      </c>
      <c r="T170" s="3">
        <f t="shared" si="22"/>
        <v>0.99999999999999989</v>
      </c>
      <c r="U170" s="28">
        <f t="shared" si="26"/>
        <v>101.42272727272719</v>
      </c>
      <c r="W170" s="3">
        <v>480.3</v>
      </c>
      <c r="Y170" s="3">
        <f t="shared" si="24"/>
        <v>73416.899999999936</v>
      </c>
      <c r="Z170" s="3">
        <f t="shared" si="18"/>
        <v>13860.399999999998</v>
      </c>
      <c r="AA170" s="38">
        <v>8.4399046739212906</v>
      </c>
    </row>
    <row r="171" spans="1:27" s="3" customFormat="1" x14ac:dyDescent="0.25">
      <c r="A171" s="3">
        <v>5400</v>
      </c>
      <c r="B171" s="3">
        <v>24010</v>
      </c>
      <c r="C171" s="7">
        <v>42749</v>
      </c>
      <c r="E171" s="38">
        <v>37</v>
      </c>
      <c r="F171" s="53"/>
      <c r="G171" s="3">
        <v>1.9</v>
      </c>
      <c r="H171" s="3">
        <v>0.7</v>
      </c>
      <c r="I171" s="3">
        <v>3.1</v>
      </c>
      <c r="J171" s="3">
        <f t="shared" si="23"/>
        <v>1221.1000000000004</v>
      </c>
      <c r="K171" s="3">
        <f t="shared" si="19"/>
        <v>158.40000000000003</v>
      </c>
      <c r="L171" s="23"/>
      <c r="M171" s="3">
        <v>1.7</v>
      </c>
      <c r="N171" s="3">
        <v>0.3</v>
      </c>
      <c r="O171" s="3">
        <f t="shared" si="20"/>
        <v>1.4</v>
      </c>
      <c r="P171" s="3">
        <f t="shared" si="25"/>
        <v>77.199999999999974</v>
      </c>
      <c r="Q171" s="3">
        <v>136</v>
      </c>
      <c r="R171" s="27">
        <v>1</v>
      </c>
      <c r="S171" s="3">
        <f t="shared" si="21"/>
        <v>0.3</v>
      </c>
      <c r="T171" s="3">
        <f t="shared" si="22"/>
        <v>1.4</v>
      </c>
      <c r="U171" s="28">
        <f t="shared" si="26"/>
        <v>102.82272727272719</v>
      </c>
      <c r="W171" s="3">
        <v>379.7</v>
      </c>
      <c r="Y171" s="3">
        <f t="shared" si="24"/>
        <v>73796.599999999933</v>
      </c>
      <c r="Z171" s="3">
        <f t="shared" si="18"/>
        <v>14240.099999999999</v>
      </c>
      <c r="AA171" s="38">
        <v>8.4712833634545035</v>
      </c>
    </row>
    <row r="172" spans="1:27" s="3" customFormat="1" x14ac:dyDescent="0.25">
      <c r="A172" s="3">
        <v>5400</v>
      </c>
      <c r="B172" s="3">
        <v>24010</v>
      </c>
      <c r="C172" s="7">
        <v>42750</v>
      </c>
      <c r="E172" s="38">
        <v>38</v>
      </c>
      <c r="F172" s="53"/>
      <c r="G172" s="3">
        <v>1.9</v>
      </c>
      <c r="H172" s="3">
        <v>-0.1</v>
      </c>
      <c r="I172" s="3">
        <v>3.4</v>
      </c>
      <c r="J172" s="3">
        <f t="shared" si="23"/>
        <v>1223.0000000000005</v>
      </c>
      <c r="K172" s="3">
        <f t="shared" si="19"/>
        <v>160.30000000000004</v>
      </c>
      <c r="L172" s="23"/>
      <c r="M172" s="3">
        <v>4.3</v>
      </c>
      <c r="N172" s="3">
        <v>0.1</v>
      </c>
      <c r="O172" s="3">
        <f t="shared" si="20"/>
        <v>4.2</v>
      </c>
      <c r="P172" s="3">
        <f t="shared" si="25"/>
        <v>81.399999999999977</v>
      </c>
      <c r="Q172" s="3">
        <v>137</v>
      </c>
      <c r="R172" s="27">
        <v>1</v>
      </c>
      <c r="S172" s="3">
        <f t="shared" si="21"/>
        <v>0.1</v>
      </c>
      <c r="T172" s="3">
        <f t="shared" si="22"/>
        <v>4.2</v>
      </c>
      <c r="U172" s="28">
        <f t="shared" si="26"/>
        <v>107.0227272727272</v>
      </c>
      <c r="W172" s="3">
        <v>80.099999999999994</v>
      </c>
      <c r="Y172" s="3">
        <f t="shared" si="24"/>
        <v>73876.699999999939</v>
      </c>
      <c r="Z172" s="3">
        <f t="shared" si="18"/>
        <v>14320.199999999999</v>
      </c>
      <c r="AA172" s="38">
        <v>8.5037633863600615</v>
      </c>
    </row>
    <row r="173" spans="1:27" s="3" customFormat="1" x14ac:dyDescent="0.25">
      <c r="A173" s="3">
        <v>5400</v>
      </c>
      <c r="B173" s="3">
        <v>24010</v>
      </c>
      <c r="C173" s="7">
        <v>42751</v>
      </c>
      <c r="E173" s="38">
        <v>39</v>
      </c>
      <c r="F173" s="53"/>
      <c r="G173" s="3">
        <v>1.8</v>
      </c>
      <c r="H173" s="3">
        <v>1.4</v>
      </c>
      <c r="I173" s="3">
        <v>2.7</v>
      </c>
      <c r="J173" s="3">
        <f t="shared" si="23"/>
        <v>1224.8000000000004</v>
      </c>
      <c r="K173" s="3">
        <f t="shared" si="19"/>
        <v>162.10000000000005</v>
      </c>
      <c r="L173" s="23"/>
      <c r="M173" s="3">
        <v>0</v>
      </c>
      <c r="N173" s="3">
        <v>0.1</v>
      </c>
      <c r="O173" s="3">
        <f t="shared" si="20"/>
        <v>-0.1</v>
      </c>
      <c r="P173" s="3">
        <f t="shared" si="25"/>
        <v>81.299999999999983</v>
      </c>
      <c r="Q173" s="3">
        <v>138</v>
      </c>
      <c r="R173" s="27">
        <v>1</v>
      </c>
      <c r="S173" s="3">
        <f t="shared" si="21"/>
        <v>0.1</v>
      </c>
      <c r="T173" s="3">
        <f t="shared" si="22"/>
        <v>-0.1</v>
      </c>
      <c r="U173" s="28">
        <f t="shared" si="26"/>
        <v>106.9227272727272</v>
      </c>
      <c r="W173" s="3">
        <v>119.2</v>
      </c>
      <c r="Y173" s="3">
        <f t="shared" si="24"/>
        <v>73995.899999999936</v>
      </c>
      <c r="Z173" s="3">
        <f t="shared" si="18"/>
        <v>14439.4</v>
      </c>
      <c r="AA173" s="38">
        <v>8.5373212174890423</v>
      </c>
    </row>
    <row r="174" spans="1:27" s="3" customFormat="1" x14ac:dyDescent="0.25">
      <c r="A174" s="3">
        <v>5400</v>
      </c>
      <c r="B174" s="3">
        <v>24010</v>
      </c>
      <c r="C174" s="7">
        <v>42752</v>
      </c>
      <c r="E174" s="38">
        <v>40</v>
      </c>
      <c r="F174" s="53"/>
      <c r="G174" s="3">
        <v>-1.4</v>
      </c>
      <c r="H174" s="3">
        <v>-2.2000000000000002</v>
      </c>
      <c r="I174" s="3">
        <v>0.3</v>
      </c>
      <c r="J174" s="3">
        <v>1224.8</v>
      </c>
      <c r="K174" s="3">
        <v>162.1</v>
      </c>
      <c r="L174" s="23"/>
      <c r="M174" s="3">
        <v>0</v>
      </c>
      <c r="N174" s="3">
        <v>0.4</v>
      </c>
      <c r="O174" s="3">
        <f t="shared" si="20"/>
        <v>-0.4</v>
      </c>
      <c r="P174" s="3">
        <f t="shared" si="25"/>
        <v>80.899999999999977</v>
      </c>
      <c r="Q174" s="3">
        <v>139</v>
      </c>
      <c r="R174" s="27">
        <v>1</v>
      </c>
      <c r="S174" s="3">
        <f t="shared" si="21"/>
        <v>0.4</v>
      </c>
      <c r="T174" s="3">
        <f t="shared" si="22"/>
        <v>-0.4</v>
      </c>
      <c r="U174" s="28">
        <f t="shared" si="26"/>
        <v>106.5227272727272</v>
      </c>
      <c r="W174" s="3">
        <v>668.2</v>
      </c>
      <c r="Y174" s="3">
        <f t="shared" si="24"/>
        <v>74664.099999999933</v>
      </c>
      <c r="Z174" s="3">
        <f t="shared" si="18"/>
        <v>15107.6</v>
      </c>
      <c r="AA174" s="38">
        <v>8.5719330252347241</v>
      </c>
    </row>
    <row r="175" spans="1:27" s="3" customFormat="1" x14ac:dyDescent="0.25">
      <c r="A175" s="3">
        <v>5400</v>
      </c>
      <c r="B175" s="3">
        <v>24010</v>
      </c>
      <c r="C175" s="7">
        <v>42753</v>
      </c>
      <c r="E175" s="38">
        <v>41</v>
      </c>
      <c r="F175" s="53"/>
      <c r="G175" s="3">
        <v>-2.4</v>
      </c>
      <c r="H175" s="3">
        <v>-4.4000000000000004</v>
      </c>
      <c r="I175" s="3">
        <v>-0.5</v>
      </c>
      <c r="J175" s="3">
        <v>1224.8</v>
      </c>
      <c r="K175" s="3">
        <v>162.1</v>
      </c>
      <c r="L175" s="23"/>
      <c r="M175" s="3">
        <v>0</v>
      </c>
      <c r="N175" s="3">
        <v>0.6</v>
      </c>
      <c r="O175" s="3">
        <f t="shared" si="20"/>
        <v>-0.6</v>
      </c>
      <c r="P175" s="3">
        <f t="shared" si="25"/>
        <v>80.299999999999983</v>
      </c>
      <c r="Q175" s="3">
        <v>140</v>
      </c>
      <c r="R175" s="27">
        <v>1</v>
      </c>
      <c r="S175" s="3">
        <f t="shared" si="21"/>
        <v>0.6</v>
      </c>
      <c r="T175" s="3">
        <f t="shared" si="22"/>
        <v>-0.6</v>
      </c>
      <c r="U175" s="28">
        <f t="shared" si="26"/>
        <v>105.9227272727272</v>
      </c>
      <c r="W175" s="3">
        <v>687.5</v>
      </c>
      <c r="Y175" s="3">
        <f t="shared" si="24"/>
        <v>75351.599999999933</v>
      </c>
      <c r="Z175" s="3">
        <f t="shared" si="18"/>
        <v>15795.1</v>
      </c>
      <c r="AA175" s="38">
        <v>8.6075747244872414</v>
      </c>
    </row>
    <row r="176" spans="1:27" s="3" customFormat="1" x14ac:dyDescent="0.25">
      <c r="A176" s="3">
        <v>5400</v>
      </c>
      <c r="B176" s="3">
        <v>24010</v>
      </c>
      <c r="C176" s="7">
        <v>42754</v>
      </c>
      <c r="E176" s="38">
        <v>42</v>
      </c>
      <c r="F176" s="53"/>
      <c r="G176" s="3">
        <v>-3.1</v>
      </c>
      <c r="H176" s="3">
        <v>-4.5999999999999996</v>
      </c>
      <c r="I176" s="3">
        <v>-1.1000000000000001</v>
      </c>
      <c r="J176" s="3">
        <v>1224.8</v>
      </c>
      <c r="K176" s="3">
        <v>162.1</v>
      </c>
      <c r="L176" s="23"/>
      <c r="M176" s="3">
        <v>0</v>
      </c>
      <c r="N176" s="3">
        <v>0.5</v>
      </c>
      <c r="O176" s="3">
        <f t="shared" si="20"/>
        <v>-0.5</v>
      </c>
      <c r="P176" s="3">
        <f t="shared" si="25"/>
        <v>79.799999999999983</v>
      </c>
      <c r="Q176" s="3">
        <v>141</v>
      </c>
      <c r="R176" s="27">
        <v>1</v>
      </c>
      <c r="S176" s="3">
        <f t="shared" si="21"/>
        <v>0.5</v>
      </c>
      <c r="T176" s="3">
        <f t="shared" si="22"/>
        <v>-0.5</v>
      </c>
      <c r="U176" s="28">
        <f t="shared" si="26"/>
        <v>105.4227272727272</v>
      </c>
      <c r="W176" s="3">
        <v>759.2</v>
      </c>
      <c r="Y176" s="3">
        <f t="shared" si="24"/>
        <v>76110.79999999993</v>
      </c>
      <c r="Z176" s="3">
        <f t="shared" si="18"/>
        <v>16554.3</v>
      </c>
      <c r="AA176" s="38">
        <v>8.6442220281877518</v>
      </c>
    </row>
    <row r="177" spans="1:28" s="3" customFormat="1" x14ac:dyDescent="0.25">
      <c r="A177" s="3">
        <v>5400</v>
      </c>
      <c r="B177" s="3">
        <v>24010</v>
      </c>
      <c r="C177" s="7">
        <v>42755</v>
      </c>
      <c r="E177" s="38">
        <v>43</v>
      </c>
      <c r="F177" s="53"/>
      <c r="G177" s="3">
        <v>-4</v>
      </c>
      <c r="H177" s="3">
        <v>-6</v>
      </c>
      <c r="I177" s="3">
        <v>-1.4</v>
      </c>
      <c r="J177" s="3">
        <v>1224.8</v>
      </c>
      <c r="K177" s="3">
        <v>162.1</v>
      </c>
      <c r="L177" s="23"/>
      <c r="M177" s="3">
        <v>0</v>
      </c>
      <c r="N177" s="3">
        <v>0.5</v>
      </c>
      <c r="O177" s="3">
        <f t="shared" si="20"/>
        <v>-0.5</v>
      </c>
      <c r="P177" s="3">
        <f t="shared" si="25"/>
        <v>79.299999999999983</v>
      </c>
      <c r="Q177" s="3">
        <v>142</v>
      </c>
      <c r="R177" s="27">
        <v>1</v>
      </c>
      <c r="S177" s="3">
        <f t="shared" si="21"/>
        <v>0.5</v>
      </c>
      <c r="T177" s="3">
        <f t="shared" si="22"/>
        <v>-0.5</v>
      </c>
      <c r="U177" s="28">
        <f t="shared" si="26"/>
        <v>104.9227272727272</v>
      </c>
      <c r="W177" s="3">
        <v>757.4</v>
      </c>
      <c r="Y177" s="3">
        <f t="shared" si="24"/>
        <v>76868.199999999924</v>
      </c>
      <c r="Z177" s="3">
        <f t="shared" si="18"/>
        <v>17311.7</v>
      </c>
      <c r="AA177" s="38">
        <v>8.6818504973175283</v>
      </c>
    </row>
    <row r="178" spans="1:28" s="3" customFormat="1" x14ac:dyDescent="0.25">
      <c r="A178" s="3">
        <v>5400</v>
      </c>
      <c r="B178" s="3">
        <v>24010</v>
      </c>
      <c r="C178" s="7">
        <v>42756</v>
      </c>
      <c r="E178" s="38">
        <v>44</v>
      </c>
      <c r="F178" s="53"/>
      <c r="G178" s="3">
        <v>-3.4</v>
      </c>
      <c r="H178" s="3">
        <v>-7.9</v>
      </c>
      <c r="I178" s="3">
        <v>0.3</v>
      </c>
      <c r="J178" s="3">
        <v>1224.8</v>
      </c>
      <c r="K178" s="3">
        <v>162.1</v>
      </c>
      <c r="L178" s="23"/>
      <c r="M178" s="3">
        <v>0</v>
      </c>
      <c r="N178" s="3">
        <v>0.4</v>
      </c>
      <c r="O178" s="3">
        <f t="shared" si="20"/>
        <v>-0.4</v>
      </c>
      <c r="P178" s="3">
        <f t="shared" si="25"/>
        <v>78.899999999999977</v>
      </c>
      <c r="Q178" s="3">
        <v>143</v>
      </c>
      <c r="R178" s="27">
        <v>1</v>
      </c>
      <c r="S178" s="3">
        <f t="shared" si="21"/>
        <v>0.4</v>
      </c>
      <c r="T178" s="3">
        <f t="shared" si="22"/>
        <v>-0.4</v>
      </c>
      <c r="U178" s="28">
        <f t="shared" si="26"/>
        <v>104.5227272727272</v>
      </c>
      <c r="W178" s="3">
        <v>649.79999999999995</v>
      </c>
      <c r="Y178" s="3">
        <f t="shared" si="24"/>
        <v>77517.999999999927</v>
      </c>
      <c r="Z178" s="3">
        <f t="shared" si="18"/>
        <v>17961.5</v>
      </c>
      <c r="AA178" s="38">
        <v>8.7204355891765086</v>
      </c>
    </row>
    <row r="179" spans="1:28" s="3" customFormat="1" x14ac:dyDescent="0.25">
      <c r="A179" s="3">
        <v>5400</v>
      </c>
      <c r="B179" s="3">
        <v>24010</v>
      </c>
      <c r="C179" s="7">
        <v>42757</v>
      </c>
      <c r="E179" s="38">
        <v>45</v>
      </c>
      <c r="F179" s="53"/>
      <c r="G179" s="3">
        <v>-1.6</v>
      </c>
      <c r="H179" s="3">
        <v>-6.7</v>
      </c>
      <c r="I179" s="3">
        <v>2.7</v>
      </c>
      <c r="J179" s="3">
        <v>1224.8</v>
      </c>
      <c r="K179" s="3">
        <v>162.1</v>
      </c>
      <c r="L179" s="23"/>
      <c r="M179" s="3">
        <v>0</v>
      </c>
      <c r="N179" s="3">
        <v>0.4</v>
      </c>
      <c r="O179" s="3">
        <f t="shared" si="20"/>
        <v>-0.4</v>
      </c>
      <c r="P179" s="3">
        <f t="shared" si="25"/>
        <v>78.499999999999972</v>
      </c>
      <c r="Q179" s="3">
        <v>144</v>
      </c>
      <c r="R179" s="27">
        <v>1</v>
      </c>
      <c r="S179" s="3">
        <f t="shared" si="21"/>
        <v>0.4</v>
      </c>
      <c r="T179" s="3">
        <f t="shared" si="22"/>
        <v>-0.4</v>
      </c>
      <c r="U179" s="28">
        <f t="shared" si="26"/>
        <v>104.12272727272719</v>
      </c>
      <c r="W179" s="3">
        <v>663.2</v>
      </c>
      <c r="Y179" s="3">
        <f t="shared" si="24"/>
        <v>78181.199999999924</v>
      </c>
      <c r="Z179" s="3">
        <f t="shared" si="18"/>
        <v>18624.7</v>
      </c>
      <c r="AA179" s="38">
        <v>8.7599527038249043</v>
      </c>
    </row>
    <row r="180" spans="1:28" s="3" customFormat="1" x14ac:dyDescent="0.25">
      <c r="A180" s="3">
        <v>5400</v>
      </c>
      <c r="B180" s="3">
        <v>24010</v>
      </c>
      <c r="C180" s="7">
        <v>42758</v>
      </c>
      <c r="E180" s="38">
        <v>46</v>
      </c>
      <c r="F180" s="53"/>
      <c r="G180" s="3">
        <v>-1.6</v>
      </c>
      <c r="H180" s="3">
        <v>-4.4000000000000004</v>
      </c>
      <c r="I180" s="3">
        <v>2.1</v>
      </c>
      <c r="J180" s="3">
        <v>1224.8</v>
      </c>
      <c r="K180" s="3">
        <v>162.1</v>
      </c>
      <c r="L180" s="23"/>
      <c r="M180" s="3">
        <v>0</v>
      </c>
      <c r="N180" s="3">
        <v>0.6</v>
      </c>
      <c r="O180" s="3">
        <f t="shared" si="20"/>
        <v>-0.6</v>
      </c>
      <c r="P180" s="3">
        <f t="shared" si="25"/>
        <v>77.899999999999977</v>
      </c>
      <c r="Q180" s="3">
        <v>145</v>
      </c>
      <c r="R180" s="27">
        <v>1</v>
      </c>
      <c r="S180" s="3">
        <f t="shared" si="21"/>
        <v>0.6</v>
      </c>
      <c r="T180" s="3">
        <f t="shared" si="22"/>
        <v>-0.6</v>
      </c>
      <c r="U180" s="28">
        <f t="shared" si="26"/>
        <v>103.5227272727272</v>
      </c>
      <c r="W180" s="3">
        <v>792.2</v>
      </c>
      <c r="Y180" s="3">
        <f t="shared" si="24"/>
        <v>78973.399999999921</v>
      </c>
      <c r="Z180" s="3">
        <f t="shared" si="18"/>
        <v>19416.900000000001</v>
      </c>
      <c r="AA180" s="38">
        <v>8.800377228580011</v>
      </c>
    </row>
    <row r="181" spans="1:28" s="3" customFormat="1" x14ac:dyDescent="0.25">
      <c r="A181" s="3">
        <v>5400</v>
      </c>
      <c r="B181" s="3">
        <v>24010</v>
      </c>
      <c r="C181" s="7">
        <v>42759</v>
      </c>
      <c r="E181" s="38">
        <v>47</v>
      </c>
      <c r="F181" s="53"/>
      <c r="G181" s="3">
        <v>-1.2</v>
      </c>
      <c r="H181" s="3">
        <v>-4.5</v>
      </c>
      <c r="I181" s="3">
        <v>0.9</v>
      </c>
      <c r="J181" s="3">
        <v>1224.8</v>
      </c>
      <c r="K181" s="3">
        <v>162.1</v>
      </c>
      <c r="L181" s="23"/>
      <c r="M181" s="3">
        <v>0.3</v>
      </c>
      <c r="N181" s="3">
        <v>0.2</v>
      </c>
      <c r="O181" s="3">
        <f t="shared" si="20"/>
        <v>9.9999999999999978E-2</v>
      </c>
      <c r="P181" s="3">
        <f t="shared" si="25"/>
        <v>77.999999999999972</v>
      </c>
      <c r="Q181" s="3">
        <v>146</v>
      </c>
      <c r="R181" s="27">
        <v>1</v>
      </c>
      <c r="S181" s="3">
        <f t="shared" si="21"/>
        <v>0.2</v>
      </c>
      <c r="T181" s="3">
        <f t="shared" si="22"/>
        <v>9.9999999999999978E-2</v>
      </c>
      <c r="U181" s="28">
        <f t="shared" si="26"/>
        <v>103.62272727272719</v>
      </c>
      <c r="W181" s="3">
        <v>196.6</v>
      </c>
      <c r="Y181" s="3">
        <f t="shared" si="24"/>
        <v>79169.999999999927</v>
      </c>
      <c r="Z181" s="3">
        <f t="shared" si="18"/>
        <v>19613.5</v>
      </c>
      <c r="AA181" s="38">
        <v>8.8416845804785051</v>
      </c>
    </row>
    <row r="182" spans="1:28" s="3" customFormat="1" x14ac:dyDescent="0.25">
      <c r="A182" s="3">
        <v>5400</v>
      </c>
      <c r="B182" s="3">
        <v>24010</v>
      </c>
      <c r="C182" s="7">
        <v>42760</v>
      </c>
      <c r="E182" s="38">
        <v>48</v>
      </c>
      <c r="F182" s="53"/>
      <c r="G182" s="3">
        <v>-1.3</v>
      </c>
      <c r="H182" s="3">
        <v>-2.1</v>
      </c>
      <c r="I182" s="3">
        <v>-0.7</v>
      </c>
      <c r="J182" s="3">
        <v>1224.8</v>
      </c>
      <c r="K182" s="3">
        <v>162.1</v>
      </c>
      <c r="L182" s="23"/>
      <c r="M182" s="3">
        <v>0</v>
      </c>
      <c r="N182" s="3">
        <v>0.2</v>
      </c>
      <c r="O182" s="3">
        <f t="shared" si="20"/>
        <v>-0.2</v>
      </c>
      <c r="P182" s="3">
        <f t="shared" si="25"/>
        <v>77.799999999999969</v>
      </c>
      <c r="Q182" s="3">
        <v>147</v>
      </c>
      <c r="R182" s="27">
        <v>1</v>
      </c>
      <c r="S182" s="3">
        <f t="shared" si="21"/>
        <v>0.2</v>
      </c>
      <c r="T182" s="3">
        <f t="shared" si="22"/>
        <v>-0.2</v>
      </c>
      <c r="U182" s="28">
        <f t="shared" si="26"/>
        <v>103.42272727272719</v>
      </c>
      <c r="W182" s="3">
        <v>120.4</v>
      </c>
      <c r="Y182" s="3">
        <f t="shared" si="24"/>
        <v>79290.399999999921</v>
      </c>
      <c r="Z182" s="3">
        <f t="shared" si="18"/>
        <v>19733.900000000001</v>
      </c>
      <c r="AA182" s="38">
        <v>8.883850246631912</v>
      </c>
    </row>
    <row r="183" spans="1:28" s="3" customFormat="1" x14ac:dyDescent="0.25">
      <c r="A183" s="3">
        <v>5400</v>
      </c>
      <c r="B183" s="3">
        <v>24010</v>
      </c>
      <c r="C183" s="7">
        <v>42761</v>
      </c>
      <c r="E183" s="38">
        <v>49</v>
      </c>
      <c r="F183" s="53"/>
      <c r="G183" s="3">
        <v>-1.4</v>
      </c>
      <c r="H183" s="3">
        <v>-4.8</v>
      </c>
      <c r="I183" s="3">
        <v>0.4</v>
      </c>
      <c r="J183" s="3">
        <v>1224.8</v>
      </c>
      <c r="K183" s="3">
        <v>162.1</v>
      </c>
      <c r="L183" s="23"/>
      <c r="M183" s="3">
        <v>0</v>
      </c>
      <c r="N183" s="3">
        <v>0.6</v>
      </c>
      <c r="O183" s="3">
        <f t="shared" si="20"/>
        <v>-0.6</v>
      </c>
      <c r="P183" s="3">
        <f t="shared" si="25"/>
        <v>77.199999999999974</v>
      </c>
      <c r="Q183" s="3">
        <v>148</v>
      </c>
      <c r="R183" s="27">
        <v>1</v>
      </c>
      <c r="S183" s="3">
        <f t="shared" si="21"/>
        <v>0.6</v>
      </c>
      <c r="T183" s="3">
        <f t="shared" si="22"/>
        <v>-0.6</v>
      </c>
      <c r="U183" s="28">
        <f t="shared" si="26"/>
        <v>102.82272727272719</v>
      </c>
      <c r="W183" s="3">
        <v>820.3</v>
      </c>
      <c r="Y183" s="3">
        <f t="shared" si="24"/>
        <v>80110.699999999924</v>
      </c>
      <c r="Z183" s="3">
        <f t="shared" si="18"/>
        <v>20554.2</v>
      </c>
      <c r="AA183" s="38">
        <v>8.9268498224195021</v>
      </c>
    </row>
    <row r="184" spans="1:28" s="21" customFormat="1" ht="15.75" thickBot="1" x14ac:dyDescent="0.3">
      <c r="A184" s="21">
        <v>5400</v>
      </c>
      <c r="B184" s="21">
        <v>24010</v>
      </c>
      <c r="C184" s="22">
        <v>42762</v>
      </c>
      <c r="D184" s="21" t="s">
        <v>37</v>
      </c>
      <c r="E184" s="38">
        <v>50</v>
      </c>
      <c r="F184" s="54"/>
      <c r="G184" s="21">
        <v>4.3</v>
      </c>
      <c r="H184" s="21">
        <v>-0.6</v>
      </c>
      <c r="I184" s="21">
        <v>7.3</v>
      </c>
      <c r="J184" s="21">
        <f t="shared" si="23"/>
        <v>1229.0999999999999</v>
      </c>
      <c r="K184" s="21">
        <f t="shared" si="19"/>
        <v>166.4</v>
      </c>
      <c r="L184" s="25"/>
      <c r="M184" s="21">
        <v>0.2</v>
      </c>
      <c r="N184" s="21">
        <v>0.5</v>
      </c>
      <c r="O184" s="21">
        <f t="shared" si="20"/>
        <v>-0.3</v>
      </c>
      <c r="P184" s="3">
        <f t="shared" si="25"/>
        <v>76.899999999999977</v>
      </c>
      <c r="Q184" s="21">
        <v>149</v>
      </c>
      <c r="R184" s="21">
        <v>1</v>
      </c>
      <c r="S184" s="21">
        <f t="shared" si="21"/>
        <v>0.5</v>
      </c>
      <c r="T184" s="21">
        <f t="shared" si="22"/>
        <v>-0.3</v>
      </c>
      <c r="U184" s="28">
        <f t="shared" si="26"/>
        <v>102.5227272727272</v>
      </c>
      <c r="W184" s="21">
        <v>546.9</v>
      </c>
      <c r="Y184" s="21">
        <f t="shared" si="24"/>
        <v>80657.599999999919</v>
      </c>
      <c r="Z184" s="21">
        <f t="shared" si="18"/>
        <v>21101.100000000002</v>
      </c>
      <c r="AA184" s="39">
        <v>8.9706590474786747</v>
      </c>
    </row>
    <row r="185" spans="1:28" s="3" customFormat="1" ht="15" customHeight="1" x14ac:dyDescent="0.25">
      <c r="A185" s="3">
        <v>5400</v>
      </c>
      <c r="B185" s="3">
        <v>24010</v>
      </c>
      <c r="C185" s="7">
        <v>42763</v>
      </c>
      <c r="F185" s="61" t="s">
        <v>48</v>
      </c>
      <c r="G185" s="3">
        <v>6.2</v>
      </c>
      <c r="H185" s="3">
        <v>4.9000000000000004</v>
      </c>
      <c r="I185" s="3">
        <v>7.4</v>
      </c>
      <c r="J185" s="3">
        <f t="shared" si="23"/>
        <v>1235.3</v>
      </c>
      <c r="K185" s="3">
        <f>G185</f>
        <v>6.2</v>
      </c>
      <c r="L185" s="14" t="s">
        <v>39</v>
      </c>
      <c r="M185" s="3">
        <v>0.1</v>
      </c>
      <c r="N185" s="3">
        <v>0.4</v>
      </c>
      <c r="O185" s="3">
        <f t="shared" si="20"/>
        <v>-0.30000000000000004</v>
      </c>
      <c r="P185" s="3">
        <f t="shared" si="25"/>
        <v>76.59999999999998</v>
      </c>
      <c r="Q185" s="3">
        <v>150</v>
      </c>
      <c r="R185" s="3">
        <f>1+((Q185-149)/63)*(1.15-1)</f>
        <v>1.0023809523809524</v>
      </c>
      <c r="S185" s="3">
        <f t="shared" si="21"/>
        <v>0.40095238095238095</v>
      </c>
      <c r="T185" s="28">
        <f t="shared" si="22"/>
        <v>-0.30095238095238097</v>
      </c>
      <c r="U185" s="28">
        <f t="shared" si="26"/>
        <v>102.22177489177481</v>
      </c>
      <c r="V185" s="33" t="s">
        <v>53</v>
      </c>
      <c r="W185" s="3">
        <v>253.2</v>
      </c>
      <c r="Y185" s="3">
        <f t="shared" si="24"/>
        <v>80910.799999999916</v>
      </c>
      <c r="Z185" s="3">
        <f>W185</f>
        <v>253.2</v>
      </c>
      <c r="AA185" s="3">
        <v>9.0152538394675457</v>
      </c>
      <c r="AB185" s="33" t="s">
        <v>58</v>
      </c>
    </row>
    <row r="186" spans="1:28" s="3" customFormat="1" x14ac:dyDescent="0.25">
      <c r="A186" s="3">
        <v>5400</v>
      </c>
      <c r="B186" s="3">
        <v>24010</v>
      </c>
      <c r="C186" s="7">
        <v>42764</v>
      </c>
      <c r="F186" s="62"/>
      <c r="G186" s="3">
        <v>5.2</v>
      </c>
      <c r="H186" s="3">
        <v>2.2999999999999998</v>
      </c>
      <c r="I186" s="3">
        <v>7.4</v>
      </c>
      <c r="J186" s="3">
        <f t="shared" si="23"/>
        <v>1240.5</v>
      </c>
      <c r="K186" s="3">
        <f t="shared" si="19"/>
        <v>11.4</v>
      </c>
      <c r="L186" s="11">
        <v>510</v>
      </c>
      <c r="M186" s="3">
        <v>0.4</v>
      </c>
      <c r="N186" s="3">
        <v>0.1</v>
      </c>
      <c r="O186" s="3">
        <f t="shared" si="20"/>
        <v>0.30000000000000004</v>
      </c>
      <c r="P186" s="3">
        <f t="shared" si="25"/>
        <v>76.899999999999977</v>
      </c>
      <c r="Q186" s="3">
        <v>151</v>
      </c>
      <c r="R186" s="3">
        <f t="shared" ref="R186:R247" si="27">1+((Q186-149)/63)*(1.15-1)</f>
        <v>1.0047619047619047</v>
      </c>
      <c r="S186" s="3">
        <f t="shared" si="21"/>
        <v>0.10047619047619048</v>
      </c>
      <c r="T186" s="28">
        <f t="shared" si="22"/>
        <v>0.29952380952380953</v>
      </c>
      <c r="U186" s="28">
        <f t="shared" si="26"/>
        <v>102.52129870129862</v>
      </c>
      <c r="V186">
        <v>0</v>
      </c>
      <c r="W186" s="3">
        <v>68.8</v>
      </c>
      <c r="Y186" s="3">
        <f t="shared" si="24"/>
        <v>80979.599999999919</v>
      </c>
      <c r="Z186" s="3">
        <f t="shared" si="18"/>
        <v>322</v>
      </c>
      <c r="AA186" s="3">
        <v>9.0606103255882218</v>
      </c>
      <c r="AB186">
        <v>34378.5</v>
      </c>
    </row>
    <row r="187" spans="1:28" s="3" customFormat="1" x14ac:dyDescent="0.25">
      <c r="A187" s="3">
        <v>5400</v>
      </c>
      <c r="B187" s="3">
        <v>24010</v>
      </c>
      <c r="C187" s="7">
        <v>42765</v>
      </c>
      <c r="F187" s="62"/>
      <c r="G187" s="3">
        <v>9</v>
      </c>
      <c r="H187" s="3">
        <v>7.2</v>
      </c>
      <c r="I187" s="3">
        <v>9.9</v>
      </c>
      <c r="J187" s="3">
        <f t="shared" si="23"/>
        <v>1249.5</v>
      </c>
      <c r="K187" s="3">
        <f t="shared" si="19"/>
        <v>20.399999999999999</v>
      </c>
      <c r="L187" s="14" t="s">
        <v>40</v>
      </c>
      <c r="M187" s="3">
        <v>2.2000000000000002</v>
      </c>
      <c r="N187" s="3">
        <v>0.1</v>
      </c>
      <c r="O187" s="3">
        <f t="shared" si="20"/>
        <v>2.1</v>
      </c>
      <c r="P187" s="3">
        <f t="shared" si="25"/>
        <v>78.999999999999972</v>
      </c>
      <c r="Q187" s="3">
        <v>152</v>
      </c>
      <c r="R187" s="3">
        <f t="shared" si="27"/>
        <v>1.0071428571428571</v>
      </c>
      <c r="S187" s="3">
        <f t="shared" si="21"/>
        <v>0.10071428571428571</v>
      </c>
      <c r="T187" s="28">
        <f t="shared" si="22"/>
        <v>2.0992857142857146</v>
      </c>
      <c r="U187" s="28">
        <f t="shared" si="26"/>
        <v>104.62058441558433</v>
      </c>
      <c r="V187" s="33" t="s">
        <v>54</v>
      </c>
      <c r="W187" s="3">
        <v>125.3</v>
      </c>
      <c r="Y187" s="3">
        <f t="shared" si="24"/>
        <v>81104.899999999921</v>
      </c>
      <c r="Z187" s="3">
        <f t="shared" si="18"/>
        <v>447.3</v>
      </c>
      <c r="AA187" s="3">
        <v>9.1067048718718819</v>
      </c>
      <c r="AB187" s="33" t="s">
        <v>59</v>
      </c>
    </row>
    <row r="188" spans="1:28" s="3" customFormat="1" x14ac:dyDescent="0.25">
      <c r="A188" s="3">
        <v>5400</v>
      </c>
      <c r="B188" s="3">
        <v>24010</v>
      </c>
      <c r="C188" s="7">
        <v>42766</v>
      </c>
      <c r="F188" s="62"/>
      <c r="G188" s="3">
        <v>10.7</v>
      </c>
      <c r="H188" s="3">
        <v>9.6999999999999993</v>
      </c>
      <c r="I188" s="3">
        <v>12.5</v>
      </c>
      <c r="J188" s="3">
        <f t="shared" si="23"/>
        <v>1260.2</v>
      </c>
      <c r="K188" s="3">
        <f t="shared" si="19"/>
        <v>31.099999999999998</v>
      </c>
      <c r="L188" s="11">
        <f>AVERAGE(G185:G247)</f>
        <v>8.0952380952380949</v>
      </c>
      <c r="M188" s="3">
        <v>0.2</v>
      </c>
      <c r="N188" s="3">
        <v>0.1</v>
      </c>
      <c r="O188" s="3">
        <f t="shared" si="20"/>
        <v>0.1</v>
      </c>
      <c r="P188" s="3">
        <f t="shared" si="25"/>
        <v>79.099999999999966</v>
      </c>
      <c r="Q188" s="3">
        <v>153</v>
      </c>
      <c r="R188" s="3">
        <f t="shared" si="27"/>
        <v>1.0095238095238095</v>
      </c>
      <c r="S188" s="3">
        <f t="shared" si="21"/>
        <v>0.10095238095238096</v>
      </c>
      <c r="T188" s="28">
        <f t="shared" si="22"/>
        <v>9.9047619047619051E-2</v>
      </c>
      <c r="U188" s="28">
        <f t="shared" si="26"/>
        <v>104.71963203463196</v>
      </c>
      <c r="V188">
        <v>0</v>
      </c>
      <c r="W188" s="3">
        <v>78.099999999999994</v>
      </c>
      <c r="Y188" s="3">
        <f t="shared" si="24"/>
        <v>81182.999999999927</v>
      </c>
      <c r="Z188" s="3">
        <f t="shared" si="18"/>
        <v>525.4</v>
      </c>
      <c r="AA188" s="3">
        <v>9.1535141102383459</v>
      </c>
      <c r="AB188">
        <f>(AB186/100)/L186</f>
        <v>0.67408823529411765</v>
      </c>
    </row>
    <row r="189" spans="1:28" s="3" customFormat="1" x14ac:dyDescent="0.25">
      <c r="A189" s="3">
        <v>5400</v>
      </c>
      <c r="B189" s="3">
        <v>24010</v>
      </c>
      <c r="C189" s="7">
        <v>42767</v>
      </c>
      <c r="F189" s="62"/>
      <c r="G189" s="3">
        <v>8.6999999999999993</v>
      </c>
      <c r="H189" s="3">
        <v>7.8</v>
      </c>
      <c r="I189" s="3">
        <v>9.5</v>
      </c>
      <c r="J189" s="3">
        <f t="shared" si="23"/>
        <v>1268.9000000000001</v>
      </c>
      <c r="K189" s="3">
        <f t="shared" si="19"/>
        <v>39.799999999999997</v>
      </c>
      <c r="L189" s="14" t="s">
        <v>41</v>
      </c>
      <c r="M189" s="3">
        <v>0.1</v>
      </c>
      <c r="N189" s="3">
        <v>0.3</v>
      </c>
      <c r="O189" s="3">
        <f t="shared" si="20"/>
        <v>-0.19999999999999998</v>
      </c>
      <c r="P189" s="3">
        <f t="shared" si="25"/>
        <v>78.899999999999963</v>
      </c>
      <c r="Q189" s="3">
        <v>154</v>
      </c>
      <c r="R189" s="3">
        <f t="shared" si="27"/>
        <v>1.0119047619047619</v>
      </c>
      <c r="S189" s="3">
        <f t="shared" si="21"/>
        <v>0.30357142857142855</v>
      </c>
      <c r="T189" s="28">
        <f t="shared" si="22"/>
        <v>-0.20357142857142854</v>
      </c>
      <c r="U189" s="28">
        <f t="shared" si="26"/>
        <v>104.51606060606053</v>
      </c>
      <c r="V189" s="33" t="s">
        <v>55</v>
      </c>
      <c r="W189" s="3">
        <v>402.8</v>
      </c>
      <c r="Y189" s="3">
        <f t="shared" si="24"/>
        <v>81585.79999999993</v>
      </c>
      <c r="Z189" s="3">
        <f t="shared" si="18"/>
        <v>928.2</v>
      </c>
      <c r="AA189" s="3">
        <v>9.2010149633532716</v>
      </c>
      <c r="AB189" s="33" t="s">
        <v>60</v>
      </c>
    </row>
    <row r="190" spans="1:28" s="3" customFormat="1" x14ac:dyDescent="0.25">
      <c r="A190" s="3">
        <v>5400</v>
      </c>
      <c r="B190" s="3">
        <v>24010</v>
      </c>
      <c r="C190" s="7">
        <v>42768</v>
      </c>
      <c r="F190" s="62"/>
      <c r="G190" s="3">
        <v>9.1999999999999993</v>
      </c>
      <c r="H190" s="3">
        <v>7.3</v>
      </c>
      <c r="I190" s="3">
        <v>10.9</v>
      </c>
      <c r="J190" s="3">
        <f t="shared" si="23"/>
        <v>1278.1000000000001</v>
      </c>
      <c r="K190" s="3">
        <f t="shared" ref="K190:K253" si="28">K189+G190</f>
        <v>49</v>
      </c>
      <c r="L190" s="12">
        <f>MIN(H185:H247)</f>
        <v>-2.4</v>
      </c>
      <c r="M190" s="3">
        <v>1.2</v>
      </c>
      <c r="N190" s="3">
        <v>0.4</v>
      </c>
      <c r="O190" s="3">
        <f t="shared" si="20"/>
        <v>0.79999999999999993</v>
      </c>
      <c r="P190" s="3">
        <f t="shared" si="25"/>
        <v>79.69999999999996</v>
      </c>
      <c r="Q190" s="3">
        <v>155</v>
      </c>
      <c r="R190" s="3">
        <f t="shared" si="27"/>
        <v>1.0142857142857142</v>
      </c>
      <c r="S190" s="3">
        <f t="shared" si="21"/>
        <v>0.40571428571428569</v>
      </c>
      <c r="T190" s="28">
        <f t="shared" si="22"/>
        <v>0.79428571428571426</v>
      </c>
      <c r="U190" s="28">
        <f t="shared" si="26"/>
        <v>105.31034632034626</v>
      </c>
      <c r="V190" s="28">
        <f>MIN(U185:U247)</f>
        <v>102.22177489177481</v>
      </c>
      <c r="W190" s="3">
        <v>107.9</v>
      </c>
      <c r="Y190" s="3">
        <f t="shared" si="24"/>
        <v>81693.699999999924</v>
      </c>
      <c r="Z190" s="3">
        <f t="shared" ref="Z190:Z247" si="29">Z189+W190</f>
        <v>1036.1000000000001</v>
      </c>
      <c r="AA190" s="3">
        <v>9.2491846673155411</v>
      </c>
      <c r="AB190">
        <v>54</v>
      </c>
    </row>
    <row r="191" spans="1:28" s="3" customFormat="1" x14ac:dyDescent="0.25">
      <c r="A191" s="3">
        <v>5400</v>
      </c>
      <c r="B191" s="3">
        <v>24010</v>
      </c>
      <c r="C191" s="7">
        <v>42769</v>
      </c>
      <c r="F191" s="62"/>
      <c r="G191" s="3">
        <v>7.4</v>
      </c>
      <c r="H191" s="3">
        <v>6.3</v>
      </c>
      <c r="I191" s="3">
        <v>9.4</v>
      </c>
      <c r="J191" s="3">
        <f t="shared" si="23"/>
        <v>1285.5000000000002</v>
      </c>
      <c r="K191" s="3">
        <f t="shared" si="28"/>
        <v>56.4</v>
      </c>
      <c r="L191" s="14" t="s">
        <v>42</v>
      </c>
      <c r="M191" s="3">
        <v>9.9</v>
      </c>
      <c r="N191" s="3">
        <v>0.7</v>
      </c>
      <c r="O191" s="3">
        <f t="shared" si="20"/>
        <v>9.2000000000000011</v>
      </c>
      <c r="P191" s="3">
        <f t="shared" si="25"/>
        <v>88.899999999999963</v>
      </c>
      <c r="Q191" s="3">
        <v>156</v>
      </c>
      <c r="R191" s="3">
        <f t="shared" si="27"/>
        <v>1.0166666666666666</v>
      </c>
      <c r="S191" s="3">
        <f t="shared" si="21"/>
        <v>0.71166666666666656</v>
      </c>
      <c r="T191" s="28">
        <f t="shared" si="22"/>
        <v>9.1883333333333344</v>
      </c>
      <c r="U191" s="28">
        <f t="shared" si="26"/>
        <v>114.49867965367959</v>
      </c>
      <c r="V191" s="33" t="s">
        <v>56</v>
      </c>
      <c r="W191" s="3">
        <v>428.3</v>
      </c>
      <c r="Y191" s="3">
        <f t="shared" si="24"/>
        <v>82121.999999999927</v>
      </c>
      <c r="Z191" s="3">
        <f t="shared" si="29"/>
        <v>1464.4</v>
      </c>
      <c r="AA191" s="3">
        <v>9.2980007922156727</v>
      </c>
    </row>
    <row r="192" spans="1:28" s="3" customFormat="1" x14ac:dyDescent="0.25">
      <c r="A192" s="3">
        <v>5400</v>
      </c>
      <c r="B192" s="3">
        <v>24010</v>
      </c>
      <c r="C192" s="7">
        <v>42770</v>
      </c>
      <c r="F192" s="62"/>
      <c r="G192" s="3">
        <v>5.5</v>
      </c>
      <c r="H192" s="3">
        <v>5.3</v>
      </c>
      <c r="I192" s="3">
        <v>5.9</v>
      </c>
      <c r="J192" s="3">
        <f t="shared" si="23"/>
        <v>1291.0000000000002</v>
      </c>
      <c r="K192" s="3">
        <f t="shared" si="28"/>
        <v>61.9</v>
      </c>
      <c r="L192" s="11">
        <f>MAX(I185:I247)</f>
        <v>21.1</v>
      </c>
      <c r="M192" s="3">
        <v>6.1</v>
      </c>
      <c r="N192" s="3">
        <v>0.3</v>
      </c>
      <c r="O192" s="3">
        <f t="shared" si="20"/>
        <v>5.8</v>
      </c>
      <c r="P192" s="3">
        <f t="shared" si="25"/>
        <v>94.69999999999996</v>
      </c>
      <c r="Q192" s="3">
        <v>157</v>
      </c>
      <c r="R192" s="3">
        <f t="shared" si="27"/>
        <v>1.019047619047619</v>
      </c>
      <c r="S192" s="3">
        <f t="shared" si="21"/>
        <v>0.30571428571428566</v>
      </c>
      <c r="T192" s="28">
        <f t="shared" si="22"/>
        <v>5.7942857142857136</v>
      </c>
      <c r="U192" s="28">
        <f t="shared" si="26"/>
        <v>120.29296536796531</v>
      </c>
      <c r="V192" s="28">
        <f>MAX(U185:U247)</f>
        <v>153.9</v>
      </c>
      <c r="W192" s="3">
        <v>137.9</v>
      </c>
      <c r="Y192" s="3">
        <f t="shared" si="24"/>
        <v>82259.899999999921</v>
      </c>
      <c r="Z192" s="3">
        <f t="shared" si="29"/>
        <v>1602.3000000000002</v>
      </c>
      <c r="AA192" s="3">
        <v>9.3474412606134152</v>
      </c>
    </row>
    <row r="193" spans="1:27" s="3" customFormat="1" x14ac:dyDescent="0.25">
      <c r="A193" s="3">
        <v>5400</v>
      </c>
      <c r="B193" s="3">
        <v>24010</v>
      </c>
      <c r="C193" s="7">
        <v>42771</v>
      </c>
      <c r="F193" s="62"/>
      <c r="G193" s="3">
        <v>6.6</v>
      </c>
      <c r="H193" s="3">
        <v>5</v>
      </c>
      <c r="I193" s="3">
        <v>9.3000000000000007</v>
      </c>
      <c r="J193" s="3">
        <f t="shared" si="23"/>
        <v>1297.6000000000001</v>
      </c>
      <c r="K193" s="3">
        <f t="shared" si="28"/>
        <v>68.5</v>
      </c>
      <c r="L193" s="14" t="s">
        <v>43</v>
      </c>
      <c r="M193" s="3">
        <v>1.6</v>
      </c>
      <c r="N193" s="3">
        <v>0.5</v>
      </c>
      <c r="O193" s="3">
        <f t="shared" si="20"/>
        <v>1.1000000000000001</v>
      </c>
      <c r="P193" s="3">
        <f t="shared" si="25"/>
        <v>95.799999999999955</v>
      </c>
      <c r="Q193" s="3">
        <v>158</v>
      </c>
      <c r="R193" s="3">
        <f t="shared" si="27"/>
        <v>1.0214285714285714</v>
      </c>
      <c r="S193" s="3">
        <f t="shared" si="21"/>
        <v>0.51071428571428568</v>
      </c>
      <c r="T193" s="28">
        <f t="shared" si="22"/>
        <v>1.0892857142857144</v>
      </c>
      <c r="U193" s="28">
        <f t="shared" si="26"/>
        <v>121.38225108225102</v>
      </c>
      <c r="V193" s="33" t="s">
        <v>57</v>
      </c>
      <c r="W193" s="3">
        <v>202.6</v>
      </c>
      <c r="Y193" s="3">
        <f t="shared" si="24"/>
        <v>82462.499999999927</v>
      </c>
      <c r="Z193" s="3">
        <f t="shared" si="29"/>
        <v>1804.9</v>
      </c>
      <c r="AA193" s="3">
        <v>9.397484363988978</v>
      </c>
    </row>
    <row r="194" spans="1:27" s="3" customFormat="1" x14ac:dyDescent="0.25">
      <c r="A194" s="3">
        <v>5400</v>
      </c>
      <c r="B194" s="3">
        <v>24010</v>
      </c>
      <c r="C194" s="7">
        <v>42772</v>
      </c>
      <c r="F194" s="62"/>
      <c r="G194" s="3">
        <v>5.6</v>
      </c>
      <c r="H194" s="3">
        <v>3.8</v>
      </c>
      <c r="I194" s="3">
        <v>7.3</v>
      </c>
      <c r="J194" s="3">
        <f t="shared" si="23"/>
        <v>1303.2</v>
      </c>
      <c r="K194" s="3">
        <f t="shared" si="28"/>
        <v>74.099999999999994</v>
      </c>
      <c r="L194" s="11">
        <v>0</v>
      </c>
      <c r="M194" s="3">
        <v>5.4</v>
      </c>
      <c r="N194" s="3">
        <v>0.4</v>
      </c>
      <c r="O194" s="3">
        <f t="shared" si="20"/>
        <v>5</v>
      </c>
      <c r="P194" s="3">
        <f t="shared" si="25"/>
        <v>100.79999999999995</v>
      </c>
      <c r="Q194" s="3">
        <v>159</v>
      </c>
      <c r="R194" s="3">
        <f t="shared" si="27"/>
        <v>1.0238095238095237</v>
      </c>
      <c r="S194" s="3">
        <f t="shared" si="21"/>
        <v>0.40952380952380951</v>
      </c>
      <c r="T194" s="28">
        <f t="shared" si="22"/>
        <v>4.9904761904761905</v>
      </c>
      <c r="U194" s="28">
        <f t="shared" si="26"/>
        <v>126.3727272727272</v>
      </c>
      <c r="V194" s="28">
        <f>AVERAGE(U185:U247)</f>
        <v>132.71779804851226</v>
      </c>
      <c r="W194" s="3">
        <v>316.60000000000002</v>
      </c>
      <c r="Y194" s="3">
        <f t="shared" si="24"/>
        <v>82779.099999999933</v>
      </c>
      <c r="Z194" s="3">
        <f t="shared" si="29"/>
        <v>2121.5</v>
      </c>
      <c r="AA194" s="3">
        <v>9.448108777227672</v>
      </c>
    </row>
    <row r="195" spans="1:27" s="3" customFormat="1" x14ac:dyDescent="0.25">
      <c r="A195" s="3">
        <v>5400</v>
      </c>
      <c r="B195" s="3">
        <v>24010</v>
      </c>
      <c r="C195" s="7">
        <v>42773</v>
      </c>
      <c r="F195" s="62"/>
      <c r="G195" s="3">
        <v>7</v>
      </c>
      <c r="H195" s="3">
        <v>4.9000000000000004</v>
      </c>
      <c r="I195" s="3">
        <v>10.5</v>
      </c>
      <c r="J195" s="3">
        <f t="shared" si="23"/>
        <v>1310.2</v>
      </c>
      <c r="K195" s="3">
        <f t="shared" si="28"/>
        <v>81.099999999999994</v>
      </c>
      <c r="L195" s="14" t="s">
        <v>44</v>
      </c>
      <c r="M195" s="3">
        <v>0.6</v>
      </c>
      <c r="N195" s="3">
        <v>0.7</v>
      </c>
      <c r="O195" s="3">
        <f t="shared" si="20"/>
        <v>-9.9999999999999978E-2</v>
      </c>
      <c r="P195" s="3">
        <f t="shared" si="25"/>
        <v>100.69999999999996</v>
      </c>
      <c r="Q195" s="3">
        <v>160</v>
      </c>
      <c r="R195" s="3">
        <f t="shared" si="27"/>
        <v>1.0261904761904761</v>
      </c>
      <c r="S195" s="3">
        <f t="shared" si="21"/>
        <v>0.71833333333333327</v>
      </c>
      <c r="T195" s="28">
        <f t="shared" si="22"/>
        <v>-0.11833333333333329</v>
      </c>
      <c r="U195" s="28">
        <f t="shared" si="26"/>
        <v>126.25439393939386</v>
      </c>
      <c r="W195" s="3">
        <v>487</v>
      </c>
      <c r="Y195" s="3">
        <f t="shared" si="24"/>
        <v>83266.099999999933</v>
      </c>
      <c r="Z195" s="3">
        <f t="shared" si="29"/>
        <v>2608.5</v>
      </c>
      <c r="AA195" s="3">
        <v>9.4992935712022106</v>
      </c>
    </row>
    <row r="196" spans="1:27" s="3" customFormat="1" x14ac:dyDescent="0.25">
      <c r="A196" s="3">
        <v>5400</v>
      </c>
      <c r="B196" s="3">
        <v>24010</v>
      </c>
      <c r="C196" s="7">
        <v>42774</v>
      </c>
      <c r="F196" s="62"/>
      <c r="G196" s="3">
        <v>5.7</v>
      </c>
      <c r="H196" s="3">
        <v>4.5</v>
      </c>
      <c r="I196" s="3">
        <v>7.4</v>
      </c>
      <c r="J196" s="3">
        <f t="shared" si="23"/>
        <v>1315.9</v>
      </c>
      <c r="K196" s="3">
        <f t="shared" si="28"/>
        <v>86.8</v>
      </c>
      <c r="L196" s="11">
        <v>24</v>
      </c>
      <c r="M196" s="3">
        <v>0</v>
      </c>
      <c r="N196" s="3">
        <v>0.5</v>
      </c>
      <c r="O196" s="3">
        <f t="shared" si="20"/>
        <v>-0.5</v>
      </c>
      <c r="P196" s="3">
        <f t="shared" si="25"/>
        <v>100.19999999999996</v>
      </c>
      <c r="Q196" s="3">
        <v>161</v>
      </c>
      <c r="R196" s="3">
        <f t="shared" si="27"/>
        <v>1.0285714285714285</v>
      </c>
      <c r="S196" s="3">
        <f t="shared" si="21"/>
        <v>0.51428571428571423</v>
      </c>
      <c r="T196" s="28">
        <f t="shared" si="22"/>
        <v>-0.51428571428571423</v>
      </c>
      <c r="U196" s="28">
        <f t="shared" si="26"/>
        <v>125.74010822510814</v>
      </c>
      <c r="V196" s="45">
        <f>(V194*100)/153.9</f>
        <v>86.236385996434223</v>
      </c>
      <c r="W196" s="3">
        <v>241.5</v>
      </c>
      <c r="Y196" s="3">
        <f t="shared" si="24"/>
        <v>83507.599999999933</v>
      </c>
      <c r="Z196" s="3">
        <f t="shared" si="29"/>
        <v>2850</v>
      </c>
      <c r="AA196" s="3">
        <v>9.5510182235205381</v>
      </c>
    </row>
    <row r="197" spans="1:27" s="3" customFormat="1" x14ac:dyDescent="0.25">
      <c r="A197" s="3">
        <v>5400</v>
      </c>
      <c r="B197" s="3">
        <v>24010</v>
      </c>
      <c r="C197" s="7">
        <v>42775</v>
      </c>
      <c r="F197" s="62"/>
      <c r="G197" s="3">
        <v>2.4</v>
      </c>
      <c r="H197" s="3">
        <v>1.3</v>
      </c>
      <c r="I197" s="3">
        <v>4.3</v>
      </c>
      <c r="J197" s="3">
        <f t="shared" si="23"/>
        <v>1318.3000000000002</v>
      </c>
      <c r="K197" s="3">
        <f t="shared" si="28"/>
        <v>89.2</v>
      </c>
      <c r="L197" s="14" t="s">
        <v>45</v>
      </c>
      <c r="M197" s="3">
        <v>0</v>
      </c>
      <c r="N197" s="3">
        <v>0.3</v>
      </c>
      <c r="O197" s="3">
        <f t="shared" si="20"/>
        <v>-0.3</v>
      </c>
      <c r="P197" s="3">
        <f t="shared" si="25"/>
        <v>99.899999999999963</v>
      </c>
      <c r="Q197" s="3">
        <v>162</v>
      </c>
      <c r="R197" s="3">
        <f t="shared" si="27"/>
        <v>1.0309523809523808</v>
      </c>
      <c r="S197" s="3">
        <f t="shared" si="21"/>
        <v>0.30928571428571422</v>
      </c>
      <c r="T197" s="28">
        <f t="shared" si="22"/>
        <v>-0.30928571428571422</v>
      </c>
      <c r="U197" s="28">
        <f t="shared" si="26"/>
        <v>125.43082251082242</v>
      </c>
      <c r="W197" s="3">
        <v>240.1</v>
      </c>
      <c r="Y197" s="3">
        <f t="shared" si="24"/>
        <v>83747.699999999939</v>
      </c>
      <c r="Z197" s="3">
        <f t="shared" si="29"/>
        <v>3090.1</v>
      </c>
      <c r="AA197" s="3">
        <v>9.6032626275097996</v>
      </c>
    </row>
    <row r="198" spans="1:27" s="3" customFormat="1" x14ac:dyDescent="0.25">
      <c r="A198" s="3">
        <v>5400</v>
      </c>
      <c r="B198" s="3">
        <v>24010</v>
      </c>
      <c r="C198" s="7">
        <v>42776</v>
      </c>
      <c r="F198" s="62"/>
      <c r="G198" s="3">
        <v>0.5</v>
      </c>
      <c r="H198" s="3">
        <v>-0.1</v>
      </c>
      <c r="I198" s="3">
        <v>2</v>
      </c>
      <c r="J198" s="3">
        <f t="shared" si="23"/>
        <v>1318.8000000000002</v>
      </c>
      <c r="K198" s="3">
        <f t="shared" si="28"/>
        <v>89.7</v>
      </c>
      <c r="L198" s="11">
        <v>4</v>
      </c>
      <c r="M198" s="3">
        <v>0</v>
      </c>
      <c r="N198" s="3">
        <v>0.3</v>
      </c>
      <c r="O198" s="3">
        <f t="shared" si="20"/>
        <v>-0.3</v>
      </c>
      <c r="P198" s="3">
        <f t="shared" si="25"/>
        <v>99.599999999999966</v>
      </c>
      <c r="Q198" s="3">
        <v>163</v>
      </c>
      <c r="R198" s="3">
        <f t="shared" si="27"/>
        <v>1.0333333333333332</v>
      </c>
      <c r="S198" s="3">
        <f t="shared" si="21"/>
        <v>0.30999999999999994</v>
      </c>
      <c r="T198" s="28">
        <f t="shared" si="22"/>
        <v>-0.30999999999999994</v>
      </c>
      <c r="U198" s="28">
        <f t="shared" si="26"/>
        <v>125.12082251082242</v>
      </c>
      <c r="W198" s="3">
        <v>220.8</v>
      </c>
      <c r="Y198" s="3">
        <f t="shared" si="24"/>
        <v>83968.499999999942</v>
      </c>
      <c r="Z198" s="3">
        <f t="shared" si="29"/>
        <v>3310.9</v>
      </c>
      <c r="AA198" s="3">
        <v>9.6560070995092708</v>
      </c>
    </row>
    <row r="199" spans="1:27" s="3" customFormat="1" x14ac:dyDescent="0.25">
      <c r="A199" s="3">
        <v>5400</v>
      </c>
      <c r="B199" s="3">
        <v>24010</v>
      </c>
      <c r="C199" s="7">
        <v>42777</v>
      </c>
      <c r="F199" s="62"/>
      <c r="G199" s="3">
        <v>0.2</v>
      </c>
      <c r="H199" s="3">
        <v>-1.5</v>
      </c>
      <c r="I199" s="3">
        <v>1.1000000000000001</v>
      </c>
      <c r="J199" s="3">
        <f t="shared" si="23"/>
        <v>1319.0000000000002</v>
      </c>
      <c r="K199" s="3">
        <f t="shared" si="28"/>
        <v>89.9</v>
      </c>
      <c r="L199" s="23"/>
      <c r="M199" s="3">
        <v>0</v>
      </c>
      <c r="N199" s="3">
        <v>0.2</v>
      </c>
      <c r="O199" s="3">
        <f t="shared" si="20"/>
        <v>-0.2</v>
      </c>
      <c r="P199" s="3">
        <f t="shared" si="25"/>
        <v>99.399999999999963</v>
      </c>
      <c r="Q199" s="3">
        <v>164</v>
      </c>
      <c r="R199" s="3">
        <f t="shared" si="27"/>
        <v>1.0357142857142856</v>
      </c>
      <c r="S199" s="3">
        <f t="shared" si="21"/>
        <v>0.20714285714285713</v>
      </c>
      <c r="T199" s="28">
        <f t="shared" si="22"/>
        <v>-0.20714285714285713</v>
      </c>
      <c r="U199" s="28">
        <f t="shared" si="26"/>
        <v>124.91367965367957</v>
      </c>
      <c r="W199" s="3">
        <v>254.1</v>
      </c>
      <c r="Y199" s="3">
        <f t="shared" si="24"/>
        <v>84222.599999999948</v>
      </c>
      <c r="Z199" s="3">
        <f t="shared" si="29"/>
        <v>3565</v>
      </c>
      <c r="AA199" s="3">
        <v>9.7092323845463948</v>
      </c>
    </row>
    <row r="200" spans="1:27" s="3" customFormat="1" x14ac:dyDescent="0.25">
      <c r="A200" s="3">
        <v>5400</v>
      </c>
      <c r="B200" s="3">
        <v>24010</v>
      </c>
      <c r="C200" s="7">
        <v>42778</v>
      </c>
      <c r="F200" s="62"/>
      <c r="G200" s="3">
        <v>3.3</v>
      </c>
      <c r="H200" s="3">
        <v>0</v>
      </c>
      <c r="I200" s="3">
        <v>6.9</v>
      </c>
      <c r="J200" s="3">
        <f t="shared" si="23"/>
        <v>1322.3000000000002</v>
      </c>
      <c r="K200" s="3">
        <f t="shared" si="28"/>
        <v>93.2</v>
      </c>
      <c r="L200" s="23"/>
      <c r="M200" s="3">
        <v>0</v>
      </c>
      <c r="N200" s="3">
        <v>0.4</v>
      </c>
      <c r="O200" s="3">
        <f t="shared" si="20"/>
        <v>-0.4</v>
      </c>
      <c r="P200" s="3">
        <f t="shared" si="25"/>
        <v>98.999999999999957</v>
      </c>
      <c r="Q200" s="3">
        <v>165</v>
      </c>
      <c r="R200" s="3">
        <f t="shared" si="27"/>
        <v>1.038095238095238</v>
      </c>
      <c r="S200" s="3">
        <f t="shared" si="21"/>
        <v>0.41523809523809518</v>
      </c>
      <c r="T200" s="28">
        <f t="shared" si="22"/>
        <v>-0.41523809523809518</v>
      </c>
      <c r="U200" s="28">
        <f t="shared" si="26"/>
        <v>124.49844155844147</v>
      </c>
      <c r="W200" s="3">
        <v>137.9</v>
      </c>
      <c r="Y200" s="3">
        <f t="shared" si="24"/>
        <v>84360.499999999942</v>
      </c>
      <c r="Z200" s="3">
        <f t="shared" si="29"/>
        <v>3702.9</v>
      </c>
      <c r="AA200" s="3">
        <v>9.7629196604709403</v>
      </c>
    </row>
    <row r="201" spans="1:27" s="3" customFormat="1" x14ac:dyDescent="0.25">
      <c r="A201" s="3">
        <v>5400</v>
      </c>
      <c r="B201" s="3">
        <v>24010</v>
      </c>
      <c r="C201" s="7">
        <v>42779</v>
      </c>
      <c r="F201" s="62"/>
      <c r="G201" s="3">
        <v>6.4</v>
      </c>
      <c r="H201" s="3">
        <v>3.5</v>
      </c>
      <c r="I201" s="3">
        <v>9.5</v>
      </c>
      <c r="J201" s="3">
        <f t="shared" si="23"/>
        <v>1328.7000000000003</v>
      </c>
      <c r="K201" s="3">
        <f t="shared" si="28"/>
        <v>99.600000000000009</v>
      </c>
      <c r="L201" s="23"/>
      <c r="M201" s="3">
        <v>0.3</v>
      </c>
      <c r="N201" s="3">
        <v>1.2</v>
      </c>
      <c r="O201" s="3">
        <f t="shared" si="20"/>
        <v>-0.89999999999999991</v>
      </c>
      <c r="P201" s="3">
        <f t="shared" si="25"/>
        <v>98.099999999999952</v>
      </c>
      <c r="Q201" s="3">
        <v>166</v>
      </c>
      <c r="R201" s="3">
        <f t="shared" si="27"/>
        <v>1.0404761904761906</v>
      </c>
      <c r="S201" s="3">
        <f t="shared" si="21"/>
        <v>1.2485714285714287</v>
      </c>
      <c r="T201" s="28">
        <f t="shared" si="22"/>
        <v>-0.94857142857142862</v>
      </c>
      <c r="U201" s="28">
        <f t="shared" si="26"/>
        <v>123.54987012987004</v>
      </c>
      <c r="W201" s="3">
        <v>895.9</v>
      </c>
      <c r="Y201" s="3">
        <f t="shared" si="24"/>
        <v>85256.399999999936</v>
      </c>
      <c r="Z201" s="3">
        <f t="shared" si="29"/>
        <v>4598.8</v>
      </c>
      <c r="AA201" s="3">
        <v>9.8170505406225779</v>
      </c>
    </row>
    <row r="202" spans="1:27" s="3" customFormat="1" x14ac:dyDescent="0.25">
      <c r="A202" s="3">
        <v>5400</v>
      </c>
      <c r="B202" s="3">
        <v>24010</v>
      </c>
      <c r="C202" s="7">
        <v>42780</v>
      </c>
      <c r="F202" s="62"/>
      <c r="G202" s="3">
        <v>9.1999999999999993</v>
      </c>
      <c r="H202" s="3">
        <v>5.4</v>
      </c>
      <c r="I202" s="3">
        <v>12.3</v>
      </c>
      <c r="J202" s="3">
        <f t="shared" si="23"/>
        <v>1337.9000000000003</v>
      </c>
      <c r="K202" s="3">
        <f t="shared" si="28"/>
        <v>108.80000000000001</v>
      </c>
      <c r="L202" s="23"/>
      <c r="M202" s="3">
        <v>0</v>
      </c>
      <c r="N202" s="3">
        <v>0.4</v>
      </c>
      <c r="O202" s="3">
        <f t="shared" si="20"/>
        <v>-0.4</v>
      </c>
      <c r="P202" s="3">
        <f t="shared" si="25"/>
        <v>97.699999999999946</v>
      </c>
      <c r="Q202" s="3">
        <v>167</v>
      </c>
      <c r="R202" s="3">
        <f t="shared" si="27"/>
        <v>1.0428571428571429</v>
      </c>
      <c r="S202" s="3">
        <f t="shared" si="21"/>
        <v>0.4171428571428572</v>
      </c>
      <c r="T202" s="28">
        <f t="shared" si="22"/>
        <v>-0.4171428571428572</v>
      </c>
      <c r="U202" s="28">
        <f t="shared" si="26"/>
        <v>123.13272727272718</v>
      </c>
      <c r="W202" s="3">
        <v>274.5</v>
      </c>
      <c r="Y202" s="3">
        <f t="shared" si="24"/>
        <v>85530.899999999936</v>
      </c>
      <c r="Z202" s="3">
        <f t="shared" si="29"/>
        <v>4873.3</v>
      </c>
      <c r="AA202" s="3">
        <v>9.8716070751068781</v>
      </c>
    </row>
    <row r="203" spans="1:27" s="3" customFormat="1" x14ac:dyDescent="0.25">
      <c r="A203" s="3">
        <v>5400</v>
      </c>
      <c r="B203" s="3">
        <v>24010</v>
      </c>
      <c r="C203" s="7">
        <v>42781</v>
      </c>
      <c r="F203" s="62"/>
      <c r="G203" s="3">
        <v>10.3</v>
      </c>
      <c r="H203" s="3">
        <v>7.8</v>
      </c>
      <c r="I203" s="3">
        <v>14.7</v>
      </c>
      <c r="J203" s="3">
        <f t="shared" si="23"/>
        <v>1348.2000000000003</v>
      </c>
      <c r="K203" s="3">
        <f t="shared" si="28"/>
        <v>119.10000000000001</v>
      </c>
      <c r="L203" s="23"/>
      <c r="M203" s="3">
        <v>1.2</v>
      </c>
      <c r="N203" s="3">
        <v>1.3</v>
      </c>
      <c r="O203" s="3">
        <f t="shared" si="20"/>
        <v>-0.10000000000000009</v>
      </c>
      <c r="P203" s="3">
        <f t="shared" si="25"/>
        <v>97.599999999999952</v>
      </c>
      <c r="Q203" s="3">
        <v>168</v>
      </c>
      <c r="R203" s="3">
        <f t="shared" si="27"/>
        <v>1.0452380952380953</v>
      </c>
      <c r="S203" s="3">
        <f t="shared" si="21"/>
        <v>1.3588095238095239</v>
      </c>
      <c r="T203" s="28">
        <f t="shared" si="22"/>
        <v>-0.15880952380952396</v>
      </c>
      <c r="U203" s="28">
        <f t="shared" si="26"/>
        <v>122.97391774891766</v>
      </c>
      <c r="W203" s="3">
        <v>875.3</v>
      </c>
      <c r="Y203" s="3">
        <f t="shared" si="24"/>
        <v>86406.199999999939</v>
      </c>
      <c r="Z203" s="3">
        <f t="shared" si="29"/>
        <v>5748.6</v>
      </c>
      <c r="AA203" s="3">
        <v>9.9265717507541886</v>
      </c>
    </row>
    <row r="204" spans="1:27" s="3" customFormat="1" x14ac:dyDescent="0.25">
      <c r="A204" s="3">
        <v>5400</v>
      </c>
      <c r="B204" s="3">
        <v>24010</v>
      </c>
      <c r="C204" s="7">
        <v>42782</v>
      </c>
      <c r="F204" s="62"/>
      <c r="G204" s="3">
        <v>8.6</v>
      </c>
      <c r="H204" s="3">
        <v>5.7</v>
      </c>
      <c r="I204" s="3">
        <v>12.4</v>
      </c>
      <c r="J204" s="3">
        <f t="shared" si="23"/>
        <v>1356.8000000000002</v>
      </c>
      <c r="K204" s="3">
        <f t="shared" si="28"/>
        <v>127.7</v>
      </c>
      <c r="L204" s="23"/>
      <c r="M204" s="3">
        <v>1.7</v>
      </c>
      <c r="N204" s="3">
        <v>0.6</v>
      </c>
      <c r="O204" s="3">
        <f t="shared" si="20"/>
        <v>1.1000000000000001</v>
      </c>
      <c r="P204" s="3">
        <f t="shared" si="25"/>
        <v>98.699999999999946</v>
      </c>
      <c r="Q204" s="3">
        <v>169</v>
      </c>
      <c r="R204" s="3">
        <f t="shared" si="27"/>
        <v>1.0476190476190477</v>
      </c>
      <c r="S204" s="3">
        <f t="shared" si="21"/>
        <v>0.62857142857142856</v>
      </c>
      <c r="T204" s="28">
        <f t="shared" si="22"/>
        <v>1.0714285714285714</v>
      </c>
      <c r="U204" s="28">
        <f t="shared" si="26"/>
        <v>124.04534632034623</v>
      </c>
      <c r="W204" s="3">
        <v>462.3</v>
      </c>
      <c r="Y204" s="3">
        <f t="shared" si="24"/>
        <v>86868.499999999942</v>
      </c>
      <c r="Z204" s="3">
        <f t="shared" si="29"/>
        <v>6210.9000000000005</v>
      </c>
      <c r="AA204" s="3">
        <v>9.9819274898346588</v>
      </c>
    </row>
    <row r="205" spans="1:27" s="3" customFormat="1" x14ac:dyDescent="0.25">
      <c r="A205" s="3">
        <v>5400</v>
      </c>
      <c r="B205" s="3">
        <v>24010</v>
      </c>
      <c r="C205" s="7">
        <v>42783</v>
      </c>
      <c r="F205" s="62"/>
      <c r="G205" s="3">
        <v>4.5999999999999996</v>
      </c>
      <c r="H205" s="3">
        <v>2.8</v>
      </c>
      <c r="I205" s="3">
        <v>7.4</v>
      </c>
      <c r="J205" s="3">
        <f t="shared" si="23"/>
        <v>1361.4</v>
      </c>
      <c r="K205" s="3">
        <f t="shared" si="28"/>
        <v>132.30000000000001</v>
      </c>
      <c r="L205" s="23"/>
      <c r="M205" s="3">
        <v>0</v>
      </c>
      <c r="N205" s="3">
        <v>0.6</v>
      </c>
      <c r="O205" s="3">
        <f t="shared" si="20"/>
        <v>-0.6</v>
      </c>
      <c r="P205" s="3">
        <f t="shared" si="25"/>
        <v>98.099999999999952</v>
      </c>
      <c r="Q205" s="3">
        <v>170</v>
      </c>
      <c r="R205" s="3">
        <f t="shared" si="27"/>
        <v>1.05</v>
      </c>
      <c r="S205" s="3">
        <f t="shared" si="21"/>
        <v>0.63</v>
      </c>
      <c r="T205" s="28">
        <f t="shared" si="22"/>
        <v>-0.63</v>
      </c>
      <c r="U205" s="28">
        <f t="shared" si="26"/>
        <v>123.41534632034623</v>
      </c>
      <c r="W205" s="3">
        <v>450.9</v>
      </c>
      <c r="Y205" s="3">
        <f t="shared" si="24"/>
        <v>87319.399999999936</v>
      </c>
      <c r="Z205" s="3">
        <f t="shared" si="29"/>
        <v>6661.8</v>
      </c>
      <c r="AA205" s="3">
        <v>10.037657647601433</v>
      </c>
    </row>
    <row r="206" spans="1:27" s="3" customFormat="1" x14ac:dyDescent="0.25">
      <c r="A206" s="3">
        <v>5400</v>
      </c>
      <c r="B206" s="3">
        <v>24010</v>
      </c>
      <c r="C206" s="7">
        <v>42784</v>
      </c>
      <c r="F206" s="62"/>
      <c r="G206" s="3">
        <v>4.5</v>
      </c>
      <c r="H206" s="3">
        <v>0.6</v>
      </c>
      <c r="I206" s="3">
        <v>9.5</v>
      </c>
      <c r="J206" s="3">
        <f t="shared" si="23"/>
        <v>1365.9</v>
      </c>
      <c r="K206" s="3">
        <f t="shared" si="28"/>
        <v>136.80000000000001</v>
      </c>
      <c r="L206" s="23"/>
      <c r="M206" s="3">
        <v>0</v>
      </c>
      <c r="N206" s="3">
        <v>1.1000000000000001</v>
      </c>
      <c r="O206" s="3">
        <f t="shared" si="20"/>
        <v>-1.1000000000000001</v>
      </c>
      <c r="P206" s="3">
        <f t="shared" si="25"/>
        <v>96.999999999999957</v>
      </c>
      <c r="Q206" s="3">
        <v>171</v>
      </c>
      <c r="R206" s="3">
        <f t="shared" si="27"/>
        <v>1.0523809523809524</v>
      </c>
      <c r="S206" s="3">
        <f t="shared" si="21"/>
        <v>1.1576190476190478</v>
      </c>
      <c r="T206" s="28">
        <f t="shared" si="22"/>
        <v>-1.1576190476190478</v>
      </c>
      <c r="U206" s="28">
        <f t="shared" si="26"/>
        <v>122.25772727272718</v>
      </c>
      <c r="W206" s="3">
        <v>1001.3</v>
      </c>
      <c r="Y206" s="3">
        <f t="shared" si="24"/>
        <v>88320.699999999939</v>
      </c>
      <c r="Z206" s="3">
        <f t="shared" si="29"/>
        <v>7663.1</v>
      </c>
      <c r="AA206" s="3">
        <v>10.093746008732278</v>
      </c>
    </row>
    <row r="207" spans="1:27" s="3" customFormat="1" x14ac:dyDescent="0.25">
      <c r="A207" s="3">
        <v>5400</v>
      </c>
      <c r="B207" s="3">
        <v>24010</v>
      </c>
      <c r="C207" s="7">
        <v>42785</v>
      </c>
      <c r="F207" s="62"/>
      <c r="G207" s="3">
        <v>5.0999999999999996</v>
      </c>
      <c r="H207" s="3">
        <v>-2.4</v>
      </c>
      <c r="I207" s="3">
        <v>9.3000000000000007</v>
      </c>
      <c r="J207" s="3">
        <f t="shared" si="23"/>
        <v>1371</v>
      </c>
      <c r="K207" s="3">
        <f t="shared" si="28"/>
        <v>141.9</v>
      </c>
      <c r="L207" s="23"/>
      <c r="M207" s="3">
        <v>0.2</v>
      </c>
      <c r="N207" s="3">
        <v>0.6</v>
      </c>
      <c r="O207" s="3">
        <f t="shared" si="20"/>
        <v>-0.39999999999999997</v>
      </c>
      <c r="P207" s="3">
        <f t="shared" si="25"/>
        <v>96.599999999999952</v>
      </c>
      <c r="Q207" s="3">
        <v>172</v>
      </c>
      <c r="R207" s="3">
        <f t="shared" si="27"/>
        <v>1.0547619047619048</v>
      </c>
      <c r="S207" s="3">
        <f t="shared" si="21"/>
        <v>0.6328571428571429</v>
      </c>
      <c r="T207" s="28">
        <f t="shared" si="22"/>
        <v>-0.43285714285714288</v>
      </c>
      <c r="U207" s="28">
        <f t="shared" si="26"/>
        <v>121.82487012987004</v>
      </c>
      <c r="W207" s="3">
        <v>762.7</v>
      </c>
      <c r="Y207" s="3">
        <f t="shared" si="24"/>
        <v>89083.399999999936</v>
      </c>
      <c r="Z207" s="3">
        <f t="shared" si="29"/>
        <v>8425.8000000000011</v>
      </c>
      <c r="AA207" s="3">
        <v>10.150176782738047</v>
      </c>
    </row>
    <row r="208" spans="1:27" s="3" customFormat="1" x14ac:dyDescent="0.25">
      <c r="A208" s="3">
        <v>5400</v>
      </c>
      <c r="B208" s="3">
        <v>24010</v>
      </c>
      <c r="C208" s="7">
        <v>42786</v>
      </c>
      <c r="F208" s="62"/>
      <c r="G208" s="3">
        <v>9.1999999999999993</v>
      </c>
      <c r="H208" s="3">
        <v>6.8</v>
      </c>
      <c r="I208" s="3">
        <v>11</v>
      </c>
      <c r="J208" s="3">
        <f t="shared" si="23"/>
        <v>1380.2</v>
      </c>
      <c r="K208" s="3">
        <f t="shared" si="28"/>
        <v>151.1</v>
      </c>
      <c r="L208" s="23"/>
      <c r="M208" s="3">
        <v>0.2</v>
      </c>
      <c r="N208" s="3">
        <v>0.2</v>
      </c>
      <c r="O208" s="3">
        <f t="shared" si="20"/>
        <v>0</v>
      </c>
      <c r="P208" s="3">
        <f t="shared" si="25"/>
        <v>96.599999999999952</v>
      </c>
      <c r="Q208" s="3">
        <v>173</v>
      </c>
      <c r="R208" s="3">
        <f t="shared" si="27"/>
        <v>1.0571428571428572</v>
      </c>
      <c r="S208" s="3">
        <f t="shared" si="21"/>
        <v>0.21142857142857144</v>
      </c>
      <c r="T208" s="28">
        <f t="shared" si="22"/>
        <v>-1.1428571428571427E-2</v>
      </c>
      <c r="U208" s="28">
        <f t="shared" si="26"/>
        <v>121.81344155844147</v>
      </c>
      <c r="W208" s="3">
        <v>183.3</v>
      </c>
      <c r="Y208" s="3">
        <f t="shared" si="24"/>
        <v>89266.699999999939</v>
      </c>
      <c r="Z208" s="3">
        <f t="shared" si="29"/>
        <v>8609.1</v>
      </c>
      <c r="AA208" s="3">
        <v>10.206934598404168</v>
      </c>
    </row>
    <row r="209" spans="1:28" s="3" customFormat="1" x14ac:dyDescent="0.25">
      <c r="A209" s="3">
        <v>5400</v>
      </c>
      <c r="B209" s="3">
        <v>24010</v>
      </c>
      <c r="C209" s="7">
        <v>42787</v>
      </c>
      <c r="F209" s="62"/>
      <c r="G209" s="3">
        <v>10.6</v>
      </c>
      <c r="H209" s="3">
        <v>9.6999999999999993</v>
      </c>
      <c r="I209" s="3">
        <v>11.2</v>
      </c>
      <c r="J209" s="3">
        <f t="shared" si="23"/>
        <v>1390.8</v>
      </c>
      <c r="K209" s="3">
        <f t="shared" si="28"/>
        <v>161.69999999999999</v>
      </c>
      <c r="L209" s="23"/>
      <c r="M209" s="3">
        <v>0</v>
      </c>
      <c r="N209" s="3">
        <v>0.3</v>
      </c>
      <c r="O209" s="3">
        <f t="shared" si="20"/>
        <v>-0.3</v>
      </c>
      <c r="P209" s="3">
        <f t="shared" si="25"/>
        <v>96.299999999999955</v>
      </c>
      <c r="Q209" s="3">
        <v>174</v>
      </c>
      <c r="R209" s="3">
        <f t="shared" si="27"/>
        <v>1.0595238095238095</v>
      </c>
      <c r="S209" s="3">
        <f t="shared" si="21"/>
        <v>0.31785714285714284</v>
      </c>
      <c r="T209" s="28">
        <f t="shared" si="22"/>
        <v>-0.31785714285714284</v>
      </c>
      <c r="U209" s="28">
        <f t="shared" si="26"/>
        <v>121.49558441558433</v>
      </c>
      <c r="W209" s="3">
        <v>176.1</v>
      </c>
      <c r="Y209" s="3">
        <f t="shared" si="24"/>
        <v>89442.799999999945</v>
      </c>
      <c r="Z209" s="3">
        <f t="shared" si="29"/>
        <v>8785.2000000000007</v>
      </c>
      <c r="AA209" s="3">
        <v>10.264004497329235</v>
      </c>
    </row>
    <row r="210" spans="1:28" s="3" customFormat="1" x14ac:dyDescent="0.25">
      <c r="A210" s="3">
        <v>5400</v>
      </c>
      <c r="B210" s="3">
        <v>24010</v>
      </c>
      <c r="C210" s="7">
        <v>42788</v>
      </c>
      <c r="F210" s="62"/>
      <c r="G210" s="3">
        <v>10.4</v>
      </c>
      <c r="H210" s="3">
        <v>9.6</v>
      </c>
      <c r="I210" s="3">
        <v>11.5</v>
      </c>
      <c r="J210" s="3">
        <f t="shared" si="23"/>
        <v>1401.2</v>
      </c>
      <c r="K210" s="3">
        <f t="shared" si="28"/>
        <v>172.1</v>
      </c>
      <c r="L210" s="23"/>
      <c r="M210" s="3">
        <v>0</v>
      </c>
      <c r="N210" s="3">
        <v>0.9</v>
      </c>
      <c r="O210" s="3">
        <f t="shared" si="20"/>
        <v>-0.9</v>
      </c>
      <c r="P210" s="3">
        <f t="shared" si="25"/>
        <v>95.399999999999949</v>
      </c>
      <c r="Q210" s="3">
        <v>175</v>
      </c>
      <c r="R210" s="3">
        <f t="shared" si="27"/>
        <v>1.0619047619047619</v>
      </c>
      <c r="S210" s="3">
        <f t="shared" si="21"/>
        <v>0.95571428571428574</v>
      </c>
      <c r="T210" s="28">
        <f t="shared" si="22"/>
        <v>-0.95571428571428574</v>
      </c>
      <c r="U210" s="28">
        <f t="shared" si="26"/>
        <v>120.53987012987005</v>
      </c>
      <c r="W210" s="3">
        <v>264.10000000000002</v>
      </c>
      <c r="Y210" s="3">
        <f t="shared" si="24"/>
        <v>89706.899999999951</v>
      </c>
      <c r="Z210" s="3">
        <f t="shared" si="29"/>
        <v>9049.3000000000011</v>
      </c>
      <c r="AA210" s="3">
        <v>10.321371926622165</v>
      </c>
    </row>
    <row r="211" spans="1:28" s="3" customFormat="1" x14ac:dyDescent="0.25">
      <c r="A211" s="3">
        <v>5400</v>
      </c>
      <c r="B211" s="3">
        <v>24010</v>
      </c>
      <c r="C211" s="7">
        <v>42789</v>
      </c>
      <c r="F211" s="62"/>
      <c r="G211" s="3">
        <v>8.6999999999999993</v>
      </c>
      <c r="H211" s="3">
        <v>8.1999999999999993</v>
      </c>
      <c r="I211" s="3">
        <v>10.199999999999999</v>
      </c>
      <c r="J211" s="3">
        <f t="shared" si="23"/>
        <v>1409.9</v>
      </c>
      <c r="K211" s="3">
        <f t="shared" si="28"/>
        <v>180.79999999999998</v>
      </c>
      <c r="L211" s="23"/>
      <c r="M211" s="3">
        <v>0.1</v>
      </c>
      <c r="N211" s="3">
        <v>1.1000000000000001</v>
      </c>
      <c r="O211" s="3">
        <f t="shared" si="20"/>
        <v>-1</v>
      </c>
      <c r="P211" s="3">
        <f t="shared" si="25"/>
        <v>94.399999999999949</v>
      </c>
      <c r="Q211" s="3">
        <v>176</v>
      </c>
      <c r="R211" s="3">
        <f t="shared" si="27"/>
        <v>1.0642857142857143</v>
      </c>
      <c r="S211" s="3">
        <f t="shared" si="21"/>
        <v>1.1707142857142858</v>
      </c>
      <c r="T211" s="28">
        <f t="shared" si="22"/>
        <v>-1.0707142857142857</v>
      </c>
      <c r="U211" s="28">
        <f t="shared" si="26"/>
        <v>119.46915584415576</v>
      </c>
      <c r="W211" s="3">
        <v>294.5</v>
      </c>
      <c r="Y211" s="3">
        <f t="shared" si="24"/>
        <v>90001.399999999951</v>
      </c>
      <c r="Z211" s="3">
        <f t="shared" si="29"/>
        <v>9343.8000000000011</v>
      </c>
      <c r="AA211" s="3">
        <v>10.379022730817001</v>
      </c>
    </row>
    <row r="212" spans="1:28" s="3" customFormat="1" x14ac:dyDescent="0.25">
      <c r="A212" s="3">
        <v>5400</v>
      </c>
      <c r="B212" s="3">
        <v>24010</v>
      </c>
      <c r="C212" s="7">
        <v>42790</v>
      </c>
      <c r="F212" s="62"/>
      <c r="G212" s="3">
        <v>4.3</v>
      </c>
      <c r="H212" s="3">
        <v>2.2000000000000002</v>
      </c>
      <c r="I212" s="3">
        <v>8.3000000000000007</v>
      </c>
      <c r="J212" s="3">
        <f t="shared" si="23"/>
        <v>1414.2</v>
      </c>
      <c r="K212" s="3">
        <f t="shared" si="28"/>
        <v>185.1</v>
      </c>
      <c r="L212" s="23"/>
      <c r="M212" s="3">
        <v>0</v>
      </c>
      <c r="N212" s="3">
        <v>0.9</v>
      </c>
      <c r="O212" s="3">
        <f t="shared" si="20"/>
        <v>-0.9</v>
      </c>
      <c r="P212" s="3">
        <f t="shared" si="25"/>
        <v>93.499999999999943</v>
      </c>
      <c r="Q212" s="3">
        <v>177</v>
      </c>
      <c r="R212" s="3">
        <f t="shared" si="27"/>
        <v>1.0666666666666667</v>
      </c>
      <c r="S212" s="3">
        <f t="shared" si="21"/>
        <v>0.96</v>
      </c>
      <c r="T212" s="28">
        <f t="shared" si="22"/>
        <v>-0.96</v>
      </c>
      <c r="U212" s="28">
        <f t="shared" si="26"/>
        <v>118.50915584415577</v>
      </c>
      <c r="W212" s="3">
        <v>739.5</v>
      </c>
      <c r="Y212" s="3">
        <f t="shared" si="24"/>
        <v>90740.899999999951</v>
      </c>
      <c r="Z212" s="3">
        <f t="shared" si="29"/>
        <v>10083.300000000001</v>
      </c>
      <c r="AA212" s="3">
        <v>10.436943143061796</v>
      </c>
    </row>
    <row r="213" spans="1:28" s="3" customFormat="1" x14ac:dyDescent="0.25">
      <c r="A213" s="3">
        <v>5400</v>
      </c>
      <c r="B213" s="3">
        <v>24010</v>
      </c>
      <c r="C213" s="7">
        <v>42791</v>
      </c>
      <c r="F213" s="62"/>
      <c r="G213" s="3">
        <v>4.9000000000000004</v>
      </c>
      <c r="H213" s="3">
        <v>-1.4</v>
      </c>
      <c r="I213" s="3">
        <v>9.6999999999999993</v>
      </c>
      <c r="J213" s="3">
        <f t="shared" si="23"/>
        <v>1419.1000000000001</v>
      </c>
      <c r="K213" s="3">
        <f t="shared" si="28"/>
        <v>190</v>
      </c>
      <c r="L213" s="23"/>
      <c r="M213" s="3">
        <v>0</v>
      </c>
      <c r="N213" s="3">
        <v>0.9</v>
      </c>
      <c r="O213" s="3">
        <f t="shared" si="20"/>
        <v>-0.9</v>
      </c>
      <c r="P213" s="3">
        <f t="shared" si="25"/>
        <v>92.599999999999937</v>
      </c>
      <c r="Q213" s="3">
        <v>178</v>
      </c>
      <c r="R213" s="3">
        <f t="shared" si="27"/>
        <v>1.069047619047619</v>
      </c>
      <c r="S213" s="3">
        <f t="shared" si="21"/>
        <v>0.96214285714285719</v>
      </c>
      <c r="T213" s="28">
        <f t="shared" si="22"/>
        <v>-0.96214285714285719</v>
      </c>
      <c r="U213" s="28">
        <f t="shared" si="26"/>
        <v>117.54701298701292</v>
      </c>
      <c r="W213" s="3">
        <v>857.2</v>
      </c>
      <c r="Y213" s="3">
        <f t="shared" si="24"/>
        <v>91598.099999999948</v>
      </c>
      <c r="Z213" s="3">
        <f t="shared" si="29"/>
        <v>10940.500000000002</v>
      </c>
      <c r="AA213" s="3">
        <v>10.495119775635398</v>
      </c>
    </row>
    <row r="214" spans="1:28" s="3" customFormat="1" x14ac:dyDescent="0.25">
      <c r="A214" s="3">
        <v>5400</v>
      </c>
      <c r="B214" s="3">
        <v>24010</v>
      </c>
      <c r="C214" s="7">
        <v>42792</v>
      </c>
      <c r="F214" s="62"/>
      <c r="G214" s="3">
        <v>8.8000000000000007</v>
      </c>
      <c r="H214" s="3">
        <v>5.4</v>
      </c>
      <c r="I214" s="3">
        <v>11.5</v>
      </c>
      <c r="J214" s="3">
        <f t="shared" si="23"/>
        <v>1427.9</v>
      </c>
      <c r="K214" s="3">
        <f t="shared" si="28"/>
        <v>198.8</v>
      </c>
      <c r="L214" s="23"/>
      <c r="M214" s="3">
        <v>0</v>
      </c>
      <c r="N214" s="3">
        <v>0.6</v>
      </c>
      <c r="O214" s="3">
        <f t="shared" si="20"/>
        <v>-0.6</v>
      </c>
      <c r="P214" s="3">
        <f t="shared" si="25"/>
        <v>91.999999999999943</v>
      </c>
      <c r="Q214" s="3">
        <v>179</v>
      </c>
      <c r="R214" s="3">
        <f t="shared" si="27"/>
        <v>1.0714285714285714</v>
      </c>
      <c r="S214" s="3">
        <f t="shared" si="21"/>
        <v>0.64285714285714279</v>
      </c>
      <c r="T214" s="28">
        <f t="shared" si="22"/>
        <v>-0.64285714285714279</v>
      </c>
      <c r="U214" s="28">
        <f t="shared" si="26"/>
        <v>116.90415584415578</v>
      </c>
      <c r="W214" s="3">
        <v>201.5</v>
      </c>
      <c r="Y214" s="3">
        <f t="shared" si="24"/>
        <v>91799.599999999948</v>
      </c>
      <c r="Z214" s="3">
        <f t="shared" si="29"/>
        <v>11142.000000000002</v>
      </c>
      <c r="AA214" s="3">
        <v>10.553539609843265</v>
      </c>
    </row>
    <row r="215" spans="1:28" s="3" customFormat="1" x14ac:dyDescent="0.25">
      <c r="A215" s="3">
        <v>5400</v>
      </c>
      <c r="B215" s="3">
        <v>24010</v>
      </c>
      <c r="C215" s="7">
        <v>42793</v>
      </c>
      <c r="F215" s="62"/>
      <c r="G215" s="3">
        <v>8.3000000000000007</v>
      </c>
      <c r="H215" s="3">
        <v>6.6</v>
      </c>
      <c r="I215" s="3">
        <v>10.3</v>
      </c>
      <c r="J215" s="3">
        <f t="shared" si="23"/>
        <v>1436.2</v>
      </c>
      <c r="K215" s="3">
        <f t="shared" si="28"/>
        <v>207.10000000000002</v>
      </c>
      <c r="L215" s="23"/>
      <c r="M215" s="3">
        <v>9.1999999999999993</v>
      </c>
      <c r="N215" s="3">
        <v>0.8</v>
      </c>
      <c r="O215" s="3">
        <f t="shared" si="20"/>
        <v>8.3999999999999986</v>
      </c>
      <c r="P215" s="3">
        <f t="shared" si="25"/>
        <v>100.39999999999995</v>
      </c>
      <c r="Q215" s="3">
        <v>180</v>
      </c>
      <c r="R215" s="3">
        <f t="shared" si="27"/>
        <v>1.0738095238095238</v>
      </c>
      <c r="S215" s="3">
        <f t="shared" si="21"/>
        <v>0.85904761904761906</v>
      </c>
      <c r="T215" s="28">
        <f t="shared" si="22"/>
        <v>8.3409523809523805</v>
      </c>
      <c r="U215" s="28">
        <f t="shared" si="26"/>
        <v>125.24510822510817</v>
      </c>
      <c r="W215" s="3">
        <v>237.2</v>
      </c>
      <c r="Y215" s="3">
        <f t="shared" si="24"/>
        <v>92036.799999999945</v>
      </c>
      <c r="Z215" s="3">
        <f t="shared" si="29"/>
        <v>11379.200000000003</v>
      </c>
      <c r="AA215" s="3">
        <v>10.612189985340851</v>
      </c>
    </row>
    <row r="216" spans="1:28" s="3" customFormat="1" x14ac:dyDescent="0.25">
      <c r="A216" s="3">
        <v>5400</v>
      </c>
      <c r="B216" s="3">
        <v>24010</v>
      </c>
      <c r="C216" s="7">
        <v>42794</v>
      </c>
      <c r="F216" s="62"/>
      <c r="G216" s="3">
        <v>5.4</v>
      </c>
      <c r="H216" s="3">
        <v>3.6</v>
      </c>
      <c r="I216" s="3">
        <v>6.7</v>
      </c>
      <c r="J216" s="3">
        <f t="shared" si="23"/>
        <v>1441.6000000000001</v>
      </c>
      <c r="K216" s="3">
        <f t="shared" si="28"/>
        <v>212.50000000000003</v>
      </c>
      <c r="L216" s="23"/>
      <c r="M216" s="74">
        <v>2.2000000000000002</v>
      </c>
      <c r="N216" s="3">
        <v>0.7</v>
      </c>
      <c r="O216" s="3">
        <f t="shared" si="20"/>
        <v>1.5000000000000002</v>
      </c>
      <c r="P216" s="3">
        <f t="shared" si="25"/>
        <v>101.89999999999995</v>
      </c>
      <c r="Q216" s="3">
        <v>181</v>
      </c>
      <c r="R216" s="3">
        <f t="shared" si="27"/>
        <v>1.0761904761904761</v>
      </c>
      <c r="S216" s="3">
        <f t="shared" si="21"/>
        <v>0.7533333333333333</v>
      </c>
      <c r="T216" s="28">
        <f t="shared" si="22"/>
        <v>1.4466666666666668</v>
      </c>
      <c r="U216" s="28">
        <f t="shared" si="26"/>
        <v>126.69177489177484</v>
      </c>
      <c r="W216" s="3">
        <v>381.2</v>
      </c>
      <c r="Y216" s="3">
        <f t="shared" si="24"/>
        <v>92417.999999999942</v>
      </c>
      <c r="Z216" s="3">
        <f t="shared" si="29"/>
        <v>11760.400000000003</v>
      </c>
      <c r="AA216" s="3">
        <v>10.671058588930366</v>
      </c>
      <c r="AB216" s="5" t="s">
        <v>64</v>
      </c>
    </row>
    <row r="217" spans="1:28" s="3" customFormat="1" x14ac:dyDescent="0.25">
      <c r="A217" s="3">
        <v>5400</v>
      </c>
      <c r="B217" s="3">
        <v>24010</v>
      </c>
      <c r="C217" s="7">
        <v>42795</v>
      </c>
      <c r="F217" s="62"/>
      <c r="G217" s="3">
        <v>8</v>
      </c>
      <c r="H217" s="3">
        <v>6</v>
      </c>
      <c r="I217" s="3">
        <v>11.2</v>
      </c>
      <c r="J217" s="3">
        <f t="shared" si="23"/>
        <v>1449.6000000000001</v>
      </c>
      <c r="K217" s="3">
        <f t="shared" si="28"/>
        <v>220.50000000000003</v>
      </c>
      <c r="L217" s="23"/>
      <c r="M217" s="74">
        <v>7.7</v>
      </c>
      <c r="N217" s="3">
        <v>0.6</v>
      </c>
      <c r="O217" s="3">
        <f t="shared" si="20"/>
        <v>7.1000000000000005</v>
      </c>
      <c r="P217" s="3">
        <f t="shared" si="25"/>
        <v>108.99999999999994</v>
      </c>
      <c r="Q217" s="3">
        <v>182</v>
      </c>
      <c r="R217" s="3">
        <f t="shared" si="27"/>
        <v>1.0785714285714285</v>
      </c>
      <c r="S217" s="3">
        <f t="shared" si="21"/>
        <v>0.64714285714285713</v>
      </c>
      <c r="T217" s="28">
        <f t="shared" si="22"/>
        <v>7.0528571428571434</v>
      </c>
      <c r="U217" s="28">
        <f t="shared" si="26"/>
        <v>133.74463203463199</v>
      </c>
      <c r="W217" s="3">
        <v>191.3</v>
      </c>
      <c r="Y217" s="3">
        <f t="shared" si="24"/>
        <v>92609.299999999945</v>
      </c>
      <c r="Z217" s="3">
        <f t="shared" si="29"/>
        <v>11951.700000000003</v>
      </c>
      <c r="AA217" s="3">
        <v>10.730133442874166</v>
      </c>
      <c r="AB217" s="28">
        <f>AVERAGE(U223:U236)</f>
        <v>148.95568027210885</v>
      </c>
    </row>
    <row r="218" spans="1:28" s="3" customFormat="1" x14ac:dyDescent="0.25">
      <c r="A218" s="3">
        <v>5400</v>
      </c>
      <c r="B218" s="3">
        <v>24010</v>
      </c>
      <c r="C218" s="7">
        <v>42796</v>
      </c>
      <c r="F218" s="62"/>
      <c r="G218" s="3">
        <v>7.3</v>
      </c>
      <c r="H218" s="3">
        <v>4.7</v>
      </c>
      <c r="I218" s="3">
        <v>10.8</v>
      </c>
      <c r="J218" s="3">
        <f t="shared" si="23"/>
        <v>1456.9</v>
      </c>
      <c r="K218" s="3">
        <f t="shared" si="28"/>
        <v>227.80000000000004</v>
      </c>
      <c r="L218" s="23"/>
      <c r="M218" s="74">
        <v>0</v>
      </c>
      <c r="N218" s="3">
        <v>1.2</v>
      </c>
      <c r="O218" s="3">
        <f t="shared" si="20"/>
        <v>-1.2</v>
      </c>
      <c r="P218" s="3">
        <f t="shared" si="25"/>
        <v>107.79999999999994</v>
      </c>
      <c r="Q218" s="3">
        <v>183</v>
      </c>
      <c r="R218" s="3">
        <f t="shared" si="27"/>
        <v>1.0809523809523809</v>
      </c>
      <c r="S218" s="3">
        <f t="shared" si="21"/>
        <v>1.2971428571428569</v>
      </c>
      <c r="T218" s="28">
        <f t="shared" si="22"/>
        <v>-1.2971428571428569</v>
      </c>
      <c r="U218" s="28">
        <f t="shared" si="26"/>
        <v>132.44748917748913</v>
      </c>
      <c r="W218" s="3">
        <v>871.9</v>
      </c>
      <c r="Y218" s="3">
        <f t="shared" si="24"/>
        <v>93481.199999999939</v>
      </c>
      <c r="Z218" s="3">
        <f t="shared" si="29"/>
        <v>12823.600000000002</v>
      </c>
      <c r="AA218" s="3">
        <v>10.789402892765496</v>
      </c>
      <c r="AB218" s="5" t="s">
        <v>65</v>
      </c>
    </row>
    <row r="219" spans="1:28" s="3" customFormat="1" x14ac:dyDescent="0.25">
      <c r="A219" s="3">
        <v>5400</v>
      </c>
      <c r="B219" s="3">
        <v>24010</v>
      </c>
      <c r="C219" s="7">
        <v>42797</v>
      </c>
      <c r="F219" s="62"/>
      <c r="G219" s="3">
        <v>9.6999999999999993</v>
      </c>
      <c r="H219" s="3">
        <v>4.9000000000000004</v>
      </c>
      <c r="I219" s="3">
        <v>12.7</v>
      </c>
      <c r="J219" s="3">
        <f t="shared" si="23"/>
        <v>1466.6000000000001</v>
      </c>
      <c r="K219" s="3">
        <f t="shared" si="28"/>
        <v>237.50000000000003</v>
      </c>
      <c r="L219" s="23"/>
      <c r="M219" s="74">
        <v>9.5</v>
      </c>
      <c r="N219" s="3">
        <v>0.9</v>
      </c>
      <c r="O219" s="3">
        <f t="shared" si="20"/>
        <v>8.6</v>
      </c>
      <c r="P219" s="3">
        <f t="shared" si="25"/>
        <v>116.39999999999993</v>
      </c>
      <c r="Q219" s="3">
        <v>184</v>
      </c>
      <c r="R219" s="3">
        <f t="shared" si="27"/>
        <v>1.0833333333333333</v>
      </c>
      <c r="S219" s="3">
        <f t="shared" si="21"/>
        <v>0.97499999999999998</v>
      </c>
      <c r="T219" s="28">
        <f t="shared" si="22"/>
        <v>8.5250000000000004</v>
      </c>
      <c r="U219" s="28">
        <f t="shared" si="26"/>
        <v>140.97248917748914</v>
      </c>
      <c r="W219" s="3">
        <v>678.6</v>
      </c>
      <c r="Y219" s="3">
        <f t="shared" si="24"/>
        <v>94159.799999999945</v>
      </c>
      <c r="Z219" s="3">
        <f t="shared" si="29"/>
        <v>13502.200000000003</v>
      </c>
      <c r="AA219" s="3">
        <v>10.848855594994687</v>
      </c>
      <c r="AB219" s="3">
        <v>1</v>
      </c>
    </row>
    <row r="220" spans="1:28" s="3" customFormat="1" x14ac:dyDescent="0.25">
      <c r="A220" s="3">
        <v>5400</v>
      </c>
      <c r="B220" s="3">
        <v>24010</v>
      </c>
      <c r="C220" s="7">
        <v>42798</v>
      </c>
      <c r="F220" s="62"/>
      <c r="G220" s="3">
        <v>7.6</v>
      </c>
      <c r="H220" s="3">
        <v>6.5</v>
      </c>
      <c r="I220" s="3">
        <v>8.1999999999999993</v>
      </c>
      <c r="J220" s="3">
        <f t="shared" si="23"/>
        <v>1474.2</v>
      </c>
      <c r="K220" s="3">
        <f t="shared" si="28"/>
        <v>245.10000000000002</v>
      </c>
      <c r="L220" s="23"/>
      <c r="M220" s="74">
        <v>6.4</v>
      </c>
      <c r="N220" s="3">
        <v>0.2</v>
      </c>
      <c r="O220" s="3">
        <f t="shared" si="20"/>
        <v>6.2</v>
      </c>
      <c r="P220" s="3">
        <f t="shared" si="25"/>
        <v>122.59999999999994</v>
      </c>
      <c r="Q220" s="3">
        <v>185</v>
      </c>
      <c r="R220" s="3">
        <f t="shared" si="27"/>
        <v>1.0857142857142856</v>
      </c>
      <c r="S220" s="3">
        <f t="shared" si="21"/>
        <v>0.21714285714285714</v>
      </c>
      <c r="T220" s="28">
        <f t="shared" si="22"/>
        <v>6.1828571428571433</v>
      </c>
      <c r="U220" s="28">
        <f t="shared" si="26"/>
        <v>147.15534632034627</v>
      </c>
      <c r="W220" s="3">
        <v>242.5</v>
      </c>
      <c r="Y220" s="3">
        <f t="shared" si="24"/>
        <v>94402.299999999945</v>
      </c>
      <c r="Z220" s="3">
        <f t="shared" si="29"/>
        <v>13744.700000000003</v>
      </c>
      <c r="AA220" s="3">
        <v>10.90848050384661</v>
      </c>
      <c r="AB220" s="5" t="s">
        <v>66</v>
      </c>
    </row>
    <row r="221" spans="1:28" s="3" customFormat="1" x14ac:dyDescent="0.25">
      <c r="A221" s="3">
        <v>5400</v>
      </c>
      <c r="B221" s="3">
        <v>24010</v>
      </c>
      <c r="C221" s="7">
        <v>42799</v>
      </c>
      <c r="F221" s="62"/>
      <c r="G221" s="3">
        <v>6.4</v>
      </c>
      <c r="H221" s="3">
        <v>4.2</v>
      </c>
      <c r="I221" s="3">
        <v>7.7</v>
      </c>
      <c r="J221" s="3">
        <f t="shared" si="23"/>
        <v>1480.6000000000001</v>
      </c>
      <c r="K221" s="3">
        <f t="shared" si="28"/>
        <v>251.50000000000003</v>
      </c>
      <c r="L221" s="23"/>
      <c r="M221" s="74">
        <v>10.1</v>
      </c>
      <c r="N221" s="3">
        <v>0.4</v>
      </c>
      <c r="O221" s="3">
        <f t="shared" si="20"/>
        <v>9.6999999999999993</v>
      </c>
      <c r="P221" s="3">
        <f t="shared" si="25"/>
        <v>132.29999999999993</v>
      </c>
      <c r="Q221" s="3">
        <v>186</v>
      </c>
      <c r="R221" s="3">
        <f t="shared" si="27"/>
        <v>1.088095238095238</v>
      </c>
      <c r="S221" s="3">
        <f t="shared" si="21"/>
        <v>0.4352380952380952</v>
      </c>
      <c r="T221" s="28">
        <f t="shared" si="22"/>
        <v>9.6647619047619049</v>
      </c>
      <c r="U221" s="28">
        <f t="shared" si="26"/>
        <v>153.9</v>
      </c>
      <c r="W221" s="3">
        <v>283.5</v>
      </c>
      <c r="Y221" s="3">
        <f t="shared" si="24"/>
        <v>94685.799999999945</v>
      </c>
      <c r="Z221" s="3">
        <f t="shared" si="29"/>
        <v>14028.200000000003</v>
      </c>
      <c r="AA221" s="3">
        <v>10.968266858262773</v>
      </c>
      <c r="AB221" s="3">
        <v>6</v>
      </c>
    </row>
    <row r="222" spans="1:28" s="3" customFormat="1" x14ac:dyDescent="0.25">
      <c r="A222" s="3">
        <v>5400</v>
      </c>
      <c r="B222" s="3">
        <v>24010</v>
      </c>
      <c r="C222" s="7">
        <v>42800</v>
      </c>
      <c r="F222" s="62"/>
      <c r="G222" s="3">
        <v>5.6</v>
      </c>
      <c r="H222" s="3">
        <v>3.8</v>
      </c>
      <c r="I222" s="3">
        <v>5.9</v>
      </c>
      <c r="J222" s="3">
        <f t="shared" si="23"/>
        <v>1486.2</v>
      </c>
      <c r="K222" s="3">
        <f t="shared" si="28"/>
        <v>257.10000000000002</v>
      </c>
      <c r="L222" s="23"/>
      <c r="M222" s="74">
        <v>12.3</v>
      </c>
      <c r="N222" s="3">
        <v>0.2</v>
      </c>
      <c r="O222" s="3">
        <f t="shared" si="20"/>
        <v>12.100000000000001</v>
      </c>
      <c r="P222" s="3">
        <f t="shared" si="25"/>
        <v>144.39999999999992</v>
      </c>
      <c r="Q222" s="3">
        <v>187</v>
      </c>
      <c r="R222" s="3">
        <f t="shared" si="27"/>
        <v>1.0904761904761904</v>
      </c>
      <c r="S222" s="3">
        <f t="shared" si="21"/>
        <v>0.21809523809523809</v>
      </c>
      <c r="T222" s="28">
        <f t="shared" si="22"/>
        <v>12.081904761904763</v>
      </c>
      <c r="U222" s="28">
        <f t="shared" si="26"/>
        <v>153.9</v>
      </c>
      <c r="W222" s="3">
        <v>183</v>
      </c>
      <c r="Y222" s="3">
        <f t="shared" si="24"/>
        <v>94868.799999999945</v>
      </c>
      <c r="Z222" s="3">
        <f t="shared" si="29"/>
        <v>14211.200000000003</v>
      </c>
      <c r="AA222" s="3">
        <v>11.028204168299142</v>
      </c>
      <c r="AB222" s="5" t="s">
        <v>67</v>
      </c>
    </row>
    <row r="223" spans="1:28" s="3" customFormat="1" x14ac:dyDescent="0.25">
      <c r="A223" s="3">
        <v>5400</v>
      </c>
      <c r="B223" s="3">
        <v>24010</v>
      </c>
      <c r="C223" s="7">
        <v>42801</v>
      </c>
      <c r="F223" s="62"/>
      <c r="G223" s="3">
        <v>6.7</v>
      </c>
      <c r="H223" s="3">
        <v>4.5</v>
      </c>
      <c r="I223" s="3">
        <v>8.1999999999999993</v>
      </c>
      <c r="J223" s="3">
        <f t="shared" si="23"/>
        <v>1492.9</v>
      </c>
      <c r="K223" s="3">
        <f t="shared" si="28"/>
        <v>263.8</v>
      </c>
      <c r="L223" s="23"/>
      <c r="M223" s="74">
        <v>1.1000000000000001</v>
      </c>
      <c r="N223" s="3">
        <v>0.5</v>
      </c>
      <c r="O223" s="3">
        <f t="shared" si="20"/>
        <v>0.60000000000000009</v>
      </c>
      <c r="P223" s="3">
        <f t="shared" si="25"/>
        <v>144.99999999999991</v>
      </c>
      <c r="Q223" s="3">
        <v>188</v>
      </c>
      <c r="R223" s="3">
        <f t="shared" si="27"/>
        <v>1.0928571428571427</v>
      </c>
      <c r="S223" s="3">
        <f t="shared" si="21"/>
        <v>0.54642857142857137</v>
      </c>
      <c r="T223" s="28">
        <f t="shared" si="22"/>
        <v>0.55357142857142871</v>
      </c>
      <c r="U223" s="75">
        <f t="shared" si="26"/>
        <v>153.9</v>
      </c>
      <c r="W223" s="3">
        <v>536.4</v>
      </c>
      <c r="Y223" s="3">
        <f t="shared" si="24"/>
        <v>95405.199999999939</v>
      </c>
      <c r="Z223" s="3">
        <f t="shared" si="29"/>
        <v>14747.600000000002</v>
      </c>
      <c r="AA223" s="3">
        <v>11.08828220130871</v>
      </c>
      <c r="AB223" s="3">
        <v>0</v>
      </c>
    </row>
    <row r="224" spans="1:28" s="3" customFormat="1" x14ac:dyDescent="0.25">
      <c r="A224" s="3">
        <v>5400</v>
      </c>
      <c r="B224" s="3">
        <v>24010</v>
      </c>
      <c r="C224" s="7">
        <v>42802</v>
      </c>
      <c r="F224" s="62"/>
      <c r="G224" s="3">
        <v>10.3</v>
      </c>
      <c r="H224" s="3">
        <v>6.3</v>
      </c>
      <c r="I224" s="3">
        <v>12.5</v>
      </c>
      <c r="J224" s="3">
        <f t="shared" si="23"/>
        <v>1503.2</v>
      </c>
      <c r="K224" s="3">
        <f t="shared" si="28"/>
        <v>274.10000000000002</v>
      </c>
      <c r="L224" s="23"/>
      <c r="M224" s="74">
        <v>0.2</v>
      </c>
      <c r="N224" s="3">
        <v>0.1</v>
      </c>
      <c r="O224" s="3">
        <f t="shared" si="20"/>
        <v>0.1</v>
      </c>
      <c r="P224" s="3">
        <f t="shared" si="25"/>
        <v>145.09999999999991</v>
      </c>
      <c r="Q224" s="3">
        <v>189</v>
      </c>
      <c r="R224" s="3">
        <f t="shared" si="27"/>
        <v>1.0952380952380951</v>
      </c>
      <c r="S224" s="3">
        <f t="shared" si="21"/>
        <v>0.10952380952380952</v>
      </c>
      <c r="T224" s="28">
        <f t="shared" si="22"/>
        <v>9.0476190476190488E-2</v>
      </c>
      <c r="U224" s="75">
        <f t="shared" si="26"/>
        <v>153.9</v>
      </c>
      <c r="W224" s="3">
        <v>219.8</v>
      </c>
      <c r="Y224" s="3">
        <f t="shared" si="24"/>
        <v>95624.999999999942</v>
      </c>
      <c r="Z224" s="3">
        <f t="shared" si="29"/>
        <v>14967.400000000001</v>
      </c>
      <c r="AA224" s="3">
        <v>11.14849096787561</v>
      </c>
      <c r="AB224" s="5" t="s">
        <v>68</v>
      </c>
    </row>
    <row r="225" spans="1:30" s="3" customFormat="1" x14ac:dyDescent="0.25">
      <c r="A225" s="3">
        <v>5400</v>
      </c>
      <c r="B225" s="3">
        <v>24010</v>
      </c>
      <c r="C225" s="7">
        <v>42803</v>
      </c>
      <c r="F225" s="62"/>
      <c r="G225" s="3">
        <v>11.9</v>
      </c>
      <c r="H225" s="3">
        <v>11</v>
      </c>
      <c r="I225" s="3">
        <v>13</v>
      </c>
      <c r="J225" s="3">
        <f t="shared" si="23"/>
        <v>1515.1000000000001</v>
      </c>
      <c r="K225" s="3">
        <f t="shared" si="28"/>
        <v>286</v>
      </c>
      <c r="L225" s="23"/>
      <c r="M225" s="74">
        <v>0.1</v>
      </c>
      <c r="N225" s="3">
        <v>0.3</v>
      </c>
      <c r="O225" s="3">
        <f t="shared" si="20"/>
        <v>-0.19999999999999998</v>
      </c>
      <c r="P225" s="3">
        <f t="shared" si="25"/>
        <v>144.89999999999992</v>
      </c>
      <c r="Q225" s="3">
        <v>190</v>
      </c>
      <c r="R225" s="3">
        <f t="shared" si="27"/>
        <v>1.0976190476190475</v>
      </c>
      <c r="S225" s="3">
        <f t="shared" si="21"/>
        <v>0.32928571428571424</v>
      </c>
      <c r="T225" s="28">
        <f t="shared" si="22"/>
        <v>-0.22928571428571423</v>
      </c>
      <c r="U225" s="75">
        <f t="shared" si="26"/>
        <v>153.6707142857143</v>
      </c>
      <c r="W225" s="3">
        <v>221.5</v>
      </c>
      <c r="Y225" s="3">
        <f t="shared" si="24"/>
        <v>95846.499999999942</v>
      </c>
      <c r="Z225" s="3">
        <f t="shared" si="29"/>
        <v>15188.900000000001</v>
      </c>
      <c r="AA225" s="3">
        <v>11.20882070752578</v>
      </c>
      <c r="AB225" s="3">
        <f>SUM(M227:M236)</f>
        <v>0.4</v>
      </c>
    </row>
    <row r="226" spans="1:30" s="70" customFormat="1" x14ac:dyDescent="0.25">
      <c r="A226" s="70">
        <v>5400</v>
      </c>
      <c r="B226" s="70">
        <v>24010</v>
      </c>
      <c r="C226" s="71">
        <v>42804</v>
      </c>
      <c r="D226" s="70" t="s">
        <v>63</v>
      </c>
      <c r="F226" s="62"/>
      <c r="G226" s="70">
        <v>9.4</v>
      </c>
      <c r="H226" s="70">
        <v>9.1</v>
      </c>
      <c r="I226" s="70">
        <v>10.7</v>
      </c>
      <c r="J226" s="70">
        <f t="shared" si="23"/>
        <v>1524.5000000000002</v>
      </c>
      <c r="K226" s="70">
        <f t="shared" si="28"/>
        <v>295.39999999999998</v>
      </c>
      <c r="L226" s="72"/>
      <c r="M226" s="70">
        <v>0.1</v>
      </c>
      <c r="N226" s="70">
        <v>0.4</v>
      </c>
      <c r="O226" s="70">
        <f t="shared" si="20"/>
        <v>-0.30000000000000004</v>
      </c>
      <c r="P226" s="70">
        <f t="shared" si="25"/>
        <v>144.59999999999991</v>
      </c>
      <c r="Q226" s="70">
        <v>191</v>
      </c>
      <c r="R226" s="70">
        <f t="shared" si="27"/>
        <v>1.0999999999999999</v>
      </c>
      <c r="S226" s="70">
        <f t="shared" si="21"/>
        <v>0.43999999999999995</v>
      </c>
      <c r="T226" s="73">
        <f t="shared" si="22"/>
        <v>-0.33999999999999997</v>
      </c>
      <c r="U226" s="73">
        <f t="shared" si="26"/>
        <v>153.33071428571429</v>
      </c>
      <c r="W226" s="70">
        <v>322.89999999999998</v>
      </c>
      <c r="Y226" s="70">
        <f t="shared" si="24"/>
        <v>96169.399999999936</v>
      </c>
      <c r="Z226" s="70">
        <f t="shared" si="29"/>
        <v>15511.800000000001</v>
      </c>
      <c r="AA226" s="70">
        <v>11.269261874237142</v>
      </c>
    </row>
    <row r="227" spans="1:30" s="3" customFormat="1" x14ac:dyDescent="0.25">
      <c r="A227" s="3">
        <v>5400</v>
      </c>
      <c r="B227" s="3">
        <v>24010</v>
      </c>
      <c r="C227" s="7">
        <v>42805</v>
      </c>
      <c r="F227" s="62"/>
      <c r="G227" s="3">
        <v>8.9</v>
      </c>
      <c r="H227" s="3">
        <v>3.4</v>
      </c>
      <c r="I227" s="3">
        <v>13.5</v>
      </c>
      <c r="J227" s="3">
        <f t="shared" si="23"/>
        <v>1533.4000000000003</v>
      </c>
      <c r="K227" s="3">
        <f t="shared" si="28"/>
        <v>304.29999999999995</v>
      </c>
      <c r="L227" s="23"/>
      <c r="M227" s="74">
        <v>0</v>
      </c>
      <c r="N227" s="3">
        <v>1</v>
      </c>
      <c r="O227" s="3">
        <f t="shared" si="20"/>
        <v>-1</v>
      </c>
      <c r="P227" s="3">
        <f t="shared" si="25"/>
        <v>143.59999999999991</v>
      </c>
      <c r="Q227" s="3">
        <v>192</v>
      </c>
      <c r="R227" s="3">
        <f t="shared" si="27"/>
        <v>1.1023809523809522</v>
      </c>
      <c r="S227" s="3">
        <f t="shared" si="21"/>
        <v>1.1023809523809522</v>
      </c>
      <c r="T227" s="28">
        <f t="shared" si="22"/>
        <v>-1.1023809523809522</v>
      </c>
      <c r="U227" s="75">
        <f t="shared" si="26"/>
        <v>152.22833333333335</v>
      </c>
      <c r="W227" s="3">
        <v>916</v>
      </c>
      <c r="Y227" s="3">
        <f t="shared" si="24"/>
        <v>97085.399999999936</v>
      </c>
      <c r="Z227" s="3">
        <f t="shared" si="29"/>
        <v>16427.800000000003</v>
      </c>
      <c r="AA227" s="3">
        <v>11.329805121770649</v>
      </c>
    </row>
    <row r="228" spans="1:30" s="3" customFormat="1" x14ac:dyDescent="0.25">
      <c r="A228" s="3">
        <v>5400</v>
      </c>
      <c r="B228" s="3">
        <v>24010</v>
      </c>
      <c r="C228" s="7">
        <v>42806</v>
      </c>
      <c r="F228" s="62"/>
      <c r="G228" s="3">
        <v>10.1</v>
      </c>
      <c r="H228" s="3">
        <v>4.9000000000000004</v>
      </c>
      <c r="I228" s="3">
        <v>16.100000000000001</v>
      </c>
      <c r="J228" s="3">
        <f t="shared" si="23"/>
        <v>1543.5000000000002</v>
      </c>
      <c r="K228" s="3">
        <f t="shared" si="28"/>
        <v>314.39999999999998</v>
      </c>
      <c r="L228" s="23"/>
      <c r="M228" s="74">
        <v>0</v>
      </c>
      <c r="N228" s="3">
        <v>1.6</v>
      </c>
      <c r="O228" s="3">
        <f t="shared" si="20"/>
        <v>-1.6</v>
      </c>
      <c r="P228" s="3">
        <f t="shared" si="25"/>
        <v>141.99999999999991</v>
      </c>
      <c r="Q228" s="3">
        <v>193</v>
      </c>
      <c r="R228" s="3">
        <f t="shared" si="27"/>
        <v>1.1047619047619046</v>
      </c>
      <c r="S228" s="3">
        <f t="shared" si="21"/>
        <v>1.7676190476190474</v>
      </c>
      <c r="T228" s="28">
        <f t="shared" si="22"/>
        <v>-1.7676190476190474</v>
      </c>
      <c r="U228" s="75">
        <f t="shared" si="26"/>
        <v>150.46071428571432</v>
      </c>
      <c r="W228" s="3">
        <v>1078.0999999999999</v>
      </c>
      <c r="Y228" s="3">
        <f t="shared" si="24"/>
        <v>98163.499999999942</v>
      </c>
      <c r="Z228" s="3">
        <f t="shared" si="29"/>
        <v>17505.900000000001</v>
      </c>
      <c r="AA228" s="3">
        <v>11.390441288841842</v>
      </c>
    </row>
    <row r="229" spans="1:30" s="3" customFormat="1" x14ac:dyDescent="0.25">
      <c r="A229" s="3">
        <v>5400</v>
      </c>
      <c r="B229" s="3">
        <v>24010</v>
      </c>
      <c r="C229" s="7">
        <v>42807</v>
      </c>
      <c r="F229" s="62"/>
      <c r="G229" s="3">
        <v>10.1</v>
      </c>
      <c r="H229" s="3">
        <v>8.1</v>
      </c>
      <c r="I229" s="3">
        <v>13</v>
      </c>
      <c r="J229" s="3">
        <f t="shared" si="23"/>
        <v>1553.6000000000001</v>
      </c>
      <c r="K229" s="3">
        <f t="shared" si="28"/>
        <v>324.5</v>
      </c>
      <c r="L229" s="23"/>
      <c r="M229" s="74">
        <v>0.1</v>
      </c>
      <c r="N229" s="3">
        <v>0.8</v>
      </c>
      <c r="O229" s="3">
        <f t="shared" ref="O229:O292" si="30">M229-N229</f>
        <v>-0.70000000000000007</v>
      </c>
      <c r="P229" s="3">
        <f t="shared" si="25"/>
        <v>141.29999999999993</v>
      </c>
      <c r="Q229" s="3">
        <v>194</v>
      </c>
      <c r="R229" s="3">
        <f t="shared" si="27"/>
        <v>1.107142857142857</v>
      </c>
      <c r="S229" s="3">
        <f t="shared" ref="S229:S292" si="31">R229*N229</f>
        <v>0.88571428571428568</v>
      </c>
      <c r="T229" s="28">
        <f t="shared" ref="T229:T292" si="32">M229-S229</f>
        <v>-0.7857142857142857</v>
      </c>
      <c r="U229" s="75">
        <f t="shared" si="26"/>
        <v>149.67500000000004</v>
      </c>
      <c r="W229" s="3">
        <v>585.70000000000005</v>
      </c>
      <c r="Y229" s="3">
        <f t="shared" si="24"/>
        <v>98749.199999999939</v>
      </c>
      <c r="Z229" s="3">
        <f t="shared" si="29"/>
        <v>18091.600000000002</v>
      </c>
      <c r="AA229" s="3">
        <v>11.451161384151062</v>
      </c>
    </row>
    <row r="230" spans="1:30" s="3" customFormat="1" x14ac:dyDescent="0.25">
      <c r="A230" s="3">
        <v>5400</v>
      </c>
      <c r="B230" s="3">
        <v>24010</v>
      </c>
      <c r="C230" s="7">
        <v>42808</v>
      </c>
      <c r="F230" s="62"/>
      <c r="G230" s="3">
        <v>8.1999999999999993</v>
      </c>
      <c r="H230" s="3">
        <v>0.8</v>
      </c>
      <c r="I230" s="3">
        <v>12.9</v>
      </c>
      <c r="J230" s="3">
        <f t="shared" ref="J230:J293" si="33">J229+G230</f>
        <v>1561.8000000000002</v>
      </c>
      <c r="K230" s="3">
        <f t="shared" si="28"/>
        <v>332.7</v>
      </c>
      <c r="L230" s="23"/>
      <c r="M230" s="74">
        <v>0</v>
      </c>
      <c r="N230" s="3">
        <v>0.7</v>
      </c>
      <c r="O230" s="3">
        <f t="shared" si="30"/>
        <v>-0.7</v>
      </c>
      <c r="P230" s="3">
        <f t="shared" si="25"/>
        <v>140.59999999999994</v>
      </c>
      <c r="Q230" s="3">
        <v>195</v>
      </c>
      <c r="R230" s="3">
        <f t="shared" si="27"/>
        <v>1.1095238095238094</v>
      </c>
      <c r="S230" s="3">
        <f t="shared" si="31"/>
        <v>0.77666666666666651</v>
      </c>
      <c r="T230" s="28">
        <f t="shared" si="32"/>
        <v>-0.77666666666666651</v>
      </c>
      <c r="U230" s="75">
        <f t="shared" si="26"/>
        <v>148.89833333333337</v>
      </c>
      <c r="W230" s="3">
        <v>848.3</v>
      </c>
      <c r="Y230" s="3">
        <f t="shared" ref="Y230:Y293" si="34">Y229+W230</f>
        <v>99597.499999999942</v>
      </c>
      <c r="Z230" s="3">
        <f t="shared" si="29"/>
        <v>18939.900000000001</v>
      </c>
      <c r="AA230" s="3">
        <v>11.511956571289026</v>
      </c>
    </row>
    <row r="231" spans="1:30" s="3" customFormat="1" x14ac:dyDescent="0.25">
      <c r="A231" s="3">
        <v>5400</v>
      </c>
      <c r="B231" s="3">
        <v>24010</v>
      </c>
      <c r="C231" s="7">
        <v>42809</v>
      </c>
      <c r="F231" s="62"/>
      <c r="G231" s="3">
        <v>10.1</v>
      </c>
      <c r="H231" s="3">
        <v>8.9</v>
      </c>
      <c r="I231" s="3">
        <v>12</v>
      </c>
      <c r="J231" s="3">
        <f t="shared" si="33"/>
        <v>1571.9</v>
      </c>
      <c r="K231" s="3">
        <f t="shared" si="28"/>
        <v>342.8</v>
      </c>
      <c r="L231" s="23"/>
      <c r="M231" s="74">
        <v>0</v>
      </c>
      <c r="N231" s="3">
        <v>0.6</v>
      </c>
      <c r="O231" s="3">
        <f t="shared" si="30"/>
        <v>-0.6</v>
      </c>
      <c r="P231" s="3">
        <f t="shared" si="25"/>
        <v>139.99999999999994</v>
      </c>
      <c r="Q231" s="3">
        <v>196</v>
      </c>
      <c r="R231" s="3">
        <f t="shared" si="27"/>
        <v>1.111904761904762</v>
      </c>
      <c r="S231" s="3">
        <f t="shared" si="31"/>
        <v>0.66714285714285715</v>
      </c>
      <c r="T231" s="28">
        <f t="shared" si="32"/>
        <v>-0.66714285714285715</v>
      </c>
      <c r="U231" s="75">
        <f t="shared" si="26"/>
        <v>148.23119047619051</v>
      </c>
      <c r="W231" s="3">
        <v>567.20000000000005</v>
      </c>
      <c r="Y231" s="3">
        <f t="shared" si="34"/>
        <v>100164.69999999994</v>
      </c>
      <c r="Z231" s="3">
        <f t="shared" si="29"/>
        <v>19507.100000000002</v>
      </c>
      <c r="AA231" s="3">
        <v>11.572818153533236</v>
      </c>
    </row>
    <row r="232" spans="1:30" s="3" customFormat="1" x14ac:dyDescent="0.25">
      <c r="A232" s="3">
        <v>5400</v>
      </c>
      <c r="B232" s="3">
        <v>24010</v>
      </c>
      <c r="C232" s="7">
        <v>42810</v>
      </c>
      <c r="F232" s="62"/>
      <c r="G232" s="3">
        <v>10.9</v>
      </c>
      <c r="H232" s="3">
        <v>3.7</v>
      </c>
      <c r="I232" s="3">
        <v>16.600000000000001</v>
      </c>
      <c r="J232" s="3">
        <f t="shared" si="33"/>
        <v>1582.8000000000002</v>
      </c>
      <c r="K232" s="3">
        <f t="shared" si="28"/>
        <v>353.7</v>
      </c>
      <c r="L232" s="23"/>
      <c r="M232" s="74">
        <v>0</v>
      </c>
      <c r="N232" s="3">
        <v>2.2000000000000002</v>
      </c>
      <c r="O232" s="3">
        <f t="shared" si="30"/>
        <v>-2.2000000000000002</v>
      </c>
      <c r="P232" s="3">
        <f t="shared" ref="P232:P295" si="35">O232+P231</f>
        <v>137.79999999999995</v>
      </c>
      <c r="Q232" s="3">
        <v>197</v>
      </c>
      <c r="R232" s="3">
        <f t="shared" si="27"/>
        <v>1.1142857142857143</v>
      </c>
      <c r="S232" s="3">
        <f t="shared" si="31"/>
        <v>2.4514285714285715</v>
      </c>
      <c r="T232" s="28">
        <f t="shared" si="32"/>
        <v>-2.4514285714285715</v>
      </c>
      <c r="U232" s="75">
        <f t="shared" ref="U232:U295" si="36">MIN(U231+T232,153.9)</f>
        <v>145.77976190476193</v>
      </c>
      <c r="W232" s="3">
        <v>1718.2</v>
      </c>
      <c r="Y232" s="3">
        <f t="shared" si="34"/>
        <v>101882.89999999994</v>
      </c>
      <c r="Z232" s="3">
        <f t="shared" si="29"/>
        <v>21225.300000000003</v>
      </c>
      <c r="AA232" s="3">
        <v>11.633737558549445</v>
      </c>
    </row>
    <row r="233" spans="1:30" s="70" customFormat="1" x14ac:dyDescent="0.25">
      <c r="A233" s="70">
        <v>5400</v>
      </c>
      <c r="B233" s="70">
        <v>24010</v>
      </c>
      <c r="C233" s="71">
        <v>42811</v>
      </c>
      <c r="D233" s="70" t="s">
        <v>63</v>
      </c>
      <c r="F233" s="62"/>
      <c r="G233" s="70">
        <v>9.5</v>
      </c>
      <c r="H233" s="70">
        <v>8.1</v>
      </c>
      <c r="I233" s="70">
        <v>11.9</v>
      </c>
      <c r="J233" s="70">
        <f t="shared" si="33"/>
        <v>1592.3000000000002</v>
      </c>
      <c r="K233" s="70">
        <f t="shared" si="28"/>
        <v>363.2</v>
      </c>
      <c r="L233" s="72"/>
      <c r="M233" s="70">
        <v>0.1</v>
      </c>
      <c r="N233" s="70">
        <v>1</v>
      </c>
      <c r="O233" s="70">
        <f t="shared" si="30"/>
        <v>-0.9</v>
      </c>
      <c r="P233" s="70">
        <f t="shared" si="35"/>
        <v>136.89999999999995</v>
      </c>
      <c r="Q233" s="70">
        <v>198</v>
      </c>
      <c r="R233" s="70">
        <f t="shared" si="27"/>
        <v>1.1166666666666667</v>
      </c>
      <c r="S233" s="70">
        <f t="shared" si="31"/>
        <v>1.1166666666666667</v>
      </c>
      <c r="T233" s="73">
        <f t="shared" si="32"/>
        <v>-1.0166666666666666</v>
      </c>
      <c r="U233" s="73">
        <f t="shared" si="36"/>
        <v>144.76309523809525</v>
      </c>
      <c r="W233" s="70">
        <v>538.29999999999995</v>
      </c>
      <c r="Y233" s="70">
        <f t="shared" si="34"/>
        <v>102421.19999999994</v>
      </c>
      <c r="Z233" s="70">
        <f t="shared" si="29"/>
        <v>21763.600000000002</v>
      </c>
      <c r="AA233" s="70">
        <v>11.694706323011433</v>
      </c>
    </row>
    <row r="234" spans="1:30" s="3" customFormat="1" x14ac:dyDescent="0.25">
      <c r="A234" s="3">
        <v>5400</v>
      </c>
      <c r="B234" s="3">
        <v>24010</v>
      </c>
      <c r="C234" s="7">
        <v>42812</v>
      </c>
      <c r="F234" s="62"/>
      <c r="G234" s="3">
        <v>10.3</v>
      </c>
      <c r="H234" s="3">
        <v>7.1</v>
      </c>
      <c r="I234" s="3">
        <v>12.4</v>
      </c>
      <c r="J234" s="3">
        <f t="shared" si="33"/>
        <v>1602.6000000000001</v>
      </c>
      <c r="K234" s="3">
        <f t="shared" si="28"/>
        <v>373.5</v>
      </c>
      <c r="L234" s="23"/>
      <c r="M234" s="74">
        <v>0.1</v>
      </c>
      <c r="N234" s="3">
        <v>0.5</v>
      </c>
      <c r="O234" s="3">
        <f t="shared" si="30"/>
        <v>-0.4</v>
      </c>
      <c r="P234" s="3">
        <f t="shared" si="35"/>
        <v>136.49999999999994</v>
      </c>
      <c r="Q234" s="3">
        <v>199</v>
      </c>
      <c r="R234" s="3">
        <f t="shared" si="27"/>
        <v>1.1190476190476191</v>
      </c>
      <c r="S234" s="3">
        <f t="shared" si="31"/>
        <v>0.55952380952380953</v>
      </c>
      <c r="T234" s="28">
        <f t="shared" si="32"/>
        <v>-0.45952380952380956</v>
      </c>
      <c r="U234" s="75">
        <f t="shared" si="36"/>
        <v>144.30357142857144</v>
      </c>
      <c r="W234" s="3">
        <v>355.9</v>
      </c>
      <c r="Y234" s="3">
        <f t="shared" si="34"/>
        <v>102777.09999999993</v>
      </c>
      <c r="Z234" s="3">
        <f t="shared" si="29"/>
        <v>22119.500000000004</v>
      </c>
      <c r="AA234" s="3">
        <v>11.755716077151309</v>
      </c>
      <c r="AB234" s="5" t="s">
        <v>64</v>
      </c>
      <c r="AD234" s="5" t="s">
        <v>64</v>
      </c>
    </row>
    <row r="235" spans="1:30" s="3" customFormat="1" x14ac:dyDescent="0.25">
      <c r="A235" s="3">
        <v>5400</v>
      </c>
      <c r="B235" s="3">
        <v>24010</v>
      </c>
      <c r="C235" s="7">
        <v>42813</v>
      </c>
      <c r="F235" s="62"/>
      <c r="G235" s="3">
        <v>11.3</v>
      </c>
      <c r="H235" s="3">
        <v>10.4</v>
      </c>
      <c r="I235" s="3">
        <v>12.3</v>
      </c>
      <c r="J235" s="3">
        <f t="shared" si="33"/>
        <v>1613.9</v>
      </c>
      <c r="K235" s="3">
        <f t="shared" si="28"/>
        <v>384.8</v>
      </c>
      <c r="L235" s="23"/>
      <c r="M235" s="74">
        <v>0</v>
      </c>
      <c r="N235" s="3">
        <v>0.7</v>
      </c>
      <c r="O235" s="3">
        <f t="shared" si="30"/>
        <v>-0.7</v>
      </c>
      <c r="P235" s="3">
        <f t="shared" si="35"/>
        <v>135.79999999999995</v>
      </c>
      <c r="Q235" s="3">
        <v>200</v>
      </c>
      <c r="R235" s="3">
        <f t="shared" si="27"/>
        <v>1.1214285714285714</v>
      </c>
      <c r="S235" s="3">
        <f t="shared" si="31"/>
        <v>0.78499999999999992</v>
      </c>
      <c r="T235" s="28">
        <f t="shared" si="32"/>
        <v>-0.78499999999999992</v>
      </c>
      <c r="U235" s="75">
        <f t="shared" si="36"/>
        <v>143.51857142857145</v>
      </c>
      <c r="W235" s="3">
        <v>211.2</v>
      </c>
      <c r="Y235" s="3">
        <f t="shared" si="34"/>
        <v>102988.29999999993</v>
      </c>
      <c r="Z235" s="3">
        <f t="shared" si="29"/>
        <v>22330.700000000004</v>
      </c>
      <c r="AA235" s="3">
        <v>11.816758529251816</v>
      </c>
      <c r="AB235" s="28">
        <f>AVERAGE(U230:U243)</f>
        <v>147.26455782312928</v>
      </c>
      <c r="AD235" s="28">
        <f>(AB217*(50/100))+(AB235*(50/100))</f>
        <v>148.11011904761907</v>
      </c>
    </row>
    <row r="236" spans="1:30" s="3" customFormat="1" x14ac:dyDescent="0.25">
      <c r="A236" s="3">
        <v>5400</v>
      </c>
      <c r="B236" s="3">
        <v>24010</v>
      </c>
      <c r="C236" s="7">
        <v>42814</v>
      </c>
      <c r="F236" s="62"/>
      <c r="G236" s="3">
        <v>10.4</v>
      </c>
      <c r="H236" s="3">
        <v>8.8000000000000007</v>
      </c>
      <c r="I236" s="3">
        <v>11.5</v>
      </c>
      <c r="J236" s="3">
        <f t="shared" si="33"/>
        <v>1624.3000000000002</v>
      </c>
      <c r="K236" s="3">
        <f t="shared" si="28"/>
        <v>395.2</v>
      </c>
      <c r="L236" s="23"/>
      <c r="M236" s="74">
        <v>0.1</v>
      </c>
      <c r="N236" s="3">
        <v>0.8</v>
      </c>
      <c r="O236" s="3">
        <f t="shared" si="30"/>
        <v>-0.70000000000000007</v>
      </c>
      <c r="P236" s="3">
        <f t="shared" si="35"/>
        <v>135.09999999999997</v>
      </c>
      <c r="Q236" s="3">
        <v>201</v>
      </c>
      <c r="R236" s="3">
        <f t="shared" si="27"/>
        <v>1.1238095238095238</v>
      </c>
      <c r="S236" s="3">
        <f t="shared" si="31"/>
        <v>0.8990476190476191</v>
      </c>
      <c r="T236" s="28">
        <f t="shared" si="32"/>
        <v>-0.79904761904761912</v>
      </c>
      <c r="U236" s="75">
        <f t="shared" si="36"/>
        <v>142.71952380952382</v>
      </c>
      <c r="W236" s="3">
        <v>194.2</v>
      </c>
      <c r="Y236" s="3">
        <f t="shared" si="34"/>
        <v>103182.49999999993</v>
      </c>
      <c r="Z236" s="3">
        <f t="shared" si="29"/>
        <v>22524.900000000005</v>
      </c>
      <c r="AA236" s="3">
        <v>11.877825450091386</v>
      </c>
      <c r="AB236" s="5" t="s">
        <v>65</v>
      </c>
      <c r="AD236" s="5" t="s">
        <v>65</v>
      </c>
    </row>
    <row r="237" spans="1:30" s="3" customFormat="1" x14ac:dyDescent="0.25">
      <c r="A237" s="3">
        <v>5400</v>
      </c>
      <c r="B237" s="3">
        <v>24010</v>
      </c>
      <c r="C237" s="7">
        <v>42815</v>
      </c>
      <c r="F237" s="62"/>
      <c r="G237" s="3">
        <v>7.9</v>
      </c>
      <c r="H237" s="3">
        <v>7.8</v>
      </c>
      <c r="I237" s="3">
        <v>9.3000000000000007</v>
      </c>
      <c r="J237" s="3">
        <f t="shared" si="33"/>
        <v>1632.2000000000003</v>
      </c>
      <c r="K237" s="3">
        <f t="shared" si="28"/>
        <v>403.09999999999997</v>
      </c>
      <c r="L237" s="23"/>
      <c r="M237" s="74">
        <v>0.4</v>
      </c>
      <c r="N237" s="3">
        <v>0.9</v>
      </c>
      <c r="O237" s="3">
        <f t="shared" si="30"/>
        <v>-0.5</v>
      </c>
      <c r="P237" s="3">
        <f t="shared" si="35"/>
        <v>134.59999999999997</v>
      </c>
      <c r="Q237" s="3">
        <v>202</v>
      </c>
      <c r="R237" s="3">
        <f t="shared" si="27"/>
        <v>1.1261904761904762</v>
      </c>
      <c r="S237" s="3">
        <f t="shared" si="31"/>
        <v>1.0135714285714286</v>
      </c>
      <c r="T237" s="28">
        <f t="shared" si="32"/>
        <v>-0.61357142857142855</v>
      </c>
      <c r="U237" s="75">
        <f t="shared" si="36"/>
        <v>142.1059523809524</v>
      </c>
      <c r="W237" s="3">
        <v>855.1</v>
      </c>
      <c r="Y237" s="3">
        <f t="shared" si="34"/>
        <v>104037.59999999993</v>
      </c>
      <c r="Z237" s="3">
        <f t="shared" si="29"/>
        <v>23380.000000000004</v>
      </c>
      <c r="AA237" s="3">
        <v>11.938908657352055</v>
      </c>
      <c r="AB237" s="3">
        <v>3</v>
      </c>
      <c r="AD237" s="3">
        <f>(AB219*(50/100))+(AB237*(50/100))</f>
        <v>2</v>
      </c>
    </row>
    <row r="238" spans="1:30" s="3" customFormat="1" x14ac:dyDescent="0.25">
      <c r="A238" s="3">
        <v>5400</v>
      </c>
      <c r="B238" s="3">
        <v>24010</v>
      </c>
      <c r="C238" s="7">
        <v>42816</v>
      </c>
      <c r="F238" s="62"/>
      <c r="G238" s="3">
        <v>6.4</v>
      </c>
      <c r="H238" s="3">
        <v>2.7</v>
      </c>
      <c r="I238" s="3">
        <v>10.199999999999999</v>
      </c>
      <c r="J238" s="3">
        <f t="shared" si="33"/>
        <v>1638.6000000000004</v>
      </c>
      <c r="K238" s="3">
        <f t="shared" si="28"/>
        <v>409.49999999999994</v>
      </c>
      <c r="L238" s="23"/>
      <c r="M238" s="74">
        <v>8.3000000000000007</v>
      </c>
      <c r="N238" s="3">
        <v>0.7</v>
      </c>
      <c r="O238" s="3">
        <f t="shared" si="30"/>
        <v>7.6000000000000005</v>
      </c>
      <c r="P238" s="3">
        <f t="shared" si="35"/>
        <v>142.19999999999996</v>
      </c>
      <c r="Q238" s="3">
        <v>203</v>
      </c>
      <c r="R238" s="3">
        <f t="shared" si="27"/>
        <v>1.1285714285714286</v>
      </c>
      <c r="S238" s="3">
        <f t="shared" si="31"/>
        <v>0.78999999999999992</v>
      </c>
      <c r="T238" s="28">
        <f t="shared" si="32"/>
        <v>7.5100000000000007</v>
      </c>
      <c r="U238" s="75">
        <f t="shared" si="36"/>
        <v>149.61595238095239</v>
      </c>
      <c r="W238" s="3">
        <v>531.20000000000005</v>
      </c>
      <c r="Y238" s="3">
        <f t="shared" si="34"/>
        <v>104568.79999999993</v>
      </c>
      <c r="Z238" s="3">
        <f t="shared" si="29"/>
        <v>23911.200000000004</v>
      </c>
      <c r="AA238" s="3">
        <v>12</v>
      </c>
      <c r="AB238" s="5" t="s">
        <v>66</v>
      </c>
      <c r="AD238" s="5" t="s">
        <v>66</v>
      </c>
    </row>
    <row r="239" spans="1:30" s="3" customFormat="1" x14ac:dyDescent="0.25">
      <c r="A239" s="3">
        <v>5400</v>
      </c>
      <c r="B239" s="3">
        <v>24010</v>
      </c>
      <c r="C239" s="7">
        <v>42817</v>
      </c>
      <c r="F239" s="62"/>
      <c r="G239" s="3">
        <v>7</v>
      </c>
      <c r="H239" s="3">
        <v>5.4</v>
      </c>
      <c r="I239" s="3">
        <v>8.6</v>
      </c>
      <c r="J239" s="3">
        <f t="shared" si="33"/>
        <v>1645.6000000000004</v>
      </c>
      <c r="K239" s="3">
        <f t="shared" si="28"/>
        <v>416.49999999999994</v>
      </c>
      <c r="L239" s="23"/>
      <c r="M239" s="74">
        <v>5.2</v>
      </c>
      <c r="N239" s="3">
        <v>0.6</v>
      </c>
      <c r="O239" s="3">
        <f t="shared" si="30"/>
        <v>4.6000000000000005</v>
      </c>
      <c r="P239" s="3">
        <f t="shared" si="35"/>
        <v>146.79999999999995</v>
      </c>
      <c r="Q239" s="3">
        <v>204</v>
      </c>
      <c r="R239" s="3">
        <f t="shared" si="27"/>
        <v>1.1309523809523809</v>
      </c>
      <c r="S239" s="3">
        <f t="shared" si="31"/>
        <v>0.67857142857142849</v>
      </c>
      <c r="T239" s="28">
        <f t="shared" si="32"/>
        <v>4.5214285714285714</v>
      </c>
      <c r="U239" s="75">
        <f t="shared" si="36"/>
        <v>153.9</v>
      </c>
      <c r="W239" s="3">
        <v>270.3</v>
      </c>
      <c r="Y239" s="3">
        <f t="shared" si="34"/>
        <v>104839.09999999993</v>
      </c>
      <c r="Z239" s="3">
        <f t="shared" si="29"/>
        <v>24181.500000000004</v>
      </c>
      <c r="AA239" s="3">
        <v>12.061091342647943</v>
      </c>
      <c r="AB239" s="3">
        <v>4</v>
      </c>
      <c r="AD239" s="3">
        <f>(AB221*(50/100))+(AB239*(50/100))</f>
        <v>5</v>
      </c>
    </row>
    <row r="240" spans="1:30" s="3" customFormat="1" x14ac:dyDescent="0.25">
      <c r="A240" s="3">
        <v>5400</v>
      </c>
      <c r="B240" s="3">
        <v>24010</v>
      </c>
      <c r="C240" s="7">
        <v>42818</v>
      </c>
      <c r="F240" s="62"/>
      <c r="G240" s="3">
        <v>8.1999999999999993</v>
      </c>
      <c r="H240" s="3">
        <v>2.8</v>
      </c>
      <c r="I240" s="3">
        <v>11.2</v>
      </c>
      <c r="J240" s="3">
        <f t="shared" si="33"/>
        <v>1653.8000000000004</v>
      </c>
      <c r="K240" s="3">
        <f t="shared" si="28"/>
        <v>424.69999999999993</v>
      </c>
      <c r="L240" s="23"/>
      <c r="M240" s="74">
        <v>0.2</v>
      </c>
      <c r="N240" s="3">
        <v>0.3</v>
      </c>
      <c r="O240" s="3">
        <f t="shared" si="30"/>
        <v>-9.9999999999999978E-2</v>
      </c>
      <c r="P240" s="3">
        <f t="shared" si="35"/>
        <v>146.69999999999996</v>
      </c>
      <c r="Q240" s="3">
        <v>205</v>
      </c>
      <c r="R240" s="3">
        <f t="shared" si="27"/>
        <v>1.1333333333333333</v>
      </c>
      <c r="S240" s="3">
        <f t="shared" si="31"/>
        <v>0.33999999999999997</v>
      </c>
      <c r="T240" s="28">
        <f t="shared" si="32"/>
        <v>-0.13999999999999996</v>
      </c>
      <c r="U240" s="75">
        <f t="shared" si="36"/>
        <v>153.76000000000002</v>
      </c>
      <c r="W240" s="3">
        <v>481.2</v>
      </c>
      <c r="Y240" s="3">
        <f t="shared" si="34"/>
        <v>105320.29999999993</v>
      </c>
      <c r="Z240" s="3">
        <f t="shared" si="29"/>
        <v>24662.700000000004</v>
      </c>
      <c r="AA240" s="3">
        <v>12.122174549908614</v>
      </c>
      <c r="AB240" s="5" t="s">
        <v>67</v>
      </c>
      <c r="AD240" s="5" t="s">
        <v>67</v>
      </c>
    </row>
    <row r="241" spans="1:30" s="3" customFormat="1" x14ac:dyDescent="0.25">
      <c r="A241" s="3">
        <v>5400</v>
      </c>
      <c r="B241" s="3">
        <v>24010</v>
      </c>
      <c r="C241" s="7">
        <v>42819</v>
      </c>
      <c r="F241" s="62"/>
      <c r="G241" s="3">
        <v>11.4</v>
      </c>
      <c r="H241" s="3">
        <v>7</v>
      </c>
      <c r="I241" s="3">
        <v>15.1</v>
      </c>
      <c r="J241" s="3">
        <f t="shared" si="33"/>
        <v>1665.2000000000005</v>
      </c>
      <c r="K241" s="3">
        <f t="shared" si="28"/>
        <v>436.09999999999991</v>
      </c>
      <c r="L241" s="23"/>
      <c r="M241" s="74">
        <v>0</v>
      </c>
      <c r="N241" s="3">
        <v>2.7</v>
      </c>
      <c r="O241" s="3">
        <f t="shared" si="30"/>
        <v>-2.7</v>
      </c>
      <c r="P241" s="3">
        <f t="shared" si="35"/>
        <v>143.99999999999997</v>
      </c>
      <c r="Q241" s="3">
        <v>206</v>
      </c>
      <c r="R241" s="3">
        <f t="shared" si="27"/>
        <v>1.1357142857142857</v>
      </c>
      <c r="S241" s="3">
        <f t="shared" si="31"/>
        <v>3.0664285714285717</v>
      </c>
      <c r="T241" s="28">
        <f t="shared" si="32"/>
        <v>-3.0664285714285717</v>
      </c>
      <c r="U241" s="75">
        <f t="shared" si="36"/>
        <v>150.69357142857146</v>
      </c>
      <c r="W241" s="3">
        <v>1834.8</v>
      </c>
      <c r="Y241" s="3">
        <f t="shared" si="34"/>
        <v>107155.09999999993</v>
      </c>
      <c r="Z241" s="3">
        <f t="shared" si="29"/>
        <v>26497.500000000004</v>
      </c>
      <c r="AA241" s="3">
        <v>12.183241470748182</v>
      </c>
      <c r="AB241" s="3">
        <v>1</v>
      </c>
      <c r="AD241" s="3">
        <f>(AB223*(50/100))+(AB241*(50/100))</f>
        <v>0.5</v>
      </c>
    </row>
    <row r="242" spans="1:30" s="3" customFormat="1" x14ac:dyDescent="0.25">
      <c r="A242" s="3">
        <v>5400</v>
      </c>
      <c r="B242" s="3">
        <v>24010</v>
      </c>
      <c r="C242" s="7">
        <v>42820</v>
      </c>
      <c r="F242" s="62"/>
      <c r="G242" s="3">
        <v>10.8</v>
      </c>
      <c r="H242" s="3">
        <v>5.8</v>
      </c>
      <c r="I242" s="3">
        <v>14.4</v>
      </c>
      <c r="J242" s="3">
        <f t="shared" si="33"/>
        <v>1676.0000000000005</v>
      </c>
      <c r="K242" s="3">
        <f t="shared" si="28"/>
        <v>446.89999999999992</v>
      </c>
      <c r="L242" s="23"/>
      <c r="M242" s="74">
        <v>0</v>
      </c>
      <c r="N242" s="3">
        <v>2.2000000000000002</v>
      </c>
      <c r="O242" s="3">
        <f t="shared" si="30"/>
        <v>-2.2000000000000002</v>
      </c>
      <c r="P242" s="3">
        <f t="shared" si="35"/>
        <v>141.79999999999998</v>
      </c>
      <c r="Q242" s="3">
        <v>207</v>
      </c>
      <c r="R242" s="3">
        <f t="shared" si="27"/>
        <v>1.138095238095238</v>
      </c>
      <c r="S242" s="3">
        <f t="shared" si="31"/>
        <v>2.5038095238095237</v>
      </c>
      <c r="T242" s="28">
        <f t="shared" si="32"/>
        <v>-2.5038095238095237</v>
      </c>
      <c r="U242" s="75">
        <f t="shared" si="36"/>
        <v>148.18976190476192</v>
      </c>
      <c r="W242" s="3">
        <v>1628.5</v>
      </c>
      <c r="Y242" s="3">
        <f t="shared" si="34"/>
        <v>108783.59999999993</v>
      </c>
      <c r="Z242" s="3">
        <f t="shared" si="29"/>
        <v>28126.000000000004</v>
      </c>
      <c r="AA242" s="3">
        <v>12.244283922848691</v>
      </c>
      <c r="AB242" s="5" t="s">
        <v>68</v>
      </c>
      <c r="AD242" s="5" t="s">
        <v>68</v>
      </c>
    </row>
    <row r="243" spans="1:30" s="3" customFormat="1" x14ac:dyDescent="0.25">
      <c r="A243" s="3">
        <v>5400</v>
      </c>
      <c r="B243" s="3">
        <v>24010</v>
      </c>
      <c r="C243" s="7">
        <v>42821</v>
      </c>
      <c r="F243" s="62"/>
      <c r="G243" s="3">
        <v>11.9</v>
      </c>
      <c r="H243" s="3">
        <v>7.1</v>
      </c>
      <c r="I243" s="3">
        <v>17.399999999999999</v>
      </c>
      <c r="J243" s="3">
        <f t="shared" si="33"/>
        <v>1687.9000000000005</v>
      </c>
      <c r="K243" s="3">
        <f t="shared" si="28"/>
        <v>458.7999999999999</v>
      </c>
      <c r="L243" s="23"/>
      <c r="M243" s="74">
        <v>0</v>
      </c>
      <c r="N243" s="3">
        <v>2.6</v>
      </c>
      <c r="O243" s="3">
        <f t="shared" si="30"/>
        <v>-2.6</v>
      </c>
      <c r="P243" s="3">
        <f t="shared" si="35"/>
        <v>139.19999999999999</v>
      </c>
      <c r="Q243" s="3">
        <v>208</v>
      </c>
      <c r="R243" s="3">
        <f t="shared" si="27"/>
        <v>1.1404761904761904</v>
      </c>
      <c r="S243" s="3">
        <f t="shared" si="31"/>
        <v>2.965238095238095</v>
      </c>
      <c r="T243" s="28">
        <f t="shared" si="32"/>
        <v>-2.965238095238095</v>
      </c>
      <c r="U243" s="75">
        <f t="shared" si="36"/>
        <v>145.22452380952382</v>
      </c>
      <c r="W243" s="3">
        <v>1649.1</v>
      </c>
      <c r="Y243" s="3">
        <f t="shared" si="34"/>
        <v>110432.69999999994</v>
      </c>
      <c r="Z243" s="3">
        <f t="shared" si="29"/>
        <v>29775.100000000002</v>
      </c>
      <c r="AA243" s="3">
        <v>12.305293676988565</v>
      </c>
      <c r="AB243" s="3">
        <f>SUM(M234:M243)</f>
        <v>14.3</v>
      </c>
      <c r="AD243" s="45">
        <f>(AB225*(50/100))+(AB243*(50/100))</f>
        <v>7.3500000000000005</v>
      </c>
    </row>
    <row r="244" spans="1:30" s="3" customFormat="1" x14ac:dyDescent="0.25">
      <c r="A244" s="3">
        <v>5400</v>
      </c>
      <c r="B244" s="3">
        <v>24010</v>
      </c>
      <c r="C244" s="7">
        <v>42822</v>
      </c>
      <c r="F244" s="62"/>
      <c r="G244" s="3">
        <v>10.6</v>
      </c>
      <c r="H244" s="3">
        <v>5.7</v>
      </c>
      <c r="I244" s="3">
        <v>15.4</v>
      </c>
      <c r="J244" s="3">
        <f t="shared" si="33"/>
        <v>1698.5000000000005</v>
      </c>
      <c r="K244" s="3">
        <f t="shared" si="28"/>
        <v>469.39999999999992</v>
      </c>
      <c r="L244" s="23"/>
      <c r="M244" s="3">
        <v>0.4</v>
      </c>
      <c r="N244" s="3">
        <v>1.1000000000000001</v>
      </c>
      <c r="O244" s="3">
        <f t="shared" si="30"/>
        <v>-0.70000000000000007</v>
      </c>
      <c r="P244" s="3">
        <f t="shared" si="35"/>
        <v>138.5</v>
      </c>
      <c r="Q244" s="3">
        <v>209</v>
      </c>
      <c r="R244" s="3">
        <f t="shared" si="27"/>
        <v>1.1428571428571428</v>
      </c>
      <c r="S244" s="3">
        <f t="shared" si="31"/>
        <v>1.2571428571428571</v>
      </c>
      <c r="T244" s="28">
        <f t="shared" si="32"/>
        <v>-0.8571428571428571</v>
      </c>
      <c r="U244" s="28">
        <f t="shared" si="36"/>
        <v>144.36738095238096</v>
      </c>
      <c r="W244" s="3">
        <v>859.2</v>
      </c>
      <c r="Y244" s="3">
        <f t="shared" si="34"/>
        <v>111291.89999999994</v>
      </c>
      <c r="Z244" s="3">
        <f t="shared" si="29"/>
        <v>30634.300000000003</v>
      </c>
      <c r="AA244" s="3">
        <v>12.366262441450555</v>
      </c>
    </row>
    <row r="245" spans="1:30" s="3" customFormat="1" x14ac:dyDescent="0.25">
      <c r="A245" s="3">
        <v>5400</v>
      </c>
      <c r="B245" s="3">
        <v>24010</v>
      </c>
      <c r="C245" s="7">
        <v>42823</v>
      </c>
      <c r="F245" s="62"/>
      <c r="G245" s="3">
        <v>12.6</v>
      </c>
      <c r="H245" s="3">
        <v>6.3</v>
      </c>
      <c r="I245" s="3">
        <v>18</v>
      </c>
      <c r="J245" s="3">
        <f t="shared" si="33"/>
        <v>1711.1000000000004</v>
      </c>
      <c r="K245" s="3">
        <f t="shared" si="28"/>
        <v>481.99999999999994</v>
      </c>
      <c r="L245" s="23"/>
      <c r="M245" s="3">
        <v>0</v>
      </c>
      <c r="N245" s="3">
        <v>2.1</v>
      </c>
      <c r="O245" s="3">
        <f t="shared" si="30"/>
        <v>-2.1</v>
      </c>
      <c r="P245" s="3">
        <f t="shared" si="35"/>
        <v>136.4</v>
      </c>
      <c r="Q245" s="3">
        <v>210</v>
      </c>
      <c r="R245" s="3">
        <f t="shared" si="27"/>
        <v>1.1452380952380952</v>
      </c>
      <c r="S245" s="3">
        <f t="shared" si="31"/>
        <v>2.4049999999999998</v>
      </c>
      <c r="T245" s="28">
        <f t="shared" si="32"/>
        <v>-2.4049999999999998</v>
      </c>
      <c r="U245" s="28">
        <f t="shared" si="36"/>
        <v>141.96238095238095</v>
      </c>
      <c r="W245" s="3">
        <v>1345.8</v>
      </c>
      <c r="Y245" s="3">
        <f t="shared" si="34"/>
        <v>112637.69999999994</v>
      </c>
      <c r="Z245" s="3">
        <f t="shared" si="29"/>
        <v>31980.100000000002</v>
      </c>
      <c r="AA245" s="3">
        <v>12.427181846466764</v>
      </c>
    </row>
    <row r="246" spans="1:30" s="3" customFormat="1" x14ac:dyDescent="0.25">
      <c r="A246" s="3">
        <v>5400</v>
      </c>
      <c r="B246" s="3">
        <v>24010</v>
      </c>
      <c r="C246" s="7">
        <v>42824</v>
      </c>
      <c r="F246" s="62"/>
      <c r="G246" s="3">
        <v>14.6</v>
      </c>
      <c r="H246" s="3">
        <v>6.9</v>
      </c>
      <c r="I246" s="3">
        <v>21.1</v>
      </c>
      <c r="J246" s="3">
        <f t="shared" si="33"/>
        <v>1725.7000000000003</v>
      </c>
      <c r="K246" s="3">
        <f t="shared" si="28"/>
        <v>496.59999999999997</v>
      </c>
      <c r="L246" s="23"/>
      <c r="M246" s="3">
        <v>0</v>
      </c>
      <c r="N246" s="3">
        <v>2.7</v>
      </c>
      <c r="O246" s="3">
        <f t="shared" si="30"/>
        <v>-2.7</v>
      </c>
      <c r="P246" s="3">
        <f t="shared" si="35"/>
        <v>133.70000000000002</v>
      </c>
      <c r="Q246" s="3">
        <v>211</v>
      </c>
      <c r="R246" s="3">
        <f t="shared" si="27"/>
        <v>1.1476190476190475</v>
      </c>
      <c r="S246" s="3">
        <f t="shared" si="31"/>
        <v>3.0985714285714288</v>
      </c>
      <c r="T246" s="28">
        <f t="shared" si="32"/>
        <v>-3.0985714285714288</v>
      </c>
      <c r="U246" s="28">
        <f t="shared" si="36"/>
        <v>138.86380952380952</v>
      </c>
      <c r="W246" s="3">
        <v>1605.8</v>
      </c>
      <c r="Y246" s="3">
        <f t="shared" si="34"/>
        <v>114243.49999999994</v>
      </c>
      <c r="Z246" s="3">
        <f t="shared" si="29"/>
        <v>33585.9</v>
      </c>
      <c r="AA246" s="3">
        <v>12.488043428710972</v>
      </c>
    </row>
    <row r="247" spans="1:30" s="21" customFormat="1" ht="15.75" thickBot="1" x14ac:dyDescent="0.3">
      <c r="A247" s="21">
        <v>5400</v>
      </c>
      <c r="B247" s="21">
        <v>24010</v>
      </c>
      <c r="C247" s="22">
        <v>42825</v>
      </c>
      <c r="F247" s="62"/>
      <c r="G247" s="21">
        <v>13.4</v>
      </c>
      <c r="H247" s="21">
        <v>11.6</v>
      </c>
      <c r="I247" s="21">
        <v>15.6</v>
      </c>
      <c r="J247" s="21">
        <f t="shared" si="33"/>
        <v>1739.1000000000004</v>
      </c>
      <c r="K247" s="21">
        <f t="shared" si="28"/>
        <v>509.99999999999994</v>
      </c>
      <c r="L247" s="25"/>
      <c r="M247" s="21">
        <v>0.3</v>
      </c>
      <c r="N247" s="21">
        <v>1.7</v>
      </c>
      <c r="O247" s="21">
        <f t="shared" si="30"/>
        <v>-1.4</v>
      </c>
      <c r="P247" s="21">
        <f t="shared" si="35"/>
        <v>132.30000000000001</v>
      </c>
      <c r="Q247" s="21">
        <v>212</v>
      </c>
      <c r="R247" s="3">
        <f t="shared" si="27"/>
        <v>1.1499999999999999</v>
      </c>
      <c r="S247" s="21">
        <f t="shared" si="31"/>
        <v>1.9549999999999998</v>
      </c>
      <c r="T247" s="29">
        <f t="shared" si="32"/>
        <v>-1.6549999999999998</v>
      </c>
      <c r="U247" s="28">
        <f t="shared" si="36"/>
        <v>137.20880952380952</v>
      </c>
      <c r="W247" s="21">
        <v>792.6</v>
      </c>
      <c r="Y247" s="21">
        <f t="shared" si="34"/>
        <v>115036.09999999995</v>
      </c>
      <c r="Z247" s="21">
        <f t="shared" si="29"/>
        <v>34378.5</v>
      </c>
      <c r="AA247" s="21">
        <v>12.548838615848936</v>
      </c>
    </row>
    <row r="248" spans="1:30" s="41" customFormat="1" x14ac:dyDescent="0.25">
      <c r="A248" s="41">
        <v>5400</v>
      </c>
      <c r="B248" s="41">
        <v>24010</v>
      </c>
      <c r="C248" s="42">
        <v>42826</v>
      </c>
      <c r="D248" s="3" t="s">
        <v>13</v>
      </c>
      <c r="F248" s="63" t="s">
        <v>49</v>
      </c>
      <c r="G248" s="41">
        <v>10.8</v>
      </c>
      <c r="H248" s="41">
        <v>7.8</v>
      </c>
      <c r="I248" s="41">
        <v>13.9</v>
      </c>
      <c r="J248" s="41">
        <f t="shared" si="33"/>
        <v>1749.9000000000003</v>
      </c>
      <c r="K248" s="41">
        <f>G248</f>
        <v>10.8</v>
      </c>
      <c r="L248" s="15" t="s">
        <v>39</v>
      </c>
      <c r="M248" s="41">
        <v>0.1</v>
      </c>
      <c r="N248" s="41">
        <v>1.6</v>
      </c>
      <c r="O248" s="41">
        <f t="shared" si="30"/>
        <v>-1.5</v>
      </c>
      <c r="P248" s="41">
        <f t="shared" si="35"/>
        <v>130.80000000000001</v>
      </c>
      <c r="Q248" s="41">
        <v>213</v>
      </c>
      <c r="R248" s="41">
        <v>1.1499999999999999</v>
      </c>
      <c r="S248" s="41">
        <f t="shared" si="31"/>
        <v>1.8399999999999999</v>
      </c>
      <c r="T248" s="43">
        <f t="shared" si="32"/>
        <v>-1.7399999999999998</v>
      </c>
      <c r="U248" s="28">
        <f t="shared" si="36"/>
        <v>135.46880952380951</v>
      </c>
      <c r="V248" s="34" t="s">
        <v>53</v>
      </c>
      <c r="W248" s="41">
        <v>1149.7</v>
      </c>
      <c r="Y248" s="41">
        <f t="shared" si="34"/>
        <v>116185.79999999994</v>
      </c>
      <c r="Z248" s="41">
        <f>W248</f>
        <v>1149.7</v>
      </c>
      <c r="AA248" s="41">
        <v>12.609558711158156</v>
      </c>
      <c r="AB248" s="34" t="s">
        <v>58</v>
      </c>
    </row>
    <row r="249" spans="1:30" s="3" customFormat="1" ht="15" customHeight="1" x14ac:dyDescent="0.25">
      <c r="A249" s="3">
        <v>5400</v>
      </c>
      <c r="B249" s="3">
        <v>24010</v>
      </c>
      <c r="C249" s="7">
        <v>42827</v>
      </c>
      <c r="F249" s="64"/>
      <c r="G249" s="3">
        <v>10.4</v>
      </c>
      <c r="H249" s="3">
        <v>4.9000000000000004</v>
      </c>
      <c r="I249" s="3">
        <v>14.5</v>
      </c>
      <c r="J249" s="3">
        <f t="shared" si="33"/>
        <v>1760.3000000000004</v>
      </c>
      <c r="K249" s="3">
        <f>K248+G249</f>
        <v>21.200000000000003</v>
      </c>
      <c r="L249" s="11">
        <v>207.1</v>
      </c>
      <c r="M249" s="3">
        <v>0.1</v>
      </c>
      <c r="N249" s="3">
        <v>1.6</v>
      </c>
      <c r="O249" s="3">
        <f t="shared" si="30"/>
        <v>-1.5</v>
      </c>
      <c r="P249" s="3">
        <f t="shared" si="35"/>
        <v>129.30000000000001</v>
      </c>
      <c r="Q249" s="3">
        <v>214</v>
      </c>
      <c r="R249" s="27">
        <v>1.1499999999999999</v>
      </c>
      <c r="S249" s="3">
        <f t="shared" si="31"/>
        <v>1.8399999999999999</v>
      </c>
      <c r="T249" s="28">
        <f t="shared" si="32"/>
        <v>-1.7399999999999998</v>
      </c>
      <c r="U249" s="28">
        <f t="shared" si="36"/>
        <v>133.7288095238095</v>
      </c>
      <c r="V249">
        <v>0</v>
      </c>
      <c r="W249" s="3">
        <v>1247.8</v>
      </c>
      <c r="Y249" s="3">
        <f t="shared" si="34"/>
        <v>117433.59999999995</v>
      </c>
      <c r="Z249" s="3">
        <f>Z248+W249</f>
        <v>2397.5</v>
      </c>
      <c r="AA249" s="3">
        <v>12.670194878229351</v>
      </c>
      <c r="AB249">
        <v>31881.3</v>
      </c>
    </row>
    <row r="250" spans="1:30" s="3" customFormat="1" x14ac:dyDescent="0.25">
      <c r="A250" s="3">
        <v>5400</v>
      </c>
      <c r="B250" s="3">
        <v>24010</v>
      </c>
      <c r="C250" s="7">
        <v>42828</v>
      </c>
      <c r="F250" s="64"/>
      <c r="G250" s="3">
        <v>11.6</v>
      </c>
      <c r="H250" s="3">
        <v>4.8</v>
      </c>
      <c r="I250" s="3">
        <v>17.600000000000001</v>
      </c>
      <c r="J250" s="3">
        <f t="shared" si="33"/>
        <v>1771.9000000000003</v>
      </c>
      <c r="K250" s="3">
        <f t="shared" si="28"/>
        <v>32.800000000000004</v>
      </c>
      <c r="L250" s="15" t="s">
        <v>40</v>
      </c>
      <c r="M250" s="3">
        <v>0</v>
      </c>
      <c r="N250" s="3">
        <v>2.4</v>
      </c>
      <c r="O250" s="3">
        <f t="shared" si="30"/>
        <v>-2.4</v>
      </c>
      <c r="P250" s="3">
        <f t="shared" si="35"/>
        <v>126.9</v>
      </c>
      <c r="Q250" s="3">
        <v>215</v>
      </c>
      <c r="R250" s="27">
        <v>1.1499999999999999</v>
      </c>
      <c r="S250" s="3">
        <f t="shared" si="31"/>
        <v>2.76</v>
      </c>
      <c r="T250" s="28">
        <f t="shared" si="32"/>
        <v>-2.76</v>
      </c>
      <c r="U250" s="28">
        <f t="shared" si="36"/>
        <v>130.96880952380951</v>
      </c>
      <c r="V250" s="34" t="s">
        <v>54</v>
      </c>
      <c r="W250" s="3">
        <v>1597</v>
      </c>
      <c r="Y250" s="3">
        <f t="shared" si="34"/>
        <v>119030.59999999995</v>
      </c>
      <c r="Z250" s="3">
        <f t="shared" ref="Z250:Z312" si="37">Z249+W250</f>
        <v>3994.5</v>
      </c>
      <c r="AA250" s="3">
        <v>12.730738125762857</v>
      </c>
      <c r="AB250" s="34" t="s">
        <v>59</v>
      </c>
    </row>
    <row r="251" spans="1:30" s="3" customFormat="1" x14ac:dyDescent="0.25">
      <c r="A251" s="3">
        <v>5400</v>
      </c>
      <c r="B251" s="3">
        <v>24010</v>
      </c>
      <c r="C251" s="7">
        <v>42829</v>
      </c>
      <c r="F251" s="64"/>
      <c r="G251" s="3">
        <v>9.9</v>
      </c>
      <c r="H251" s="3">
        <v>5.3</v>
      </c>
      <c r="I251" s="3">
        <v>15.3</v>
      </c>
      <c r="J251" s="3">
        <f t="shared" si="33"/>
        <v>1781.8000000000004</v>
      </c>
      <c r="K251" s="3">
        <f t="shared" si="28"/>
        <v>42.7</v>
      </c>
      <c r="L251" s="16">
        <f>AVERAGE(G248:G268)</f>
        <v>9.8619047619047624</v>
      </c>
      <c r="M251" s="3">
        <v>0.2</v>
      </c>
      <c r="N251" s="3">
        <v>1</v>
      </c>
      <c r="O251" s="3">
        <f t="shared" si="30"/>
        <v>-0.8</v>
      </c>
      <c r="P251" s="3">
        <f t="shared" si="35"/>
        <v>126.10000000000001</v>
      </c>
      <c r="Q251" s="3">
        <v>216</v>
      </c>
      <c r="R251" s="27">
        <v>1.1499999999999999</v>
      </c>
      <c r="S251" s="3">
        <f t="shared" si="31"/>
        <v>1.1499999999999999</v>
      </c>
      <c r="T251" s="28">
        <f t="shared" si="32"/>
        <v>-0.95</v>
      </c>
      <c r="U251" s="28">
        <f t="shared" si="36"/>
        <v>130.01880952380952</v>
      </c>
      <c r="V251">
        <v>0</v>
      </c>
      <c r="W251" s="3">
        <v>585.79999999999995</v>
      </c>
      <c r="Y251" s="3">
        <f t="shared" si="34"/>
        <v>119616.39999999995</v>
      </c>
      <c r="Z251" s="3">
        <f t="shared" si="37"/>
        <v>4580.3</v>
      </c>
      <c r="AA251" s="3">
        <v>12.791179292474219</v>
      </c>
      <c r="AB251" s="28">
        <f>(AB249/100)/L249</f>
        <v>1.539415741187832</v>
      </c>
    </row>
    <row r="252" spans="1:30" s="3" customFormat="1" x14ac:dyDescent="0.25">
      <c r="A252" s="3">
        <v>5400</v>
      </c>
      <c r="B252" s="3">
        <v>24010</v>
      </c>
      <c r="C252" s="7">
        <v>42830</v>
      </c>
      <c r="F252" s="64"/>
      <c r="G252" s="3">
        <v>10.4</v>
      </c>
      <c r="H252" s="3">
        <v>6.7</v>
      </c>
      <c r="I252" s="3">
        <v>14.2</v>
      </c>
      <c r="J252" s="3">
        <f t="shared" si="33"/>
        <v>1792.2000000000005</v>
      </c>
      <c r="K252" s="3">
        <f t="shared" si="28"/>
        <v>53.1</v>
      </c>
      <c r="L252" s="15" t="s">
        <v>41</v>
      </c>
      <c r="M252" s="3">
        <v>0</v>
      </c>
      <c r="N252" s="3">
        <v>2</v>
      </c>
      <c r="O252" s="3">
        <f t="shared" si="30"/>
        <v>-2</v>
      </c>
      <c r="P252" s="3">
        <f t="shared" si="35"/>
        <v>124.10000000000001</v>
      </c>
      <c r="Q252" s="3">
        <v>217</v>
      </c>
      <c r="R252" s="27">
        <v>1.1499999999999999</v>
      </c>
      <c r="S252" s="3">
        <f t="shared" si="31"/>
        <v>2.2999999999999998</v>
      </c>
      <c r="T252" s="28">
        <f t="shared" si="32"/>
        <v>-2.2999999999999998</v>
      </c>
      <c r="U252" s="28">
        <f t="shared" si="36"/>
        <v>127.71880952380953</v>
      </c>
      <c r="V252" s="34" t="s">
        <v>55</v>
      </c>
      <c r="W252" s="3">
        <v>1442.4</v>
      </c>
      <c r="Y252" s="3">
        <f t="shared" si="34"/>
        <v>121058.79999999994</v>
      </c>
      <c r="Z252" s="3">
        <f t="shared" si="37"/>
        <v>6022.7000000000007</v>
      </c>
      <c r="AA252" s="3">
        <v>12.851509032124389</v>
      </c>
      <c r="AB252" s="34" t="s">
        <v>60</v>
      </c>
    </row>
    <row r="253" spans="1:30" s="3" customFormat="1" x14ac:dyDescent="0.25">
      <c r="A253" s="3">
        <v>5400</v>
      </c>
      <c r="B253" s="3">
        <v>24010</v>
      </c>
      <c r="C253" s="7">
        <v>42831</v>
      </c>
      <c r="F253" s="64"/>
      <c r="G253" s="3">
        <v>8.5</v>
      </c>
      <c r="H253" s="3">
        <v>4</v>
      </c>
      <c r="I253" s="3">
        <v>13.1</v>
      </c>
      <c r="J253" s="3">
        <f t="shared" si="33"/>
        <v>1800.7000000000005</v>
      </c>
      <c r="K253" s="3">
        <f t="shared" si="28"/>
        <v>61.6</v>
      </c>
      <c r="L253" s="12">
        <f>MIN(H248:H268)</f>
        <v>-0.1</v>
      </c>
      <c r="M253" s="3">
        <v>0</v>
      </c>
      <c r="N253" s="3">
        <v>2.4</v>
      </c>
      <c r="O253" s="3">
        <f t="shared" si="30"/>
        <v>-2.4</v>
      </c>
      <c r="P253" s="3">
        <f t="shared" si="35"/>
        <v>121.7</v>
      </c>
      <c r="Q253" s="3">
        <v>218</v>
      </c>
      <c r="R253" s="27">
        <v>1.1499999999999999</v>
      </c>
      <c r="S253" s="3">
        <f t="shared" si="31"/>
        <v>2.76</v>
      </c>
      <c r="T253" s="28">
        <f t="shared" si="32"/>
        <v>-2.76</v>
      </c>
      <c r="U253" s="28">
        <f t="shared" si="36"/>
        <v>124.95880952380952</v>
      </c>
      <c r="V253" s="28">
        <f>MIN(U248:U268)</f>
        <v>87.691809523809539</v>
      </c>
      <c r="W253" s="3">
        <v>1702.1</v>
      </c>
      <c r="Y253" s="3">
        <f t="shared" si="34"/>
        <v>122760.89999999995</v>
      </c>
      <c r="Z253" s="3">
        <f t="shared" si="37"/>
        <v>7724.8000000000011</v>
      </c>
      <c r="AA253" s="3">
        <v>12.91171779869129</v>
      </c>
      <c r="AB253">
        <v>4</v>
      </c>
    </row>
    <row r="254" spans="1:30" s="3" customFormat="1" x14ac:dyDescent="0.25">
      <c r="A254" s="3">
        <v>5400</v>
      </c>
      <c r="B254" s="3">
        <v>24010</v>
      </c>
      <c r="C254" s="7">
        <v>42832</v>
      </c>
      <c r="F254" s="64"/>
      <c r="G254" s="3">
        <v>9.8000000000000007</v>
      </c>
      <c r="H254" s="3">
        <v>2.7</v>
      </c>
      <c r="I254" s="3">
        <v>16</v>
      </c>
      <c r="J254" s="3">
        <f t="shared" si="33"/>
        <v>1810.5000000000005</v>
      </c>
      <c r="K254" s="3">
        <f t="shared" ref="K254:K317" si="38">K253+G254</f>
        <v>71.400000000000006</v>
      </c>
      <c r="L254" s="15" t="s">
        <v>42</v>
      </c>
      <c r="M254" s="3">
        <v>0</v>
      </c>
      <c r="N254" s="3">
        <v>2.8</v>
      </c>
      <c r="O254" s="3">
        <f t="shared" si="30"/>
        <v>-2.8</v>
      </c>
      <c r="P254" s="3">
        <f t="shared" si="35"/>
        <v>118.9</v>
      </c>
      <c r="Q254" s="3">
        <v>219</v>
      </c>
      <c r="R254" s="27">
        <v>1.1499999999999999</v>
      </c>
      <c r="S254" s="3">
        <f t="shared" si="31"/>
        <v>3.2199999999999998</v>
      </c>
      <c r="T254" s="28">
        <f t="shared" si="32"/>
        <v>-3.2199999999999998</v>
      </c>
      <c r="U254" s="28">
        <f t="shared" si="36"/>
        <v>121.73880952380952</v>
      </c>
      <c r="V254" s="34" t="s">
        <v>56</v>
      </c>
      <c r="W254" s="3">
        <v>2101.8000000000002</v>
      </c>
      <c r="Y254" s="3">
        <f t="shared" si="34"/>
        <v>124862.69999999995</v>
      </c>
      <c r="Z254" s="3">
        <f t="shared" si="37"/>
        <v>9826.6000000000022</v>
      </c>
      <c r="AA254" s="3">
        <v>12.971795831700856</v>
      </c>
    </row>
    <row r="255" spans="1:30" s="3" customFormat="1" x14ac:dyDescent="0.25">
      <c r="A255" s="3">
        <v>5400</v>
      </c>
      <c r="B255" s="3">
        <v>24010</v>
      </c>
      <c r="C255" s="7">
        <v>42833</v>
      </c>
      <c r="F255" s="64"/>
      <c r="G255" s="3">
        <v>12.3</v>
      </c>
      <c r="H255" s="3">
        <v>4.0999999999999996</v>
      </c>
      <c r="I255" s="3">
        <v>18.8</v>
      </c>
      <c r="J255" s="3">
        <f t="shared" si="33"/>
        <v>1822.8000000000004</v>
      </c>
      <c r="K255" s="3">
        <f t="shared" si="38"/>
        <v>83.7</v>
      </c>
      <c r="L255" s="11">
        <f>MAX(I248:I268)</f>
        <v>22.5</v>
      </c>
      <c r="M255" s="3">
        <v>0</v>
      </c>
      <c r="N255" s="3">
        <v>3.1</v>
      </c>
      <c r="O255" s="3">
        <f t="shared" si="30"/>
        <v>-3.1</v>
      </c>
      <c r="P255" s="3">
        <f t="shared" si="35"/>
        <v>115.80000000000001</v>
      </c>
      <c r="Q255" s="3">
        <v>220</v>
      </c>
      <c r="R255" s="27">
        <v>1.1499999999999999</v>
      </c>
      <c r="S255" s="3">
        <f t="shared" si="31"/>
        <v>3.5649999999999999</v>
      </c>
      <c r="T255" s="28">
        <f t="shared" si="32"/>
        <v>-3.5649999999999999</v>
      </c>
      <c r="U255" s="28">
        <f t="shared" si="36"/>
        <v>118.17380952380952</v>
      </c>
      <c r="V255" s="28">
        <f>MAX(U248:U268)</f>
        <v>135.46880952380951</v>
      </c>
      <c r="W255" s="3">
        <v>2245</v>
      </c>
      <c r="Y255" s="3">
        <f t="shared" si="34"/>
        <v>127107.69999999995</v>
      </c>
      <c r="Z255" s="3">
        <f t="shared" si="37"/>
        <v>12071.600000000002</v>
      </c>
      <c r="AA255" s="3">
        <v>13.031733141737227</v>
      </c>
    </row>
    <row r="256" spans="1:30" s="3" customFormat="1" x14ac:dyDescent="0.25">
      <c r="A256" s="3">
        <v>5400</v>
      </c>
      <c r="B256" s="3">
        <v>24010</v>
      </c>
      <c r="C256" s="7">
        <v>42834</v>
      </c>
      <c r="F256" s="64"/>
      <c r="G256" s="3">
        <v>15.2</v>
      </c>
      <c r="H256" s="3">
        <v>5.9</v>
      </c>
      <c r="I256" s="3">
        <v>22.5</v>
      </c>
      <c r="J256" s="3">
        <f t="shared" si="33"/>
        <v>1838.0000000000005</v>
      </c>
      <c r="K256" s="3">
        <f t="shared" si="38"/>
        <v>98.9</v>
      </c>
      <c r="L256" s="15" t="s">
        <v>43</v>
      </c>
      <c r="M256" s="3">
        <v>0</v>
      </c>
      <c r="N256" s="3">
        <v>3.7</v>
      </c>
      <c r="O256" s="3">
        <f t="shared" si="30"/>
        <v>-3.7</v>
      </c>
      <c r="P256" s="3">
        <f t="shared" si="35"/>
        <v>112.10000000000001</v>
      </c>
      <c r="Q256" s="3">
        <v>221</v>
      </c>
      <c r="R256" s="27">
        <v>1.1499999999999999</v>
      </c>
      <c r="S256" s="3">
        <f t="shared" si="31"/>
        <v>4.2549999999999999</v>
      </c>
      <c r="T256" s="28">
        <f t="shared" si="32"/>
        <v>-4.2549999999999999</v>
      </c>
      <c r="U256" s="28">
        <f t="shared" si="36"/>
        <v>113.91880952380953</v>
      </c>
      <c r="V256" s="34" t="s">
        <v>57</v>
      </c>
      <c r="W256" s="3">
        <v>2282.6</v>
      </c>
      <c r="Y256" s="3">
        <f t="shared" si="34"/>
        <v>129390.29999999996</v>
      </c>
      <c r="Z256" s="3">
        <f t="shared" si="37"/>
        <v>14354.200000000003</v>
      </c>
      <c r="AA256" s="3">
        <v>13.09151949615339</v>
      </c>
    </row>
    <row r="257" spans="1:28" s="3" customFormat="1" x14ac:dyDescent="0.25">
      <c r="A257" s="3">
        <v>5400</v>
      </c>
      <c r="B257" s="3">
        <v>24010</v>
      </c>
      <c r="C257" s="7">
        <v>42835</v>
      </c>
      <c r="F257" s="64"/>
      <c r="G257" s="3">
        <v>11.4</v>
      </c>
      <c r="H257" s="3">
        <v>10.3</v>
      </c>
      <c r="I257" s="3">
        <v>14.5</v>
      </c>
      <c r="J257" s="3">
        <f t="shared" si="33"/>
        <v>1849.4000000000005</v>
      </c>
      <c r="K257" s="3">
        <f t="shared" si="38"/>
        <v>110.30000000000001</v>
      </c>
      <c r="L257" s="11">
        <v>0</v>
      </c>
      <c r="M257" s="3">
        <v>0</v>
      </c>
      <c r="N257" s="3">
        <v>1.4</v>
      </c>
      <c r="O257" s="3">
        <f t="shared" si="30"/>
        <v>-1.4</v>
      </c>
      <c r="P257" s="3">
        <f t="shared" si="35"/>
        <v>110.7</v>
      </c>
      <c r="Q257" s="3">
        <v>222</v>
      </c>
      <c r="R257" s="27">
        <v>1.1499999999999999</v>
      </c>
      <c r="S257" s="3">
        <f t="shared" si="31"/>
        <v>1.6099999999999999</v>
      </c>
      <c r="T257" s="28">
        <f t="shared" si="32"/>
        <v>-1.6099999999999999</v>
      </c>
      <c r="U257" s="28">
        <f t="shared" si="36"/>
        <v>112.30880952380953</v>
      </c>
      <c r="V257" s="28">
        <f>AVERAGE(U248:U268)</f>
        <v>111.9444285714286</v>
      </c>
      <c r="W257" s="3">
        <v>630.20000000000005</v>
      </c>
      <c r="Y257" s="3">
        <f t="shared" si="34"/>
        <v>130020.49999999996</v>
      </c>
      <c r="Z257" s="3">
        <f t="shared" si="37"/>
        <v>14984.400000000003</v>
      </c>
      <c r="AA257" s="3">
        <v>13.151144405005313</v>
      </c>
    </row>
    <row r="258" spans="1:28" s="3" customFormat="1" x14ac:dyDescent="0.25">
      <c r="A258" s="3">
        <v>5400</v>
      </c>
      <c r="B258" s="3">
        <v>24010</v>
      </c>
      <c r="C258" s="7">
        <v>42836</v>
      </c>
      <c r="F258" s="64"/>
      <c r="G258" s="3">
        <v>9.4</v>
      </c>
      <c r="H258" s="3">
        <v>4.0999999999999996</v>
      </c>
      <c r="I258" s="3">
        <v>14.4</v>
      </c>
      <c r="J258" s="3">
        <f t="shared" si="33"/>
        <v>1858.8000000000006</v>
      </c>
      <c r="K258" s="3">
        <f t="shared" si="38"/>
        <v>119.70000000000002</v>
      </c>
      <c r="L258" s="15" t="s">
        <v>44</v>
      </c>
      <c r="M258" s="3">
        <v>0</v>
      </c>
      <c r="N258" s="3">
        <v>2.6</v>
      </c>
      <c r="O258" s="3">
        <f t="shared" si="30"/>
        <v>-2.6</v>
      </c>
      <c r="P258" s="3">
        <f t="shared" si="35"/>
        <v>108.10000000000001</v>
      </c>
      <c r="Q258" s="3">
        <v>223</v>
      </c>
      <c r="R258" s="27">
        <v>1.1200000000000001</v>
      </c>
      <c r="S258" s="3">
        <f t="shared" si="31"/>
        <v>2.9120000000000004</v>
      </c>
      <c r="T258" s="28">
        <f t="shared" si="32"/>
        <v>-2.9120000000000004</v>
      </c>
      <c r="U258" s="28">
        <f t="shared" si="36"/>
        <v>109.39680952380952</v>
      </c>
      <c r="W258" s="3">
        <v>1803.2</v>
      </c>
      <c r="Y258" s="3">
        <f t="shared" si="34"/>
        <v>131823.69999999995</v>
      </c>
      <c r="Z258" s="3">
        <f t="shared" si="37"/>
        <v>16787.600000000002</v>
      </c>
      <c r="AA258" s="3">
        <v>13.210597107234502</v>
      </c>
    </row>
    <row r="259" spans="1:28" s="3" customFormat="1" x14ac:dyDescent="0.25">
      <c r="A259" s="3">
        <v>5400</v>
      </c>
      <c r="B259" s="3">
        <v>24010</v>
      </c>
      <c r="C259" s="7">
        <v>42837</v>
      </c>
      <c r="F259" s="64"/>
      <c r="G259" s="3">
        <v>10.3</v>
      </c>
      <c r="H259" s="3">
        <v>3.1</v>
      </c>
      <c r="I259" s="3">
        <v>16.2</v>
      </c>
      <c r="J259" s="3">
        <f t="shared" si="33"/>
        <v>1869.1000000000006</v>
      </c>
      <c r="K259" s="3">
        <f t="shared" si="38"/>
        <v>130.00000000000003</v>
      </c>
      <c r="L259" s="11">
        <v>10</v>
      </c>
      <c r="M259" s="3">
        <v>0</v>
      </c>
      <c r="N259" s="3">
        <v>2.7</v>
      </c>
      <c r="O259" s="3">
        <f t="shared" si="30"/>
        <v>-2.7</v>
      </c>
      <c r="P259" s="3">
        <f t="shared" si="35"/>
        <v>105.4</v>
      </c>
      <c r="Q259" s="3">
        <v>224</v>
      </c>
      <c r="R259" s="27">
        <v>1.1499999999999999</v>
      </c>
      <c r="S259" s="3">
        <f t="shared" si="31"/>
        <v>3.105</v>
      </c>
      <c r="T259" s="28">
        <f t="shared" si="32"/>
        <v>-3.105</v>
      </c>
      <c r="U259" s="28">
        <f t="shared" si="36"/>
        <v>106.29180952380952</v>
      </c>
      <c r="V259" s="45">
        <f>(V257*100)/153.9</f>
        <v>72.738420124385044</v>
      </c>
      <c r="W259" s="3">
        <v>2009</v>
      </c>
      <c r="Y259" s="3">
        <f t="shared" si="34"/>
        <v>133832.69999999995</v>
      </c>
      <c r="Z259" s="3">
        <f t="shared" si="37"/>
        <v>18796.600000000002</v>
      </c>
      <c r="AA259" s="3">
        <v>13.269866557125834</v>
      </c>
    </row>
    <row r="260" spans="1:28" s="3" customFormat="1" x14ac:dyDescent="0.25">
      <c r="A260" s="3">
        <v>5400</v>
      </c>
      <c r="B260" s="3">
        <v>24010</v>
      </c>
      <c r="C260" s="7">
        <v>42838</v>
      </c>
      <c r="F260" s="64"/>
      <c r="G260" s="3">
        <v>10.6</v>
      </c>
      <c r="H260" s="3">
        <v>6.1</v>
      </c>
      <c r="I260" s="3">
        <v>13.8</v>
      </c>
      <c r="J260" s="3">
        <f t="shared" si="33"/>
        <v>1879.7000000000005</v>
      </c>
      <c r="K260" s="3">
        <f t="shared" si="38"/>
        <v>140.60000000000002</v>
      </c>
      <c r="L260" s="15" t="s">
        <v>45</v>
      </c>
      <c r="M260" s="3">
        <v>0</v>
      </c>
      <c r="N260" s="3">
        <v>1.6</v>
      </c>
      <c r="O260" s="3">
        <f t="shared" si="30"/>
        <v>-1.6</v>
      </c>
      <c r="P260" s="3">
        <f t="shared" si="35"/>
        <v>103.80000000000001</v>
      </c>
      <c r="Q260" s="3">
        <v>225</v>
      </c>
      <c r="R260" s="27">
        <v>1.1499999999999999</v>
      </c>
      <c r="S260" s="3">
        <f t="shared" si="31"/>
        <v>1.8399999999999999</v>
      </c>
      <c r="T260" s="28">
        <f t="shared" si="32"/>
        <v>-1.8399999999999999</v>
      </c>
      <c r="U260" s="28">
        <f t="shared" si="36"/>
        <v>104.45180952380952</v>
      </c>
      <c r="W260" s="3">
        <v>1166</v>
      </c>
      <c r="Y260" s="3">
        <f t="shared" si="34"/>
        <v>134998.69999999995</v>
      </c>
      <c r="Z260" s="3">
        <f t="shared" si="37"/>
        <v>19962.600000000002</v>
      </c>
      <c r="AA260" s="3">
        <v>13.328941411069634</v>
      </c>
    </row>
    <row r="261" spans="1:28" s="3" customFormat="1" x14ac:dyDescent="0.25">
      <c r="A261" s="3">
        <v>5400</v>
      </c>
      <c r="B261" s="3">
        <v>24010</v>
      </c>
      <c r="C261" s="7">
        <v>42839</v>
      </c>
      <c r="F261" s="64"/>
      <c r="G261" s="3">
        <v>11.1</v>
      </c>
      <c r="H261" s="3">
        <v>8.1</v>
      </c>
      <c r="I261" s="3">
        <v>14.9</v>
      </c>
      <c r="J261" s="3">
        <f t="shared" si="33"/>
        <v>1890.8000000000004</v>
      </c>
      <c r="K261" s="3">
        <f t="shared" si="38"/>
        <v>151.70000000000002</v>
      </c>
      <c r="L261" s="17">
        <v>1</v>
      </c>
      <c r="M261" s="3">
        <v>0</v>
      </c>
      <c r="N261" s="3">
        <v>1.5</v>
      </c>
      <c r="O261" s="3">
        <f t="shared" si="30"/>
        <v>-1.5</v>
      </c>
      <c r="P261" s="3">
        <f t="shared" si="35"/>
        <v>102.30000000000001</v>
      </c>
      <c r="Q261" s="3">
        <v>226</v>
      </c>
      <c r="R261" s="27">
        <v>1.1499999999999999</v>
      </c>
      <c r="S261" s="3">
        <f t="shared" si="31"/>
        <v>1.7249999999999999</v>
      </c>
      <c r="T261" s="28">
        <f t="shared" si="32"/>
        <v>-1.7249999999999999</v>
      </c>
      <c r="U261" s="28">
        <f t="shared" si="36"/>
        <v>102.72680952380952</v>
      </c>
      <c r="W261" s="3">
        <v>862.4</v>
      </c>
      <c r="Y261" s="3">
        <f t="shared" si="34"/>
        <v>135861.09999999995</v>
      </c>
      <c r="Z261" s="3">
        <f t="shared" si="37"/>
        <v>20825.000000000004</v>
      </c>
      <c r="AA261" s="3">
        <v>13.387810014659147</v>
      </c>
    </row>
    <row r="262" spans="1:28" s="3" customFormat="1" x14ac:dyDescent="0.25">
      <c r="A262" s="3">
        <v>5400</v>
      </c>
      <c r="B262" s="3">
        <v>24010</v>
      </c>
      <c r="C262" s="7">
        <v>42840</v>
      </c>
      <c r="F262" s="64"/>
      <c r="G262" s="3">
        <v>9.8000000000000007</v>
      </c>
      <c r="H262" s="3">
        <v>6.9</v>
      </c>
      <c r="I262" s="3">
        <v>12</v>
      </c>
      <c r="J262" s="3">
        <f t="shared" si="33"/>
        <v>1900.6000000000004</v>
      </c>
      <c r="K262" s="3">
        <f t="shared" si="38"/>
        <v>161.50000000000003</v>
      </c>
      <c r="M262" s="3">
        <v>2</v>
      </c>
      <c r="N262" s="3">
        <v>0.5</v>
      </c>
      <c r="O262" s="3">
        <f t="shared" si="30"/>
        <v>1.5</v>
      </c>
      <c r="P262" s="3">
        <f t="shared" si="35"/>
        <v>103.80000000000001</v>
      </c>
      <c r="Q262" s="3">
        <v>227</v>
      </c>
      <c r="R262" s="27">
        <v>1.1499999999999999</v>
      </c>
      <c r="S262" s="3">
        <f t="shared" si="31"/>
        <v>0.57499999999999996</v>
      </c>
      <c r="T262" s="28">
        <f t="shared" si="32"/>
        <v>1.425</v>
      </c>
      <c r="U262" s="28">
        <f t="shared" si="36"/>
        <v>104.15180952380952</v>
      </c>
      <c r="W262" s="3">
        <v>371.6</v>
      </c>
      <c r="Y262" s="3">
        <f t="shared" si="34"/>
        <v>136232.69999999995</v>
      </c>
      <c r="Z262" s="3">
        <f t="shared" si="37"/>
        <v>21196.600000000002</v>
      </c>
      <c r="AA262" s="3">
        <v>13.446460390156734</v>
      </c>
    </row>
    <row r="263" spans="1:28" s="3" customFormat="1" x14ac:dyDescent="0.25">
      <c r="A263" s="3">
        <v>5400</v>
      </c>
      <c r="B263" s="3">
        <v>24010</v>
      </c>
      <c r="C263" s="7">
        <v>42841</v>
      </c>
      <c r="F263" s="64"/>
      <c r="G263" s="3">
        <v>9.4</v>
      </c>
      <c r="H263" s="3">
        <v>5.4</v>
      </c>
      <c r="I263" s="3">
        <v>13.2</v>
      </c>
      <c r="J263" s="3">
        <f t="shared" si="33"/>
        <v>1910.0000000000005</v>
      </c>
      <c r="K263" s="3">
        <f t="shared" si="38"/>
        <v>170.90000000000003</v>
      </c>
      <c r="L263" s="23"/>
      <c r="M263" s="3">
        <v>0</v>
      </c>
      <c r="N263" s="3">
        <v>2.2999999999999998</v>
      </c>
      <c r="O263" s="3">
        <f t="shared" si="30"/>
        <v>-2.2999999999999998</v>
      </c>
      <c r="P263" s="3">
        <f t="shared" si="35"/>
        <v>101.50000000000001</v>
      </c>
      <c r="Q263" s="3">
        <v>228</v>
      </c>
      <c r="R263" s="27">
        <v>1.1499999999999999</v>
      </c>
      <c r="S263" s="3">
        <f t="shared" si="31"/>
        <v>2.6449999999999996</v>
      </c>
      <c r="T263" s="28">
        <f t="shared" si="32"/>
        <v>-2.6449999999999996</v>
      </c>
      <c r="U263" s="28">
        <f t="shared" si="36"/>
        <v>101.50680952380952</v>
      </c>
      <c r="W263" s="3">
        <v>1721.9</v>
      </c>
      <c r="Y263" s="3">
        <f t="shared" si="34"/>
        <v>137954.59999999995</v>
      </c>
      <c r="Z263" s="3">
        <f t="shared" si="37"/>
        <v>22918.500000000004</v>
      </c>
      <c r="AA263" s="3">
        <v>13.504880224364602</v>
      </c>
    </row>
    <row r="264" spans="1:28" s="3" customFormat="1" x14ac:dyDescent="0.25">
      <c r="A264" s="3">
        <v>5400</v>
      </c>
      <c r="B264" s="3">
        <v>24010</v>
      </c>
      <c r="C264" s="7">
        <v>42842</v>
      </c>
      <c r="F264" s="64"/>
      <c r="G264" s="3">
        <v>8.9</v>
      </c>
      <c r="H264" s="3">
        <v>5.7</v>
      </c>
      <c r="I264" s="3">
        <v>12.6</v>
      </c>
      <c r="J264" s="3">
        <f t="shared" si="33"/>
        <v>1918.9000000000005</v>
      </c>
      <c r="K264" s="3">
        <f t="shared" si="38"/>
        <v>179.80000000000004</v>
      </c>
      <c r="L264" s="23"/>
      <c r="M264" s="3">
        <v>0.1</v>
      </c>
      <c r="N264" s="3">
        <v>1.3</v>
      </c>
      <c r="O264" s="3">
        <f t="shared" si="30"/>
        <v>-1.2</v>
      </c>
      <c r="P264" s="3">
        <f t="shared" si="35"/>
        <v>100.30000000000001</v>
      </c>
      <c r="Q264" s="3">
        <v>229</v>
      </c>
      <c r="R264" s="27">
        <v>1.1499999999999999</v>
      </c>
      <c r="S264" s="3">
        <f t="shared" si="31"/>
        <v>1.4949999999999999</v>
      </c>
      <c r="T264" s="28">
        <f t="shared" si="32"/>
        <v>-1.3949999999999998</v>
      </c>
      <c r="U264" s="28">
        <f t="shared" si="36"/>
        <v>100.11180952380953</v>
      </c>
      <c r="W264" s="3">
        <v>1036.4000000000001</v>
      </c>
      <c r="Y264" s="3">
        <f t="shared" si="34"/>
        <v>138990.99999999994</v>
      </c>
      <c r="Z264" s="3">
        <f t="shared" si="37"/>
        <v>23954.900000000005</v>
      </c>
      <c r="AA264" s="3">
        <v>13.563056856938204</v>
      </c>
    </row>
    <row r="265" spans="1:28" s="3" customFormat="1" x14ac:dyDescent="0.25">
      <c r="A265" s="3">
        <v>5400</v>
      </c>
      <c r="B265" s="3">
        <v>24010</v>
      </c>
      <c r="C265" s="7">
        <v>42843</v>
      </c>
      <c r="F265" s="64"/>
      <c r="G265" s="3">
        <v>6.1</v>
      </c>
      <c r="H265" s="3">
        <v>4.2</v>
      </c>
      <c r="I265" s="3">
        <v>9.9</v>
      </c>
      <c r="J265" s="3">
        <f t="shared" si="33"/>
        <v>1925.0000000000005</v>
      </c>
      <c r="K265" s="3">
        <f t="shared" si="38"/>
        <v>185.90000000000003</v>
      </c>
      <c r="L265" s="23"/>
      <c r="M265" s="3">
        <v>0</v>
      </c>
      <c r="N265" s="3">
        <v>1.4</v>
      </c>
      <c r="O265" s="3">
        <f t="shared" si="30"/>
        <v>-1.4</v>
      </c>
      <c r="P265" s="3">
        <f t="shared" si="35"/>
        <v>98.9</v>
      </c>
      <c r="Q265" s="3">
        <v>230</v>
      </c>
      <c r="R265" s="27">
        <v>1.1499999999999999</v>
      </c>
      <c r="S265" s="3">
        <f t="shared" si="31"/>
        <v>1.6099999999999999</v>
      </c>
      <c r="T265" s="28">
        <f t="shared" si="32"/>
        <v>-1.6099999999999999</v>
      </c>
      <c r="U265" s="28">
        <f t="shared" si="36"/>
        <v>98.501809523809527</v>
      </c>
      <c r="W265" s="3">
        <v>1020.5</v>
      </c>
      <c r="Y265" s="3">
        <f t="shared" si="34"/>
        <v>140011.49999999994</v>
      </c>
      <c r="Z265" s="3">
        <f t="shared" si="37"/>
        <v>24975.400000000005</v>
      </c>
      <c r="AA265" s="3">
        <v>13.620977269182998</v>
      </c>
    </row>
    <row r="266" spans="1:28" s="3" customFormat="1" x14ac:dyDescent="0.25">
      <c r="A266" s="3">
        <v>5400</v>
      </c>
      <c r="B266" s="3">
        <v>24010</v>
      </c>
      <c r="C266" s="7">
        <v>42844</v>
      </c>
      <c r="F266" s="64"/>
      <c r="G266" s="3">
        <v>5.7</v>
      </c>
      <c r="H266" s="3">
        <v>1.3</v>
      </c>
      <c r="I266" s="3">
        <v>11.2</v>
      </c>
      <c r="J266" s="3">
        <f t="shared" si="33"/>
        <v>1930.7000000000005</v>
      </c>
      <c r="K266" s="3">
        <f t="shared" si="38"/>
        <v>191.60000000000002</v>
      </c>
      <c r="L266" s="23"/>
      <c r="M266" s="3">
        <v>0</v>
      </c>
      <c r="N266" s="3">
        <v>2.9</v>
      </c>
      <c r="O266" s="3">
        <f t="shared" si="30"/>
        <v>-2.9</v>
      </c>
      <c r="P266" s="3">
        <f t="shared" si="35"/>
        <v>96</v>
      </c>
      <c r="Q266" s="3">
        <v>231</v>
      </c>
      <c r="R266" s="27">
        <v>1.1499999999999999</v>
      </c>
      <c r="S266" s="3">
        <f t="shared" si="31"/>
        <v>3.3349999999999995</v>
      </c>
      <c r="T266" s="28">
        <f t="shared" si="32"/>
        <v>-3.3349999999999995</v>
      </c>
      <c r="U266" s="28">
        <f t="shared" si="36"/>
        <v>95.166809523809533</v>
      </c>
      <c r="W266" s="3">
        <v>2025.3</v>
      </c>
      <c r="Y266" s="3">
        <f t="shared" si="34"/>
        <v>142036.79999999993</v>
      </c>
      <c r="Z266" s="3">
        <f t="shared" si="37"/>
        <v>27000.700000000004</v>
      </c>
      <c r="AA266" s="3">
        <v>13.678628073377833</v>
      </c>
    </row>
    <row r="267" spans="1:28" s="3" customFormat="1" x14ac:dyDescent="0.25">
      <c r="A267" s="3">
        <v>5400</v>
      </c>
      <c r="B267" s="3">
        <v>24010</v>
      </c>
      <c r="C267" s="7">
        <v>42845</v>
      </c>
      <c r="F267" s="64"/>
      <c r="G267" s="3">
        <v>6.2</v>
      </c>
      <c r="H267" s="3">
        <v>-0.1</v>
      </c>
      <c r="I267" s="3">
        <v>11.6</v>
      </c>
      <c r="J267" s="3">
        <f t="shared" si="33"/>
        <v>1936.9000000000005</v>
      </c>
      <c r="K267" s="3">
        <f t="shared" si="38"/>
        <v>197.8</v>
      </c>
      <c r="L267" s="23"/>
      <c r="M267" s="3">
        <v>0</v>
      </c>
      <c r="N267" s="3">
        <v>2.9</v>
      </c>
      <c r="O267" s="3">
        <f t="shared" si="30"/>
        <v>-2.9</v>
      </c>
      <c r="P267" s="3">
        <f t="shared" si="35"/>
        <v>93.1</v>
      </c>
      <c r="Q267" s="3">
        <v>232</v>
      </c>
      <c r="R267" s="27">
        <v>1.1499999999999999</v>
      </c>
      <c r="S267" s="3">
        <f t="shared" si="31"/>
        <v>3.3349999999999995</v>
      </c>
      <c r="T267" s="28">
        <f t="shared" si="32"/>
        <v>-3.3349999999999995</v>
      </c>
      <c r="U267" s="28">
        <f t="shared" si="36"/>
        <v>91.83180952380954</v>
      </c>
      <c r="W267" s="3">
        <v>2289.4</v>
      </c>
      <c r="Y267" s="3">
        <f t="shared" si="34"/>
        <v>144326.19999999992</v>
      </c>
      <c r="Z267" s="3">
        <f t="shared" si="37"/>
        <v>29290.100000000006</v>
      </c>
      <c r="AA267" s="3">
        <v>13.735995502670763</v>
      </c>
    </row>
    <row r="268" spans="1:28" s="21" customFormat="1" ht="15.75" thickBot="1" x14ac:dyDescent="0.3">
      <c r="A268" s="21">
        <v>5400</v>
      </c>
      <c r="B268" s="21">
        <v>24010</v>
      </c>
      <c r="C268" s="22">
        <v>42846</v>
      </c>
      <c r="D268" s="21" t="s">
        <v>34</v>
      </c>
      <c r="F268" s="65"/>
      <c r="G268" s="21">
        <v>9.3000000000000007</v>
      </c>
      <c r="H268" s="21">
        <v>1.2</v>
      </c>
      <c r="I268" s="21">
        <v>16.3</v>
      </c>
      <c r="J268" s="21">
        <f t="shared" si="33"/>
        <v>1946.2000000000005</v>
      </c>
      <c r="K268" s="21">
        <f t="shared" si="38"/>
        <v>207.10000000000002</v>
      </c>
      <c r="L268" s="25"/>
      <c r="M268" s="21">
        <v>0</v>
      </c>
      <c r="N268" s="21">
        <v>3.6</v>
      </c>
      <c r="O268" s="21">
        <f t="shared" si="30"/>
        <v>-3.6</v>
      </c>
      <c r="P268" s="21">
        <f t="shared" si="35"/>
        <v>89.5</v>
      </c>
      <c r="Q268" s="21">
        <v>233</v>
      </c>
      <c r="R268" s="44">
        <v>1.1499999999999999</v>
      </c>
      <c r="S268" s="21">
        <f t="shared" si="31"/>
        <v>4.1399999999999997</v>
      </c>
      <c r="T268" s="29">
        <f t="shared" si="32"/>
        <v>-4.1399999999999997</v>
      </c>
      <c r="U268" s="28">
        <f t="shared" si="36"/>
        <v>87.691809523809539</v>
      </c>
      <c r="W268" s="21">
        <v>2591.1999999999998</v>
      </c>
      <c r="Y268" s="21">
        <f t="shared" si="34"/>
        <v>146917.39999999994</v>
      </c>
      <c r="Z268" s="21">
        <f t="shared" si="37"/>
        <v>31881.300000000007</v>
      </c>
      <c r="AA268" s="21">
        <v>13.793065401595832</v>
      </c>
    </row>
    <row r="269" spans="1:28" s="41" customFormat="1" x14ac:dyDescent="0.25">
      <c r="A269" s="41">
        <v>5400</v>
      </c>
      <c r="B269" s="41">
        <v>24010</v>
      </c>
      <c r="C269" s="42">
        <v>42847</v>
      </c>
      <c r="F269" s="66" t="s">
        <v>50</v>
      </c>
      <c r="G269" s="41">
        <v>10</v>
      </c>
      <c r="H269" s="41">
        <v>5.3</v>
      </c>
      <c r="I269" s="41">
        <v>15.3</v>
      </c>
      <c r="J269" s="41">
        <f t="shared" si="33"/>
        <v>1956.2000000000005</v>
      </c>
      <c r="K269" s="3">
        <f>G269</f>
        <v>10</v>
      </c>
      <c r="L269" s="18" t="s">
        <v>39</v>
      </c>
      <c r="M269" s="41">
        <v>0</v>
      </c>
      <c r="N269" s="41">
        <v>2.4</v>
      </c>
      <c r="O269" s="41">
        <f t="shared" si="30"/>
        <v>-2.4</v>
      </c>
      <c r="P269" s="41">
        <f t="shared" si="35"/>
        <v>87.1</v>
      </c>
      <c r="Q269" s="41">
        <v>234</v>
      </c>
      <c r="R269" s="41">
        <v>1.1499999999999999</v>
      </c>
      <c r="S269" s="41">
        <f t="shared" si="31"/>
        <v>2.76</v>
      </c>
      <c r="T269" s="43">
        <f t="shared" si="32"/>
        <v>-2.76</v>
      </c>
      <c r="U269" s="28">
        <f t="shared" si="36"/>
        <v>84.931809523809534</v>
      </c>
      <c r="V269" s="35" t="s">
        <v>53</v>
      </c>
      <c r="W269" s="41">
        <v>1513.2</v>
      </c>
      <c r="Y269" s="41">
        <f t="shared" si="34"/>
        <v>148430.59999999995</v>
      </c>
      <c r="Z269" s="3">
        <f>W269</f>
        <v>1513.2</v>
      </c>
      <c r="AA269" s="41">
        <v>13.849823217261951</v>
      </c>
      <c r="AB269" s="35" t="s">
        <v>58</v>
      </c>
    </row>
    <row r="270" spans="1:28" s="3" customFormat="1" ht="15" customHeight="1" x14ac:dyDescent="0.25">
      <c r="A270" s="3">
        <v>5400</v>
      </c>
      <c r="B270" s="3">
        <v>24010</v>
      </c>
      <c r="C270" s="7">
        <v>42848</v>
      </c>
      <c r="F270" s="67"/>
      <c r="G270" s="3">
        <v>8.8000000000000007</v>
      </c>
      <c r="H270" s="3">
        <v>4</v>
      </c>
      <c r="I270" s="3">
        <v>13.8</v>
      </c>
      <c r="J270" s="3">
        <f t="shared" si="33"/>
        <v>1965.0000000000005</v>
      </c>
      <c r="K270" s="3">
        <f t="shared" si="38"/>
        <v>18.8</v>
      </c>
      <c r="L270" s="11">
        <v>310.5</v>
      </c>
      <c r="M270" s="3">
        <v>0</v>
      </c>
      <c r="N270" s="3">
        <v>2.9</v>
      </c>
      <c r="O270" s="3">
        <f t="shared" si="30"/>
        <v>-2.9</v>
      </c>
      <c r="P270" s="3">
        <f t="shared" si="35"/>
        <v>84.199999999999989</v>
      </c>
      <c r="Q270" s="3">
        <v>235</v>
      </c>
      <c r="R270" s="27">
        <v>1.1499999999999999</v>
      </c>
      <c r="S270" s="3">
        <f t="shared" si="31"/>
        <v>3.3349999999999995</v>
      </c>
      <c r="T270" s="28">
        <f t="shared" si="32"/>
        <v>-3.3349999999999995</v>
      </c>
      <c r="U270" s="28">
        <f t="shared" si="36"/>
        <v>81.59680952380954</v>
      </c>
      <c r="V270">
        <v>0</v>
      </c>
      <c r="W270" s="3">
        <v>1956.6</v>
      </c>
      <c r="Y270" s="3">
        <f t="shared" si="34"/>
        <v>150387.19999999995</v>
      </c>
      <c r="Z270" s="3">
        <f t="shared" si="37"/>
        <v>3469.8</v>
      </c>
      <c r="AA270" s="3">
        <v>13.90625399126772</v>
      </c>
      <c r="AB270">
        <v>39078.6</v>
      </c>
    </row>
    <row r="271" spans="1:28" s="3" customFormat="1" x14ac:dyDescent="0.25">
      <c r="A271" s="3">
        <v>5400</v>
      </c>
      <c r="B271" s="3">
        <v>24010</v>
      </c>
      <c r="C271" s="7">
        <v>42849</v>
      </c>
      <c r="F271" s="67"/>
      <c r="G271" s="3">
        <v>9.6</v>
      </c>
      <c r="H271" s="3">
        <v>3</v>
      </c>
      <c r="I271" s="3">
        <v>15.1</v>
      </c>
      <c r="J271" s="3">
        <f t="shared" si="33"/>
        <v>1974.6000000000004</v>
      </c>
      <c r="K271" s="3">
        <f t="shared" si="38"/>
        <v>28.4</v>
      </c>
      <c r="L271" s="18" t="s">
        <v>40</v>
      </c>
      <c r="M271" s="3">
        <v>0</v>
      </c>
      <c r="N271" s="3">
        <v>2.8</v>
      </c>
      <c r="O271" s="3">
        <f t="shared" si="30"/>
        <v>-2.8</v>
      </c>
      <c r="P271" s="3">
        <f t="shared" si="35"/>
        <v>81.399999999999991</v>
      </c>
      <c r="Q271" s="3">
        <v>236</v>
      </c>
      <c r="R271" s="27">
        <v>1.1499999999999999</v>
      </c>
      <c r="S271" s="3">
        <f t="shared" si="31"/>
        <v>3.2199999999999998</v>
      </c>
      <c r="T271" s="28">
        <f t="shared" si="32"/>
        <v>-3.2199999999999998</v>
      </c>
      <c r="U271" s="28">
        <f t="shared" si="36"/>
        <v>78.376809523809541</v>
      </c>
      <c r="V271" s="35" t="s">
        <v>54</v>
      </c>
      <c r="W271" s="3">
        <v>2082.4</v>
      </c>
      <c r="Y271" s="3">
        <f t="shared" si="34"/>
        <v>152469.59999999995</v>
      </c>
      <c r="Z271" s="3">
        <f t="shared" si="37"/>
        <v>5552.2000000000007</v>
      </c>
      <c r="AA271" s="3">
        <v>13.962342352398567</v>
      </c>
      <c r="AB271" s="35" t="s">
        <v>59</v>
      </c>
    </row>
    <row r="272" spans="1:28" s="3" customFormat="1" x14ac:dyDescent="0.25">
      <c r="A272" s="3">
        <v>5400</v>
      </c>
      <c r="B272" s="3">
        <v>24010</v>
      </c>
      <c r="C272" s="7">
        <v>42850</v>
      </c>
      <c r="F272" s="67"/>
      <c r="G272" s="3">
        <v>7</v>
      </c>
      <c r="H272" s="3">
        <v>6.1</v>
      </c>
      <c r="I272" s="3">
        <v>8.6</v>
      </c>
      <c r="J272" s="3">
        <f t="shared" si="33"/>
        <v>1981.6000000000004</v>
      </c>
      <c r="K272" s="3">
        <f t="shared" si="38"/>
        <v>35.4</v>
      </c>
      <c r="L272" s="16">
        <f>AVERAGE(G269:G295)</f>
        <v>11.499999999999998</v>
      </c>
      <c r="M272" s="3">
        <v>0.1</v>
      </c>
      <c r="N272" s="3">
        <v>2.1</v>
      </c>
      <c r="O272" s="3">
        <f t="shared" si="30"/>
        <v>-2</v>
      </c>
      <c r="P272" s="3">
        <f t="shared" si="35"/>
        <v>79.399999999999991</v>
      </c>
      <c r="Q272" s="3">
        <v>237</v>
      </c>
      <c r="R272" s="27">
        <v>1.1499999999999999</v>
      </c>
      <c r="S272" s="3">
        <f t="shared" si="31"/>
        <v>2.415</v>
      </c>
      <c r="T272" s="28">
        <f t="shared" si="32"/>
        <v>-2.3149999999999999</v>
      </c>
      <c r="U272" s="28">
        <f t="shared" si="36"/>
        <v>76.061809523809544</v>
      </c>
      <c r="V272">
        <v>0</v>
      </c>
      <c r="W272" s="3">
        <v>1464.7</v>
      </c>
      <c r="Y272" s="3">
        <f t="shared" si="34"/>
        <v>153934.29999999996</v>
      </c>
      <c r="Z272" s="3">
        <f t="shared" si="37"/>
        <v>7016.9000000000005</v>
      </c>
      <c r="AA272" s="3">
        <v>14.018072510165339</v>
      </c>
      <c r="AB272">
        <f>(AB270/100)/L270</f>
        <v>1.2585700483091788</v>
      </c>
    </row>
    <row r="273" spans="1:28" s="3" customFormat="1" x14ac:dyDescent="0.25">
      <c r="A273" s="3">
        <v>5400</v>
      </c>
      <c r="B273" s="3">
        <v>24010</v>
      </c>
      <c r="C273" s="7">
        <v>42851</v>
      </c>
      <c r="F273" s="67"/>
      <c r="G273" s="3">
        <v>4.5999999999999996</v>
      </c>
      <c r="H273" s="3">
        <v>1</v>
      </c>
      <c r="I273" s="3">
        <v>9.3000000000000007</v>
      </c>
      <c r="J273" s="3">
        <f t="shared" si="33"/>
        <v>1986.2000000000003</v>
      </c>
      <c r="K273" s="3">
        <f t="shared" si="38"/>
        <v>40</v>
      </c>
      <c r="L273" s="18" t="s">
        <v>41</v>
      </c>
      <c r="M273" s="3">
        <v>0.6</v>
      </c>
      <c r="N273" s="3">
        <v>2.5</v>
      </c>
      <c r="O273" s="3">
        <f t="shared" si="30"/>
        <v>-1.9</v>
      </c>
      <c r="P273" s="3">
        <f t="shared" si="35"/>
        <v>77.499999999999986</v>
      </c>
      <c r="Q273" s="3">
        <v>238</v>
      </c>
      <c r="R273" s="27">
        <v>1.1499999999999999</v>
      </c>
      <c r="S273" s="3">
        <f t="shared" si="31"/>
        <v>2.875</v>
      </c>
      <c r="T273" s="28">
        <f t="shared" si="32"/>
        <v>-2.2749999999999999</v>
      </c>
      <c r="U273" s="28">
        <f t="shared" si="36"/>
        <v>73.786809523809538</v>
      </c>
      <c r="V273" s="35" t="s">
        <v>55</v>
      </c>
      <c r="W273" s="3">
        <v>2186.8000000000002</v>
      </c>
      <c r="Y273" s="3">
        <f t="shared" si="34"/>
        <v>156121.09999999995</v>
      </c>
      <c r="Z273" s="3">
        <f t="shared" si="37"/>
        <v>9203.7000000000007</v>
      </c>
      <c r="AA273" s="3">
        <v>14.07342824924581</v>
      </c>
      <c r="AB273" s="35" t="s">
        <v>60</v>
      </c>
    </row>
    <row r="274" spans="1:28" s="3" customFormat="1" x14ac:dyDescent="0.25">
      <c r="A274" s="3">
        <v>5400</v>
      </c>
      <c r="B274" s="3">
        <v>24010</v>
      </c>
      <c r="C274" s="7">
        <v>42852</v>
      </c>
      <c r="F274" s="67"/>
      <c r="G274" s="3">
        <v>5.3</v>
      </c>
      <c r="H274" s="3">
        <v>1</v>
      </c>
      <c r="I274" s="3">
        <v>9.3000000000000007</v>
      </c>
      <c r="J274" s="3">
        <f t="shared" si="33"/>
        <v>1991.5000000000002</v>
      </c>
      <c r="K274" s="3">
        <f t="shared" si="38"/>
        <v>45.3</v>
      </c>
      <c r="L274" s="12">
        <f>MIN(H269:H295)</f>
        <v>1</v>
      </c>
      <c r="M274" s="3">
        <v>1.9</v>
      </c>
      <c r="N274" s="3">
        <v>1.7</v>
      </c>
      <c r="O274" s="3">
        <f t="shared" si="30"/>
        <v>0.19999999999999996</v>
      </c>
      <c r="P274" s="3">
        <f t="shared" si="35"/>
        <v>77.699999999999989</v>
      </c>
      <c r="Q274" s="3">
        <v>239</v>
      </c>
      <c r="R274" s="27">
        <v>1.1499999999999999</v>
      </c>
      <c r="S274" s="3">
        <f t="shared" si="31"/>
        <v>1.9549999999999998</v>
      </c>
      <c r="T274" s="28">
        <f t="shared" si="32"/>
        <v>-5.4999999999999938E-2</v>
      </c>
      <c r="U274" s="28">
        <f t="shared" si="36"/>
        <v>73.731809523809531</v>
      </c>
      <c r="V274" s="28">
        <f>MIN(U269:U295)</f>
        <v>69.011809523809546</v>
      </c>
      <c r="W274" s="3">
        <v>1364.7</v>
      </c>
      <c r="Y274" s="3">
        <f t="shared" si="34"/>
        <v>157485.79999999996</v>
      </c>
      <c r="Z274" s="3">
        <f t="shared" si="37"/>
        <v>10568.400000000001</v>
      </c>
      <c r="AA274" s="3">
        <v>14.12839292489312</v>
      </c>
      <c r="AB274">
        <v>5</v>
      </c>
    </row>
    <row r="275" spans="1:28" s="3" customFormat="1" x14ac:dyDescent="0.25">
      <c r="A275" s="3">
        <v>5400</v>
      </c>
      <c r="B275" s="3">
        <v>24010</v>
      </c>
      <c r="C275" s="7">
        <v>42853</v>
      </c>
      <c r="F275" s="67"/>
      <c r="G275" s="3">
        <v>7.9</v>
      </c>
      <c r="H275" s="3">
        <v>2.1</v>
      </c>
      <c r="I275" s="3">
        <v>12.1</v>
      </c>
      <c r="J275" s="3">
        <f t="shared" si="33"/>
        <v>1999.4000000000003</v>
      </c>
      <c r="K275" s="3">
        <f t="shared" si="38"/>
        <v>53.199999999999996</v>
      </c>
      <c r="L275" s="18" t="s">
        <v>42</v>
      </c>
      <c r="M275" s="3">
        <v>0.5</v>
      </c>
      <c r="N275" s="3">
        <v>1.1000000000000001</v>
      </c>
      <c r="O275" s="3">
        <f t="shared" si="30"/>
        <v>-0.60000000000000009</v>
      </c>
      <c r="P275" s="3">
        <f t="shared" si="35"/>
        <v>77.099999999999994</v>
      </c>
      <c r="Q275" s="3">
        <v>240</v>
      </c>
      <c r="R275" s="27">
        <v>1.1499999999999999</v>
      </c>
      <c r="S275" s="3">
        <f t="shared" si="31"/>
        <v>1.2649999999999999</v>
      </c>
      <c r="T275" s="28">
        <f t="shared" si="32"/>
        <v>-0.7649999999999999</v>
      </c>
      <c r="U275" s="28">
        <f t="shared" si="36"/>
        <v>72.96680952380953</v>
      </c>
      <c r="V275" s="35" t="s">
        <v>56</v>
      </c>
      <c r="W275" s="3">
        <v>830.8</v>
      </c>
      <c r="Y275" s="3">
        <f t="shared" si="34"/>
        <v>158316.59999999995</v>
      </c>
      <c r="Z275" s="3">
        <f t="shared" si="37"/>
        <v>11399.2</v>
      </c>
      <c r="AA275" s="3">
        <v>14.182949459377422</v>
      </c>
    </row>
    <row r="276" spans="1:28" s="3" customFormat="1" x14ac:dyDescent="0.25">
      <c r="A276" s="3">
        <v>5400</v>
      </c>
      <c r="B276" s="3">
        <v>24010</v>
      </c>
      <c r="C276" s="7">
        <v>42854</v>
      </c>
      <c r="F276" s="67"/>
      <c r="G276" s="3">
        <v>10.199999999999999</v>
      </c>
      <c r="H276" s="3">
        <v>4</v>
      </c>
      <c r="I276" s="3">
        <v>16.2</v>
      </c>
      <c r="J276" s="3">
        <f t="shared" si="33"/>
        <v>2009.6000000000004</v>
      </c>
      <c r="K276" s="3">
        <f t="shared" si="38"/>
        <v>63.399999999999991</v>
      </c>
      <c r="L276" s="11">
        <f>MAX(I269:I295)</f>
        <v>26.8</v>
      </c>
      <c r="M276" s="3">
        <v>0</v>
      </c>
      <c r="N276" s="3">
        <v>2.6</v>
      </c>
      <c r="O276" s="3">
        <f t="shared" si="30"/>
        <v>-2.6</v>
      </c>
      <c r="P276" s="3">
        <f t="shared" si="35"/>
        <v>74.5</v>
      </c>
      <c r="Q276" s="3">
        <v>241</v>
      </c>
      <c r="R276" s="27">
        <v>1.1499999999999999</v>
      </c>
      <c r="S276" s="3">
        <f t="shared" si="31"/>
        <v>2.9899999999999998</v>
      </c>
      <c r="T276" s="28">
        <f t="shared" si="32"/>
        <v>-2.9899999999999998</v>
      </c>
      <c r="U276" s="28">
        <f t="shared" si="36"/>
        <v>69.976809523809536</v>
      </c>
      <c r="V276" s="28">
        <f>MAX(U269:U295)</f>
        <v>95.676809523809538</v>
      </c>
      <c r="W276" s="3">
        <v>1732</v>
      </c>
      <c r="Y276" s="3">
        <f t="shared" si="34"/>
        <v>160048.59999999995</v>
      </c>
      <c r="Z276" s="3">
        <f t="shared" si="37"/>
        <v>13131.2</v>
      </c>
      <c r="AA276" s="3">
        <v>14.23708033952906</v>
      </c>
    </row>
    <row r="277" spans="1:28" s="3" customFormat="1" x14ac:dyDescent="0.25">
      <c r="A277" s="3">
        <v>5400</v>
      </c>
      <c r="B277" s="3">
        <v>24010</v>
      </c>
      <c r="C277" s="7">
        <v>42855</v>
      </c>
      <c r="F277" s="67"/>
      <c r="G277" s="3">
        <v>8.6999999999999993</v>
      </c>
      <c r="H277" s="3">
        <v>5.3</v>
      </c>
      <c r="I277" s="3">
        <v>12.3</v>
      </c>
      <c r="J277" s="3">
        <f t="shared" si="33"/>
        <v>2018.3000000000004</v>
      </c>
      <c r="K277" s="3">
        <f t="shared" si="38"/>
        <v>72.099999999999994</v>
      </c>
      <c r="L277" s="18" t="s">
        <v>43</v>
      </c>
      <c r="M277" s="3">
        <v>11.4</v>
      </c>
      <c r="N277" s="3">
        <v>2.2000000000000002</v>
      </c>
      <c r="O277" s="3">
        <f t="shared" si="30"/>
        <v>9.1999999999999993</v>
      </c>
      <c r="P277" s="3">
        <f t="shared" si="35"/>
        <v>83.7</v>
      </c>
      <c r="Q277" s="3">
        <v>242</v>
      </c>
      <c r="R277" s="27">
        <v>1.1499999999999999</v>
      </c>
      <c r="S277" s="3">
        <f t="shared" si="31"/>
        <v>2.5299999999999998</v>
      </c>
      <c r="T277" s="28">
        <f t="shared" si="32"/>
        <v>8.870000000000001</v>
      </c>
      <c r="U277" s="28">
        <f t="shared" si="36"/>
        <v>78.84680952380954</v>
      </c>
      <c r="V277" s="35" t="s">
        <v>57</v>
      </c>
      <c r="W277" s="3">
        <v>1753.8</v>
      </c>
      <c r="Y277" s="3">
        <f t="shared" si="34"/>
        <v>161802.39999999994</v>
      </c>
      <c r="Z277" s="3">
        <f t="shared" si="37"/>
        <v>14885</v>
      </c>
      <c r="AA277" s="3">
        <v>14.290767615453605</v>
      </c>
    </row>
    <row r="278" spans="1:28" s="3" customFormat="1" x14ac:dyDescent="0.25">
      <c r="A278" s="3">
        <v>5400</v>
      </c>
      <c r="B278" s="3">
        <v>24010</v>
      </c>
      <c r="C278" s="7">
        <v>42856</v>
      </c>
      <c r="F278" s="67"/>
      <c r="G278" s="3">
        <v>10</v>
      </c>
      <c r="H278" s="3">
        <v>7.2</v>
      </c>
      <c r="I278" s="3">
        <v>13.5</v>
      </c>
      <c r="J278" s="3">
        <f t="shared" si="33"/>
        <v>2028.3000000000004</v>
      </c>
      <c r="K278" s="3">
        <f t="shared" si="38"/>
        <v>82.1</v>
      </c>
      <c r="L278" s="11">
        <v>2</v>
      </c>
      <c r="M278" s="3">
        <v>0.9</v>
      </c>
      <c r="N278" s="3">
        <v>2.5</v>
      </c>
      <c r="O278" s="3">
        <f t="shared" si="30"/>
        <v>-1.6</v>
      </c>
      <c r="P278" s="3">
        <f t="shared" si="35"/>
        <v>82.100000000000009</v>
      </c>
      <c r="Q278" s="3">
        <v>243</v>
      </c>
      <c r="R278" s="27">
        <v>1.1499999999999999</v>
      </c>
      <c r="S278" s="3">
        <f t="shared" si="31"/>
        <v>2.875</v>
      </c>
      <c r="T278" s="28">
        <f t="shared" si="32"/>
        <v>-1.9750000000000001</v>
      </c>
      <c r="U278" s="28">
        <f t="shared" si="36"/>
        <v>76.871809523809546</v>
      </c>
      <c r="V278" s="28">
        <f>AVERAGE(U269:U295)</f>
        <v>78.763661375661385</v>
      </c>
      <c r="W278" s="3">
        <v>1480.8</v>
      </c>
      <c r="Y278" s="3">
        <f t="shared" si="34"/>
        <v>163283.19999999992</v>
      </c>
      <c r="Z278" s="3">
        <f t="shared" si="37"/>
        <v>16365.8</v>
      </c>
      <c r="AA278" s="3">
        <v>14.343992900490727</v>
      </c>
    </row>
    <row r="279" spans="1:28" s="3" customFormat="1" x14ac:dyDescent="0.25">
      <c r="A279" s="3">
        <v>5400</v>
      </c>
      <c r="B279" s="3">
        <v>24010</v>
      </c>
      <c r="C279" s="7">
        <v>42857</v>
      </c>
      <c r="F279" s="67"/>
      <c r="G279" s="3">
        <v>10.9</v>
      </c>
      <c r="H279" s="3">
        <v>7.7</v>
      </c>
      <c r="I279" s="3">
        <v>14.6</v>
      </c>
      <c r="J279" s="3">
        <f t="shared" si="33"/>
        <v>2039.2000000000005</v>
      </c>
      <c r="K279" s="3">
        <f t="shared" si="38"/>
        <v>93</v>
      </c>
      <c r="L279" s="18" t="s">
        <v>44</v>
      </c>
      <c r="M279" s="3">
        <v>0</v>
      </c>
      <c r="N279" s="3">
        <v>2.2999999999999998</v>
      </c>
      <c r="O279" s="3">
        <f t="shared" si="30"/>
        <v>-2.2999999999999998</v>
      </c>
      <c r="P279" s="3">
        <f t="shared" si="35"/>
        <v>79.800000000000011</v>
      </c>
      <c r="Q279" s="3">
        <v>244</v>
      </c>
      <c r="R279" s="27">
        <v>1.1499999999999999</v>
      </c>
      <c r="S279" s="3">
        <f t="shared" si="31"/>
        <v>2.6449999999999996</v>
      </c>
      <c r="T279" s="28">
        <f t="shared" si="32"/>
        <v>-2.6449999999999996</v>
      </c>
      <c r="U279" s="28">
        <f t="shared" si="36"/>
        <v>74.22680952380955</v>
      </c>
      <c r="W279" s="3">
        <v>1581.2</v>
      </c>
      <c r="Y279" s="3">
        <f t="shared" si="34"/>
        <v>164864.39999999994</v>
      </c>
      <c r="Z279" s="3">
        <f t="shared" si="37"/>
        <v>17947</v>
      </c>
      <c r="AA279" s="3">
        <v>14.3967373724902</v>
      </c>
    </row>
    <row r="280" spans="1:28" s="3" customFormat="1" x14ac:dyDescent="0.25">
      <c r="A280" s="3">
        <v>5400</v>
      </c>
      <c r="B280" s="3">
        <v>24010</v>
      </c>
      <c r="C280" s="7">
        <v>42858</v>
      </c>
      <c r="F280" s="67"/>
      <c r="G280" s="3">
        <v>9.3000000000000007</v>
      </c>
      <c r="H280" s="3">
        <v>8.5</v>
      </c>
      <c r="I280" s="3">
        <v>10.8</v>
      </c>
      <c r="J280" s="3">
        <f t="shared" si="33"/>
        <v>2048.5000000000005</v>
      </c>
      <c r="K280" s="3">
        <f t="shared" si="38"/>
        <v>102.3</v>
      </c>
      <c r="L280" s="11">
        <v>6</v>
      </c>
      <c r="M280" s="3">
        <v>7.4</v>
      </c>
      <c r="N280" s="3">
        <v>0.7</v>
      </c>
      <c r="O280" s="3">
        <f t="shared" si="30"/>
        <v>6.7</v>
      </c>
      <c r="P280" s="3">
        <f t="shared" si="35"/>
        <v>86.500000000000014</v>
      </c>
      <c r="Q280" s="3">
        <v>245</v>
      </c>
      <c r="R280" s="27">
        <v>1.1499999999999999</v>
      </c>
      <c r="S280" s="3">
        <f t="shared" si="31"/>
        <v>0.80499999999999994</v>
      </c>
      <c r="T280" s="28">
        <f t="shared" si="32"/>
        <v>6.5950000000000006</v>
      </c>
      <c r="U280" s="28">
        <f t="shared" si="36"/>
        <v>80.821809523809549</v>
      </c>
      <c r="V280" s="45">
        <f>(V278*100)/153.9</f>
        <v>51.178467430579197</v>
      </c>
      <c r="W280" s="3">
        <v>390.2</v>
      </c>
      <c r="Y280" s="3">
        <f t="shared" si="34"/>
        <v>165254.59999999995</v>
      </c>
      <c r="Z280" s="3">
        <f t="shared" si="37"/>
        <v>18337.2</v>
      </c>
      <c r="AA280" s="3">
        <v>14.448981776479462</v>
      </c>
    </row>
    <row r="281" spans="1:28" s="3" customFormat="1" x14ac:dyDescent="0.25">
      <c r="A281" s="3">
        <v>5400</v>
      </c>
      <c r="B281" s="3">
        <v>24010</v>
      </c>
      <c r="C281" s="7">
        <v>42859</v>
      </c>
      <c r="F281" s="67"/>
      <c r="G281" s="3">
        <v>10.7</v>
      </c>
      <c r="H281" s="3">
        <v>8</v>
      </c>
      <c r="I281" s="3">
        <v>13.5</v>
      </c>
      <c r="J281" s="3">
        <f t="shared" si="33"/>
        <v>2059.2000000000003</v>
      </c>
      <c r="K281" s="3">
        <f t="shared" si="38"/>
        <v>113</v>
      </c>
      <c r="L281" s="18" t="s">
        <v>45</v>
      </c>
      <c r="M281" s="3">
        <v>1.2</v>
      </c>
      <c r="N281" s="3">
        <v>1.6</v>
      </c>
      <c r="O281" s="3">
        <f t="shared" si="30"/>
        <v>-0.40000000000000013</v>
      </c>
      <c r="P281" s="3">
        <f t="shared" si="35"/>
        <v>86.100000000000009</v>
      </c>
      <c r="Q281" s="3">
        <v>246</v>
      </c>
      <c r="R281" s="27">
        <v>1.1499999999999999</v>
      </c>
      <c r="S281" s="3">
        <f t="shared" si="31"/>
        <v>1.8399999999999999</v>
      </c>
      <c r="T281" s="28">
        <f t="shared" si="32"/>
        <v>-0.6399999999999999</v>
      </c>
      <c r="U281" s="28">
        <f t="shared" si="36"/>
        <v>80.181809523809548</v>
      </c>
      <c r="W281" s="3">
        <v>1189.0999999999999</v>
      </c>
      <c r="Y281" s="3">
        <f t="shared" si="34"/>
        <v>166443.69999999995</v>
      </c>
      <c r="Z281" s="3">
        <f t="shared" si="37"/>
        <v>19526.3</v>
      </c>
      <c r="AA281" s="3">
        <v>14.500706428797788</v>
      </c>
    </row>
    <row r="282" spans="1:28" s="3" customFormat="1" x14ac:dyDescent="0.25">
      <c r="A282" s="3">
        <v>5400</v>
      </c>
      <c r="B282" s="3">
        <v>24010</v>
      </c>
      <c r="C282" s="7">
        <v>42860</v>
      </c>
      <c r="F282" s="67"/>
      <c r="G282" s="3">
        <v>12.7</v>
      </c>
      <c r="H282" s="3">
        <v>7.2</v>
      </c>
      <c r="I282" s="3">
        <v>16.8</v>
      </c>
      <c r="J282" s="3">
        <f t="shared" si="33"/>
        <v>2071.9</v>
      </c>
      <c r="K282" s="3">
        <f t="shared" si="38"/>
        <v>125.7</v>
      </c>
      <c r="L282" s="17">
        <v>0</v>
      </c>
      <c r="M282" s="3">
        <v>2.5</v>
      </c>
      <c r="N282" s="3">
        <v>2.4</v>
      </c>
      <c r="O282" s="3">
        <f t="shared" si="30"/>
        <v>0.10000000000000009</v>
      </c>
      <c r="P282" s="3">
        <f t="shared" si="35"/>
        <v>86.2</v>
      </c>
      <c r="Q282" s="3">
        <v>247</v>
      </c>
      <c r="R282" s="27">
        <v>1.1499999999999999</v>
      </c>
      <c r="S282" s="3">
        <f t="shared" si="31"/>
        <v>2.76</v>
      </c>
      <c r="T282" s="28">
        <f t="shared" si="32"/>
        <v>-0.25999999999999979</v>
      </c>
      <c r="U282" s="28">
        <f t="shared" si="36"/>
        <v>79.921809523809543</v>
      </c>
      <c r="W282" s="3">
        <v>1860.6</v>
      </c>
      <c r="Y282" s="3">
        <f t="shared" si="34"/>
        <v>168304.29999999996</v>
      </c>
      <c r="Z282" s="3">
        <f t="shared" si="37"/>
        <v>21386.899999999998</v>
      </c>
      <c r="AA282" s="3">
        <v>14.551891222772328</v>
      </c>
    </row>
    <row r="283" spans="1:28" s="3" customFormat="1" x14ac:dyDescent="0.25">
      <c r="A283" s="3">
        <v>5400</v>
      </c>
      <c r="B283" s="3">
        <v>24010</v>
      </c>
      <c r="C283" s="7">
        <v>42861</v>
      </c>
      <c r="F283" s="67"/>
      <c r="G283" s="3">
        <v>11.7</v>
      </c>
      <c r="H283" s="3">
        <v>10</v>
      </c>
      <c r="I283" s="3">
        <v>12.7</v>
      </c>
      <c r="J283" s="3">
        <f t="shared" si="33"/>
        <v>2083.6</v>
      </c>
      <c r="K283" s="3">
        <f t="shared" si="38"/>
        <v>137.4</v>
      </c>
      <c r="M283" s="3">
        <v>9.6999999999999993</v>
      </c>
      <c r="N283" s="3">
        <v>0.7</v>
      </c>
      <c r="O283" s="3">
        <f t="shared" si="30"/>
        <v>9</v>
      </c>
      <c r="P283" s="3">
        <f t="shared" si="35"/>
        <v>95.2</v>
      </c>
      <c r="Q283" s="3">
        <v>248</v>
      </c>
      <c r="R283" s="27">
        <v>1.1499999999999999</v>
      </c>
      <c r="S283" s="3">
        <f t="shared" si="31"/>
        <v>0.80499999999999994</v>
      </c>
      <c r="T283" s="28">
        <f t="shared" si="32"/>
        <v>8.8949999999999996</v>
      </c>
      <c r="U283" s="28">
        <f t="shared" si="36"/>
        <v>88.816809523809539</v>
      </c>
      <c r="W283" s="3">
        <v>376.6</v>
      </c>
      <c r="Y283" s="3">
        <f t="shared" si="34"/>
        <v>168680.89999999997</v>
      </c>
      <c r="Z283" s="3">
        <f t="shared" si="37"/>
        <v>21763.499999999996</v>
      </c>
      <c r="AA283" s="3">
        <v>14.60251563601102</v>
      </c>
    </row>
    <row r="284" spans="1:28" s="3" customFormat="1" x14ac:dyDescent="0.25">
      <c r="A284" s="3">
        <v>5400</v>
      </c>
      <c r="B284" s="3">
        <v>24010</v>
      </c>
      <c r="C284" s="7">
        <v>42862</v>
      </c>
      <c r="F284" s="67"/>
      <c r="G284" s="3">
        <v>11.8</v>
      </c>
      <c r="H284" s="3">
        <v>10.1</v>
      </c>
      <c r="I284" s="3">
        <v>15.1</v>
      </c>
      <c r="J284" s="3">
        <f t="shared" si="33"/>
        <v>2095.4</v>
      </c>
      <c r="K284" s="3">
        <f t="shared" si="38"/>
        <v>149.20000000000002</v>
      </c>
      <c r="L284" s="23"/>
      <c r="M284" s="3">
        <v>0</v>
      </c>
      <c r="N284" s="3">
        <v>2</v>
      </c>
      <c r="O284" s="3">
        <f t="shared" si="30"/>
        <v>-2</v>
      </c>
      <c r="P284" s="3">
        <f t="shared" si="35"/>
        <v>93.2</v>
      </c>
      <c r="Q284" s="3">
        <v>249</v>
      </c>
      <c r="R284" s="27">
        <v>1.1499999999999999</v>
      </c>
      <c r="S284" s="3">
        <f t="shared" si="31"/>
        <v>2.2999999999999998</v>
      </c>
      <c r="T284" s="28">
        <f t="shared" si="32"/>
        <v>-2.2999999999999998</v>
      </c>
      <c r="U284" s="28">
        <f t="shared" si="36"/>
        <v>86.516809523809542</v>
      </c>
      <c r="W284" s="3">
        <v>1099.5</v>
      </c>
      <c r="Y284" s="3">
        <f t="shared" si="34"/>
        <v>169780.39999999997</v>
      </c>
      <c r="Z284" s="3">
        <f t="shared" si="37"/>
        <v>22862.999999999996</v>
      </c>
      <c r="AA284" s="3">
        <v>14.652558739386583</v>
      </c>
    </row>
    <row r="285" spans="1:28" s="3" customFormat="1" x14ac:dyDescent="0.25">
      <c r="A285" s="3">
        <v>5400</v>
      </c>
      <c r="B285" s="3">
        <v>24010</v>
      </c>
      <c r="C285" s="7">
        <v>42863</v>
      </c>
      <c r="F285" s="67"/>
      <c r="G285" s="3">
        <v>10.199999999999999</v>
      </c>
      <c r="H285" s="3">
        <v>8.6</v>
      </c>
      <c r="I285" s="3">
        <v>13.2</v>
      </c>
      <c r="J285" s="3">
        <f t="shared" si="33"/>
        <v>2105.6</v>
      </c>
      <c r="K285" s="3">
        <f t="shared" si="38"/>
        <v>159.4</v>
      </c>
      <c r="L285" s="23"/>
      <c r="M285" s="3">
        <v>0</v>
      </c>
      <c r="N285" s="3">
        <v>1.5</v>
      </c>
      <c r="O285" s="3">
        <f t="shared" si="30"/>
        <v>-1.5</v>
      </c>
      <c r="P285" s="3">
        <f t="shared" si="35"/>
        <v>91.7</v>
      </c>
      <c r="Q285" s="3">
        <v>250</v>
      </c>
      <c r="R285" s="27">
        <v>1.1499999999999999</v>
      </c>
      <c r="S285" s="3">
        <f t="shared" si="31"/>
        <v>1.7249999999999999</v>
      </c>
      <c r="T285" s="28">
        <f t="shared" si="32"/>
        <v>-1.7249999999999999</v>
      </c>
      <c r="U285" s="28">
        <f t="shared" si="36"/>
        <v>84.791809523809547</v>
      </c>
      <c r="W285" s="3">
        <v>724.3</v>
      </c>
      <c r="Y285" s="3">
        <f t="shared" si="34"/>
        <v>170504.69999999995</v>
      </c>
      <c r="Z285" s="3">
        <f t="shared" si="37"/>
        <v>23587.299999999996</v>
      </c>
      <c r="AA285" s="3">
        <v>14.701999207784327</v>
      </c>
    </row>
    <row r="286" spans="1:28" s="3" customFormat="1" x14ac:dyDescent="0.25">
      <c r="A286" s="3">
        <v>5400</v>
      </c>
      <c r="B286" s="3">
        <v>24010</v>
      </c>
      <c r="C286" s="7">
        <v>42864</v>
      </c>
      <c r="F286" s="67"/>
      <c r="G286" s="3">
        <v>11</v>
      </c>
      <c r="H286" s="3">
        <v>5.9</v>
      </c>
      <c r="I286" s="3">
        <v>15.4</v>
      </c>
      <c r="J286" s="3">
        <f t="shared" si="33"/>
        <v>2116.6</v>
      </c>
      <c r="K286" s="3">
        <f t="shared" si="38"/>
        <v>170.4</v>
      </c>
      <c r="L286" s="23"/>
      <c r="M286" s="3">
        <v>0</v>
      </c>
      <c r="N286" s="3">
        <v>3.2</v>
      </c>
      <c r="O286" s="3">
        <f t="shared" si="30"/>
        <v>-3.2</v>
      </c>
      <c r="P286" s="3">
        <f t="shared" si="35"/>
        <v>88.5</v>
      </c>
      <c r="Q286" s="3">
        <v>251</v>
      </c>
      <c r="R286" s="27">
        <v>1.1499999999999999</v>
      </c>
      <c r="S286" s="3">
        <f t="shared" si="31"/>
        <v>3.6799999999999997</v>
      </c>
      <c r="T286" s="28">
        <f t="shared" si="32"/>
        <v>-3.6799999999999997</v>
      </c>
      <c r="U286" s="28">
        <f t="shared" si="36"/>
        <v>81.111809523809541</v>
      </c>
      <c r="W286" s="3">
        <v>2222.6</v>
      </c>
      <c r="Y286" s="3">
        <f t="shared" si="34"/>
        <v>172727.29999999996</v>
      </c>
      <c r="Z286" s="3">
        <f t="shared" si="37"/>
        <v>25809.899999999994</v>
      </c>
      <c r="AA286" s="3">
        <v>14.750815332684459</v>
      </c>
    </row>
    <row r="287" spans="1:28" s="3" customFormat="1" x14ac:dyDescent="0.25">
      <c r="A287" s="3">
        <v>5400</v>
      </c>
      <c r="B287" s="3">
        <v>24010</v>
      </c>
      <c r="C287" s="7">
        <v>42865</v>
      </c>
      <c r="F287" s="67"/>
      <c r="G287" s="3">
        <v>13.9</v>
      </c>
      <c r="H287" s="3">
        <v>6.2</v>
      </c>
      <c r="I287" s="3">
        <v>18.7</v>
      </c>
      <c r="J287" s="3">
        <f t="shared" si="33"/>
        <v>2130.5</v>
      </c>
      <c r="K287" s="3">
        <f t="shared" si="38"/>
        <v>184.3</v>
      </c>
      <c r="L287" s="23"/>
      <c r="M287" s="3">
        <v>2.4</v>
      </c>
      <c r="N287" s="3">
        <v>3.4</v>
      </c>
      <c r="O287" s="3">
        <f t="shared" si="30"/>
        <v>-1</v>
      </c>
      <c r="P287" s="3">
        <f t="shared" si="35"/>
        <v>87.5</v>
      </c>
      <c r="Q287" s="3">
        <v>252</v>
      </c>
      <c r="R287" s="27">
        <v>1.1499999999999999</v>
      </c>
      <c r="S287" s="3">
        <f t="shared" si="31"/>
        <v>3.9099999999999997</v>
      </c>
      <c r="T287" s="28">
        <f t="shared" si="32"/>
        <v>-1.5099999999999998</v>
      </c>
      <c r="U287" s="28">
        <f t="shared" si="36"/>
        <v>79.601809523809536</v>
      </c>
      <c r="W287" s="3">
        <v>2170.3000000000002</v>
      </c>
      <c r="Y287" s="3">
        <f t="shared" si="34"/>
        <v>174897.59999999995</v>
      </c>
      <c r="Z287" s="3">
        <f t="shared" si="37"/>
        <v>27980.199999999993</v>
      </c>
      <c r="AA287" s="3">
        <v>14.798985036646728</v>
      </c>
    </row>
    <row r="288" spans="1:28" s="3" customFormat="1" x14ac:dyDescent="0.25">
      <c r="A288" s="3">
        <v>5400</v>
      </c>
      <c r="B288" s="3">
        <v>24010</v>
      </c>
      <c r="C288" s="7">
        <v>42866</v>
      </c>
      <c r="F288" s="67"/>
      <c r="G288" s="3">
        <v>13</v>
      </c>
      <c r="H288" s="3">
        <v>12</v>
      </c>
      <c r="I288" s="3">
        <v>14.3</v>
      </c>
      <c r="J288" s="3">
        <f t="shared" si="33"/>
        <v>2143.5</v>
      </c>
      <c r="K288" s="3">
        <f t="shared" si="38"/>
        <v>197.3</v>
      </c>
      <c r="L288" s="23"/>
      <c r="M288" s="3">
        <v>2.4</v>
      </c>
      <c r="N288" s="3">
        <v>1.9</v>
      </c>
      <c r="O288" s="3">
        <f t="shared" si="30"/>
        <v>0.5</v>
      </c>
      <c r="P288" s="3">
        <f t="shared" si="35"/>
        <v>88</v>
      </c>
      <c r="Q288" s="3">
        <v>253</v>
      </c>
      <c r="R288" s="27">
        <v>1.1499999999999999</v>
      </c>
      <c r="S288" s="3">
        <f t="shared" si="31"/>
        <v>2.1849999999999996</v>
      </c>
      <c r="T288" s="28">
        <f t="shared" si="32"/>
        <v>0.2150000000000003</v>
      </c>
      <c r="U288" s="28">
        <f t="shared" si="36"/>
        <v>79.816809523809539</v>
      </c>
      <c r="W288" s="3">
        <v>1248.2</v>
      </c>
      <c r="Y288" s="3">
        <f t="shared" si="34"/>
        <v>176145.79999999996</v>
      </c>
      <c r="Z288" s="3">
        <f t="shared" si="37"/>
        <v>29228.399999999994</v>
      </c>
      <c r="AA288" s="3">
        <v>14.846485889761652</v>
      </c>
    </row>
    <row r="289" spans="1:28" s="3" customFormat="1" x14ac:dyDescent="0.25">
      <c r="A289" s="3">
        <v>5400</v>
      </c>
      <c r="B289" s="3">
        <v>24010</v>
      </c>
      <c r="C289" s="7">
        <v>42867</v>
      </c>
      <c r="F289" s="67"/>
      <c r="G289" s="3">
        <v>14.6</v>
      </c>
      <c r="H289" s="3">
        <v>11.3</v>
      </c>
      <c r="I289" s="3">
        <v>19.2</v>
      </c>
      <c r="J289" s="3">
        <f t="shared" si="33"/>
        <v>2158.1</v>
      </c>
      <c r="K289" s="3">
        <f t="shared" si="38"/>
        <v>211.9</v>
      </c>
      <c r="L289" s="23"/>
      <c r="M289" s="3">
        <v>3.5</v>
      </c>
      <c r="N289" s="3">
        <v>2</v>
      </c>
      <c r="O289" s="3">
        <f t="shared" si="30"/>
        <v>1.5</v>
      </c>
      <c r="P289" s="3">
        <f t="shared" si="35"/>
        <v>89.5</v>
      </c>
      <c r="Q289" s="3">
        <v>254</v>
      </c>
      <c r="R289" s="27">
        <v>1.1499999999999999</v>
      </c>
      <c r="S289" s="3">
        <f t="shared" si="31"/>
        <v>2.2999999999999998</v>
      </c>
      <c r="T289" s="28">
        <f t="shared" si="32"/>
        <v>1.2000000000000002</v>
      </c>
      <c r="U289" s="28">
        <f t="shared" si="36"/>
        <v>81.016809523809542</v>
      </c>
      <c r="W289" s="3">
        <v>1226.2</v>
      </c>
      <c r="Y289" s="3">
        <f t="shared" si="34"/>
        <v>177371.99999999997</v>
      </c>
      <c r="Z289" s="3">
        <f t="shared" si="37"/>
        <v>30454.599999999995</v>
      </c>
      <c r="AA289" s="3">
        <v>14.893295128128116</v>
      </c>
    </row>
    <row r="290" spans="1:28" s="3" customFormat="1" x14ac:dyDescent="0.25">
      <c r="A290" s="3">
        <v>5400</v>
      </c>
      <c r="B290" s="3">
        <v>24010</v>
      </c>
      <c r="C290" s="7">
        <v>42868</v>
      </c>
      <c r="F290" s="67"/>
      <c r="G290" s="3">
        <v>14.5</v>
      </c>
      <c r="H290" s="3">
        <v>11.3</v>
      </c>
      <c r="I290" s="3">
        <v>18.100000000000001</v>
      </c>
      <c r="J290" s="3">
        <f t="shared" si="33"/>
        <v>2172.6</v>
      </c>
      <c r="K290" s="3">
        <f t="shared" si="38"/>
        <v>226.4</v>
      </c>
      <c r="L290" s="23"/>
      <c r="M290" s="3">
        <v>0</v>
      </c>
      <c r="N290" s="3">
        <v>2.6</v>
      </c>
      <c r="O290" s="3">
        <f t="shared" si="30"/>
        <v>-2.6</v>
      </c>
      <c r="P290" s="3">
        <f t="shared" si="35"/>
        <v>86.9</v>
      </c>
      <c r="Q290" s="3">
        <v>255</v>
      </c>
      <c r="R290" s="27">
        <v>1.1499999999999999</v>
      </c>
      <c r="S290" s="3">
        <f t="shared" si="31"/>
        <v>2.9899999999999998</v>
      </c>
      <c r="T290" s="28">
        <f t="shared" si="32"/>
        <v>-2.9899999999999998</v>
      </c>
      <c r="U290" s="28">
        <f t="shared" si="36"/>
        <v>78.026809523809547</v>
      </c>
      <c r="W290" s="3">
        <v>1550.3</v>
      </c>
      <c r="Y290" s="3">
        <f t="shared" si="34"/>
        <v>178922.29999999996</v>
      </c>
      <c r="Z290" s="3">
        <f t="shared" si="37"/>
        <v>32004.899999999994</v>
      </c>
      <c r="AA290" s="3">
        <v>14.939389674411778</v>
      </c>
    </row>
    <row r="291" spans="1:28" s="3" customFormat="1" x14ac:dyDescent="0.25">
      <c r="A291" s="3">
        <v>5400</v>
      </c>
      <c r="B291" s="3">
        <v>24010</v>
      </c>
      <c r="C291" s="7">
        <v>42869</v>
      </c>
      <c r="F291" s="67"/>
      <c r="G291" s="3">
        <v>14.2</v>
      </c>
      <c r="H291" s="3">
        <v>10.199999999999999</v>
      </c>
      <c r="I291" s="3">
        <v>19.100000000000001</v>
      </c>
      <c r="J291" s="3">
        <f t="shared" si="33"/>
        <v>2186.7999999999997</v>
      </c>
      <c r="K291" s="3">
        <f t="shared" si="38"/>
        <v>240.6</v>
      </c>
      <c r="L291" s="23"/>
      <c r="M291" s="3">
        <v>0.3</v>
      </c>
      <c r="N291" s="3">
        <v>3.3</v>
      </c>
      <c r="O291" s="3">
        <f t="shared" si="30"/>
        <v>-3</v>
      </c>
      <c r="P291" s="3">
        <f t="shared" si="35"/>
        <v>83.9</v>
      </c>
      <c r="Q291" s="3">
        <v>256</v>
      </c>
      <c r="R291" s="27">
        <v>1.1499999999999999</v>
      </c>
      <c r="S291" s="3">
        <f t="shared" si="31"/>
        <v>3.7949999999999995</v>
      </c>
      <c r="T291" s="28">
        <f t="shared" si="32"/>
        <v>-3.4949999999999997</v>
      </c>
      <c r="U291" s="28">
        <f t="shared" si="36"/>
        <v>74.531809523809542</v>
      </c>
      <c r="W291" s="3">
        <v>1962.6</v>
      </c>
      <c r="Y291" s="3">
        <f t="shared" si="34"/>
        <v>180884.89999999997</v>
      </c>
      <c r="Z291" s="3">
        <f t="shared" si="37"/>
        <v>33967.499999999993</v>
      </c>
      <c r="AA291" s="3">
        <v>14.984746160532454</v>
      </c>
    </row>
    <row r="292" spans="1:28" s="3" customFormat="1" x14ac:dyDescent="0.25">
      <c r="A292" s="3">
        <v>5400</v>
      </c>
      <c r="B292" s="3">
        <v>24010</v>
      </c>
      <c r="C292" s="7">
        <v>42870</v>
      </c>
      <c r="F292" s="67"/>
      <c r="G292" s="3">
        <v>16.3</v>
      </c>
      <c r="H292" s="3">
        <v>7.7</v>
      </c>
      <c r="I292" s="3">
        <v>21.6</v>
      </c>
      <c r="J292" s="3">
        <f t="shared" si="33"/>
        <v>2203.1</v>
      </c>
      <c r="K292" s="3">
        <f t="shared" si="38"/>
        <v>256.89999999999998</v>
      </c>
      <c r="L292" s="23"/>
      <c r="M292" s="3">
        <v>0</v>
      </c>
      <c r="N292" s="3">
        <v>2.2999999999999998</v>
      </c>
      <c r="O292" s="3">
        <f t="shared" si="30"/>
        <v>-2.2999999999999998</v>
      </c>
      <c r="P292" s="3">
        <f t="shared" si="35"/>
        <v>81.600000000000009</v>
      </c>
      <c r="Q292" s="3">
        <v>257</v>
      </c>
      <c r="R292" s="27">
        <v>1.1499999999999999</v>
      </c>
      <c r="S292" s="3">
        <f t="shared" si="31"/>
        <v>2.6449999999999996</v>
      </c>
      <c r="T292" s="28">
        <f t="shared" si="32"/>
        <v>-2.6449999999999996</v>
      </c>
      <c r="U292" s="28">
        <f t="shared" si="36"/>
        <v>71.886809523809546</v>
      </c>
      <c r="W292" s="3">
        <v>1550.2</v>
      </c>
      <c r="Y292" s="3">
        <f t="shared" si="34"/>
        <v>182435.09999999998</v>
      </c>
      <c r="Z292" s="3">
        <f t="shared" si="37"/>
        <v>35517.69999999999</v>
      </c>
      <c r="AA292" s="3">
        <v>15.029340952521325</v>
      </c>
    </row>
    <row r="293" spans="1:28" s="3" customFormat="1" x14ac:dyDescent="0.25">
      <c r="A293" s="3">
        <v>5400</v>
      </c>
      <c r="B293" s="3">
        <v>24010</v>
      </c>
      <c r="C293" s="7">
        <v>42871</v>
      </c>
      <c r="F293" s="67"/>
      <c r="G293" s="3">
        <v>20.3</v>
      </c>
      <c r="H293" s="3">
        <v>14.9</v>
      </c>
      <c r="I293" s="3">
        <v>25.5</v>
      </c>
      <c r="J293" s="3">
        <f t="shared" si="33"/>
        <v>2223.4</v>
      </c>
      <c r="K293" s="3">
        <f t="shared" si="38"/>
        <v>277.2</v>
      </c>
      <c r="L293" s="23"/>
      <c r="M293" s="3">
        <v>0</v>
      </c>
      <c r="N293" s="3">
        <v>2.5</v>
      </c>
      <c r="O293" s="3">
        <f t="shared" ref="O293:O346" si="39">M293-N293</f>
        <v>-2.5</v>
      </c>
      <c r="P293" s="3">
        <f t="shared" si="35"/>
        <v>79.100000000000009</v>
      </c>
      <c r="Q293" s="3">
        <v>258</v>
      </c>
      <c r="R293" s="27">
        <v>1.1499999999999999</v>
      </c>
      <c r="S293" s="3">
        <f t="shared" ref="S293:S346" si="40">R293*N293</f>
        <v>2.875</v>
      </c>
      <c r="T293" s="28">
        <f t="shared" ref="T293:T346" si="41">M293-S293</f>
        <v>-2.875</v>
      </c>
      <c r="U293" s="28">
        <f t="shared" si="36"/>
        <v>69.011809523809546</v>
      </c>
      <c r="W293" s="3">
        <v>1303.3</v>
      </c>
      <c r="Y293" s="3">
        <f t="shared" si="34"/>
        <v>183738.39999999997</v>
      </c>
      <c r="Z293" s="3">
        <f t="shared" si="37"/>
        <v>36820.999999999993</v>
      </c>
      <c r="AA293" s="3">
        <v>15.073150177580498</v>
      </c>
    </row>
    <row r="294" spans="1:28" s="3" customFormat="1" x14ac:dyDescent="0.25">
      <c r="A294" s="3">
        <v>5400</v>
      </c>
      <c r="B294" s="3">
        <v>24010</v>
      </c>
      <c r="C294" s="7">
        <v>42872</v>
      </c>
      <c r="F294" s="67"/>
      <c r="G294" s="3">
        <v>19.399999999999999</v>
      </c>
      <c r="H294" s="3">
        <v>16.100000000000001</v>
      </c>
      <c r="I294" s="3">
        <v>26.8</v>
      </c>
      <c r="J294" s="3">
        <f t="shared" ref="J294:J346" si="42">J293+G294</f>
        <v>2242.8000000000002</v>
      </c>
      <c r="K294" s="3">
        <f t="shared" si="38"/>
        <v>296.59999999999997</v>
      </c>
      <c r="L294" s="23"/>
      <c r="M294" s="3">
        <v>9.1</v>
      </c>
      <c r="N294" s="3">
        <v>4</v>
      </c>
      <c r="O294" s="3">
        <f t="shared" si="39"/>
        <v>5.0999999999999996</v>
      </c>
      <c r="P294" s="3">
        <f t="shared" si="35"/>
        <v>84.2</v>
      </c>
      <c r="Q294" s="3">
        <v>259</v>
      </c>
      <c r="R294" s="27">
        <v>1.1499999999999999</v>
      </c>
      <c r="S294" s="3">
        <f t="shared" si="40"/>
        <v>4.5999999999999996</v>
      </c>
      <c r="T294" s="28">
        <f t="shared" si="41"/>
        <v>4.5</v>
      </c>
      <c r="U294" s="28">
        <f t="shared" si="36"/>
        <v>73.511809523809546</v>
      </c>
      <c r="W294" s="3">
        <v>1805.9</v>
      </c>
      <c r="Y294" s="3">
        <f t="shared" ref="Y294:Y346" si="43">Y293+W294</f>
        <v>185544.29999999996</v>
      </c>
      <c r="Z294" s="3">
        <f t="shared" si="37"/>
        <v>38626.899999999994</v>
      </c>
      <c r="AA294" s="3">
        <v>15.116149753368088</v>
      </c>
    </row>
    <row r="295" spans="1:28" s="21" customFormat="1" ht="15.75" thickBot="1" x14ac:dyDescent="0.3">
      <c r="A295" s="21">
        <v>5400</v>
      </c>
      <c r="B295" s="21">
        <v>24010</v>
      </c>
      <c r="C295" s="22">
        <v>42873</v>
      </c>
      <c r="F295" s="68"/>
      <c r="G295" s="21">
        <v>13.9</v>
      </c>
      <c r="H295" s="21">
        <v>10.5</v>
      </c>
      <c r="I295" s="21">
        <v>18.399999999999999</v>
      </c>
      <c r="J295" s="21">
        <f t="shared" si="42"/>
        <v>2256.7000000000003</v>
      </c>
      <c r="K295" s="21">
        <f t="shared" si="38"/>
        <v>310.49999999999994</v>
      </c>
      <c r="M295" s="21">
        <v>23.2</v>
      </c>
      <c r="N295" s="21">
        <v>0.9</v>
      </c>
      <c r="O295" s="21">
        <f t="shared" si="39"/>
        <v>22.3</v>
      </c>
      <c r="P295" s="21">
        <f t="shared" si="35"/>
        <v>106.5</v>
      </c>
      <c r="Q295" s="21">
        <v>260</v>
      </c>
      <c r="R295" s="21">
        <v>1.1499999999999999</v>
      </c>
      <c r="S295" s="21">
        <f t="shared" si="40"/>
        <v>1.0349999999999999</v>
      </c>
      <c r="T295" s="29">
        <f t="shared" si="41"/>
        <v>22.164999999999999</v>
      </c>
      <c r="U295" s="28">
        <f t="shared" si="36"/>
        <v>95.676809523809538</v>
      </c>
      <c r="W295" s="21">
        <v>451.7</v>
      </c>
      <c r="Y295" s="21">
        <f t="shared" si="43"/>
        <v>185995.99999999997</v>
      </c>
      <c r="Z295" s="21">
        <f t="shared" si="37"/>
        <v>39078.599999999991</v>
      </c>
      <c r="AA295" s="21">
        <v>15.158315419521493</v>
      </c>
    </row>
    <row r="296" spans="1:28" s="3" customFormat="1" x14ac:dyDescent="0.25">
      <c r="A296" s="3">
        <v>5400</v>
      </c>
      <c r="B296" s="3">
        <v>24010</v>
      </c>
      <c r="C296" s="7">
        <v>42874</v>
      </c>
      <c r="F296" s="55" t="s">
        <v>51</v>
      </c>
      <c r="G296" s="3">
        <v>10.6</v>
      </c>
      <c r="H296" s="3">
        <v>8.8000000000000007</v>
      </c>
      <c r="I296" s="3">
        <v>15</v>
      </c>
      <c r="J296" s="3">
        <f t="shared" si="42"/>
        <v>2267.3000000000002</v>
      </c>
      <c r="K296" s="3">
        <f>G296</f>
        <v>10.6</v>
      </c>
      <c r="L296" s="19" t="s">
        <v>39</v>
      </c>
      <c r="M296" s="3">
        <v>2.2999999999999998</v>
      </c>
      <c r="N296" s="3">
        <v>2.2999999999999998</v>
      </c>
      <c r="O296" s="3">
        <f t="shared" si="39"/>
        <v>0</v>
      </c>
      <c r="P296" s="3">
        <f t="shared" ref="P296:P342" si="44">O296+P295</f>
        <v>106.5</v>
      </c>
      <c r="Q296" s="3">
        <v>261</v>
      </c>
      <c r="R296" s="3">
        <f>1.15+((Q296-260)/51)*(0.35-1.15)</f>
        <v>1.134313725490196</v>
      </c>
      <c r="S296" s="3">
        <f t="shared" si="40"/>
        <v>2.6089215686274505</v>
      </c>
      <c r="T296" s="28">
        <f t="shared" si="41"/>
        <v>-0.30892156862745068</v>
      </c>
      <c r="U296" s="28">
        <f t="shared" ref="U296:U346" si="45">MIN(U295+T296,153.9)</f>
        <v>95.367887955182084</v>
      </c>
      <c r="V296" s="36" t="s">
        <v>53</v>
      </c>
      <c r="W296" s="3">
        <v>1623.6</v>
      </c>
      <c r="Y296" s="3">
        <f t="shared" si="43"/>
        <v>187619.59999999998</v>
      </c>
      <c r="Z296" s="3">
        <f>W296</f>
        <v>1623.6</v>
      </c>
      <c r="AA296" s="3">
        <v>15.199622771419989</v>
      </c>
      <c r="AB296" s="36" t="s">
        <v>58</v>
      </c>
    </row>
    <row r="297" spans="1:28" s="3" customFormat="1" x14ac:dyDescent="0.25">
      <c r="A297" s="3">
        <v>5400</v>
      </c>
      <c r="B297" s="3">
        <v>24010</v>
      </c>
      <c r="C297" s="7">
        <v>42875</v>
      </c>
      <c r="F297" s="56"/>
      <c r="G297" s="3">
        <v>11.5</v>
      </c>
      <c r="H297" s="3">
        <v>7</v>
      </c>
      <c r="I297" s="3">
        <v>15.4</v>
      </c>
      <c r="J297" s="3">
        <f t="shared" si="42"/>
        <v>2278.8000000000002</v>
      </c>
      <c r="K297" s="3">
        <f t="shared" si="38"/>
        <v>22.1</v>
      </c>
      <c r="L297" s="11">
        <v>303.89999999999998</v>
      </c>
      <c r="M297" s="3">
        <v>0.2</v>
      </c>
      <c r="N297" s="3">
        <v>2.4</v>
      </c>
      <c r="O297" s="3">
        <f t="shared" si="39"/>
        <v>-2.1999999999999997</v>
      </c>
      <c r="P297" s="3">
        <f t="shared" si="44"/>
        <v>104.3</v>
      </c>
      <c r="Q297" s="3">
        <v>262</v>
      </c>
      <c r="R297" s="3">
        <f t="shared" ref="R297:R346" si="46">1.15+((Q297-260)/51)*(0.35-1.15)</f>
        <v>1.1186274509803922</v>
      </c>
      <c r="S297" s="3">
        <f t="shared" si="40"/>
        <v>2.6847058823529411</v>
      </c>
      <c r="T297" s="28">
        <f t="shared" si="41"/>
        <v>-2.4847058823529409</v>
      </c>
      <c r="U297" s="28">
        <f t="shared" si="45"/>
        <v>92.883182072829143</v>
      </c>
      <c r="V297">
        <v>0</v>
      </c>
      <c r="W297" s="3">
        <v>1709.3</v>
      </c>
      <c r="Y297" s="3">
        <f t="shared" si="43"/>
        <v>189328.89999999997</v>
      </c>
      <c r="Z297" s="3">
        <f t="shared" si="37"/>
        <v>3332.8999999999996</v>
      </c>
      <c r="AA297" s="3">
        <v>15.240047296175096</v>
      </c>
      <c r="AB297">
        <v>32890.199999999997</v>
      </c>
    </row>
    <row r="298" spans="1:28" s="3" customFormat="1" x14ac:dyDescent="0.25">
      <c r="A298" s="3">
        <v>5400</v>
      </c>
      <c r="B298" s="3">
        <v>24010</v>
      </c>
      <c r="C298" s="7">
        <v>42876</v>
      </c>
      <c r="F298" s="56"/>
      <c r="G298" s="3">
        <v>14.7</v>
      </c>
      <c r="H298" s="3">
        <v>8.3000000000000007</v>
      </c>
      <c r="I298" s="3">
        <v>19</v>
      </c>
      <c r="J298" s="3">
        <f t="shared" si="42"/>
        <v>2293.5</v>
      </c>
      <c r="K298" s="3">
        <f t="shared" si="38"/>
        <v>36.799999999999997</v>
      </c>
      <c r="L298" s="19" t="s">
        <v>40</v>
      </c>
      <c r="M298" s="3">
        <v>0</v>
      </c>
      <c r="N298" s="3">
        <v>3.1</v>
      </c>
      <c r="O298" s="3">
        <f t="shared" si="39"/>
        <v>-3.1</v>
      </c>
      <c r="P298" s="3">
        <f t="shared" si="44"/>
        <v>101.2</v>
      </c>
      <c r="Q298" s="3">
        <v>263</v>
      </c>
      <c r="R298" s="3">
        <f t="shared" si="46"/>
        <v>1.1029411764705881</v>
      </c>
      <c r="S298" s="3">
        <f t="shared" si="40"/>
        <v>3.4191176470588234</v>
      </c>
      <c r="T298" s="28">
        <f t="shared" si="41"/>
        <v>-3.4191176470588234</v>
      </c>
      <c r="U298" s="28">
        <f t="shared" si="45"/>
        <v>89.464064425770317</v>
      </c>
      <c r="V298" s="36" t="s">
        <v>54</v>
      </c>
      <c r="W298" s="3">
        <v>2104.3000000000002</v>
      </c>
      <c r="Y298" s="3">
        <f t="shared" si="43"/>
        <v>191433.19999999995</v>
      </c>
      <c r="Z298" s="3">
        <f t="shared" si="37"/>
        <v>5437.2</v>
      </c>
      <c r="AA298" s="3">
        <v>15.27956441082349</v>
      </c>
      <c r="AB298" s="36" t="s">
        <v>59</v>
      </c>
    </row>
    <row r="299" spans="1:28" s="3" customFormat="1" x14ac:dyDescent="0.25">
      <c r="A299" s="3">
        <v>5400</v>
      </c>
      <c r="B299" s="3">
        <v>24010</v>
      </c>
      <c r="C299" s="7">
        <v>42877</v>
      </c>
      <c r="F299" s="56"/>
      <c r="G299" s="3">
        <v>18</v>
      </c>
      <c r="H299" s="3">
        <v>12.1</v>
      </c>
      <c r="I299" s="3">
        <v>23.6</v>
      </c>
      <c r="J299" s="3">
        <f t="shared" si="42"/>
        <v>2311.5</v>
      </c>
      <c r="K299" s="3">
        <f t="shared" si="38"/>
        <v>54.8</v>
      </c>
      <c r="L299" s="16">
        <f>AVERAGE(G296:G312)</f>
        <v>17.876470588235296</v>
      </c>
      <c r="M299" s="3">
        <v>0</v>
      </c>
      <c r="N299" s="3">
        <v>4.5</v>
      </c>
      <c r="O299" s="3">
        <f t="shared" si="39"/>
        <v>-4.5</v>
      </c>
      <c r="P299" s="3">
        <f t="shared" si="44"/>
        <v>96.7</v>
      </c>
      <c r="Q299" s="3">
        <v>264</v>
      </c>
      <c r="R299" s="3">
        <f t="shared" si="46"/>
        <v>1.0872549019607842</v>
      </c>
      <c r="S299" s="3">
        <f t="shared" si="40"/>
        <v>4.8926470588235293</v>
      </c>
      <c r="T299" s="28">
        <f t="shared" si="41"/>
        <v>-4.8926470588235293</v>
      </c>
      <c r="U299" s="28">
        <f t="shared" si="45"/>
        <v>84.57141736694679</v>
      </c>
      <c r="V299">
        <v>1</v>
      </c>
      <c r="W299" s="3">
        <v>2602.1999999999998</v>
      </c>
      <c r="Y299" s="3">
        <f t="shared" si="43"/>
        <v>194035.39999999997</v>
      </c>
      <c r="Z299" s="3">
        <f t="shared" si="37"/>
        <v>8039.4</v>
      </c>
      <c r="AA299" s="3">
        <v>15.318149502682472</v>
      </c>
      <c r="AB299">
        <f>(AB297/100)/L297</f>
        <v>1.0822704837117474</v>
      </c>
    </row>
    <row r="300" spans="1:28" s="3" customFormat="1" x14ac:dyDescent="0.25">
      <c r="A300" s="3">
        <v>5400</v>
      </c>
      <c r="B300" s="3">
        <v>24010</v>
      </c>
      <c r="C300" s="7">
        <v>42878</v>
      </c>
      <c r="F300" s="56"/>
      <c r="G300" s="3">
        <v>17.600000000000001</v>
      </c>
      <c r="H300" s="3">
        <v>13.6</v>
      </c>
      <c r="I300" s="3">
        <v>21.5</v>
      </c>
      <c r="J300" s="3">
        <f t="shared" si="42"/>
        <v>2329.1</v>
      </c>
      <c r="K300" s="3">
        <f t="shared" si="38"/>
        <v>72.400000000000006</v>
      </c>
      <c r="L300" s="19" t="s">
        <v>41</v>
      </c>
      <c r="M300" s="3">
        <v>0</v>
      </c>
      <c r="N300" s="3">
        <v>3.4</v>
      </c>
      <c r="O300" s="3">
        <f t="shared" si="39"/>
        <v>-3.4</v>
      </c>
      <c r="P300" s="3">
        <f t="shared" si="44"/>
        <v>93.3</v>
      </c>
      <c r="Q300" s="3">
        <v>265</v>
      </c>
      <c r="R300" s="3">
        <f t="shared" si="46"/>
        <v>1.0715686274509804</v>
      </c>
      <c r="S300" s="3">
        <f t="shared" si="40"/>
        <v>3.6433333333333331</v>
      </c>
      <c r="T300" s="28">
        <f t="shared" si="41"/>
        <v>-3.6433333333333331</v>
      </c>
      <c r="U300" s="28">
        <f t="shared" si="45"/>
        <v>80.928084033613459</v>
      </c>
      <c r="V300" s="36" t="s">
        <v>55</v>
      </c>
      <c r="W300" s="3">
        <v>1921.8</v>
      </c>
      <c r="Y300" s="3">
        <f t="shared" si="43"/>
        <v>195957.19999999995</v>
      </c>
      <c r="Z300" s="3">
        <f t="shared" si="37"/>
        <v>9961.1999999999989</v>
      </c>
      <c r="AA300" s="3">
        <v>15.355777971812246</v>
      </c>
      <c r="AB300" s="36" t="s">
        <v>60</v>
      </c>
    </row>
    <row r="301" spans="1:28" s="3" customFormat="1" x14ac:dyDescent="0.25">
      <c r="A301" s="3">
        <v>5400</v>
      </c>
      <c r="B301" s="3">
        <v>24010</v>
      </c>
      <c r="C301" s="7">
        <v>42879</v>
      </c>
      <c r="F301" s="56"/>
      <c r="G301" s="3">
        <v>17.7</v>
      </c>
      <c r="H301" s="3">
        <v>13.3</v>
      </c>
      <c r="I301" s="3">
        <v>21.5</v>
      </c>
      <c r="J301" s="3">
        <f t="shared" si="42"/>
        <v>2346.7999999999997</v>
      </c>
      <c r="K301" s="3">
        <f t="shared" si="38"/>
        <v>90.100000000000009</v>
      </c>
      <c r="L301" s="12">
        <f>MIN(H296:H312)</f>
        <v>7</v>
      </c>
      <c r="M301" s="3">
        <v>0</v>
      </c>
      <c r="N301" s="3">
        <v>1.9</v>
      </c>
      <c r="O301" s="3">
        <f t="shared" si="39"/>
        <v>-1.9</v>
      </c>
      <c r="P301" s="3">
        <f t="shared" si="44"/>
        <v>91.399999999999991</v>
      </c>
      <c r="Q301" s="3">
        <v>266</v>
      </c>
      <c r="R301" s="3">
        <f t="shared" si="46"/>
        <v>1.0558823529411765</v>
      </c>
      <c r="S301" s="3">
        <f t="shared" si="40"/>
        <v>2.0061764705882354</v>
      </c>
      <c r="T301" s="28">
        <f t="shared" si="41"/>
        <v>-2.0061764705882354</v>
      </c>
      <c r="U301" s="28">
        <f t="shared" si="45"/>
        <v>78.921907563025229</v>
      </c>
      <c r="V301" s="28">
        <f>MIN(U296:U312)</f>
        <v>47.619064425770325</v>
      </c>
      <c r="W301" s="3">
        <v>1113.8</v>
      </c>
      <c r="Y301" s="3">
        <f t="shared" si="43"/>
        <v>197070.99999999994</v>
      </c>
      <c r="Z301" s="3">
        <f t="shared" si="37"/>
        <v>11074.999999999998</v>
      </c>
      <c r="AA301" s="3">
        <v>15.392425275512757</v>
      </c>
      <c r="AB301">
        <v>1</v>
      </c>
    </row>
    <row r="302" spans="1:28" s="3" customFormat="1" x14ac:dyDescent="0.25">
      <c r="A302" s="3">
        <v>5400</v>
      </c>
      <c r="B302" s="3">
        <v>24010</v>
      </c>
      <c r="C302" s="7">
        <v>42880</v>
      </c>
      <c r="F302" s="56"/>
      <c r="G302" s="3">
        <v>20.2</v>
      </c>
      <c r="H302" s="3">
        <v>14.8</v>
      </c>
      <c r="I302" s="3">
        <v>24.5</v>
      </c>
      <c r="J302" s="3">
        <f t="shared" si="42"/>
        <v>2366.9999999999995</v>
      </c>
      <c r="K302" s="3">
        <f t="shared" si="38"/>
        <v>110.30000000000001</v>
      </c>
      <c r="L302" s="19" t="s">
        <v>42</v>
      </c>
      <c r="M302" s="3">
        <v>0</v>
      </c>
      <c r="N302" s="3">
        <v>5.7</v>
      </c>
      <c r="O302" s="3">
        <f t="shared" si="39"/>
        <v>-5.7</v>
      </c>
      <c r="P302" s="3">
        <f t="shared" si="44"/>
        <v>85.699999999999989</v>
      </c>
      <c r="Q302" s="3">
        <v>267</v>
      </c>
      <c r="R302" s="3">
        <f t="shared" si="46"/>
        <v>1.0401960784313724</v>
      </c>
      <c r="S302" s="3">
        <f t="shared" si="40"/>
        <v>5.9291176470588232</v>
      </c>
      <c r="T302" s="28">
        <f t="shared" si="41"/>
        <v>-5.9291176470588232</v>
      </c>
      <c r="U302" s="28">
        <f t="shared" si="45"/>
        <v>72.992789915966412</v>
      </c>
      <c r="V302" s="36" t="s">
        <v>56</v>
      </c>
      <c r="W302" s="3">
        <v>3032.2</v>
      </c>
      <c r="Y302" s="3">
        <f t="shared" si="43"/>
        <v>200103.19999999995</v>
      </c>
      <c r="Z302" s="3">
        <f t="shared" si="37"/>
        <v>14107.199999999997</v>
      </c>
      <c r="AA302" s="3">
        <v>15.428066974765274</v>
      </c>
    </row>
    <row r="303" spans="1:28" s="3" customFormat="1" x14ac:dyDescent="0.25">
      <c r="A303" s="3">
        <v>5400</v>
      </c>
      <c r="B303" s="3">
        <v>24010</v>
      </c>
      <c r="C303" s="7">
        <v>42881</v>
      </c>
      <c r="F303" s="56"/>
      <c r="G303" s="3">
        <v>20.8</v>
      </c>
      <c r="H303" s="3">
        <v>15.7</v>
      </c>
      <c r="I303" s="3">
        <v>25.7</v>
      </c>
      <c r="J303" s="3">
        <f t="shared" si="42"/>
        <v>2387.7999999999997</v>
      </c>
      <c r="K303" s="3">
        <f t="shared" si="38"/>
        <v>131.10000000000002</v>
      </c>
      <c r="L303" s="11">
        <f>MAX(I296:I312)</f>
        <v>27.4</v>
      </c>
      <c r="M303" s="3">
        <v>0</v>
      </c>
      <c r="N303" s="3">
        <v>6.2</v>
      </c>
      <c r="O303" s="3">
        <f t="shared" si="39"/>
        <v>-6.2</v>
      </c>
      <c r="P303" s="3">
        <f t="shared" si="44"/>
        <v>79.499999999999986</v>
      </c>
      <c r="Q303" s="3">
        <v>268</v>
      </c>
      <c r="R303" s="3">
        <f t="shared" si="46"/>
        <v>1.0245098039215685</v>
      </c>
      <c r="S303" s="3">
        <f t="shared" si="40"/>
        <v>6.3519607843137251</v>
      </c>
      <c r="T303" s="28">
        <f t="shared" si="41"/>
        <v>-6.3519607843137251</v>
      </c>
      <c r="U303" s="28">
        <f t="shared" si="45"/>
        <v>66.64082913165268</v>
      </c>
      <c r="V303" s="28">
        <f>MAX(U296:U312)</f>
        <v>95.367887955182084</v>
      </c>
      <c r="W303" s="3">
        <v>3086.3</v>
      </c>
      <c r="Y303" s="3">
        <f t="shared" si="43"/>
        <v>203189.49999999994</v>
      </c>
      <c r="Z303" s="3">
        <f t="shared" si="37"/>
        <v>17193.499999999996</v>
      </c>
      <c r="AA303" s="3">
        <v>15.462678782510958</v>
      </c>
    </row>
    <row r="304" spans="1:28" s="3" customFormat="1" x14ac:dyDescent="0.25">
      <c r="A304" s="3">
        <v>5400</v>
      </c>
      <c r="B304" s="3">
        <v>24010</v>
      </c>
      <c r="C304" s="7">
        <v>42882</v>
      </c>
      <c r="F304" s="56"/>
      <c r="G304" s="3">
        <v>22.5</v>
      </c>
      <c r="H304" s="3">
        <v>15.9</v>
      </c>
      <c r="I304" s="3">
        <v>27.1</v>
      </c>
      <c r="J304" s="3">
        <f t="shared" si="42"/>
        <v>2410.2999999999997</v>
      </c>
      <c r="K304" s="3">
        <f t="shared" si="38"/>
        <v>153.60000000000002</v>
      </c>
      <c r="L304" s="19" t="s">
        <v>43</v>
      </c>
      <c r="M304" s="3">
        <v>1.9</v>
      </c>
      <c r="N304" s="3">
        <v>3.2</v>
      </c>
      <c r="O304" s="3">
        <f t="shared" si="39"/>
        <v>-1.3000000000000003</v>
      </c>
      <c r="P304" s="3">
        <f t="shared" si="44"/>
        <v>78.199999999999989</v>
      </c>
      <c r="Q304" s="3">
        <v>269</v>
      </c>
      <c r="R304" s="3">
        <f t="shared" si="46"/>
        <v>1.0088235294117647</v>
      </c>
      <c r="S304" s="3">
        <f t="shared" si="40"/>
        <v>3.2282352941176473</v>
      </c>
      <c r="T304" s="28">
        <f t="shared" si="41"/>
        <v>-1.3282352941176474</v>
      </c>
      <c r="U304" s="28">
        <f t="shared" si="45"/>
        <v>65.312593837535033</v>
      </c>
      <c r="V304" s="36" t="s">
        <v>57</v>
      </c>
      <c r="W304" s="3">
        <v>1630.4</v>
      </c>
      <c r="Y304" s="3">
        <f t="shared" si="43"/>
        <v>204819.89999999994</v>
      </c>
      <c r="Z304" s="3">
        <f t="shared" si="37"/>
        <v>18823.899999999998</v>
      </c>
      <c r="AA304" s="3">
        <v>15.496236613639939</v>
      </c>
    </row>
    <row r="305" spans="1:28" s="3" customFormat="1" x14ac:dyDescent="0.25">
      <c r="A305" s="3">
        <v>5400</v>
      </c>
      <c r="B305" s="3">
        <v>24010</v>
      </c>
      <c r="C305" s="7">
        <v>42883</v>
      </c>
      <c r="F305" s="56"/>
      <c r="G305" s="3">
        <v>23</v>
      </c>
      <c r="H305" s="3">
        <v>18</v>
      </c>
      <c r="I305" s="3">
        <v>27.3</v>
      </c>
      <c r="J305" s="3">
        <f t="shared" si="42"/>
        <v>2433.2999999999997</v>
      </c>
      <c r="K305" s="3">
        <f t="shared" si="38"/>
        <v>176.60000000000002</v>
      </c>
      <c r="L305" s="11">
        <v>6</v>
      </c>
      <c r="M305" s="3">
        <v>0</v>
      </c>
      <c r="N305" s="3">
        <v>4.3</v>
      </c>
      <c r="O305" s="3">
        <f t="shared" si="39"/>
        <v>-4.3</v>
      </c>
      <c r="P305" s="3">
        <f t="shared" si="44"/>
        <v>73.899999999999991</v>
      </c>
      <c r="Q305" s="3">
        <v>270</v>
      </c>
      <c r="R305" s="3">
        <f t="shared" si="46"/>
        <v>0.9931372549019607</v>
      </c>
      <c r="S305" s="3">
        <f t="shared" si="40"/>
        <v>4.2704901960784305</v>
      </c>
      <c r="T305" s="28">
        <f t="shared" si="41"/>
        <v>-4.2704901960784305</v>
      </c>
      <c r="U305" s="28">
        <f t="shared" si="45"/>
        <v>61.042103641456606</v>
      </c>
      <c r="V305" s="28">
        <f>AVERAGE(U296:U312)</f>
        <v>69.426584610314734</v>
      </c>
      <c r="W305" s="3">
        <v>2379.6999999999998</v>
      </c>
      <c r="Y305" s="3">
        <f t="shared" si="43"/>
        <v>207199.59999999995</v>
      </c>
      <c r="Z305" s="3">
        <f t="shared" si="37"/>
        <v>21203.599999999999</v>
      </c>
      <c r="AA305" s="3">
        <v>15.528716636545495</v>
      </c>
    </row>
    <row r="306" spans="1:28" s="3" customFormat="1" x14ac:dyDescent="0.25">
      <c r="A306" s="3">
        <v>5400</v>
      </c>
      <c r="B306" s="3">
        <v>24010</v>
      </c>
      <c r="C306" s="7">
        <v>42884</v>
      </c>
      <c r="F306" s="56"/>
      <c r="G306" s="3">
        <v>21.5</v>
      </c>
      <c r="H306" s="3">
        <v>20.3</v>
      </c>
      <c r="I306" s="3">
        <v>25.6</v>
      </c>
      <c r="J306" s="3">
        <f t="shared" si="42"/>
        <v>2454.7999999999997</v>
      </c>
      <c r="K306" s="3">
        <f t="shared" si="38"/>
        <v>198.10000000000002</v>
      </c>
      <c r="L306" s="19" t="s">
        <v>44</v>
      </c>
      <c r="M306" s="3">
        <v>0.2</v>
      </c>
      <c r="N306" s="3">
        <v>4</v>
      </c>
      <c r="O306" s="3">
        <f t="shared" si="39"/>
        <v>-3.8</v>
      </c>
      <c r="P306" s="3">
        <f t="shared" si="44"/>
        <v>70.099999999999994</v>
      </c>
      <c r="Q306" s="3">
        <v>271</v>
      </c>
      <c r="R306" s="3">
        <f t="shared" si="46"/>
        <v>0.97745098039215672</v>
      </c>
      <c r="S306" s="3">
        <f t="shared" si="40"/>
        <v>3.9098039215686269</v>
      </c>
      <c r="T306" s="28">
        <f t="shared" si="41"/>
        <v>-3.7098039215686267</v>
      </c>
      <c r="U306" s="28">
        <f t="shared" si="45"/>
        <v>57.332299719887978</v>
      </c>
      <c r="W306" s="3">
        <v>1972.7</v>
      </c>
      <c r="Y306" s="3">
        <f t="shared" si="43"/>
        <v>209172.29999999996</v>
      </c>
      <c r="Z306" s="3">
        <f t="shared" si="37"/>
        <v>23176.3</v>
      </c>
      <c r="AA306" s="3">
        <v>15.560095326078709</v>
      </c>
    </row>
    <row r="307" spans="1:28" s="3" customFormat="1" x14ac:dyDescent="0.25">
      <c r="A307" s="3">
        <v>5400</v>
      </c>
      <c r="B307" s="3">
        <v>24010</v>
      </c>
      <c r="C307" s="7">
        <v>42885</v>
      </c>
      <c r="F307" s="56"/>
      <c r="G307" s="3">
        <v>17.899999999999999</v>
      </c>
      <c r="H307" s="3">
        <v>16.2</v>
      </c>
      <c r="I307" s="3">
        <v>21.1</v>
      </c>
      <c r="J307" s="3">
        <f t="shared" si="42"/>
        <v>2472.6999999999998</v>
      </c>
      <c r="K307" s="3">
        <f t="shared" si="38"/>
        <v>216.00000000000003</v>
      </c>
      <c r="L307" s="11">
        <v>0</v>
      </c>
      <c r="M307" s="3">
        <v>0</v>
      </c>
      <c r="N307" s="3">
        <v>2.5</v>
      </c>
      <c r="O307" s="3">
        <f t="shared" si="39"/>
        <v>-2.5</v>
      </c>
      <c r="P307" s="3">
        <f t="shared" si="44"/>
        <v>67.599999999999994</v>
      </c>
      <c r="Q307" s="3">
        <v>272</v>
      </c>
      <c r="R307" s="3">
        <f t="shared" si="46"/>
        <v>0.96176470588235285</v>
      </c>
      <c r="S307" s="3">
        <f t="shared" si="40"/>
        <v>2.4044117647058822</v>
      </c>
      <c r="T307" s="28">
        <f t="shared" si="41"/>
        <v>-2.4044117647058822</v>
      </c>
      <c r="U307" s="28">
        <f t="shared" si="45"/>
        <v>54.927887955182094</v>
      </c>
      <c r="V307" s="45">
        <f>(V305*100)/153.9</f>
        <v>45.111490974863372</v>
      </c>
      <c r="W307" s="3">
        <v>1190</v>
      </c>
      <c r="Y307" s="3">
        <f t="shared" si="43"/>
        <v>210362.29999999996</v>
      </c>
      <c r="Z307" s="3">
        <f t="shared" si="37"/>
        <v>24366.3</v>
      </c>
      <c r="AA307" s="3">
        <v>15.59034951771986</v>
      </c>
    </row>
    <row r="308" spans="1:28" s="3" customFormat="1" x14ac:dyDescent="0.25">
      <c r="A308" s="3">
        <v>5400</v>
      </c>
      <c r="B308" s="3">
        <v>24010</v>
      </c>
      <c r="C308" s="7">
        <v>42886</v>
      </c>
      <c r="F308" s="56"/>
      <c r="G308" s="3">
        <v>18</v>
      </c>
      <c r="H308" s="3">
        <v>12.4</v>
      </c>
      <c r="I308" s="3">
        <v>21.9</v>
      </c>
      <c r="J308" s="3">
        <f t="shared" si="42"/>
        <v>2490.6999999999998</v>
      </c>
      <c r="K308" s="3">
        <f t="shared" si="38"/>
        <v>234.00000000000003</v>
      </c>
      <c r="L308" s="19" t="s">
        <v>45</v>
      </c>
      <c r="M308" s="3">
        <v>0</v>
      </c>
      <c r="N308" s="3">
        <v>3.3</v>
      </c>
      <c r="O308" s="3">
        <f t="shared" si="39"/>
        <v>-3.3</v>
      </c>
      <c r="P308" s="3">
        <f t="shared" si="44"/>
        <v>64.3</v>
      </c>
      <c r="Q308" s="3">
        <v>273</v>
      </c>
      <c r="R308" s="3">
        <f t="shared" si="46"/>
        <v>0.94607843137254899</v>
      </c>
      <c r="S308" s="3">
        <f t="shared" si="40"/>
        <v>3.1220588235294113</v>
      </c>
      <c r="T308" s="28">
        <f t="shared" si="41"/>
        <v>-3.1220588235294113</v>
      </c>
      <c r="U308" s="28">
        <f t="shared" si="45"/>
        <v>51.805829131652679</v>
      </c>
      <c r="W308" s="3">
        <v>1984</v>
      </c>
      <c r="Y308" s="3">
        <f t="shared" si="43"/>
        <v>212346.29999999996</v>
      </c>
      <c r="Z308" s="3">
        <f t="shared" si="37"/>
        <v>26350.3</v>
      </c>
      <c r="AA308" s="3">
        <v>15.619456462763997</v>
      </c>
    </row>
    <row r="309" spans="1:28" s="3" customFormat="1" x14ac:dyDescent="0.25">
      <c r="A309" s="3">
        <v>5400</v>
      </c>
      <c r="B309" s="3">
        <v>24010</v>
      </c>
      <c r="C309" s="7">
        <v>42887</v>
      </c>
      <c r="F309" s="56"/>
      <c r="G309" s="3">
        <v>20.6</v>
      </c>
      <c r="H309" s="3">
        <v>15</v>
      </c>
      <c r="I309" s="3">
        <v>25.1</v>
      </c>
      <c r="J309" s="3">
        <f t="shared" si="42"/>
        <v>2511.2999999999997</v>
      </c>
      <c r="K309" s="3">
        <f t="shared" si="38"/>
        <v>254.60000000000002</v>
      </c>
      <c r="L309" s="17">
        <v>0</v>
      </c>
      <c r="M309" s="3">
        <v>0</v>
      </c>
      <c r="N309" s="3">
        <v>4.5</v>
      </c>
      <c r="O309" s="3">
        <f t="shared" si="39"/>
        <v>-4.5</v>
      </c>
      <c r="P309" s="3">
        <f t="shared" si="44"/>
        <v>59.8</v>
      </c>
      <c r="Q309" s="3">
        <v>274</v>
      </c>
      <c r="R309" s="3">
        <f t="shared" si="46"/>
        <v>0.93039215686274501</v>
      </c>
      <c r="S309" s="3">
        <f t="shared" si="40"/>
        <v>4.1867647058823527</v>
      </c>
      <c r="T309" s="28">
        <f t="shared" si="41"/>
        <v>-4.1867647058823527</v>
      </c>
      <c r="U309" s="28">
        <f t="shared" si="45"/>
        <v>47.619064425770325</v>
      </c>
      <c r="W309" s="3">
        <v>2384.8000000000002</v>
      </c>
      <c r="Y309" s="3">
        <f t="shared" si="43"/>
        <v>214731.09999999995</v>
      </c>
      <c r="Z309" s="3">
        <f t="shared" si="37"/>
        <v>28735.1</v>
      </c>
      <c r="AA309" s="3">
        <v>15.64739388429968</v>
      </c>
    </row>
    <row r="310" spans="1:28" s="3" customFormat="1" x14ac:dyDescent="0.25">
      <c r="A310" s="3">
        <v>5400</v>
      </c>
      <c r="B310" s="3">
        <v>24010</v>
      </c>
      <c r="C310" s="7">
        <v>42888</v>
      </c>
      <c r="F310" s="56"/>
      <c r="G310" s="3">
        <v>20</v>
      </c>
      <c r="H310" s="3">
        <v>16.899999999999999</v>
      </c>
      <c r="I310" s="3">
        <v>27.4</v>
      </c>
      <c r="J310" s="3">
        <f t="shared" si="42"/>
        <v>2531.2999999999997</v>
      </c>
      <c r="K310" s="3">
        <f t="shared" si="38"/>
        <v>274.60000000000002</v>
      </c>
      <c r="L310" s="23"/>
      <c r="M310" s="3">
        <v>15.6</v>
      </c>
      <c r="N310" s="3">
        <v>3.4</v>
      </c>
      <c r="O310" s="3">
        <f t="shared" si="39"/>
        <v>12.2</v>
      </c>
      <c r="P310" s="3">
        <f t="shared" si="44"/>
        <v>72</v>
      </c>
      <c r="Q310" s="3">
        <v>275</v>
      </c>
      <c r="R310" s="3">
        <f t="shared" si="46"/>
        <v>0.91470588235294104</v>
      </c>
      <c r="S310" s="3">
        <f t="shared" si="40"/>
        <v>3.1099999999999994</v>
      </c>
      <c r="T310" s="28">
        <f t="shared" si="41"/>
        <v>12.49</v>
      </c>
      <c r="U310" s="28">
        <f t="shared" si="45"/>
        <v>60.109064425770327</v>
      </c>
      <c r="W310" s="3">
        <v>1630.8</v>
      </c>
      <c r="Y310" s="3">
        <f t="shared" si="43"/>
        <v>216361.89999999994</v>
      </c>
      <c r="Z310" s="3">
        <f t="shared" si="37"/>
        <v>30365.899999999998</v>
      </c>
      <c r="AA310" s="3">
        <v>15.67414003374237</v>
      </c>
    </row>
    <row r="311" spans="1:28" s="3" customFormat="1" x14ac:dyDescent="0.25">
      <c r="A311" s="3">
        <v>5400</v>
      </c>
      <c r="B311" s="3">
        <v>24010</v>
      </c>
      <c r="C311" s="7">
        <v>42889</v>
      </c>
      <c r="F311" s="56"/>
      <c r="G311" s="3">
        <v>14.6</v>
      </c>
      <c r="H311" s="3">
        <v>14.2</v>
      </c>
      <c r="I311" s="3">
        <v>17.7</v>
      </c>
      <c r="J311" s="3">
        <f t="shared" si="42"/>
        <v>2545.8999999999996</v>
      </c>
      <c r="K311" s="3">
        <f t="shared" si="38"/>
        <v>289.20000000000005</v>
      </c>
      <c r="L311" s="23"/>
      <c r="M311" s="3">
        <v>2.6</v>
      </c>
      <c r="N311" s="3">
        <v>1.6</v>
      </c>
      <c r="O311" s="3">
        <f t="shared" si="39"/>
        <v>1</v>
      </c>
      <c r="P311" s="3">
        <f t="shared" si="44"/>
        <v>73</v>
      </c>
      <c r="Q311" s="3">
        <v>276</v>
      </c>
      <c r="R311" s="3">
        <f t="shared" si="46"/>
        <v>0.89901960784313717</v>
      </c>
      <c r="S311" s="3">
        <f t="shared" si="40"/>
        <v>1.4384313725490196</v>
      </c>
      <c r="T311" s="28">
        <f t="shared" si="41"/>
        <v>1.1615686274509804</v>
      </c>
      <c r="U311" s="28">
        <f t="shared" si="45"/>
        <v>61.27063305322131</v>
      </c>
      <c r="W311" s="3">
        <v>880.5</v>
      </c>
      <c r="Y311" s="3">
        <f t="shared" si="43"/>
        <v>217242.39999999994</v>
      </c>
      <c r="Z311" s="3">
        <f t="shared" si="37"/>
        <v>31246.399999999998</v>
      </c>
      <c r="AA311" s="3">
        <v>15.699673747667433</v>
      </c>
    </row>
    <row r="312" spans="1:28" s="21" customFormat="1" ht="15.75" thickBot="1" x14ac:dyDescent="0.3">
      <c r="A312" s="21">
        <v>5400</v>
      </c>
      <c r="B312" s="21">
        <v>24010</v>
      </c>
      <c r="C312" s="22">
        <v>42890</v>
      </c>
      <c r="F312" s="57"/>
      <c r="G312" s="21">
        <v>14.7</v>
      </c>
      <c r="H312" s="21">
        <v>9.1</v>
      </c>
      <c r="I312" s="21">
        <v>19.3</v>
      </c>
      <c r="J312" s="21">
        <f t="shared" si="42"/>
        <v>2560.5999999999995</v>
      </c>
      <c r="K312" s="21">
        <f t="shared" si="38"/>
        <v>303.90000000000003</v>
      </c>
      <c r="M312" s="21">
        <v>0</v>
      </c>
      <c r="N312" s="21">
        <v>2.5</v>
      </c>
      <c r="O312" s="21">
        <f t="shared" si="39"/>
        <v>-2.5</v>
      </c>
      <c r="P312" s="21">
        <f t="shared" si="44"/>
        <v>70.5</v>
      </c>
      <c r="Q312" s="21">
        <v>277</v>
      </c>
      <c r="R312" s="21">
        <f t="shared" si="46"/>
        <v>0.8833333333333333</v>
      </c>
      <c r="S312" s="21">
        <f t="shared" si="40"/>
        <v>2.208333333333333</v>
      </c>
      <c r="T312" s="29">
        <f t="shared" si="41"/>
        <v>-2.208333333333333</v>
      </c>
      <c r="U312" s="28">
        <f t="shared" si="45"/>
        <v>59.062299719887974</v>
      </c>
      <c r="W312" s="21">
        <v>1643.8</v>
      </c>
      <c r="Y312" s="21">
        <f t="shared" si="43"/>
        <v>218886.19999999992</v>
      </c>
      <c r="Z312" s="21">
        <f t="shared" si="37"/>
        <v>32890.199999999997</v>
      </c>
      <c r="AA312" s="21">
        <v>15.723974504672491</v>
      </c>
    </row>
    <row r="313" spans="1:28" s="3" customFormat="1" x14ac:dyDescent="0.25">
      <c r="A313" s="3">
        <v>5400</v>
      </c>
      <c r="B313" s="3">
        <v>24010</v>
      </c>
      <c r="C313" s="7">
        <v>42891</v>
      </c>
      <c r="F313" s="58" t="s">
        <v>52</v>
      </c>
      <c r="G313" s="3">
        <v>16.5</v>
      </c>
      <c r="H313" s="3">
        <v>11.7</v>
      </c>
      <c r="I313" s="3">
        <v>20.9</v>
      </c>
      <c r="J313" s="3">
        <f t="shared" si="42"/>
        <v>2577.0999999999995</v>
      </c>
      <c r="K313" s="3">
        <f>G313</f>
        <v>16.5</v>
      </c>
      <c r="L313" s="20" t="s">
        <v>39</v>
      </c>
      <c r="M313" s="3">
        <v>6.7</v>
      </c>
      <c r="N313" s="3">
        <v>3.3</v>
      </c>
      <c r="O313" s="3">
        <f t="shared" si="39"/>
        <v>3.4000000000000004</v>
      </c>
      <c r="P313" s="3">
        <f t="shared" si="44"/>
        <v>73.900000000000006</v>
      </c>
      <c r="Q313" s="3">
        <v>278</v>
      </c>
      <c r="R313" s="3">
        <f t="shared" si="46"/>
        <v>0.86764705882352933</v>
      </c>
      <c r="S313" s="3">
        <f t="shared" si="40"/>
        <v>2.8632352941176467</v>
      </c>
      <c r="T313" s="28">
        <f t="shared" si="41"/>
        <v>3.8367647058823535</v>
      </c>
      <c r="U313" s="28">
        <f t="shared" si="45"/>
        <v>62.899064425770327</v>
      </c>
      <c r="V313" s="37" t="s">
        <v>53</v>
      </c>
      <c r="W313" s="3">
        <v>1770.3</v>
      </c>
      <c r="Y313" s="3">
        <f t="shared" si="43"/>
        <v>220656.49999999991</v>
      </c>
      <c r="Z313" s="3">
        <f>W313</f>
        <v>1770.3</v>
      </c>
      <c r="AA313" s="3">
        <v>15.747022481985315</v>
      </c>
      <c r="AB313" s="37" t="s">
        <v>58</v>
      </c>
    </row>
    <row r="314" spans="1:28" s="3" customFormat="1" x14ac:dyDescent="0.25">
      <c r="A314" s="3">
        <v>5400</v>
      </c>
      <c r="B314" s="3">
        <v>24010</v>
      </c>
      <c r="C314" s="7">
        <v>42892</v>
      </c>
      <c r="F314" s="59"/>
      <c r="G314" s="3">
        <v>12.6</v>
      </c>
      <c r="H314" s="3">
        <v>11.4</v>
      </c>
      <c r="I314" s="3">
        <v>14.1</v>
      </c>
      <c r="J314" s="3">
        <f t="shared" si="42"/>
        <v>2589.6999999999994</v>
      </c>
      <c r="K314" s="3">
        <f t="shared" si="38"/>
        <v>29.1</v>
      </c>
      <c r="L314" s="11">
        <v>403.2</v>
      </c>
      <c r="M314" s="3">
        <v>2.2999999999999998</v>
      </c>
      <c r="N314" s="3">
        <v>2.7</v>
      </c>
      <c r="O314" s="3">
        <f t="shared" si="39"/>
        <v>-0.40000000000000036</v>
      </c>
      <c r="P314" s="3">
        <f t="shared" si="44"/>
        <v>73.5</v>
      </c>
      <c r="Q314" s="3">
        <v>279</v>
      </c>
      <c r="R314" s="3">
        <f t="shared" si="46"/>
        <v>0.85196078431372535</v>
      </c>
      <c r="S314" s="3">
        <f t="shared" si="40"/>
        <v>2.3002941176470584</v>
      </c>
      <c r="T314" s="28">
        <f t="shared" si="41"/>
        <v>-2.9411764705855603E-4</v>
      </c>
      <c r="U314" s="28">
        <f t="shared" si="45"/>
        <v>62.898770308123268</v>
      </c>
      <c r="V314">
        <v>0</v>
      </c>
      <c r="W314" s="3">
        <v>1947.5</v>
      </c>
      <c r="Y314" s="3">
        <f t="shared" si="43"/>
        <v>222603.99999999991</v>
      </c>
      <c r="Z314" s="3">
        <f t="shared" ref="Z314:Z346" si="47">Z313+W314</f>
        <v>3717.8</v>
      </c>
      <c r="AA314" s="3">
        <v>15.768798611521829</v>
      </c>
      <c r="AB314">
        <v>45604.2</v>
      </c>
    </row>
    <row r="315" spans="1:28" s="3" customFormat="1" x14ac:dyDescent="0.25">
      <c r="A315" s="3">
        <v>5400</v>
      </c>
      <c r="B315" s="3">
        <v>24010</v>
      </c>
      <c r="C315" s="7">
        <v>42893</v>
      </c>
      <c r="F315" s="59"/>
      <c r="G315" s="3">
        <v>14</v>
      </c>
      <c r="H315" s="3">
        <v>9.8000000000000007</v>
      </c>
      <c r="I315" s="3">
        <v>18.399999999999999</v>
      </c>
      <c r="J315" s="3">
        <f t="shared" si="42"/>
        <v>2603.6999999999994</v>
      </c>
      <c r="K315" s="3">
        <f t="shared" si="38"/>
        <v>43.1</v>
      </c>
      <c r="L315" s="20" t="s">
        <v>40</v>
      </c>
      <c r="M315" s="3">
        <v>0</v>
      </c>
      <c r="N315" s="3">
        <v>3.4</v>
      </c>
      <c r="O315" s="3">
        <f t="shared" si="39"/>
        <v>-3.4</v>
      </c>
      <c r="P315" s="3">
        <f t="shared" si="44"/>
        <v>70.099999999999994</v>
      </c>
      <c r="Q315" s="3">
        <v>280</v>
      </c>
      <c r="R315" s="3">
        <f t="shared" si="46"/>
        <v>0.83627450980392148</v>
      </c>
      <c r="S315" s="3">
        <f t="shared" si="40"/>
        <v>2.8433333333333328</v>
      </c>
      <c r="T315" s="28">
        <f t="shared" si="41"/>
        <v>-2.8433333333333328</v>
      </c>
      <c r="U315" s="28">
        <f t="shared" si="45"/>
        <v>60.055436974789934</v>
      </c>
      <c r="V315" s="37" t="s">
        <v>54</v>
      </c>
      <c r="W315" s="3">
        <v>2010.7</v>
      </c>
      <c r="Y315" s="3">
        <f t="shared" si="43"/>
        <v>224614.69999999992</v>
      </c>
      <c r="Z315" s="3">
        <f t="shared" si="47"/>
        <v>5728.5</v>
      </c>
      <c r="AA315" s="3">
        <v>15.78928463508929</v>
      </c>
      <c r="AB315" s="37" t="s">
        <v>59</v>
      </c>
    </row>
    <row r="316" spans="1:28" s="3" customFormat="1" x14ac:dyDescent="0.25">
      <c r="A316" s="3">
        <v>5400</v>
      </c>
      <c r="B316" s="3">
        <v>24010</v>
      </c>
      <c r="C316" s="7">
        <v>42894</v>
      </c>
      <c r="F316" s="59"/>
      <c r="G316" s="3">
        <v>18.7</v>
      </c>
      <c r="H316" s="3">
        <v>11.2</v>
      </c>
      <c r="I316" s="3">
        <v>25.3</v>
      </c>
      <c r="J316" s="3">
        <f t="shared" si="42"/>
        <v>2622.3999999999992</v>
      </c>
      <c r="K316" s="3">
        <f t="shared" si="38"/>
        <v>61.8</v>
      </c>
      <c r="L316" s="11">
        <f>AVERAGE(G313:G332)</f>
        <v>20.16</v>
      </c>
      <c r="M316" s="3">
        <v>14.7</v>
      </c>
      <c r="N316" s="3">
        <v>4.0999999999999996</v>
      </c>
      <c r="O316" s="3">
        <f t="shared" si="39"/>
        <v>10.6</v>
      </c>
      <c r="P316" s="3">
        <f t="shared" si="44"/>
        <v>80.699999999999989</v>
      </c>
      <c r="Q316" s="3">
        <v>281</v>
      </c>
      <c r="R316" s="3">
        <f t="shared" si="46"/>
        <v>0.82058823529411762</v>
      </c>
      <c r="S316" s="3">
        <f t="shared" si="40"/>
        <v>3.3644117647058818</v>
      </c>
      <c r="T316" s="28">
        <f t="shared" si="41"/>
        <v>11.335588235294118</v>
      </c>
      <c r="U316" s="28">
        <f t="shared" si="45"/>
        <v>71.391025210084052</v>
      </c>
      <c r="V316">
        <v>10</v>
      </c>
      <c r="W316" s="3">
        <v>2340.1</v>
      </c>
      <c r="Y316" s="3">
        <f t="shared" si="43"/>
        <v>226954.79999999993</v>
      </c>
      <c r="Z316" s="3">
        <f t="shared" si="47"/>
        <v>8068.6</v>
      </c>
      <c r="AA316" s="3">
        <v>15.808463158422683</v>
      </c>
      <c r="AB316">
        <f>(AB314/100)/L314</f>
        <v>1.1310565476190475</v>
      </c>
    </row>
    <row r="317" spans="1:28" s="3" customFormat="1" x14ac:dyDescent="0.25">
      <c r="A317" s="3">
        <v>5400</v>
      </c>
      <c r="B317" s="3">
        <v>24010</v>
      </c>
      <c r="C317" s="7">
        <v>42895</v>
      </c>
      <c r="F317" s="59"/>
      <c r="G317" s="3">
        <v>17.899999999999999</v>
      </c>
      <c r="H317" s="3">
        <v>15.5</v>
      </c>
      <c r="I317" s="3">
        <v>20.7</v>
      </c>
      <c r="J317" s="3">
        <f t="shared" si="42"/>
        <v>2640.2999999999993</v>
      </c>
      <c r="K317" s="3">
        <f t="shared" si="38"/>
        <v>79.699999999999989</v>
      </c>
      <c r="L317" s="20" t="s">
        <v>41</v>
      </c>
      <c r="M317" s="3">
        <v>0</v>
      </c>
      <c r="N317" s="3">
        <v>2.9</v>
      </c>
      <c r="O317" s="3">
        <f t="shared" si="39"/>
        <v>-2.9</v>
      </c>
      <c r="P317" s="3">
        <f t="shared" si="44"/>
        <v>77.799999999999983</v>
      </c>
      <c r="Q317" s="3">
        <v>282</v>
      </c>
      <c r="R317" s="3">
        <f t="shared" si="46"/>
        <v>0.80490196078431364</v>
      </c>
      <c r="S317" s="3">
        <f t="shared" si="40"/>
        <v>2.3342156862745096</v>
      </c>
      <c r="T317" s="28">
        <f t="shared" si="41"/>
        <v>-2.3342156862745096</v>
      </c>
      <c r="U317" s="28">
        <f t="shared" si="45"/>
        <v>69.056809523809548</v>
      </c>
      <c r="V317" s="37" t="s">
        <v>55</v>
      </c>
      <c r="W317" s="3">
        <v>1513</v>
      </c>
      <c r="Y317" s="3">
        <f t="shared" si="43"/>
        <v>228467.79999999993</v>
      </c>
      <c r="Z317" s="3">
        <f t="shared" si="47"/>
        <v>9581.6</v>
      </c>
      <c r="AA317" s="3">
        <v>15.826317703737999</v>
      </c>
      <c r="AB317" s="37" t="s">
        <v>60</v>
      </c>
    </row>
    <row r="318" spans="1:28" s="3" customFormat="1" x14ac:dyDescent="0.25">
      <c r="A318" s="3">
        <v>5400</v>
      </c>
      <c r="B318" s="3">
        <v>24010</v>
      </c>
      <c r="C318" s="7">
        <v>42896</v>
      </c>
      <c r="F318" s="59"/>
      <c r="G318" s="3">
        <v>19.899999999999999</v>
      </c>
      <c r="H318" s="3">
        <v>14.6</v>
      </c>
      <c r="I318" s="3">
        <v>25.1</v>
      </c>
      <c r="J318" s="3">
        <f t="shared" si="42"/>
        <v>2660.1999999999994</v>
      </c>
      <c r="K318" s="3">
        <f t="shared" ref="K318:K346" si="48">K317+G318</f>
        <v>99.6</v>
      </c>
      <c r="L318" s="11">
        <f>MIN(H313:H332)</f>
        <v>9.8000000000000007</v>
      </c>
      <c r="M318" s="3">
        <v>0</v>
      </c>
      <c r="N318" s="3">
        <v>6</v>
      </c>
      <c r="O318" s="3">
        <f t="shared" si="39"/>
        <v>-6</v>
      </c>
      <c r="P318" s="3">
        <f t="shared" si="44"/>
        <v>71.799999999999983</v>
      </c>
      <c r="Q318" s="3">
        <v>283</v>
      </c>
      <c r="R318" s="3">
        <f t="shared" si="46"/>
        <v>0.78921568627450966</v>
      </c>
      <c r="S318" s="3">
        <f t="shared" si="40"/>
        <v>4.735294117647058</v>
      </c>
      <c r="T318" s="28">
        <f t="shared" si="41"/>
        <v>-4.735294117647058</v>
      </c>
      <c r="U318" s="28">
        <f t="shared" si="45"/>
        <v>64.32151540616249</v>
      </c>
      <c r="V318" s="28">
        <f>MIN(U313:U332)</f>
        <v>17.718966386554655</v>
      </c>
      <c r="W318" s="3">
        <v>3040.8</v>
      </c>
      <c r="Y318" s="3">
        <f t="shared" si="43"/>
        <v>231508.59999999992</v>
      </c>
      <c r="Z318" s="3">
        <f t="shared" si="47"/>
        <v>12622.400000000001</v>
      </c>
      <c r="AA318" s="3">
        <v>15.842832760484622</v>
      </c>
      <c r="AB318">
        <v>0</v>
      </c>
    </row>
    <row r="319" spans="1:28" s="3" customFormat="1" x14ac:dyDescent="0.25">
      <c r="A319" s="3">
        <v>5400</v>
      </c>
      <c r="B319" s="3">
        <v>24010</v>
      </c>
      <c r="C319" s="7">
        <v>42897</v>
      </c>
      <c r="F319" s="59"/>
      <c r="G319" s="3">
        <v>20.8</v>
      </c>
      <c r="H319" s="3">
        <v>15.1</v>
      </c>
      <c r="I319" s="3">
        <v>27.5</v>
      </c>
      <c r="J319" s="3">
        <f t="shared" si="42"/>
        <v>2680.9999999999995</v>
      </c>
      <c r="K319" s="3">
        <f t="shared" si="48"/>
        <v>120.39999999999999</v>
      </c>
      <c r="L319" s="20" t="s">
        <v>42</v>
      </c>
      <c r="M319" s="3">
        <v>0</v>
      </c>
      <c r="N319" s="3">
        <v>4.7</v>
      </c>
      <c r="O319" s="3">
        <f t="shared" si="39"/>
        <v>-4.7</v>
      </c>
      <c r="P319" s="3">
        <f t="shared" si="44"/>
        <v>67.09999999999998</v>
      </c>
      <c r="Q319" s="3">
        <v>284</v>
      </c>
      <c r="R319" s="3">
        <f t="shared" si="46"/>
        <v>0.7735294117647058</v>
      </c>
      <c r="S319" s="3">
        <f t="shared" si="40"/>
        <v>3.6355882352941173</v>
      </c>
      <c r="T319" s="28">
        <f t="shared" si="41"/>
        <v>-3.6355882352941173</v>
      </c>
      <c r="U319" s="28">
        <f t="shared" si="45"/>
        <v>60.685927170868375</v>
      </c>
      <c r="V319" s="37" t="s">
        <v>56</v>
      </c>
      <c r="W319" s="3">
        <v>2044.2</v>
      </c>
      <c r="Y319" s="3">
        <f t="shared" si="43"/>
        <v>233552.79999999993</v>
      </c>
      <c r="Z319" s="3">
        <f t="shared" si="47"/>
        <v>14666.600000000002</v>
      </c>
      <c r="AA319" s="3">
        <v>15.857993833980643</v>
      </c>
    </row>
    <row r="320" spans="1:28" s="3" customFormat="1" x14ac:dyDescent="0.25">
      <c r="A320" s="3">
        <v>5400</v>
      </c>
      <c r="B320" s="3">
        <v>24010</v>
      </c>
      <c r="C320" s="7">
        <v>42898</v>
      </c>
      <c r="F320" s="59"/>
      <c r="G320" s="3">
        <v>16.7</v>
      </c>
      <c r="H320" s="3">
        <v>13.6</v>
      </c>
      <c r="I320" s="3">
        <v>20.2</v>
      </c>
      <c r="J320" s="3">
        <f t="shared" si="42"/>
        <v>2697.6999999999994</v>
      </c>
      <c r="K320" s="3">
        <f t="shared" si="48"/>
        <v>137.1</v>
      </c>
      <c r="L320" s="11">
        <f>MAX(I313:I332)</f>
        <v>34.5</v>
      </c>
      <c r="M320" s="3">
        <v>0</v>
      </c>
      <c r="N320" s="3">
        <v>4.2</v>
      </c>
      <c r="O320" s="3">
        <f t="shared" si="39"/>
        <v>-4.2</v>
      </c>
      <c r="P320" s="3">
        <f t="shared" si="44"/>
        <v>62.899999999999977</v>
      </c>
      <c r="Q320" s="3">
        <v>285</v>
      </c>
      <c r="R320" s="3">
        <f t="shared" si="46"/>
        <v>0.75784313725490193</v>
      </c>
      <c r="S320" s="3">
        <f t="shared" si="40"/>
        <v>3.1829411764705884</v>
      </c>
      <c r="T320" s="28">
        <f t="shared" si="41"/>
        <v>-3.1829411764705884</v>
      </c>
      <c r="U320" s="28">
        <f t="shared" si="45"/>
        <v>57.50298599439779</v>
      </c>
      <c r="V320" s="28">
        <f>MAX(U313:U332)</f>
        <v>71.391025210084052</v>
      </c>
      <c r="W320" s="3">
        <v>2193</v>
      </c>
      <c r="Y320" s="3">
        <f t="shared" si="43"/>
        <v>235745.79999999993</v>
      </c>
      <c r="Z320" s="3">
        <f t="shared" si="47"/>
        <v>16859.600000000002</v>
      </c>
      <c r="AA320" s="3">
        <v>15.87178749161964</v>
      </c>
    </row>
    <row r="321" spans="1:27" s="3" customFormat="1" x14ac:dyDescent="0.25">
      <c r="A321" s="3">
        <v>5400</v>
      </c>
      <c r="B321" s="3">
        <v>24010</v>
      </c>
      <c r="C321" s="7">
        <v>42899</v>
      </c>
      <c r="F321" s="59"/>
      <c r="G321" s="3">
        <v>16.8</v>
      </c>
      <c r="H321" s="3">
        <v>11.4</v>
      </c>
      <c r="I321" s="3">
        <v>20.9</v>
      </c>
      <c r="J321" s="3">
        <f t="shared" si="42"/>
        <v>2714.4999999999995</v>
      </c>
      <c r="K321" s="3">
        <f t="shared" si="48"/>
        <v>153.9</v>
      </c>
      <c r="L321" s="20" t="s">
        <v>43</v>
      </c>
      <c r="M321" s="3">
        <v>0</v>
      </c>
      <c r="N321" s="3">
        <v>4.5</v>
      </c>
      <c r="O321" s="3">
        <f t="shared" si="39"/>
        <v>-4.5</v>
      </c>
      <c r="P321" s="3">
        <f t="shared" si="44"/>
        <v>58.399999999999977</v>
      </c>
      <c r="Q321" s="3">
        <v>286</v>
      </c>
      <c r="R321" s="3">
        <f t="shared" si="46"/>
        <v>0.74215686274509807</v>
      </c>
      <c r="S321" s="3">
        <f t="shared" si="40"/>
        <v>3.3397058823529413</v>
      </c>
      <c r="T321" s="28">
        <f t="shared" si="41"/>
        <v>-3.3397058823529413</v>
      </c>
      <c r="U321" s="28">
        <f t="shared" si="45"/>
        <v>54.163280112044845</v>
      </c>
      <c r="V321" s="37" t="s">
        <v>57</v>
      </c>
      <c r="W321" s="3">
        <v>2747.5</v>
      </c>
      <c r="Y321" s="3">
        <f t="shared" si="43"/>
        <v>238493.29999999993</v>
      </c>
      <c r="Z321" s="3">
        <f t="shared" si="47"/>
        <v>19607.100000000002</v>
      </c>
      <c r="AA321" s="3">
        <v>15.884201406345564</v>
      </c>
    </row>
    <row r="322" spans="1:27" s="3" customFormat="1" x14ac:dyDescent="0.25">
      <c r="A322" s="3">
        <v>5400</v>
      </c>
      <c r="B322" s="3">
        <v>24010</v>
      </c>
      <c r="C322" s="7">
        <v>42900</v>
      </c>
      <c r="F322" s="59"/>
      <c r="G322" s="3">
        <v>21.9</v>
      </c>
      <c r="H322" s="3">
        <v>15.4</v>
      </c>
      <c r="I322" s="3">
        <v>27.5</v>
      </c>
      <c r="J322" s="3">
        <f t="shared" si="42"/>
        <v>2736.3999999999996</v>
      </c>
      <c r="K322" s="3">
        <f t="shared" si="48"/>
        <v>175.8</v>
      </c>
      <c r="L322" s="11">
        <v>11</v>
      </c>
      <c r="M322" s="3">
        <v>0</v>
      </c>
      <c r="N322" s="3">
        <v>3.1</v>
      </c>
      <c r="O322" s="3">
        <f t="shared" si="39"/>
        <v>-3.1</v>
      </c>
      <c r="P322" s="3">
        <f t="shared" si="44"/>
        <v>55.299999999999976</v>
      </c>
      <c r="Q322" s="3">
        <v>287</v>
      </c>
      <c r="R322" s="3">
        <f t="shared" si="46"/>
        <v>0.72647058823529398</v>
      </c>
      <c r="S322" s="3">
        <f t="shared" si="40"/>
        <v>2.2520588235294112</v>
      </c>
      <c r="T322" s="28">
        <f t="shared" si="41"/>
        <v>-2.2520588235294112</v>
      </c>
      <c r="U322" s="28">
        <f t="shared" si="45"/>
        <v>51.911221288515435</v>
      </c>
      <c r="V322" s="28">
        <f>AVERAGE(U313:U332)</f>
        <v>46.846108543417394</v>
      </c>
      <c r="W322" s="3">
        <v>1464.2</v>
      </c>
      <c r="Y322" s="3">
        <f t="shared" si="43"/>
        <v>239957.49999999994</v>
      </c>
      <c r="Z322" s="3">
        <f t="shared" si="47"/>
        <v>21071.300000000003</v>
      </c>
      <c r="AA322" s="3">
        <v>15.895224397103791</v>
      </c>
    </row>
    <row r="323" spans="1:27" s="3" customFormat="1" x14ac:dyDescent="0.25">
      <c r="A323" s="3">
        <v>5400</v>
      </c>
      <c r="B323" s="3">
        <v>24010</v>
      </c>
      <c r="C323" s="7">
        <v>42901</v>
      </c>
      <c r="F323" s="59"/>
      <c r="G323" s="3">
        <v>22</v>
      </c>
      <c r="H323" s="3">
        <v>19.2</v>
      </c>
      <c r="I323" s="3">
        <v>27.2</v>
      </c>
      <c r="J323" s="3">
        <f t="shared" si="42"/>
        <v>2758.3999999999996</v>
      </c>
      <c r="K323" s="3">
        <f t="shared" si="48"/>
        <v>197.8</v>
      </c>
      <c r="L323" s="20" t="s">
        <v>44</v>
      </c>
      <c r="M323" s="3">
        <v>0</v>
      </c>
      <c r="N323" s="3">
        <v>5.3</v>
      </c>
      <c r="O323" s="3">
        <f t="shared" si="39"/>
        <v>-5.3</v>
      </c>
      <c r="P323" s="3">
        <f t="shared" si="44"/>
        <v>49.999999999999979</v>
      </c>
      <c r="Q323" s="3">
        <v>288</v>
      </c>
      <c r="R323" s="3">
        <f t="shared" si="46"/>
        <v>0.71078431372549011</v>
      </c>
      <c r="S323" s="3">
        <f t="shared" si="40"/>
        <v>3.7671568627450975</v>
      </c>
      <c r="T323" s="28">
        <f t="shared" si="41"/>
        <v>-3.7671568627450975</v>
      </c>
      <c r="U323" s="28">
        <f t="shared" si="45"/>
        <v>48.144064425770338</v>
      </c>
      <c r="W323" s="3">
        <v>2421.1</v>
      </c>
      <c r="Y323" s="3">
        <f t="shared" si="43"/>
        <v>242378.59999999995</v>
      </c>
      <c r="Z323" s="3">
        <f t="shared" si="47"/>
        <v>23492.400000000001</v>
      </c>
      <c r="AA323" s="3">
        <v>15.904846465991007</v>
      </c>
    </row>
    <row r="324" spans="1:27" s="3" customFormat="1" x14ac:dyDescent="0.25">
      <c r="A324" s="3">
        <v>5400</v>
      </c>
      <c r="B324" s="3">
        <v>24010</v>
      </c>
      <c r="C324" s="7">
        <v>42902</v>
      </c>
      <c r="F324" s="59"/>
      <c r="G324" s="3">
        <v>17.600000000000001</v>
      </c>
      <c r="H324" s="3">
        <v>13.8</v>
      </c>
      <c r="I324" s="3">
        <v>21.7</v>
      </c>
      <c r="J324" s="3">
        <f t="shared" si="42"/>
        <v>2775.9999999999995</v>
      </c>
      <c r="K324" s="3">
        <f t="shared" si="48"/>
        <v>215.4</v>
      </c>
      <c r="L324" s="11">
        <v>0</v>
      </c>
      <c r="M324" s="3">
        <v>0</v>
      </c>
      <c r="N324" s="3">
        <v>4.9000000000000004</v>
      </c>
      <c r="O324" s="3">
        <f t="shared" si="39"/>
        <v>-4.9000000000000004</v>
      </c>
      <c r="P324" s="3">
        <f t="shared" si="44"/>
        <v>45.09999999999998</v>
      </c>
      <c r="Q324" s="3">
        <v>289</v>
      </c>
      <c r="R324" s="3">
        <f t="shared" si="46"/>
        <v>0.69509803921568625</v>
      </c>
      <c r="S324" s="3">
        <f t="shared" si="40"/>
        <v>3.405980392156863</v>
      </c>
      <c r="T324" s="28">
        <f t="shared" si="41"/>
        <v>-3.405980392156863</v>
      </c>
      <c r="U324" s="28">
        <f t="shared" si="45"/>
        <v>44.738084033613475</v>
      </c>
      <c r="V324" s="45">
        <f>(V322*100)/153.9</f>
        <v>30.439316792343984</v>
      </c>
      <c r="W324" s="3">
        <v>2678.9</v>
      </c>
      <c r="Y324" s="3">
        <f t="shared" si="43"/>
        <v>245057.49999999994</v>
      </c>
      <c r="Z324" s="3">
        <f t="shared" si="47"/>
        <v>26171.300000000003</v>
      </c>
      <c r="AA324" s="3">
        <v>15.913058831844545</v>
      </c>
    </row>
    <row r="325" spans="1:27" s="3" customFormat="1" x14ac:dyDescent="0.25">
      <c r="A325" s="3">
        <v>5400</v>
      </c>
      <c r="B325" s="3">
        <v>24010</v>
      </c>
      <c r="C325" s="7">
        <v>42903</v>
      </c>
      <c r="F325" s="59"/>
      <c r="G325" s="3">
        <v>20.399999999999999</v>
      </c>
      <c r="H325" s="3">
        <v>12.8</v>
      </c>
      <c r="I325" s="3">
        <v>25.9</v>
      </c>
      <c r="J325" s="3">
        <f t="shared" si="42"/>
        <v>2796.3999999999996</v>
      </c>
      <c r="K325" s="3">
        <f t="shared" si="48"/>
        <v>235.8</v>
      </c>
      <c r="L325" s="20" t="s">
        <v>45</v>
      </c>
      <c r="M325" s="3">
        <v>0</v>
      </c>
      <c r="N325" s="3">
        <v>4.2</v>
      </c>
      <c r="O325" s="3">
        <f t="shared" si="39"/>
        <v>-4.2</v>
      </c>
      <c r="P325" s="3">
        <f t="shared" si="44"/>
        <v>40.899999999999977</v>
      </c>
      <c r="Q325" s="3">
        <v>290</v>
      </c>
      <c r="R325" s="3">
        <f t="shared" si="46"/>
        <v>0.67941176470588227</v>
      </c>
      <c r="S325" s="3">
        <f t="shared" si="40"/>
        <v>2.8535294117647059</v>
      </c>
      <c r="T325" s="28">
        <f t="shared" si="41"/>
        <v>-2.8535294117647059</v>
      </c>
      <c r="U325" s="28">
        <f t="shared" si="45"/>
        <v>41.884554621848771</v>
      </c>
      <c r="W325" s="3">
        <v>2165.4</v>
      </c>
      <c r="Y325" s="3">
        <f t="shared" si="43"/>
        <v>247222.89999999994</v>
      </c>
      <c r="Z325" s="3">
        <f t="shared" si="47"/>
        <v>28336.700000000004</v>
      </c>
      <c r="AA325" s="3">
        <v>15.919853960032878</v>
      </c>
    </row>
    <row r="326" spans="1:27" s="3" customFormat="1" x14ac:dyDescent="0.25">
      <c r="A326" s="3">
        <v>5400</v>
      </c>
      <c r="B326" s="3">
        <v>24010</v>
      </c>
      <c r="C326" s="7">
        <v>42904</v>
      </c>
      <c r="F326" s="59"/>
      <c r="G326" s="3">
        <v>23</v>
      </c>
      <c r="H326" s="3">
        <v>17.600000000000001</v>
      </c>
      <c r="I326" s="3">
        <v>27.4</v>
      </c>
      <c r="J326" s="3">
        <f t="shared" si="42"/>
        <v>2819.3999999999996</v>
      </c>
      <c r="K326" s="3">
        <f t="shared" si="48"/>
        <v>258.8</v>
      </c>
      <c r="L326" s="11">
        <v>0</v>
      </c>
      <c r="M326" s="3">
        <v>0</v>
      </c>
      <c r="N326" s="3">
        <v>6.7</v>
      </c>
      <c r="O326" s="3">
        <f t="shared" si="39"/>
        <v>-6.7</v>
      </c>
      <c r="P326" s="3">
        <f t="shared" si="44"/>
        <v>34.199999999999974</v>
      </c>
      <c r="Q326" s="3">
        <v>291</v>
      </c>
      <c r="R326" s="3">
        <f t="shared" si="46"/>
        <v>0.6637254901960784</v>
      </c>
      <c r="S326" s="3">
        <f t="shared" si="40"/>
        <v>4.4469607843137258</v>
      </c>
      <c r="T326" s="28">
        <f t="shared" si="41"/>
        <v>-4.4469607843137258</v>
      </c>
      <c r="U326" s="28">
        <f t="shared" si="45"/>
        <v>37.437593837535047</v>
      </c>
      <c r="W326" s="3">
        <v>3152.4</v>
      </c>
      <c r="Y326" s="3">
        <f t="shared" si="43"/>
        <v>250375.29999999993</v>
      </c>
      <c r="Z326" s="3">
        <f t="shared" si="47"/>
        <v>31489.100000000006</v>
      </c>
      <c r="AA326" s="3">
        <v>15.92522558823274</v>
      </c>
    </row>
    <row r="327" spans="1:27" s="3" customFormat="1" x14ac:dyDescent="0.25">
      <c r="A327" s="3">
        <v>5400</v>
      </c>
      <c r="B327" s="3">
        <v>24010</v>
      </c>
      <c r="C327" s="7">
        <v>42905</v>
      </c>
      <c r="F327" s="59"/>
      <c r="G327" s="3">
        <v>25.1</v>
      </c>
      <c r="H327" s="3">
        <v>19</v>
      </c>
      <c r="I327" s="3">
        <v>31.5</v>
      </c>
      <c r="J327" s="3">
        <f t="shared" si="42"/>
        <v>2844.4999999999995</v>
      </c>
      <c r="K327" s="3">
        <f t="shared" si="48"/>
        <v>283.90000000000003</v>
      </c>
      <c r="L327" s="23"/>
      <c r="M327" s="3">
        <v>0</v>
      </c>
      <c r="N327" s="3">
        <v>6</v>
      </c>
      <c r="O327" s="3">
        <f t="shared" si="39"/>
        <v>-6</v>
      </c>
      <c r="P327" s="3">
        <f t="shared" si="44"/>
        <v>28.199999999999974</v>
      </c>
      <c r="Q327" s="3">
        <v>292</v>
      </c>
      <c r="R327" s="3">
        <f t="shared" si="46"/>
        <v>0.64803921568627443</v>
      </c>
      <c r="S327" s="3">
        <f t="shared" si="40"/>
        <v>3.8882352941176466</v>
      </c>
      <c r="T327" s="28">
        <f t="shared" si="41"/>
        <v>-3.8882352941176466</v>
      </c>
      <c r="U327" s="28">
        <f t="shared" si="45"/>
        <v>33.549358543417398</v>
      </c>
      <c r="W327" s="3">
        <v>2696.4</v>
      </c>
      <c r="Y327" s="3">
        <f t="shared" si="43"/>
        <v>253071.69999999992</v>
      </c>
      <c r="Z327" s="3">
        <f t="shared" si="47"/>
        <v>34185.500000000007</v>
      </c>
      <c r="AA327" s="3">
        <v>15.929168748005209</v>
      </c>
    </row>
    <row r="328" spans="1:27" s="3" customFormat="1" x14ac:dyDescent="0.25">
      <c r="A328" s="3">
        <v>5400</v>
      </c>
      <c r="B328" s="3">
        <v>24010</v>
      </c>
      <c r="C328" s="7">
        <v>42906</v>
      </c>
      <c r="F328" s="59"/>
      <c r="G328" s="3">
        <v>26.9</v>
      </c>
      <c r="H328" s="3">
        <v>18.3</v>
      </c>
      <c r="I328" s="3">
        <v>33</v>
      </c>
      <c r="J328" s="3">
        <f t="shared" si="42"/>
        <v>2871.3999999999996</v>
      </c>
      <c r="K328" s="3">
        <f t="shared" si="48"/>
        <v>310.8</v>
      </c>
      <c r="L328" s="23"/>
      <c r="M328" s="3">
        <v>0</v>
      </c>
      <c r="N328" s="3">
        <v>4.9000000000000004</v>
      </c>
      <c r="O328" s="3">
        <f t="shared" si="39"/>
        <v>-4.9000000000000004</v>
      </c>
      <c r="P328" s="3">
        <f t="shared" si="44"/>
        <v>23.299999999999976</v>
      </c>
      <c r="Q328" s="3">
        <v>293</v>
      </c>
      <c r="R328" s="3">
        <f t="shared" si="46"/>
        <v>0.63235294117647056</v>
      </c>
      <c r="S328" s="3">
        <f t="shared" si="40"/>
        <v>3.098529411764706</v>
      </c>
      <c r="T328" s="28">
        <f t="shared" si="41"/>
        <v>-3.098529411764706</v>
      </c>
      <c r="U328" s="28">
        <f t="shared" si="45"/>
        <v>30.450829131652693</v>
      </c>
      <c r="W328" s="3">
        <v>2185.1</v>
      </c>
      <c r="Y328" s="3">
        <f t="shared" si="43"/>
        <v>255256.79999999993</v>
      </c>
      <c r="Z328" s="3">
        <f t="shared" si="47"/>
        <v>36370.600000000006</v>
      </c>
      <c r="AA328" s="3">
        <v>15.931679782011862</v>
      </c>
    </row>
    <row r="329" spans="1:27" s="3" customFormat="1" x14ac:dyDescent="0.25">
      <c r="A329" s="3">
        <v>5400</v>
      </c>
      <c r="B329" s="3">
        <v>24010</v>
      </c>
      <c r="C329" s="7">
        <v>42907</v>
      </c>
      <c r="F329" s="59"/>
      <c r="G329" s="3">
        <v>28.4</v>
      </c>
      <c r="H329" s="3">
        <v>23.2</v>
      </c>
      <c r="I329" s="3">
        <v>34.5</v>
      </c>
      <c r="J329" s="3">
        <f t="shared" si="42"/>
        <v>2899.7999999999997</v>
      </c>
      <c r="K329" s="3">
        <f t="shared" si="48"/>
        <v>339.2</v>
      </c>
      <c r="L329" s="23"/>
      <c r="M329" s="3">
        <v>0</v>
      </c>
      <c r="N329" s="3">
        <v>7.4</v>
      </c>
      <c r="O329" s="3">
        <f t="shared" si="39"/>
        <v>-7.4</v>
      </c>
      <c r="P329" s="3">
        <f t="shared" si="44"/>
        <v>15.899999999999975</v>
      </c>
      <c r="Q329" s="3">
        <v>294</v>
      </c>
      <c r="R329" s="3">
        <f t="shared" si="46"/>
        <v>0.6166666666666667</v>
      </c>
      <c r="S329" s="3">
        <f t="shared" si="40"/>
        <v>4.5633333333333335</v>
      </c>
      <c r="T329" s="28">
        <f t="shared" si="41"/>
        <v>-4.5633333333333335</v>
      </c>
      <c r="U329" s="28">
        <f t="shared" si="45"/>
        <v>25.88749579831936</v>
      </c>
      <c r="W329" s="3">
        <v>3053.1</v>
      </c>
      <c r="Y329" s="3">
        <f t="shared" si="43"/>
        <v>258309.89999999994</v>
      </c>
      <c r="Z329" s="3">
        <f t="shared" si="47"/>
        <v>39423.700000000004</v>
      </c>
      <c r="AA329" s="3">
        <v>15.932756356743276</v>
      </c>
    </row>
    <row r="330" spans="1:27" s="3" customFormat="1" x14ac:dyDescent="0.25">
      <c r="A330" s="3">
        <v>5400</v>
      </c>
      <c r="B330" s="3">
        <v>24010</v>
      </c>
      <c r="C330" s="7">
        <v>42908</v>
      </c>
      <c r="F330" s="59"/>
      <c r="G330" s="3">
        <v>25.8</v>
      </c>
      <c r="H330" s="3">
        <v>20.9</v>
      </c>
      <c r="I330" s="3">
        <v>32.299999999999997</v>
      </c>
      <c r="J330" s="3">
        <f t="shared" si="42"/>
        <v>2925.6</v>
      </c>
      <c r="K330" s="3">
        <f t="shared" si="48"/>
        <v>365</v>
      </c>
      <c r="L330" s="23"/>
      <c r="M330" s="3">
        <v>0</v>
      </c>
      <c r="N330" s="3">
        <v>5.9</v>
      </c>
      <c r="O330" s="3">
        <f t="shared" si="39"/>
        <v>-5.9</v>
      </c>
      <c r="P330" s="3">
        <f t="shared" si="44"/>
        <v>9.9999999999999751</v>
      </c>
      <c r="Q330" s="3">
        <v>295</v>
      </c>
      <c r="R330" s="3">
        <f t="shared" si="46"/>
        <v>0.60098039215686272</v>
      </c>
      <c r="S330" s="3">
        <f t="shared" si="40"/>
        <v>3.5457843137254903</v>
      </c>
      <c r="T330" s="28">
        <f t="shared" si="41"/>
        <v>-3.5457843137254903</v>
      </c>
      <c r="U330" s="28">
        <f t="shared" si="45"/>
        <v>22.341711484593869</v>
      </c>
      <c r="W330" s="3">
        <v>2525.6</v>
      </c>
      <c r="Y330" s="3">
        <f t="shared" si="43"/>
        <v>260835.49999999994</v>
      </c>
      <c r="Z330" s="3">
        <f t="shared" si="47"/>
        <v>41949.3</v>
      </c>
      <c r="AA330" s="3">
        <v>15.932397470664863</v>
      </c>
    </row>
    <row r="331" spans="1:27" s="3" customFormat="1" x14ac:dyDescent="0.25">
      <c r="A331" s="3">
        <v>5400</v>
      </c>
      <c r="B331" s="3">
        <v>24010</v>
      </c>
      <c r="C331" s="7">
        <v>42909</v>
      </c>
      <c r="F331" s="59"/>
      <c r="G331" s="3">
        <v>19</v>
      </c>
      <c r="H331" s="3">
        <v>16.5</v>
      </c>
      <c r="I331" s="3">
        <v>22.4</v>
      </c>
      <c r="J331" s="3">
        <f t="shared" si="42"/>
        <v>2944.6</v>
      </c>
      <c r="K331" s="3">
        <f t="shared" si="48"/>
        <v>384</v>
      </c>
      <c r="L331" s="23"/>
      <c r="M331" s="3">
        <v>0</v>
      </c>
      <c r="N331" s="3">
        <v>4.2</v>
      </c>
      <c r="O331" s="3">
        <f t="shared" si="39"/>
        <v>-4.2</v>
      </c>
      <c r="P331" s="3">
        <f t="shared" si="44"/>
        <v>5.799999999999975</v>
      </c>
      <c r="Q331" s="3">
        <v>296</v>
      </c>
      <c r="R331" s="3">
        <f t="shared" si="46"/>
        <v>0.58529411764705874</v>
      </c>
      <c r="S331" s="3">
        <f t="shared" si="40"/>
        <v>2.4582352941176469</v>
      </c>
      <c r="T331" s="28">
        <f t="shared" si="41"/>
        <v>-2.4582352941176469</v>
      </c>
      <c r="U331" s="28">
        <f t="shared" si="45"/>
        <v>19.883476190476223</v>
      </c>
      <c r="W331" s="3">
        <v>1813.3</v>
      </c>
      <c r="Y331" s="3">
        <f t="shared" si="43"/>
        <v>262648.79999999993</v>
      </c>
      <c r="Z331" s="3">
        <f t="shared" si="47"/>
        <v>43762.600000000006</v>
      </c>
      <c r="AA331" s="3">
        <v>15.930603457718863</v>
      </c>
    </row>
    <row r="332" spans="1:27" s="21" customFormat="1" ht="15.75" thickBot="1" x14ac:dyDescent="0.3">
      <c r="A332" s="21">
        <v>5400</v>
      </c>
      <c r="B332" s="21">
        <v>24010</v>
      </c>
      <c r="C332" s="22">
        <v>42910</v>
      </c>
      <c r="F332" s="60"/>
      <c r="G332" s="21">
        <v>19.2</v>
      </c>
      <c r="H332" s="21">
        <v>13.2</v>
      </c>
      <c r="I332" s="21">
        <v>24.1</v>
      </c>
      <c r="J332" s="21">
        <f t="shared" si="42"/>
        <v>2963.7999999999997</v>
      </c>
      <c r="K332" s="21">
        <f t="shared" si="48"/>
        <v>403.2</v>
      </c>
      <c r="M332" s="21">
        <v>0</v>
      </c>
      <c r="N332" s="21">
        <v>3.8</v>
      </c>
      <c r="O332" s="21">
        <f t="shared" si="39"/>
        <v>-3.8</v>
      </c>
      <c r="P332" s="21">
        <f t="shared" si="44"/>
        <v>1.9999999999999751</v>
      </c>
      <c r="Q332" s="21">
        <v>297</v>
      </c>
      <c r="R332" s="21">
        <f t="shared" si="46"/>
        <v>0.56960784313725488</v>
      </c>
      <c r="S332" s="21">
        <f t="shared" si="40"/>
        <v>2.1645098039215682</v>
      </c>
      <c r="T332" s="29">
        <f t="shared" si="41"/>
        <v>-2.1645098039215682</v>
      </c>
      <c r="U332" s="28">
        <f t="shared" si="45"/>
        <v>17.718966386554655</v>
      </c>
      <c r="W332" s="21">
        <v>1841.6</v>
      </c>
      <c r="Y332" s="21">
        <f t="shared" si="43"/>
        <v>264490.39999999991</v>
      </c>
      <c r="Z332" s="21">
        <f t="shared" si="47"/>
        <v>45604.200000000004</v>
      </c>
      <c r="AA332" s="21">
        <v>15.927375986156308</v>
      </c>
    </row>
    <row r="333" spans="1:27" s="3" customFormat="1" x14ac:dyDescent="0.25">
      <c r="A333" s="3">
        <v>5400</v>
      </c>
      <c r="B333" s="3">
        <v>24010</v>
      </c>
      <c r="C333" s="7">
        <v>42911</v>
      </c>
      <c r="G333" s="3">
        <v>20.7</v>
      </c>
      <c r="H333" s="3">
        <v>16.600000000000001</v>
      </c>
      <c r="I333" s="3">
        <v>25.9</v>
      </c>
      <c r="J333" s="3">
        <f t="shared" si="42"/>
        <v>2984.4999999999995</v>
      </c>
      <c r="K333" s="3">
        <f t="shared" si="48"/>
        <v>423.9</v>
      </c>
      <c r="L333" s="23"/>
      <c r="M333" s="3">
        <v>0</v>
      </c>
      <c r="N333" s="3">
        <v>3.5</v>
      </c>
      <c r="O333" s="3">
        <f t="shared" si="39"/>
        <v>-3.5</v>
      </c>
      <c r="P333" s="3">
        <v>0</v>
      </c>
      <c r="Q333" s="3">
        <v>298</v>
      </c>
      <c r="R333" s="3">
        <f t="shared" si="46"/>
        <v>0.5539215686274509</v>
      </c>
      <c r="S333" s="3">
        <f t="shared" si="40"/>
        <v>1.9387254901960782</v>
      </c>
      <c r="T333" s="28">
        <f t="shared" si="41"/>
        <v>-1.9387254901960782</v>
      </c>
      <c r="U333" s="28">
        <f t="shared" si="45"/>
        <v>15.780240896358578</v>
      </c>
      <c r="W333" s="3">
        <v>1421.5</v>
      </c>
      <c r="Y333" s="3">
        <f t="shared" si="43"/>
        <v>265911.89999999991</v>
      </c>
      <c r="Z333" s="3">
        <f t="shared" si="47"/>
        <v>47025.700000000004</v>
      </c>
      <c r="AA333" s="3">
        <v>15.922718052707602</v>
      </c>
    </row>
    <row r="334" spans="1:27" s="3" customFormat="1" x14ac:dyDescent="0.25">
      <c r="A334" s="3">
        <v>5400</v>
      </c>
      <c r="B334" s="3">
        <v>24010</v>
      </c>
      <c r="C334" s="7">
        <v>42912</v>
      </c>
      <c r="G334" s="3">
        <v>21.3</v>
      </c>
      <c r="H334" s="3">
        <v>15.3</v>
      </c>
      <c r="I334" s="3">
        <v>26</v>
      </c>
      <c r="J334" s="3">
        <f t="shared" si="42"/>
        <v>3005.7999999999997</v>
      </c>
      <c r="K334" s="3">
        <f t="shared" si="48"/>
        <v>445.2</v>
      </c>
      <c r="L334" s="23"/>
      <c r="M334" s="3">
        <v>3.6</v>
      </c>
      <c r="N334" s="3">
        <v>4</v>
      </c>
      <c r="O334" s="3">
        <f t="shared" si="39"/>
        <v>-0.39999999999999991</v>
      </c>
      <c r="P334" s="3">
        <v>0</v>
      </c>
      <c r="Q334" s="3">
        <v>299</v>
      </c>
      <c r="R334" s="3">
        <f t="shared" si="46"/>
        <v>0.53823529411764703</v>
      </c>
      <c r="S334" s="3">
        <f t="shared" si="40"/>
        <v>2.1529411764705881</v>
      </c>
      <c r="T334" s="28">
        <f t="shared" si="41"/>
        <v>1.447058823529412</v>
      </c>
      <c r="U334" s="28">
        <f t="shared" si="45"/>
        <v>17.227299719887988</v>
      </c>
      <c r="W334" s="3">
        <v>1971.3</v>
      </c>
      <c r="Y334" s="3">
        <f t="shared" si="43"/>
        <v>267883.1999999999</v>
      </c>
      <c r="Z334" s="3">
        <f t="shared" si="47"/>
        <v>48997.000000000007</v>
      </c>
      <c r="AA334" s="3">
        <v>15.916633972135569</v>
      </c>
    </row>
    <row r="335" spans="1:27" s="3" customFormat="1" x14ac:dyDescent="0.25">
      <c r="A335" s="3">
        <v>5400</v>
      </c>
      <c r="B335" s="3">
        <v>24010</v>
      </c>
      <c r="C335" s="7">
        <v>42913</v>
      </c>
      <c r="G335" s="3">
        <v>20.2</v>
      </c>
      <c r="H335" s="3">
        <v>18.399999999999999</v>
      </c>
      <c r="I335" s="3">
        <v>23.6</v>
      </c>
      <c r="J335" s="3">
        <f t="shared" si="42"/>
        <v>3025.9999999999995</v>
      </c>
      <c r="K335" s="3">
        <f t="shared" si="48"/>
        <v>465.4</v>
      </c>
      <c r="L335" s="23"/>
      <c r="M335" s="3">
        <v>2.6</v>
      </c>
      <c r="N335" s="3">
        <v>2.8</v>
      </c>
      <c r="O335" s="3">
        <f t="shared" si="39"/>
        <v>-0.19999999999999973</v>
      </c>
      <c r="P335" s="3">
        <v>0</v>
      </c>
      <c r="Q335" s="3">
        <v>300</v>
      </c>
      <c r="R335" s="3">
        <f t="shared" si="46"/>
        <v>0.52254901960784306</v>
      </c>
      <c r="S335" s="3">
        <f t="shared" si="40"/>
        <v>1.4631372549019606</v>
      </c>
      <c r="T335" s="28">
        <f t="shared" si="41"/>
        <v>1.1368627450980395</v>
      </c>
      <c r="U335" s="28">
        <f t="shared" si="45"/>
        <v>18.364162464986027</v>
      </c>
      <c r="W335" s="3">
        <v>1352</v>
      </c>
      <c r="Y335" s="3">
        <f t="shared" si="43"/>
        <v>269235.1999999999</v>
      </c>
      <c r="Z335" s="3">
        <f t="shared" si="47"/>
        <v>50349.000000000007</v>
      </c>
      <c r="AA335" s="3">
        <v>15.909129362249191</v>
      </c>
    </row>
    <row r="336" spans="1:27" s="3" customFormat="1" x14ac:dyDescent="0.25">
      <c r="A336" s="3">
        <v>5400</v>
      </c>
      <c r="B336" s="3">
        <v>24010</v>
      </c>
      <c r="C336" s="7">
        <v>42914</v>
      </c>
      <c r="G336" s="3">
        <v>18</v>
      </c>
      <c r="H336" s="3">
        <v>16.2</v>
      </c>
      <c r="I336" s="3">
        <v>21.4</v>
      </c>
      <c r="J336" s="3">
        <f t="shared" si="42"/>
        <v>3043.9999999999995</v>
      </c>
      <c r="K336" s="3">
        <f t="shared" si="48"/>
        <v>483.4</v>
      </c>
      <c r="L336" s="23"/>
      <c r="M336" s="3">
        <v>8.1999999999999993</v>
      </c>
      <c r="N336" s="3">
        <v>2.8</v>
      </c>
      <c r="O336" s="3">
        <f t="shared" si="39"/>
        <v>5.3999999999999995</v>
      </c>
      <c r="P336" s="3">
        <f t="shared" si="44"/>
        <v>5.3999999999999995</v>
      </c>
      <c r="Q336" s="3">
        <v>301</v>
      </c>
      <c r="R336" s="3">
        <f t="shared" si="46"/>
        <v>0.50686274509803919</v>
      </c>
      <c r="S336" s="3">
        <f t="shared" si="40"/>
        <v>1.4192156862745096</v>
      </c>
      <c r="T336" s="28">
        <f t="shared" si="41"/>
        <v>6.7807843137254897</v>
      </c>
      <c r="U336" s="28">
        <f t="shared" si="45"/>
        <v>25.144946778711518</v>
      </c>
      <c r="W336" s="3">
        <v>1449.7</v>
      </c>
      <c r="Y336" s="3">
        <f t="shared" si="43"/>
        <v>270684.89999999991</v>
      </c>
      <c r="Z336" s="3">
        <f t="shared" si="47"/>
        <v>51798.700000000004</v>
      </c>
      <c r="AA336" s="3">
        <v>15.900211124489507</v>
      </c>
    </row>
    <row r="337" spans="1:27" s="3" customFormat="1" x14ac:dyDescent="0.25">
      <c r="A337" s="3">
        <v>5400</v>
      </c>
      <c r="B337" s="3">
        <v>24010</v>
      </c>
      <c r="C337" s="7">
        <v>42915</v>
      </c>
      <c r="G337" s="3">
        <v>16.7</v>
      </c>
      <c r="H337" s="3">
        <v>13.2</v>
      </c>
      <c r="I337" s="3">
        <v>20.3</v>
      </c>
      <c r="J337" s="3">
        <f t="shared" si="42"/>
        <v>3060.6999999999994</v>
      </c>
      <c r="K337" s="3">
        <f t="shared" si="48"/>
        <v>500.09999999999997</v>
      </c>
      <c r="L337" s="23"/>
      <c r="M337" s="3">
        <v>5.0999999999999996</v>
      </c>
      <c r="N337" s="3">
        <v>3.8</v>
      </c>
      <c r="O337" s="3">
        <f t="shared" si="39"/>
        <v>1.2999999999999998</v>
      </c>
      <c r="P337" s="3">
        <f t="shared" si="44"/>
        <v>6.6999999999999993</v>
      </c>
      <c r="Q337" s="3">
        <v>302</v>
      </c>
      <c r="R337" s="3">
        <f t="shared" si="46"/>
        <v>0.49117647058823533</v>
      </c>
      <c r="S337" s="3">
        <f t="shared" si="40"/>
        <v>1.8664705882352941</v>
      </c>
      <c r="T337" s="28">
        <f t="shared" si="41"/>
        <v>3.2335294117647058</v>
      </c>
      <c r="U337" s="28">
        <f t="shared" si="45"/>
        <v>28.378476190476224</v>
      </c>
      <c r="W337" s="3">
        <v>2254.6</v>
      </c>
      <c r="Y337" s="3">
        <f t="shared" si="43"/>
        <v>272939.49999999988</v>
      </c>
      <c r="Z337" s="3">
        <f t="shared" si="47"/>
        <v>54053.3</v>
      </c>
      <c r="AA337" s="3">
        <v>15.889887420231323</v>
      </c>
    </row>
    <row r="338" spans="1:27" s="3" customFormat="1" x14ac:dyDescent="0.25">
      <c r="A338" s="3">
        <v>5400</v>
      </c>
      <c r="B338" s="3">
        <v>24010</v>
      </c>
      <c r="C338" s="7">
        <v>42916</v>
      </c>
      <c r="G338" s="3">
        <v>15</v>
      </c>
      <c r="H338" s="3">
        <v>13.9</v>
      </c>
      <c r="I338" s="3">
        <v>16.600000000000001</v>
      </c>
      <c r="J338" s="3">
        <f t="shared" si="42"/>
        <v>3075.6999999999994</v>
      </c>
      <c r="K338" s="3">
        <f t="shared" si="48"/>
        <v>515.09999999999991</v>
      </c>
      <c r="L338" s="23"/>
      <c r="M338" s="3">
        <v>3.5</v>
      </c>
      <c r="N338" s="3">
        <v>1.4</v>
      </c>
      <c r="O338" s="3">
        <f t="shared" si="39"/>
        <v>2.1</v>
      </c>
      <c r="P338" s="3">
        <f t="shared" si="44"/>
        <v>8.7999999999999989</v>
      </c>
      <c r="Q338" s="3">
        <v>303</v>
      </c>
      <c r="R338" s="3">
        <f t="shared" si="46"/>
        <v>0.47549019607843135</v>
      </c>
      <c r="S338" s="3">
        <f t="shared" si="40"/>
        <v>0.66568627450980389</v>
      </c>
      <c r="T338" s="28">
        <f t="shared" si="41"/>
        <v>2.8343137254901962</v>
      </c>
      <c r="U338" s="28">
        <f t="shared" si="45"/>
        <v>31.212789915966422</v>
      </c>
      <c r="W338" s="3">
        <v>700.2</v>
      </c>
      <c r="Y338" s="3">
        <f t="shared" si="43"/>
        <v>273639.6999999999</v>
      </c>
      <c r="Z338" s="3">
        <f t="shared" si="47"/>
        <v>54753.5</v>
      </c>
      <c r="AA338" s="3">
        <v>15.878167642974184</v>
      </c>
    </row>
    <row r="339" spans="1:27" s="3" customFormat="1" x14ac:dyDescent="0.25">
      <c r="A339" s="3">
        <v>5400</v>
      </c>
      <c r="B339" s="3">
        <v>24010</v>
      </c>
      <c r="C339" s="7">
        <v>42917</v>
      </c>
      <c r="G339" s="3">
        <v>15.8</v>
      </c>
      <c r="H339" s="3">
        <v>13.7</v>
      </c>
      <c r="I339" s="3">
        <v>19</v>
      </c>
      <c r="J339" s="3">
        <f t="shared" si="42"/>
        <v>3091.4999999999995</v>
      </c>
      <c r="K339" s="3">
        <f t="shared" si="48"/>
        <v>530.89999999999986</v>
      </c>
      <c r="L339" s="23"/>
      <c r="M339" s="3">
        <v>3.6</v>
      </c>
      <c r="N339" s="3">
        <v>1.6</v>
      </c>
      <c r="O339" s="3">
        <f t="shared" si="39"/>
        <v>2</v>
      </c>
      <c r="P339" s="3">
        <f t="shared" si="44"/>
        <v>10.799999999999999</v>
      </c>
      <c r="Q339" s="3">
        <v>304</v>
      </c>
      <c r="R339" s="3">
        <f t="shared" si="46"/>
        <v>0.45980392156862737</v>
      </c>
      <c r="S339" s="3">
        <f t="shared" si="40"/>
        <v>0.73568627450980384</v>
      </c>
      <c r="T339" s="28">
        <f t="shared" si="41"/>
        <v>2.864313725490196</v>
      </c>
      <c r="U339" s="28">
        <f t="shared" si="45"/>
        <v>34.077103641456617</v>
      </c>
      <c r="W339" s="3">
        <v>732.1</v>
      </c>
      <c r="Y339" s="3">
        <f t="shared" si="43"/>
        <v>274371.79999999987</v>
      </c>
      <c r="Z339" s="3">
        <f t="shared" si="47"/>
        <v>55485.599999999999</v>
      </c>
      <c r="AA339" s="3">
        <v>15.865062386624107</v>
      </c>
    </row>
    <row r="340" spans="1:27" s="3" customFormat="1" x14ac:dyDescent="0.25">
      <c r="A340" s="3">
        <v>5400</v>
      </c>
      <c r="B340" s="3">
        <v>24010</v>
      </c>
      <c r="C340" s="7">
        <v>42918</v>
      </c>
      <c r="G340" s="3">
        <v>17</v>
      </c>
      <c r="H340" s="3">
        <v>12.5</v>
      </c>
      <c r="I340" s="3">
        <v>22.3</v>
      </c>
      <c r="J340" s="3">
        <f t="shared" si="42"/>
        <v>3108.4999999999995</v>
      </c>
      <c r="K340" s="3">
        <f t="shared" si="48"/>
        <v>547.89999999999986</v>
      </c>
      <c r="L340" s="23"/>
      <c r="M340" s="3">
        <v>0.2</v>
      </c>
      <c r="N340" s="3">
        <v>1.7</v>
      </c>
      <c r="O340" s="3">
        <f t="shared" si="39"/>
        <v>-1.5</v>
      </c>
      <c r="P340" s="3">
        <f t="shared" si="44"/>
        <v>9.2999999999999989</v>
      </c>
      <c r="Q340" s="3">
        <v>305</v>
      </c>
      <c r="R340" s="3">
        <f t="shared" si="46"/>
        <v>0.44411764705882351</v>
      </c>
      <c r="S340" s="3">
        <f t="shared" si="40"/>
        <v>0.75499999999999989</v>
      </c>
      <c r="T340" s="28">
        <f t="shared" si="41"/>
        <v>-0.55499999999999994</v>
      </c>
      <c r="U340" s="28">
        <f t="shared" si="45"/>
        <v>33.522103641456617</v>
      </c>
      <c r="W340" s="3">
        <v>871.1</v>
      </c>
      <c r="Y340" s="3">
        <f t="shared" si="43"/>
        <v>275242.89999999985</v>
      </c>
      <c r="Z340" s="3">
        <f t="shared" si="47"/>
        <v>56356.7</v>
      </c>
      <c r="AA340" s="3">
        <v>15.850583410092792</v>
      </c>
    </row>
    <row r="341" spans="1:27" s="3" customFormat="1" x14ac:dyDescent="0.25">
      <c r="A341" s="3">
        <v>5400</v>
      </c>
      <c r="B341" s="3">
        <v>24010</v>
      </c>
      <c r="C341" s="7">
        <v>42919</v>
      </c>
      <c r="G341" s="3">
        <v>18.8</v>
      </c>
      <c r="H341" s="3">
        <v>13.2</v>
      </c>
      <c r="I341" s="3">
        <v>23.9</v>
      </c>
      <c r="J341" s="3">
        <f t="shared" si="42"/>
        <v>3127.2999999999997</v>
      </c>
      <c r="K341" s="3">
        <f t="shared" si="48"/>
        <v>566.69999999999982</v>
      </c>
      <c r="L341" s="23"/>
      <c r="M341" s="3">
        <v>0</v>
      </c>
      <c r="N341" s="3">
        <v>3.2</v>
      </c>
      <c r="O341" s="3">
        <f t="shared" si="39"/>
        <v>-3.2</v>
      </c>
      <c r="P341" s="3">
        <f t="shared" si="44"/>
        <v>6.0999999999999988</v>
      </c>
      <c r="Q341" s="3">
        <v>306</v>
      </c>
      <c r="R341" s="3">
        <f t="shared" si="46"/>
        <v>0.42843137254901953</v>
      </c>
      <c r="S341" s="3">
        <f t="shared" si="40"/>
        <v>1.3709803921568626</v>
      </c>
      <c r="T341" s="28">
        <f t="shared" si="41"/>
        <v>-1.3709803921568626</v>
      </c>
      <c r="U341" s="28">
        <f t="shared" si="45"/>
        <v>32.151123249299758</v>
      </c>
      <c r="W341" s="3">
        <v>1664</v>
      </c>
      <c r="Y341" s="3">
        <f t="shared" si="43"/>
        <v>276906.89999999985</v>
      </c>
      <c r="Z341" s="3">
        <f t="shared" si="47"/>
        <v>58020.7</v>
      </c>
      <c r="AA341" s="3">
        <v>15.834743598463533</v>
      </c>
    </row>
    <row r="342" spans="1:27" s="3" customFormat="1" x14ac:dyDescent="0.25">
      <c r="A342" s="3">
        <v>5400</v>
      </c>
      <c r="B342" s="3">
        <v>24010</v>
      </c>
      <c r="C342" s="7">
        <v>42920</v>
      </c>
      <c r="G342" s="3">
        <v>21.5</v>
      </c>
      <c r="H342" s="3">
        <v>13.5</v>
      </c>
      <c r="I342" s="3">
        <v>28.1</v>
      </c>
      <c r="J342" s="3">
        <f t="shared" si="42"/>
        <v>3148.7999999999997</v>
      </c>
      <c r="K342" s="3">
        <f t="shared" si="48"/>
        <v>588.19999999999982</v>
      </c>
      <c r="L342" s="23"/>
      <c r="M342" s="3">
        <v>0</v>
      </c>
      <c r="N342" s="3">
        <v>5.4</v>
      </c>
      <c r="O342" s="3">
        <f t="shared" si="39"/>
        <v>-5.4</v>
      </c>
      <c r="P342" s="3">
        <f t="shared" si="44"/>
        <v>0.6999999999999984</v>
      </c>
      <c r="Q342" s="3">
        <v>307</v>
      </c>
      <c r="R342" s="3">
        <f t="shared" si="46"/>
        <v>0.41274509803921566</v>
      </c>
      <c r="S342" s="3">
        <f t="shared" si="40"/>
        <v>2.2288235294117649</v>
      </c>
      <c r="T342" s="28">
        <f t="shared" si="41"/>
        <v>-2.2288235294117649</v>
      </c>
      <c r="U342" s="28">
        <f t="shared" si="45"/>
        <v>29.922299719887992</v>
      </c>
      <c r="W342" s="3">
        <v>2720.8</v>
      </c>
      <c r="Y342" s="3">
        <f t="shared" si="43"/>
        <v>279627.69999999984</v>
      </c>
      <c r="Z342" s="3">
        <f t="shared" si="47"/>
        <v>60741.5</v>
      </c>
      <c r="AA342" s="3">
        <v>15.817556920992599</v>
      </c>
    </row>
    <row r="343" spans="1:27" s="3" customFormat="1" x14ac:dyDescent="0.25">
      <c r="A343" s="3">
        <v>5400</v>
      </c>
      <c r="B343" s="3">
        <v>24010</v>
      </c>
      <c r="C343" s="7">
        <v>42921</v>
      </c>
      <c r="G343" s="3">
        <v>24.6</v>
      </c>
      <c r="H343" s="3">
        <v>16.600000000000001</v>
      </c>
      <c r="I343" s="3">
        <v>30</v>
      </c>
      <c r="J343" s="3">
        <f t="shared" si="42"/>
        <v>3173.3999999999996</v>
      </c>
      <c r="K343" s="3">
        <f t="shared" si="48"/>
        <v>612.79999999999984</v>
      </c>
      <c r="L343" s="23"/>
      <c r="M343" s="3">
        <v>0</v>
      </c>
      <c r="N343" s="3">
        <v>5.6</v>
      </c>
      <c r="O343" s="3">
        <f t="shared" si="39"/>
        <v>-5.6</v>
      </c>
      <c r="P343" s="3">
        <v>0</v>
      </c>
      <c r="Q343" s="3">
        <v>308</v>
      </c>
      <c r="R343" s="3">
        <f t="shared" si="46"/>
        <v>0.3970588235294118</v>
      </c>
      <c r="S343" s="3">
        <f t="shared" si="40"/>
        <v>2.223529411764706</v>
      </c>
      <c r="T343" s="28">
        <f t="shared" si="41"/>
        <v>-2.223529411764706</v>
      </c>
      <c r="U343" s="28">
        <f t="shared" si="45"/>
        <v>27.698770308123287</v>
      </c>
      <c r="W343" s="3">
        <v>2463.6</v>
      </c>
      <c r="Y343" s="3">
        <f t="shared" si="43"/>
        <v>282091.29999999981</v>
      </c>
      <c r="Z343" s="3">
        <f t="shared" si="47"/>
        <v>63205.1</v>
      </c>
      <c r="AA343" s="3">
        <v>15.799038386231093</v>
      </c>
    </row>
    <row r="344" spans="1:27" s="3" customFormat="1" x14ac:dyDescent="0.25">
      <c r="A344" s="3">
        <v>5400</v>
      </c>
      <c r="B344" s="3">
        <v>24010</v>
      </c>
      <c r="C344" s="7">
        <v>42922</v>
      </c>
      <c r="G344" s="3">
        <v>27</v>
      </c>
      <c r="H344" s="3">
        <v>21.6</v>
      </c>
      <c r="I344" s="3">
        <v>32.299999999999997</v>
      </c>
      <c r="J344" s="3">
        <f t="shared" si="42"/>
        <v>3200.3999999999996</v>
      </c>
      <c r="K344" s="3">
        <f t="shared" si="48"/>
        <v>639.79999999999984</v>
      </c>
      <c r="L344" s="23"/>
      <c r="M344" s="3">
        <v>0</v>
      </c>
      <c r="N344" s="3">
        <v>4.9000000000000004</v>
      </c>
      <c r="O344" s="3">
        <f t="shared" si="39"/>
        <v>-4.9000000000000004</v>
      </c>
      <c r="P344" s="3">
        <v>0</v>
      </c>
      <c r="Q344" s="3">
        <v>309</v>
      </c>
      <c r="R344" s="3">
        <f t="shared" si="46"/>
        <v>0.38137254901960782</v>
      </c>
      <c r="S344" s="3">
        <f t="shared" si="40"/>
        <v>1.8687254901960784</v>
      </c>
      <c r="T344" s="28">
        <f t="shared" si="41"/>
        <v>-1.8687254901960784</v>
      </c>
      <c r="U344" s="28">
        <f t="shared" si="45"/>
        <v>25.83004481792721</v>
      </c>
      <c r="W344" s="3">
        <v>1816.9</v>
      </c>
      <c r="Y344" s="3">
        <f t="shared" si="43"/>
        <v>283908.19999999984</v>
      </c>
      <c r="Z344" s="3">
        <f t="shared" si="47"/>
        <v>65022</v>
      </c>
      <c r="AA344" s="3">
        <v>15.779203994565437</v>
      </c>
    </row>
    <row r="345" spans="1:27" s="3" customFormat="1" x14ac:dyDescent="0.25">
      <c r="A345" s="3">
        <v>5400</v>
      </c>
      <c r="B345" s="3">
        <v>24010</v>
      </c>
      <c r="C345" s="7">
        <v>42923</v>
      </c>
      <c r="G345" s="3">
        <v>26.3</v>
      </c>
      <c r="H345" s="3">
        <v>21.5</v>
      </c>
      <c r="I345" s="3">
        <v>32.200000000000003</v>
      </c>
      <c r="J345" s="3">
        <f t="shared" si="42"/>
        <v>3226.7</v>
      </c>
      <c r="K345" s="3">
        <f t="shared" si="48"/>
        <v>666.0999999999998</v>
      </c>
      <c r="L345" s="23"/>
      <c r="M345" s="3">
        <v>0</v>
      </c>
      <c r="N345" s="3">
        <v>6.2</v>
      </c>
      <c r="O345" s="3">
        <f t="shared" si="39"/>
        <v>-6.2</v>
      </c>
      <c r="P345" s="3">
        <v>0</v>
      </c>
      <c r="Q345" s="3">
        <v>310</v>
      </c>
      <c r="R345" s="3">
        <f t="shared" si="46"/>
        <v>0.36568627450980395</v>
      </c>
      <c r="S345" s="3">
        <f t="shared" si="40"/>
        <v>2.2672549019607846</v>
      </c>
      <c r="T345" s="28">
        <f t="shared" si="41"/>
        <v>-2.2672549019607846</v>
      </c>
      <c r="U345" s="28">
        <f t="shared" si="45"/>
        <v>23.562789915966427</v>
      </c>
      <c r="W345" s="3">
        <v>2535.6</v>
      </c>
      <c r="Y345" s="3">
        <f t="shared" si="43"/>
        <v>286443.79999999981</v>
      </c>
      <c r="Z345" s="3">
        <f t="shared" si="47"/>
        <v>67557.600000000006</v>
      </c>
      <c r="AA345" s="3">
        <v>15.758070688484191</v>
      </c>
    </row>
    <row r="346" spans="1:27" s="3" customFormat="1" x14ac:dyDescent="0.25">
      <c r="A346" s="3">
        <v>5400</v>
      </c>
      <c r="B346" s="3">
        <v>24010</v>
      </c>
      <c r="C346" s="7">
        <v>42924</v>
      </c>
      <c r="G346" s="3">
        <v>23.9</v>
      </c>
      <c r="H346" s="3">
        <v>18.7</v>
      </c>
      <c r="I346" s="3">
        <v>29</v>
      </c>
      <c r="J346" s="3">
        <f t="shared" si="42"/>
        <v>3250.6</v>
      </c>
      <c r="K346" s="3">
        <f t="shared" si="48"/>
        <v>689.99999999999977</v>
      </c>
      <c r="L346" s="23"/>
      <c r="M346" s="3">
        <v>0</v>
      </c>
      <c r="N346" s="3">
        <v>5.7</v>
      </c>
      <c r="O346" s="3">
        <f t="shared" si="39"/>
        <v>-5.7</v>
      </c>
      <c r="P346" s="3">
        <v>0</v>
      </c>
      <c r="Q346" s="3">
        <v>311</v>
      </c>
      <c r="R346" s="3">
        <f t="shared" si="46"/>
        <v>0.35</v>
      </c>
      <c r="S346" s="3">
        <f t="shared" si="40"/>
        <v>1.9949999999999999</v>
      </c>
      <c r="T346" s="28">
        <f t="shared" si="41"/>
        <v>-1.9949999999999999</v>
      </c>
      <c r="U346" s="28">
        <f t="shared" si="45"/>
        <v>21.567789915966426</v>
      </c>
      <c r="W346" s="3">
        <v>2415.3000000000002</v>
      </c>
      <c r="Y346" s="3">
        <f t="shared" si="43"/>
        <v>288859.0999999998</v>
      </c>
      <c r="Z346" s="3">
        <f t="shared" si="47"/>
        <v>69972.900000000009</v>
      </c>
      <c r="AA346" s="3">
        <v>15.735656300885532</v>
      </c>
    </row>
    <row r="347" spans="1:27" s="9" customFormat="1" x14ac:dyDescent="0.25">
      <c r="A347" s="47" t="s">
        <v>35</v>
      </c>
      <c r="B347" s="47"/>
      <c r="C347" s="47"/>
      <c r="D347" s="47"/>
      <c r="E347" s="47"/>
      <c r="F347" s="47"/>
      <c r="L347" s="26"/>
    </row>
    <row r="348" spans="1:27" s="3" customFormat="1" x14ac:dyDescent="0.25">
      <c r="A348" s="3">
        <v>5400</v>
      </c>
      <c r="B348" s="3">
        <v>24010</v>
      </c>
      <c r="C348" s="7">
        <v>42925</v>
      </c>
      <c r="G348" s="3">
        <v>21</v>
      </c>
      <c r="H348" s="3">
        <v>19.100000000000001</v>
      </c>
      <c r="I348" s="3">
        <v>26.4</v>
      </c>
      <c r="L348" s="23"/>
      <c r="M348" s="3">
        <v>12.6</v>
      </c>
      <c r="N348" s="3">
        <v>2.8</v>
      </c>
      <c r="W348" s="3">
        <v>1100.5999999999999</v>
      </c>
    </row>
    <row r="349" spans="1:27" s="3" customFormat="1" x14ac:dyDescent="0.25">
      <c r="A349" s="3">
        <v>5400</v>
      </c>
      <c r="B349" s="3">
        <v>24010</v>
      </c>
      <c r="C349" s="7">
        <v>42926</v>
      </c>
      <c r="G349" s="3">
        <v>18.2</v>
      </c>
      <c r="H349" s="3">
        <v>16</v>
      </c>
      <c r="I349" s="3">
        <v>21.2</v>
      </c>
      <c r="L349" s="23"/>
      <c r="M349" s="3">
        <v>1.3</v>
      </c>
      <c r="N349" s="3">
        <v>1.9</v>
      </c>
      <c r="W349" s="3">
        <v>883.6</v>
      </c>
    </row>
    <row r="350" spans="1:27" s="3" customFormat="1" x14ac:dyDescent="0.25">
      <c r="A350" s="3">
        <v>5400</v>
      </c>
      <c r="B350" s="3">
        <v>24010</v>
      </c>
      <c r="C350" s="7">
        <v>42927</v>
      </c>
      <c r="G350" s="3">
        <v>19.100000000000001</v>
      </c>
      <c r="H350" s="3">
        <v>14</v>
      </c>
      <c r="I350" s="3">
        <v>22.7</v>
      </c>
      <c r="L350" s="23"/>
      <c r="M350" s="3">
        <v>0.4</v>
      </c>
      <c r="N350" s="3">
        <v>2.9</v>
      </c>
      <c r="W350" s="3">
        <v>1233.5999999999999</v>
      </c>
    </row>
    <row r="351" spans="1:27" s="3" customFormat="1" x14ac:dyDescent="0.25">
      <c r="A351" s="3">
        <v>5400</v>
      </c>
      <c r="B351" s="3">
        <v>24010</v>
      </c>
      <c r="C351" s="7">
        <v>42928</v>
      </c>
      <c r="G351" s="3">
        <v>18.899999999999999</v>
      </c>
      <c r="H351" s="3">
        <v>17.5</v>
      </c>
      <c r="I351" s="3">
        <v>21.5</v>
      </c>
      <c r="L351" s="23"/>
      <c r="M351" s="3">
        <v>2.6</v>
      </c>
      <c r="N351" s="3">
        <v>1.7</v>
      </c>
      <c r="W351" s="3">
        <v>601</v>
      </c>
    </row>
    <row r="352" spans="1:27" s="3" customFormat="1" x14ac:dyDescent="0.25">
      <c r="A352" s="3">
        <v>5400</v>
      </c>
      <c r="B352" s="3">
        <v>24010</v>
      </c>
      <c r="C352" s="7">
        <v>42929</v>
      </c>
      <c r="G352" s="3">
        <v>19.2</v>
      </c>
      <c r="H352" s="3">
        <v>15.3</v>
      </c>
      <c r="I352" s="3">
        <v>22.9</v>
      </c>
      <c r="L352" s="23"/>
      <c r="M352" s="3">
        <v>1</v>
      </c>
      <c r="N352" s="3">
        <v>3.8</v>
      </c>
      <c r="W352" s="3">
        <v>2002.7</v>
      </c>
    </row>
    <row r="353" spans="1:23" s="3" customFormat="1" x14ac:dyDescent="0.25">
      <c r="A353" s="3">
        <v>5400</v>
      </c>
      <c r="B353" s="3">
        <v>24010</v>
      </c>
      <c r="C353" s="7">
        <v>42930</v>
      </c>
      <c r="G353" s="3">
        <v>17.899999999999999</v>
      </c>
      <c r="H353" s="3">
        <v>15.3</v>
      </c>
      <c r="I353" s="3">
        <v>21.5</v>
      </c>
      <c r="L353" s="23"/>
      <c r="M353" s="3">
        <v>0</v>
      </c>
      <c r="N353" s="3">
        <v>3.9</v>
      </c>
      <c r="W353" s="3">
        <v>1800.2</v>
      </c>
    </row>
    <row r="354" spans="1:23" s="3" customFormat="1" x14ac:dyDescent="0.25">
      <c r="A354" s="3">
        <v>5400</v>
      </c>
      <c r="B354" s="3">
        <v>24010</v>
      </c>
      <c r="C354" s="7">
        <v>42931</v>
      </c>
      <c r="G354" s="3">
        <v>19.2</v>
      </c>
      <c r="H354" s="3">
        <v>12</v>
      </c>
      <c r="I354" s="3">
        <v>24.8</v>
      </c>
      <c r="L354" s="23"/>
      <c r="M354" s="3">
        <v>0</v>
      </c>
      <c r="N354" s="3">
        <v>4.3</v>
      </c>
      <c r="W354" s="3">
        <v>2221.5</v>
      </c>
    </row>
    <row r="355" spans="1:23" s="3" customFormat="1" x14ac:dyDescent="0.25">
      <c r="A355" s="3">
        <v>5400</v>
      </c>
      <c r="B355" s="3">
        <v>24010</v>
      </c>
      <c r="C355" s="7">
        <v>42932</v>
      </c>
      <c r="G355" s="3">
        <v>21.5</v>
      </c>
      <c r="H355" s="3">
        <v>14.6</v>
      </c>
      <c r="I355" s="3">
        <v>27.6</v>
      </c>
      <c r="L355" s="23"/>
      <c r="M355" s="3">
        <v>0</v>
      </c>
      <c r="N355" s="3">
        <v>4.7</v>
      </c>
      <c r="W355" s="3">
        <v>2370.6</v>
      </c>
    </row>
    <row r="356" spans="1:23" s="3" customFormat="1" x14ac:dyDescent="0.25">
      <c r="A356" s="3">
        <v>5400</v>
      </c>
      <c r="B356" s="3">
        <v>24010</v>
      </c>
      <c r="C356" s="7">
        <v>42933</v>
      </c>
      <c r="G356" s="3">
        <v>23.6</v>
      </c>
      <c r="H356" s="3">
        <v>17.3</v>
      </c>
      <c r="I356" s="3">
        <v>28.9</v>
      </c>
      <c r="L356" s="23"/>
      <c r="M356" s="3">
        <v>0</v>
      </c>
      <c r="N356" s="3">
        <v>3.9</v>
      </c>
      <c r="W356" s="3">
        <v>1782.6</v>
      </c>
    </row>
    <row r="357" spans="1:23" s="3" customFormat="1" x14ac:dyDescent="0.25">
      <c r="A357" s="3">
        <v>5400</v>
      </c>
      <c r="B357" s="3">
        <v>24010</v>
      </c>
      <c r="C357" s="7">
        <v>42934</v>
      </c>
      <c r="G357" s="3">
        <v>26.8</v>
      </c>
      <c r="H357" s="3">
        <v>20.5</v>
      </c>
      <c r="I357" s="3">
        <v>32.6</v>
      </c>
      <c r="L357" s="23"/>
      <c r="M357" s="3">
        <v>0.1</v>
      </c>
      <c r="N357" s="3">
        <v>6.5</v>
      </c>
      <c r="W357" s="3">
        <v>2498.6</v>
      </c>
    </row>
    <row r="358" spans="1:23" s="3" customFormat="1" x14ac:dyDescent="0.25">
      <c r="A358" s="3">
        <v>5400</v>
      </c>
      <c r="B358" s="3">
        <v>24010</v>
      </c>
      <c r="C358" s="7">
        <v>42935</v>
      </c>
      <c r="G358" s="3">
        <v>23.6</v>
      </c>
      <c r="H358" s="3">
        <v>22.9</v>
      </c>
      <c r="I358" s="3">
        <v>26</v>
      </c>
      <c r="L358" s="23"/>
      <c r="M358" s="3">
        <v>0.2</v>
      </c>
      <c r="N358" s="3">
        <v>4.5999999999999996</v>
      </c>
      <c r="W358" s="3">
        <v>1775.7</v>
      </c>
    </row>
    <row r="359" spans="1:23" s="3" customFormat="1" x14ac:dyDescent="0.25">
      <c r="A359" s="3">
        <v>5400</v>
      </c>
      <c r="B359" s="3">
        <v>24010</v>
      </c>
      <c r="C359" s="7">
        <v>42936</v>
      </c>
      <c r="G359" s="3">
        <v>18.899999999999999</v>
      </c>
      <c r="H359" s="3">
        <v>18.5</v>
      </c>
      <c r="I359" s="3">
        <v>21.8</v>
      </c>
      <c r="L359" s="23"/>
      <c r="M359" s="3">
        <v>0</v>
      </c>
      <c r="N359" s="3">
        <v>3.7</v>
      </c>
      <c r="W359" s="3">
        <v>1447.5</v>
      </c>
    </row>
    <row r="360" spans="1:23" s="3" customFormat="1" x14ac:dyDescent="0.25">
      <c r="A360" s="3">
        <v>5400</v>
      </c>
      <c r="B360" s="3">
        <v>24010</v>
      </c>
      <c r="C360" s="7">
        <v>42937</v>
      </c>
      <c r="G360" s="3">
        <v>18.3</v>
      </c>
      <c r="H360" s="3">
        <v>11.6</v>
      </c>
      <c r="I360" s="3">
        <v>23</v>
      </c>
      <c r="L360" s="23"/>
      <c r="M360" s="3">
        <v>1.1000000000000001</v>
      </c>
      <c r="N360" s="3">
        <v>4.9000000000000004</v>
      </c>
      <c r="W360" s="3">
        <v>2582.8000000000002</v>
      </c>
    </row>
    <row r="361" spans="1:23" s="3" customFormat="1" x14ac:dyDescent="0.25">
      <c r="A361" s="3">
        <v>5400</v>
      </c>
      <c r="B361" s="3">
        <v>24010</v>
      </c>
      <c r="C361" s="7">
        <v>42938</v>
      </c>
      <c r="G361" s="3">
        <v>17.399999999999999</v>
      </c>
      <c r="H361" s="3">
        <v>15.4</v>
      </c>
      <c r="I361" s="3">
        <v>20.3</v>
      </c>
      <c r="L361" s="23"/>
      <c r="M361" s="3">
        <v>0.1</v>
      </c>
      <c r="N361" s="3">
        <v>2.2000000000000002</v>
      </c>
      <c r="W361" s="3">
        <v>816.7</v>
      </c>
    </row>
    <row r="362" spans="1:23" s="3" customFormat="1" x14ac:dyDescent="0.25">
      <c r="A362" s="3">
        <v>5400</v>
      </c>
      <c r="B362" s="3">
        <v>24010</v>
      </c>
      <c r="C362" s="7">
        <v>42939</v>
      </c>
      <c r="G362" s="3">
        <v>15.9</v>
      </c>
      <c r="H362" s="3">
        <v>13.5</v>
      </c>
      <c r="I362" s="3">
        <v>20.2</v>
      </c>
      <c r="L362" s="23"/>
      <c r="M362" s="3">
        <v>9.9</v>
      </c>
      <c r="N362" s="3">
        <v>2.2000000000000002</v>
      </c>
      <c r="W362" s="3">
        <v>840.2</v>
      </c>
    </row>
    <row r="363" spans="1:23" s="3" customFormat="1" x14ac:dyDescent="0.25">
      <c r="A363" s="3">
        <v>5400</v>
      </c>
      <c r="B363" s="3">
        <v>24010</v>
      </c>
      <c r="C363" s="7">
        <v>42940</v>
      </c>
      <c r="G363" s="3">
        <v>15.9</v>
      </c>
      <c r="H363" s="3">
        <v>13.6</v>
      </c>
      <c r="I363" s="3">
        <v>17.8</v>
      </c>
      <c r="L363" s="23"/>
      <c r="M363" s="3">
        <v>0.5</v>
      </c>
      <c r="N363" s="3">
        <v>1.2</v>
      </c>
      <c r="W363" s="3">
        <v>624.9</v>
      </c>
    </row>
    <row r="364" spans="1:23" s="3" customFormat="1" x14ac:dyDescent="0.25">
      <c r="A364" s="3">
        <v>5400</v>
      </c>
      <c r="B364" s="3">
        <v>24010</v>
      </c>
      <c r="C364" s="7">
        <v>42941</v>
      </c>
      <c r="G364" s="3">
        <v>17.2</v>
      </c>
      <c r="H364" s="3">
        <v>14.5</v>
      </c>
      <c r="I364" s="3">
        <v>21.5</v>
      </c>
      <c r="L364" s="23"/>
      <c r="M364" s="3">
        <v>0</v>
      </c>
      <c r="N364" s="3">
        <v>3.1</v>
      </c>
      <c r="W364" s="3">
        <v>1532.4</v>
      </c>
    </row>
    <row r="365" spans="1:23" s="3" customFormat="1" x14ac:dyDescent="0.25">
      <c r="A365" s="3">
        <v>5400</v>
      </c>
      <c r="B365" s="3">
        <v>24010</v>
      </c>
      <c r="C365" s="7">
        <v>42942</v>
      </c>
      <c r="G365" s="3">
        <v>17</v>
      </c>
      <c r="H365" s="3">
        <v>11.8</v>
      </c>
      <c r="I365" s="3">
        <v>19.5</v>
      </c>
      <c r="L365" s="23"/>
      <c r="M365" s="3">
        <v>1.9</v>
      </c>
      <c r="N365" s="3">
        <v>1.1000000000000001</v>
      </c>
      <c r="W365" s="3">
        <v>697.2</v>
      </c>
    </row>
    <row r="366" spans="1:23" s="3" customFormat="1" x14ac:dyDescent="0.25">
      <c r="A366" s="3">
        <v>5400</v>
      </c>
      <c r="B366" s="3">
        <v>24010</v>
      </c>
      <c r="C366" s="7">
        <v>42943</v>
      </c>
      <c r="G366" s="3">
        <v>18.899999999999999</v>
      </c>
      <c r="H366" s="3">
        <v>17</v>
      </c>
      <c r="I366" s="3">
        <v>21.1</v>
      </c>
      <c r="L366" s="23"/>
      <c r="M366" s="3">
        <v>0.8</v>
      </c>
      <c r="N366" s="3">
        <v>1.5</v>
      </c>
      <c r="W366" s="3">
        <v>633.6</v>
      </c>
    </row>
    <row r="367" spans="1:23" s="3" customFormat="1" x14ac:dyDescent="0.25">
      <c r="A367" s="3">
        <v>5400</v>
      </c>
      <c r="B367" s="3">
        <v>24010</v>
      </c>
      <c r="C367" s="7">
        <v>42944</v>
      </c>
      <c r="G367" s="3">
        <v>18.7</v>
      </c>
      <c r="H367" s="3">
        <v>14.8</v>
      </c>
      <c r="I367" s="3">
        <v>21.6</v>
      </c>
      <c r="L367" s="23"/>
      <c r="M367" s="3">
        <v>0</v>
      </c>
      <c r="N367" s="3">
        <v>3.6</v>
      </c>
      <c r="W367" s="3">
        <v>1586.3</v>
      </c>
    </row>
    <row r="368" spans="1:23" s="3" customFormat="1" x14ac:dyDescent="0.25">
      <c r="A368" s="3">
        <v>5400</v>
      </c>
      <c r="B368" s="3">
        <v>24010</v>
      </c>
      <c r="C368" s="7">
        <v>42945</v>
      </c>
      <c r="G368" s="3">
        <v>21.4</v>
      </c>
      <c r="H368" s="3">
        <v>16.3</v>
      </c>
      <c r="I368" s="3">
        <v>25.4</v>
      </c>
      <c r="L368" s="23"/>
      <c r="M368" s="3">
        <v>0</v>
      </c>
      <c r="N368" s="3">
        <v>4.4000000000000004</v>
      </c>
      <c r="W368" s="3">
        <v>2049.8000000000002</v>
      </c>
    </row>
    <row r="369" spans="1:23" s="3" customFormat="1" x14ac:dyDescent="0.25">
      <c r="A369" s="3">
        <v>5400</v>
      </c>
      <c r="B369" s="3">
        <v>24010</v>
      </c>
      <c r="C369" s="7">
        <v>42946</v>
      </c>
      <c r="G369" s="3">
        <v>20.5</v>
      </c>
      <c r="H369" s="3">
        <v>18.8</v>
      </c>
      <c r="I369" s="3">
        <v>23</v>
      </c>
      <c r="L369" s="23"/>
      <c r="M369" s="3">
        <v>0</v>
      </c>
      <c r="N369" s="3">
        <v>4.4000000000000004</v>
      </c>
      <c r="W369" s="3">
        <v>1627.5</v>
      </c>
    </row>
    <row r="370" spans="1:23" s="3" customFormat="1" x14ac:dyDescent="0.25">
      <c r="A370" s="3">
        <v>5400</v>
      </c>
      <c r="B370" s="3">
        <v>24010</v>
      </c>
      <c r="C370" s="7">
        <v>42947</v>
      </c>
      <c r="G370" s="3">
        <v>18.600000000000001</v>
      </c>
      <c r="H370" s="3">
        <v>14.5</v>
      </c>
      <c r="I370" s="3">
        <v>22.2</v>
      </c>
      <c r="L370" s="23"/>
      <c r="M370" s="3">
        <v>2.2000000000000002</v>
      </c>
      <c r="N370" s="3">
        <v>2.6</v>
      </c>
      <c r="W370" s="3">
        <v>1507.8</v>
      </c>
    </row>
    <row r="371" spans="1:23" s="3" customFormat="1" x14ac:dyDescent="0.25">
      <c r="A371" s="3">
        <v>5400</v>
      </c>
      <c r="B371" s="3">
        <v>24010</v>
      </c>
      <c r="C371" s="7">
        <v>42948</v>
      </c>
      <c r="G371" s="3">
        <v>19.3</v>
      </c>
      <c r="H371" s="3">
        <v>14.5</v>
      </c>
      <c r="I371" s="3">
        <v>25.2</v>
      </c>
      <c r="L371" s="23"/>
      <c r="M371" s="3">
        <v>0</v>
      </c>
      <c r="N371" s="3">
        <v>3.8</v>
      </c>
      <c r="W371" s="3">
        <v>1823.8</v>
      </c>
    </row>
    <row r="372" spans="1:23" s="3" customFormat="1" x14ac:dyDescent="0.25">
      <c r="A372" s="3">
        <v>5400</v>
      </c>
      <c r="B372" s="3">
        <v>24010</v>
      </c>
      <c r="C372" s="7">
        <v>42949</v>
      </c>
      <c r="G372" s="3">
        <v>21.5</v>
      </c>
      <c r="H372" s="3">
        <v>14.3</v>
      </c>
      <c r="I372" s="3">
        <v>27.2</v>
      </c>
      <c r="L372" s="23"/>
      <c r="M372" s="3">
        <v>0.1</v>
      </c>
      <c r="N372" s="3">
        <v>2.8</v>
      </c>
      <c r="W372" s="3">
        <v>1111.4000000000001</v>
      </c>
    </row>
    <row r="373" spans="1:23" s="3" customFormat="1" x14ac:dyDescent="0.25">
      <c r="A373" s="3">
        <v>5400</v>
      </c>
      <c r="B373" s="3">
        <v>24010</v>
      </c>
      <c r="C373" s="7">
        <v>42950</v>
      </c>
      <c r="G373" s="3">
        <v>21.7</v>
      </c>
      <c r="H373" s="3">
        <v>18.899999999999999</v>
      </c>
      <c r="I373" s="3">
        <v>24.9</v>
      </c>
      <c r="L373" s="23"/>
      <c r="M373" s="3">
        <v>0.1</v>
      </c>
      <c r="N373" s="3">
        <v>3.9</v>
      </c>
      <c r="W373" s="3">
        <v>1101.5</v>
      </c>
    </row>
    <row r="374" spans="1:23" s="3" customFormat="1" x14ac:dyDescent="0.25">
      <c r="A374" s="3">
        <v>5400</v>
      </c>
      <c r="B374" s="3">
        <v>24010</v>
      </c>
      <c r="C374" s="7">
        <v>42951</v>
      </c>
      <c r="G374" s="3">
        <v>20.6</v>
      </c>
      <c r="H374" s="3">
        <v>17</v>
      </c>
      <c r="I374" s="3">
        <v>24.1</v>
      </c>
      <c r="L374" s="23"/>
      <c r="M374" s="3">
        <v>0.1</v>
      </c>
      <c r="N374" s="3">
        <v>2.5</v>
      </c>
      <c r="W374" s="3">
        <v>859.1</v>
      </c>
    </row>
    <row r="375" spans="1:23" s="3" customFormat="1" x14ac:dyDescent="0.25">
      <c r="A375" s="3">
        <v>5400</v>
      </c>
      <c r="B375" s="3">
        <v>24010</v>
      </c>
      <c r="C375" s="7">
        <v>42952</v>
      </c>
      <c r="G375" s="3">
        <v>18.7</v>
      </c>
      <c r="H375" s="3">
        <v>15.6</v>
      </c>
      <c r="I375" s="3">
        <v>22.3</v>
      </c>
      <c r="L375" s="23"/>
      <c r="M375" s="3">
        <v>0.1</v>
      </c>
      <c r="N375" s="3">
        <v>2.9</v>
      </c>
      <c r="W375" s="3">
        <v>1297.3</v>
      </c>
    </row>
    <row r="376" spans="1:23" s="3" customFormat="1" x14ac:dyDescent="0.25">
      <c r="A376" s="3">
        <v>5400</v>
      </c>
      <c r="B376" s="3">
        <v>24010</v>
      </c>
      <c r="C376" s="7">
        <v>42953</v>
      </c>
      <c r="G376" s="3">
        <v>17.2</v>
      </c>
      <c r="H376" s="3">
        <v>11.4</v>
      </c>
      <c r="I376" s="3">
        <v>23.2</v>
      </c>
      <c r="L376" s="23"/>
      <c r="M376" s="3">
        <v>0</v>
      </c>
      <c r="N376" s="3">
        <v>4.3</v>
      </c>
      <c r="W376" s="3">
        <v>2275.1</v>
      </c>
    </row>
    <row r="377" spans="1:23" s="3" customFormat="1" x14ac:dyDescent="0.25">
      <c r="A377" s="3">
        <v>5400</v>
      </c>
      <c r="B377" s="3">
        <v>24010</v>
      </c>
      <c r="C377" s="7">
        <v>42954</v>
      </c>
      <c r="G377" s="3">
        <v>19.399999999999999</v>
      </c>
      <c r="H377" s="3">
        <v>12.6</v>
      </c>
      <c r="I377" s="3">
        <v>25.2</v>
      </c>
      <c r="L377" s="23"/>
      <c r="M377" s="3">
        <v>0.5</v>
      </c>
      <c r="N377" s="3">
        <v>4.5</v>
      </c>
      <c r="W377" s="3">
        <v>2166.9</v>
      </c>
    </row>
    <row r="378" spans="1:23" s="3" customFormat="1" x14ac:dyDescent="0.25">
      <c r="A378" s="3">
        <v>5400</v>
      </c>
      <c r="B378" s="3">
        <v>24010</v>
      </c>
      <c r="C378" s="7">
        <v>42955</v>
      </c>
      <c r="G378" s="3">
        <v>16</v>
      </c>
      <c r="H378" s="3">
        <v>14.2</v>
      </c>
      <c r="I378" s="3">
        <v>17.600000000000001</v>
      </c>
      <c r="L378" s="23"/>
      <c r="M378" s="3">
        <v>2.5</v>
      </c>
      <c r="N378" s="3">
        <v>0.9</v>
      </c>
      <c r="W378" s="3">
        <v>358.1</v>
      </c>
    </row>
    <row r="379" spans="1:23" s="3" customFormat="1" x14ac:dyDescent="0.25">
      <c r="A379" s="3">
        <v>5400</v>
      </c>
      <c r="B379" s="3">
        <v>24010</v>
      </c>
      <c r="C379" s="7">
        <v>42956</v>
      </c>
      <c r="G379" s="3">
        <v>13.1</v>
      </c>
      <c r="H379" s="3">
        <v>11.1</v>
      </c>
      <c r="I379" s="3">
        <v>14.6</v>
      </c>
      <c r="L379" s="23"/>
      <c r="M379" s="3">
        <v>13.2</v>
      </c>
      <c r="N379" s="3">
        <v>0.9</v>
      </c>
      <c r="W379" s="3">
        <v>594.20000000000005</v>
      </c>
    </row>
    <row r="380" spans="1:23" s="3" customFormat="1" x14ac:dyDescent="0.25">
      <c r="A380" s="3">
        <v>5400</v>
      </c>
      <c r="B380" s="3">
        <v>24010</v>
      </c>
      <c r="C380" s="7">
        <v>42957</v>
      </c>
      <c r="G380" s="3">
        <v>14.8</v>
      </c>
      <c r="H380" s="3">
        <v>12.2</v>
      </c>
      <c r="I380" s="3">
        <v>18</v>
      </c>
      <c r="L380" s="23"/>
      <c r="M380" s="3">
        <v>5.2</v>
      </c>
      <c r="N380" s="3">
        <v>1.3</v>
      </c>
      <c r="W380" s="3">
        <v>862.3</v>
      </c>
    </row>
    <row r="381" spans="1:23" s="3" customFormat="1" x14ac:dyDescent="0.25">
      <c r="A381" s="3">
        <v>5400</v>
      </c>
      <c r="B381" s="3">
        <v>24010</v>
      </c>
      <c r="C381" s="7">
        <v>42958</v>
      </c>
      <c r="G381" s="3">
        <v>16.100000000000001</v>
      </c>
      <c r="H381" s="3">
        <v>13.1</v>
      </c>
      <c r="I381" s="3">
        <v>19.8</v>
      </c>
      <c r="L381" s="23"/>
      <c r="M381" s="3">
        <v>0</v>
      </c>
      <c r="N381" s="3">
        <v>2.5</v>
      </c>
      <c r="W381" s="3">
        <v>1373.6</v>
      </c>
    </row>
    <row r="382" spans="1:23" s="3" customFormat="1" x14ac:dyDescent="0.25">
      <c r="A382" s="3">
        <v>5400</v>
      </c>
      <c r="B382" s="3">
        <v>24010</v>
      </c>
      <c r="C382" s="7">
        <v>42959</v>
      </c>
      <c r="G382" s="3">
        <v>16.3</v>
      </c>
      <c r="H382" s="3">
        <v>13.2</v>
      </c>
      <c r="I382" s="3">
        <v>18.5</v>
      </c>
      <c r="L382" s="23"/>
      <c r="M382" s="3">
        <v>1.9</v>
      </c>
      <c r="N382" s="3">
        <v>1.1000000000000001</v>
      </c>
      <c r="W382" s="3">
        <v>541.9</v>
      </c>
    </row>
    <row r="383" spans="1:23" s="3" customFormat="1" x14ac:dyDescent="0.25">
      <c r="A383" s="3">
        <v>5400</v>
      </c>
      <c r="B383" s="3">
        <v>24010</v>
      </c>
      <c r="C383" s="7">
        <v>42960</v>
      </c>
      <c r="G383" s="3">
        <v>16.3</v>
      </c>
      <c r="H383" s="3">
        <v>12.1</v>
      </c>
      <c r="I383" s="3">
        <v>20.3</v>
      </c>
      <c r="L383" s="23"/>
      <c r="M383" s="3">
        <v>0</v>
      </c>
      <c r="N383" s="3">
        <v>2.7</v>
      </c>
      <c r="W383" s="3">
        <v>1462</v>
      </c>
    </row>
    <row r="384" spans="1:23" s="3" customFormat="1" x14ac:dyDescent="0.25">
      <c r="A384" s="3">
        <v>5400</v>
      </c>
      <c r="B384" s="3">
        <v>24010</v>
      </c>
      <c r="C384" s="7">
        <v>42961</v>
      </c>
      <c r="G384" s="3">
        <v>19.399999999999999</v>
      </c>
      <c r="H384" s="3">
        <v>11.1</v>
      </c>
      <c r="I384" s="3">
        <v>26</v>
      </c>
      <c r="L384" s="23"/>
      <c r="M384" s="3">
        <v>0</v>
      </c>
      <c r="N384" s="3">
        <v>2.5</v>
      </c>
      <c r="W384" s="3">
        <v>1247.3</v>
      </c>
    </row>
    <row r="385" spans="1:23" s="3" customFormat="1" x14ac:dyDescent="0.25">
      <c r="A385" s="3">
        <v>5400</v>
      </c>
      <c r="B385" s="3">
        <v>24010</v>
      </c>
      <c r="C385" s="7">
        <v>42962</v>
      </c>
      <c r="G385" s="3">
        <v>21.6</v>
      </c>
      <c r="H385" s="3">
        <v>18.7</v>
      </c>
      <c r="I385" s="3">
        <v>25.6</v>
      </c>
      <c r="L385" s="23"/>
      <c r="M385" s="3">
        <v>5.4</v>
      </c>
      <c r="N385" s="3">
        <v>2.5</v>
      </c>
      <c r="W385" s="3">
        <v>1263.5</v>
      </c>
    </row>
    <row r="386" spans="1:23" s="3" customFormat="1" x14ac:dyDescent="0.25">
      <c r="A386" s="3">
        <v>5400</v>
      </c>
      <c r="B386" s="3">
        <v>24010</v>
      </c>
      <c r="C386" s="7">
        <v>42963</v>
      </c>
      <c r="G386" s="3">
        <v>19.2</v>
      </c>
      <c r="H386" s="3">
        <v>14.2</v>
      </c>
      <c r="I386" s="3">
        <v>23.7</v>
      </c>
      <c r="L386" s="23"/>
      <c r="M386" s="3">
        <v>0.3</v>
      </c>
      <c r="N386" s="3">
        <v>3</v>
      </c>
      <c r="W386" s="3">
        <v>1633.3</v>
      </c>
    </row>
    <row r="387" spans="1:23" s="3" customFormat="1" x14ac:dyDescent="0.25">
      <c r="A387" s="3">
        <v>5400</v>
      </c>
      <c r="B387" s="3">
        <v>24010</v>
      </c>
      <c r="C387" s="7">
        <v>42964</v>
      </c>
      <c r="G387" s="3">
        <v>19.5</v>
      </c>
      <c r="H387" s="3">
        <v>16</v>
      </c>
      <c r="I387" s="3">
        <v>22.6</v>
      </c>
      <c r="L387" s="23"/>
      <c r="M387" s="3">
        <v>18.100000000000001</v>
      </c>
      <c r="N387" s="3">
        <v>1.2</v>
      </c>
      <c r="W387" s="3">
        <v>504.6</v>
      </c>
    </row>
    <row r="388" spans="1:23" s="3" customFormat="1" x14ac:dyDescent="0.25">
      <c r="A388" s="3">
        <v>5400</v>
      </c>
      <c r="B388" s="3">
        <v>24010</v>
      </c>
      <c r="C388" s="7">
        <v>42965</v>
      </c>
      <c r="G388" s="3">
        <v>17.600000000000001</v>
      </c>
      <c r="H388" s="3">
        <v>17.399999999999999</v>
      </c>
      <c r="I388" s="3">
        <v>19.3</v>
      </c>
      <c r="L388" s="23"/>
      <c r="M388" s="3">
        <v>11.1</v>
      </c>
      <c r="N388" s="3">
        <v>1.3</v>
      </c>
      <c r="W388" s="3">
        <v>576.1</v>
      </c>
    </row>
    <row r="389" spans="1:23" s="3" customFormat="1" x14ac:dyDescent="0.25">
      <c r="A389" s="3">
        <v>5400</v>
      </c>
      <c r="B389" s="3">
        <v>24010</v>
      </c>
      <c r="C389" s="7">
        <v>42966</v>
      </c>
      <c r="G389" s="3">
        <v>15.4</v>
      </c>
      <c r="H389" s="3">
        <v>11.4</v>
      </c>
      <c r="I389" s="3">
        <v>19.5</v>
      </c>
      <c r="L389" s="23"/>
      <c r="M389" s="3">
        <v>0</v>
      </c>
      <c r="N389" s="3">
        <v>2.6</v>
      </c>
      <c r="W389" s="3">
        <v>1590.1</v>
      </c>
    </row>
    <row r="390" spans="1:23" s="3" customFormat="1" x14ac:dyDescent="0.25">
      <c r="A390" s="3">
        <v>5400</v>
      </c>
      <c r="B390" s="3">
        <v>24010</v>
      </c>
      <c r="C390" s="7">
        <v>42967</v>
      </c>
      <c r="G390" s="3">
        <v>16.100000000000001</v>
      </c>
      <c r="H390" s="3">
        <v>9.6999999999999993</v>
      </c>
      <c r="I390" s="3">
        <v>20.100000000000001</v>
      </c>
      <c r="L390" s="23"/>
      <c r="M390" s="3">
        <v>0</v>
      </c>
      <c r="N390" s="3">
        <v>2</v>
      </c>
      <c r="W390" s="3">
        <v>1059.0999999999999</v>
      </c>
    </row>
    <row r="391" spans="1:23" s="3" customFormat="1" x14ac:dyDescent="0.25">
      <c r="A391" s="3">
        <v>5400</v>
      </c>
      <c r="B391" s="3">
        <v>24010</v>
      </c>
      <c r="C391" s="7">
        <v>42968</v>
      </c>
      <c r="G391" s="3">
        <v>20.5</v>
      </c>
      <c r="H391" s="3">
        <v>16.7</v>
      </c>
      <c r="I391" s="3">
        <v>24.1</v>
      </c>
      <c r="L391" s="23"/>
      <c r="M391" s="3">
        <v>0</v>
      </c>
      <c r="N391" s="3">
        <v>1.8</v>
      </c>
      <c r="W391" s="3">
        <v>830</v>
      </c>
    </row>
    <row r="392" spans="1:23" s="3" customFormat="1" x14ac:dyDescent="0.25">
      <c r="A392" s="3">
        <v>5400</v>
      </c>
      <c r="B392" s="3">
        <v>24010</v>
      </c>
      <c r="C392" s="7">
        <v>42969</v>
      </c>
      <c r="G392" s="3">
        <v>21.9</v>
      </c>
      <c r="H392" s="3">
        <v>16.2</v>
      </c>
      <c r="I392" s="3">
        <v>26.8</v>
      </c>
      <c r="L392" s="23"/>
      <c r="M392" s="3">
        <v>0.2</v>
      </c>
      <c r="N392" s="3">
        <v>3.9</v>
      </c>
      <c r="W392" s="3">
        <v>1838.9</v>
      </c>
    </row>
    <row r="393" spans="1:23" s="3" customFormat="1" x14ac:dyDescent="0.25">
      <c r="A393" s="3">
        <v>5400</v>
      </c>
      <c r="B393" s="3">
        <v>24010</v>
      </c>
      <c r="C393" s="7">
        <v>42970</v>
      </c>
      <c r="G393" s="3">
        <v>20.100000000000001</v>
      </c>
      <c r="H393" s="3">
        <v>16.5</v>
      </c>
      <c r="I393" s="3">
        <v>24.4</v>
      </c>
      <c r="L393" s="23"/>
      <c r="M393" s="3">
        <v>0.1</v>
      </c>
      <c r="N393" s="3">
        <v>2.2000000000000002</v>
      </c>
      <c r="W393" s="3">
        <v>1048.0999999999999</v>
      </c>
    </row>
    <row r="394" spans="1:23" s="3" customFormat="1" x14ac:dyDescent="0.25">
      <c r="A394" s="3">
        <v>5400</v>
      </c>
      <c r="B394" s="3">
        <v>24010</v>
      </c>
      <c r="C394" s="7">
        <v>42971</v>
      </c>
      <c r="G394" s="3">
        <v>19.100000000000001</v>
      </c>
      <c r="H394" s="3">
        <v>13.7</v>
      </c>
      <c r="I394" s="3">
        <v>22.9</v>
      </c>
      <c r="L394" s="23"/>
      <c r="M394" s="3">
        <v>0.7</v>
      </c>
      <c r="N394" s="3">
        <v>1.6</v>
      </c>
      <c r="W394" s="3">
        <v>825.2</v>
      </c>
    </row>
    <row r="395" spans="1:23" s="3" customFormat="1" x14ac:dyDescent="0.25">
      <c r="A395" s="3">
        <v>5400</v>
      </c>
      <c r="B395" s="3">
        <v>24010</v>
      </c>
      <c r="C395" s="7">
        <v>42972</v>
      </c>
      <c r="G395" s="3">
        <v>19.100000000000001</v>
      </c>
      <c r="H395" s="3">
        <v>16.5</v>
      </c>
      <c r="I395" s="3">
        <v>22.7</v>
      </c>
      <c r="L395" s="23"/>
      <c r="M395" s="3">
        <v>7</v>
      </c>
      <c r="N395" s="3">
        <v>1.6</v>
      </c>
      <c r="W395" s="3">
        <v>821.2</v>
      </c>
    </row>
    <row r="396" spans="1:23" s="3" customFormat="1" x14ac:dyDescent="0.25">
      <c r="A396" s="3">
        <v>5400</v>
      </c>
      <c r="B396" s="3">
        <v>24010</v>
      </c>
      <c r="C396" s="7">
        <v>42973</v>
      </c>
      <c r="G396" s="3">
        <v>21.3</v>
      </c>
      <c r="H396" s="3">
        <v>16.5</v>
      </c>
      <c r="I396" s="3">
        <v>26.2</v>
      </c>
      <c r="L396" s="23"/>
      <c r="M396" s="3">
        <v>7.8</v>
      </c>
      <c r="N396" s="3">
        <v>1.9</v>
      </c>
      <c r="W396" s="3">
        <v>861.7</v>
      </c>
    </row>
    <row r="397" spans="1:23" s="3" customFormat="1" x14ac:dyDescent="0.25">
      <c r="A397" s="3">
        <v>5400</v>
      </c>
      <c r="B397" s="3">
        <v>24010</v>
      </c>
      <c r="C397" s="7">
        <v>42974</v>
      </c>
      <c r="G397" s="3">
        <v>22.3</v>
      </c>
      <c r="H397" s="3">
        <v>17.8</v>
      </c>
      <c r="I397" s="3">
        <v>26.5</v>
      </c>
      <c r="L397" s="23"/>
      <c r="M397" s="3">
        <v>0.5</v>
      </c>
      <c r="N397" s="3">
        <v>3.4</v>
      </c>
      <c r="W397" s="3">
        <v>1708.7</v>
      </c>
    </row>
    <row r="398" spans="1:23" s="3" customFormat="1" x14ac:dyDescent="0.25">
      <c r="A398" s="3">
        <v>5400</v>
      </c>
      <c r="B398" s="3">
        <v>24010</v>
      </c>
      <c r="C398" s="7">
        <v>42975</v>
      </c>
      <c r="G398" s="3">
        <v>22.8</v>
      </c>
      <c r="H398" s="3">
        <v>17</v>
      </c>
      <c r="I398" s="3">
        <v>28.2</v>
      </c>
      <c r="L398" s="23"/>
      <c r="M398" s="3">
        <v>0.1</v>
      </c>
      <c r="N398" s="3">
        <v>2.7</v>
      </c>
      <c r="W398" s="3">
        <v>1273</v>
      </c>
    </row>
    <row r="399" spans="1:23" s="3" customFormat="1" x14ac:dyDescent="0.25">
      <c r="A399" s="3">
        <v>5400</v>
      </c>
      <c r="B399" s="3">
        <v>24010</v>
      </c>
      <c r="C399" s="7">
        <v>42976</v>
      </c>
      <c r="G399" s="3">
        <v>24.9</v>
      </c>
      <c r="H399" s="3">
        <v>18.399999999999999</v>
      </c>
      <c r="I399" s="3">
        <v>30.8</v>
      </c>
      <c r="L399" s="23"/>
      <c r="M399" s="3">
        <v>0</v>
      </c>
      <c r="N399" s="3">
        <v>4.2</v>
      </c>
      <c r="W399" s="3">
        <v>1864.9</v>
      </c>
    </row>
    <row r="400" spans="1:23" s="3" customFormat="1" x14ac:dyDescent="0.25">
      <c r="A400" s="3">
        <v>5400</v>
      </c>
      <c r="B400" s="3">
        <v>24010</v>
      </c>
      <c r="C400" s="7">
        <v>42977</v>
      </c>
      <c r="G400" s="3">
        <v>17</v>
      </c>
      <c r="H400" s="3">
        <v>14.6</v>
      </c>
      <c r="I400" s="3">
        <v>19.899999999999999</v>
      </c>
      <c r="L400" s="23"/>
      <c r="M400" s="3">
        <v>6</v>
      </c>
      <c r="N400" s="3">
        <v>0.6</v>
      </c>
      <c r="W400" s="3">
        <v>298.5</v>
      </c>
    </row>
    <row r="401" spans="1:23" s="3" customFormat="1" x14ac:dyDescent="0.25">
      <c r="A401" s="3">
        <v>5400</v>
      </c>
      <c r="B401" s="3">
        <v>24010</v>
      </c>
      <c r="C401" s="7">
        <v>42978</v>
      </c>
      <c r="G401" s="3">
        <v>14.9</v>
      </c>
      <c r="H401" s="3">
        <v>11.1</v>
      </c>
      <c r="I401" s="3">
        <v>18.3</v>
      </c>
      <c r="L401" s="23"/>
      <c r="M401" s="3">
        <v>0.4</v>
      </c>
      <c r="N401" s="3">
        <v>1.7</v>
      </c>
      <c r="W401" s="3">
        <v>1065</v>
      </c>
    </row>
  </sheetData>
  <mergeCells count="13">
    <mergeCell ref="Q1:U1"/>
    <mergeCell ref="W1:AB1"/>
    <mergeCell ref="A347:F347"/>
    <mergeCell ref="A35:F35"/>
    <mergeCell ref="F36:F123"/>
    <mergeCell ref="F124:F184"/>
    <mergeCell ref="F296:F312"/>
    <mergeCell ref="F313:F332"/>
    <mergeCell ref="G1:L1"/>
    <mergeCell ref="M1:P1"/>
    <mergeCell ref="F185:F247"/>
    <mergeCell ref="F248:F268"/>
    <mergeCell ref="F269:F295"/>
  </mergeCells>
  <conditionalFormatting sqref="O2">
    <cfRule type="cellIs" dxfId="63" priority="32" operator="lessThan">
      <formula>0</formula>
    </cfRule>
  </conditionalFormatting>
  <conditionalFormatting sqref="O1:O2">
    <cfRule type="cellIs" dxfId="62" priority="31" operator="lessThan">
      <formula>0</formula>
    </cfRule>
  </conditionalFormatting>
  <conditionalFormatting sqref="G1:I2">
    <cfRule type="cellIs" dxfId="61" priority="28" operator="greaterThanOrEqual">
      <formula>25</formula>
    </cfRule>
    <cfRule type="cellIs" dxfId="60" priority="29" operator="between">
      <formula>0</formula>
      <formula>5</formula>
    </cfRule>
    <cfRule type="cellIs" dxfId="59" priority="30" operator="lessThan">
      <formula>0</formula>
    </cfRule>
  </conditionalFormatting>
  <conditionalFormatting sqref="O1:O2">
    <cfRule type="cellIs" dxfId="58" priority="27" operator="lessThan">
      <formula>0</formula>
    </cfRule>
  </conditionalFormatting>
  <conditionalFormatting sqref="W1:W2">
    <cfRule type="cellIs" dxfId="57" priority="26" operator="lessThan">
      <formula>900</formula>
    </cfRule>
  </conditionalFormatting>
  <conditionalFormatting sqref="G1:I2">
    <cfRule type="cellIs" dxfId="56" priority="23" operator="greaterThanOrEqual">
      <formula>25</formula>
    </cfRule>
    <cfRule type="cellIs" dxfId="55" priority="24" operator="between">
      <formula>0</formula>
      <formula>5</formula>
    </cfRule>
    <cfRule type="cellIs" dxfId="54" priority="25" operator="lessThanOrEqual">
      <formula>0</formula>
    </cfRule>
  </conditionalFormatting>
  <conditionalFormatting sqref="O1:O2">
    <cfRule type="cellIs" dxfId="53" priority="22" operator="lessThan">
      <formula>0</formula>
    </cfRule>
  </conditionalFormatting>
  <conditionalFormatting sqref="G1:I1048576">
    <cfRule type="cellIs" dxfId="52" priority="19" operator="greaterThanOrEqual">
      <formula>25</formula>
    </cfRule>
    <cfRule type="cellIs" dxfId="51" priority="20" operator="between">
      <formula>0</formula>
      <formula>5</formula>
    </cfRule>
    <cfRule type="cellIs" dxfId="50" priority="21" operator="lessThan">
      <formula>0</formula>
    </cfRule>
  </conditionalFormatting>
  <conditionalFormatting sqref="O36:O346 P37:P38">
    <cfRule type="cellIs" dxfId="49" priority="18" operator="lessThan">
      <formula>0</formula>
    </cfRule>
  </conditionalFormatting>
  <conditionalFormatting sqref="T36:T346">
    <cfRule type="cellIs" dxfId="48" priority="17" operator="lessThan">
      <formula>0</formula>
    </cfRule>
  </conditionalFormatting>
  <conditionalFormatting sqref="W36:W346">
    <cfRule type="cellIs" dxfId="47" priority="16" operator="lessThan">
      <formula>900</formula>
    </cfRule>
  </conditionalFormatting>
  <conditionalFormatting sqref="L37 L45 L49 L47">
    <cfRule type="cellIs" dxfId="46" priority="14" operator="lessThanOrEqual">
      <formula>0</formula>
    </cfRule>
    <cfRule type="cellIs" dxfId="45" priority="15" operator="lessThanOrEqual">
      <formula>5</formula>
    </cfRule>
  </conditionalFormatting>
  <conditionalFormatting sqref="L125 L133 L137 L135">
    <cfRule type="cellIs" dxfId="44" priority="12" operator="lessThanOrEqual">
      <formula>0</formula>
    </cfRule>
    <cfRule type="cellIs" dxfId="43" priority="13" operator="lessThanOrEqual">
      <formula>5</formula>
    </cfRule>
  </conditionalFormatting>
  <conditionalFormatting sqref="L186 L194 L198 L196">
    <cfRule type="cellIs" dxfId="42" priority="10" operator="lessThanOrEqual">
      <formula>0</formula>
    </cfRule>
    <cfRule type="cellIs" dxfId="41" priority="11" operator="lessThanOrEqual">
      <formula>5</formula>
    </cfRule>
  </conditionalFormatting>
  <conditionalFormatting sqref="L249 L261 L259 L257">
    <cfRule type="cellIs" dxfId="40" priority="8" operator="lessThanOrEqual">
      <formula>0</formula>
    </cfRule>
    <cfRule type="cellIs" dxfId="39" priority="9" operator="lessThanOrEqual">
      <formula>5</formula>
    </cfRule>
  </conditionalFormatting>
  <conditionalFormatting sqref="L270 L278 L280 L282">
    <cfRule type="cellIs" dxfId="38" priority="6" operator="lessThanOrEqual">
      <formula>0</formula>
    </cfRule>
    <cfRule type="cellIs" dxfId="37" priority="7" operator="lessThanOrEqual">
      <formula>5</formula>
    </cfRule>
  </conditionalFormatting>
  <conditionalFormatting sqref="L297 L307">
    <cfRule type="cellIs" dxfId="36" priority="4" operator="lessThanOrEqual">
      <formula>0</formula>
    </cfRule>
    <cfRule type="cellIs" dxfId="35" priority="5" operator="lessThanOrEqual">
      <formula>5</formula>
    </cfRule>
  </conditionalFormatting>
  <conditionalFormatting sqref="O3:O34">
    <cfRule type="cellIs" dxfId="34" priority="3" operator="lessThan">
      <formula>0</formula>
    </cfRule>
  </conditionalFormatting>
  <conditionalFormatting sqref="V37 U36:U346">
    <cfRule type="cellIs" dxfId="33" priority="1" operator="equal">
      <formula>0</formula>
    </cfRule>
    <cfRule type="cellIs" dxfId="32" priority="2" operator="lessThan">
      <formula>51.3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01"/>
  <sheetViews>
    <sheetView zoomScale="70" zoomScaleNormal="70" workbookViewId="0">
      <pane xSplit="6" ySplit="2" topLeftCell="G287" activePane="bottomRight" state="frozen"/>
      <selection pane="topRight" activeCell="G1" sqref="G1"/>
      <selection pane="bottomLeft" activeCell="A3" sqref="A3"/>
      <selection pane="bottomRight" activeCell="V200" sqref="V200"/>
    </sheetView>
  </sheetViews>
  <sheetFormatPr baseColWidth="10" defaultRowHeight="15" x14ac:dyDescent="0.25"/>
  <cols>
    <col min="12" max="12" width="11.42578125" style="11"/>
  </cols>
  <sheetData>
    <row r="1" spans="1:28" s="3" customFormat="1" x14ac:dyDescent="0.25">
      <c r="G1" s="46" t="s">
        <v>9</v>
      </c>
      <c r="H1" s="46"/>
      <c r="I1" s="46"/>
      <c r="J1" s="46"/>
      <c r="K1" s="46"/>
      <c r="L1" s="46"/>
      <c r="M1" s="46" t="s">
        <v>10</v>
      </c>
      <c r="N1" s="46"/>
      <c r="O1" s="46"/>
      <c r="P1" s="46"/>
      <c r="Q1" s="46" t="s">
        <v>11</v>
      </c>
      <c r="R1" s="46"/>
      <c r="S1" s="46"/>
      <c r="T1" s="46"/>
      <c r="U1" s="46"/>
      <c r="V1" s="40"/>
      <c r="W1" s="46" t="s">
        <v>12</v>
      </c>
      <c r="X1" s="46"/>
      <c r="Y1" s="46"/>
      <c r="Z1" s="46"/>
      <c r="AA1" s="46"/>
      <c r="AB1" s="46"/>
    </row>
    <row r="2" spans="1:28" s="3" customFormat="1" x14ac:dyDescent="0.25">
      <c r="A2" s="5" t="s">
        <v>0</v>
      </c>
      <c r="B2" s="5" t="s">
        <v>1</v>
      </c>
      <c r="C2" s="5" t="s">
        <v>2</v>
      </c>
      <c r="D2" s="5" t="s">
        <v>13</v>
      </c>
      <c r="E2" s="5" t="s">
        <v>14</v>
      </c>
      <c r="F2" s="5" t="s">
        <v>15</v>
      </c>
      <c r="G2" s="5" t="s">
        <v>4</v>
      </c>
      <c r="H2" s="5" t="s">
        <v>7</v>
      </c>
      <c r="I2" s="5" t="s">
        <v>8</v>
      </c>
      <c r="J2" s="1" t="s">
        <v>16</v>
      </c>
      <c r="K2" s="1" t="s">
        <v>17</v>
      </c>
      <c r="L2" s="6" t="s">
        <v>18</v>
      </c>
      <c r="M2" s="1" t="s">
        <v>3</v>
      </c>
      <c r="N2" s="1" t="s">
        <v>6</v>
      </c>
      <c r="O2" s="2" t="s">
        <v>19</v>
      </c>
      <c r="P2" s="2" t="s">
        <v>20</v>
      </c>
      <c r="Q2" s="2" t="s">
        <v>21</v>
      </c>
      <c r="R2" s="2" t="s">
        <v>22</v>
      </c>
      <c r="S2" s="2" t="s">
        <v>23</v>
      </c>
      <c r="T2" s="2" t="s">
        <v>24</v>
      </c>
      <c r="U2" s="2" t="s">
        <v>25</v>
      </c>
      <c r="V2" s="6" t="s">
        <v>26</v>
      </c>
      <c r="W2" s="1" t="s">
        <v>5</v>
      </c>
      <c r="X2" s="1" t="s">
        <v>27</v>
      </c>
      <c r="Y2" s="1" t="s">
        <v>28</v>
      </c>
      <c r="Z2" s="1" t="s">
        <v>29</v>
      </c>
      <c r="AA2" s="1" t="s">
        <v>30</v>
      </c>
      <c r="AB2" s="1" t="s">
        <v>31</v>
      </c>
    </row>
    <row r="3" spans="1:28" s="3" customFormat="1" x14ac:dyDescent="0.25">
      <c r="A3" s="3">
        <v>5400</v>
      </c>
      <c r="B3" s="3">
        <v>24010</v>
      </c>
      <c r="C3" s="7">
        <v>42582</v>
      </c>
      <c r="G3" s="3">
        <v>19.100000000000001</v>
      </c>
      <c r="H3" s="3">
        <v>15</v>
      </c>
      <c r="I3" s="3">
        <v>22.9</v>
      </c>
      <c r="L3" s="23"/>
      <c r="M3" s="3">
        <v>0</v>
      </c>
      <c r="N3" s="3">
        <v>3.2</v>
      </c>
      <c r="O3" s="3">
        <f>M3-N3</f>
        <v>-3.2</v>
      </c>
      <c r="P3" s="3">
        <v>0</v>
      </c>
      <c r="W3" s="3">
        <v>1373.1</v>
      </c>
    </row>
    <row r="4" spans="1:28" s="3" customFormat="1" x14ac:dyDescent="0.25">
      <c r="A4" s="3">
        <v>5400</v>
      </c>
      <c r="B4" s="3">
        <v>24010</v>
      </c>
      <c r="C4" s="7">
        <v>42583</v>
      </c>
      <c r="G4" s="3">
        <v>18.5</v>
      </c>
      <c r="H4" s="3">
        <v>13.2</v>
      </c>
      <c r="I4" s="3">
        <v>22.5</v>
      </c>
      <c r="L4" s="23"/>
      <c r="M4" s="3">
        <v>1</v>
      </c>
      <c r="N4" s="3">
        <v>4.3</v>
      </c>
      <c r="O4" s="3">
        <f t="shared" ref="O4:O34" si="0">M4-N4</f>
        <v>-3.3</v>
      </c>
      <c r="P4" s="3">
        <v>0</v>
      </c>
      <c r="W4" s="3">
        <v>2108.6</v>
      </c>
    </row>
    <row r="5" spans="1:28" s="3" customFormat="1" x14ac:dyDescent="0.25">
      <c r="A5" s="3">
        <v>5400</v>
      </c>
      <c r="B5" s="3">
        <v>24010</v>
      </c>
      <c r="C5" s="7">
        <v>42584</v>
      </c>
      <c r="G5" s="3">
        <v>19.3</v>
      </c>
      <c r="H5" s="3">
        <v>16.100000000000001</v>
      </c>
      <c r="I5" s="3">
        <v>21.2</v>
      </c>
      <c r="L5" s="23"/>
      <c r="M5" s="3">
        <v>0.8</v>
      </c>
      <c r="N5" s="3">
        <v>2</v>
      </c>
      <c r="O5" s="3">
        <f t="shared" si="0"/>
        <v>-1.2</v>
      </c>
      <c r="P5" s="3">
        <v>0</v>
      </c>
      <c r="W5" s="3">
        <v>830.6</v>
      </c>
    </row>
    <row r="6" spans="1:28" s="3" customFormat="1" x14ac:dyDescent="0.25">
      <c r="A6" s="3">
        <v>5400</v>
      </c>
      <c r="B6" s="3">
        <v>24010</v>
      </c>
      <c r="C6" s="7">
        <v>42585</v>
      </c>
      <c r="G6" s="3">
        <v>20.2</v>
      </c>
      <c r="H6" s="3">
        <v>17.5</v>
      </c>
      <c r="I6" s="3">
        <v>24.3</v>
      </c>
      <c r="L6" s="23"/>
      <c r="M6" s="3">
        <v>0.9</v>
      </c>
      <c r="N6" s="3">
        <v>3.9</v>
      </c>
      <c r="O6" s="3">
        <f t="shared" si="0"/>
        <v>-3</v>
      </c>
      <c r="P6" s="3">
        <v>0</v>
      </c>
      <c r="W6" s="3">
        <v>1660.3</v>
      </c>
    </row>
    <row r="7" spans="1:28" s="3" customFormat="1" x14ac:dyDescent="0.25">
      <c r="A7" s="3">
        <v>5400</v>
      </c>
      <c r="B7" s="3">
        <v>24010</v>
      </c>
      <c r="C7" s="7">
        <v>42586</v>
      </c>
      <c r="G7" s="3">
        <v>17.399999999999999</v>
      </c>
      <c r="H7" s="3">
        <v>16</v>
      </c>
      <c r="I7" s="3">
        <v>19.5</v>
      </c>
      <c r="L7" s="23"/>
      <c r="M7" s="3">
        <v>4.4000000000000004</v>
      </c>
      <c r="N7" s="3">
        <v>2.4</v>
      </c>
      <c r="O7" s="3">
        <f t="shared" si="0"/>
        <v>2.0000000000000004</v>
      </c>
      <c r="P7" s="3">
        <f>O7</f>
        <v>2.0000000000000004</v>
      </c>
      <c r="W7" s="3">
        <v>1504.1</v>
      </c>
    </row>
    <row r="8" spans="1:28" s="3" customFormat="1" x14ac:dyDescent="0.25">
      <c r="A8" s="3">
        <v>5400</v>
      </c>
      <c r="B8" s="3">
        <v>24010</v>
      </c>
      <c r="C8" s="7">
        <v>42587</v>
      </c>
      <c r="G8" s="3">
        <v>17.100000000000001</v>
      </c>
      <c r="H8" s="3">
        <v>13</v>
      </c>
      <c r="I8" s="3">
        <v>21.2</v>
      </c>
      <c r="L8" s="23"/>
      <c r="M8" s="3">
        <v>0</v>
      </c>
      <c r="N8" s="3">
        <v>3</v>
      </c>
      <c r="O8" s="3">
        <f t="shared" si="0"/>
        <v>-3</v>
      </c>
      <c r="P8" s="3">
        <v>0</v>
      </c>
      <c r="W8" s="3">
        <v>1579.8</v>
      </c>
    </row>
    <row r="9" spans="1:28" s="3" customFormat="1" x14ac:dyDescent="0.25">
      <c r="A9" s="3">
        <v>5400</v>
      </c>
      <c r="B9" s="3">
        <v>24010</v>
      </c>
      <c r="C9" s="7">
        <v>42588</v>
      </c>
      <c r="G9" s="3">
        <v>18.399999999999999</v>
      </c>
      <c r="H9" s="3">
        <v>12.5</v>
      </c>
      <c r="I9" s="3">
        <v>25.1</v>
      </c>
      <c r="L9" s="23"/>
      <c r="M9" s="3">
        <v>0</v>
      </c>
      <c r="N9" s="3">
        <v>3.7</v>
      </c>
      <c r="O9" s="3">
        <f t="shared" si="0"/>
        <v>-3.7</v>
      </c>
      <c r="P9" s="3">
        <v>0</v>
      </c>
      <c r="W9" s="3">
        <v>1806.8</v>
      </c>
    </row>
    <row r="10" spans="1:28" s="3" customFormat="1" x14ac:dyDescent="0.25">
      <c r="A10" s="3">
        <v>5400</v>
      </c>
      <c r="B10" s="3">
        <v>24010</v>
      </c>
      <c r="C10" s="7">
        <v>42589</v>
      </c>
      <c r="G10" s="3">
        <v>21.4</v>
      </c>
      <c r="H10" s="3">
        <v>14.3</v>
      </c>
      <c r="I10" s="3">
        <v>27.8</v>
      </c>
      <c r="L10" s="23"/>
      <c r="M10" s="3">
        <v>0</v>
      </c>
      <c r="N10" s="3">
        <v>5</v>
      </c>
      <c r="O10" s="3">
        <f t="shared" si="0"/>
        <v>-5</v>
      </c>
      <c r="P10" s="3">
        <v>0</v>
      </c>
      <c r="W10" s="3">
        <v>2365.6999999999998</v>
      </c>
    </row>
    <row r="11" spans="1:28" s="3" customFormat="1" x14ac:dyDescent="0.25">
      <c r="A11" s="3">
        <v>5400</v>
      </c>
      <c r="B11" s="3">
        <v>24010</v>
      </c>
      <c r="C11" s="7">
        <v>42590</v>
      </c>
      <c r="G11" s="3">
        <v>18.399999999999999</v>
      </c>
      <c r="H11" s="3">
        <v>16.600000000000001</v>
      </c>
      <c r="I11" s="3">
        <v>20.8</v>
      </c>
      <c r="L11" s="23"/>
      <c r="M11" s="3">
        <v>0</v>
      </c>
      <c r="N11" s="3">
        <v>2.2999999999999998</v>
      </c>
      <c r="O11" s="3">
        <f t="shared" si="0"/>
        <v>-2.2999999999999998</v>
      </c>
      <c r="P11" s="3">
        <v>0</v>
      </c>
      <c r="W11" s="3">
        <v>894.5</v>
      </c>
    </row>
    <row r="12" spans="1:28" s="3" customFormat="1" x14ac:dyDescent="0.25">
      <c r="A12" s="3">
        <v>5400</v>
      </c>
      <c r="B12" s="3">
        <v>24010</v>
      </c>
      <c r="C12" s="7">
        <v>42591</v>
      </c>
      <c r="G12" s="3">
        <v>16.399999999999999</v>
      </c>
      <c r="H12" s="3">
        <v>12.8</v>
      </c>
      <c r="I12" s="3">
        <v>20.2</v>
      </c>
      <c r="L12" s="23"/>
      <c r="M12" s="3">
        <v>0</v>
      </c>
      <c r="N12" s="3">
        <v>3.2</v>
      </c>
      <c r="O12" s="3">
        <f t="shared" si="0"/>
        <v>-3.2</v>
      </c>
      <c r="P12" s="3">
        <v>0</v>
      </c>
      <c r="W12" s="3">
        <v>1561.9</v>
      </c>
    </row>
    <row r="13" spans="1:28" s="3" customFormat="1" x14ac:dyDescent="0.25">
      <c r="A13" s="3">
        <v>5400</v>
      </c>
      <c r="B13" s="3">
        <v>24010</v>
      </c>
      <c r="C13" s="7">
        <v>42592</v>
      </c>
      <c r="G13" s="3">
        <v>14.1</v>
      </c>
      <c r="H13" s="3">
        <v>10.8</v>
      </c>
      <c r="I13" s="3">
        <v>18.5</v>
      </c>
      <c r="L13" s="23"/>
      <c r="M13" s="3">
        <v>0</v>
      </c>
      <c r="N13" s="3">
        <v>2.6</v>
      </c>
      <c r="O13" s="3">
        <f t="shared" si="0"/>
        <v>-2.6</v>
      </c>
      <c r="P13" s="3">
        <v>0</v>
      </c>
      <c r="W13" s="3">
        <v>1206.8</v>
      </c>
    </row>
    <row r="14" spans="1:28" s="3" customFormat="1" x14ac:dyDescent="0.25">
      <c r="A14" s="3">
        <v>5400</v>
      </c>
      <c r="B14" s="3">
        <v>24010</v>
      </c>
      <c r="C14" s="7">
        <v>42593</v>
      </c>
      <c r="G14" s="3">
        <v>15.5</v>
      </c>
      <c r="H14" s="3">
        <v>8.8000000000000007</v>
      </c>
      <c r="I14" s="3">
        <v>21.8</v>
      </c>
      <c r="L14" s="23"/>
      <c r="M14" s="3">
        <v>0</v>
      </c>
      <c r="N14" s="3">
        <v>2.5</v>
      </c>
      <c r="O14" s="3">
        <f t="shared" si="0"/>
        <v>-2.5</v>
      </c>
      <c r="P14" s="3">
        <v>0</v>
      </c>
      <c r="W14" s="3">
        <v>1150.5999999999999</v>
      </c>
    </row>
    <row r="15" spans="1:28" s="3" customFormat="1" x14ac:dyDescent="0.25">
      <c r="A15" s="3">
        <v>5400</v>
      </c>
      <c r="B15" s="3">
        <v>24010</v>
      </c>
      <c r="C15" s="7">
        <v>42594</v>
      </c>
      <c r="G15" s="3">
        <v>19.7</v>
      </c>
      <c r="H15" s="3">
        <v>12.9</v>
      </c>
      <c r="I15" s="3">
        <v>26.6</v>
      </c>
      <c r="L15" s="23"/>
      <c r="M15" s="3">
        <v>0</v>
      </c>
      <c r="N15" s="3">
        <v>5.3</v>
      </c>
      <c r="O15" s="3">
        <f t="shared" si="0"/>
        <v>-5.3</v>
      </c>
      <c r="P15" s="3">
        <v>0</v>
      </c>
      <c r="W15" s="3">
        <v>2700.4</v>
      </c>
    </row>
    <row r="16" spans="1:28" s="3" customFormat="1" x14ac:dyDescent="0.25">
      <c r="A16" s="3">
        <v>5400</v>
      </c>
      <c r="B16" s="3">
        <v>24010</v>
      </c>
      <c r="C16" s="7">
        <v>42595</v>
      </c>
      <c r="G16" s="3">
        <v>20.9</v>
      </c>
      <c r="H16" s="3">
        <v>13.8</v>
      </c>
      <c r="I16" s="3">
        <v>27.9</v>
      </c>
      <c r="L16" s="23"/>
      <c r="M16" s="3">
        <v>0</v>
      </c>
      <c r="N16" s="3">
        <v>4.7</v>
      </c>
      <c r="O16" s="3">
        <f t="shared" si="0"/>
        <v>-4.7</v>
      </c>
      <c r="P16" s="3">
        <v>0</v>
      </c>
      <c r="W16" s="3">
        <v>2019.8</v>
      </c>
    </row>
    <row r="17" spans="1:23" s="3" customFormat="1" x14ac:dyDescent="0.25">
      <c r="A17" s="3">
        <v>5400</v>
      </c>
      <c r="B17" s="3">
        <v>24010</v>
      </c>
      <c r="C17" s="7">
        <v>42596</v>
      </c>
      <c r="G17" s="3">
        <v>20.6</v>
      </c>
      <c r="H17" s="3">
        <v>14.5</v>
      </c>
      <c r="I17" s="3">
        <v>26.9</v>
      </c>
      <c r="L17" s="23"/>
      <c r="M17" s="3">
        <v>0</v>
      </c>
      <c r="N17" s="3">
        <v>4.5</v>
      </c>
      <c r="O17" s="3">
        <f t="shared" si="0"/>
        <v>-4.5</v>
      </c>
      <c r="P17" s="3">
        <v>0</v>
      </c>
      <c r="W17" s="3">
        <v>2156.1</v>
      </c>
    </row>
    <row r="18" spans="1:23" s="3" customFormat="1" x14ac:dyDescent="0.25">
      <c r="A18" s="3">
        <v>5400</v>
      </c>
      <c r="B18" s="3">
        <v>24010</v>
      </c>
      <c r="C18" s="7">
        <v>42597</v>
      </c>
      <c r="G18" s="3">
        <v>21</v>
      </c>
      <c r="H18" s="3">
        <v>15</v>
      </c>
      <c r="I18" s="3">
        <v>26.6</v>
      </c>
      <c r="L18" s="23"/>
      <c r="M18" s="3">
        <v>0</v>
      </c>
      <c r="N18" s="3">
        <v>5.7</v>
      </c>
      <c r="O18" s="3">
        <f t="shared" si="0"/>
        <v>-5.7</v>
      </c>
      <c r="P18" s="3">
        <v>0</v>
      </c>
      <c r="W18" s="3">
        <v>2665.6</v>
      </c>
    </row>
    <row r="19" spans="1:23" s="3" customFormat="1" x14ac:dyDescent="0.25">
      <c r="A19" s="3">
        <v>5400</v>
      </c>
      <c r="B19" s="3">
        <v>24010</v>
      </c>
      <c r="C19" s="7">
        <v>42598</v>
      </c>
      <c r="G19" s="3">
        <v>22.3</v>
      </c>
      <c r="H19" s="3">
        <v>15.4</v>
      </c>
      <c r="I19" s="3">
        <v>28.7</v>
      </c>
      <c r="L19" s="23"/>
      <c r="M19" s="3">
        <v>0</v>
      </c>
      <c r="N19" s="3">
        <v>5.2</v>
      </c>
      <c r="O19" s="3">
        <f t="shared" si="0"/>
        <v>-5.2</v>
      </c>
      <c r="P19" s="3">
        <v>0</v>
      </c>
      <c r="W19" s="3">
        <v>2480.9</v>
      </c>
    </row>
    <row r="20" spans="1:23" s="3" customFormat="1" x14ac:dyDescent="0.25">
      <c r="A20" s="3">
        <v>5400</v>
      </c>
      <c r="B20" s="3">
        <v>24010</v>
      </c>
      <c r="C20" s="7">
        <v>42599</v>
      </c>
      <c r="G20" s="3">
        <v>23.1</v>
      </c>
      <c r="H20" s="3">
        <v>15.1</v>
      </c>
      <c r="I20" s="3">
        <v>29.7</v>
      </c>
      <c r="L20" s="23"/>
      <c r="M20" s="3">
        <v>6.2</v>
      </c>
      <c r="N20" s="3">
        <v>5</v>
      </c>
      <c r="O20" s="3">
        <f t="shared" si="0"/>
        <v>1.2000000000000002</v>
      </c>
      <c r="P20" s="3">
        <f t="shared" ref="P20:P22" si="1">P19+O20</f>
        <v>1.2000000000000002</v>
      </c>
      <c r="W20" s="3">
        <v>2264.4</v>
      </c>
    </row>
    <row r="21" spans="1:23" s="3" customFormat="1" x14ac:dyDescent="0.25">
      <c r="A21" s="3">
        <v>5400</v>
      </c>
      <c r="B21" s="3">
        <v>24010</v>
      </c>
      <c r="C21" s="7">
        <v>42600</v>
      </c>
      <c r="G21" s="3">
        <v>20.3</v>
      </c>
      <c r="H21" s="3">
        <v>18.600000000000001</v>
      </c>
      <c r="I21" s="3">
        <v>21.6</v>
      </c>
      <c r="L21" s="23"/>
      <c r="M21" s="3">
        <v>2</v>
      </c>
      <c r="N21" s="3">
        <v>1.1000000000000001</v>
      </c>
      <c r="O21" s="3">
        <f t="shared" si="0"/>
        <v>0.89999999999999991</v>
      </c>
      <c r="P21" s="3">
        <f t="shared" si="1"/>
        <v>2.1</v>
      </c>
      <c r="W21" s="3">
        <v>472</v>
      </c>
    </row>
    <row r="22" spans="1:23" s="3" customFormat="1" x14ac:dyDescent="0.25">
      <c r="A22" s="3">
        <v>5400</v>
      </c>
      <c r="B22" s="3">
        <v>24010</v>
      </c>
      <c r="C22" s="7">
        <v>42601</v>
      </c>
      <c r="G22" s="3">
        <v>17.3</v>
      </c>
      <c r="H22" s="3">
        <v>16.3</v>
      </c>
      <c r="I22" s="3">
        <v>19.100000000000001</v>
      </c>
      <c r="L22" s="23"/>
      <c r="M22" s="3">
        <v>1.9</v>
      </c>
      <c r="N22" s="3">
        <v>1.5</v>
      </c>
      <c r="O22" s="3">
        <f t="shared" si="0"/>
        <v>0.39999999999999991</v>
      </c>
      <c r="P22" s="3">
        <f t="shared" si="1"/>
        <v>2.5</v>
      </c>
      <c r="W22" s="3">
        <v>805.6</v>
      </c>
    </row>
    <row r="23" spans="1:23" s="3" customFormat="1" x14ac:dyDescent="0.25">
      <c r="A23" s="3">
        <v>5400</v>
      </c>
      <c r="B23" s="3">
        <v>24010</v>
      </c>
      <c r="C23" s="7">
        <v>42602</v>
      </c>
      <c r="G23" s="3">
        <v>17.8</v>
      </c>
      <c r="H23" s="3">
        <v>13.7</v>
      </c>
      <c r="I23" s="3">
        <v>22.5</v>
      </c>
      <c r="L23" s="23"/>
      <c r="M23" s="3">
        <v>0.1</v>
      </c>
      <c r="N23" s="3">
        <v>3.9</v>
      </c>
      <c r="O23" s="3">
        <f t="shared" si="0"/>
        <v>-3.8</v>
      </c>
      <c r="P23" s="3">
        <v>0</v>
      </c>
      <c r="W23" s="3">
        <v>1788.1</v>
      </c>
    </row>
    <row r="24" spans="1:23" s="3" customFormat="1" x14ac:dyDescent="0.25">
      <c r="A24" s="3">
        <v>5400</v>
      </c>
      <c r="B24" s="3">
        <v>24010</v>
      </c>
      <c r="C24" s="7">
        <v>42603</v>
      </c>
      <c r="G24" s="3">
        <v>16.7</v>
      </c>
      <c r="H24" s="3">
        <v>12.1</v>
      </c>
      <c r="I24" s="3">
        <v>21.2</v>
      </c>
      <c r="L24" s="23"/>
      <c r="M24" s="3">
        <v>0</v>
      </c>
      <c r="N24" s="3">
        <v>2.7</v>
      </c>
      <c r="O24" s="3">
        <f t="shared" si="0"/>
        <v>-2.7</v>
      </c>
      <c r="P24" s="3">
        <v>0</v>
      </c>
      <c r="W24" s="3">
        <v>978.4</v>
      </c>
    </row>
    <row r="25" spans="1:23" s="3" customFormat="1" x14ac:dyDescent="0.25">
      <c r="A25" s="3">
        <v>5400</v>
      </c>
      <c r="B25" s="3">
        <v>24010</v>
      </c>
      <c r="C25" s="7">
        <v>42604</v>
      </c>
      <c r="G25" s="3">
        <v>20.5</v>
      </c>
      <c r="H25" s="3">
        <v>13.3</v>
      </c>
      <c r="I25" s="3">
        <v>27.1</v>
      </c>
      <c r="L25" s="23"/>
      <c r="M25" s="3">
        <v>0</v>
      </c>
      <c r="N25" s="3">
        <v>4.9000000000000004</v>
      </c>
      <c r="O25" s="3">
        <f t="shared" si="0"/>
        <v>-4.9000000000000004</v>
      </c>
      <c r="P25" s="3">
        <v>0</v>
      </c>
      <c r="W25" s="3">
        <v>2405.5</v>
      </c>
    </row>
    <row r="26" spans="1:23" s="3" customFormat="1" x14ac:dyDescent="0.25">
      <c r="A26" s="3">
        <v>5400</v>
      </c>
      <c r="B26" s="3">
        <v>24010</v>
      </c>
      <c r="C26" s="7">
        <v>42605</v>
      </c>
      <c r="G26" s="3">
        <v>24.1</v>
      </c>
      <c r="H26" s="3">
        <v>16.2</v>
      </c>
      <c r="I26" s="3">
        <v>31.5</v>
      </c>
      <c r="L26" s="23"/>
      <c r="M26" s="3">
        <v>0</v>
      </c>
      <c r="N26" s="3">
        <v>6.3</v>
      </c>
      <c r="O26" s="3">
        <f t="shared" si="0"/>
        <v>-6.3</v>
      </c>
      <c r="P26" s="3">
        <v>0</v>
      </c>
      <c r="W26" s="3">
        <v>2484.6</v>
      </c>
    </row>
    <row r="27" spans="1:23" s="3" customFormat="1" x14ac:dyDescent="0.25">
      <c r="A27" s="3">
        <v>5400</v>
      </c>
      <c r="B27" s="3">
        <v>24010</v>
      </c>
      <c r="C27" s="7">
        <v>42606</v>
      </c>
      <c r="G27" s="3">
        <v>26.7</v>
      </c>
      <c r="H27" s="3">
        <v>18.600000000000001</v>
      </c>
      <c r="I27" s="3">
        <v>34.299999999999997</v>
      </c>
      <c r="L27" s="23"/>
      <c r="M27" s="3">
        <v>0</v>
      </c>
      <c r="N27" s="3">
        <v>6.2</v>
      </c>
      <c r="O27" s="3">
        <f t="shared" si="0"/>
        <v>-6.2</v>
      </c>
      <c r="P27" s="3">
        <v>0</v>
      </c>
      <c r="W27" s="3">
        <v>2475.1999999999998</v>
      </c>
    </row>
    <row r="28" spans="1:23" s="3" customFormat="1" x14ac:dyDescent="0.25">
      <c r="A28" s="3">
        <v>5400</v>
      </c>
      <c r="B28" s="3">
        <v>24010</v>
      </c>
      <c r="C28" s="7">
        <v>42607</v>
      </c>
      <c r="G28" s="3">
        <v>26.2</v>
      </c>
      <c r="H28" s="3">
        <v>17.899999999999999</v>
      </c>
      <c r="I28" s="3">
        <v>34</v>
      </c>
      <c r="L28" s="23"/>
      <c r="M28" s="3">
        <v>0</v>
      </c>
      <c r="N28" s="3">
        <v>5.9</v>
      </c>
      <c r="O28" s="3">
        <f t="shared" si="0"/>
        <v>-5.9</v>
      </c>
      <c r="P28" s="3">
        <v>0</v>
      </c>
      <c r="W28" s="3">
        <v>2361.9</v>
      </c>
    </row>
    <row r="29" spans="1:23" s="3" customFormat="1" x14ac:dyDescent="0.25">
      <c r="A29" s="3">
        <v>5400</v>
      </c>
      <c r="B29" s="3">
        <v>24010</v>
      </c>
      <c r="C29" s="7">
        <v>42608</v>
      </c>
      <c r="G29" s="3">
        <v>25.7</v>
      </c>
      <c r="H29" s="3">
        <v>19.5</v>
      </c>
      <c r="I29" s="3">
        <v>31.6</v>
      </c>
      <c r="L29" s="23"/>
      <c r="M29" s="3">
        <v>0</v>
      </c>
      <c r="N29" s="3">
        <v>5</v>
      </c>
      <c r="O29" s="3">
        <f t="shared" si="0"/>
        <v>-5</v>
      </c>
      <c r="P29" s="3">
        <v>0</v>
      </c>
      <c r="W29" s="3">
        <v>2139.6</v>
      </c>
    </row>
    <row r="30" spans="1:23" s="3" customFormat="1" x14ac:dyDescent="0.25">
      <c r="A30" s="3">
        <v>5400</v>
      </c>
      <c r="B30" s="3">
        <v>24010</v>
      </c>
      <c r="C30" s="7">
        <v>42609</v>
      </c>
      <c r="G30" s="3">
        <v>25.7</v>
      </c>
      <c r="H30" s="3">
        <v>17.600000000000001</v>
      </c>
      <c r="I30" s="3">
        <v>31.9</v>
      </c>
      <c r="L30" s="23"/>
      <c r="M30" s="3">
        <v>0</v>
      </c>
      <c r="N30" s="3">
        <v>4.2</v>
      </c>
      <c r="O30" s="3">
        <f t="shared" si="0"/>
        <v>-4.2</v>
      </c>
      <c r="P30" s="3">
        <v>0</v>
      </c>
      <c r="W30" s="3">
        <v>1821.9</v>
      </c>
    </row>
    <row r="31" spans="1:23" s="3" customFormat="1" x14ac:dyDescent="0.25">
      <c r="A31" s="3">
        <v>5400</v>
      </c>
      <c r="B31" s="3">
        <v>24010</v>
      </c>
      <c r="C31" s="7">
        <v>42610</v>
      </c>
      <c r="G31" s="3">
        <v>21.6</v>
      </c>
      <c r="H31" s="3">
        <v>18.7</v>
      </c>
      <c r="I31" s="3">
        <v>24.6</v>
      </c>
      <c r="L31" s="23"/>
      <c r="M31" s="3">
        <v>0</v>
      </c>
      <c r="N31" s="3">
        <v>4</v>
      </c>
      <c r="O31" s="3">
        <f t="shared" si="0"/>
        <v>-4</v>
      </c>
      <c r="P31" s="3">
        <v>0</v>
      </c>
      <c r="W31" s="3">
        <v>1529.2</v>
      </c>
    </row>
    <row r="32" spans="1:23" s="3" customFormat="1" x14ac:dyDescent="0.25">
      <c r="A32" s="3">
        <v>5400</v>
      </c>
      <c r="B32" s="3">
        <v>24010</v>
      </c>
      <c r="C32" s="7">
        <v>42611</v>
      </c>
      <c r="G32" s="3">
        <v>18.5</v>
      </c>
      <c r="H32" s="3">
        <v>16.8</v>
      </c>
      <c r="I32" s="3">
        <v>21.3</v>
      </c>
      <c r="L32" s="23"/>
      <c r="M32" s="3">
        <v>0.4</v>
      </c>
      <c r="N32" s="3">
        <v>1.9</v>
      </c>
      <c r="O32" s="3">
        <f t="shared" si="0"/>
        <v>-1.5</v>
      </c>
      <c r="P32" s="3">
        <v>0</v>
      </c>
      <c r="W32" s="3">
        <v>1031.7</v>
      </c>
    </row>
    <row r="33" spans="1:28" s="3" customFormat="1" x14ac:dyDescent="0.25">
      <c r="A33" s="3">
        <v>5400</v>
      </c>
      <c r="B33" s="3">
        <v>24010</v>
      </c>
      <c r="C33" s="7">
        <v>42612</v>
      </c>
      <c r="G33" s="3">
        <v>19.2</v>
      </c>
      <c r="H33" s="3">
        <v>13</v>
      </c>
      <c r="I33" s="3">
        <v>24.7</v>
      </c>
      <c r="L33" s="23"/>
      <c r="M33" s="3">
        <v>0</v>
      </c>
      <c r="N33" s="3">
        <v>3.9</v>
      </c>
      <c r="O33" s="3">
        <f t="shared" si="0"/>
        <v>-3.9</v>
      </c>
      <c r="P33" s="3">
        <v>0</v>
      </c>
      <c r="V33" s="3">
        <v>153.9</v>
      </c>
      <c r="W33" s="3">
        <v>1935.2</v>
      </c>
    </row>
    <row r="34" spans="1:28" s="3" customFormat="1" x14ac:dyDescent="0.25">
      <c r="A34" s="3">
        <v>5400</v>
      </c>
      <c r="B34" s="3">
        <v>24010</v>
      </c>
      <c r="C34" s="7">
        <v>42613</v>
      </c>
      <c r="G34" s="3">
        <v>20.2</v>
      </c>
      <c r="H34" s="3">
        <v>13.7</v>
      </c>
      <c r="I34" s="3">
        <v>26.2</v>
      </c>
      <c r="L34" s="23"/>
      <c r="M34" s="3">
        <v>0</v>
      </c>
      <c r="N34" s="3">
        <v>3.8</v>
      </c>
      <c r="O34" s="3">
        <f t="shared" si="0"/>
        <v>-3.8</v>
      </c>
      <c r="P34" s="3">
        <v>0</v>
      </c>
      <c r="W34" s="3">
        <v>1794</v>
      </c>
    </row>
    <row r="35" spans="1:28" s="8" customFormat="1" x14ac:dyDescent="0.25">
      <c r="A35" s="48" t="s">
        <v>36</v>
      </c>
      <c r="B35" s="48"/>
      <c r="C35" s="48"/>
      <c r="D35" s="48"/>
      <c r="E35" s="48"/>
      <c r="F35" s="48"/>
      <c r="L35" s="24"/>
    </row>
    <row r="36" spans="1:28" s="3" customFormat="1" x14ac:dyDescent="0.25">
      <c r="A36" s="3">
        <v>5400</v>
      </c>
      <c r="B36" s="3">
        <v>24010</v>
      </c>
      <c r="C36" s="7">
        <v>42614</v>
      </c>
      <c r="D36" s="3" t="s">
        <v>32</v>
      </c>
      <c r="F36" s="49" t="s">
        <v>46</v>
      </c>
      <c r="G36" s="3">
        <v>19.399999999999999</v>
      </c>
      <c r="H36" s="3">
        <v>12.7</v>
      </c>
      <c r="I36" s="3">
        <v>25</v>
      </c>
      <c r="J36" s="3">
        <f>G36</f>
        <v>19.399999999999999</v>
      </c>
      <c r="L36" s="10" t="s">
        <v>39</v>
      </c>
      <c r="M36" s="3">
        <v>0</v>
      </c>
      <c r="N36" s="3">
        <v>3.1</v>
      </c>
      <c r="O36" s="3">
        <f>M36-N36</f>
        <v>-3.1</v>
      </c>
      <c r="P36" s="3">
        <v>0</v>
      </c>
      <c r="Q36" s="3">
        <v>1</v>
      </c>
      <c r="R36" s="27">
        <v>0.35</v>
      </c>
      <c r="S36" s="3">
        <f>R36*N36</f>
        <v>1.085</v>
      </c>
      <c r="T36" s="28">
        <f>M36-S36</f>
        <v>-1.085</v>
      </c>
      <c r="U36" s="3">
        <v>0</v>
      </c>
      <c r="V36" s="31" t="s">
        <v>53</v>
      </c>
      <c r="W36" s="3">
        <v>1735.6</v>
      </c>
      <c r="Y36" s="3">
        <f>W36</f>
        <v>1735.6</v>
      </c>
      <c r="AA36" s="3">
        <v>13.180892965476614</v>
      </c>
      <c r="AB36" s="31" t="s">
        <v>58</v>
      </c>
    </row>
    <row r="37" spans="1:28" s="3" customFormat="1" x14ac:dyDescent="0.25">
      <c r="A37" s="3">
        <v>5400</v>
      </c>
      <c r="B37" s="3">
        <v>24010</v>
      </c>
      <c r="C37" s="7">
        <v>42615</v>
      </c>
      <c r="F37" s="50"/>
      <c r="G37" s="3">
        <v>20.399999999999999</v>
      </c>
      <c r="H37" s="3">
        <v>12.7</v>
      </c>
      <c r="I37" s="3">
        <v>27.2</v>
      </c>
      <c r="J37" s="3">
        <f>J36+G37</f>
        <v>39.799999999999997</v>
      </c>
      <c r="L37" s="11">
        <v>1062.7</v>
      </c>
      <c r="M37" s="3">
        <v>0</v>
      </c>
      <c r="N37" s="3">
        <v>2.9</v>
      </c>
      <c r="O37" s="3">
        <f t="shared" ref="O37:O100" si="2">M37-N37</f>
        <v>-2.9</v>
      </c>
      <c r="P37" s="27">
        <v>0</v>
      </c>
      <c r="Q37" s="3">
        <v>2</v>
      </c>
      <c r="R37" s="27">
        <v>0.35</v>
      </c>
      <c r="S37" s="3">
        <f t="shared" ref="S37:S100" si="3">R37*N37</f>
        <v>1.0149999999999999</v>
      </c>
      <c r="T37" s="28">
        <f t="shared" ref="T37:T100" si="4">M37-S37</f>
        <v>-1.0149999999999999</v>
      </c>
      <c r="U37" s="3">
        <v>0</v>
      </c>
      <c r="V37" s="3">
        <v>7</v>
      </c>
      <c r="W37" s="3">
        <v>1398.5</v>
      </c>
      <c r="Y37" s="3">
        <f>Y36+W37</f>
        <v>3134.1</v>
      </c>
      <c r="AA37" s="3">
        <v>13.121352797326681</v>
      </c>
      <c r="AB37">
        <v>59556.5</v>
      </c>
    </row>
    <row r="38" spans="1:28" s="3" customFormat="1" x14ac:dyDescent="0.25">
      <c r="A38" s="3">
        <v>5400</v>
      </c>
      <c r="B38" s="3">
        <v>24010</v>
      </c>
      <c r="C38" s="7">
        <v>42616</v>
      </c>
      <c r="F38" s="50"/>
      <c r="G38" s="3">
        <v>20.9</v>
      </c>
      <c r="H38" s="3">
        <v>14.1</v>
      </c>
      <c r="I38" s="3">
        <v>25.7</v>
      </c>
      <c r="J38" s="3">
        <f t="shared" ref="J38:J101" si="5">J37+G38</f>
        <v>60.699999999999996</v>
      </c>
      <c r="L38" s="10" t="s">
        <v>40</v>
      </c>
      <c r="M38" s="3">
        <v>0</v>
      </c>
      <c r="N38" s="3">
        <v>3.7</v>
      </c>
      <c r="O38" s="3">
        <f t="shared" si="2"/>
        <v>-3.7</v>
      </c>
      <c r="P38" s="27">
        <v>0</v>
      </c>
      <c r="Q38" s="3">
        <v>3</v>
      </c>
      <c r="R38" s="27">
        <v>0.35</v>
      </c>
      <c r="S38" s="3">
        <f t="shared" si="3"/>
        <v>1.2949999999999999</v>
      </c>
      <c r="T38" s="28">
        <f t="shared" si="4"/>
        <v>-1.2949999999999999</v>
      </c>
      <c r="U38" s="3">
        <v>0</v>
      </c>
      <c r="V38" s="31" t="s">
        <v>54</v>
      </c>
      <c r="W38" s="3">
        <v>1863.9</v>
      </c>
      <c r="Y38" s="3">
        <f t="shared" ref="Y38:Y101" si="6">Y37+W38</f>
        <v>4998</v>
      </c>
      <c r="AA38" s="3">
        <v>13.061645837825738</v>
      </c>
      <c r="AB38" s="31" t="s">
        <v>59</v>
      </c>
    </row>
    <row r="39" spans="1:28" s="3" customFormat="1" x14ac:dyDescent="0.25">
      <c r="A39" s="3">
        <v>5400</v>
      </c>
      <c r="B39" s="3">
        <v>24010</v>
      </c>
      <c r="C39" s="7">
        <v>42617</v>
      </c>
      <c r="F39" s="50"/>
      <c r="G39" s="3">
        <v>19.600000000000001</v>
      </c>
      <c r="H39" s="3">
        <v>18</v>
      </c>
      <c r="I39" s="3">
        <v>21.1</v>
      </c>
      <c r="J39" s="3">
        <f t="shared" si="5"/>
        <v>80.3</v>
      </c>
      <c r="L39" s="11">
        <f>AVERAGE(G36:G123)</f>
        <v>12.076136363636373</v>
      </c>
      <c r="M39" s="3">
        <v>3.9</v>
      </c>
      <c r="N39" s="3">
        <v>1.1000000000000001</v>
      </c>
      <c r="O39" s="3">
        <f t="shared" si="2"/>
        <v>2.8</v>
      </c>
      <c r="P39" s="3">
        <f>O39+P38</f>
        <v>2.8</v>
      </c>
      <c r="Q39" s="3">
        <v>4</v>
      </c>
      <c r="R39" s="27">
        <v>0.35</v>
      </c>
      <c r="S39" s="3">
        <f t="shared" si="3"/>
        <v>0.38500000000000001</v>
      </c>
      <c r="T39" s="28">
        <f t="shared" si="4"/>
        <v>3.5149999999999997</v>
      </c>
      <c r="U39" s="28">
        <f>MIN(U38+T39,153.9)</f>
        <v>3.5149999999999997</v>
      </c>
      <c r="V39">
        <v>62</v>
      </c>
      <c r="W39" s="3">
        <v>640.4</v>
      </c>
      <c r="Y39" s="3">
        <f t="shared" si="6"/>
        <v>5638.4</v>
      </c>
      <c r="AA39" s="3">
        <v>13.001782710764417</v>
      </c>
      <c r="AB39">
        <f>(AB37/100)/L37</f>
        <v>0.56042627270160916</v>
      </c>
    </row>
    <row r="40" spans="1:28" s="3" customFormat="1" x14ac:dyDescent="0.25">
      <c r="A40" s="3">
        <v>5400</v>
      </c>
      <c r="B40" s="3">
        <v>24010</v>
      </c>
      <c r="C40" s="7">
        <v>42618</v>
      </c>
      <c r="F40" s="50"/>
      <c r="G40" s="3">
        <v>19.3</v>
      </c>
      <c r="H40" s="3">
        <v>16.100000000000001</v>
      </c>
      <c r="I40" s="3">
        <v>22.8</v>
      </c>
      <c r="J40" s="3">
        <f t="shared" si="5"/>
        <v>99.6</v>
      </c>
      <c r="L40" s="10" t="s">
        <v>41</v>
      </c>
      <c r="M40" s="3">
        <v>1.1000000000000001</v>
      </c>
      <c r="N40" s="3">
        <v>0.6</v>
      </c>
      <c r="O40" s="3">
        <f t="shared" si="2"/>
        <v>0.50000000000000011</v>
      </c>
      <c r="P40" s="3">
        <f t="shared" ref="P40:P103" si="7">O40+P39</f>
        <v>3.3</v>
      </c>
      <c r="Q40" s="3">
        <v>5</v>
      </c>
      <c r="R40" s="27">
        <v>0.35</v>
      </c>
      <c r="S40" s="3">
        <f t="shared" si="3"/>
        <v>0.21</v>
      </c>
      <c r="T40" s="28">
        <f t="shared" si="4"/>
        <v>0.89000000000000012</v>
      </c>
      <c r="U40" s="28">
        <f t="shared" ref="U40:U103" si="8">MIN(U39+T40,153.9)</f>
        <v>4.4049999999999994</v>
      </c>
      <c r="V40" s="31" t="s">
        <v>55</v>
      </c>
      <c r="W40" s="3">
        <v>299.2</v>
      </c>
      <c r="Y40" s="3">
        <f t="shared" si="6"/>
        <v>5937.5999999999995</v>
      </c>
      <c r="AA40" s="3">
        <v>12.941773775694921</v>
      </c>
      <c r="AB40" s="31" t="s">
        <v>60</v>
      </c>
    </row>
    <row r="41" spans="1:28" s="3" customFormat="1" x14ac:dyDescent="0.25">
      <c r="A41" s="3">
        <v>5400</v>
      </c>
      <c r="B41" s="3">
        <v>24010</v>
      </c>
      <c r="C41" s="7">
        <v>42619</v>
      </c>
      <c r="F41" s="50"/>
      <c r="G41" s="3">
        <v>19.5</v>
      </c>
      <c r="H41" s="3">
        <v>16.899999999999999</v>
      </c>
      <c r="I41" s="3">
        <v>22</v>
      </c>
      <c r="J41" s="3">
        <f t="shared" si="5"/>
        <v>119.1</v>
      </c>
      <c r="L41" s="12">
        <f>MIN(H36:H123)</f>
        <v>-0.5</v>
      </c>
      <c r="M41" s="3">
        <v>0.2</v>
      </c>
      <c r="N41" s="3">
        <v>1.2</v>
      </c>
      <c r="O41" s="3">
        <f t="shared" si="2"/>
        <v>-1</v>
      </c>
      <c r="P41" s="3">
        <f t="shared" si="7"/>
        <v>2.2999999999999998</v>
      </c>
      <c r="Q41" s="3">
        <v>6</v>
      </c>
      <c r="R41" s="27">
        <v>0.35</v>
      </c>
      <c r="S41" s="3">
        <f t="shared" si="3"/>
        <v>0.42</v>
      </c>
      <c r="T41" s="28">
        <f t="shared" si="4"/>
        <v>-0.21999999999999997</v>
      </c>
      <c r="U41" s="28">
        <f t="shared" si="8"/>
        <v>4.1849999999999996</v>
      </c>
      <c r="V41">
        <v>0</v>
      </c>
      <c r="W41" s="3">
        <v>554.4</v>
      </c>
      <c r="Y41" s="3">
        <f t="shared" si="6"/>
        <v>6491.9999999999991</v>
      </c>
      <c r="AA41" s="3">
        <v>12.881629141875932</v>
      </c>
      <c r="AB41">
        <v>62</v>
      </c>
    </row>
    <row r="42" spans="1:28" s="3" customFormat="1" x14ac:dyDescent="0.25">
      <c r="A42" s="3">
        <v>5400</v>
      </c>
      <c r="B42" s="3">
        <v>24010</v>
      </c>
      <c r="C42" s="7">
        <v>42620</v>
      </c>
      <c r="F42" s="50"/>
      <c r="G42" s="3">
        <v>20.3</v>
      </c>
      <c r="H42" s="3">
        <v>14.7</v>
      </c>
      <c r="I42" s="3">
        <v>26.6</v>
      </c>
      <c r="J42" s="3">
        <f t="shared" si="5"/>
        <v>139.4</v>
      </c>
      <c r="L42" s="10" t="s">
        <v>42</v>
      </c>
      <c r="M42" s="3">
        <v>0</v>
      </c>
      <c r="N42" s="3">
        <v>4.5999999999999996</v>
      </c>
      <c r="O42" s="3">
        <f t="shared" si="2"/>
        <v>-4.5999999999999996</v>
      </c>
      <c r="P42" s="3">
        <v>0</v>
      </c>
      <c r="Q42" s="3">
        <v>7</v>
      </c>
      <c r="R42" s="27">
        <v>0.35</v>
      </c>
      <c r="S42" s="3">
        <f t="shared" si="3"/>
        <v>1.6099999999999999</v>
      </c>
      <c r="T42" s="28">
        <f t="shared" si="4"/>
        <v>-1.6099999999999999</v>
      </c>
      <c r="U42" s="28">
        <f t="shared" si="8"/>
        <v>2.5749999999999997</v>
      </c>
      <c r="V42" s="31" t="s">
        <v>56</v>
      </c>
      <c r="W42" s="3">
        <v>2120.6</v>
      </c>
      <c r="Y42" s="3">
        <f t="shared" si="6"/>
        <v>8612.5999999999985</v>
      </c>
      <c r="AA42" s="3">
        <v>12.821358682453193</v>
      </c>
    </row>
    <row r="43" spans="1:28" s="3" customFormat="1" x14ac:dyDescent="0.25">
      <c r="A43" s="3">
        <v>5400</v>
      </c>
      <c r="B43" s="3">
        <v>24010</v>
      </c>
      <c r="C43" s="7">
        <v>42621</v>
      </c>
      <c r="F43" s="50"/>
      <c r="G43" s="3">
        <v>17.899999999999999</v>
      </c>
      <c r="H43" s="3">
        <v>13.2</v>
      </c>
      <c r="I43" s="3">
        <v>23.9</v>
      </c>
      <c r="J43" s="3">
        <f t="shared" si="5"/>
        <v>157.30000000000001</v>
      </c>
      <c r="L43" s="11">
        <f>MAX(I36:I123)</f>
        <v>31.3</v>
      </c>
      <c r="M43" s="3">
        <v>0</v>
      </c>
      <c r="N43" s="3">
        <v>2.4</v>
      </c>
      <c r="O43" s="3">
        <f t="shared" si="2"/>
        <v>-2.4</v>
      </c>
      <c r="P43" s="3">
        <v>0</v>
      </c>
      <c r="Q43" s="3">
        <v>8</v>
      </c>
      <c r="R43" s="27">
        <v>0.35</v>
      </c>
      <c r="S43" s="3">
        <f t="shared" si="3"/>
        <v>0.84</v>
      </c>
      <c r="T43" s="28">
        <f t="shared" si="4"/>
        <v>-0.84</v>
      </c>
      <c r="U43" s="28">
        <f t="shared" si="8"/>
        <v>1.7349999999999999</v>
      </c>
      <c r="V43" s="28">
        <f>MAX(U36:U123)</f>
        <v>81.503311688311683</v>
      </c>
      <c r="W43" s="3">
        <v>982.3</v>
      </c>
      <c r="Y43" s="3">
        <f t="shared" si="6"/>
        <v>9594.8999999999978</v>
      </c>
      <c r="AA43" s="3">
        <v>12.760972048851871</v>
      </c>
    </row>
    <row r="44" spans="1:28" s="3" customFormat="1" x14ac:dyDescent="0.25">
      <c r="A44" s="3">
        <v>5400</v>
      </c>
      <c r="B44" s="3">
        <v>24010</v>
      </c>
      <c r="C44" s="7">
        <v>42622</v>
      </c>
      <c r="F44" s="50"/>
      <c r="G44" s="3">
        <v>17.2</v>
      </c>
      <c r="H44" s="3">
        <v>10</v>
      </c>
      <c r="I44" s="3">
        <v>24.3</v>
      </c>
      <c r="J44" s="3">
        <f t="shared" si="5"/>
        <v>174.5</v>
      </c>
      <c r="L44" s="10" t="s">
        <v>43</v>
      </c>
      <c r="M44" s="3">
        <v>0</v>
      </c>
      <c r="N44" s="3">
        <v>2.8</v>
      </c>
      <c r="O44" s="3">
        <f t="shared" si="2"/>
        <v>-2.8</v>
      </c>
      <c r="P44" s="3">
        <v>0</v>
      </c>
      <c r="Q44" s="3">
        <v>9</v>
      </c>
      <c r="R44" s="27">
        <v>0.35</v>
      </c>
      <c r="S44" s="3">
        <f t="shared" si="3"/>
        <v>0.97999999999999987</v>
      </c>
      <c r="T44" s="28">
        <f t="shared" si="4"/>
        <v>-0.97999999999999987</v>
      </c>
      <c r="U44" s="28">
        <f t="shared" si="8"/>
        <v>0.755</v>
      </c>
      <c r="V44" s="31" t="s">
        <v>57</v>
      </c>
      <c r="W44" s="3">
        <v>1352.8</v>
      </c>
      <c r="Y44" s="3">
        <f t="shared" si="6"/>
        <v>10947.699999999997</v>
      </c>
      <c r="AA44" s="3">
        <v>12.700478685358499</v>
      </c>
    </row>
    <row r="45" spans="1:28" s="3" customFormat="1" x14ac:dyDescent="0.25">
      <c r="A45" s="3">
        <v>5400</v>
      </c>
      <c r="B45" s="3">
        <v>24010</v>
      </c>
      <c r="C45" s="7">
        <v>42623</v>
      </c>
      <c r="F45" s="50"/>
      <c r="G45" s="3">
        <v>18.3</v>
      </c>
      <c r="H45" s="3">
        <v>9.3000000000000007</v>
      </c>
      <c r="I45" s="3">
        <v>24.6</v>
      </c>
      <c r="J45" s="3">
        <f t="shared" si="5"/>
        <v>192.8</v>
      </c>
      <c r="L45" s="11">
        <v>6</v>
      </c>
      <c r="M45" s="3">
        <v>0</v>
      </c>
      <c r="N45" s="3">
        <v>2.6</v>
      </c>
      <c r="O45" s="3">
        <f t="shared" si="2"/>
        <v>-2.6</v>
      </c>
      <c r="P45" s="3">
        <v>0</v>
      </c>
      <c r="Q45" s="3">
        <v>10</v>
      </c>
      <c r="R45" s="27">
        <v>0.35</v>
      </c>
      <c r="S45" s="3">
        <f t="shared" si="3"/>
        <v>0.90999999999999992</v>
      </c>
      <c r="T45" s="28">
        <f t="shared" si="4"/>
        <v>-0.90999999999999992</v>
      </c>
      <c r="U45" s="28">
        <v>0</v>
      </c>
      <c r="V45" s="28">
        <f>AVERAGE(U36:U123)</f>
        <v>33.79623524203069</v>
      </c>
      <c r="W45" s="3">
        <v>1432.2</v>
      </c>
      <c r="Y45" s="3">
        <f t="shared" si="6"/>
        <v>12379.899999999998</v>
      </c>
      <c r="AA45" s="3">
        <v>12.639887843872035</v>
      </c>
    </row>
    <row r="46" spans="1:28" s="3" customFormat="1" x14ac:dyDescent="0.25">
      <c r="A46" s="3">
        <v>5400</v>
      </c>
      <c r="B46" s="3">
        <v>24010</v>
      </c>
      <c r="C46" s="7">
        <v>42624</v>
      </c>
      <c r="D46" s="3" t="s">
        <v>33</v>
      </c>
      <c r="F46" s="50"/>
      <c r="G46" s="3">
        <v>20.3</v>
      </c>
      <c r="H46" s="3">
        <v>18</v>
      </c>
      <c r="I46" s="3">
        <v>22.7</v>
      </c>
      <c r="J46" s="3">
        <f t="shared" si="5"/>
        <v>213.10000000000002</v>
      </c>
      <c r="L46" s="10" t="s">
        <v>44</v>
      </c>
      <c r="M46" s="3">
        <v>0.1</v>
      </c>
      <c r="N46" s="3">
        <v>1.3</v>
      </c>
      <c r="O46" s="3">
        <f t="shared" si="2"/>
        <v>-1.2</v>
      </c>
      <c r="P46" s="3">
        <v>0</v>
      </c>
      <c r="Q46" s="3">
        <v>11</v>
      </c>
      <c r="R46" s="27">
        <v>0.35</v>
      </c>
      <c r="S46" s="3">
        <f t="shared" si="3"/>
        <v>0.45499999999999996</v>
      </c>
      <c r="T46" s="28">
        <f t="shared" si="4"/>
        <v>-0.35499999999999998</v>
      </c>
      <c r="U46" s="28">
        <v>0</v>
      </c>
      <c r="W46" s="3">
        <v>543.20000000000005</v>
      </c>
      <c r="Y46" s="3">
        <f t="shared" si="6"/>
        <v>12923.099999999999</v>
      </c>
      <c r="AA46" s="3">
        <v>12.579208598805145</v>
      </c>
    </row>
    <row r="47" spans="1:28" s="3" customFormat="1" x14ac:dyDescent="0.25">
      <c r="A47" s="3">
        <v>5400</v>
      </c>
      <c r="B47" s="3">
        <v>24010</v>
      </c>
      <c r="C47" s="7">
        <v>42625</v>
      </c>
      <c r="F47" s="50"/>
      <c r="G47" s="3">
        <v>21.8</v>
      </c>
      <c r="H47" s="3">
        <v>14.4</v>
      </c>
      <c r="I47" s="3">
        <v>29.6</v>
      </c>
      <c r="J47" s="3">
        <f t="shared" si="5"/>
        <v>234.90000000000003</v>
      </c>
      <c r="L47" s="11">
        <v>15</v>
      </c>
      <c r="M47" s="3">
        <v>0</v>
      </c>
      <c r="N47" s="3">
        <v>3.6</v>
      </c>
      <c r="O47" s="3">
        <f t="shared" si="2"/>
        <v>-3.6</v>
      </c>
      <c r="P47" s="3">
        <v>0</v>
      </c>
      <c r="Q47" s="3">
        <v>12</v>
      </c>
      <c r="R47" s="3">
        <f>0.35+((Q47-11)/77)*(1-0.35)</f>
        <v>0.35844155844155839</v>
      </c>
      <c r="S47" s="3">
        <f t="shared" si="3"/>
        <v>1.2903896103896102</v>
      </c>
      <c r="T47" s="28">
        <f t="shared" si="4"/>
        <v>-1.2903896103896102</v>
      </c>
      <c r="U47" s="28">
        <v>0</v>
      </c>
      <c r="V47" s="3">
        <f>(V45*100)/153.9</f>
        <v>21.959866953886088</v>
      </c>
      <c r="W47" s="3">
        <v>1544.9</v>
      </c>
      <c r="Y47" s="3">
        <f t="shared" si="6"/>
        <v>14467.999999999998</v>
      </c>
      <c r="AA47" s="3">
        <v>12.518449862118331</v>
      </c>
    </row>
    <row r="48" spans="1:28" s="3" customFormat="1" x14ac:dyDescent="0.25">
      <c r="A48" s="3">
        <v>5400</v>
      </c>
      <c r="B48" s="3">
        <v>24010</v>
      </c>
      <c r="C48" s="7">
        <v>42626</v>
      </c>
      <c r="F48" s="50"/>
      <c r="G48" s="3">
        <v>24.1</v>
      </c>
      <c r="H48" s="3">
        <v>17.2</v>
      </c>
      <c r="I48" s="3">
        <v>31.3</v>
      </c>
      <c r="J48" s="3">
        <f t="shared" si="5"/>
        <v>259.00000000000006</v>
      </c>
      <c r="L48" s="10" t="s">
        <v>45</v>
      </c>
      <c r="M48" s="3">
        <v>0</v>
      </c>
      <c r="N48" s="3">
        <v>4.2</v>
      </c>
      <c r="O48" s="3">
        <f t="shared" si="2"/>
        <v>-4.2</v>
      </c>
      <c r="P48" s="3">
        <v>0</v>
      </c>
      <c r="Q48" s="3">
        <v>13</v>
      </c>
      <c r="R48" s="3">
        <f t="shared" ref="R48:R111" si="9">0.35+((Q48-11)/77)*(1-0.35)</f>
        <v>0.36688311688311687</v>
      </c>
      <c r="S48" s="3">
        <f t="shared" si="3"/>
        <v>1.540909090909091</v>
      </c>
      <c r="T48" s="28">
        <f t="shared" si="4"/>
        <v>-1.540909090909091</v>
      </c>
      <c r="U48" s="28">
        <v>0</v>
      </c>
      <c r="W48" s="3">
        <v>1491.8</v>
      </c>
      <c r="Y48" s="3">
        <f t="shared" si="6"/>
        <v>15959.799999999997</v>
      </c>
      <c r="AA48" s="3">
        <v>12.457620398470777</v>
      </c>
    </row>
    <row r="49" spans="1:27" s="3" customFormat="1" x14ac:dyDescent="0.25">
      <c r="A49" s="3">
        <v>5400</v>
      </c>
      <c r="B49" s="3">
        <v>24010</v>
      </c>
      <c r="C49" s="7">
        <v>42627</v>
      </c>
      <c r="F49" s="50"/>
      <c r="G49" s="3">
        <v>19.7</v>
      </c>
      <c r="H49" s="3">
        <v>15.2</v>
      </c>
      <c r="I49" s="3">
        <v>24.2</v>
      </c>
      <c r="J49" s="3">
        <f t="shared" si="5"/>
        <v>278.70000000000005</v>
      </c>
      <c r="L49" s="11">
        <v>2</v>
      </c>
      <c r="M49" s="3">
        <v>28.5</v>
      </c>
      <c r="N49" s="3">
        <v>2.2000000000000002</v>
      </c>
      <c r="O49" s="3">
        <f t="shared" si="2"/>
        <v>26.3</v>
      </c>
      <c r="P49" s="3">
        <f t="shared" si="7"/>
        <v>26.3</v>
      </c>
      <c r="Q49" s="3">
        <v>14</v>
      </c>
      <c r="R49" s="3">
        <f t="shared" si="9"/>
        <v>0.37532467532467528</v>
      </c>
      <c r="S49" s="3">
        <f t="shared" si="3"/>
        <v>0.82571428571428573</v>
      </c>
      <c r="T49" s="28">
        <f t="shared" si="4"/>
        <v>27.674285714285713</v>
      </c>
      <c r="U49" s="28">
        <f t="shared" si="8"/>
        <v>27.674285714285713</v>
      </c>
      <c r="W49" s="3">
        <v>916.9</v>
      </c>
      <c r="Y49" s="3">
        <f t="shared" si="6"/>
        <v>16876.699999999997</v>
      </c>
      <c r="AA49" s="3">
        <v>12.396728840473136</v>
      </c>
    </row>
    <row r="50" spans="1:27" s="3" customFormat="1" x14ac:dyDescent="0.25">
      <c r="A50" s="3">
        <v>5400</v>
      </c>
      <c r="B50" s="3">
        <v>24010</v>
      </c>
      <c r="C50" s="7">
        <v>42628</v>
      </c>
      <c r="F50" s="50"/>
      <c r="G50" s="3">
        <v>16.399999999999999</v>
      </c>
      <c r="H50" s="3">
        <v>16</v>
      </c>
      <c r="I50" s="3">
        <v>17.399999999999999</v>
      </c>
      <c r="J50" s="3">
        <f t="shared" si="5"/>
        <v>295.10000000000002</v>
      </c>
      <c r="L50" s="23"/>
      <c r="M50" s="3">
        <v>0.5</v>
      </c>
      <c r="N50" s="3">
        <v>0.6</v>
      </c>
      <c r="O50" s="3">
        <f t="shared" si="2"/>
        <v>-9.9999999999999978E-2</v>
      </c>
      <c r="P50" s="3">
        <f t="shared" si="7"/>
        <v>26.2</v>
      </c>
      <c r="Q50" s="3">
        <v>15</v>
      </c>
      <c r="R50" s="3">
        <f t="shared" si="9"/>
        <v>0.38376623376623376</v>
      </c>
      <c r="S50" s="3">
        <f t="shared" si="3"/>
        <v>0.23025974025974025</v>
      </c>
      <c r="T50" s="28">
        <f t="shared" si="4"/>
        <v>0.26974025974025972</v>
      </c>
      <c r="U50" s="28">
        <f t="shared" si="8"/>
        <v>27.944025974025973</v>
      </c>
      <c r="W50" s="3">
        <v>409</v>
      </c>
      <c r="Y50" s="3">
        <f t="shared" si="6"/>
        <v>17285.699999999997</v>
      </c>
      <c r="AA50" s="3">
        <v>12.33578370402849</v>
      </c>
    </row>
    <row r="51" spans="1:27" s="3" customFormat="1" x14ac:dyDescent="0.25">
      <c r="A51" s="3">
        <v>5400</v>
      </c>
      <c r="B51" s="3">
        <v>24010</v>
      </c>
      <c r="C51" s="7">
        <v>42629</v>
      </c>
      <c r="F51" s="50"/>
      <c r="G51" s="3">
        <v>14.9</v>
      </c>
      <c r="H51" s="3">
        <v>13.4</v>
      </c>
      <c r="I51" s="3">
        <v>17.899999999999999</v>
      </c>
      <c r="J51" s="3">
        <f t="shared" si="5"/>
        <v>310</v>
      </c>
      <c r="L51" s="23"/>
      <c r="M51" s="3">
        <v>5.6</v>
      </c>
      <c r="N51" s="3">
        <v>1.6</v>
      </c>
      <c r="O51" s="3">
        <f t="shared" si="2"/>
        <v>3.9999999999999996</v>
      </c>
      <c r="P51" s="3">
        <f t="shared" si="7"/>
        <v>30.2</v>
      </c>
      <c r="Q51" s="3">
        <v>16</v>
      </c>
      <c r="R51" s="3">
        <f t="shared" si="9"/>
        <v>0.39220779220779217</v>
      </c>
      <c r="S51" s="3">
        <f t="shared" si="3"/>
        <v>0.6275324675324675</v>
      </c>
      <c r="T51" s="28">
        <f t="shared" si="4"/>
        <v>4.9724675324675323</v>
      </c>
      <c r="U51" s="28">
        <f t="shared" si="8"/>
        <v>32.916493506493502</v>
      </c>
      <c r="W51" s="3">
        <v>833.3</v>
      </c>
      <c r="Y51" s="3">
        <f t="shared" si="6"/>
        <v>18118.999999999996</v>
      </c>
      <c r="AA51" s="3">
        <v>12.274793403748804</v>
      </c>
    </row>
    <row r="52" spans="1:27" s="3" customFormat="1" x14ac:dyDescent="0.25">
      <c r="A52" s="3">
        <v>5400</v>
      </c>
      <c r="B52" s="3">
        <v>24010</v>
      </c>
      <c r="C52" s="7">
        <v>42630</v>
      </c>
      <c r="F52" s="50"/>
      <c r="G52" s="3">
        <v>13.9</v>
      </c>
      <c r="H52" s="3">
        <v>11.6</v>
      </c>
      <c r="I52" s="3">
        <v>17</v>
      </c>
      <c r="J52" s="3">
        <f t="shared" si="5"/>
        <v>323.89999999999998</v>
      </c>
      <c r="L52" s="23"/>
      <c r="M52" s="3">
        <v>1.3</v>
      </c>
      <c r="N52" s="3">
        <v>1</v>
      </c>
      <c r="O52" s="3">
        <f t="shared" si="2"/>
        <v>0.30000000000000004</v>
      </c>
      <c r="P52" s="3">
        <f t="shared" si="7"/>
        <v>30.5</v>
      </c>
      <c r="Q52" s="3">
        <v>17</v>
      </c>
      <c r="R52" s="3">
        <f t="shared" si="9"/>
        <v>0.40064935064935064</v>
      </c>
      <c r="S52" s="3">
        <f t="shared" si="3"/>
        <v>0.40064935064935064</v>
      </c>
      <c r="T52" s="28">
        <f t="shared" si="4"/>
        <v>0.89935064935064934</v>
      </c>
      <c r="U52" s="28">
        <f t="shared" si="8"/>
        <v>33.815844155844154</v>
      </c>
      <c r="W52" s="3">
        <v>492.1</v>
      </c>
      <c r="Y52" s="3">
        <f t="shared" si="6"/>
        <v>18611.099999999995</v>
      </c>
      <c r="AA52" s="3">
        <v>12.213766268434986</v>
      </c>
    </row>
    <row r="53" spans="1:27" s="3" customFormat="1" x14ac:dyDescent="0.25">
      <c r="A53" s="3">
        <v>5400</v>
      </c>
      <c r="B53" s="3">
        <v>24010</v>
      </c>
      <c r="C53" s="7">
        <v>42631</v>
      </c>
      <c r="F53" s="50"/>
      <c r="G53" s="3">
        <v>15.7</v>
      </c>
      <c r="H53" s="3">
        <v>13.5</v>
      </c>
      <c r="I53" s="3">
        <v>17.8</v>
      </c>
      <c r="J53" s="3">
        <f t="shared" si="5"/>
        <v>339.59999999999997</v>
      </c>
      <c r="L53" s="23"/>
      <c r="M53" s="3">
        <v>0</v>
      </c>
      <c r="N53" s="3">
        <v>0.5</v>
      </c>
      <c r="O53" s="3">
        <f t="shared" si="2"/>
        <v>-0.5</v>
      </c>
      <c r="P53" s="3">
        <f t="shared" si="7"/>
        <v>30</v>
      </c>
      <c r="Q53" s="3">
        <v>18</v>
      </c>
      <c r="R53" s="3">
        <f t="shared" si="9"/>
        <v>0.40909090909090906</v>
      </c>
      <c r="S53" s="3">
        <f t="shared" si="3"/>
        <v>0.20454545454545453</v>
      </c>
      <c r="T53" s="28">
        <f t="shared" si="4"/>
        <v>-0.20454545454545453</v>
      </c>
      <c r="U53" s="28">
        <f t="shared" si="8"/>
        <v>33.611298701298701</v>
      </c>
      <c r="W53" s="3">
        <v>404.7</v>
      </c>
      <c r="Y53" s="3">
        <f t="shared" si="6"/>
        <v>19015.799999999996</v>
      </c>
      <c r="AA53" s="3">
        <v>12.152710556609536</v>
      </c>
    </row>
    <row r="54" spans="1:27" s="3" customFormat="1" x14ac:dyDescent="0.25">
      <c r="A54" s="3">
        <v>5400</v>
      </c>
      <c r="B54" s="3">
        <v>24010</v>
      </c>
      <c r="C54" s="7">
        <v>42632</v>
      </c>
      <c r="F54" s="50"/>
      <c r="G54" s="3">
        <v>16.100000000000001</v>
      </c>
      <c r="H54" s="3">
        <v>13.7</v>
      </c>
      <c r="I54" s="3">
        <v>18.8</v>
      </c>
      <c r="J54" s="3">
        <f t="shared" si="5"/>
        <v>355.7</v>
      </c>
      <c r="L54" s="23"/>
      <c r="M54" s="3">
        <v>0.2</v>
      </c>
      <c r="N54" s="3">
        <v>1.2</v>
      </c>
      <c r="O54" s="3">
        <f t="shared" si="2"/>
        <v>-1</v>
      </c>
      <c r="P54" s="3">
        <f t="shared" si="7"/>
        <v>29</v>
      </c>
      <c r="Q54" s="3">
        <v>19</v>
      </c>
      <c r="R54" s="3">
        <f t="shared" si="9"/>
        <v>0.41753246753246753</v>
      </c>
      <c r="S54" s="3">
        <f t="shared" si="3"/>
        <v>0.50103896103896106</v>
      </c>
      <c r="T54" s="28">
        <f t="shared" si="4"/>
        <v>-0.30103896103896105</v>
      </c>
      <c r="U54" s="28">
        <f t="shared" si="8"/>
        <v>33.310259740259738</v>
      </c>
      <c r="W54" s="3">
        <v>821.8</v>
      </c>
      <c r="Y54" s="3">
        <f t="shared" si="6"/>
        <v>19837.599999999995</v>
      </c>
      <c r="AA54" s="3">
        <v>12.091634472091268</v>
      </c>
    </row>
    <row r="55" spans="1:27" s="3" customFormat="1" x14ac:dyDescent="0.25">
      <c r="A55" s="3">
        <v>5400</v>
      </c>
      <c r="B55" s="3">
        <v>24010</v>
      </c>
      <c r="C55" s="7">
        <v>42633</v>
      </c>
      <c r="F55" s="50"/>
      <c r="G55" s="3">
        <v>15.7</v>
      </c>
      <c r="H55" s="3">
        <v>14.1</v>
      </c>
      <c r="I55" s="3">
        <v>18.399999999999999</v>
      </c>
      <c r="J55" s="3">
        <f t="shared" si="5"/>
        <v>371.4</v>
      </c>
      <c r="L55" s="23"/>
      <c r="M55" s="3">
        <v>0.6</v>
      </c>
      <c r="N55" s="3">
        <v>0.8</v>
      </c>
      <c r="O55" s="3">
        <f t="shared" si="2"/>
        <v>-0.20000000000000007</v>
      </c>
      <c r="P55" s="3">
        <f t="shared" si="7"/>
        <v>28.8</v>
      </c>
      <c r="Q55" s="3">
        <v>20</v>
      </c>
      <c r="R55" s="3">
        <f t="shared" si="9"/>
        <v>0.42597402597402595</v>
      </c>
      <c r="S55" s="3">
        <f t="shared" si="3"/>
        <v>0.34077922077922079</v>
      </c>
      <c r="T55" s="28">
        <f t="shared" si="4"/>
        <v>0.25922077922077918</v>
      </c>
      <c r="U55" s="28">
        <f t="shared" si="8"/>
        <v>33.569480519480514</v>
      </c>
      <c r="W55" s="3">
        <v>371</v>
      </c>
      <c r="Y55" s="3">
        <f t="shared" si="6"/>
        <v>20208.599999999995</v>
      </c>
      <c r="AA55" s="3">
        <v>12.030546179602295</v>
      </c>
    </row>
    <row r="56" spans="1:27" s="3" customFormat="1" x14ac:dyDescent="0.25">
      <c r="A56" s="3">
        <v>5400</v>
      </c>
      <c r="B56" s="3">
        <v>24010</v>
      </c>
      <c r="C56" s="7">
        <v>42634</v>
      </c>
      <c r="F56" s="50"/>
      <c r="G56" s="3">
        <v>14.4</v>
      </c>
      <c r="H56" s="3">
        <v>8.9</v>
      </c>
      <c r="I56" s="3">
        <v>20.2</v>
      </c>
      <c r="J56" s="3">
        <f t="shared" si="5"/>
        <v>385.79999999999995</v>
      </c>
      <c r="L56" s="23"/>
      <c r="M56" s="3">
        <v>0.2</v>
      </c>
      <c r="N56" s="3">
        <v>2.5</v>
      </c>
      <c r="O56" s="3">
        <f t="shared" si="2"/>
        <v>-2.2999999999999998</v>
      </c>
      <c r="P56" s="3">
        <f t="shared" si="7"/>
        <v>26.5</v>
      </c>
      <c r="Q56" s="3">
        <v>21</v>
      </c>
      <c r="R56" s="3">
        <f t="shared" si="9"/>
        <v>0.43441558441558437</v>
      </c>
      <c r="S56" s="3">
        <f t="shared" si="3"/>
        <v>1.0860389610389609</v>
      </c>
      <c r="T56" s="28">
        <f t="shared" si="4"/>
        <v>-0.88603896103896096</v>
      </c>
      <c r="U56" s="28">
        <f t="shared" si="8"/>
        <v>32.683441558441551</v>
      </c>
      <c r="W56" s="3">
        <v>1516</v>
      </c>
      <c r="Y56" s="3">
        <f t="shared" si="6"/>
        <v>21724.599999999995</v>
      </c>
      <c r="AA56" s="3">
        <v>11.969453820397703</v>
      </c>
    </row>
    <row r="57" spans="1:27" s="3" customFormat="1" x14ac:dyDescent="0.25">
      <c r="A57" s="3">
        <v>5400</v>
      </c>
      <c r="B57" s="3">
        <v>24010</v>
      </c>
      <c r="C57" s="7">
        <v>42635</v>
      </c>
      <c r="F57" s="50"/>
      <c r="G57" s="3">
        <v>15.5</v>
      </c>
      <c r="H57" s="3">
        <v>9.3000000000000007</v>
      </c>
      <c r="I57" s="3">
        <v>21.7</v>
      </c>
      <c r="J57" s="3">
        <f t="shared" si="5"/>
        <v>401.29999999999995</v>
      </c>
      <c r="L57" s="23"/>
      <c r="M57" s="3">
        <v>0</v>
      </c>
      <c r="N57" s="3">
        <v>1.2</v>
      </c>
      <c r="O57" s="3">
        <f t="shared" si="2"/>
        <v>-1.2</v>
      </c>
      <c r="P57" s="3">
        <f t="shared" si="7"/>
        <v>25.3</v>
      </c>
      <c r="Q57" s="3">
        <v>22</v>
      </c>
      <c r="R57" s="3">
        <f t="shared" si="9"/>
        <v>0.44285714285714284</v>
      </c>
      <c r="S57" s="3">
        <f t="shared" si="3"/>
        <v>0.53142857142857136</v>
      </c>
      <c r="T57" s="28">
        <f t="shared" si="4"/>
        <v>-0.53142857142857136</v>
      </c>
      <c r="U57" s="28">
        <f t="shared" si="8"/>
        <v>32.152012987012981</v>
      </c>
      <c r="W57" s="3">
        <v>797.4</v>
      </c>
      <c r="Y57" s="3">
        <f t="shared" si="6"/>
        <v>22521.999999999996</v>
      </c>
      <c r="AA57" s="3">
        <v>11.908365527908732</v>
      </c>
    </row>
    <row r="58" spans="1:27" s="3" customFormat="1" x14ac:dyDescent="0.25">
      <c r="A58" s="3">
        <v>5400</v>
      </c>
      <c r="B58" s="3">
        <v>24010</v>
      </c>
      <c r="C58" s="7">
        <v>42636</v>
      </c>
      <c r="F58" s="50"/>
      <c r="G58" s="3">
        <v>16.399999999999999</v>
      </c>
      <c r="H58" s="3">
        <v>13</v>
      </c>
      <c r="I58" s="3">
        <v>22.2</v>
      </c>
      <c r="J58" s="3">
        <f t="shared" si="5"/>
        <v>417.69999999999993</v>
      </c>
      <c r="L58" s="23"/>
      <c r="M58" s="3">
        <v>0</v>
      </c>
      <c r="N58" s="3">
        <v>2.5</v>
      </c>
      <c r="O58" s="3">
        <f t="shared" si="2"/>
        <v>-2.5</v>
      </c>
      <c r="P58" s="3">
        <f t="shared" si="7"/>
        <v>22.8</v>
      </c>
      <c r="Q58" s="3">
        <v>23</v>
      </c>
      <c r="R58" s="3">
        <f t="shared" si="9"/>
        <v>0.45129870129870131</v>
      </c>
      <c r="S58" s="3">
        <f t="shared" si="3"/>
        <v>1.1282467532467533</v>
      </c>
      <c r="T58" s="28">
        <f t="shared" si="4"/>
        <v>-1.1282467532467533</v>
      </c>
      <c r="U58" s="28">
        <f t="shared" si="8"/>
        <v>31.023766233766228</v>
      </c>
      <c r="W58" s="3">
        <v>1400.3</v>
      </c>
      <c r="Y58" s="3">
        <f t="shared" si="6"/>
        <v>23922.299999999996</v>
      </c>
      <c r="AA58" s="3">
        <v>11.847289443390466</v>
      </c>
    </row>
    <row r="59" spans="1:27" s="3" customFormat="1" x14ac:dyDescent="0.25">
      <c r="A59" s="3">
        <v>5400</v>
      </c>
      <c r="B59" s="3">
        <v>24010</v>
      </c>
      <c r="C59" s="7">
        <v>42637</v>
      </c>
      <c r="F59" s="50"/>
      <c r="G59" s="3">
        <v>16.8</v>
      </c>
      <c r="H59" s="3">
        <v>11.1</v>
      </c>
      <c r="I59" s="3">
        <v>24.1</v>
      </c>
      <c r="J59" s="3">
        <f t="shared" si="5"/>
        <v>434.49999999999994</v>
      </c>
      <c r="L59" s="23"/>
      <c r="M59" s="3">
        <v>0.2</v>
      </c>
      <c r="N59" s="3">
        <v>3.3</v>
      </c>
      <c r="O59" s="3">
        <f t="shared" si="2"/>
        <v>-3.0999999999999996</v>
      </c>
      <c r="P59" s="3">
        <f t="shared" si="7"/>
        <v>19.700000000000003</v>
      </c>
      <c r="Q59" s="3">
        <v>24</v>
      </c>
      <c r="R59" s="3">
        <f t="shared" si="9"/>
        <v>0.45974025974025973</v>
      </c>
      <c r="S59" s="3">
        <f t="shared" si="3"/>
        <v>1.5171428571428571</v>
      </c>
      <c r="T59" s="28">
        <f t="shared" si="4"/>
        <v>-1.3171428571428572</v>
      </c>
      <c r="U59" s="28">
        <f t="shared" si="8"/>
        <v>29.706623376623369</v>
      </c>
      <c r="W59" s="3">
        <v>1501.1</v>
      </c>
      <c r="Y59" s="3">
        <f t="shared" si="6"/>
        <v>25423.399999999994</v>
      </c>
      <c r="AA59" s="3">
        <v>11.786233731565012</v>
      </c>
    </row>
    <row r="60" spans="1:27" s="3" customFormat="1" x14ac:dyDescent="0.25">
      <c r="A60" s="3">
        <v>5400</v>
      </c>
      <c r="B60" s="3">
        <v>24010</v>
      </c>
      <c r="C60" s="7">
        <v>42638</v>
      </c>
      <c r="F60" s="50"/>
      <c r="G60" s="3">
        <v>14.5</v>
      </c>
      <c r="H60" s="3">
        <v>13.7</v>
      </c>
      <c r="I60" s="3">
        <v>17.3</v>
      </c>
      <c r="J60" s="3">
        <f t="shared" si="5"/>
        <v>448.99999999999994</v>
      </c>
      <c r="L60" s="23"/>
      <c r="M60" s="3">
        <v>0.4</v>
      </c>
      <c r="N60" s="3">
        <v>1.8</v>
      </c>
      <c r="O60" s="3">
        <f t="shared" si="2"/>
        <v>-1.4</v>
      </c>
      <c r="P60" s="3">
        <f t="shared" si="7"/>
        <v>18.300000000000004</v>
      </c>
      <c r="Q60" s="3">
        <v>25</v>
      </c>
      <c r="R60" s="3">
        <f t="shared" si="9"/>
        <v>0.46818181818181814</v>
      </c>
      <c r="S60" s="3">
        <f t="shared" si="3"/>
        <v>0.84272727272727266</v>
      </c>
      <c r="T60" s="28">
        <f t="shared" si="4"/>
        <v>-0.44272727272727264</v>
      </c>
      <c r="U60" s="28">
        <f t="shared" si="8"/>
        <v>29.263896103896098</v>
      </c>
      <c r="W60" s="3">
        <v>988.2</v>
      </c>
      <c r="Y60" s="3">
        <f t="shared" si="6"/>
        <v>26411.599999999995</v>
      </c>
      <c r="AA60" s="3">
        <v>11.725206596251198</v>
      </c>
    </row>
    <row r="61" spans="1:27" s="3" customFormat="1" x14ac:dyDescent="0.25">
      <c r="A61" s="3">
        <v>5400</v>
      </c>
      <c r="B61" s="3">
        <v>24010</v>
      </c>
      <c r="C61" s="7">
        <v>42639</v>
      </c>
      <c r="F61" s="50"/>
      <c r="G61" s="3">
        <v>14.1</v>
      </c>
      <c r="H61" s="3">
        <v>8.5</v>
      </c>
      <c r="I61" s="3">
        <v>19.8</v>
      </c>
      <c r="J61" s="3">
        <f t="shared" si="5"/>
        <v>463.09999999999997</v>
      </c>
      <c r="L61" s="23"/>
      <c r="M61" s="3">
        <v>0</v>
      </c>
      <c r="N61" s="3">
        <v>1.5</v>
      </c>
      <c r="O61" s="3">
        <f t="shared" si="2"/>
        <v>-1.5</v>
      </c>
      <c r="P61" s="3">
        <f t="shared" si="7"/>
        <v>16.800000000000004</v>
      </c>
      <c r="Q61" s="3">
        <v>26</v>
      </c>
      <c r="R61" s="3">
        <f t="shared" si="9"/>
        <v>0.47662337662337662</v>
      </c>
      <c r="S61" s="3">
        <f t="shared" si="3"/>
        <v>0.71493506493506498</v>
      </c>
      <c r="T61" s="28">
        <f t="shared" si="4"/>
        <v>-0.71493506493506498</v>
      </c>
      <c r="U61" s="28">
        <f t="shared" si="8"/>
        <v>28.548961038961032</v>
      </c>
      <c r="W61" s="3">
        <v>935.9</v>
      </c>
      <c r="Y61" s="3">
        <f t="shared" si="6"/>
        <v>27347.499999999996</v>
      </c>
      <c r="AA61" s="3">
        <v>11.664216295971508</v>
      </c>
    </row>
    <row r="62" spans="1:27" s="3" customFormat="1" x14ac:dyDescent="0.25">
      <c r="A62" s="3">
        <v>5400</v>
      </c>
      <c r="B62" s="3">
        <v>24010</v>
      </c>
      <c r="C62" s="7">
        <v>42640</v>
      </c>
      <c r="F62" s="50"/>
      <c r="G62" s="3">
        <v>16.600000000000001</v>
      </c>
      <c r="H62" s="3">
        <v>10.6</v>
      </c>
      <c r="I62" s="3">
        <v>22.1</v>
      </c>
      <c r="J62" s="3">
        <f t="shared" si="5"/>
        <v>479.7</v>
      </c>
      <c r="L62" s="23"/>
      <c r="M62" s="3">
        <v>0</v>
      </c>
      <c r="N62" s="3">
        <v>2.2000000000000002</v>
      </c>
      <c r="O62" s="3">
        <f t="shared" si="2"/>
        <v>-2.2000000000000002</v>
      </c>
      <c r="P62" s="3">
        <f t="shared" si="7"/>
        <v>14.600000000000005</v>
      </c>
      <c r="Q62" s="3">
        <v>27</v>
      </c>
      <c r="R62" s="3">
        <f t="shared" si="9"/>
        <v>0.48506493506493509</v>
      </c>
      <c r="S62" s="3">
        <f t="shared" si="3"/>
        <v>1.0671428571428572</v>
      </c>
      <c r="T62" s="28">
        <f t="shared" si="4"/>
        <v>-1.0671428571428572</v>
      </c>
      <c r="U62" s="28">
        <f t="shared" si="8"/>
        <v>27.481818181818173</v>
      </c>
      <c r="W62" s="3">
        <v>1048.0999999999999</v>
      </c>
      <c r="Y62" s="3">
        <f t="shared" si="6"/>
        <v>28395.599999999995</v>
      </c>
      <c r="AA62" s="3">
        <v>11.603271159526866</v>
      </c>
    </row>
    <row r="63" spans="1:27" s="3" customFormat="1" x14ac:dyDescent="0.25">
      <c r="A63" s="3">
        <v>5400</v>
      </c>
      <c r="B63" s="3">
        <v>24010</v>
      </c>
      <c r="C63" s="7">
        <v>42641</v>
      </c>
      <c r="F63" s="50"/>
      <c r="G63" s="3">
        <v>17.399999999999999</v>
      </c>
      <c r="H63" s="3">
        <v>16</v>
      </c>
      <c r="I63" s="3">
        <v>21.1</v>
      </c>
      <c r="J63" s="3">
        <f t="shared" si="5"/>
        <v>497.09999999999997</v>
      </c>
      <c r="L63" s="23"/>
      <c r="M63" s="3">
        <v>0.2</v>
      </c>
      <c r="N63" s="3">
        <v>1.9</v>
      </c>
      <c r="O63" s="3">
        <f t="shared" si="2"/>
        <v>-1.7</v>
      </c>
      <c r="P63" s="3">
        <f t="shared" si="7"/>
        <v>12.900000000000006</v>
      </c>
      <c r="Q63" s="3">
        <v>28</v>
      </c>
      <c r="R63" s="3">
        <f t="shared" si="9"/>
        <v>0.49350649350649345</v>
      </c>
      <c r="S63" s="3">
        <f t="shared" si="3"/>
        <v>0.93766233766233753</v>
      </c>
      <c r="T63" s="28">
        <f t="shared" si="4"/>
        <v>-0.73766233766233746</v>
      </c>
      <c r="U63" s="28">
        <f t="shared" si="8"/>
        <v>26.744155844155834</v>
      </c>
      <c r="W63" s="3">
        <v>818.6</v>
      </c>
      <c r="Y63" s="3">
        <f t="shared" si="6"/>
        <v>29214.199999999993</v>
      </c>
      <c r="AA63" s="3">
        <v>11.542379601529223</v>
      </c>
    </row>
    <row r="64" spans="1:27" s="3" customFormat="1" x14ac:dyDescent="0.25">
      <c r="A64" s="3">
        <v>5400</v>
      </c>
      <c r="B64" s="3">
        <v>24010</v>
      </c>
      <c r="C64" s="7">
        <v>42642</v>
      </c>
      <c r="F64" s="50"/>
      <c r="G64" s="3">
        <v>16.600000000000001</v>
      </c>
      <c r="H64" s="3">
        <v>13.7</v>
      </c>
      <c r="I64" s="3">
        <v>18.7</v>
      </c>
      <c r="J64" s="3">
        <f t="shared" si="5"/>
        <v>513.69999999999993</v>
      </c>
      <c r="L64" s="23"/>
      <c r="M64" s="3">
        <v>0</v>
      </c>
      <c r="N64" s="3">
        <v>1</v>
      </c>
      <c r="O64" s="3">
        <f t="shared" si="2"/>
        <v>-1</v>
      </c>
      <c r="P64" s="3">
        <f t="shared" si="7"/>
        <v>11.900000000000006</v>
      </c>
      <c r="Q64" s="3">
        <v>29</v>
      </c>
      <c r="R64" s="3">
        <f t="shared" si="9"/>
        <v>0.50194805194805192</v>
      </c>
      <c r="S64" s="3">
        <f t="shared" si="3"/>
        <v>0.50194805194805192</v>
      </c>
      <c r="T64" s="28">
        <f t="shared" si="4"/>
        <v>-0.50194805194805192</v>
      </c>
      <c r="U64" s="28">
        <f t="shared" si="8"/>
        <v>26.242207792207783</v>
      </c>
      <c r="W64" s="3">
        <v>433.8</v>
      </c>
      <c r="Y64" s="3">
        <f t="shared" si="6"/>
        <v>29647.999999999993</v>
      </c>
      <c r="AA64" s="3">
        <v>11.481550137881669</v>
      </c>
    </row>
    <row r="65" spans="1:27" s="3" customFormat="1" x14ac:dyDescent="0.25">
      <c r="A65" s="3">
        <v>5400</v>
      </c>
      <c r="B65" s="3">
        <v>24010</v>
      </c>
      <c r="C65" s="7">
        <v>42643</v>
      </c>
      <c r="F65" s="50"/>
      <c r="G65" s="3">
        <v>14.4</v>
      </c>
      <c r="H65" s="3">
        <v>12.6</v>
      </c>
      <c r="I65" s="3">
        <v>16.7</v>
      </c>
      <c r="J65" s="3">
        <f t="shared" si="5"/>
        <v>528.09999999999991</v>
      </c>
      <c r="L65" s="23"/>
      <c r="M65" s="3">
        <v>4.4000000000000004</v>
      </c>
      <c r="N65" s="3">
        <v>0.7</v>
      </c>
      <c r="O65" s="3">
        <f t="shared" si="2"/>
        <v>3.7</v>
      </c>
      <c r="P65" s="3">
        <f t="shared" si="7"/>
        <v>15.600000000000005</v>
      </c>
      <c r="Q65" s="3">
        <v>30</v>
      </c>
      <c r="R65" s="3">
        <f t="shared" si="9"/>
        <v>0.51038961038961039</v>
      </c>
      <c r="S65" s="3">
        <f t="shared" si="3"/>
        <v>0.35727272727272724</v>
      </c>
      <c r="T65" s="28">
        <f t="shared" si="4"/>
        <v>4.0427272727272729</v>
      </c>
      <c r="U65" s="28">
        <f t="shared" si="8"/>
        <v>30.284935064935055</v>
      </c>
      <c r="W65" s="3">
        <v>405.9</v>
      </c>
      <c r="Y65" s="3">
        <f t="shared" si="6"/>
        <v>30053.899999999994</v>
      </c>
      <c r="AA65" s="3">
        <v>11.420791401194855</v>
      </c>
    </row>
    <row r="66" spans="1:27" s="3" customFormat="1" x14ac:dyDescent="0.25">
      <c r="A66" s="3">
        <v>5400</v>
      </c>
      <c r="B66" s="3">
        <v>24010</v>
      </c>
      <c r="C66" s="7">
        <v>42644</v>
      </c>
      <c r="F66" s="50"/>
      <c r="G66" s="3">
        <v>12.9</v>
      </c>
      <c r="H66" s="3">
        <v>10.9</v>
      </c>
      <c r="I66" s="3">
        <v>17.100000000000001</v>
      </c>
      <c r="J66" s="3">
        <f t="shared" si="5"/>
        <v>540.99999999999989</v>
      </c>
      <c r="L66" s="23"/>
      <c r="M66" s="3">
        <v>0.7</v>
      </c>
      <c r="N66" s="3">
        <v>1.9</v>
      </c>
      <c r="O66" s="3">
        <f t="shared" si="2"/>
        <v>-1.2</v>
      </c>
      <c r="P66" s="3">
        <f t="shared" si="7"/>
        <v>14.400000000000006</v>
      </c>
      <c r="Q66" s="3">
        <v>31</v>
      </c>
      <c r="R66" s="3">
        <f t="shared" si="9"/>
        <v>0.51883116883116887</v>
      </c>
      <c r="S66" s="3">
        <f t="shared" si="3"/>
        <v>0.98577922077922076</v>
      </c>
      <c r="T66" s="28">
        <f t="shared" si="4"/>
        <v>-0.2857792207792208</v>
      </c>
      <c r="U66" s="28">
        <f t="shared" si="8"/>
        <v>29.999155844155833</v>
      </c>
      <c r="W66" s="3">
        <v>1080.5999999999999</v>
      </c>
      <c r="Y66" s="3">
        <f t="shared" si="6"/>
        <v>31134.499999999993</v>
      </c>
      <c r="AA66" s="3">
        <v>11.360112156127965</v>
      </c>
    </row>
    <row r="67" spans="1:27" s="3" customFormat="1" x14ac:dyDescent="0.25">
      <c r="A67" s="3">
        <v>5400</v>
      </c>
      <c r="B67" s="3">
        <v>24010</v>
      </c>
      <c r="C67" s="7">
        <v>42645</v>
      </c>
      <c r="F67" s="50"/>
      <c r="G67" s="3">
        <v>11</v>
      </c>
      <c r="H67" s="3">
        <v>8.1999999999999993</v>
      </c>
      <c r="I67" s="3">
        <v>15.6</v>
      </c>
      <c r="J67" s="3">
        <f t="shared" si="5"/>
        <v>551.99999999999989</v>
      </c>
      <c r="L67" s="23"/>
      <c r="M67" s="3">
        <v>0.1</v>
      </c>
      <c r="N67" s="3">
        <v>1.6</v>
      </c>
      <c r="O67" s="3">
        <f t="shared" si="2"/>
        <v>-1.5</v>
      </c>
      <c r="P67" s="3">
        <f t="shared" si="7"/>
        <v>12.900000000000006</v>
      </c>
      <c r="Q67" s="3">
        <v>32</v>
      </c>
      <c r="R67" s="3">
        <f t="shared" si="9"/>
        <v>0.52727272727272723</v>
      </c>
      <c r="S67" s="3">
        <f t="shared" si="3"/>
        <v>0.84363636363636363</v>
      </c>
      <c r="T67" s="28">
        <f t="shared" si="4"/>
        <v>-0.74363636363636365</v>
      </c>
      <c r="U67" s="28">
        <f t="shared" si="8"/>
        <v>29.255519480519471</v>
      </c>
      <c r="W67" s="3">
        <v>868.7</v>
      </c>
      <c r="Y67" s="3">
        <f t="shared" si="6"/>
        <v>32003.199999999993</v>
      </c>
      <c r="AA67" s="3">
        <v>11.299521314641499</v>
      </c>
    </row>
    <row r="68" spans="1:27" s="3" customFormat="1" x14ac:dyDescent="0.25">
      <c r="A68" s="3">
        <v>5400</v>
      </c>
      <c r="B68" s="3">
        <v>24010</v>
      </c>
      <c r="C68" s="7">
        <v>42646</v>
      </c>
      <c r="F68" s="50"/>
      <c r="G68" s="3">
        <v>10.7</v>
      </c>
      <c r="H68" s="3">
        <v>3.8</v>
      </c>
      <c r="I68" s="3">
        <v>17.5</v>
      </c>
      <c r="J68" s="3">
        <f t="shared" si="5"/>
        <v>562.69999999999993</v>
      </c>
      <c r="L68" s="23"/>
      <c r="M68" s="3">
        <v>0.1</v>
      </c>
      <c r="N68" s="3">
        <v>2.1</v>
      </c>
      <c r="O68" s="3">
        <f t="shared" si="2"/>
        <v>-2</v>
      </c>
      <c r="P68" s="3">
        <f t="shared" si="7"/>
        <v>10.900000000000006</v>
      </c>
      <c r="Q68" s="3">
        <v>33</v>
      </c>
      <c r="R68" s="3">
        <f t="shared" si="9"/>
        <v>0.5357142857142857</v>
      </c>
      <c r="S68" s="3">
        <f t="shared" si="3"/>
        <v>1.125</v>
      </c>
      <c r="T68" s="28">
        <f t="shared" si="4"/>
        <v>-1.0249999999999999</v>
      </c>
      <c r="U68" s="28">
        <f t="shared" si="8"/>
        <v>28.230519480519472</v>
      </c>
      <c r="W68" s="3">
        <v>1389.1</v>
      </c>
      <c r="Y68" s="3">
        <f t="shared" si="6"/>
        <v>33392.299999999996</v>
      </c>
      <c r="AA68" s="3">
        <v>11.239027951148129</v>
      </c>
    </row>
    <row r="69" spans="1:27" s="3" customFormat="1" x14ac:dyDescent="0.25">
      <c r="A69" s="3">
        <v>5400</v>
      </c>
      <c r="B69" s="3">
        <v>24010</v>
      </c>
      <c r="C69" s="7">
        <v>42647</v>
      </c>
      <c r="F69" s="50"/>
      <c r="G69" s="3">
        <v>13.1</v>
      </c>
      <c r="H69" s="3">
        <v>8.4</v>
      </c>
      <c r="I69" s="3">
        <v>18.600000000000001</v>
      </c>
      <c r="J69" s="3">
        <f t="shared" si="5"/>
        <v>575.79999999999995</v>
      </c>
      <c r="L69" s="23"/>
      <c r="M69" s="3">
        <v>0</v>
      </c>
      <c r="N69" s="3">
        <v>2.7</v>
      </c>
      <c r="O69" s="3">
        <f t="shared" si="2"/>
        <v>-2.7</v>
      </c>
      <c r="P69" s="3">
        <f t="shared" si="7"/>
        <v>8.2000000000000064</v>
      </c>
      <c r="Q69" s="3">
        <v>34</v>
      </c>
      <c r="R69" s="3">
        <f t="shared" si="9"/>
        <v>0.54415584415584417</v>
      </c>
      <c r="S69" s="3">
        <f t="shared" si="3"/>
        <v>1.4692207792207794</v>
      </c>
      <c r="T69" s="28">
        <f t="shared" si="4"/>
        <v>-1.4692207792207794</v>
      </c>
      <c r="U69" s="28">
        <f t="shared" si="8"/>
        <v>26.761298701298692</v>
      </c>
      <c r="W69" s="3">
        <v>1447.6</v>
      </c>
      <c r="Y69" s="3">
        <f t="shared" si="6"/>
        <v>34839.899999999994</v>
      </c>
      <c r="AA69" s="3">
        <v>11.178641317546811</v>
      </c>
    </row>
    <row r="70" spans="1:27" s="3" customFormat="1" x14ac:dyDescent="0.25">
      <c r="A70" s="3">
        <v>5400</v>
      </c>
      <c r="B70" s="3">
        <v>24010</v>
      </c>
      <c r="C70" s="7">
        <v>42648</v>
      </c>
      <c r="F70" s="50"/>
      <c r="G70" s="3">
        <v>12.2</v>
      </c>
      <c r="H70" s="3">
        <v>9.6</v>
      </c>
      <c r="I70" s="3">
        <v>16.5</v>
      </c>
      <c r="J70" s="3">
        <f t="shared" si="5"/>
        <v>588</v>
      </c>
      <c r="L70" s="23"/>
      <c r="M70" s="3">
        <v>0</v>
      </c>
      <c r="N70" s="3">
        <v>2.7</v>
      </c>
      <c r="O70" s="3">
        <f t="shared" si="2"/>
        <v>-2.7</v>
      </c>
      <c r="P70" s="3">
        <f t="shared" si="7"/>
        <v>5.5000000000000062</v>
      </c>
      <c r="Q70" s="3">
        <v>35</v>
      </c>
      <c r="R70" s="3">
        <f t="shared" si="9"/>
        <v>0.55259740259740253</v>
      </c>
      <c r="S70" s="3">
        <f t="shared" si="3"/>
        <v>1.492012987012987</v>
      </c>
      <c r="T70" s="28">
        <f t="shared" si="4"/>
        <v>-1.492012987012987</v>
      </c>
      <c r="U70" s="28">
        <f t="shared" si="8"/>
        <v>25.269285714285704</v>
      </c>
      <c r="W70" s="3">
        <v>1411.3</v>
      </c>
      <c r="Y70" s="3">
        <f t="shared" si="6"/>
        <v>36251.199999999997</v>
      </c>
      <c r="AA70" s="3">
        <v>11.118370858124068</v>
      </c>
    </row>
    <row r="71" spans="1:27" s="3" customFormat="1" x14ac:dyDescent="0.25">
      <c r="A71" s="3">
        <v>5400</v>
      </c>
      <c r="B71" s="3">
        <v>24010</v>
      </c>
      <c r="C71" s="7">
        <v>42649</v>
      </c>
      <c r="F71" s="50"/>
      <c r="G71" s="3">
        <v>9.9</v>
      </c>
      <c r="H71" s="3">
        <v>4.9000000000000004</v>
      </c>
      <c r="I71" s="3">
        <v>13.9</v>
      </c>
      <c r="J71" s="3">
        <f t="shared" si="5"/>
        <v>597.9</v>
      </c>
      <c r="L71" s="23"/>
      <c r="M71" s="3">
        <v>0</v>
      </c>
      <c r="N71" s="3">
        <v>2.1</v>
      </c>
      <c r="O71" s="3">
        <f t="shared" si="2"/>
        <v>-2.1</v>
      </c>
      <c r="P71" s="3">
        <f t="shared" si="7"/>
        <v>3.4000000000000061</v>
      </c>
      <c r="Q71" s="3">
        <v>36</v>
      </c>
      <c r="R71" s="3">
        <f t="shared" si="9"/>
        <v>0.561038961038961</v>
      </c>
      <c r="S71" s="3">
        <f t="shared" si="3"/>
        <v>1.1781818181818182</v>
      </c>
      <c r="T71" s="28">
        <f t="shared" si="4"/>
        <v>-1.1781818181818182</v>
      </c>
      <c r="U71" s="28">
        <f t="shared" si="8"/>
        <v>24.091103896103885</v>
      </c>
      <c r="W71" s="3">
        <v>1338.6</v>
      </c>
      <c r="Y71" s="3">
        <f t="shared" si="6"/>
        <v>37589.799999999996</v>
      </c>
      <c r="AA71" s="3">
        <v>11.058226224305077</v>
      </c>
    </row>
    <row r="72" spans="1:27" s="3" customFormat="1" x14ac:dyDescent="0.25">
      <c r="A72" s="3">
        <v>5400</v>
      </c>
      <c r="B72" s="3">
        <v>24010</v>
      </c>
      <c r="C72" s="7">
        <v>42650</v>
      </c>
      <c r="F72" s="50"/>
      <c r="G72" s="3">
        <v>10.7</v>
      </c>
      <c r="H72" s="3">
        <v>6.9</v>
      </c>
      <c r="I72" s="3">
        <v>13.5</v>
      </c>
      <c r="J72" s="3">
        <f t="shared" si="5"/>
        <v>608.6</v>
      </c>
      <c r="L72" s="23"/>
      <c r="M72" s="3">
        <v>0</v>
      </c>
      <c r="N72" s="3">
        <v>0.9</v>
      </c>
      <c r="O72" s="3">
        <f t="shared" si="2"/>
        <v>-0.9</v>
      </c>
      <c r="P72" s="3">
        <f t="shared" si="7"/>
        <v>2.5000000000000062</v>
      </c>
      <c r="Q72" s="3">
        <v>37</v>
      </c>
      <c r="R72" s="3">
        <f t="shared" si="9"/>
        <v>0.56948051948051948</v>
      </c>
      <c r="S72" s="3">
        <f t="shared" si="3"/>
        <v>0.51253246753246751</v>
      </c>
      <c r="T72" s="28">
        <f t="shared" si="4"/>
        <v>-0.51253246753246751</v>
      </c>
      <c r="U72" s="28">
        <f t="shared" si="8"/>
        <v>23.578571428571419</v>
      </c>
      <c r="W72" s="3">
        <v>469.3</v>
      </c>
      <c r="Y72" s="3">
        <f t="shared" si="6"/>
        <v>38059.1</v>
      </c>
      <c r="AA72" s="3">
        <v>10.998217289235583</v>
      </c>
    </row>
    <row r="73" spans="1:27" s="3" customFormat="1" x14ac:dyDescent="0.25">
      <c r="A73" s="3">
        <v>5400</v>
      </c>
      <c r="B73" s="3">
        <v>24010</v>
      </c>
      <c r="C73" s="7">
        <v>42651</v>
      </c>
      <c r="F73" s="50"/>
      <c r="G73" s="3">
        <v>11.1</v>
      </c>
      <c r="H73" s="3">
        <v>9.5</v>
      </c>
      <c r="I73" s="3">
        <v>14.7</v>
      </c>
      <c r="J73" s="3">
        <f t="shared" si="5"/>
        <v>619.70000000000005</v>
      </c>
      <c r="L73" s="23"/>
      <c r="M73" s="3">
        <v>0</v>
      </c>
      <c r="N73" s="3">
        <v>1.3</v>
      </c>
      <c r="O73" s="3">
        <f t="shared" si="2"/>
        <v>-1.3</v>
      </c>
      <c r="P73" s="3">
        <f t="shared" si="7"/>
        <v>1.2000000000000062</v>
      </c>
      <c r="Q73" s="3">
        <v>38</v>
      </c>
      <c r="R73" s="3">
        <f t="shared" si="9"/>
        <v>0.57792207792207795</v>
      </c>
      <c r="S73" s="3">
        <f t="shared" si="3"/>
        <v>0.75129870129870135</v>
      </c>
      <c r="T73" s="28">
        <f t="shared" si="4"/>
        <v>-0.75129870129870135</v>
      </c>
      <c r="U73" s="28">
        <f t="shared" si="8"/>
        <v>22.827272727272717</v>
      </c>
      <c r="W73" s="3">
        <v>610.5</v>
      </c>
      <c r="Y73" s="3">
        <f t="shared" si="6"/>
        <v>38669.599999999999</v>
      </c>
      <c r="AA73" s="3">
        <v>10.938354162174264</v>
      </c>
    </row>
    <row r="74" spans="1:27" s="3" customFormat="1" x14ac:dyDescent="0.25">
      <c r="A74" s="3">
        <v>5400</v>
      </c>
      <c r="B74" s="3">
        <v>24010</v>
      </c>
      <c r="C74" s="7">
        <v>42652</v>
      </c>
      <c r="F74" s="50"/>
      <c r="G74" s="3">
        <v>9.5</v>
      </c>
      <c r="H74" s="3">
        <v>5.0999999999999996</v>
      </c>
      <c r="I74" s="3">
        <v>15.6</v>
      </c>
      <c r="J74" s="3">
        <f t="shared" si="5"/>
        <v>629.20000000000005</v>
      </c>
      <c r="L74" s="23"/>
      <c r="M74" s="3">
        <v>0</v>
      </c>
      <c r="N74" s="3">
        <v>1.2</v>
      </c>
      <c r="O74" s="3">
        <f t="shared" si="2"/>
        <v>-1.2</v>
      </c>
      <c r="P74" s="3">
        <v>0</v>
      </c>
      <c r="Q74" s="3">
        <v>39</v>
      </c>
      <c r="R74" s="3">
        <f t="shared" si="9"/>
        <v>0.58636363636363642</v>
      </c>
      <c r="S74" s="3">
        <f t="shared" si="3"/>
        <v>0.70363636363636373</v>
      </c>
      <c r="T74" s="28">
        <f t="shared" si="4"/>
        <v>-0.70363636363636373</v>
      </c>
      <c r="U74" s="28">
        <f t="shared" si="8"/>
        <v>22.123636363636354</v>
      </c>
      <c r="W74" s="3">
        <v>623.4</v>
      </c>
      <c r="Y74" s="3">
        <f t="shared" si="6"/>
        <v>39293</v>
      </c>
      <c r="AA74" s="3">
        <v>10.878647202673317</v>
      </c>
    </row>
    <row r="75" spans="1:27" s="3" customFormat="1" x14ac:dyDescent="0.25">
      <c r="A75" s="3">
        <v>5400</v>
      </c>
      <c r="B75" s="3">
        <v>24010</v>
      </c>
      <c r="C75" s="7">
        <v>42653</v>
      </c>
      <c r="F75" s="50"/>
      <c r="G75" s="3">
        <v>7.7</v>
      </c>
      <c r="H75" s="3">
        <v>1.6</v>
      </c>
      <c r="I75" s="3">
        <v>14</v>
      </c>
      <c r="J75" s="3">
        <f t="shared" si="5"/>
        <v>636.90000000000009</v>
      </c>
      <c r="L75" s="23"/>
      <c r="M75" s="3">
        <v>0</v>
      </c>
      <c r="N75" s="3">
        <v>1.2</v>
      </c>
      <c r="O75" s="3">
        <f t="shared" si="2"/>
        <v>-1.2</v>
      </c>
      <c r="P75" s="3">
        <v>0</v>
      </c>
      <c r="Q75" s="3">
        <v>40</v>
      </c>
      <c r="R75" s="3">
        <f t="shared" si="9"/>
        <v>0.59480519480519478</v>
      </c>
      <c r="S75" s="3">
        <f t="shared" si="3"/>
        <v>0.71376623376623372</v>
      </c>
      <c r="T75" s="28">
        <f t="shared" si="4"/>
        <v>-0.71376623376623372</v>
      </c>
      <c r="U75" s="28">
        <f t="shared" si="8"/>
        <v>21.409870129870122</v>
      </c>
      <c r="W75" s="3">
        <v>902</v>
      </c>
      <c r="Y75" s="3">
        <f t="shared" si="6"/>
        <v>40195</v>
      </c>
      <c r="AA75" s="3">
        <v>10.819107034523386</v>
      </c>
    </row>
    <row r="76" spans="1:27" s="3" customFormat="1" x14ac:dyDescent="0.25">
      <c r="A76" s="3">
        <v>5400</v>
      </c>
      <c r="B76" s="3">
        <v>24010</v>
      </c>
      <c r="C76" s="7">
        <v>42654</v>
      </c>
      <c r="F76" s="50"/>
      <c r="G76" s="3">
        <v>7.5</v>
      </c>
      <c r="H76" s="3">
        <v>4.5</v>
      </c>
      <c r="I76" s="3">
        <v>11.7</v>
      </c>
      <c r="J76" s="3">
        <f t="shared" si="5"/>
        <v>644.40000000000009</v>
      </c>
      <c r="L76" s="23"/>
      <c r="M76" s="3">
        <v>0.2</v>
      </c>
      <c r="N76" s="3">
        <v>1.4</v>
      </c>
      <c r="O76" s="3">
        <f t="shared" si="2"/>
        <v>-1.2</v>
      </c>
      <c r="P76" s="3">
        <v>0</v>
      </c>
      <c r="Q76" s="3">
        <v>41</v>
      </c>
      <c r="R76" s="3">
        <f t="shared" si="9"/>
        <v>0.60324675324675325</v>
      </c>
      <c r="S76" s="3">
        <f t="shared" si="3"/>
        <v>0.84454545454545449</v>
      </c>
      <c r="T76" s="28">
        <f t="shared" si="4"/>
        <v>-0.64454545454545453</v>
      </c>
      <c r="U76" s="28">
        <f t="shared" si="8"/>
        <v>20.765324675324667</v>
      </c>
      <c r="W76" s="3">
        <v>1153.9000000000001</v>
      </c>
      <c r="Y76" s="3">
        <f t="shared" si="6"/>
        <v>41348.9</v>
      </c>
      <c r="AA76" s="3">
        <v>10.759744559436816</v>
      </c>
    </row>
    <row r="77" spans="1:27" s="3" customFormat="1" x14ac:dyDescent="0.25">
      <c r="A77" s="3">
        <v>5400</v>
      </c>
      <c r="B77" s="3">
        <v>24010</v>
      </c>
      <c r="C77" s="7">
        <v>42655</v>
      </c>
      <c r="F77" s="50"/>
      <c r="G77" s="3">
        <v>7.9</v>
      </c>
      <c r="H77" s="3">
        <v>1.8</v>
      </c>
      <c r="I77" s="3">
        <v>13.7</v>
      </c>
      <c r="J77" s="3">
        <f t="shared" si="5"/>
        <v>652.30000000000007</v>
      </c>
      <c r="L77" s="23"/>
      <c r="M77" s="3">
        <v>0</v>
      </c>
      <c r="N77" s="3">
        <v>1.7</v>
      </c>
      <c r="O77" s="3">
        <f t="shared" si="2"/>
        <v>-1.7</v>
      </c>
      <c r="P77" s="3">
        <v>0</v>
      </c>
      <c r="Q77" s="3">
        <v>42</v>
      </c>
      <c r="R77" s="3">
        <f t="shared" si="9"/>
        <v>0.61168831168831161</v>
      </c>
      <c r="S77" s="3">
        <f t="shared" si="3"/>
        <v>1.0398701298701296</v>
      </c>
      <c r="T77" s="28">
        <f t="shared" si="4"/>
        <v>-1.0398701298701296</v>
      </c>
      <c r="U77" s="28">
        <f t="shared" si="8"/>
        <v>19.725454545454536</v>
      </c>
      <c r="W77" s="3">
        <v>1286.5999999999999</v>
      </c>
      <c r="Y77" s="3">
        <f t="shared" si="6"/>
        <v>42635.5</v>
      </c>
      <c r="AA77" s="3">
        <v>10.700570970441477</v>
      </c>
    </row>
    <row r="78" spans="1:27" s="3" customFormat="1" x14ac:dyDescent="0.25">
      <c r="A78" s="3">
        <v>5400</v>
      </c>
      <c r="B78" s="3">
        <v>24010</v>
      </c>
      <c r="C78" s="7">
        <v>42656</v>
      </c>
      <c r="F78" s="50"/>
      <c r="G78" s="3">
        <v>7.7</v>
      </c>
      <c r="H78" s="3">
        <v>4.5</v>
      </c>
      <c r="I78" s="3">
        <v>9.6</v>
      </c>
      <c r="J78" s="3">
        <f t="shared" si="5"/>
        <v>660.00000000000011</v>
      </c>
      <c r="L78" s="23"/>
      <c r="M78" s="3">
        <v>2.4</v>
      </c>
      <c r="N78" s="3">
        <v>0.3</v>
      </c>
      <c r="O78" s="3">
        <f t="shared" si="2"/>
        <v>2.1</v>
      </c>
      <c r="P78" s="3">
        <f t="shared" si="7"/>
        <v>2.1</v>
      </c>
      <c r="Q78" s="3">
        <v>43</v>
      </c>
      <c r="R78" s="3">
        <f t="shared" si="9"/>
        <v>0.62012987012987009</v>
      </c>
      <c r="S78" s="3">
        <f t="shared" si="3"/>
        <v>0.18603896103896103</v>
      </c>
      <c r="T78" s="28">
        <f t="shared" si="4"/>
        <v>2.2139610389610387</v>
      </c>
      <c r="U78" s="28">
        <f t="shared" si="8"/>
        <v>21.939415584415574</v>
      </c>
      <c r="W78" s="3">
        <v>282.89999999999998</v>
      </c>
      <c r="Y78" s="3">
        <f t="shared" si="6"/>
        <v>42918.400000000001</v>
      </c>
      <c r="AA78" s="3">
        <v>10.641597764954994</v>
      </c>
    </row>
    <row r="79" spans="1:27" s="3" customFormat="1" x14ac:dyDescent="0.25">
      <c r="A79" s="3">
        <v>5400</v>
      </c>
      <c r="B79" s="3">
        <v>24010</v>
      </c>
      <c r="C79" s="7">
        <v>42657</v>
      </c>
      <c r="F79" s="50"/>
      <c r="G79" s="3">
        <v>10.7</v>
      </c>
      <c r="H79" s="3">
        <v>8.6</v>
      </c>
      <c r="I79" s="3">
        <v>12.3</v>
      </c>
      <c r="J79" s="3">
        <f t="shared" si="5"/>
        <v>670.70000000000016</v>
      </c>
      <c r="L79" s="23"/>
      <c r="M79" s="3">
        <v>0.8</v>
      </c>
      <c r="N79" s="3">
        <v>0.4</v>
      </c>
      <c r="O79" s="3">
        <f t="shared" si="2"/>
        <v>0.4</v>
      </c>
      <c r="P79" s="3">
        <f t="shared" si="7"/>
        <v>2.5</v>
      </c>
      <c r="Q79" s="3">
        <v>44</v>
      </c>
      <c r="R79" s="3">
        <f t="shared" si="9"/>
        <v>0.62857142857142856</v>
      </c>
      <c r="S79" s="3">
        <f t="shared" si="3"/>
        <v>0.25142857142857145</v>
      </c>
      <c r="T79" s="28">
        <f t="shared" si="4"/>
        <v>0.5485714285714286</v>
      </c>
      <c r="U79" s="28">
        <f t="shared" si="8"/>
        <v>22.487987012987002</v>
      </c>
      <c r="W79" s="3">
        <v>213.9</v>
      </c>
      <c r="Y79" s="3">
        <f t="shared" si="6"/>
        <v>43132.3</v>
      </c>
      <c r="AA79" s="3">
        <v>10.582836757507264</v>
      </c>
    </row>
    <row r="80" spans="1:27" s="3" customFormat="1" x14ac:dyDescent="0.25">
      <c r="A80" s="3">
        <v>5400</v>
      </c>
      <c r="B80" s="3">
        <v>24010</v>
      </c>
      <c r="C80" s="7">
        <v>42658</v>
      </c>
      <c r="F80" s="50"/>
      <c r="G80" s="3">
        <v>12.1</v>
      </c>
      <c r="H80" s="3">
        <v>7</v>
      </c>
      <c r="I80" s="3">
        <v>16.7</v>
      </c>
      <c r="J80" s="3">
        <f t="shared" si="5"/>
        <v>682.80000000000018</v>
      </c>
      <c r="L80" s="23"/>
      <c r="M80" s="3">
        <v>0</v>
      </c>
      <c r="N80" s="3">
        <v>1.4</v>
      </c>
      <c r="O80" s="3">
        <f t="shared" si="2"/>
        <v>-1.4</v>
      </c>
      <c r="P80" s="3">
        <f t="shared" si="7"/>
        <v>1.1000000000000001</v>
      </c>
      <c r="Q80" s="3">
        <v>45</v>
      </c>
      <c r="R80" s="3">
        <f t="shared" si="9"/>
        <v>0.63701298701298703</v>
      </c>
      <c r="S80" s="3">
        <f t="shared" si="3"/>
        <v>0.89181818181818173</v>
      </c>
      <c r="T80" s="28">
        <f t="shared" si="4"/>
        <v>-0.89181818181818173</v>
      </c>
      <c r="U80" s="28">
        <f t="shared" si="8"/>
        <v>21.596168831168821</v>
      </c>
      <c r="W80" s="3">
        <v>956.4</v>
      </c>
      <c r="Y80" s="3">
        <f t="shared" si="6"/>
        <v>44088.700000000004</v>
      </c>
      <c r="AA80" s="3">
        <v>10.524300092076585</v>
      </c>
    </row>
    <row r="81" spans="1:27" s="3" customFormat="1" x14ac:dyDescent="0.25">
      <c r="A81" s="3">
        <v>5400</v>
      </c>
      <c r="B81" s="3">
        <v>24010</v>
      </c>
      <c r="C81" s="7">
        <v>42659</v>
      </c>
      <c r="F81" s="50"/>
      <c r="G81" s="3">
        <v>13.5</v>
      </c>
      <c r="H81" s="3">
        <v>8.4</v>
      </c>
      <c r="I81" s="3">
        <v>18.7</v>
      </c>
      <c r="J81" s="3">
        <f t="shared" si="5"/>
        <v>696.30000000000018</v>
      </c>
      <c r="L81" s="23"/>
      <c r="M81" s="3">
        <v>4.7</v>
      </c>
      <c r="N81" s="3">
        <v>1.8</v>
      </c>
      <c r="O81" s="3">
        <f t="shared" si="2"/>
        <v>2.9000000000000004</v>
      </c>
      <c r="P81" s="3">
        <f t="shared" si="7"/>
        <v>4</v>
      </c>
      <c r="Q81" s="3">
        <v>46</v>
      </c>
      <c r="R81" s="3">
        <f t="shared" si="9"/>
        <v>0.6454545454545455</v>
      </c>
      <c r="S81" s="3">
        <f t="shared" si="3"/>
        <v>1.1618181818181819</v>
      </c>
      <c r="T81" s="28">
        <f t="shared" si="4"/>
        <v>3.5381818181818181</v>
      </c>
      <c r="U81" s="28">
        <f t="shared" si="8"/>
        <v>25.13435064935064</v>
      </c>
      <c r="W81" s="3">
        <v>964.5</v>
      </c>
      <c r="Y81" s="3">
        <f t="shared" si="6"/>
        <v>45053.200000000004</v>
      </c>
      <c r="AA81" s="3">
        <v>10.466000254002532</v>
      </c>
    </row>
    <row r="82" spans="1:27" s="3" customFormat="1" x14ac:dyDescent="0.25">
      <c r="A82" s="3">
        <v>5400</v>
      </c>
      <c r="B82" s="3">
        <v>24010</v>
      </c>
      <c r="C82" s="7">
        <v>42660</v>
      </c>
      <c r="F82" s="50"/>
      <c r="G82" s="3">
        <v>12.2</v>
      </c>
      <c r="H82" s="3">
        <v>11.5</v>
      </c>
      <c r="I82" s="3">
        <v>15.9</v>
      </c>
      <c r="J82" s="3">
        <f t="shared" si="5"/>
        <v>708.50000000000023</v>
      </c>
      <c r="L82" s="23"/>
      <c r="M82" s="3">
        <v>0.8</v>
      </c>
      <c r="N82" s="3">
        <v>1.4</v>
      </c>
      <c r="O82" s="3">
        <f t="shared" si="2"/>
        <v>-0.59999999999999987</v>
      </c>
      <c r="P82" s="3">
        <f t="shared" si="7"/>
        <v>3.4000000000000004</v>
      </c>
      <c r="Q82" s="3">
        <v>47</v>
      </c>
      <c r="R82" s="3">
        <f t="shared" si="9"/>
        <v>0.65389610389610386</v>
      </c>
      <c r="S82" s="3">
        <f t="shared" si="3"/>
        <v>0.9154545454545453</v>
      </c>
      <c r="T82" s="28">
        <f t="shared" si="4"/>
        <v>-0.11545454545454525</v>
      </c>
      <c r="U82" s="28">
        <f t="shared" si="8"/>
        <v>25.018896103896097</v>
      </c>
      <c r="W82" s="3">
        <v>749.5</v>
      </c>
      <c r="Y82" s="3">
        <f t="shared" si="6"/>
        <v>45802.700000000004</v>
      </c>
      <c r="AA82" s="3">
        <v>10.407950081436105</v>
      </c>
    </row>
    <row r="83" spans="1:27" s="3" customFormat="1" x14ac:dyDescent="0.25">
      <c r="A83" s="3">
        <v>5400</v>
      </c>
      <c r="B83" s="3">
        <v>24010</v>
      </c>
      <c r="C83" s="7">
        <v>42661</v>
      </c>
      <c r="F83" s="50"/>
      <c r="G83" s="3">
        <v>10</v>
      </c>
      <c r="H83" s="3">
        <v>5.7</v>
      </c>
      <c r="I83" s="3">
        <v>15.5</v>
      </c>
      <c r="J83" s="3">
        <f t="shared" si="5"/>
        <v>718.50000000000023</v>
      </c>
      <c r="L83" s="23"/>
      <c r="M83" s="3">
        <v>1.3</v>
      </c>
      <c r="N83" s="3">
        <v>0.9</v>
      </c>
      <c r="O83" s="3">
        <f t="shared" si="2"/>
        <v>0.4</v>
      </c>
      <c r="P83" s="3">
        <f t="shared" si="7"/>
        <v>3.8000000000000003</v>
      </c>
      <c r="Q83" s="3">
        <v>48</v>
      </c>
      <c r="R83" s="3">
        <f t="shared" si="9"/>
        <v>0.66233766233766234</v>
      </c>
      <c r="S83" s="3">
        <f t="shared" si="3"/>
        <v>0.59610389610389614</v>
      </c>
      <c r="T83" s="28">
        <f t="shared" si="4"/>
        <v>0.70389610389610391</v>
      </c>
      <c r="U83" s="28">
        <f t="shared" si="8"/>
        <v>25.7227922077922</v>
      </c>
      <c r="W83" s="3">
        <v>401.5</v>
      </c>
      <c r="Y83" s="3">
        <f t="shared" si="6"/>
        <v>46204.200000000004</v>
      </c>
      <c r="AA83" s="3">
        <v>10.350162776285252</v>
      </c>
    </row>
    <row r="84" spans="1:27" s="3" customFormat="1" x14ac:dyDescent="0.25">
      <c r="A84" s="3">
        <v>5400</v>
      </c>
      <c r="B84" s="3">
        <v>24010</v>
      </c>
      <c r="C84" s="7">
        <v>42662</v>
      </c>
      <c r="F84" s="50"/>
      <c r="G84" s="3">
        <v>8.8000000000000007</v>
      </c>
      <c r="H84" s="3">
        <v>5.7</v>
      </c>
      <c r="I84" s="3">
        <v>11.8</v>
      </c>
      <c r="J84" s="3">
        <f t="shared" si="5"/>
        <v>727.30000000000018</v>
      </c>
      <c r="L84" s="23"/>
      <c r="M84" s="3">
        <v>0.9</v>
      </c>
      <c r="N84" s="3">
        <v>0.9</v>
      </c>
      <c r="O84" s="3">
        <f t="shared" si="2"/>
        <v>0</v>
      </c>
      <c r="P84" s="3">
        <f t="shared" si="7"/>
        <v>3.8000000000000003</v>
      </c>
      <c r="Q84" s="3">
        <v>49</v>
      </c>
      <c r="R84" s="3">
        <f t="shared" si="9"/>
        <v>0.6707792207792207</v>
      </c>
      <c r="S84" s="3">
        <f t="shared" si="3"/>
        <v>0.60370129870129863</v>
      </c>
      <c r="T84" s="28">
        <f t="shared" si="4"/>
        <v>0.29629870129870139</v>
      </c>
      <c r="U84" s="28">
        <f t="shared" si="8"/>
        <v>26.019090909090902</v>
      </c>
      <c r="W84" s="3">
        <v>688.6</v>
      </c>
      <c r="Y84" s="3">
        <f t="shared" si="6"/>
        <v>46892.800000000003</v>
      </c>
      <c r="AA84" s="3">
        <v>10.292651914611147</v>
      </c>
    </row>
    <row r="85" spans="1:27" s="3" customFormat="1" x14ac:dyDescent="0.25">
      <c r="A85" s="3">
        <v>5400</v>
      </c>
      <c r="B85" s="3">
        <v>24010</v>
      </c>
      <c r="C85" s="7">
        <v>42663</v>
      </c>
      <c r="F85" s="50"/>
      <c r="G85" s="3">
        <v>10.3</v>
      </c>
      <c r="H85" s="3">
        <v>7.8</v>
      </c>
      <c r="I85" s="3">
        <v>13.1</v>
      </c>
      <c r="J85" s="3">
        <f t="shared" si="5"/>
        <v>737.60000000000014</v>
      </c>
      <c r="L85" s="23"/>
      <c r="M85" s="3">
        <v>0.3</v>
      </c>
      <c r="N85" s="3">
        <v>0.7</v>
      </c>
      <c r="O85" s="3">
        <f t="shared" si="2"/>
        <v>-0.39999999999999997</v>
      </c>
      <c r="P85" s="3">
        <f t="shared" si="7"/>
        <v>3.4000000000000004</v>
      </c>
      <c r="Q85" s="3">
        <v>50</v>
      </c>
      <c r="R85" s="3">
        <f t="shared" si="9"/>
        <v>0.67922077922077917</v>
      </c>
      <c r="S85" s="3">
        <f t="shared" si="3"/>
        <v>0.47545454545454541</v>
      </c>
      <c r="T85" s="28">
        <f t="shared" si="4"/>
        <v>-0.17545454545454542</v>
      </c>
      <c r="U85" s="28">
        <f t="shared" si="8"/>
        <v>25.843636363636357</v>
      </c>
      <c r="W85" s="3">
        <v>509.8</v>
      </c>
      <c r="Y85" s="3">
        <f t="shared" si="6"/>
        <v>47402.600000000006</v>
      </c>
      <c r="AA85" s="3">
        <v>10.235431456428106</v>
      </c>
    </row>
    <row r="86" spans="1:27" s="3" customFormat="1" x14ac:dyDescent="0.25">
      <c r="A86" s="3">
        <v>5400</v>
      </c>
      <c r="B86" s="3">
        <v>24010</v>
      </c>
      <c r="C86" s="7">
        <v>42664</v>
      </c>
      <c r="F86" s="50"/>
      <c r="G86" s="3">
        <v>9.9</v>
      </c>
      <c r="H86" s="3">
        <v>7.5</v>
      </c>
      <c r="I86" s="3">
        <v>13.2</v>
      </c>
      <c r="J86" s="3">
        <f t="shared" si="5"/>
        <v>747.50000000000011</v>
      </c>
      <c r="L86" s="23"/>
      <c r="M86" s="3">
        <v>0.2</v>
      </c>
      <c r="N86" s="3">
        <v>1.1000000000000001</v>
      </c>
      <c r="O86" s="3">
        <f t="shared" si="2"/>
        <v>-0.90000000000000013</v>
      </c>
      <c r="P86" s="3">
        <f t="shared" si="7"/>
        <v>2.5</v>
      </c>
      <c r="Q86" s="3">
        <v>51</v>
      </c>
      <c r="R86" s="3">
        <f t="shared" si="9"/>
        <v>0.68766233766233764</v>
      </c>
      <c r="S86" s="3">
        <f t="shared" si="3"/>
        <v>0.75642857142857145</v>
      </c>
      <c r="T86" s="28">
        <f t="shared" si="4"/>
        <v>-0.55642857142857149</v>
      </c>
      <c r="U86" s="28">
        <f t="shared" si="8"/>
        <v>25.287207792207784</v>
      </c>
      <c r="W86" s="3">
        <v>862.1</v>
      </c>
      <c r="Y86" s="3">
        <f t="shared" si="6"/>
        <v>48264.700000000004</v>
      </c>
      <c r="AA86" s="3">
        <v>10.17851575485734</v>
      </c>
    </row>
    <row r="87" spans="1:27" s="3" customFormat="1" x14ac:dyDescent="0.25">
      <c r="A87" s="3">
        <v>5400</v>
      </c>
      <c r="B87" s="3">
        <v>24010</v>
      </c>
      <c r="C87" s="7">
        <v>42665</v>
      </c>
      <c r="F87" s="50"/>
      <c r="G87" s="3">
        <v>7.8</v>
      </c>
      <c r="H87" s="3">
        <v>6</v>
      </c>
      <c r="I87" s="3">
        <v>9.9</v>
      </c>
      <c r="J87" s="3">
        <f t="shared" si="5"/>
        <v>755.30000000000007</v>
      </c>
      <c r="L87" s="23"/>
      <c r="M87" s="3">
        <v>0.2</v>
      </c>
      <c r="N87" s="3">
        <v>0.5</v>
      </c>
      <c r="O87" s="3">
        <f t="shared" si="2"/>
        <v>-0.3</v>
      </c>
      <c r="P87" s="3">
        <f t="shared" si="7"/>
        <v>2.2000000000000002</v>
      </c>
      <c r="Q87" s="3">
        <v>52</v>
      </c>
      <c r="R87" s="3">
        <f t="shared" si="9"/>
        <v>0.69610389610389611</v>
      </c>
      <c r="S87" s="3">
        <f t="shared" si="3"/>
        <v>0.34805194805194806</v>
      </c>
      <c r="T87" s="28">
        <f t="shared" si="4"/>
        <v>-0.14805194805194805</v>
      </c>
      <c r="U87" s="28">
        <f t="shared" si="8"/>
        <v>25.139155844155837</v>
      </c>
      <c r="W87" s="3">
        <v>435.8</v>
      </c>
      <c r="Y87" s="3">
        <f t="shared" si="6"/>
        <v>48700.500000000007</v>
      </c>
      <c r="AA87" s="3">
        <v>10.121919564581995</v>
      </c>
    </row>
    <row r="88" spans="1:27" s="3" customFormat="1" x14ac:dyDescent="0.25">
      <c r="A88" s="3">
        <v>5400</v>
      </c>
      <c r="B88" s="3">
        <v>24010</v>
      </c>
      <c r="C88" s="7">
        <v>42666</v>
      </c>
      <c r="F88" s="50"/>
      <c r="G88" s="3">
        <v>8.1</v>
      </c>
      <c r="H88" s="3">
        <v>3.9</v>
      </c>
      <c r="I88" s="3">
        <v>10.8</v>
      </c>
      <c r="J88" s="3">
        <f t="shared" si="5"/>
        <v>763.40000000000009</v>
      </c>
      <c r="L88" s="23"/>
      <c r="M88" s="3">
        <v>6.9</v>
      </c>
      <c r="N88" s="3">
        <v>0.4</v>
      </c>
      <c r="O88" s="3">
        <f t="shared" si="2"/>
        <v>6.5</v>
      </c>
      <c r="P88" s="3">
        <f t="shared" si="7"/>
        <v>8.6999999999999993</v>
      </c>
      <c r="Q88" s="3">
        <v>53</v>
      </c>
      <c r="R88" s="3">
        <f t="shared" si="9"/>
        <v>0.70454545454545459</v>
      </c>
      <c r="S88" s="3">
        <f t="shared" si="3"/>
        <v>0.28181818181818186</v>
      </c>
      <c r="T88" s="28">
        <f t="shared" si="4"/>
        <v>6.6181818181818182</v>
      </c>
      <c r="U88" s="28">
        <f t="shared" si="8"/>
        <v>31.757337662337655</v>
      </c>
      <c r="W88" s="3">
        <v>363.7</v>
      </c>
      <c r="Y88" s="3">
        <f t="shared" si="6"/>
        <v>49064.200000000004</v>
      </c>
      <c r="AA88" s="3">
        <v>10.06565804954837</v>
      </c>
    </row>
    <row r="89" spans="1:27" s="3" customFormat="1" x14ac:dyDescent="0.25">
      <c r="A89" s="3">
        <v>5400</v>
      </c>
      <c r="B89" s="3">
        <v>24010</v>
      </c>
      <c r="C89" s="7">
        <v>42667</v>
      </c>
      <c r="F89" s="50"/>
      <c r="G89" s="3">
        <v>11.7</v>
      </c>
      <c r="H89" s="3">
        <v>9.5</v>
      </c>
      <c r="I89" s="3">
        <v>13.1</v>
      </c>
      <c r="J89" s="3">
        <f t="shared" si="5"/>
        <v>775.10000000000014</v>
      </c>
      <c r="L89" s="23"/>
      <c r="M89" s="3">
        <v>0.6</v>
      </c>
      <c r="N89" s="3">
        <v>0</v>
      </c>
      <c r="O89" s="3">
        <f t="shared" si="2"/>
        <v>0.6</v>
      </c>
      <c r="P89" s="3">
        <f t="shared" si="7"/>
        <v>9.2999999999999989</v>
      </c>
      <c r="Q89" s="3">
        <v>54</v>
      </c>
      <c r="R89" s="3">
        <f t="shared" si="9"/>
        <v>0.71298701298701295</v>
      </c>
      <c r="S89" s="3">
        <f t="shared" si="3"/>
        <v>0</v>
      </c>
      <c r="T89" s="28">
        <f t="shared" si="4"/>
        <v>0.6</v>
      </c>
      <c r="U89" s="28">
        <f t="shared" si="8"/>
        <v>32.357337662337656</v>
      </c>
      <c r="W89" s="3">
        <v>115.4</v>
      </c>
      <c r="Y89" s="3">
        <f t="shared" si="6"/>
        <v>49179.600000000006</v>
      </c>
      <c r="AA89" s="3">
        <v>10.00974678985561</v>
      </c>
    </row>
    <row r="90" spans="1:27" s="3" customFormat="1" x14ac:dyDescent="0.25">
      <c r="A90" s="3">
        <v>5400</v>
      </c>
      <c r="B90" s="3">
        <v>24010</v>
      </c>
      <c r="C90" s="7">
        <v>42668</v>
      </c>
      <c r="F90" s="50"/>
      <c r="G90" s="3">
        <v>12.8</v>
      </c>
      <c r="H90" s="3">
        <v>12.5</v>
      </c>
      <c r="I90" s="3">
        <v>13.5</v>
      </c>
      <c r="J90" s="3">
        <f t="shared" si="5"/>
        <v>787.90000000000009</v>
      </c>
      <c r="L90" s="23"/>
      <c r="M90" s="3">
        <v>0.2</v>
      </c>
      <c r="N90" s="3">
        <v>0.3</v>
      </c>
      <c r="O90" s="3">
        <f t="shared" si="2"/>
        <v>-9.9999999999999978E-2</v>
      </c>
      <c r="P90" s="3">
        <f t="shared" si="7"/>
        <v>9.1999999999999993</v>
      </c>
      <c r="Q90" s="3">
        <v>55</v>
      </c>
      <c r="R90" s="3">
        <f t="shared" si="9"/>
        <v>0.72142857142857142</v>
      </c>
      <c r="S90" s="3">
        <f t="shared" si="3"/>
        <v>0.21642857142857141</v>
      </c>
      <c r="T90" s="28">
        <f t="shared" si="4"/>
        <v>-1.6428571428571404E-2</v>
      </c>
      <c r="U90" s="28">
        <f t="shared" si="8"/>
        <v>32.340909090909086</v>
      </c>
      <c r="W90" s="3">
        <v>260.2</v>
      </c>
      <c r="Y90" s="3">
        <f t="shared" si="6"/>
        <v>49439.8</v>
      </c>
      <c r="AA90" s="3">
        <v>9.9542017877735063</v>
      </c>
    </row>
    <row r="91" spans="1:27" s="3" customFormat="1" x14ac:dyDescent="0.25">
      <c r="A91" s="3">
        <v>5400</v>
      </c>
      <c r="B91" s="3">
        <v>24010</v>
      </c>
      <c r="C91" s="7">
        <v>42669</v>
      </c>
      <c r="F91" s="50"/>
      <c r="G91" s="3">
        <v>10.7</v>
      </c>
      <c r="H91" s="3">
        <v>10.3</v>
      </c>
      <c r="I91" s="3">
        <v>11.5</v>
      </c>
      <c r="J91" s="3">
        <f t="shared" si="5"/>
        <v>798.60000000000014</v>
      </c>
      <c r="L91" s="23"/>
      <c r="M91" s="3">
        <v>0.2</v>
      </c>
      <c r="N91" s="3">
        <v>0.4</v>
      </c>
      <c r="O91" s="3">
        <f t="shared" si="2"/>
        <v>-0.2</v>
      </c>
      <c r="P91" s="3">
        <f t="shared" si="7"/>
        <v>9</v>
      </c>
      <c r="Q91" s="3">
        <v>56</v>
      </c>
      <c r="R91" s="3">
        <f t="shared" si="9"/>
        <v>0.72987012987012978</v>
      </c>
      <c r="S91" s="3">
        <f t="shared" si="3"/>
        <v>0.2919480519480519</v>
      </c>
      <c r="T91" s="28">
        <f t="shared" si="4"/>
        <v>-9.194805194805189E-2</v>
      </c>
      <c r="U91" s="28">
        <f t="shared" si="8"/>
        <v>32.248961038961035</v>
      </c>
      <c r="W91" s="3">
        <v>269.2</v>
      </c>
      <c r="Y91" s="3">
        <f t="shared" si="6"/>
        <v>49709</v>
      </c>
      <c r="AA91" s="3">
        <v>9.8990394728256526</v>
      </c>
    </row>
    <row r="92" spans="1:27" s="3" customFormat="1" x14ac:dyDescent="0.25">
      <c r="A92" s="3">
        <v>5400</v>
      </c>
      <c r="B92" s="3">
        <v>24010</v>
      </c>
      <c r="C92" s="7">
        <v>42670</v>
      </c>
      <c r="F92" s="50"/>
      <c r="G92" s="3">
        <v>9.6999999999999993</v>
      </c>
      <c r="H92" s="3">
        <v>8.1999999999999993</v>
      </c>
      <c r="I92" s="3">
        <v>13.8</v>
      </c>
      <c r="J92" s="3">
        <f t="shared" si="5"/>
        <v>808.30000000000018</v>
      </c>
      <c r="L92" s="23"/>
      <c r="M92" s="3">
        <v>0.2</v>
      </c>
      <c r="N92" s="3">
        <v>0.8</v>
      </c>
      <c r="O92" s="3">
        <f t="shared" si="2"/>
        <v>-0.60000000000000009</v>
      </c>
      <c r="P92" s="3">
        <f t="shared" si="7"/>
        <v>8.4</v>
      </c>
      <c r="Q92" s="3">
        <v>57</v>
      </c>
      <c r="R92" s="3">
        <f t="shared" si="9"/>
        <v>0.73831168831168825</v>
      </c>
      <c r="S92" s="3">
        <f t="shared" si="3"/>
        <v>0.59064935064935065</v>
      </c>
      <c r="T92" s="28">
        <f t="shared" si="4"/>
        <v>-0.39064935064935064</v>
      </c>
      <c r="U92" s="28">
        <f t="shared" si="8"/>
        <v>31.858311688311684</v>
      </c>
      <c r="W92" s="3">
        <v>407.1</v>
      </c>
      <c r="Y92" s="3">
        <f t="shared" si="6"/>
        <v>50116.1</v>
      </c>
      <c r="AA92" s="3">
        <v>9.8442767058728222</v>
      </c>
    </row>
    <row r="93" spans="1:27" s="3" customFormat="1" x14ac:dyDescent="0.25">
      <c r="A93" s="3">
        <v>5400</v>
      </c>
      <c r="B93" s="3">
        <v>24010</v>
      </c>
      <c r="C93" s="7">
        <v>42671</v>
      </c>
      <c r="F93" s="50"/>
      <c r="G93" s="3">
        <v>9.6999999999999993</v>
      </c>
      <c r="H93" s="3">
        <v>5.6</v>
      </c>
      <c r="I93" s="3">
        <v>13.2</v>
      </c>
      <c r="J93" s="3">
        <f t="shared" si="5"/>
        <v>818.00000000000023</v>
      </c>
      <c r="L93" s="23"/>
      <c r="M93" s="3">
        <v>0.2</v>
      </c>
      <c r="N93" s="3">
        <v>0.9</v>
      </c>
      <c r="O93" s="3">
        <f t="shared" si="2"/>
        <v>-0.7</v>
      </c>
      <c r="P93" s="3">
        <f t="shared" si="7"/>
        <v>7.7</v>
      </c>
      <c r="Q93" s="3">
        <v>58</v>
      </c>
      <c r="R93" s="3">
        <f t="shared" si="9"/>
        <v>0.74675324675324672</v>
      </c>
      <c r="S93" s="3">
        <f t="shared" si="3"/>
        <v>0.67207792207792205</v>
      </c>
      <c r="T93" s="28">
        <f t="shared" si="4"/>
        <v>-0.47207792207792204</v>
      </c>
      <c r="U93" s="28">
        <f t="shared" si="8"/>
        <v>31.386233766233762</v>
      </c>
      <c r="W93" s="3">
        <v>538.6</v>
      </c>
      <c r="Y93" s="3">
        <f t="shared" si="6"/>
        <v>50654.7</v>
      </c>
      <c r="AA93" s="3">
        <v>9.7899307821292449</v>
      </c>
    </row>
    <row r="94" spans="1:27" s="3" customFormat="1" x14ac:dyDescent="0.25">
      <c r="A94" s="3">
        <v>5400</v>
      </c>
      <c r="B94" s="3">
        <v>24010</v>
      </c>
      <c r="C94" s="7">
        <v>42672</v>
      </c>
      <c r="F94" s="50"/>
      <c r="G94" s="3">
        <v>11.2</v>
      </c>
      <c r="H94" s="3">
        <v>10.8</v>
      </c>
      <c r="I94" s="3">
        <v>12.1</v>
      </c>
      <c r="J94" s="3">
        <f t="shared" si="5"/>
        <v>829.20000000000027</v>
      </c>
      <c r="L94" s="23"/>
      <c r="M94" s="3">
        <v>0.2</v>
      </c>
      <c r="N94" s="3">
        <v>0.6</v>
      </c>
      <c r="O94" s="3">
        <f t="shared" si="2"/>
        <v>-0.39999999999999997</v>
      </c>
      <c r="P94" s="3">
        <f t="shared" si="7"/>
        <v>7.3</v>
      </c>
      <c r="Q94" s="3">
        <v>59</v>
      </c>
      <c r="R94" s="3">
        <f t="shared" si="9"/>
        <v>0.7551948051948052</v>
      </c>
      <c r="S94" s="3">
        <f t="shared" si="3"/>
        <v>0.45311688311688308</v>
      </c>
      <c r="T94" s="28">
        <f t="shared" si="4"/>
        <v>-0.25311688311688307</v>
      </c>
      <c r="U94" s="28">
        <f t="shared" si="8"/>
        <v>31.133116883116877</v>
      </c>
      <c r="W94" s="3">
        <v>188.2</v>
      </c>
      <c r="Y94" s="3">
        <f t="shared" si="6"/>
        <v>50842.899999999994</v>
      </c>
      <c r="AA94" s="3">
        <v>9.7360194330423706</v>
      </c>
    </row>
    <row r="95" spans="1:27" s="3" customFormat="1" x14ac:dyDescent="0.25">
      <c r="A95" s="3">
        <v>5400</v>
      </c>
      <c r="B95" s="3">
        <v>24010</v>
      </c>
      <c r="C95" s="7">
        <v>42673</v>
      </c>
      <c r="F95" s="50"/>
      <c r="G95" s="3">
        <v>10.9</v>
      </c>
      <c r="H95" s="3">
        <v>7</v>
      </c>
      <c r="I95" s="3">
        <v>15.1</v>
      </c>
      <c r="J95" s="3">
        <f t="shared" si="5"/>
        <v>840.10000000000025</v>
      </c>
      <c r="L95" s="23"/>
      <c r="M95" s="3">
        <v>0.2</v>
      </c>
      <c r="N95" s="3">
        <v>1.1000000000000001</v>
      </c>
      <c r="O95" s="3">
        <f t="shared" si="2"/>
        <v>-0.90000000000000013</v>
      </c>
      <c r="P95" s="3">
        <f t="shared" si="7"/>
        <v>6.3999999999999995</v>
      </c>
      <c r="Q95" s="3">
        <v>60</v>
      </c>
      <c r="R95" s="3">
        <f t="shared" si="9"/>
        <v>0.76363636363636367</v>
      </c>
      <c r="S95" s="3">
        <f t="shared" si="3"/>
        <v>0.84000000000000008</v>
      </c>
      <c r="T95" s="28">
        <f t="shared" si="4"/>
        <v>-0.64000000000000012</v>
      </c>
      <c r="U95" s="28">
        <f t="shared" si="8"/>
        <v>30.493116883116876</v>
      </c>
      <c r="W95" s="3">
        <v>791.8</v>
      </c>
      <c r="Y95" s="3">
        <f t="shared" si="6"/>
        <v>51634.7</v>
      </c>
      <c r="AA95" s="3">
        <v>9.6825608269650267</v>
      </c>
    </row>
    <row r="96" spans="1:27" s="3" customFormat="1" x14ac:dyDescent="0.25">
      <c r="A96" s="3">
        <v>5400</v>
      </c>
      <c r="B96" s="3">
        <v>24010</v>
      </c>
      <c r="C96" s="7">
        <v>42674</v>
      </c>
      <c r="F96" s="50"/>
      <c r="G96" s="3">
        <v>11</v>
      </c>
      <c r="H96" s="3">
        <v>6.7</v>
      </c>
      <c r="I96" s="3">
        <v>16.5</v>
      </c>
      <c r="J96" s="3">
        <f t="shared" si="5"/>
        <v>851.10000000000025</v>
      </c>
      <c r="L96" s="23"/>
      <c r="M96" s="3">
        <v>0.1</v>
      </c>
      <c r="N96" s="3">
        <v>1.1000000000000001</v>
      </c>
      <c r="O96" s="3">
        <f t="shared" si="2"/>
        <v>-1</v>
      </c>
      <c r="P96" s="3">
        <f t="shared" si="7"/>
        <v>5.3999999999999995</v>
      </c>
      <c r="Q96" s="3">
        <v>61</v>
      </c>
      <c r="R96" s="3">
        <f t="shared" si="9"/>
        <v>0.77207792207792214</v>
      </c>
      <c r="S96" s="3">
        <f t="shared" si="3"/>
        <v>0.84928571428571442</v>
      </c>
      <c r="T96" s="28">
        <f t="shared" si="4"/>
        <v>-0.74928571428571444</v>
      </c>
      <c r="U96" s="28">
        <f t="shared" si="8"/>
        <v>29.743831168831161</v>
      </c>
      <c r="W96" s="3">
        <v>748</v>
      </c>
      <c r="Y96" s="3">
        <f t="shared" si="6"/>
        <v>52382.7</v>
      </c>
      <c r="AA96" s="3">
        <v>9.629573568547217</v>
      </c>
    </row>
    <row r="97" spans="1:27" s="3" customFormat="1" x14ac:dyDescent="0.25">
      <c r="A97" s="3">
        <v>5400</v>
      </c>
      <c r="B97" s="3">
        <v>24010</v>
      </c>
      <c r="C97" s="7">
        <v>42675</v>
      </c>
      <c r="F97" s="50"/>
      <c r="G97" s="3">
        <v>8.1999999999999993</v>
      </c>
      <c r="H97" s="3">
        <v>4</v>
      </c>
      <c r="I97" s="3">
        <v>11.8</v>
      </c>
      <c r="J97" s="3">
        <f t="shared" si="5"/>
        <v>859.3000000000003</v>
      </c>
      <c r="L97" s="23"/>
      <c r="M97" s="3">
        <v>0.2</v>
      </c>
      <c r="N97" s="3">
        <v>0.6</v>
      </c>
      <c r="O97" s="3">
        <f t="shared" si="2"/>
        <v>-0.39999999999999997</v>
      </c>
      <c r="P97" s="3">
        <f t="shared" si="7"/>
        <v>4.9999999999999991</v>
      </c>
      <c r="Q97" s="3">
        <v>62</v>
      </c>
      <c r="R97" s="3">
        <f t="shared" si="9"/>
        <v>0.7805194805194805</v>
      </c>
      <c r="S97" s="3">
        <f t="shared" si="3"/>
        <v>0.46831168831168829</v>
      </c>
      <c r="T97" s="28">
        <f t="shared" si="4"/>
        <v>-0.26831168831168828</v>
      </c>
      <c r="U97" s="28">
        <f t="shared" si="8"/>
        <v>29.475519480519473</v>
      </c>
      <c r="W97" s="3">
        <v>551.1</v>
      </c>
      <c r="Y97" s="3">
        <f t="shared" si="6"/>
        <v>52933.799999999996</v>
      </c>
      <c r="AA97" s="3">
        <v>9.5770766967736716</v>
      </c>
    </row>
    <row r="98" spans="1:27" s="3" customFormat="1" x14ac:dyDescent="0.25">
      <c r="A98" s="3">
        <v>5400</v>
      </c>
      <c r="B98" s="3">
        <v>24010</v>
      </c>
      <c r="C98" s="7">
        <v>42676</v>
      </c>
      <c r="F98" s="50"/>
      <c r="G98" s="3">
        <v>8</v>
      </c>
      <c r="H98" s="3">
        <v>5.0999999999999996</v>
      </c>
      <c r="I98" s="3">
        <v>11.7</v>
      </c>
      <c r="J98" s="3">
        <f t="shared" si="5"/>
        <v>867.3000000000003</v>
      </c>
      <c r="L98" s="23"/>
      <c r="M98" s="3">
        <v>0.1</v>
      </c>
      <c r="N98" s="3">
        <v>0.2</v>
      </c>
      <c r="O98" s="3">
        <f t="shared" si="2"/>
        <v>-0.1</v>
      </c>
      <c r="P98" s="3">
        <f t="shared" si="7"/>
        <v>4.8999999999999995</v>
      </c>
      <c r="Q98" s="3">
        <v>63</v>
      </c>
      <c r="R98" s="3">
        <f t="shared" si="9"/>
        <v>0.78896103896103897</v>
      </c>
      <c r="S98" s="3">
        <f t="shared" si="3"/>
        <v>0.15779220779220782</v>
      </c>
      <c r="T98" s="28">
        <f t="shared" si="4"/>
        <v>-5.7792207792207811E-2</v>
      </c>
      <c r="U98" s="28">
        <f t="shared" si="8"/>
        <v>29.417727272727266</v>
      </c>
      <c r="W98" s="3">
        <v>260.3</v>
      </c>
      <c r="Y98" s="3">
        <f t="shared" si="6"/>
        <v>53194.1</v>
      </c>
      <c r="AA98" s="3">
        <v>9.525089681572414</v>
      </c>
    </row>
    <row r="99" spans="1:27" s="3" customFormat="1" x14ac:dyDescent="0.25">
      <c r="A99" s="3">
        <v>5400</v>
      </c>
      <c r="B99" s="3">
        <v>24010</v>
      </c>
      <c r="C99" s="7">
        <v>42677</v>
      </c>
      <c r="F99" s="50"/>
      <c r="G99" s="3">
        <v>4.3</v>
      </c>
      <c r="H99" s="3">
        <v>-0.5</v>
      </c>
      <c r="I99" s="3">
        <v>10.5</v>
      </c>
      <c r="J99" s="3">
        <f t="shared" si="5"/>
        <v>871.60000000000025</v>
      </c>
      <c r="L99" s="23"/>
      <c r="M99" s="3">
        <v>0.2</v>
      </c>
      <c r="N99" s="3">
        <v>0.8</v>
      </c>
      <c r="O99" s="3">
        <f t="shared" si="2"/>
        <v>-0.60000000000000009</v>
      </c>
      <c r="P99" s="3">
        <f t="shared" si="7"/>
        <v>4.2999999999999989</v>
      </c>
      <c r="Q99" s="3">
        <v>64</v>
      </c>
      <c r="R99" s="3">
        <f t="shared" si="9"/>
        <v>0.79740259740259734</v>
      </c>
      <c r="S99" s="3">
        <f t="shared" si="3"/>
        <v>0.63792207792207789</v>
      </c>
      <c r="T99" s="28">
        <f t="shared" si="4"/>
        <v>-0.43792207792207788</v>
      </c>
      <c r="U99" s="28">
        <f t="shared" si="8"/>
        <v>28.979805194805188</v>
      </c>
      <c r="W99" s="3">
        <v>689.1</v>
      </c>
      <c r="Y99" s="3">
        <f t="shared" si="6"/>
        <v>53883.199999999997</v>
      </c>
      <c r="AA99" s="3">
        <v>9.4736324189190402</v>
      </c>
    </row>
    <row r="100" spans="1:27" s="3" customFormat="1" x14ac:dyDescent="0.25">
      <c r="A100" s="3">
        <v>5400</v>
      </c>
      <c r="B100" s="3">
        <v>24010</v>
      </c>
      <c r="C100" s="7">
        <v>42678</v>
      </c>
      <c r="F100" s="50"/>
      <c r="G100" s="3">
        <v>5.5</v>
      </c>
      <c r="H100" s="3">
        <v>1.9</v>
      </c>
      <c r="I100" s="3">
        <v>7.7</v>
      </c>
      <c r="J100" s="3">
        <f t="shared" si="5"/>
        <v>877.10000000000025</v>
      </c>
      <c r="L100" s="23"/>
      <c r="M100" s="3">
        <v>8</v>
      </c>
      <c r="N100" s="3">
        <v>0</v>
      </c>
      <c r="O100" s="3">
        <f t="shared" si="2"/>
        <v>8</v>
      </c>
      <c r="P100" s="3">
        <f t="shared" si="7"/>
        <v>12.299999999999999</v>
      </c>
      <c r="Q100" s="3">
        <v>65</v>
      </c>
      <c r="R100" s="3">
        <f t="shared" si="9"/>
        <v>0.80584415584415581</v>
      </c>
      <c r="S100" s="3">
        <f t="shared" si="3"/>
        <v>0</v>
      </c>
      <c r="T100" s="28">
        <f t="shared" si="4"/>
        <v>8</v>
      </c>
      <c r="U100" s="28">
        <f t="shared" si="8"/>
        <v>36.979805194805188</v>
      </c>
      <c r="W100" s="3">
        <v>125.4</v>
      </c>
      <c r="Y100" s="3">
        <f t="shared" si="6"/>
        <v>54008.6</v>
      </c>
      <c r="AA100" s="3">
        <v>9.4227252243615833</v>
      </c>
    </row>
    <row r="101" spans="1:27" s="3" customFormat="1" x14ac:dyDescent="0.25">
      <c r="A101" s="3">
        <v>5400</v>
      </c>
      <c r="B101" s="3">
        <v>24010</v>
      </c>
      <c r="C101" s="7">
        <v>42679</v>
      </c>
      <c r="F101" s="50"/>
      <c r="G101" s="3">
        <v>8.1</v>
      </c>
      <c r="H101" s="3">
        <v>7.2</v>
      </c>
      <c r="I101" s="3">
        <v>10.5</v>
      </c>
      <c r="J101" s="3">
        <f t="shared" si="5"/>
        <v>885.20000000000027</v>
      </c>
      <c r="L101" s="23"/>
      <c r="M101" s="3">
        <v>1</v>
      </c>
      <c r="N101" s="3">
        <v>0.7</v>
      </c>
      <c r="O101" s="3">
        <f t="shared" ref="O101:O164" si="10">M101-N101</f>
        <v>0.30000000000000004</v>
      </c>
      <c r="P101" s="3">
        <f t="shared" si="7"/>
        <v>12.6</v>
      </c>
      <c r="Q101" s="3">
        <v>66</v>
      </c>
      <c r="R101" s="3">
        <f t="shared" si="9"/>
        <v>0.81428571428571428</v>
      </c>
      <c r="S101" s="3">
        <f t="shared" ref="S101:S164" si="11">R101*N101</f>
        <v>0.56999999999999995</v>
      </c>
      <c r="T101" s="28">
        <f t="shared" ref="T101:T164" si="12">M101-S101</f>
        <v>0.43000000000000005</v>
      </c>
      <c r="U101" s="28">
        <f t="shared" si="8"/>
        <v>37.409805194805188</v>
      </c>
      <c r="W101" s="3">
        <v>415.6</v>
      </c>
      <c r="Y101" s="3">
        <f t="shared" si="6"/>
        <v>54424.2</v>
      </c>
      <c r="AA101" s="3">
        <v>9.3723888248912726</v>
      </c>
    </row>
    <row r="102" spans="1:27" s="3" customFormat="1" x14ac:dyDescent="0.25">
      <c r="A102" s="3">
        <v>5400</v>
      </c>
      <c r="B102" s="3">
        <v>24010</v>
      </c>
      <c r="C102" s="7">
        <v>42680</v>
      </c>
      <c r="F102" s="50"/>
      <c r="G102" s="3">
        <v>4.5</v>
      </c>
      <c r="H102" s="3">
        <v>3.4</v>
      </c>
      <c r="I102" s="3">
        <v>7.5</v>
      </c>
      <c r="J102" s="3">
        <f t="shared" ref="J102:J165" si="13">J101+G102</f>
        <v>889.70000000000027</v>
      </c>
      <c r="L102" s="23"/>
      <c r="M102" s="3">
        <v>0.5</v>
      </c>
      <c r="N102" s="3">
        <v>0.9</v>
      </c>
      <c r="O102" s="3">
        <f t="shared" si="10"/>
        <v>-0.4</v>
      </c>
      <c r="P102" s="3">
        <f t="shared" si="7"/>
        <v>12.2</v>
      </c>
      <c r="Q102" s="3">
        <v>67</v>
      </c>
      <c r="R102" s="3">
        <f t="shared" si="9"/>
        <v>0.82272727272727275</v>
      </c>
      <c r="S102" s="3">
        <f t="shared" si="11"/>
        <v>0.74045454545454548</v>
      </c>
      <c r="T102" s="28">
        <f t="shared" si="12"/>
        <v>-0.24045454545454548</v>
      </c>
      <c r="U102" s="28">
        <f t="shared" si="8"/>
        <v>37.16935064935064</v>
      </c>
      <c r="W102" s="3">
        <v>685</v>
      </c>
      <c r="Y102" s="3">
        <f t="shared" ref="Y102:Y165" si="14">Y101+W102</f>
        <v>55109.2</v>
      </c>
      <c r="AA102" s="3">
        <v>9.3226443490855946</v>
      </c>
    </row>
    <row r="103" spans="1:27" s="3" customFormat="1" x14ac:dyDescent="0.25">
      <c r="A103" s="3">
        <v>5400</v>
      </c>
      <c r="B103" s="3">
        <v>24010</v>
      </c>
      <c r="C103" s="7">
        <v>42681</v>
      </c>
      <c r="F103" s="50"/>
      <c r="G103" s="3">
        <v>3.8</v>
      </c>
      <c r="H103" s="3">
        <v>1.2</v>
      </c>
      <c r="I103" s="3">
        <v>7.4</v>
      </c>
      <c r="J103" s="3">
        <f t="shared" si="13"/>
        <v>893.50000000000023</v>
      </c>
      <c r="L103" s="23"/>
      <c r="M103" s="3">
        <v>5</v>
      </c>
      <c r="N103" s="3">
        <v>0.4</v>
      </c>
      <c r="O103" s="3">
        <f t="shared" si="10"/>
        <v>4.5999999999999996</v>
      </c>
      <c r="P103" s="3">
        <f t="shared" si="7"/>
        <v>16.799999999999997</v>
      </c>
      <c r="Q103" s="3">
        <v>68</v>
      </c>
      <c r="R103" s="3">
        <f t="shared" si="9"/>
        <v>0.83116883116883122</v>
      </c>
      <c r="S103" s="3">
        <f t="shared" si="11"/>
        <v>0.33246753246753252</v>
      </c>
      <c r="T103" s="28">
        <f t="shared" si="12"/>
        <v>4.6675324675324674</v>
      </c>
      <c r="U103" s="28">
        <f t="shared" si="8"/>
        <v>41.836883116883108</v>
      </c>
      <c r="W103" s="3">
        <v>102.6</v>
      </c>
      <c r="Y103" s="3">
        <f t="shared" si="14"/>
        <v>55211.799999999996</v>
      </c>
      <c r="AA103" s="3">
        <v>9.2735133154519289</v>
      </c>
    </row>
    <row r="104" spans="1:27" s="3" customFormat="1" x14ac:dyDescent="0.25">
      <c r="A104" s="3">
        <v>5400</v>
      </c>
      <c r="B104" s="3">
        <v>24010</v>
      </c>
      <c r="C104" s="7">
        <v>42682</v>
      </c>
      <c r="F104" s="50"/>
      <c r="G104" s="3">
        <v>4.5</v>
      </c>
      <c r="H104" s="3">
        <v>1.5</v>
      </c>
      <c r="I104" s="3">
        <v>6</v>
      </c>
      <c r="J104" s="3">
        <f t="shared" si="13"/>
        <v>898.00000000000023</v>
      </c>
      <c r="L104" s="23"/>
      <c r="M104" s="3">
        <v>7.7</v>
      </c>
      <c r="N104" s="3">
        <v>0.2</v>
      </c>
      <c r="O104" s="3">
        <f t="shared" si="10"/>
        <v>7.5</v>
      </c>
      <c r="P104" s="3">
        <f t="shared" ref="P104:P167" si="15">O104+P103</f>
        <v>24.299999999999997</v>
      </c>
      <c r="Q104" s="3">
        <v>69</v>
      </c>
      <c r="R104" s="3">
        <f t="shared" si="9"/>
        <v>0.8396103896103897</v>
      </c>
      <c r="S104" s="3">
        <f t="shared" si="11"/>
        <v>0.16792207792207794</v>
      </c>
      <c r="T104" s="28">
        <f t="shared" si="12"/>
        <v>7.5320779220779226</v>
      </c>
      <c r="U104" s="28">
        <f t="shared" ref="U104:U167" si="16">MIN(U103+T104,153.9)</f>
        <v>49.368961038961032</v>
      </c>
      <c r="W104" s="3">
        <v>308.7</v>
      </c>
      <c r="Y104" s="3">
        <f t="shared" si="14"/>
        <v>55520.499999999993</v>
      </c>
      <c r="AA104" s="3">
        <v>9.2250176189023261</v>
      </c>
    </row>
    <row r="105" spans="1:27" s="3" customFormat="1" x14ac:dyDescent="0.25">
      <c r="A105" s="3">
        <v>5400</v>
      </c>
      <c r="B105" s="3">
        <v>24010</v>
      </c>
      <c r="C105" s="7">
        <v>42683</v>
      </c>
      <c r="F105" s="50"/>
      <c r="G105" s="3">
        <v>7.7</v>
      </c>
      <c r="H105" s="3">
        <v>5.6</v>
      </c>
      <c r="I105" s="3">
        <v>9.6</v>
      </c>
      <c r="J105" s="3">
        <f t="shared" si="13"/>
        <v>905.70000000000027</v>
      </c>
      <c r="L105" s="23"/>
      <c r="M105" s="3">
        <v>6.5</v>
      </c>
      <c r="N105" s="3">
        <v>0.5</v>
      </c>
      <c r="O105" s="3">
        <f t="shared" si="10"/>
        <v>6</v>
      </c>
      <c r="P105" s="3">
        <f t="shared" si="15"/>
        <v>30.299999999999997</v>
      </c>
      <c r="Q105" s="3">
        <v>70</v>
      </c>
      <c r="R105" s="3">
        <f t="shared" si="9"/>
        <v>0.84805194805194806</v>
      </c>
      <c r="S105" s="3">
        <f t="shared" si="11"/>
        <v>0.42402597402597403</v>
      </c>
      <c r="T105" s="28">
        <f t="shared" si="12"/>
        <v>6.075974025974026</v>
      </c>
      <c r="U105" s="28">
        <f t="shared" si="16"/>
        <v>55.444935064935059</v>
      </c>
      <c r="W105" s="3">
        <v>117.6</v>
      </c>
      <c r="Y105" s="3">
        <f t="shared" si="14"/>
        <v>55638.099999999991</v>
      </c>
      <c r="AA105" s="3">
        <v>9.177179515293366</v>
      </c>
    </row>
    <row r="106" spans="1:27" s="3" customFormat="1" x14ac:dyDescent="0.25">
      <c r="A106" s="3">
        <v>5400</v>
      </c>
      <c r="B106" s="3">
        <v>24010</v>
      </c>
      <c r="C106" s="7">
        <v>42684</v>
      </c>
      <c r="F106" s="50"/>
      <c r="G106" s="3">
        <v>8.6</v>
      </c>
      <c r="H106" s="3">
        <v>7.3</v>
      </c>
      <c r="I106" s="3">
        <v>9.8000000000000007</v>
      </c>
      <c r="J106" s="3">
        <f t="shared" si="13"/>
        <v>914.3000000000003</v>
      </c>
      <c r="L106" s="23"/>
      <c r="M106" s="3">
        <v>2</v>
      </c>
      <c r="N106" s="3">
        <v>0.2</v>
      </c>
      <c r="O106" s="3">
        <f t="shared" si="10"/>
        <v>1.8</v>
      </c>
      <c r="P106" s="3">
        <f t="shared" si="15"/>
        <v>32.099999999999994</v>
      </c>
      <c r="Q106" s="3">
        <v>71</v>
      </c>
      <c r="R106" s="3">
        <f t="shared" si="9"/>
        <v>0.85649350649350653</v>
      </c>
      <c r="S106" s="3">
        <f t="shared" si="11"/>
        <v>0.17129870129870131</v>
      </c>
      <c r="T106" s="28">
        <f t="shared" si="12"/>
        <v>1.8287012987012987</v>
      </c>
      <c r="U106" s="28">
        <f t="shared" si="16"/>
        <v>57.273636363636356</v>
      </c>
      <c r="W106" s="3">
        <v>123.2</v>
      </c>
      <c r="Y106" s="3">
        <f t="shared" si="14"/>
        <v>55761.299999999988</v>
      </c>
      <c r="AA106" s="3">
        <v>9.1300216039688866</v>
      </c>
    </row>
    <row r="107" spans="1:27" s="3" customFormat="1" x14ac:dyDescent="0.25">
      <c r="A107" s="3">
        <v>5400</v>
      </c>
      <c r="B107" s="3">
        <v>24010</v>
      </c>
      <c r="C107" s="7">
        <v>42685</v>
      </c>
      <c r="F107" s="50"/>
      <c r="G107" s="3">
        <v>4.5999999999999996</v>
      </c>
      <c r="H107" s="3">
        <v>3</v>
      </c>
      <c r="I107" s="3">
        <v>8.5</v>
      </c>
      <c r="J107" s="3">
        <f t="shared" si="13"/>
        <v>918.90000000000032</v>
      </c>
      <c r="L107" s="23"/>
      <c r="M107" s="3">
        <v>0.1</v>
      </c>
      <c r="N107" s="3">
        <v>0.5</v>
      </c>
      <c r="O107" s="3">
        <f t="shared" si="10"/>
        <v>-0.4</v>
      </c>
      <c r="P107" s="3">
        <f t="shared" si="15"/>
        <v>31.699999999999996</v>
      </c>
      <c r="Q107" s="3">
        <v>72</v>
      </c>
      <c r="R107" s="3">
        <f t="shared" si="9"/>
        <v>0.864935064935065</v>
      </c>
      <c r="S107" s="3">
        <f t="shared" si="11"/>
        <v>0.4324675324675325</v>
      </c>
      <c r="T107" s="28">
        <f t="shared" si="12"/>
        <v>-0.33246753246753247</v>
      </c>
      <c r="U107" s="28">
        <f t="shared" si="16"/>
        <v>56.941168831168824</v>
      </c>
      <c r="W107" s="3">
        <v>325.60000000000002</v>
      </c>
      <c r="Y107" s="3">
        <f t="shared" si="14"/>
        <v>56086.899999999987</v>
      </c>
      <c r="AA107" s="3">
        <v>9.0835668082484347</v>
      </c>
    </row>
    <row r="108" spans="1:27" s="3" customFormat="1" x14ac:dyDescent="0.25">
      <c r="A108" s="3">
        <v>5400</v>
      </c>
      <c r="B108" s="3">
        <v>24010</v>
      </c>
      <c r="C108" s="7">
        <v>42686</v>
      </c>
      <c r="F108" s="50"/>
      <c r="G108" s="3">
        <v>4.5999999999999996</v>
      </c>
      <c r="H108" s="3">
        <v>-0.4</v>
      </c>
      <c r="I108" s="3">
        <v>8.1</v>
      </c>
      <c r="J108" s="3">
        <f t="shared" si="13"/>
        <v>923.50000000000034</v>
      </c>
      <c r="L108" s="23"/>
      <c r="M108" s="3">
        <v>6.6</v>
      </c>
      <c r="N108" s="3">
        <v>0.1</v>
      </c>
      <c r="O108" s="3">
        <f t="shared" si="10"/>
        <v>6.5</v>
      </c>
      <c r="P108" s="3">
        <f t="shared" si="15"/>
        <v>38.199999999999996</v>
      </c>
      <c r="Q108" s="3">
        <v>73</v>
      </c>
      <c r="R108" s="3">
        <f t="shared" si="9"/>
        <v>0.87337662337662336</v>
      </c>
      <c r="S108" s="3">
        <f t="shared" si="11"/>
        <v>8.7337662337662339E-2</v>
      </c>
      <c r="T108" s="28">
        <f t="shared" si="12"/>
        <v>6.5126623376623369</v>
      </c>
      <c r="U108" s="28">
        <f t="shared" si="16"/>
        <v>63.453831168831158</v>
      </c>
      <c r="W108" s="3">
        <v>80.5</v>
      </c>
      <c r="Y108" s="3">
        <f t="shared" si="14"/>
        <v>56167.399999999987</v>
      </c>
      <c r="AA108" s="3">
        <v>9.0378383538099403</v>
      </c>
    </row>
    <row r="109" spans="1:27" s="3" customFormat="1" x14ac:dyDescent="0.25">
      <c r="A109" s="3">
        <v>5400</v>
      </c>
      <c r="B109" s="3">
        <v>24010</v>
      </c>
      <c r="C109" s="7">
        <v>42687</v>
      </c>
      <c r="E109" s="3" t="s">
        <v>61</v>
      </c>
      <c r="F109" s="50"/>
      <c r="G109" s="3">
        <v>8.1999999999999993</v>
      </c>
      <c r="H109" s="3">
        <v>7.2</v>
      </c>
      <c r="I109" s="3">
        <v>10</v>
      </c>
      <c r="J109" s="3">
        <f t="shared" si="13"/>
        <v>931.70000000000039</v>
      </c>
      <c r="L109" s="23"/>
      <c r="M109" s="3">
        <v>0.2</v>
      </c>
      <c r="N109" s="3">
        <v>0.2</v>
      </c>
      <c r="O109" s="3">
        <f t="shared" si="10"/>
        <v>0</v>
      </c>
      <c r="P109" s="3">
        <f t="shared" si="15"/>
        <v>38.199999999999996</v>
      </c>
      <c r="Q109" s="3">
        <v>74</v>
      </c>
      <c r="R109" s="3">
        <f t="shared" si="9"/>
        <v>0.88181818181818183</v>
      </c>
      <c r="S109" s="3">
        <f t="shared" si="11"/>
        <v>0.17636363636363639</v>
      </c>
      <c r="T109" s="28">
        <f t="shared" si="12"/>
        <v>2.3636363636363622E-2</v>
      </c>
      <c r="U109" s="28">
        <f t="shared" si="16"/>
        <v>63.477467532467521</v>
      </c>
      <c r="W109" s="3">
        <v>127.3</v>
      </c>
      <c r="Y109" s="3">
        <f t="shared" si="14"/>
        <v>56294.69999999999</v>
      </c>
      <c r="AA109" s="38">
        <v>8.9928597449220451</v>
      </c>
    </row>
    <row r="110" spans="1:27" s="3" customFormat="1" x14ac:dyDescent="0.25">
      <c r="A110" s="3">
        <v>5400</v>
      </c>
      <c r="B110" s="3">
        <v>24010</v>
      </c>
      <c r="C110" s="7">
        <v>42688</v>
      </c>
      <c r="F110" s="50"/>
      <c r="G110" s="3">
        <v>8.1</v>
      </c>
      <c r="H110" s="3">
        <v>6.8</v>
      </c>
      <c r="I110" s="3">
        <v>9</v>
      </c>
      <c r="J110" s="3">
        <f t="shared" si="13"/>
        <v>939.80000000000041</v>
      </c>
      <c r="L110" s="23"/>
      <c r="M110" s="3">
        <v>0.3</v>
      </c>
      <c r="N110" s="3">
        <v>0.2</v>
      </c>
      <c r="O110" s="3">
        <f t="shared" si="10"/>
        <v>9.9999999999999978E-2</v>
      </c>
      <c r="P110" s="3">
        <f t="shared" si="15"/>
        <v>38.299999999999997</v>
      </c>
      <c r="Q110" s="3">
        <v>75</v>
      </c>
      <c r="R110" s="3">
        <f t="shared" si="9"/>
        <v>0.89025974025974031</v>
      </c>
      <c r="S110" s="3">
        <f t="shared" si="11"/>
        <v>0.17805194805194807</v>
      </c>
      <c r="T110" s="28">
        <f t="shared" si="12"/>
        <v>0.12194805194805192</v>
      </c>
      <c r="U110" s="28">
        <f t="shared" si="16"/>
        <v>63.599415584415574</v>
      </c>
      <c r="W110" s="3">
        <v>108.8</v>
      </c>
      <c r="Y110" s="3">
        <f t="shared" si="14"/>
        <v>56403.499999999993</v>
      </c>
      <c r="AA110" s="38">
        <v>8.9486547384892265</v>
      </c>
    </row>
    <row r="111" spans="1:27" s="3" customFormat="1" x14ac:dyDescent="0.25">
      <c r="A111" s="3">
        <v>5400</v>
      </c>
      <c r="B111" s="3">
        <v>24010</v>
      </c>
      <c r="C111" s="7">
        <v>42689</v>
      </c>
      <c r="F111" s="50"/>
      <c r="G111" s="3">
        <v>10.7</v>
      </c>
      <c r="H111" s="3">
        <v>8.4</v>
      </c>
      <c r="I111" s="3">
        <v>11.9</v>
      </c>
      <c r="J111" s="3">
        <f t="shared" si="13"/>
        <v>950.50000000000045</v>
      </c>
      <c r="L111" s="23"/>
      <c r="M111" s="3">
        <v>1.7</v>
      </c>
      <c r="N111" s="3">
        <v>0.2</v>
      </c>
      <c r="O111" s="3">
        <f t="shared" si="10"/>
        <v>1.5</v>
      </c>
      <c r="P111" s="3">
        <f t="shared" si="15"/>
        <v>39.799999999999997</v>
      </c>
      <c r="Q111" s="3">
        <v>76</v>
      </c>
      <c r="R111" s="3">
        <f t="shared" si="9"/>
        <v>0.89870129870129867</v>
      </c>
      <c r="S111" s="3">
        <f t="shared" si="11"/>
        <v>0.17974025974025976</v>
      </c>
      <c r="T111" s="28">
        <f t="shared" si="12"/>
        <v>1.5202597402597402</v>
      </c>
      <c r="U111" s="28">
        <f t="shared" si="16"/>
        <v>65.119675324675313</v>
      </c>
      <c r="W111" s="3">
        <v>123</v>
      </c>
      <c r="Y111" s="3">
        <f t="shared" si="14"/>
        <v>56526.499999999993</v>
      </c>
      <c r="AA111" s="38">
        <v>8.9052473158817218</v>
      </c>
    </row>
    <row r="112" spans="1:27" s="3" customFormat="1" x14ac:dyDescent="0.25">
      <c r="A112" s="3">
        <v>5400</v>
      </c>
      <c r="B112" s="3">
        <v>24010</v>
      </c>
      <c r="C112" s="7">
        <v>42690</v>
      </c>
      <c r="F112" s="50"/>
      <c r="G112" s="3">
        <v>11.6</v>
      </c>
      <c r="H112" s="3">
        <v>11.5</v>
      </c>
      <c r="I112" s="3">
        <v>12</v>
      </c>
      <c r="J112" s="3">
        <f t="shared" si="13"/>
        <v>962.10000000000048</v>
      </c>
      <c r="L112" s="23"/>
      <c r="M112" s="3">
        <v>0.3</v>
      </c>
      <c r="N112" s="3">
        <v>0.2</v>
      </c>
      <c r="O112" s="3">
        <f t="shared" si="10"/>
        <v>9.9999999999999978E-2</v>
      </c>
      <c r="P112" s="3">
        <f t="shared" si="15"/>
        <v>39.9</v>
      </c>
      <c r="Q112" s="3">
        <v>77</v>
      </c>
      <c r="R112" s="3">
        <f t="shared" ref="R112:R123" si="17">0.35+((Q112-11)/77)*(1-0.35)</f>
        <v>0.90714285714285714</v>
      </c>
      <c r="S112" s="3">
        <f t="shared" si="11"/>
        <v>0.18142857142857144</v>
      </c>
      <c r="T112" s="28">
        <f t="shared" si="12"/>
        <v>0.11857142857142855</v>
      </c>
      <c r="U112" s="28">
        <f t="shared" si="16"/>
        <v>65.238246753246742</v>
      </c>
      <c r="W112" s="3">
        <v>119.4</v>
      </c>
      <c r="Y112" s="3">
        <f t="shared" si="14"/>
        <v>56645.899999999994</v>
      </c>
      <c r="AA112" s="38">
        <v>8.8626616525322603</v>
      </c>
    </row>
    <row r="113" spans="1:28" s="3" customFormat="1" x14ac:dyDescent="0.25">
      <c r="A113" s="3">
        <v>5400</v>
      </c>
      <c r="B113" s="3">
        <v>24010</v>
      </c>
      <c r="C113" s="7">
        <v>42691</v>
      </c>
      <c r="F113" s="50"/>
      <c r="G113" s="3">
        <v>11.3</v>
      </c>
      <c r="H113" s="3">
        <v>9.1999999999999993</v>
      </c>
      <c r="I113" s="3">
        <v>12.9</v>
      </c>
      <c r="J113" s="3">
        <f t="shared" si="13"/>
        <v>973.40000000000043</v>
      </c>
      <c r="L113" s="23"/>
      <c r="M113" s="3">
        <v>4</v>
      </c>
      <c r="N113" s="3">
        <v>0.6</v>
      </c>
      <c r="O113" s="3">
        <f t="shared" si="10"/>
        <v>3.4</v>
      </c>
      <c r="P113" s="3">
        <f t="shared" si="15"/>
        <v>43.3</v>
      </c>
      <c r="Q113" s="3">
        <v>78</v>
      </c>
      <c r="R113" s="3">
        <f t="shared" si="17"/>
        <v>0.9155844155844155</v>
      </c>
      <c r="S113" s="3">
        <f t="shared" si="11"/>
        <v>0.54935064935064926</v>
      </c>
      <c r="T113" s="28">
        <f t="shared" si="12"/>
        <v>3.4506493506493507</v>
      </c>
      <c r="U113" s="28">
        <f t="shared" si="16"/>
        <v>68.688896103896099</v>
      </c>
      <c r="W113" s="3">
        <v>213.5</v>
      </c>
      <c r="Y113" s="3">
        <f t="shared" si="14"/>
        <v>56859.399999999994</v>
      </c>
      <c r="AA113" s="38">
        <v>8.8209220852924872</v>
      </c>
    </row>
    <row r="114" spans="1:28" s="3" customFormat="1" x14ac:dyDescent="0.25">
      <c r="A114" s="3">
        <v>5400</v>
      </c>
      <c r="B114" s="3">
        <v>24010</v>
      </c>
      <c r="C114" s="7">
        <v>42692</v>
      </c>
      <c r="F114" s="50"/>
      <c r="G114" s="3">
        <v>8.1999999999999993</v>
      </c>
      <c r="H114" s="3">
        <v>6.8</v>
      </c>
      <c r="I114" s="3">
        <v>10.1</v>
      </c>
      <c r="J114" s="3">
        <f t="shared" si="13"/>
        <v>981.60000000000048</v>
      </c>
      <c r="L114" s="23"/>
      <c r="M114" s="3">
        <v>0</v>
      </c>
      <c r="N114" s="3">
        <v>1</v>
      </c>
      <c r="O114" s="3">
        <f t="shared" si="10"/>
        <v>-1</v>
      </c>
      <c r="P114" s="3">
        <f t="shared" si="15"/>
        <v>42.3</v>
      </c>
      <c r="Q114" s="3">
        <v>79</v>
      </c>
      <c r="R114" s="3">
        <f t="shared" si="17"/>
        <v>0.92402597402597397</v>
      </c>
      <c r="S114" s="3">
        <f t="shared" si="11"/>
        <v>0.92402597402597397</v>
      </c>
      <c r="T114" s="28">
        <f t="shared" si="12"/>
        <v>-0.92402597402597397</v>
      </c>
      <c r="U114" s="28">
        <f t="shared" si="16"/>
        <v>67.764870129870118</v>
      </c>
      <c r="W114" s="3">
        <v>529</v>
      </c>
      <c r="Y114" s="3">
        <f t="shared" si="14"/>
        <v>57388.399999999994</v>
      </c>
      <c r="AA114" s="38">
        <v>8.780053077554232</v>
      </c>
    </row>
    <row r="115" spans="1:28" s="3" customFormat="1" x14ac:dyDescent="0.25">
      <c r="A115" s="3">
        <v>5400</v>
      </c>
      <c r="B115" s="3">
        <v>24010</v>
      </c>
      <c r="C115" s="7">
        <v>42693</v>
      </c>
      <c r="F115" s="50"/>
      <c r="G115" s="3">
        <v>6.6</v>
      </c>
      <c r="H115" s="3">
        <v>3.6</v>
      </c>
      <c r="I115" s="3">
        <v>10.8</v>
      </c>
      <c r="J115" s="3">
        <f t="shared" si="13"/>
        <v>988.2000000000005</v>
      </c>
      <c r="L115" s="23"/>
      <c r="M115" s="3">
        <v>1.4</v>
      </c>
      <c r="N115" s="3">
        <v>1</v>
      </c>
      <c r="O115" s="3">
        <f t="shared" si="10"/>
        <v>0.39999999999999991</v>
      </c>
      <c r="P115" s="3">
        <f t="shared" si="15"/>
        <v>42.699999999999996</v>
      </c>
      <c r="Q115" s="3">
        <v>80</v>
      </c>
      <c r="R115" s="3">
        <f t="shared" si="17"/>
        <v>0.93246753246753245</v>
      </c>
      <c r="S115" s="3">
        <f t="shared" si="11"/>
        <v>0.93246753246753245</v>
      </c>
      <c r="T115" s="28">
        <f t="shared" si="12"/>
        <v>0.46753246753246747</v>
      </c>
      <c r="U115" s="28">
        <f t="shared" si="16"/>
        <v>68.232402597402583</v>
      </c>
      <c r="W115" s="3">
        <v>521.9</v>
      </c>
      <c r="Y115" s="3">
        <f t="shared" si="14"/>
        <v>57910.299999999996</v>
      </c>
      <c r="AA115" s="38">
        <v>8.7400791821537709</v>
      </c>
    </row>
    <row r="116" spans="1:28" s="3" customFormat="1" x14ac:dyDescent="0.25">
      <c r="A116" s="3">
        <v>5400</v>
      </c>
      <c r="B116" s="3">
        <v>24010</v>
      </c>
      <c r="C116" s="7">
        <v>42694</v>
      </c>
      <c r="F116" s="50"/>
      <c r="G116" s="3">
        <v>11.2</v>
      </c>
      <c r="H116" s="3">
        <v>7.6</v>
      </c>
      <c r="I116" s="3">
        <v>11.9</v>
      </c>
      <c r="J116" s="3">
        <f t="shared" si="13"/>
        <v>999.40000000000055</v>
      </c>
      <c r="L116" s="23"/>
      <c r="M116" s="3">
        <v>5.2</v>
      </c>
      <c r="N116" s="3">
        <v>0.2</v>
      </c>
      <c r="O116" s="3">
        <f t="shared" si="10"/>
        <v>5</v>
      </c>
      <c r="P116" s="3">
        <f t="shared" si="15"/>
        <v>47.699999999999996</v>
      </c>
      <c r="Q116" s="3">
        <v>81</v>
      </c>
      <c r="R116" s="3">
        <f t="shared" si="17"/>
        <v>0.94090909090909092</v>
      </c>
      <c r="S116" s="3">
        <f t="shared" si="11"/>
        <v>0.1881818181818182</v>
      </c>
      <c r="T116" s="28">
        <f t="shared" si="12"/>
        <v>5.0118181818181817</v>
      </c>
      <c r="U116" s="28">
        <f t="shared" si="16"/>
        <v>73.244220779220768</v>
      </c>
      <c r="W116" s="3">
        <v>109.5</v>
      </c>
      <c r="Y116" s="3">
        <f t="shared" si="14"/>
        <v>58019.799999999996</v>
      </c>
      <c r="AA116" s="38">
        <v>8.701025002091729</v>
      </c>
    </row>
    <row r="117" spans="1:28" s="3" customFormat="1" x14ac:dyDescent="0.25">
      <c r="A117" s="3">
        <v>5400</v>
      </c>
      <c r="B117" s="3">
        <v>24010</v>
      </c>
      <c r="C117" s="7">
        <v>42695</v>
      </c>
      <c r="F117" s="50"/>
      <c r="G117" s="3">
        <v>11</v>
      </c>
      <c r="H117" s="3">
        <v>10.8</v>
      </c>
      <c r="I117" s="3">
        <v>11.3</v>
      </c>
      <c r="J117" s="3">
        <f t="shared" si="13"/>
        <v>1010.4000000000005</v>
      </c>
      <c r="L117" s="23"/>
      <c r="M117" s="3">
        <v>1</v>
      </c>
      <c r="N117" s="3">
        <v>0.6</v>
      </c>
      <c r="O117" s="3">
        <f t="shared" si="10"/>
        <v>0.4</v>
      </c>
      <c r="P117" s="3">
        <f t="shared" si="15"/>
        <v>48.099999999999994</v>
      </c>
      <c r="Q117" s="3">
        <v>82</v>
      </c>
      <c r="R117" s="3">
        <f t="shared" si="17"/>
        <v>0.94935064935064928</v>
      </c>
      <c r="S117" s="3">
        <f t="shared" si="11"/>
        <v>0.56961038961038957</v>
      </c>
      <c r="T117" s="28">
        <f t="shared" si="12"/>
        <v>0.43038961038961043</v>
      </c>
      <c r="U117" s="28">
        <f t="shared" si="16"/>
        <v>73.674610389610379</v>
      </c>
      <c r="W117" s="3">
        <v>108.8</v>
      </c>
      <c r="Y117" s="3">
        <f t="shared" si="14"/>
        <v>58128.6</v>
      </c>
      <c r="AA117" s="38">
        <v>8.6629151491161931</v>
      </c>
    </row>
    <row r="118" spans="1:28" s="3" customFormat="1" x14ac:dyDescent="0.25">
      <c r="A118" s="3">
        <v>5400</v>
      </c>
      <c r="B118" s="3">
        <v>24010</v>
      </c>
      <c r="C118" s="7">
        <v>42696</v>
      </c>
      <c r="F118" s="50"/>
      <c r="G118" s="3">
        <v>8.8000000000000007</v>
      </c>
      <c r="H118" s="3">
        <v>7.8</v>
      </c>
      <c r="I118" s="3">
        <v>10.7</v>
      </c>
      <c r="J118" s="3">
        <f t="shared" si="13"/>
        <v>1019.2000000000005</v>
      </c>
      <c r="L118" s="23"/>
      <c r="M118" s="3">
        <v>7.5</v>
      </c>
      <c r="N118" s="3">
        <v>0.6</v>
      </c>
      <c r="O118" s="3">
        <f t="shared" si="10"/>
        <v>6.9</v>
      </c>
      <c r="P118" s="3">
        <f t="shared" si="15"/>
        <v>54.999999999999993</v>
      </c>
      <c r="Q118" s="3">
        <v>83</v>
      </c>
      <c r="R118" s="3">
        <f t="shared" si="17"/>
        <v>0.95779220779220775</v>
      </c>
      <c r="S118" s="3">
        <f t="shared" si="11"/>
        <v>0.57467532467532467</v>
      </c>
      <c r="T118" s="28">
        <f t="shared" si="12"/>
        <v>6.9253246753246751</v>
      </c>
      <c r="U118" s="28">
        <f t="shared" si="16"/>
        <v>80.599935064935053</v>
      </c>
      <c r="W118" s="3">
        <v>517.70000000000005</v>
      </c>
      <c r="Y118" s="3">
        <f t="shared" si="14"/>
        <v>58646.299999999996</v>
      </c>
      <c r="AA118" s="38">
        <v>8.6257742002330531</v>
      </c>
    </row>
    <row r="119" spans="1:28" s="3" customFormat="1" x14ac:dyDescent="0.25">
      <c r="A119" s="3">
        <v>5400</v>
      </c>
      <c r="B119" s="3">
        <v>24010</v>
      </c>
      <c r="C119" s="7">
        <v>42697</v>
      </c>
      <c r="F119" s="50"/>
      <c r="G119" s="3">
        <v>10.3</v>
      </c>
      <c r="H119" s="3">
        <v>7.3</v>
      </c>
      <c r="I119" s="3">
        <v>12.2</v>
      </c>
      <c r="J119" s="3">
        <f t="shared" si="13"/>
        <v>1029.5000000000005</v>
      </c>
      <c r="L119" s="23"/>
      <c r="M119" s="3">
        <v>1</v>
      </c>
      <c r="N119" s="3">
        <v>0.1</v>
      </c>
      <c r="O119" s="3">
        <f t="shared" si="10"/>
        <v>0.9</v>
      </c>
      <c r="P119" s="3">
        <f t="shared" si="15"/>
        <v>55.899999999999991</v>
      </c>
      <c r="Q119" s="3">
        <v>84</v>
      </c>
      <c r="R119" s="3">
        <f t="shared" si="17"/>
        <v>0.96623376623376622</v>
      </c>
      <c r="S119" s="3">
        <f t="shared" si="11"/>
        <v>9.6623376623376625E-2</v>
      </c>
      <c r="T119" s="28">
        <f t="shared" si="12"/>
        <v>0.90337662337662339</v>
      </c>
      <c r="U119" s="28">
        <f t="shared" si="16"/>
        <v>81.503311688311683</v>
      </c>
      <c r="W119" s="3">
        <v>105.1</v>
      </c>
      <c r="Y119" s="3">
        <f t="shared" si="14"/>
        <v>58751.399999999994</v>
      </c>
      <c r="AA119" s="38">
        <v>8.5896266522244549</v>
      </c>
    </row>
    <row r="120" spans="1:28" s="3" customFormat="1" x14ac:dyDescent="0.25">
      <c r="A120" s="3">
        <v>5400</v>
      </c>
      <c r="B120" s="3">
        <v>24010</v>
      </c>
      <c r="C120" s="7">
        <v>42698</v>
      </c>
      <c r="F120" s="50"/>
      <c r="G120" s="3">
        <v>10.199999999999999</v>
      </c>
      <c r="H120" s="3">
        <v>9.6999999999999993</v>
      </c>
      <c r="I120" s="3">
        <v>11.9</v>
      </c>
      <c r="J120" s="3">
        <f t="shared" si="13"/>
        <v>1039.7000000000005</v>
      </c>
      <c r="L120" s="23"/>
      <c r="M120" s="3">
        <v>0</v>
      </c>
      <c r="N120" s="3">
        <v>0.6</v>
      </c>
      <c r="O120" s="3">
        <f t="shared" si="10"/>
        <v>-0.6</v>
      </c>
      <c r="P120" s="3">
        <f t="shared" si="15"/>
        <v>55.29999999999999</v>
      </c>
      <c r="Q120" s="3">
        <v>85</v>
      </c>
      <c r="R120" s="3">
        <f t="shared" si="17"/>
        <v>0.97467532467532469</v>
      </c>
      <c r="S120" s="3">
        <f t="shared" si="11"/>
        <v>0.58480519480519477</v>
      </c>
      <c r="T120" s="28">
        <f t="shared" si="12"/>
        <v>-0.58480519480519477</v>
      </c>
      <c r="U120" s="28">
        <f t="shared" si="16"/>
        <v>80.918506493506484</v>
      </c>
      <c r="W120" s="3">
        <v>147.19999999999999</v>
      </c>
      <c r="Y120" s="3">
        <f t="shared" si="14"/>
        <v>58898.599999999991</v>
      </c>
      <c r="AA120" s="38">
        <v>8.5544968742740934</v>
      </c>
    </row>
    <row r="121" spans="1:28" s="3" customFormat="1" x14ac:dyDescent="0.25">
      <c r="A121" s="3">
        <v>5400</v>
      </c>
      <c r="B121" s="3">
        <v>24010</v>
      </c>
      <c r="C121" s="7">
        <v>42699</v>
      </c>
      <c r="F121" s="50"/>
      <c r="G121" s="3">
        <v>7.9</v>
      </c>
      <c r="H121" s="3">
        <v>7.3</v>
      </c>
      <c r="I121" s="3">
        <v>8.3000000000000007</v>
      </c>
      <c r="J121" s="3">
        <f t="shared" si="13"/>
        <v>1047.6000000000006</v>
      </c>
      <c r="L121" s="23"/>
      <c r="M121" s="3">
        <v>0.3</v>
      </c>
      <c r="N121" s="3">
        <v>0.2</v>
      </c>
      <c r="O121" s="3">
        <f t="shared" si="10"/>
        <v>9.9999999999999978E-2</v>
      </c>
      <c r="P121" s="3">
        <f t="shared" si="15"/>
        <v>55.399999999999991</v>
      </c>
      <c r="Q121" s="3">
        <v>86</v>
      </c>
      <c r="R121" s="3">
        <f t="shared" si="17"/>
        <v>0.98311688311688306</v>
      </c>
      <c r="S121" s="3">
        <f t="shared" si="11"/>
        <v>0.19662337662337662</v>
      </c>
      <c r="T121" s="28">
        <f t="shared" si="12"/>
        <v>0.10337662337662337</v>
      </c>
      <c r="U121" s="28">
        <f t="shared" si="16"/>
        <v>81.021883116883103</v>
      </c>
      <c r="W121" s="3">
        <v>107.5</v>
      </c>
      <c r="Y121" s="3">
        <f t="shared" si="14"/>
        <v>59006.099999999991</v>
      </c>
      <c r="AA121" s="38">
        <v>8.5204090588164121</v>
      </c>
    </row>
    <row r="122" spans="1:28" s="3" customFormat="1" x14ac:dyDescent="0.25">
      <c r="A122" s="3">
        <v>5400</v>
      </c>
      <c r="B122" s="3">
        <v>24010</v>
      </c>
      <c r="C122" s="7">
        <v>42700</v>
      </c>
      <c r="F122" s="50"/>
      <c r="G122" s="3">
        <v>8.4</v>
      </c>
      <c r="H122" s="3">
        <v>7.2</v>
      </c>
      <c r="I122" s="3">
        <v>9.6</v>
      </c>
      <c r="J122" s="3">
        <f t="shared" si="13"/>
        <v>1056.0000000000007</v>
      </c>
      <c r="L122" s="23"/>
      <c r="M122" s="3">
        <v>0</v>
      </c>
      <c r="N122" s="3">
        <v>0.1</v>
      </c>
      <c r="O122" s="3">
        <f t="shared" si="10"/>
        <v>-0.1</v>
      </c>
      <c r="P122" s="3">
        <f t="shared" si="15"/>
        <v>55.29999999999999</v>
      </c>
      <c r="Q122" s="3">
        <v>87</v>
      </c>
      <c r="R122" s="3">
        <f t="shared" si="17"/>
        <v>0.99155844155844153</v>
      </c>
      <c r="S122" s="3">
        <f t="shared" si="11"/>
        <v>9.9155844155844164E-2</v>
      </c>
      <c r="T122" s="28">
        <f t="shared" si="12"/>
        <v>-9.9155844155844164E-2</v>
      </c>
      <c r="U122" s="28">
        <f t="shared" si="16"/>
        <v>80.922727272727258</v>
      </c>
      <c r="W122" s="3">
        <v>124.8</v>
      </c>
      <c r="Y122" s="3">
        <f t="shared" si="14"/>
        <v>59130.899999999994</v>
      </c>
      <c r="AA122" s="38">
        <v>8.4873871707455866</v>
      </c>
    </row>
    <row r="123" spans="1:28" s="21" customFormat="1" ht="15.75" thickBot="1" x14ac:dyDescent="0.3">
      <c r="A123" s="21">
        <v>5400</v>
      </c>
      <c r="B123" s="21">
        <v>24010</v>
      </c>
      <c r="C123" s="22">
        <v>42701</v>
      </c>
      <c r="F123" s="51"/>
      <c r="G123" s="21">
        <v>6.7</v>
      </c>
      <c r="H123" s="21">
        <v>4.5999999999999996</v>
      </c>
      <c r="I123" s="21">
        <v>8.3000000000000007</v>
      </c>
      <c r="J123" s="21">
        <f t="shared" si="13"/>
        <v>1062.7000000000007</v>
      </c>
      <c r="L123" s="25"/>
      <c r="M123" s="21">
        <v>0.1</v>
      </c>
      <c r="N123" s="21">
        <v>0.4</v>
      </c>
      <c r="O123" s="21">
        <f t="shared" si="10"/>
        <v>-0.30000000000000004</v>
      </c>
      <c r="P123" s="30">
        <f t="shared" si="15"/>
        <v>54.999999999999993</v>
      </c>
      <c r="Q123" s="21">
        <v>88</v>
      </c>
      <c r="R123" s="30">
        <f t="shared" si="17"/>
        <v>1</v>
      </c>
      <c r="S123" s="21">
        <f t="shared" si="11"/>
        <v>0.4</v>
      </c>
      <c r="T123" s="29">
        <f t="shared" si="12"/>
        <v>-0.30000000000000004</v>
      </c>
      <c r="U123" s="28">
        <f t="shared" si="16"/>
        <v>80.622727272727261</v>
      </c>
      <c r="W123" s="21">
        <v>425.6</v>
      </c>
      <c r="Y123" s="21">
        <f t="shared" si="14"/>
        <v>59556.499999999993</v>
      </c>
      <c r="AA123" s="39">
        <v>8.4554548951393524</v>
      </c>
    </row>
    <row r="124" spans="1:28" s="3" customFormat="1" x14ac:dyDescent="0.25">
      <c r="A124" s="3">
        <v>5400</v>
      </c>
      <c r="B124" s="3">
        <v>24010</v>
      </c>
      <c r="C124" s="7">
        <v>42702</v>
      </c>
      <c r="D124" s="3" t="s">
        <v>38</v>
      </c>
      <c r="E124" s="38">
        <v>1</v>
      </c>
      <c r="F124" s="52" t="s">
        <v>47</v>
      </c>
      <c r="G124" s="3">
        <v>4.0999999999999996</v>
      </c>
      <c r="H124" s="3">
        <v>3.3</v>
      </c>
      <c r="I124" s="3">
        <v>6.8</v>
      </c>
      <c r="J124" s="3">
        <f t="shared" si="13"/>
        <v>1066.8000000000006</v>
      </c>
      <c r="K124" s="3">
        <f>G124</f>
        <v>4.0999999999999996</v>
      </c>
      <c r="L124" s="13" t="s">
        <v>39</v>
      </c>
      <c r="M124" s="3">
        <v>0</v>
      </c>
      <c r="N124" s="3">
        <v>1.4</v>
      </c>
      <c r="O124" s="3">
        <f t="shared" si="10"/>
        <v>-1.4</v>
      </c>
      <c r="P124" s="3">
        <f t="shared" si="15"/>
        <v>53.599999999999994</v>
      </c>
      <c r="Q124" s="3">
        <v>89</v>
      </c>
      <c r="R124" s="27">
        <v>1</v>
      </c>
      <c r="S124" s="3">
        <f t="shared" si="11"/>
        <v>1.4</v>
      </c>
      <c r="T124" s="3">
        <f t="shared" si="12"/>
        <v>-1.4</v>
      </c>
      <c r="U124" s="28">
        <f t="shared" si="16"/>
        <v>79.222727272727255</v>
      </c>
      <c r="V124" s="32" t="s">
        <v>53</v>
      </c>
      <c r="W124" s="3">
        <v>730.2</v>
      </c>
      <c r="Y124" s="3">
        <f t="shared" si="14"/>
        <v>60286.69999999999</v>
      </c>
      <c r="Z124" s="3">
        <f>W124</f>
        <v>730.2</v>
      </c>
      <c r="AA124" s="38">
        <v>8.4246355836717974</v>
      </c>
      <c r="AB124" s="32" t="s">
        <v>58</v>
      </c>
    </row>
    <row r="125" spans="1:28" s="3" customFormat="1" x14ac:dyDescent="0.25">
      <c r="A125" s="3">
        <v>5400</v>
      </c>
      <c r="B125" s="3">
        <v>24010</v>
      </c>
      <c r="C125" s="7">
        <v>42703</v>
      </c>
      <c r="E125" s="38">
        <v>2</v>
      </c>
      <c r="F125" s="53"/>
      <c r="G125" s="3">
        <v>0</v>
      </c>
      <c r="H125" s="3">
        <v>-1.5</v>
      </c>
      <c r="I125" s="3">
        <v>3.3</v>
      </c>
      <c r="J125" s="3">
        <f t="shared" si="13"/>
        <v>1066.8000000000006</v>
      </c>
      <c r="K125" s="3">
        <f>K124+G125</f>
        <v>4.0999999999999996</v>
      </c>
      <c r="L125" s="11">
        <v>166.4</v>
      </c>
      <c r="M125" s="3">
        <v>0</v>
      </c>
      <c r="N125" s="3">
        <v>0.9</v>
      </c>
      <c r="O125" s="3">
        <f t="shared" si="10"/>
        <v>-0.9</v>
      </c>
      <c r="P125" s="3">
        <f t="shared" si="15"/>
        <v>52.699999999999996</v>
      </c>
      <c r="Q125" s="3">
        <v>90</v>
      </c>
      <c r="R125" s="27">
        <v>1</v>
      </c>
      <c r="S125" s="3">
        <f t="shared" si="11"/>
        <v>0.9</v>
      </c>
      <c r="T125" s="3">
        <f t="shared" si="12"/>
        <v>-0.9</v>
      </c>
      <c r="U125" s="28">
        <f t="shared" si="16"/>
        <v>78.322727272727249</v>
      </c>
      <c r="V125">
        <v>0</v>
      </c>
      <c r="W125" s="3">
        <v>748.6</v>
      </c>
      <c r="Y125" s="3">
        <f t="shared" si="14"/>
        <v>61035.299999999988</v>
      </c>
      <c r="Z125" s="3">
        <f>Z124+W125</f>
        <v>1478.8000000000002</v>
      </c>
      <c r="AA125" s="38">
        <v>8.3949521999084222</v>
      </c>
      <c r="AB125">
        <v>21101.1</v>
      </c>
    </row>
    <row r="126" spans="1:28" s="3" customFormat="1" x14ac:dyDescent="0.25">
      <c r="A126" s="3">
        <v>5400</v>
      </c>
      <c r="B126" s="3">
        <v>24010</v>
      </c>
      <c r="C126" s="7">
        <v>42704</v>
      </c>
      <c r="E126" s="38">
        <v>3</v>
      </c>
      <c r="F126" s="53"/>
      <c r="G126" s="3">
        <v>-1</v>
      </c>
      <c r="H126" s="3">
        <v>-4.4000000000000004</v>
      </c>
      <c r="I126" s="3">
        <v>4.8</v>
      </c>
      <c r="J126" s="3">
        <v>1066.8</v>
      </c>
      <c r="K126" s="3">
        <v>4.0999999999999996</v>
      </c>
      <c r="L126" s="13" t="s">
        <v>40</v>
      </c>
      <c r="M126" s="3">
        <v>0</v>
      </c>
      <c r="N126" s="3">
        <v>0.7</v>
      </c>
      <c r="O126" s="3">
        <f t="shared" si="10"/>
        <v>-0.7</v>
      </c>
      <c r="P126" s="3">
        <f t="shared" si="15"/>
        <v>51.999999999999993</v>
      </c>
      <c r="Q126" s="3">
        <v>91</v>
      </c>
      <c r="R126" s="27">
        <v>1</v>
      </c>
      <c r="S126" s="3">
        <f t="shared" si="11"/>
        <v>0.7</v>
      </c>
      <c r="T126" s="3">
        <f t="shared" si="12"/>
        <v>-0.7</v>
      </c>
      <c r="U126" s="28">
        <f t="shared" si="16"/>
        <v>77.622727272727246</v>
      </c>
      <c r="V126" s="32" t="s">
        <v>54</v>
      </c>
      <c r="W126" s="3">
        <v>661.7</v>
      </c>
      <c r="Y126" s="3">
        <f t="shared" si="14"/>
        <v>61696.999999999985</v>
      </c>
      <c r="Z126" s="3">
        <f t="shared" ref="Z126:Z189" si="18">Z125+W126</f>
        <v>2140.5</v>
      </c>
      <c r="AA126" s="38">
        <v>8.3664272636952148</v>
      </c>
      <c r="AB126" s="32" t="s">
        <v>59</v>
      </c>
    </row>
    <row r="127" spans="1:28" s="3" customFormat="1" x14ac:dyDescent="0.25">
      <c r="A127" s="3">
        <v>5400</v>
      </c>
      <c r="B127" s="3">
        <v>24010</v>
      </c>
      <c r="C127" s="7">
        <v>42705</v>
      </c>
      <c r="E127" s="38">
        <v>4</v>
      </c>
      <c r="F127" s="53"/>
      <c r="G127" s="3">
        <v>-0.5</v>
      </c>
      <c r="H127" s="3">
        <v>-5.0999999999999996</v>
      </c>
      <c r="I127" s="3">
        <v>5.3</v>
      </c>
      <c r="J127" s="3">
        <v>1066.8</v>
      </c>
      <c r="K127" s="3">
        <v>4.0999999999999996</v>
      </c>
      <c r="L127" s="11">
        <f>AVERAGE(G124:G184)</f>
        <v>2.1229508196721314</v>
      </c>
      <c r="M127" s="3">
        <v>0</v>
      </c>
      <c r="N127" s="3">
        <v>0.7</v>
      </c>
      <c r="O127" s="3">
        <f t="shared" si="10"/>
        <v>-0.7</v>
      </c>
      <c r="P127" s="3">
        <f t="shared" si="15"/>
        <v>51.29999999999999</v>
      </c>
      <c r="Q127" s="3">
        <v>92</v>
      </c>
      <c r="R127" s="27">
        <v>1</v>
      </c>
      <c r="S127" s="3">
        <f t="shared" si="11"/>
        <v>0.7</v>
      </c>
      <c r="T127" s="3">
        <f t="shared" si="12"/>
        <v>-0.7</v>
      </c>
      <c r="U127" s="28">
        <f t="shared" si="16"/>
        <v>76.922727272727244</v>
      </c>
      <c r="V127">
        <v>0</v>
      </c>
      <c r="W127" s="3">
        <v>641.1</v>
      </c>
      <c r="Y127" s="3">
        <f t="shared" si="14"/>
        <v>62338.099999999984</v>
      </c>
      <c r="Z127" s="3">
        <f t="shared" si="18"/>
        <v>2781.6</v>
      </c>
      <c r="AA127" s="38">
        <v>8.3390827948717341</v>
      </c>
      <c r="AB127">
        <f>(AB125/100)/L125</f>
        <v>1.2680949519230769</v>
      </c>
    </row>
    <row r="128" spans="1:28" s="3" customFormat="1" x14ac:dyDescent="0.25">
      <c r="A128" s="3">
        <v>5400</v>
      </c>
      <c r="B128" s="3">
        <v>24010</v>
      </c>
      <c r="C128" s="7">
        <v>42706</v>
      </c>
      <c r="E128" s="38">
        <v>5</v>
      </c>
      <c r="F128" s="53"/>
      <c r="G128" s="3">
        <v>3.3</v>
      </c>
      <c r="H128" s="3">
        <v>-1.2</v>
      </c>
      <c r="I128" s="3">
        <v>5.9</v>
      </c>
      <c r="J128" s="3">
        <f t="shared" si="13"/>
        <v>1070.0999999999999</v>
      </c>
      <c r="K128" s="3">
        <f t="shared" ref="K128:K191" si="19">K127+G128</f>
        <v>7.3999999999999995</v>
      </c>
      <c r="L128" s="13" t="s">
        <v>41</v>
      </c>
      <c r="M128" s="3">
        <v>0.1</v>
      </c>
      <c r="N128" s="3">
        <v>0.1</v>
      </c>
      <c r="O128" s="3">
        <f t="shared" si="10"/>
        <v>0</v>
      </c>
      <c r="P128" s="3">
        <f t="shared" si="15"/>
        <v>51.29999999999999</v>
      </c>
      <c r="Q128" s="3">
        <v>93</v>
      </c>
      <c r="R128" s="27">
        <v>1</v>
      </c>
      <c r="S128" s="3">
        <f t="shared" si="11"/>
        <v>0.1</v>
      </c>
      <c r="T128" s="3">
        <f t="shared" si="12"/>
        <v>0</v>
      </c>
      <c r="U128" s="28">
        <f t="shared" si="16"/>
        <v>76.922727272727244</v>
      </c>
      <c r="V128" s="32" t="s">
        <v>55</v>
      </c>
      <c r="W128" s="3">
        <v>135.19999999999999</v>
      </c>
      <c r="Y128" s="3">
        <f t="shared" si="14"/>
        <v>62473.299999999981</v>
      </c>
      <c r="Z128" s="3">
        <f t="shared" si="18"/>
        <v>2916.7999999999997</v>
      </c>
      <c r="AA128" s="38">
        <v>8.3129402565550219</v>
      </c>
      <c r="AB128" s="32" t="s">
        <v>60</v>
      </c>
    </row>
    <row r="129" spans="1:28" s="3" customFormat="1" x14ac:dyDescent="0.25">
      <c r="A129" s="3">
        <v>5400</v>
      </c>
      <c r="B129" s="3">
        <v>24010</v>
      </c>
      <c r="C129" s="7">
        <v>42707</v>
      </c>
      <c r="E129" s="38">
        <v>6</v>
      </c>
      <c r="F129" s="53"/>
      <c r="G129" s="3">
        <v>4.9000000000000004</v>
      </c>
      <c r="H129" s="3">
        <v>3.3</v>
      </c>
      <c r="I129" s="3">
        <v>7.5</v>
      </c>
      <c r="J129" s="3">
        <f t="shared" si="13"/>
        <v>1075</v>
      </c>
      <c r="K129" s="3">
        <f t="shared" si="19"/>
        <v>12.3</v>
      </c>
      <c r="L129" s="12">
        <f>MIN(H124:H184)</f>
        <v>-7.9</v>
      </c>
      <c r="M129" s="3">
        <v>0</v>
      </c>
      <c r="N129" s="3">
        <v>0.8</v>
      </c>
      <c r="O129" s="3">
        <f t="shared" si="10"/>
        <v>-0.8</v>
      </c>
      <c r="P129" s="3">
        <f t="shared" si="15"/>
        <v>50.499999999999993</v>
      </c>
      <c r="Q129" s="3">
        <v>94</v>
      </c>
      <c r="R129" s="27">
        <v>1</v>
      </c>
      <c r="S129" s="3">
        <f t="shared" si="11"/>
        <v>0.8</v>
      </c>
      <c r="T129" s="3">
        <f t="shared" si="12"/>
        <v>-0.8</v>
      </c>
      <c r="U129" s="28">
        <f t="shared" si="16"/>
        <v>76.122727272727246</v>
      </c>
      <c r="V129" s="28">
        <f>MIN(U124:U184)</f>
        <v>73.022727272727224</v>
      </c>
      <c r="W129" s="3">
        <v>592.70000000000005</v>
      </c>
      <c r="Y129" s="3">
        <f t="shared" si="14"/>
        <v>63065.999999999978</v>
      </c>
      <c r="Z129" s="3">
        <f t="shared" si="18"/>
        <v>3509.5</v>
      </c>
      <c r="AA129" s="38">
        <v>8.2880204982572767</v>
      </c>
      <c r="AB129">
        <v>61</v>
      </c>
    </row>
    <row r="130" spans="1:28" s="3" customFormat="1" x14ac:dyDescent="0.25">
      <c r="A130" s="3">
        <v>5400</v>
      </c>
      <c r="B130" s="3">
        <v>24010</v>
      </c>
      <c r="C130" s="7">
        <v>42708</v>
      </c>
      <c r="E130" s="38">
        <v>7</v>
      </c>
      <c r="F130" s="53"/>
      <c r="G130" s="3">
        <v>1.2</v>
      </c>
      <c r="H130" s="3">
        <v>-1</v>
      </c>
      <c r="I130" s="3">
        <v>2.8</v>
      </c>
      <c r="J130" s="3">
        <f t="shared" si="13"/>
        <v>1076.2</v>
      </c>
      <c r="K130" s="3">
        <f t="shared" si="19"/>
        <v>13.5</v>
      </c>
      <c r="L130" s="13" t="s">
        <v>42</v>
      </c>
      <c r="M130" s="3">
        <v>0</v>
      </c>
      <c r="N130" s="3">
        <v>0.4</v>
      </c>
      <c r="O130" s="3">
        <f t="shared" si="10"/>
        <v>-0.4</v>
      </c>
      <c r="P130" s="3">
        <f t="shared" si="15"/>
        <v>50.099999999999994</v>
      </c>
      <c r="Q130" s="3">
        <v>95</v>
      </c>
      <c r="R130" s="27">
        <v>1</v>
      </c>
      <c r="S130" s="3">
        <f t="shared" si="11"/>
        <v>0.4</v>
      </c>
      <c r="T130" s="3">
        <f t="shared" si="12"/>
        <v>-0.4</v>
      </c>
      <c r="U130" s="28">
        <f t="shared" si="16"/>
        <v>75.722727272727241</v>
      </c>
      <c r="V130" s="32" t="s">
        <v>56</v>
      </c>
      <c r="W130" s="3">
        <v>540.6</v>
      </c>
      <c r="Y130" s="3">
        <f t="shared" si="14"/>
        <v>63606.599999999977</v>
      </c>
      <c r="Z130" s="3">
        <f t="shared" si="18"/>
        <v>4050.1</v>
      </c>
      <c r="AA130" s="38">
        <v>8.2643436991144696</v>
      </c>
      <c r="AB130" s="3" t="s">
        <v>62</v>
      </c>
    </row>
    <row r="131" spans="1:28" s="3" customFormat="1" x14ac:dyDescent="0.25">
      <c r="A131" s="3">
        <v>5400</v>
      </c>
      <c r="B131" s="3">
        <v>24010</v>
      </c>
      <c r="C131" s="7">
        <v>42709</v>
      </c>
      <c r="E131" s="38">
        <v>8</v>
      </c>
      <c r="F131" s="53"/>
      <c r="G131" s="3">
        <v>3.6</v>
      </c>
      <c r="H131" s="3">
        <v>1.2</v>
      </c>
      <c r="I131" s="3">
        <v>7.9</v>
      </c>
      <c r="J131" s="3">
        <f t="shared" si="13"/>
        <v>1079.8</v>
      </c>
      <c r="K131" s="3">
        <f t="shared" si="19"/>
        <v>17.100000000000001</v>
      </c>
      <c r="L131" s="11">
        <f>MAX(I124:I184)</f>
        <v>10.1</v>
      </c>
      <c r="M131" s="3">
        <v>0</v>
      </c>
      <c r="N131" s="3">
        <v>0.7</v>
      </c>
      <c r="O131" s="3">
        <f t="shared" si="10"/>
        <v>-0.7</v>
      </c>
      <c r="P131" s="3">
        <f t="shared" si="15"/>
        <v>49.399999999999991</v>
      </c>
      <c r="Q131" s="3">
        <v>96</v>
      </c>
      <c r="R131" s="27">
        <v>1</v>
      </c>
      <c r="S131" s="3">
        <f t="shared" si="11"/>
        <v>0.7</v>
      </c>
      <c r="T131" s="3">
        <f t="shared" si="12"/>
        <v>-0.7</v>
      </c>
      <c r="U131" s="28">
        <f t="shared" si="16"/>
        <v>75.022727272727238</v>
      </c>
      <c r="V131" s="28">
        <f>MAX(U124:U184)</f>
        <v>107.0227272727272</v>
      </c>
      <c r="W131" s="3">
        <v>537</v>
      </c>
      <c r="Y131" s="3">
        <f t="shared" si="14"/>
        <v>64143.599999999977</v>
      </c>
      <c r="Z131" s="3">
        <f t="shared" si="18"/>
        <v>4587.1000000000004</v>
      </c>
      <c r="AA131" s="38">
        <v>8.2419293115158112</v>
      </c>
      <c r="AB131" s="3">
        <v>50</v>
      </c>
    </row>
    <row r="132" spans="1:28" s="3" customFormat="1" x14ac:dyDescent="0.25">
      <c r="A132" s="3">
        <v>5400</v>
      </c>
      <c r="B132" s="3">
        <v>24010</v>
      </c>
      <c r="C132" s="7">
        <v>42710</v>
      </c>
      <c r="E132" s="38">
        <v>9</v>
      </c>
      <c r="F132" s="53"/>
      <c r="G132" s="3">
        <v>4</v>
      </c>
      <c r="H132" s="3">
        <v>-0.1</v>
      </c>
      <c r="I132" s="3">
        <v>10</v>
      </c>
      <c r="J132" s="3">
        <f t="shared" si="13"/>
        <v>1083.8</v>
      </c>
      <c r="K132" s="3">
        <f t="shared" si="19"/>
        <v>21.1</v>
      </c>
      <c r="L132" s="13" t="s">
        <v>43</v>
      </c>
      <c r="M132" s="3">
        <v>0.1</v>
      </c>
      <c r="N132" s="3">
        <v>0.5</v>
      </c>
      <c r="O132" s="3">
        <f t="shared" si="10"/>
        <v>-0.4</v>
      </c>
      <c r="P132" s="3">
        <f t="shared" si="15"/>
        <v>48.999999999999993</v>
      </c>
      <c r="Q132" s="3">
        <v>97</v>
      </c>
      <c r="R132" s="27">
        <v>1</v>
      </c>
      <c r="S132" s="3">
        <f t="shared" si="11"/>
        <v>0.5</v>
      </c>
      <c r="T132" s="3">
        <f t="shared" si="12"/>
        <v>-0.4</v>
      </c>
      <c r="U132" s="28">
        <f t="shared" si="16"/>
        <v>74.622727272727232</v>
      </c>
      <c r="V132" s="32" t="s">
        <v>57</v>
      </c>
      <c r="W132" s="3">
        <v>191.2</v>
      </c>
      <c r="Y132" s="3">
        <f t="shared" si="14"/>
        <v>64334.799999999974</v>
      </c>
      <c r="Z132" s="3">
        <f t="shared" si="18"/>
        <v>4778.3</v>
      </c>
      <c r="AA132" s="38">
        <v>8.220796005434563</v>
      </c>
    </row>
    <row r="133" spans="1:28" s="3" customFormat="1" x14ac:dyDescent="0.25">
      <c r="A133" s="3">
        <v>5400</v>
      </c>
      <c r="B133" s="3">
        <v>24010</v>
      </c>
      <c r="C133" s="7">
        <v>42711</v>
      </c>
      <c r="E133" s="38">
        <v>10</v>
      </c>
      <c r="F133" s="53"/>
      <c r="G133" s="3">
        <v>4.2</v>
      </c>
      <c r="H133" s="3">
        <v>1</v>
      </c>
      <c r="I133" s="3">
        <v>9.6999999999999993</v>
      </c>
      <c r="J133" s="3">
        <f t="shared" si="13"/>
        <v>1088</v>
      </c>
      <c r="K133" s="3">
        <f t="shared" si="19"/>
        <v>25.3</v>
      </c>
      <c r="L133" s="11">
        <v>0</v>
      </c>
      <c r="M133" s="3">
        <v>0.1</v>
      </c>
      <c r="N133" s="3">
        <v>0.8</v>
      </c>
      <c r="O133" s="3">
        <f t="shared" si="10"/>
        <v>-0.70000000000000007</v>
      </c>
      <c r="P133" s="3">
        <f t="shared" si="15"/>
        <v>48.29999999999999</v>
      </c>
      <c r="Q133" s="3">
        <v>98</v>
      </c>
      <c r="R133" s="27">
        <v>1</v>
      </c>
      <c r="S133" s="3">
        <f t="shared" si="11"/>
        <v>0.8</v>
      </c>
      <c r="T133" s="3">
        <f t="shared" si="12"/>
        <v>-0.70000000000000007</v>
      </c>
      <c r="U133" s="28">
        <f t="shared" si="16"/>
        <v>73.922727272727229</v>
      </c>
      <c r="V133" s="28">
        <f>AVERAGE(U124:U184)</f>
        <v>87.403055141579713</v>
      </c>
      <c r="W133" s="3">
        <v>431.8</v>
      </c>
      <c r="Y133" s="3">
        <f t="shared" si="14"/>
        <v>64766.599999999977</v>
      </c>
      <c r="Z133" s="3">
        <f t="shared" si="18"/>
        <v>5210.1000000000004</v>
      </c>
      <c r="AA133" s="38">
        <v>8.2009616137689036</v>
      </c>
    </row>
    <row r="134" spans="1:28" s="3" customFormat="1" x14ac:dyDescent="0.25">
      <c r="A134" s="3">
        <v>5400</v>
      </c>
      <c r="B134" s="3">
        <v>24010</v>
      </c>
      <c r="C134" s="7">
        <v>42712</v>
      </c>
      <c r="E134" s="38">
        <v>11</v>
      </c>
      <c r="F134" s="53"/>
      <c r="G134" s="3">
        <v>4.2</v>
      </c>
      <c r="H134" s="3">
        <v>0.4</v>
      </c>
      <c r="I134" s="3">
        <v>8.1</v>
      </c>
      <c r="J134" s="3">
        <f t="shared" si="13"/>
        <v>1092.2</v>
      </c>
      <c r="K134" s="3">
        <f t="shared" si="19"/>
        <v>29.5</v>
      </c>
      <c r="L134" s="13" t="s">
        <v>44</v>
      </c>
      <c r="M134" s="3">
        <v>0.2</v>
      </c>
      <c r="N134" s="3">
        <v>0.6</v>
      </c>
      <c r="O134" s="3">
        <f t="shared" si="10"/>
        <v>-0.39999999999999997</v>
      </c>
      <c r="P134" s="3">
        <f t="shared" si="15"/>
        <v>47.899999999999991</v>
      </c>
      <c r="Q134" s="3">
        <v>99</v>
      </c>
      <c r="R134" s="27">
        <v>1</v>
      </c>
      <c r="S134" s="3">
        <f t="shared" si="11"/>
        <v>0.6</v>
      </c>
      <c r="T134" s="3">
        <f t="shared" si="12"/>
        <v>-0.39999999999999997</v>
      </c>
      <c r="U134" s="28">
        <f t="shared" si="16"/>
        <v>73.522727272727224</v>
      </c>
      <c r="W134" s="3">
        <v>449.8</v>
      </c>
      <c r="Y134" s="3">
        <f t="shared" si="14"/>
        <v>65216.39999999998</v>
      </c>
      <c r="Z134" s="3">
        <f t="shared" si="18"/>
        <v>5659.9000000000005</v>
      </c>
      <c r="AA134" s="38">
        <v>8.182443079007399</v>
      </c>
    </row>
    <row r="135" spans="1:28" s="3" customFormat="1" x14ac:dyDescent="0.25">
      <c r="A135" s="3">
        <v>5400</v>
      </c>
      <c r="B135" s="3">
        <v>24010</v>
      </c>
      <c r="C135" s="7">
        <v>42713</v>
      </c>
      <c r="E135" s="38">
        <v>12</v>
      </c>
      <c r="F135" s="53"/>
      <c r="G135" s="3">
        <v>4.5999999999999996</v>
      </c>
      <c r="H135" s="3">
        <v>1.8</v>
      </c>
      <c r="I135" s="3">
        <v>8.5</v>
      </c>
      <c r="J135" s="3">
        <f t="shared" si="13"/>
        <v>1096.8</v>
      </c>
      <c r="K135" s="3">
        <f t="shared" si="19"/>
        <v>34.1</v>
      </c>
      <c r="L135" s="11">
        <v>22</v>
      </c>
      <c r="M135" s="3">
        <v>0.2</v>
      </c>
      <c r="N135" s="3">
        <v>0.6</v>
      </c>
      <c r="O135" s="3">
        <f t="shared" si="10"/>
        <v>-0.39999999999999997</v>
      </c>
      <c r="P135" s="3">
        <f t="shared" si="15"/>
        <v>47.499999999999993</v>
      </c>
      <c r="Q135" s="3">
        <v>100</v>
      </c>
      <c r="R135" s="27">
        <v>1</v>
      </c>
      <c r="S135" s="3">
        <f t="shared" si="11"/>
        <v>0.6</v>
      </c>
      <c r="T135" s="3">
        <f t="shared" si="12"/>
        <v>-0.39999999999999997</v>
      </c>
      <c r="U135" s="28">
        <f t="shared" si="16"/>
        <v>73.122727272727218</v>
      </c>
      <c r="V135" s="3">
        <f>(V133*100)/153.9</f>
        <v>56.792108604015411</v>
      </c>
      <c r="W135" s="3">
        <v>420.5</v>
      </c>
      <c r="Y135" s="3">
        <f t="shared" si="14"/>
        <v>65636.89999999998</v>
      </c>
      <c r="Z135" s="3">
        <f t="shared" si="18"/>
        <v>6080.4000000000005</v>
      </c>
      <c r="AA135" s="38">
        <v>8.1652564015364657</v>
      </c>
    </row>
    <row r="136" spans="1:28" s="3" customFormat="1" x14ac:dyDescent="0.25">
      <c r="A136" s="3">
        <v>5400</v>
      </c>
      <c r="B136" s="3">
        <v>24010</v>
      </c>
      <c r="C136" s="7">
        <v>42714</v>
      </c>
      <c r="E136" s="38">
        <v>13</v>
      </c>
      <c r="F136" s="53"/>
      <c r="G136" s="3">
        <v>3.8</v>
      </c>
      <c r="H136" s="3">
        <v>0.9</v>
      </c>
      <c r="I136" s="3">
        <v>5.2</v>
      </c>
      <c r="J136" s="3">
        <f t="shared" si="13"/>
        <v>1100.5999999999999</v>
      </c>
      <c r="K136" s="3">
        <f t="shared" si="19"/>
        <v>37.9</v>
      </c>
      <c r="L136" s="13" t="s">
        <v>45</v>
      </c>
      <c r="M136" s="3">
        <v>0.2</v>
      </c>
      <c r="N136" s="3">
        <v>0.3</v>
      </c>
      <c r="O136" s="3">
        <f t="shared" si="10"/>
        <v>-9.9999999999999978E-2</v>
      </c>
      <c r="P136" s="3">
        <f t="shared" si="15"/>
        <v>47.399999999999991</v>
      </c>
      <c r="Q136" s="3">
        <v>101</v>
      </c>
      <c r="R136" s="27">
        <v>1</v>
      </c>
      <c r="S136" s="3">
        <f t="shared" si="11"/>
        <v>0.3</v>
      </c>
      <c r="T136" s="3">
        <f t="shared" si="12"/>
        <v>-9.9999999999999978E-2</v>
      </c>
      <c r="U136" s="28">
        <f t="shared" si="16"/>
        <v>73.022727272727224</v>
      </c>
      <c r="W136" s="3">
        <v>189.8</v>
      </c>
      <c r="Y136" s="3">
        <f t="shared" si="14"/>
        <v>65826.699999999983</v>
      </c>
      <c r="Z136" s="3">
        <f t="shared" si="18"/>
        <v>6270.2000000000007</v>
      </c>
      <c r="AA136" s="38">
        <v>8.1494165899072062</v>
      </c>
    </row>
    <row r="137" spans="1:28" s="3" customFormat="1" x14ac:dyDescent="0.25">
      <c r="A137" s="3">
        <v>5400</v>
      </c>
      <c r="B137" s="3">
        <v>24010</v>
      </c>
      <c r="C137" s="7">
        <v>42715</v>
      </c>
      <c r="F137" s="53"/>
      <c r="G137" s="3">
        <v>5.4</v>
      </c>
      <c r="H137" s="3">
        <v>3.7</v>
      </c>
      <c r="I137" s="3">
        <v>7.2</v>
      </c>
      <c r="J137" s="3">
        <f t="shared" si="13"/>
        <v>1106</v>
      </c>
      <c r="K137" s="3">
        <f t="shared" si="19"/>
        <v>43.3</v>
      </c>
      <c r="L137" s="11">
        <v>33</v>
      </c>
      <c r="M137" s="3">
        <v>0.2</v>
      </c>
      <c r="N137" s="3">
        <v>0.2</v>
      </c>
      <c r="O137" s="3">
        <f t="shared" si="10"/>
        <v>0</v>
      </c>
      <c r="P137" s="3">
        <f t="shared" si="15"/>
        <v>47.399999999999991</v>
      </c>
      <c r="Q137" s="3">
        <v>102</v>
      </c>
      <c r="R137" s="27">
        <v>1</v>
      </c>
      <c r="S137" s="3">
        <f t="shared" si="11"/>
        <v>0.2</v>
      </c>
      <c r="T137" s="3">
        <f t="shared" si="12"/>
        <v>0</v>
      </c>
      <c r="U137" s="28">
        <f t="shared" si="16"/>
        <v>73.022727272727224</v>
      </c>
      <c r="W137" s="3">
        <v>198.4</v>
      </c>
      <c r="Y137" s="3">
        <f t="shared" si="14"/>
        <v>66025.099999999977</v>
      </c>
      <c r="Z137" s="3">
        <f t="shared" si="18"/>
        <v>6468.6</v>
      </c>
      <c r="AA137" s="38">
        <v>8.1349376133758931</v>
      </c>
    </row>
    <row r="138" spans="1:28" s="3" customFormat="1" x14ac:dyDescent="0.25">
      <c r="A138" s="3">
        <v>5400</v>
      </c>
      <c r="B138" s="3">
        <v>24010</v>
      </c>
      <c r="C138" s="7">
        <v>42716</v>
      </c>
      <c r="E138" s="38">
        <v>14</v>
      </c>
      <c r="F138" s="53"/>
      <c r="G138" s="3">
        <v>4.5</v>
      </c>
      <c r="H138" s="3">
        <v>3.4</v>
      </c>
      <c r="I138" s="3">
        <v>6</v>
      </c>
      <c r="J138" s="3">
        <f t="shared" si="13"/>
        <v>1110.5</v>
      </c>
      <c r="K138" s="3">
        <f t="shared" si="19"/>
        <v>47.8</v>
      </c>
      <c r="L138" s="23"/>
      <c r="M138" s="3">
        <v>2</v>
      </c>
      <c r="N138" s="3">
        <v>0.2</v>
      </c>
      <c r="O138" s="3">
        <f t="shared" si="10"/>
        <v>1.8</v>
      </c>
      <c r="P138" s="3">
        <f t="shared" si="15"/>
        <v>49.199999999999989</v>
      </c>
      <c r="Q138" s="3">
        <v>103</v>
      </c>
      <c r="R138" s="27">
        <v>1</v>
      </c>
      <c r="S138" s="3">
        <f t="shared" si="11"/>
        <v>0.2</v>
      </c>
      <c r="T138" s="3">
        <f t="shared" si="12"/>
        <v>1.8</v>
      </c>
      <c r="U138" s="28">
        <f t="shared" si="16"/>
        <v>74.822727272727221</v>
      </c>
      <c r="W138" s="3">
        <v>48.6</v>
      </c>
      <c r="Y138" s="3">
        <f t="shared" si="14"/>
        <v>66073.699999999983</v>
      </c>
      <c r="Z138" s="3">
        <f t="shared" si="18"/>
        <v>6517.2000000000007</v>
      </c>
      <c r="AA138" s="38">
        <v>8.12183235702582</v>
      </c>
    </row>
    <row r="139" spans="1:28" s="3" customFormat="1" x14ac:dyDescent="0.25">
      <c r="A139" s="3">
        <v>5400</v>
      </c>
      <c r="B139" s="3">
        <v>24010</v>
      </c>
      <c r="C139" s="7">
        <v>42717</v>
      </c>
      <c r="F139" s="53"/>
      <c r="G139" s="3">
        <v>6.6</v>
      </c>
      <c r="H139" s="3">
        <v>5.0999999999999996</v>
      </c>
      <c r="I139" s="3">
        <v>8.9</v>
      </c>
      <c r="J139" s="3">
        <f t="shared" si="13"/>
        <v>1117.0999999999999</v>
      </c>
      <c r="K139" s="3">
        <f t="shared" si="19"/>
        <v>54.4</v>
      </c>
      <c r="L139" s="23"/>
      <c r="M139" s="3">
        <v>0</v>
      </c>
      <c r="N139" s="3">
        <v>0.2</v>
      </c>
      <c r="O139" s="3">
        <f t="shared" si="10"/>
        <v>-0.2</v>
      </c>
      <c r="P139" s="3">
        <f t="shared" si="15"/>
        <v>48.999999999999986</v>
      </c>
      <c r="Q139" s="3">
        <v>104</v>
      </c>
      <c r="R139" s="27">
        <v>1</v>
      </c>
      <c r="S139" s="3">
        <f t="shared" si="11"/>
        <v>0.2</v>
      </c>
      <c r="T139" s="3">
        <f t="shared" si="12"/>
        <v>-0.2</v>
      </c>
      <c r="U139" s="28">
        <f t="shared" si="16"/>
        <v>74.622727272727218</v>
      </c>
      <c r="W139" s="3">
        <v>142.19999999999999</v>
      </c>
      <c r="Y139" s="3">
        <f t="shared" si="14"/>
        <v>66215.89999999998</v>
      </c>
      <c r="Z139" s="3">
        <f t="shared" si="18"/>
        <v>6659.4000000000005</v>
      </c>
      <c r="AA139" s="38">
        <v>8.1101125797686802</v>
      </c>
    </row>
    <row r="140" spans="1:28" s="3" customFormat="1" x14ac:dyDescent="0.25">
      <c r="A140" s="3">
        <v>5400</v>
      </c>
      <c r="B140" s="3">
        <v>24010</v>
      </c>
      <c r="C140" s="7">
        <v>42718</v>
      </c>
      <c r="E140" s="38">
        <v>15</v>
      </c>
      <c r="F140" s="53"/>
      <c r="G140" s="3">
        <v>3.7</v>
      </c>
      <c r="H140" s="3">
        <v>1.7</v>
      </c>
      <c r="I140" s="3">
        <v>7.5</v>
      </c>
      <c r="J140" s="3">
        <f t="shared" si="13"/>
        <v>1120.8</v>
      </c>
      <c r="K140" s="3">
        <f t="shared" si="19"/>
        <v>58.1</v>
      </c>
      <c r="L140" s="23"/>
      <c r="M140" s="3">
        <v>0</v>
      </c>
      <c r="N140" s="3">
        <v>0.6</v>
      </c>
      <c r="O140" s="3">
        <f t="shared" si="10"/>
        <v>-0.6</v>
      </c>
      <c r="P140" s="3">
        <f t="shared" si="15"/>
        <v>48.399999999999984</v>
      </c>
      <c r="Q140" s="3">
        <v>105</v>
      </c>
      <c r="R140" s="27">
        <v>1</v>
      </c>
      <c r="S140" s="3">
        <f t="shared" si="11"/>
        <v>0.6</v>
      </c>
      <c r="T140" s="3">
        <f t="shared" si="12"/>
        <v>-0.6</v>
      </c>
      <c r="U140" s="28">
        <f t="shared" si="16"/>
        <v>74.022727272727224</v>
      </c>
      <c r="W140" s="3">
        <v>507.5</v>
      </c>
      <c r="Y140" s="3">
        <f t="shared" si="14"/>
        <v>66723.39999999998</v>
      </c>
      <c r="Z140" s="3">
        <f t="shared" si="18"/>
        <v>7166.9000000000005</v>
      </c>
      <c r="AA140" s="38">
        <v>8.0997888755104928</v>
      </c>
    </row>
    <row r="141" spans="1:28" s="3" customFormat="1" x14ac:dyDescent="0.25">
      <c r="A141" s="3">
        <v>5400</v>
      </c>
      <c r="B141" s="3">
        <v>24010</v>
      </c>
      <c r="C141" s="7">
        <v>42719</v>
      </c>
      <c r="E141" s="38">
        <v>16</v>
      </c>
      <c r="F141" s="53"/>
      <c r="G141" s="3">
        <v>3.6</v>
      </c>
      <c r="H141" s="3">
        <v>-0.4</v>
      </c>
      <c r="I141" s="3">
        <v>5.9</v>
      </c>
      <c r="J141" s="3">
        <f t="shared" si="13"/>
        <v>1124.3999999999999</v>
      </c>
      <c r="K141" s="3">
        <f t="shared" si="19"/>
        <v>61.7</v>
      </c>
      <c r="L141" s="23"/>
      <c r="M141" s="3">
        <v>0</v>
      </c>
      <c r="N141" s="3">
        <v>0.1</v>
      </c>
      <c r="O141" s="3">
        <f t="shared" si="10"/>
        <v>-0.1</v>
      </c>
      <c r="P141" s="3">
        <f t="shared" si="15"/>
        <v>48.299999999999983</v>
      </c>
      <c r="Q141" s="3">
        <v>106</v>
      </c>
      <c r="R141" s="27">
        <v>1</v>
      </c>
      <c r="S141" s="3">
        <f t="shared" si="11"/>
        <v>0.1</v>
      </c>
      <c r="T141" s="3">
        <f t="shared" si="12"/>
        <v>-0.1</v>
      </c>
      <c r="U141" s="28">
        <f t="shared" si="16"/>
        <v>73.922727272727229</v>
      </c>
      <c r="W141" s="3">
        <v>133.4</v>
      </c>
      <c r="Y141" s="3">
        <f t="shared" si="14"/>
        <v>66856.799999999974</v>
      </c>
      <c r="Z141" s="3">
        <f t="shared" si="18"/>
        <v>7300.3</v>
      </c>
      <c r="AA141" s="38">
        <v>8.0908706377508093</v>
      </c>
    </row>
    <row r="142" spans="1:28" s="3" customFormat="1" x14ac:dyDescent="0.25">
      <c r="A142" s="3">
        <v>5400</v>
      </c>
      <c r="B142" s="3">
        <v>24010</v>
      </c>
      <c r="C142" s="7">
        <v>42720</v>
      </c>
      <c r="F142" s="53"/>
      <c r="G142" s="3">
        <v>5.0999999999999996</v>
      </c>
      <c r="H142" s="3">
        <v>2.9</v>
      </c>
      <c r="I142" s="3">
        <v>7.8</v>
      </c>
      <c r="J142" s="3">
        <f t="shared" si="13"/>
        <v>1129.4999999999998</v>
      </c>
      <c r="K142" s="3">
        <f t="shared" si="19"/>
        <v>66.8</v>
      </c>
      <c r="L142" s="23"/>
      <c r="M142" s="3">
        <v>0.1</v>
      </c>
      <c r="N142" s="3">
        <v>0.3</v>
      </c>
      <c r="O142" s="3">
        <f t="shared" si="10"/>
        <v>-0.19999999999999998</v>
      </c>
      <c r="P142" s="3">
        <f t="shared" si="15"/>
        <v>48.09999999999998</v>
      </c>
      <c r="Q142" s="3">
        <v>107</v>
      </c>
      <c r="R142" s="27">
        <v>1</v>
      </c>
      <c r="S142" s="3">
        <f t="shared" si="11"/>
        <v>0.3</v>
      </c>
      <c r="T142" s="3">
        <f t="shared" si="12"/>
        <v>-0.19999999999999998</v>
      </c>
      <c r="U142" s="28">
        <f t="shared" si="16"/>
        <v>73.722727272727226</v>
      </c>
      <c r="W142" s="3">
        <v>334.1</v>
      </c>
      <c r="Y142" s="3">
        <f t="shared" si="14"/>
        <v>67190.89999999998</v>
      </c>
      <c r="Z142" s="3">
        <f t="shared" si="18"/>
        <v>7634.4000000000005</v>
      </c>
      <c r="AA142" s="38">
        <v>8.0833660278644306</v>
      </c>
    </row>
    <row r="143" spans="1:28" s="3" customFormat="1" x14ac:dyDescent="0.25">
      <c r="A143" s="3">
        <v>5400</v>
      </c>
      <c r="B143" s="3">
        <v>24010</v>
      </c>
      <c r="C143" s="7">
        <v>42721</v>
      </c>
      <c r="E143" s="38">
        <v>17</v>
      </c>
      <c r="F143" s="53"/>
      <c r="G143" s="3">
        <v>3.3</v>
      </c>
      <c r="H143" s="3">
        <v>-0.3</v>
      </c>
      <c r="I143" s="3">
        <v>7.3</v>
      </c>
      <c r="J143" s="3">
        <f t="shared" si="13"/>
        <v>1132.7999999999997</v>
      </c>
      <c r="K143" s="3">
        <f t="shared" si="19"/>
        <v>70.099999999999994</v>
      </c>
      <c r="L143" s="23"/>
      <c r="M143" s="3">
        <v>0.3</v>
      </c>
      <c r="N143" s="3">
        <v>0.6</v>
      </c>
      <c r="O143" s="3">
        <f t="shared" si="10"/>
        <v>-0.3</v>
      </c>
      <c r="P143" s="3">
        <f t="shared" si="15"/>
        <v>47.799999999999983</v>
      </c>
      <c r="Q143" s="3">
        <v>108</v>
      </c>
      <c r="R143" s="27">
        <v>1</v>
      </c>
      <c r="S143" s="3">
        <f t="shared" si="11"/>
        <v>0.6</v>
      </c>
      <c r="T143" s="3">
        <f t="shared" si="12"/>
        <v>-0.3</v>
      </c>
      <c r="U143" s="28">
        <f t="shared" si="16"/>
        <v>73.422727272727229</v>
      </c>
      <c r="W143" s="3">
        <v>499.1</v>
      </c>
      <c r="Y143" s="3">
        <f t="shared" si="14"/>
        <v>67689.999999999985</v>
      </c>
      <c r="Z143" s="3">
        <f t="shared" si="18"/>
        <v>8133.5000000000009</v>
      </c>
      <c r="AA143" s="38">
        <v>8.0772819472923967</v>
      </c>
    </row>
    <row r="144" spans="1:28" s="3" customFormat="1" x14ac:dyDescent="0.25">
      <c r="A144" s="3">
        <v>5400</v>
      </c>
      <c r="B144" s="3">
        <v>24010</v>
      </c>
      <c r="C144" s="7">
        <v>42722</v>
      </c>
      <c r="E144" s="38">
        <v>18</v>
      </c>
      <c r="F144" s="53"/>
      <c r="G144" s="3">
        <v>2.7</v>
      </c>
      <c r="H144" s="3">
        <v>2.2999999999999998</v>
      </c>
      <c r="I144" s="3">
        <v>3.1</v>
      </c>
      <c r="J144" s="3">
        <f t="shared" si="13"/>
        <v>1135.4999999999998</v>
      </c>
      <c r="K144" s="3">
        <f t="shared" si="19"/>
        <v>72.8</v>
      </c>
      <c r="L144" s="23"/>
      <c r="M144" s="3">
        <v>0.2</v>
      </c>
      <c r="N144" s="3">
        <v>0.1</v>
      </c>
      <c r="O144" s="3">
        <f t="shared" si="10"/>
        <v>0.1</v>
      </c>
      <c r="P144" s="3">
        <f t="shared" si="15"/>
        <v>47.899999999999984</v>
      </c>
      <c r="Q144" s="3">
        <v>109</v>
      </c>
      <c r="R144" s="27">
        <v>1</v>
      </c>
      <c r="S144" s="3">
        <f t="shared" si="11"/>
        <v>0.1</v>
      </c>
      <c r="T144" s="3">
        <f t="shared" si="12"/>
        <v>0.1</v>
      </c>
      <c r="U144" s="28">
        <f t="shared" si="16"/>
        <v>73.522727272727224</v>
      </c>
      <c r="W144" s="3">
        <v>173.5</v>
      </c>
      <c r="Y144" s="3">
        <f t="shared" si="14"/>
        <v>67863.499999999985</v>
      </c>
      <c r="Z144" s="3">
        <f t="shared" si="18"/>
        <v>8307</v>
      </c>
      <c r="AA144" s="38">
        <v>8.0726240138436918</v>
      </c>
    </row>
    <row r="145" spans="1:27" s="3" customFormat="1" x14ac:dyDescent="0.25">
      <c r="A145" s="3">
        <v>5400</v>
      </c>
      <c r="B145" s="3">
        <v>24010</v>
      </c>
      <c r="C145" s="7">
        <v>42723</v>
      </c>
      <c r="E145" s="38">
        <v>19</v>
      </c>
      <c r="F145" s="53"/>
      <c r="G145" s="3">
        <v>3.3</v>
      </c>
      <c r="H145" s="3">
        <v>1.4</v>
      </c>
      <c r="I145" s="3">
        <v>4.3</v>
      </c>
      <c r="J145" s="3">
        <f t="shared" si="13"/>
        <v>1138.7999999999997</v>
      </c>
      <c r="K145" s="3">
        <f t="shared" si="19"/>
        <v>76.099999999999994</v>
      </c>
      <c r="L145" s="23"/>
      <c r="M145" s="3">
        <v>0</v>
      </c>
      <c r="N145" s="3">
        <v>0</v>
      </c>
      <c r="O145" s="3">
        <f t="shared" si="10"/>
        <v>0</v>
      </c>
      <c r="P145" s="3">
        <f t="shared" si="15"/>
        <v>47.899999999999984</v>
      </c>
      <c r="Q145" s="3">
        <v>110</v>
      </c>
      <c r="R145" s="27">
        <v>1</v>
      </c>
      <c r="S145" s="3">
        <f t="shared" si="11"/>
        <v>0</v>
      </c>
      <c r="T145" s="3">
        <f t="shared" si="12"/>
        <v>0</v>
      </c>
      <c r="U145" s="28">
        <f t="shared" si="16"/>
        <v>73.522727272727224</v>
      </c>
      <c r="W145" s="3">
        <v>114.8</v>
      </c>
      <c r="Y145" s="3">
        <f t="shared" si="14"/>
        <v>67978.299999999988</v>
      </c>
      <c r="Z145" s="3">
        <f t="shared" si="18"/>
        <v>8421.7999999999993</v>
      </c>
      <c r="AA145" s="38">
        <v>8.0693965422811367</v>
      </c>
    </row>
    <row r="146" spans="1:27" s="3" customFormat="1" x14ac:dyDescent="0.25">
      <c r="A146" s="3">
        <v>5400</v>
      </c>
      <c r="B146" s="3">
        <v>24010</v>
      </c>
      <c r="C146" s="7">
        <v>42724</v>
      </c>
      <c r="E146" s="38">
        <v>20</v>
      </c>
      <c r="F146" s="53"/>
      <c r="G146" s="3">
        <v>2.2999999999999998</v>
      </c>
      <c r="H146" s="3">
        <v>1.1000000000000001</v>
      </c>
      <c r="I146" s="3">
        <v>4</v>
      </c>
      <c r="J146" s="3">
        <f t="shared" si="13"/>
        <v>1141.0999999999997</v>
      </c>
      <c r="K146" s="3">
        <f t="shared" si="19"/>
        <v>78.399999999999991</v>
      </c>
      <c r="L146" s="23"/>
      <c r="M146" s="3">
        <v>0</v>
      </c>
      <c r="N146" s="3">
        <v>0.2</v>
      </c>
      <c r="O146" s="3">
        <f t="shared" si="10"/>
        <v>-0.2</v>
      </c>
      <c r="P146" s="3">
        <f t="shared" si="15"/>
        <v>47.699999999999982</v>
      </c>
      <c r="Q146" s="3">
        <v>111</v>
      </c>
      <c r="R146" s="27">
        <v>1</v>
      </c>
      <c r="S146" s="3">
        <f t="shared" si="11"/>
        <v>0.2</v>
      </c>
      <c r="T146" s="3">
        <f t="shared" si="12"/>
        <v>-0.2</v>
      </c>
      <c r="U146" s="28">
        <f t="shared" si="16"/>
        <v>73.322727272727221</v>
      </c>
      <c r="W146" s="3">
        <v>119.2</v>
      </c>
      <c r="Y146" s="3">
        <f t="shared" si="14"/>
        <v>68097.499999999985</v>
      </c>
      <c r="Z146" s="3">
        <f t="shared" si="18"/>
        <v>8541</v>
      </c>
      <c r="AA146" s="38">
        <v>8.0676025293351383</v>
      </c>
    </row>
    <row r="147" spans="1:27" s="3" customFormat="1" x14ac:dyDescent="0.25">
      <c r="A147" s="3">
        <v>5400</v>
      </c>
      <c r="B147" s="3">
        <v>24010</v>
      </c>
      <c r="C147" s="7">
        <v>42725</v>
      </c>
      <c r="E147" s="38">
        <v>21</v>
      </c>
      <c r="F147" s="53"/>
      <c r="G147" s="3">
        <v>3.2</v>
      </c>
      <c r="H147" s="3">
        <v>-0.1</v>
      </c>
      <c r="I147" s="3">
        <v>6.9</v>
      </c>
      <c r="J147" s="3">
        <f t="shared" si="13"/>
        <v>1144.2999999999997</v>
      </c>
      <c r="K147" s="3">
        <f t="shared" si="19"/>
        <v>81.599999999999994</v>
      </c>
      <c r="L147" s="23"/>
      <c r="M147" s="3">
        <v>13.9</v>
      </c>
      <c r="N147" s="3">
        <v>0.3</v>
      </c>
      <c r="O147" s="3">
        <f t="shared" si="10"/>
        <v>13.6</v>
      </c>
      <c r="P147" s="3">
        <f t="shared" si="15"/>
        <v>61.299999999999983</v>
      </c>
      <c r="Q147" s="3">
        <v>112</v>
      </c>
      <c r="R147" s="27">
        <v>1</v>
      </c>
      <c r="S147" s="3">
        <f t="shared" si="11"/>
        <v>0.3</v>
      </c>
      <c r="T147" s="3">
        <f t="shared" si="12"/>
        <v>13.6</v>
      </c>
      <c r="U147" s="28">
        <f t="shared" si="16"/>
        <v>86.922727272727215</v>
      </c>
      <c r="W147" s="3">
        <v>103.2</v>
      </c>
      <c r="Y147" s="3">
        <f t="shared" si="14"/>
        <v>68200.699999999983</v>
      </c>
      <c r="Z147" s="3">
        <f t="shared" si="18"/>
        <v>8644.2000000000007</v>
      </c>
      <c r="AA147" s="38">
        <v>8.0672436432567221</v>
      </c>
    </row>
    <row r="148" spans="1:27" s="3" customFormat="1" x14ac:dyDescent="0.25">
      <c r="A148" s="3">
        <v>5400</v>
      </c>
      <c r="B148" s="3">
        <v>24010</v>
      </c>
      <c r="C148" s="7">
        <v>42726</v>
      </c>
      <c r="F148" s="53"/>
      <c r="G148" s="3">
        <v>6.6</v>
      </c>
      <c r="H148" s="3">
        <v>5.6</v>
      </c>
      <c r="I148" s="3">
        <v>9</v>
      </c>
      <c r="J148" s="3">
        <f t="shared" si="13"/>
        <v>1150.8999999999996</v>
      </c>
      <c r="K148" s="3">
        <f t="shared" si="19"/>
        <v>88.199999999999989</v>
      </c>
      <c r="L148" s="23"/>
      <c r="M148" s="3">
        <v>1</v>
      </c>
      <c r="N148" s="3">
        <v>0.2</v>
      </c>
      <c r="O148" s="3">
        <f t="shared" si="10"/>
        <v>0.8</v>
      </c>
      <c r="P148" s="3">
        <f t="shared" si="15"/>
        <v>62.09999999999998</v>
      </c>
      <c r="Q148" s="3">
        <v>113</v>
      </c>
      <c r="R148" s="27">
        <v>1</v>
      </c>
      <c r="S148" s="3">
        <f t="shared" si="11"/>
        <v>0.2</v>
      </c>
      <c r="T148" s="3">
        <f t="shared" si="12"/>
        <v>0.8</v>
      </c>
      <c r="U148" s="28">
        <f t="shared" si="16"/>
        <v>87.722727272727212</v>
      </c>
      <c r="W148" s="3">
        <v>109.4</v>
      </c>
      <c r="Y148" s="3">
        <f t="shared" si="14"/>
        <v>68310.099999999977</v>
      </c>
      <c r="Z148" s="3">
        <f t="shared" si="18"/>
        <v>8753.6</v>
      </c>
      <c r="AA148" s="38">
        <v>8.0683202179881395</v>
      </c>
    </row>
    <row r="149" spans="1:27" s="3" customFormat="1" x14ac:dyDescent="0.25">
      <c r="A149" s="3">
        <v>5400</v>
      </c>
      <c r="B149" s="3">
        <v>24010</v>
      </c>
      <c r="C149" s="7">
        <v>42727</v>
      </c>
      <c r="E149" s="38">
        <v>22</v>
      </c>
      <c r="F149" s="53"/>
      <c r="G149" s="3">
        <v>3.8</v>
      </c>
      <c r="H149" s="3">
        <v>-0.3</v>
      </c>
      <c r="I149" s="3">
        <v>7</v>
      </c>
      <c r="J149" s="3">
        <f t="shared" si="13"/>
        <v>1154.6999999999996</v>
      </c>
      <c r="K149" s="3">
        <f t="shared" si="19"/>
        <v>91.999999999999986</v>
      </c>
      <c r="L149" s="23"/>
      <c r="M149" s="3">
        <v>0.9</v>
      </c>
      <c r="N149" s="3">
        <v>0.1</v>
      </c>
      <c r="O149" s="3">
        <f t="shared" si="10"/>
        <v>0.8</v>
      </c>
      <c r="P149" s="3">
        <f t="shared" si="15"/>
        <v>62.899999999999977</v>
      </c>
      <c r="Q149" s="3">
        <v>114</v>
      </c>
      <c r="R149" s="27">
        <v>1</v>
      </c>
      <c r="S149" s="3">
        <f t="shared" si="11"/>
        <v>0.1</v>
      </c>
      <c r="T149" s="3">
        <f t="shared" si="12"/>
        <v>0.8</v>
      </c>
      <c r="U149" s="28">
        <f t="shared" si="16"/>
        <v>88.522727272727209</v>
      </c>
      <c r="W149" s="3">
        <v>86.6</v>
      </c>
      <c r="Y149" s="3">
        <f t="shared" si="14"/>
        <v>68396.699999999983</v>
      </c>
      <c r="Z149" s="3">
        <f t="shared" si="18"/>
        <v>8840.2000000000007</v>
      </c>
      <c r="AA149" s="38">
        <v>8.0708312519947913</v>
      </c>
    </row>
    <row r="150" spans="1:27" s="3" customFormat="1" x14ac:dyDescent="0.25">
      <c r="A150" s="3">
        <v>5400</v>
      </c>
      <c r="B150" s="3">
        <v>24010</v>
      </c>
      <c r="C150" s="7">
        <v>42728</v>
      </c>
      <c r="F150" s="53"/>
      <c r="G150" s="3">
        <v>7.3</v>
      </c>
      <c r="H150" s="3">
        <v>5.7</v>
      </c>
      <c r="I150" s="3">
        <v>8.5</v>
      </c>
      <c r="J150" s="3">
        <f t="shared" si="13"/>
        <v>1161.9999999999995</v>
      </c>
      <c r="K150" s="3">
        <f t="shared" si="19"/>
        <v>99.299999999999983</v>
      </c>
      <c r="L150" s="23"/>
      <c r="M150" s="3">
        <v>0</v>
      </c>
      <c r="N150" s="3">
        <v>0.2</v>
      </c>
      <c r="O150" s="3">
        <f t="shared" si="10"/>
        <v>-0.2</v>
      </c>
      <c r="P150" s="3">
        <f t="shared" si="15"/>
        <v>62.699999999999974</v>
      </c>
      <c r="Q150" s="3">
        <v>115</v>
      </c>
      <c r="R150" s="27">
        <v>1</v>
      </c>
      <c r="S150" s="3">
        <f t="shared" si="11"/>
        <v>0.2</v>
      </c>
      <c r="T150" s="3">
        <f t="shared" si="12"/>
        <v>-0.2</v>
      </c>
      <c r="U150" s="28">
        <f t="shared" si="16"/>
        <v>88.322727272727207</v>
      </c>
      <c r="W150" s="3">
        <v>286.89999999999998</v>
      </c>
      <c r="Y150" s="3">
        <f t="shared" si="14"/>
        <v>68683.599999999977</v>
      </c>
      <c r="Z150" s="3">
        <f t="shared" si="18"/>
        <v>9127.1</v>
      </c>
      <c r="AA150" s="38">
        <v>8.07477441176726</v>
      </c>
    </row>
    <row r="151" spans="1:27" s="3" customFormat="1" x14ac:dyDescent="0.25">
      <c r="A151" s="3">
        <v>5400</v>
      </c>
      <c r="B151" s="3">
        <v>24010</v>
      </c>
      <c r="C151" s="7">
        <v>42729</v>
      </c>
      <c r="F151" s="53"/>
      <c r="G151" s="3">
        <v>8.8000000000000007</v>
      </c>
      <c r="H151" s="3">
        <v>6.6</v>
      </c>
      <c r="I151" s="3">
        <v>10.1</v>
      </c>
      <c r="J151" s="3">
        <f t="shared" si="13"/>
        <v>1170.7999999999995</v>
      </c>
      <c r="K151" s="3">
        <f t="shared" si="19"/>
        <v>108.09999999999998</v>
      </c>
      <c r="L151" s="23"/>
      <c r="M151" s="3">
        <v>0.1</v>
      </c>
      <c r="N151" s="3">
        <v>0.2</v>
      </c>
      <c r="O151" s="3">
        <f t="shared" si="10"/>
        <v>-0.1</v>
      </c>
      <c r="P151" s="3">
        <f t="shared" si="15"/>
        <v>62.599999999999973</v>
      </c>
      <c r="Q151" s="3">
        <v>116</v>
      </c>
      <c r="R151" s="27">
        <v>1</v>
      </c>
      <c r="S151" s="3">
        <f t="shared" si="11"/>
        <v>0.2</v>
      </c>
      <c r="T151" s="3">
        <f t="shared" si="12"/>
        <v>-0.1</v>
      </c>
      <c r="U151" s="28">
        <f t="shared" si="16"/>
        <v>88.222727272727212</v>
      </c>
      <c r="W151" s="3">
        <v>81.2</v>
      </c>
      <c r="Y151" s="3">
        <f t="shared" si="14"/>
        <v>68764.799999999974</v>
      </c>
      <c r="Z151" s="3">
        <f t="shared" si="18"/>
        <v>9208.3000000000011</v>
      </c>
      <c r="AA151" s="38">
        <v>8.0801460399671221</v>
      </c>
    </row>
    <row r="152" spans="1:27" s="3" customFormat="1" x14ac:dyDescent="0.25">
      <c r="A152" s="3">
        <v>5400</v>
      </c>
      <c r="B152" s="3">
        <v>24010</v>
      </c>
      <c r="C152" s="7">
        <v>42730</v>
      </c>
      <c r="F152" s="53"/>
      <c r="G152" s="3">
        <v>7.6</v>
      </c>
      <c r="H152" s="3">
        <v>6.2</v>
      </c>
      <c r="I152" s="3">
        <v>9.8000000000000007</v>
      </c>
      <c r="J152" s="3">
        <f t="shared" si="13"/>
        <v>1178.3999999999994</v>
      </c>
      <c r="K152" s="3">
        <f t="shared" si="19"/>
        <v>115.69999999999997</v>
      </c>
      <c r="L152" s="23"/>
      <c r="M152" s="3">
        <v>0.1</v>
      </c>
      <c r="N152" s="3">
        <v>0.3</v>
      </c>
      <c r="O152" s="3">
        <f t="shared" si="10"/>
        <v>-0.19999999999999998</v>
      </c>
      <c r="P152" s="3">
        <f t="shared" si="15"/>
        <v>62.39999999999997</v>
      </c>
      <c r="Q152" s="3">
        <v>117</v>
      </c>
      <c r="R152" s="27">
        <v>1</v>
      </c>
      <c r="S152" s="3">
        <f t="shared" si="11"/>
        <v>0.3</v>
      </c>
      <c r="T152" s="3">
        <f t="shared" si="12"/>
        <v>-0.19999999999999998</v>
      </c>
      <c r="U152" s="28">
        <f t="shared" si="16"/>
        <v>88.022727272727209</v>
      </c>
      <c r="W152" s="3">
        <v>175.3</v>
      </c>
      <c r="Y152" s="3">
        <f t="shared" si="14"/>
        <v>68940.099999999977</v>
      </c>
      <c r="Z152" s="3">
        <f t="shared" si="18"/>
        <v>9383.6</v>
      </c>
      <c r="AA152" s="38">
        <v>8.0869411681554517</v>
      </c>
    </row>
    <row r="153" spans="1:27" s="3" customFormat="1" x14ac:dyDescent="0.25">
      <c r="A153" s="3">
        <v>5400</v>
      </c>
      <c r="B153" s="3">
        <v>24010</v>
      </c>
      <c r="C153" s="7">
        <v>42731</v>
      </c>
      <c r="E153" s="38">
        <v>23</v>
      </c>
      <c r="F153" s="53"/>
      <c r="G153" s="3">
        <v>2.2000000000000002</v>
      </c>
      <c r="H153" s="3">
        <v>-1.4</v>
      </c>
      <c r="I153" s="3">
        <v>6.1</v>
      </c>
      <c r="J153" s="3">
        <f t="shared" si="13"/>
        <v>1180.5999999999995</v>
      </c>
      <c r="K153" s="3">
        <f t="shared" si="19"/>
        <v>117.89999999999998</v>
      </c>
      <c r="L153" s="23"/>
      <c r="M153" s="3">
        <v>0.1</v>
      </c>
      <c r="N153" s="3">
        <v>0.5</v>
      </c>
      <c r="O153" s="3">
        <f t="shared" si="10"/>
        <v>-0.4</v>
      </c>
      <c r="P153" s="3">
        <f t="shared" si="15"/>
        <v>61.999999999999972</v>
      </c>
      <c r="Q153" s="3">
        <v>118</v>
      </c>
      <c r="R153" s="27">
        <v>1</v>
      </c>
      <c r="S153" s="3">
        <f t="shared" si="11"/>
        <v>0.5</v>
      </c>
      <c r="T153" s="3">
        <f t="shared" si="12"/>
        <v>-0.4</v>
      </c>
      <c r="U153" s="28">
        <f t="shared" si="16"/>
        <v>87.622727272727204</v>
      </c>
      <c r="W153" s="3">
        <v>537</v>
      </c>
      <c r="Y153" s="3">
        <f t="shared" si="14"/>
        <v>69477.099999999977</v>
      </c>
      <c r="Z153" s="3">
        <f t="shared" si="18"/>
        <v>9920.6</v>
      </c>
      <c r="AA153" s="38">
        <v>8.0951535340089951</v>
      </c>
    </row>
    <row r="154" spans="1:27" s="3" customFormat="1" x14ac:dyDescent="0.25">
      <c r="A154" s="3">
        <v>5400</v>
      </c>
      <c r="B154" s="3">
        <v>24010</v>
      </c>
      <c r="C154" s="7">
        <v>42732</v>
      </c>
      <c r="E154" s="38">
        <v>24</v>
      </c>
      <c r="F154" s="53"/>
      <c r="G154" s="3">
        <v>2.8</v>
      </c>
      <c r="H154" s="3">
        <v>0.7</v>
      </c>
      <c r="I154" s="3">
        <v>5.7</v>
      </c>
      <c r="J154" s="3">
        <f t="shared" si="13"/>
        <v>1183.3999999999994</v>
      </c>
      <c r="K154" s="3">
        <f t="shared" si="19"/>
        <v>120.69999999999997</v>
      </c>
      <c r="L154" s="23"/>
      <c r="M154" s="3">
        <v>0.1</v>
      </c>
      <c r="N154" s="3">
        <v>0.6</v>
      </c>
      <c r="O154" s="3">
        <f t="shared" si="10"/>
        <v>-0.5</v>
      </c>
      <c r="P154" s="3">
        <f t="shared" si="15"/>
        <v>61.499999999999972</v>
      </c>
      <c r="Q154" s="3">
        <v>119</v>
      </c>
      <c r="R154" s="27">
        <v>1</v>
      </c>
      <c r="S154" s="3">
        <f t="shared" si="11"/>
        <v>0.6</v>
      </c>
      <c r="T154" s="3">
        <f t="shared" si="12"/>
        <v>-0.5</v>
      </c>
      <c r="U154" s="28">
        <f t="shared" si="16"/>
        <v>87.122727272727204</v>
      </c>
      <c r="W154" s="3">
        <v>516.6</v>
      </c>
      <c r="Y154" s="3">
        <f t="shared" si="14"/>
        <v>69993.699999999983</v>
      </c>
      <c r="Z154" s="3">
        <f t="shared" si="18"/>
        <v>10437.200000000001</v>
      </c>
      <c r="AA154" s="38">
        <v>8.1047756028962095</v>
      </c>
    </row>
    <row r="155" spans="1:27" s="3" customFormat="1" x14ac:dyDescent="0.25">
      <c r="A155" s="3">
        <v>5400</v>
      </c>
      <c r="B155" s="3">
        <v>24010</v>
      </c>
      <c r="C155" s="7">
        <v>42733</v>
      </c>
      <c r="E155" s="38">
        <v>25</v>
      </c>
      <c r="F155" s="53"/>
      <c r="G155" s="3">
        <v>-1.2</v>
      </c>
      <c r="H155" s="3">
        <v>-1.5</v>
      </c>
      <c r="I155" s="3">
        <v>-1.2</v>
      </c>
      <c r="J155" s="3">
        <v>1183.4000000000001</v>
      </c>
      <c r="K155" s="3">
        <v>120.7</v>
      </c>
      <c r="L155" s="23"/>
      <c r="M155" s="3">
        <v>0</v>
      </c>
      <c r="N155" s="3">
        <v>0.2</v>
      </c>
      <c r="O155" s="3">
        <f t="shared" si="10"/>
        <v>-0.2</v>
      </c>
      <c r="P155" s="3">
        <f t="shared" si="15"/>
        <v>61.299999999999969</v>
      </c>
      <c r="Q155" s="3">
        <v>120</v>
      </c>
      <c r="R155" s="27">
        <v>1</v>
      </c>
      <c r="S155" s="3">
        <f t="shared" si="11"/>
        <v>0.2</v>
      </c>
      <c r="T155" s="3">
        <f t="shared" si="12"/>
        <v>-0.2</v>
      </c>
      <c r="U155" s="28">
        <f t="shared" si="16"/>
        <v>86.922727272727201</v>
      </c>
      <c r="W155" s="3">
        <v>198.4</v>
      </c>
      <c r="Y155" s="3">
        <f t="shared" si="14"/>
        <v>70192.099999999977</v>
      </c>
      <c r="Z155" s="3">
        <f t="shared" si="18"/>
        <v>10635.6</v>
      </c>
      <c r="AA155" s="38">
        <v>8.1157985936544357</v>
      </c>
    </row>
    <row r="156" spans="1:27" s="3" customFormat="1" x14ac:dyDescent="0.25">
      <c r="A156" s="3">
        <v>5400</v>
      </c>
      <c r="B156" s="3">
        <v>24010</v>
      </c>
      <c r="C156" s="7">
        <v>42734</v>
      </c>
      <c r="E156" s="38">
        <v>26</v>
      </c>
      <c r="F156" s="53"/>
      <c r="G156" s="3">
        <v>-3.3</v>
      </c>
      <c r="H156" s="3">
        <v>-3.6</v>
      </c>
      <c r="I156" s="3">
        <v>-3</v>
      </c>
      <c r="J156" s="3">
        <v>1183.4000000000001</v>
      </c>
      <c r="K156" s="3">
        <v>120.7</v>
      </c>
      <c r="L156" s="23"/>
      <c r="M156" s="3">
        <v>0</v>
      </c>
      <c r="N156" s="3">
        <v>0.3</v>
      </c>
      <c r="O156" s="3">
        <f t="shared" si="10"/>
        <v>-0.3</v>
      </c>
      <c r="P156" s="3">
        <f t="shared" si="15"/>
        <v>60.999999999999972</v>
      </c>
      <c r="Q156" s="3">
        <v>121</v>
      </c>
      <c r="R156" s="27">
        <v>1</v>
      </c>
      <c r="S156" s="3">
        <f t="shared" si="11"/>
        <v>0.3</v>
      </c>
      <c r="T156" s="3">
        <f t="shared" si="12"/>
        <v>-0.3</v>
      </c>
      <c r="U156" s="28">
        <f t="shared" si="16"/>
        <v>86.622727272727204</v>
      </c>
      <c r="W156" s="3">
        <v>276.39999999999998</v>
      </c>
      <c r="Y156" s="3">
        <f t="shared" si="14"/>
        <v>70468.499999999971</v>
      </c>
      <c r="Z156" s="3">
        <f t="shared" si="18"/>
        <v>10912</v>
      </c>
      <c r="AA156" s="38">
        <v>8.1282125083803596</v>
      </c>
    </row>
    <row r="157" spans="1:27" s="3" customFormat="1" x14ac:dyDescent="0.25">
      <c r="A157" s="3">
        <v>5400</v>
      </c>
      <c r="B157" s="3">
        <v>24010</v>
      </c>
      <c r="C157" s="7">
        <v>42735</v>
      </c>
      <c r="E157" s="38">
        <v>27</v>
      </c>
      <c r="F157" s="53"/>
      <c r="G157" s="3">
        <v>-4</v>
      </c>
      <c r="H157" s="3">
        <v>-4.2</v>
      </c>
      <c r="I157" s="3">
        <v>-3.5</v>
      </c>
      <c r="J157" s="3">
        <v>1183.4000000000001</v>
      </c>
      <c r="K157" s="3">
        <v>120.7</v>
      </c>
      <c r="L157" s="23"/>
      <c r="M157" s="3">
        <v>0</v>
      </c>
      <c r="N157" s="3">
        <v>0.2</v>
      </c>
      <c r="O157" s="3">
        <f t="shared" si="10"/>
        <v>-0.2</v>
      </c>
      <c r="P157" s="3">
        <f t="shared" si="15"/>
        <v>60.799999999999969</v>
      </c>
      <c r="Q157" s="3">
        <v>122</v>
      </c>
      <c r="R157" s="27">
        <v>1</v>
      </c>
      <c r="S157" s="3">
        <f t="shared" si="11"/>
        <v>0.2</v>
      </c>
      <c r="T157" s="3">
        <f t="shared" si="12"/>
        <v>-0.2</v>
      </c>
      <c r="U157" s="28">
        <f t="shared" si="16"/>
        <v>86.422727272727201</v>
      </c>
      <c r="W157" s="3">
        <v>184.9</v>
      </c>
      <c r="Y157" s="3">
        <f t="shared" si="14"/>
        <v>70653.399999999965</v>
      </c>
      <c r="Z157" s="3">
        <f t="shared" si="18"/>
        <v>11096.9</v>
      </c>
      <c r="AA157" s="38">
        <v>8.1420061660193515</v>
      </c>
    </row>
    <row r="158" spans="1:27" s="3" customFormat="1" x14ac:dyDescent="0.25">
      <c r="A158" s="3">
        <v>5400</v>
      </c>
      <c r="B158" s="3">
        <v>24010</v>
      </c>
      <c r="C158" s="7">
        <v>42736</v>
      </c>
      <c r="E158" s="38">
        <v>28</v>
      </c>
      <c r="F158" s="53"/>
      <c r="G158" s="3">
        <v>-1.7</v>
      </c>
      <c r="H158" s="3">
        <v>-4.4000000000000004</v>
      </c>
      <c r="I158" s="3">
        <v>0.6</v>
      </c>
      <c r="J158" s="3">
        <v>1183.4000000000001</v>
      </c>
      <c r="K158" s="3">
        <v>120.7</v>
      </c>
      <c r="L158" s="23"/>
      <c r="M158" s="3">
        <v>0.5</v>
      </c>
      <c r="N158" s="3">
        <v>0.1</v>
      </c>
      <c r="O158" s="3">
        <f t="shared" si="10"/>
        <v>0.4</v>
      </c>
      <c r="P158" s="3">
        <f t="shared" si="15"/>
        <v>61.199999999999967</v>
      </c>
      <c r="Q158" s="3">
        <v>123</v>
      </c>
      <c r="R158" s="27">
        <v>1</v>
      </c>
      <c r="S158" s="3">
        <f t="shared" si="11"/>
        <v>0.1</v>
      </c>
      <c r="T158" s="3">
        <f t="shared" si="12"/>
        <v>0.4</v>
      </c>
      <c r="U158" s="28">
        <f t="shared" si="16"/>
        <v>86.822727272727207</v>
      </c>
      <c r="W158" s="3">
        <v>125.9</v>
      </c>
      <c r="Y158" s="3">
        <f t="shared" si="14"/>
        <v>70779.299999999959</v>
      </c>
      <c r="Z158" s="3">
        <f t="shared" si="18"/>
        <v>11222.8</v>
      </c>
      <c r="AA158" s="38">
        <v>8.1571672395153776</v>
      </c>
    </row>
    <row r="159" spans="1:27" s="3" customFormat="1" x14ac:dyDescent="0.25">
      <c r="A159" s="3">
        <v>5400</v>
      </c>
      <c r="B159" s="3">
        <v>24010</v>
      </c>
      <c r="C159" s="7">
        <v>42737</v>
      </c>
      <c r="E159" s="38">
        <v>29</v>
      </c>
      <c r="F159" s="53"/>
      <c r="G159" s="3">
        <v>0.9</v>
      </c>
      <c r="H159" s="3">
        <v>-0.3</v>
      </c>
      <c r="I159" s="3">
        <v>1.3</v>
      </c>
      <c r="J159" s="3">
        <f t="shared" si="13"/>
        <v>1184.3000000000002</v>
      </c>
      <c r="K159" s="3">
        <f t="shared" si="19"/>
        <v>121.60000000000001</v>
      </c>
      <c r="L159" s="23"/>
      <c r="M159" s="3">
        <v>0.6</v>
      </c>
      <c r="N159" s="3">
        <v>0.1</v>
      </c>
      <c r="O159" s="3">
        <f t="shared" si="10"/>
        <v>0.5</v>
      </c>
      <c r="P159" s="3">
        <f t="shared" si="15"/>
        <v>61.699999999999967</v>
      </c>
      <c r="Q159" s="3">
        <v>124</v>
      </c>
      <c r="R159" s="27">
        <v>1</v>
      </c>
      <c r="S159" s="3">
        <f t="shared" si="11"/>
        <v>0.1</v>
      </c>
      <c r="T159" s="3">
        <f t="shared" si="12"/>
        <v>0.5</v>
      </c>
      <c r="U159" s="28">
        <f t="shared" si="16"/>
        <v>87.322727272727207</v>
      </c>
      <c r="W159" s="3">
        <v>98.2</v>
      </c>
      <c r="Y159" s="3">
        <f t="shared" si="14"/>
        <v>70877.499999999956</v>
      </c>
      <c r="Z159" s="3">
        <f t="shared" si="18"/>
        <v>11321</v>
      </c>
      <c r="AA159" s="38">
        <v>8.173682296262001</v>
      </c>
    </row>
    <row r="160" spans="1:27" s="3" customFormat="1" x14ac:dyDescent="0.25">
      <c r="A160" s="3">
        <v>5400</v>
      </c>
      <c r="B160" s="3">
        <v>24010</v>
      </c>
      <c r="C160" s="7">
        <v>42738</v>
      </c>
      <c r="E160" s="38">
        <v>30</v>
      </c>
      <c r="F160" s="53"/>
      <c r="G160" s="3">
        <v>-0.6</v>
      </c>
      <c r="H160" s="3">
        <v>-0.7</v>
      </c>
      <c r="I160" s="3">
        <v>-0.3</v>
      </c>
      <c r="J160" s="3">
        <v>1184.3</v>
      </c>
      <c r="K160" s="3">
        <v>121.6</v>
      </c>
      <c r="L160" s="23"/>
      <c r="M160" s="3">
        <v>0</v>
      </c>
      <c r="N160" s="3">
        <v>0.2</v>
      </c>
      <c r="O160" s="3">
        <f t="shared" si="10"/>
        <v>-0.2</v>
      </c>
      <c r="P160" s="3">
        <f t="shared" si="15"/>
        <v>61.499999999999964</v>
      </c>
      <c r="Q160" s="3">
        <v>125</v>
      </c>
      <c r="R160" s="27">
        <v>1</v>
      </c>
      <c r="S160" s="3">
        <f t="shared" si="11"/>
        <v>0.2</v>
      </c>
      <c r="T160" s="3">
        <f t="shared" si="12"/>
        <v>-0.2</v>
      </c>
      <c r="U160" s="28">
        <f t="shared" si="16"/>
        <v>87.122727272727204</v>
      </c>
      <c r="W160" s="3">
        <v>271.5</v>
      </c>
      <c r="Y160" s="3">
        <f t="shared" si="14"/>
        <v>71148.999999999956</v>
      </c>
      <c r="Z160" s="3">
        <f t="shared" si="18"/>
        <v>11592.5</v>
      </c>
      <c r="AA160" s="38">
        <v>8.1915368415773155</v>
      </c>
    </row>
    <row r="161" spans="1:27" s="3" customFormat="1" x14ac:dyDescent="0.25">
      <c r="A161" s="3">
        <v>5400</v>
      </c>
      <c r="B161" s="3">
        <v>24010</v>
      </c>
      <c r="C161" s="7">
        <v>42739</v>
      </c>
      <c r="E161" s="38">
        <v>31</v>
      </c>
      <c r="F161" s="53"/>
      <c r="G161" s="3">
        <v>1</v>
      </c>
      <c r="H161" s="3">
        <v>-1.4</v>
      </c>
      <c r="I161" s="3">
        <v>2.9</v>
      </c>
      <c r="J161" s="3">
        <f t="shared" si="13"/>
        <v>1185.3</v>
      </c>
      <c r="K161" s="3">
        <f t="shared" si="19"/>
        <v>122.6</v>
      </c>
      <c r="L161" s="23"/>
      <c r="M161" s="3">
        <v>0.4</v>
      </c>
      <c r="N161" s="3">
        <v>0.1</v>
      </c>
      <c r="O161" s="3">
        <f t="shared" si="10"/>
        <v>0.30000000000000004</v>
      </c>
      <c r="P161" s="3">
        <f t="shared" si="15"/>
        <v>61.799999999999962</v>
      </c>
      <c r="Q161" s="3">
        <v>126</v>
      </c>
      <c r="R161" s="27">
        <v>1</v>
      </c>
      <c r="S161" s="3">
        <f t="shared" si="11"/>
        <v>0.1</v>
      </c>
      <c r="T161" s="3">
        <f t="shared" si="12"/>
        <v>0.30000000000000004</v>
      </c>
      <c r="U161" s="28">
        <f t="shared" si="16"/>
        <v>87.422727272727201</v>
      </c>
      <c r="W161" s="3">
        <v>96.2</v>
      </c>
      <c r="Y161" s="3">
        <f t="shared" si="14"/>
        <v>71245.199999999953</v>
      </c>
      <c r="Z161" s="3">
        <f t="shared" si="18"/>
        <v>11688.7</v>
      </c>
      <c r="AA161" s="38">
        <v>8.2107153649107083</v>
      </c>
    </row>
    <row r="162" spans="1:27" s="3" customFormat="1" x14ac:dyDescent="0.25">
      <c r="A162" s="3">
        <v>5400</v>
      </c>
      <c r="B162" s="3">
        <v>24010</v>
      </c>
      <c r="C162" s="7">
        <v>42740</v>
      </c>
      <c r="E162" s="38">
        <v>32</v>
      </c>
      <c r="F162" s="53"/>
      <c r="G162" s="3">
        <v>0.9</v>
      </c>
      <c r="H162" s="3">
        <v>-1.3</v>
      </c>
      <c r="I162" s="3">
        <v>4.3</v>
      </c>
      <c r="J162" s="3">
        <f t="shared" si="13"/>
        <v>1186.2</v>
      </c>
      <c r="K162" s="3">
        <f t="shared" si="19"/>
        <v>123.5</v>
      </c>
      <c r="L162" s="23"/>
      <c r="M162" s="3">
        <v>0.1</v>
      </c>
      <c r="N162" s="3">
        <v>0.4</v>
      </c>
      <c r="O162" s="3">
        <f t="shared" si="10"/>
        <v>-0.30000000000000004</v>
      </c>
      <c r="P162" s="3">
        <f t="shared" si="15"/>
        <v>61.499999999999964</v>
      </c>
      <c r="Q162" s="3">
        <v>127</v>
      </c>
      <c r="R162" s="27">
        <v>1</v>
      </c>
      <c r="S162" s="3">
        <f t="shared" si="11"/>
        <v>0.4</v>
      </c>
      <c r="T162" s="3">
        <f t="shared" si="12"/>
        <v>-0.30000000000000004</v>
      </c>
      <c r="U162" s="28">
        <f t="shared" si="16"/>
        <v>87.122727272727204</v>
      </c>
      <c r="W162" s="3">
        <v>494.3</v>
      </c>
      <c r="Y162" s="3">
        <f t="shared" si="14"/>
        <v>71739.499999999956</v>
      </c>
      <c r="Z162" s="3">
        <f t="shared" si="18"/>
        <v>12183</v>
      </c>
      <c r="AA162" s="38">
        <v>8.2312013884781727</v>
      </c>
    </row>
    <row r="163" spans="1:27" s="3" customFormat="1" x14ac:dyDescent="0.25">
      <c r="A163" s="3">
        <v>5400</v>
      </c>
      <c r="B163" s="3">
        <v>24010</v>
      </c>
      <c r="C163" s="7">
        <v>42741</v>
      </c>
      <c r="E163" s="38">
        <v>33</v>
      </c>
      <c r="F163" s="53"/>
      <c r="G163" s="3">
        <v>-2.2000000000000002</v>
      </c>
      <c r="H163" s="3">
        <v>-3.6</v>
      </c>
      <c r="I163" s="3">
        <v>0.9</v>
      </c>
      <c r="J163" s="3">
        <v>1186.2</v>
      </c>
      <c r="K163" s="3">
        <v>123.5</v>
      </c>
      <c r="L163" s="23"/>
      <c r="M163" s="3">
        <v>0</v>
      </c>
      <c r="N163" s="3">
        <v>0.4</v>
      </c>
      <c r="O163" s="3">
        <f t="shared" si="10"/>
        <v>-0.4</v>
      </c>
      <c r="P163" s="3">
        <f t="shared" si="15"/>
        <v>61.099999999999966</v>
      </c>
      <c r="Q163" s="3">
        <v>128</v>
      </c>
      <c r="R163" s="27">
        <v>1</v>
      </c>
      <c r="S163" s="3">
        <f t="shared" si="11"/>
        <v>0.4</v>
      </c>
      <c r="T163" s="3">
        <f t="shared" si="12"/>
        <v>-0.4</v>
      </c>
      <c r="U163" s="28">
        <f t="shared" si="16"/>
        <v>86.722727272727198</v>
      </c>
      <c r="W163" s="3">
        <v>520.9</v>
      </c>
      <c r="Y163" s="3">
        <f t="shared" si="14"/>
        <v>72260.399999999951</v>
      </c>
      <c r="Z163" s="3">
        <f t="shared" si="18"/>
        <v>12703.9</v>
      </c>
      <c r="AA163" s="38">
        <v>8.2529775180146867</v>
      </c>
    </row>
    <row r="164" spans="1:27" s="3" customFormat="1" x14ac:dyDescent="0.25">
      <c r="A164" s="3">
        <v>5400</v>
      </c>
      <c r="B164" s="3">
        <v>24010</v>
      </c>
      <c r="C164" s="7">
        <v>42742</v>
      </c>
      <c r="E164" s="38">
        <v>34</v>
      </c>
      <c r="F164" s="53"/>
      <c r="G164" s="3">
        <v>-1</v>
      </c>
      <c r="H164" s="3">
        <v>-5.0999999999999996</v>
      </c>
      <c r="I164" s="3">
        <v>2.2999999999999998</v>
      </c>
      <c r="J164" s="3">
        <v>1186.2</v>
      </c>
      <c r="K164" s="3">
        <v>123.5</v>
      </c>
      <c r="L164" s="23"/>
      <c r="M164" s="3">
        <v>1.2</v>
      </c>
      <c r="N164" s="3">
        <v>0.2</v>
      </c>
      <c r="O164" s="3">
        <f t="shared" si="10"/>
        <v>1</v>
      </c>
      <c r="P164" s="3">
        <f t="shared" si="15"/>
        <v>62.099999999999966</v>
      </c>
      <c r="Q164" s="3">
        <v>129</v>
      </c>
      <c r="R164" s="27">
        <v>1</v>
      </c>
      <c r="S164" s="3">
        <f t="shared" si="11"/>
        <v>0.2</v>
      </c>
      <c r="T164" s="3">
        <f t="shared" si="12"/>
        <v>1</v>
      </c>
      <c r="U164" s="28">
        <f t="shared" si="16"/>
        <v>87.722727272727198</v>
      </c>
      <c r="W164" s="3">
        <v>97.4</v>
      </c>
      <c r="Y164" s="3">
        <f t="shared" si="14"/>
        <v>72357.799999999945</v>
      </c>
      <c r="Z164" s="3">
        <f t="shared" si="18"/>
        <v>12801.3</v>
      </c>
      <c r="AA164" s="38">
        <v>8.2760254953275076</v>
      </c>
    </row>
    <row r="165" spans="1:27" s="3" customFormat="1" x14ac:dyDescent="0.25">
      <c r="A165" s="3">
        <v>5400</v>
      </c>
      <c r="B165" s="3">
        <v>24010</v>
      </c>
      <c r="C165" s="7">
        <v>42743</v>
      </c>
      <c r="E165" s="38">
        <v>35</v>
      </c>
      <c r="F165" s="53"/>
      <c r="G165" s="3">
        <v>4.3</v>
      </c>
      <c r="H165" s="3">
        <v>0.7</v>
      </c>
      <c r="I165" s="3">
        <v>6.2</v>
      </c>
      <c r="J165" s="3">
        <f t="shared" si="13"/>
        <v>1190.5</v>
      </c>
      <c r="K165" s="3">
        <f t="shared" si="19"/>
        <v>127.8</v>
      </c>
      <c r="L165" s="23"/>
      <c r="M165" s="3">
        <v>0.8</v>
      </c>
      <c r="N165" s="3">
        <v>0.2</v>
      </c>
      <c r="O165" s="3">
        <f t="shared" ref="O165:O228" si="20">M165-N165</f>
        <v>0.60000000000000009</v>
      </c>
      <c r="P165" s="3">
        <f t="shared" si="15"/>
        <v>62.699999999999967</v>
      </c>
      <c r="Q165" s="3">
        <v>130</v>
      </c>
      <c r="R165" s="27">
        <v>1</v>
      </c>
      <c r="S165" s="3">
        <f t="shared" ref="S165:S228" si="21">R165*N165</f>
        <v>0.2</v>
      </c>
      <c r="T165" s="3">
        <f t="shared" ref="T165:T228" si="22">M165-S165</f>
        <v>0.60000000000000009</v>
      </c>
      <c r="U165" s="28">
        <f t="shared" si="16"/>
        <v>88.322727272727192</v>
      </c>
      <c r="W165" s="3">
        <v>111.9</v>
      </c>
      <c r="Y165" s="3">
        <f t="shared" si="14"/>
        <v>72469.699999999939</v>
      </c>
      <c r="Z165" s="3">
        <f t="shared" si="18"/>
        <v>12913.199999999999</v>
      </c>
      <c r="AA165" s="38">
        <v>8.3003262523325674</v>
      </c>
    </row>
    <row r="166" spans="1:27" s="3" customFormat="1" x14ac:dyDescent="0.25">
      <c r="A166" s="3">
        <v>5400</v>
      </c>
      <c r="B166" s="3">
        <v>24010</v>
      </c>
      <c r="C166" s="7">
        <v>42744</v>
      </c>
      <c r="F166" s="53"/>
      <c r="G166" s="3">
        <v>6.5</v>
      </c>
      <c r="H166" s="3">
        <v>4.9000000000000004</v>
      </c>
      <c r="I166" s="3">
        <v>7.4</v>
      </c>
      <c r="J166" s="3">
        <f t="shared" ref="J166:J229" si="23">J165+G166</f>
        <v>1197</v>
      </c>
      <c r="K166" s="3">
        <f t="shared" si="19"/>
        <v>134.30000000000001</v>
      </c>
      <c r="L166" s="23"/>
      <c r="M166" s="3">
        <v>5.5</v>
      </c>
      <c r="N166" s="3">
        <v>0.2</v>
      </c>
      <c r="O166" s="3">
        <f t="shared" si="20"/>
        <v>5.3</v>
      </c>
      <c r="P166" s="3">
        <f t="shared" si="15"/>
        <v>67.999999999999972</v>
      </c>
      <c r="Q166" s="3">
        <v>131</v>
      </c>
      <c r="R166" s="27">
        <v>1</v>
      </c>
      <c r="S166" s="3">
        <f t="shared" si="21"/>
        <v>0.2</v>
      </c>
      <c r="T166" s="3">
        <f t="shared" si="22"/>
        <v>5.3</v>
      </c>
      <c r="U166" s="28">
        <f t="shared" si="16"/>
        <v>93.62272727272719</v>
      </c>
      <c r="W166" s="3">
        <v>128.80000000000001</v>
      </c>
      <c r="Y166" s="3">
        <f t="shared" ref="Y166:Y229" si="24">Y165+W166</f>
        <v>72598.499999999942</v>
      </c>
      <c r="Z166" s="3">
        <f t="shared" si="18"/>
        <v>13041.999999999998</v>
      </c>
      <c r="AA166" s="38">
        <v>8.3258599662576298</v>
      </c>
    </row>
    <row r="167" spans="1:27" s="3" customFormat="1" x14ac:dyDescent="0.25">
      <c r="A167" s="3">
        <v>5400</v>
      </c>
      <c r="B167" s="3">
        <v>24010</v>
      </c>
      <c r="C167" s="7">
        <v>42745</v>
      </c>
      <c r="F167" s="53"/>
      <c r="G167" s="3">
        <v>5.4</v>
      </c>
      <c r="H167" s="3">
        <v>3.7</v>
      </c>
      <c r="I167" s="3">
        <v>7.3</v>
      </c>
      <c r="J167" s="3">
        <f t="shared" si="23"/>
        <v>1202.4000000000001</v>
      </c>
      <c r="K167" s="3">
        <f t="shared" si="19"/>
        <v>139.70000000000002</v>
      </c>
      <c r="L167" s="23"/>
      <c r="M167" s="3">
        <v>0.8</v>
      </c>
      <c r="N167" s="3">
        <v>0.2</v>
      </c>
      <c r="O167" s="3">
        <f t="shared" si="20"/>
        <v>0.60000000000000009</v>
      </c>
      <c r="P167" s="3">
        <f t="shared" si="15"/>
        <v>68.599999999999966</v>
      </c>
      <c r="Q167" s="3">
        <v>132</v>
      </c>
      <c r="R167" s="27">
        <v>1</v>
      </c>
      <c r="S167" s="3">
        <f t="shared" si="21"/>
        <v>0.2</v>
      </c>
      <c r="T167" s="3">
        <f t="shared" si="22"/>
        <v>0.60000000000000009</v>
      </c>
      <c r="U167" s="28">
        <f t="shared" si="16"/>
        <v>94.222727272727184</v>
      </c>
      <c r="W167" s="3">
        <v>170</v>
      </c>
      <c r="Y167" s="3">
        <f t="shared" si="24"/>
        <v>72768.499999999942</v>
      </c>
      <c r="Z167" s="3">
        <f t="shared" si="18"/>
        <v>13211.999999999998</v>
      </c>
      <c r="AA167" s="38">
        <v>8.3526061157003184</v>
      </c>
    </row>
    <row r="168" spans="1:27" s="3" customFormat="1" x14ac:dyDescent="0.25">
      <c r="A168" s="3">
        <v>5400</v>
      </c>
      <c r="B168" s="3">
        <v>24010</v>
      </c>
      <c r="C168" s="7">
        <v>42746</v>
      </c>
      <c r="F168" s="53"/>
      <c r="G168" s="3">
        <v>7.4</v>
      </c>
      <c r="H168" s="3">
        <v>3.2</v>
      </c>
      <c r="I168" s="3">
        <v>9.6999999999999993</v>
      </c>
      <c r="J168" s="3">
        <f t="shared" si="23"/>
        <v>1209.8000000000002</v>
      </c>
      <c r="K168" s="3">
        <f t="shared" si="19"/>
        <v>147.10000000000002</v>
      </c>
      <c r="L168" s="23"/>
      <c r="M168" s="3">
        <v>0.5</v>
      </c>
      <c r="N168" s="3">
        <v>0</v>
      </c>
      <c r="O168" s="3">
        <f t="shared" si="20"/>
        <v>0.5</v>
      </c>
      <c r="P168" s="3">
        <f t="shared" ref="P168:P231" si="25">O168+P167</f>
        <v>69.099999999999966</v>
      </c>
      <c r="Q168" s="3">
        <v>133</v>
      </c>
      <c r="R168" s="27">
        <v>1</v>
      </c>
      <c r="S168" s="3">
        <f t="shared" si="21"/>
        <v>0</v>
      </c>
      <c r="T168" s="3">
        <f t="shared" si="22"/>
        <v>0.5</v>
      </c>
      <c r="U168" s="28">
        <f t="shared" ref="U168:U231" si="26">MIN(U167+T168,153.9)</f>
        <v>94.722727272727184</v>
      </c>
      <c r="W168" s="3">
        <v>87.7</v>
      </c>
      <c r="Y168" s="3">
        <f t="shared" si="24"/>
        <v>72856.199999999939</v>
      </c>
      <c r="Z168" s="3">
        <f t="shared" si="18"/>
        <v>13299.699999999999</v>
      </c>
      <c r="AA168" s="38">
        <v>8.3805435372360009</v>
      </c>
    </row>
    <row r="169" spans="1:27" s="3" customFormat="1" x14ac:dyDescent="0.25">
      <c r="A169" s="3">
        <v>5400</v>
      </c>
      <c r="B169" s="3">
        <v>24010</v>
      </c>
      <c r="C169" s="7">
        <v>42747</v>
      </c>
      <c r="F169" s="53"/>
      <c r="G169" s="3">
        <v>6.4</v>
      </c>
      <c r="H169" s="3">
        <v>5.6</v>
      </c>
      <c r="I169" s="3">
        <v>8.6999999999999993</v>
      </c>
      <c r="J169" s="3">
        <f t="shared" si="23"/>
        <v>1216.2000000000003</v>
      </c>
      <c r="K169" s="3">
        <f t="shared" si="19"/>
        <v>153.50000000000003</v>
      </c>
      <c r="L169" s="23"/>
      <c r="M169" s="3">
        <v>6.3</v>
      </c>
      <c r="N169" s="3">
        <v>0.6</v>
      </c>
      <c r="O169" s="3">
        <f t="shared" si="20"/>
        <v>5.7</v>
      </c>
      <c r="P169" s="3">
        <f t="shared" si="25"/>
        <v>74.799999999999969</v>
      </c>
      <c r="Q169" s="3">
        <v>134</v>
      </c>
      <c r="R169" s="27">
        <v>1</v>
      </c>
      <c r="S169" s="3">
        <f t="shared" si="21"/>
        <v>0.6</v>
      </c>
      <c r="T169" s="3">
        <f t="shared" si="22"/>
        <v>5.7</v>
      </c>
      <c r="U169" s="28">
        <f t="shared" si="26"/>
        <v>100.42272727272719</v>
      </c>
      <c r="W169" s="3">
        <v>80.400000000000006</v>
      </c>
      <c r="Y169" s="3">
        <f t="shared" si="24"/>
        <v>72936.599999999933</v>
      </c>
      <c r="Z169" s="3">
        <f t="shared" si="18"/>
        <v>13380.099999999999</v>
      </c>
      <c r="AA169" s="38">
        <v>8.4096504822801403</v>
      </c>
    </row>
    <row r="170" spans="1:27" s="3" customFormat="1" x14ac:dyDescent="0.25">
      <c r="A170" s="3">
        <v>5400</v>
      </c>
      <c r="B170" s="3">
        <v>24010</v>
      </c>
      <c r="C170" s="7">
        <v>42748</v>
      </c>
      <c r="E170" s="38">
        <v>36</v>
      </c>
      <c r="F170" s="53"/>
      <c r="G170" s="3">
        <v>3</v>
      </c>
      <c r="H170" s="3">
        <v>1.2</v>
      </c>
      <c r="I170" s="3">
        <v>4.5999999999999996</v>
      </c>
      <c r="J170" s="3">
        <f t="shared" si="23"/>
        <v>1219.2000000000003</v>
      </c>
      <c r="K170" s="3">
        <f t="shared" si="19"/>
        <v>156.50000000000003</v>
      </c>
      <c r="L170" s="23"/>
      <c r="M170" s="3">
        <v>1.4</v>
      </c>
      <c r="N170" s="3">
        <v>0.4</v>
      </c>
      <c r="O170" s="3">
        <f t="shared" si="20"/>
        <v>0.99999999999999989</v>
      </c>
      <c r="P170" s="3">
        <f t="shared" si="25"/>
        <v>75.799999999999969</v>
      </c>
      <c r="Q170" s="3">
        <v>135</v>
      </c>
      <c r="R170" s="27">
        <v>1</v>
      </c>
      <c r="S170" s="3">
        <f t="shared" si="21"/>
        <v>0.4</v>
      </c>
      <c r="T170" s="3">
        <f t="shared" si="22"/>
        <v>0.99999999999999989</v>
      </c>
      <c r="U170" s="28">
        <f t="shared" si="26"/>
        <v>101.42272727272719</v>
      </c>
      <c r="W170" s="3">
        <v>480.3</v>
      </c>
      <c r="Y170" s="3">
        <f t="shared" si="24"/>
        <v>73416.899999999936</v>
      </c>
      <c r="Z170" s="3">
        <f t="shared" si="18"/>
        <v>13860.399999999998</v>
      </c>
      <c r="AA170" s="38">
        <v>8.4399046739212906</v>
      </c>
    </row>
    <row r="171" spans="1:27" s="3" customFormat="1" x14ac:dyDescent="0.25">
      <c r="A171" s="3">
        <v>5400</v>
      </c>
      <c r="B171" s="3">
        <v>24010</v>
      </c>
      <c r="C171" s="7">
        <v>42749</v>
      </c>
      <c r="E171" s="38">
        <v>37</v>
      </c>
      <c r="F171" s="53"/>
      <c r="G171" s="3">
        <v>1.9</v>
      </c>
      <c r="H171" s="3">
        <v>0.7</v>
      </c>
      <c r="I171" s="3">
        <v>3.1</v>
      </c>
      <c r="J171" s="3">
        <f t="shared" si="23"/>
        <v>1221.1000000000004</v>
      </c>
      <c r="K171" s="3">
        <f t="shared" si="19"/>
        <v>158.40000000000003</v>
      </c>
      <c r="L171" s="23"/>
      <c r="M171" s="3">
        <v>1.7</v>
      </c>
      <c r="N171" s="3">
        <v>0.3</v>
      </c>
      <c r="O171" s="3">
        <f t="shared" si="20"/>
        <v>1.4</v>
      </c>
      <c r="P171" s="3">
        <f t="shared" si="25"/>
        <v>77.199999999999974</v>
      </c>
      <c r="Q171" s="3">
        <v>136</v>
      </c>
      <c r="R171" s="27">
        <v>1</v>
      </c>
      <c r="S171" s="3">
        <f t="shared" si="21"/>
        <v>0.3</v>
      </c>
      <c r="T171" s="3">
        <f t="shared" si="22"/>
        <v>1.4</v>
      </c>
      <c r="U171" s="28">
        <f t="shared" si="26"/>
        <v>102.82272727272719</v>
      </c>
      <c r="W171" s="3">
        <v>379.7</v>
      </c>
      <c r="Y171" s="3">
        <f t="shared" si="24"/>
        <v>73796.599999999933</v>
      </c>
      <c r="Z171" s="3">
        <f t="shared" si="18"/>
        <v>14240.099999999999</v>
      </c>
      <c r="AA171" s="38">
        <v>8.4712833634545035</v>
      </c>
    </row>
    <row r="172" spans="1:27" s="3" customFormat="1" x14ac:dyDescent="0.25">
      <c r="A172" s="3">
        <v>5400</v>
      </c>
      <c r="B172" s="3">
        <v>24010</v>
      </c>
      <c r="C172" s="7">
        <v>42750</v>
      </c>
      <c r="E172" s="38">
        <v>38</v>
      </c>
      <c r="F172" s="53"/>
      <c r="G172" s="3">
        <v>1.9</v>
      </c>
      <c r="H172" s="3">
        <v>-0.1</v>
      </c>
      <c r="I172" s="3">
        <v>3.4</v>
      </c>
      <c r="J172" s="3">
        <f t="shared" si="23"/>
        <v>1223.0000000000005</v>
      </c>
      <c r="K172" s="3">
        <f t="shared" si="19"/>
        <v>160.30000000000004</v>
      </c>
      <c r="L172" s="23"/>
      <c r="M172" s="3">
        <v>4.3</v>
      </c>
      <c r="N172" s="3">
        <v>0.1</v>
      </c>
      <c r="O172" s="3">
        <f t="shared" si="20"/>
        <v>4.2</v>
      </c>
      <c r="P172" s="3">
        <f t="shared" si="25"/>
        <v>81.399999999999977</v>
      </c>
      <c r="Q172" s="3">
        <v>137</v>
      </c>
      <c r="R172" s="27">
        <v>1</v>
      </c>
      <c r="S172" s="3">
        <f t="shared" si="21"/>
        <v>0.1</v>
      </c>
      <c r="T172" s="3">
        <f t="shared" si="22"/>
        <v>4.2</v>
      </c>
      <c r="U172" s="28">
        <f t="shared" si="26"/>
        <v>107.0227272727272</v>
      </c>
      <c r="W172" s="3">
        <v>80.099999999999994</v>
      </c>
      <c r="Y172" s="3">
        <f t="shared" si="24"/>
        <v>73876.699999999939</v>
      </c>
      <c r="Z172" s="3">
        <f t="shared" si="18"/>
        <v>14320.199999999999</v>
      </c>
      <c r="AA172" s="38">
        <v>8.5037633863600615</v>
      </c>
    </row>
    <row r="173" spans="1:27" s="3" customFormat="1" x14ac:dyDescent="0.25">
      <c r="A173" s="3">
        <v>5400</v>
      </c>
      <c r="B173" s="3">
        <v>24010</v>
      </c>
      <c r="C173" s="7">
        <v>42751</v>
      </c>
      <c r="E173" s="38">
        <v>39</v>
      </c>
      <c r="F173" s="53"/>
      <c r="G173" s="3">
        <v>1.8</v>
      </c>
      <c r="H173" s="3">
        <v>1.4</v>
      </c>
      <c r="I173" s="3">
        <v>2.7</v>
      </c>
      <c r="J173" s="3">
        <f t="shared" si="23"/>
        <v>1224.8000000000004</v>
      </c>
      <c r="K173" s="3">
        <f t="shared" si="19"/>
        <v>162.10000000000005</v>
      </c>
      <c r="L173" s="23"/>
      <c r="M173" s="3">
        <v>0</v>
      </c>
      <c r="N173" s="3">
        <v>0.1</v>
      </c>
      <c r="O173" s="3">
        <f t="shared" si="20"/>
        <v>-0.1</v>
      </c>
      <c r="P173" s="3">
        <f t="shared" si="25"/>
        <v>81.299999999999983</v>
      </c>
      <c r="Q173" s="3">
        <v>138</v>
      </c>
      <c r="R173" s="27">
        <v>1</v>
      </c>
      <c r="S173" s="3">
        <f t="shared" si="21"/>
        <v>0.1</v>
      </c>
      <c r="T173" s="3">
        <f t="shared" si="22"/>
        <v>-0.1</v>
      </c>
      <c r="U173" s="28">
        <f t="shared" si="26"/>
        <v>106.9227272727272</v>
      </c>
      <c r="W173" s="3">
        <v>119.2</v>
      </c>
      <c r="Y173" s="3">
        <f t="shared" si="24"/>
        <v>73995.899999999936</v>
      </c>
      <c r="Z173" s="3">
        <f t="shared" si="18"/>
        <v>14439.4</v>
      </c>
      <c r="AA173" s="38">
        <v>8.5373212174890423</v>
      </c>
    </row>
    <row r="174" spans="1:27" s="3" customFormat="1" x14ac:dyDescent="0.25">
      <c r="A174" s="3">
        <v>5400</v>
      </c>
      <c r="B174" s="3">
        <v>24010</v>
      </c>
      <c r="C174" s="7">
        <v>42752</v>
      </c>
      <c r="E174" s="38">
        <v>40</v>
      </c>
      <c r="F174" s="53"/>
      <c r="G174" s="3">
        <v>-1.4</v>
      </c>
      <c r="H174" s="3">
        <v>-2.2000000000000002</v>
      </c>
      <c r="I174" s="3">
        <v>0.3</v>
      </c>
      <c r="J174" s="3">
        <v>1224.8</v>
      </c>
      <c r="K174" s="3">
        <v>162.1</v>
      </c>
      <c r="L174" s="23"/>
      <c r="M174" s="3">
        <v>0</v>
      </c>
      <c r="N174" s="3">
        <v>0.4</v>
      </c>
      <c r="O174" s="3">
        <f t="shared" si="20"/>
        <v>-0.4</v>
      </c>
      <c r="P174" s="3">
        <f t="shared" si="25"/>
        <v>80.899999999999977</v>
      </c>
      <c r="Q174" s="3">
        <v>139</v>
      </c>
      <c r="R174" s="27">
        <v>1</v>
      </c>
      <c r="S174" s="3">
        <f t="shared" si="21"/>
        <v>0.4</v>
      </c>
      <c r="T174" s="3">
        <f t="shared" si="22"/>
        <v>-0.4</v>
      </c>
      <c r="U174" s="28">
        <f t="shared" si="26"/>
        <v>106.5227272727272</v>
      </c>
      <c r="W174" s="3">
        <v>668.2</v>
      </c>
      <c r="Y174" s="3">
        <f t="shared" si="24"/>
        <v>74664.099999999933</v>
      </c>
      <c r="Z174" s="3">
        <f t="shared" si="18"/>
        <v>15107.6</v>
      </c>
      <c r="AA174" s="38">
        <v>8.5719330252347241</v>
      </c>
    </row>
    <row r="175" spans="1:27" s="3" customFormat="1" x14ac:dyDescent="0.25">
      <c r="A175" s="3">
        <v>5400</v>
      </c>
      <c r="B175" s="3">
        <v>24010</v>
      </c>
      <c r="C175" s="7">
        <v>42753</v>
      </c>
      <c r="E175" s="38">
        <v>41</v>
      </c>
      <c r="F175" s="53"/>
      <c r="G175" s="3">
        <v>-2.4</v>
      </c>
      <c r="H175" s="3">
        <v>-4.4000000000000004</v>
      </c>
      <c r="I175" s="3">
        <v>-0.5</v>
      </c>
      <c r="J175" s="3">
        <v>1224.8</v>
      </c>
      <c r="K175" s="3">
        <v>162.1</v>
      </c>
      <c r="L175" s="23"/>
      <c r="M175" s="3">
        <v>0</v>
      </c>
      <c r="N175" s="3">
        <v>0.6</v>
      </c>
      <c r="O175" s="3">
        <f t="shared" si="20"/>
        <v>-0.6</v>
      </c>
      <c r="P175" s="3">
        <f t="shared" si="25"/>
        <v>80.299999999999983</v>
      </c>
      <c r="Q175" s="3">
        <v>140</v>
      </c>
      <c r="R175" s="27">
        <v>1</v>
      </c>
      <c r="S175" s="3">
        <f t="shared" si="21"/>
        <v>0.6</v>
      </c>
      <c r="T175" s="3">
        <f t="shared" si="22"/>
        <v>-0.6</v>
      </c>
      <c r="U175" s="28">
        <f t="shared" si="26"/>
        <v>105.9227272727272</v>
      </c>
      <c r="W175" s="3">
        <v>687.5</v>
      </c>
      <c r="Y175" s="3">
        <f t="shared" si="24"/>
        <v>75351.599999999933</v>
      </c>
      <c r="Z175" s="3">
        <f t="shared" si="18"/>
        <v>15795.1</v>
      </c>
      <c r="AA175" s="38">
        <v>8.6075747244872414</v>
      </c>
    </row>
    <row r="176" spans="1:27" s="3" customFormat="1" x14ac:dyDescent="0.25">
      <c r="A176" s="3">
        <v>5400</v>
      </c>
      <c r="B176" s="3">
        <v>24010</v>
      </c>
      <c r="C176" s="7">
        <v>42754</v>
      </c>
      <c r="E176" s="38">
        <v>42</v>
      </c>
      <c r="F176" s="53"/>
      <c r="G176" s="3">
        <v>-3.1</v>
      </c>
      <c r="H176" s="3">
        <v>-4.5999999999999996</v>
      </c>
      <c r="I176" s="3">
        <v>-1.1000000000000001</v>
      </c>
      <c r="J176" s="3">
        <v>1224.8</v>
      </c>
      <c r="K176" s="3">
        <v>162.1</v>
      </c>
      <c r="L176" s="23"/>
      <c r="M176" s="3">
        <v>0</v>
      </c>
      <c r="N176" s="3">
        <v>0.5</v>
      </c>
      <c r="O176" s="3">
        <f t="shared" si="20"/>
        <v>-0.5</v>
      </c>
      <c r="P176" s="3">
        <f t="shared" si="25"/>
        <v>79.799999999999983</v>
      </c>
      <c r="Q176" s="3">
        <v>141</v>
      </c>
      <c r="R176" s="27">
        <v>1</v>
      </c>
      <c r="S176" s="3">
        <f t="shared" si="21"/>
        <v>0.5</v>
      </c>
      <c r="T176" s="3">
        <f t="shared" si="22"/>
        <v>-0.5</v>
      </c>
      <c r="U176" s="28">
        <f t="shared" si="26"/>
        <v>105.4227272727272</v>
      </c>
      <c r="W176" s="3">
        <v>759.2</v>
      </c>
      <c r="Y176" s="3">
        <f t="shared" si="24"/>
        <v>76110.79999999993</v>
      </c>
      <c r="Z176" s="3">
        <f t="shared" si="18"/>
        <v>16554.3</v>
      </c>
      <c r="AA176" s="38">
        <v>8.6442220281877518</v>
      </c>
    </row>
    <row r="177" spans="1:28" s="3" customFormat="1" x14ac:dyDescent="0.25">
      <c r="A177" s="3">
        <v>5400</v>
      </c>
      <c r="B177" s="3">
        <v>24010</v>
      </c>
      <c r="C177" s="7">
        <v>42755</v>
      </c>
      <c r="E177" s="38">
        <v>43</v>
      </c>
      <c r="F177" s="53"/>
      <c r="G177" s="3">
        <v>-4</v>
      </c>
      <c r="H177" s="3">
        <v>-6</v>
      </c>
      <c r="I177" s="3">
        <v>-1.4</v>
      </c>
      <c r="J177" s="3">
        <v>1224.8</v>
      </c>
      <c r="K177" s="3">
        <v>162.1</v>
      </c>
      <c r="L177" s="23"/>
      <c r="M177" s="3">
        <v>0</v>
      </c>
      <c r="N177" s="3">
        <v>0.5</v>
      </c>
      <c r="O177" s="3">
        <f t="shared" si="20"/>
        <v>-0.5</v>
      </c>
      <c r="P177" s="3">
        <f t="shared" si="25"/>
        <v>79.299999999999983</v>
      </c>
      <c r="Q177" s="3">
        <v>142</v>
      </c>
      <c r="R177" s="27">
        <v>1</v>
      </c>
      <c r="S177" s="3">
        <f t="shared" si="21"/>
        <v>0.5</v>
      </c>
      <c r="T177" s="3">
        <f t="shared" si="22"/>
        <v>-0.5</v>
      </c>
      <c r="U177" s="28">
        <f t="shared" si="26"/>
        <v>104.9227272727272</v>
      </c>
      <c r="W177" s="3">
        <v>757.4</v>
      </c>
      <c r="Y177" s="3">
        <f t="shared" si="24"/>
        <v>76868.199999999924</v>
      </c>
      <c r="Z177" s="3">
        <f t="shared" si="18"/>
        <v>17311.7</v>
      </c>
      <c r="AA177" s="38">
        <v>8.6818504973175283</v>
      </c>
    </row>
    <row r="178" spans="1:28" s="3" customFormat="1" x14ac:dyDescent="0.25">
      <c r="A178" s="3">
        <v>5400</v>
      </c>
      <c r="B178" s="3">
        <v>24010</v>
      </c>
      <c r="C178" s="7">
        <v>42756</v>
      </c>
      <c r="E178" s="38">
        <v>44</v>
      </c>
      <c r="F178" s="53"/>
      <c r="G178" s="3">
        <v>-3.4</v>
      </c>
      <c r="H178" s="3">
        <v>-7.9</v>
      </c>
      <c r="I178" s="3">
        <v>0.3</v>
      </c>
      <c r="J178" s="3">
        <v>1224.8</v>
      </c>
      <c r="K178" s="3">
        <v>162.1</v>
      </c>
      <c r="L178" s="23"/>
      <c r="M178" s="3">
        <v>0</v>
      </c>
      <c r="N178" s="3">
        <v>0.4</v>
      </c>
      <c r="O178" s="3">
        <f t="shared" si="20"/>
        <v>-0.4</v>
      </c>
      <c r="P178" s="3">
        <f t="shared" si="25"/>
        <v>78.899999999999977</v>
      </c>
      <c r="Q178" s="3">
        <v>143</v>
      </c>
      <c r="R178" s="27">
        <v>1</v>
      </c>
      <c r="S178" s="3">
        <f t="shared" si="21"/>
        <v>0.4</v>
      </c>
      <c r="T178" s="3">
        <f t="shared" si="22"/>
        <v>-0.4</v>
      </c>
      <c r="U178" s="28">
        <f t="shared" si="26"/>
        <v>104.5227272727272</v>
      </c>
      <c r="W178" s="3">
        <v>649.79999999999995</v>
      </c>
      <c r="Y178" s="3">
        <f t="shared" si="24"/>
        <v>77517.999999999927</v>
      </c>
      <c r="Z178" s="3">
        <f t="shared" si="18"/>
        <v>17961.5</v>
      </c>
      <c r="AA178" s="38">
        <v>8.7204355891765086</v>
      </c>
    </row>
    <row r="179" spans="1:28" s="3" customFormat="1" x14ac:dyDescent="0.25">
      <c r="A179" s="3">
        <v>5400</v>
      </c>
      <c r="B179" s="3">
        <v>24010</v>
      </c>
      <c r="C179" s="7">
        <v>42757</v>
      </c>
      <c r="E179" s="38">
        <v>45</v>
      </c>
      <c r="F179" s="53"/>
      <c r="G179" s="3">
        <v>-1.6</v>
      </c>
      <c r="H179" s="3">
        <v>-6.7</v>
      </c>
      <c r="I179" s="3">
        <v>2.7</v>
      </c>
      <c r="J179" s="3">
        <v>1224.8</v>
      </c>
      <c r="K179" s="3">
        <v>162.1</v>
      </c>
      <c r="L179" s="23"/>
      <c r="M179" s="3">
        <v>0</v>
      </c>
      <c r="N179" s="3">
        <v>0.4</v>
      </c>
      <c r="O179" s="3">
        <f t="shared" si="20"/>
        <v>-0.4</v>
      </c>
      <c r="P179" s="3">
        <f t="shared" si="25"/>
        <v>78.499999999999972</v>
      </c>
      <c r="Q179" s="3">
        <v>144</v>
      </c>
      <c r="R179" s="27">
        <v>1</v>
      </c>
      <c r="S179" s="3">
        <f t="shared" si="21"/>
        <v>0.4</v>
      </c>
      <c r="T179" s="3">
        <f t="shared" si="22"/>
        <v>-0.4</v>
      </c>
      <c r="U179" s="28">
        <f t="shared" si="26"/>
        <v>104.12272727272719</v>
      </c>
      <c r="W179" s="3">
        <v>663.2</v>
      </c>
      <c r="Y179" s="3">
        <f t="shared" si="24"/>
        <v>78181.199999999924</v>
      </c>
      <c r="Z179" s="3">
        <f t="shared" si="18"/>
        <v>18624.7</v>
      </c>
      <c r="AA179" s="38">
        <v>8.7599527038249043</v>
      </c>
    </row>
    <row r="180" spans="1:28" s="3" customFormat="1" x14ac:dyDescent="0.25">
      <c r="A180" s="3">
        <v>5400</v>
      </c>
      <c r="B180" s="3">
        <v>24010</v>
      </c>
      <c r="C180" s="7">
        <v>42758</v>
      </c>
      <c r="E180" s="38">
        <v>46</v>
      </c>
      <c r="F180" s="53"/>
      <c r="G180" s="3">
        <v>-1.6</v>
      </c>
      <c r="H180" s="3">
        <v>-4.4000000000000004</v>
      </c>
      <c r="I180" s="3">
        <v>2.1</v>
      </c>
      <c r="J180" s="3">
        <v>1224.8</v>
      </c>
      <c r="K180" s="3">
        <v>162.1</v>
      </c>
      <c r="L180" s="23"/>
      <c r="M180" s="3">
        <v>0</v>
      </c>
      <c r="N180" s="3">
        <v>0.6</v>
      </c>
      <c r="O180" s="3">
        <f t="shared" si="20"/>
        <v>-0.6</v>
      </c>
      <c r="P180" s="3">
        <f t="shared" si="25"/>
        <v>77.899999999999977</v>
      </c>
      <c r="Q180" s="3">
        <v>145</v>
      </c>
      <c r="R180" s="27">
        <v>1</v>
      </c>
      <c r="S180" s="3">
        <f t="shared" si="21"/>
        <v>0.6</v>
      </c>
      <c r="T180" s="3">
        <f t="shared" si="22"/>
        <v>-0.6</v>
      </c>
      <c r="U180" s="28">
        <f t="shared" si="26"/>
        <v>103.5227272727272</v>
      </c>
      <c r="W180" s="3">
        <v>792.2</v>
      </c>
      <c r="Y180" s="3">
        <f t="shared" si="24"/>
        <v>78973.399999999921</v>
      </c>
      <c r="Z180" s="3">
        <f t="shared" si="18"/>
        <v>19416.900000000001</v>
      </c>
      <c r="AA180" s="38">
        <v>8.800377228580011</v>
      </c>
    </row>
    <row r="181" spans="1:28" s="3" customFormat="1" x14ac:dyDescent="0.25">
      <c r="A181" s="3">
        <v>5400</v>
      </c>
      <c r="B181" s="3">
        <v>24010</v>
      </c>
      <c r="C181" s="7">
        <v>42759</v>
      </c>
      <c r="E181" s="38">
        <v>47</v>
      </c>
      <c r="F181" s="53"/>
      <c r="G181" s="3">
        <v>-1.2</v>
      </c>
      <c r="H181" s="3">
        <v>-4.5</v>
      </c>
      <c r="I181" s="3">
        <v>0.9</v>
      </c>
      <c r="J181" s="3">
        <v>1224.8</v>
      </c>
      <c r="K181" s="3">
        <v>162.1</v>
      </c>
      <c r="L181" s="23"/>
      <c r="M181" s="3">
        <v>0.3</v>
      </c>
      <c r="N181" s="3">
        <v>0.2</v>
      </c>
      <c r="O181" s="3">
        <f t="shared" si="20"/>
        <v>9.9999999999999978E-2</v>
      </c>
      <c r="P181" s="3">
        <f t="shared" si="25"/>
        <v>77.999999999999972</v>
      </c>
      <c r="Q181" s="3">
        <v>146</v>
      </c>
      <c r="R181" s="27">
        <v>1</v>
      </c>
      <c r="S181" s="3">
        <f t="shared" si="21"/>
        <v>0.2</v>
      </c>
      <c r="T181" s="3">
        <f t="shared" si="22"/>
        <v>9.9999999999999978E-2</v>
      </c>
      <c r="U181" s="28">
        <f t="shared" si="26"/>
        <v>103.62272727272719</v>
      </c>
      <c r="W181" s="3">
        <v>196.6</v>
      </c>
      <c r="Y181" s="3">
        <f t="shared" si="24"/>
        <v>79169.999999999927</v>
      </c>
      <c r="Z181" s="3">
        <f t="shared" si="18"/>
        <v>19613.5</v>
      </c>
      <c r="AA181" s="38">
        <v>8.8416845804785051</v>
      </c>
    </row>
    <row r="182" spans="1:28" s="3" customFormat="1" x14ac:dyDescent="0.25">
      <c r="A182" s="3">
        <v>5400</v>
      </c>
      <c r="B182" s="3">
        <v>24010</v>
      </c>
      <c r="C182" s="7">
        <v>42760</v>
      </c>
      <c r="E182" s="38">
        <v>48</v>
      </c>
      <c r="F182" s="53"/>
      <c r="G182" s="3">
        <v>-1.3</v>
      </c>
      <c r="H182" s="3">
        <v>-2.1</v>
      </c>
      <c r="I182" s="3">
        <v>-0.7</v>
      </c>
      <c r="J182" s="3">
        <v>1224.8</v>
      </c>
      <c r="K182" s="3">
        <v>162.1</v>
      </c>
      <c r="L182" s="23"/>
      <c r="M182" s="3">
        <v>0</v>
      </c>
      <c r="N182" s="3">
        <v>0.2</v>
      </c>
      <c r="O182" s="3">
        <f t="shared" si="20"/>
        <v>-0.2</v>
      </c>
      <c r="P182" s="3">
        <f t="shared" si="25"/>
        <v>77.799999999999969</v>
      </c>
      <c r="Q182" s="3">
        <v>147</v>
      </c>
      <c r="R182" s="27">
        <v>1</v>
      </c>
      <c r="S182" s="3">
        <f t="shared" si="21"/>
        <v>0.2</v>
      </c>
      <c r="T182" s="3">
        <f t="shared" si="22"/>
        <v>-0.2</v>
      </c>
      <c r="U182" s="28">
        <f t="shared" si="26"/>
        <v>103.42272727272719</v>
      </c>
      <c r="W182" s="3">
        <v>120.4</v>
      </c>
      <c r="Y182" s="3">
        <f t="shared" si="24"/>
        <v>79290.399999999921</v>
      </c>
      <c r="Z182" s="3">
        <f t="shared" si="18"/>
        <v>19733.900000000001</v>
      </c>
      <c r="AA182" s="38">
        <v>8.883850246631912</v>
      </c>
    </row>
    <row r="183" spans="1:28" s="3" customFormat="1" x14ac:dyDescent="0.25">
      <c r="A183" s="3">
        <v>5400</v>
      </c>
      <c r="B183" s="3">
        <v>24010</v>
      </c>
      <c r="C183" s="7">
        <v>42761</v>
      </c>
      <c r="E183" s="38">
        <v>49</v>
      </c>
      <c r="F183" s="53"/>
      <c r="G183" s="3">
        <v>-1.4</v>
      </c>
      <c r="H183" s="3">
        <v>-4.8</v>
      </c>
      <c r="I183" s="3">
        <v>0.4</v>
      </c>
      <c r="J183" s="3">
        <v>1224.8</v>
      </c>
      <c r="K183" s="3">
        <v>162.1</v>
      </c>
      <c r="L183" s="23"/>
      <c r="M183" s="3">
        <v>0</v>
      </c>
      <c r="N183" s="3">
        <v>0.6</v>
      </c>
      <c r="O183" s="3">
        <f t="shared" si="20"/>
        <v>-0.6</v>
      </c>
      <c r="P183" s="3">
        <f t="shared" si="25"/>
        <v>77.199999999999974</v>
      </c>
      <c r="Q183" s="3">
        <v>148</v>
      </c>
      <c r="R183" s="27">
        <v>1</v>
      </c>
      <c r="S183" s="3">
        <f t="shared" si="21"/>
        <v>0.6</v>
      </c>
      <c r="T183" s="3">
        <f t="shared" si="22"/>
        <v>-0.6</v>
      </c>
      <c r="U183" s="28">
        <f t="shared" si="26"/>
        <v>102.82272727272719</v>
      </c>
      <c r="W183" s="3">
        <v>820.3</v>
      </c>
      <c r="Y183" s="3">
        <f t="shared" si="24"/>
        <v>80110.699999999924</v>
      </c>
      <c r="Z183" s="3">
        <f t="shared" si="18"/>
        <v>20554.2</v>
      </c>
      <c r="AA183" s="38">
        <v>8.9268498224195021</v>
      </c>
    </row>
    <row r="184" spans="1:28" s="21" customFormat="1" ht="15.75" thickBot="1" x14ac:dyDescent="0.3">
      <c r="A184" s="21">
        <v>5400</v>
      </c>
      <c r="B184" s="21">
        <v>24010</v>
      </c>
      <c r="C184" s="22">
        <v>42762</v>
      </c>
      <c r="D184" s="21" t="s">
        <v>37</v>
      </c>
      <c r="E184" s="38">
        <v>50</v>
      </c>
      <c r="F184" s="54"/>
      <c r="G184" s="21">
        <v>4.3</v>
      </c>
      <c r="H184" s="21">
        <v>-0.6</v>
      </c>
      <c r="I184" s="21">
        <v>7.3</v>
      </c>
      <c r="J184" s="21">
        <f t="shared" si="23"/>
        <v>1229.0999999999999</v>
      </c>
      <c r="K184" s="21">
        <f t="shared" si="19"/>
        <v>166.4</v>
      </c>
      <c r="L184" s="25"/>
      <c r="M184" s="21">
        <v>0.2</v>
      </c>
      <c r="N184" s="21">
        <v>0.5</v>
      </c>
      <c r="O184" s="21">
        <f t="shared" si="20"/>
        <v>-0.3</v>
      </c>
      <c r="P184" s="3">
        <f t="shared" si="25"/>
        <v>76.899999999999977</v>
      </c>
      <c r="Q184" s="21">
        <v>149</v>
      </c>
      <c r="R184" s="21">
        <v>1</v>
      </c>
      <c r="S184" s="21">
        <f t="shared" si="21"/>
        <v>0.5</v>
      </c>
      <c r="T184" s="21">
        <f t="shared" si="22"/>
        <v>-0.3</v>
      </c>
      <c r="U184" s="28">
        <f t="shared" si="26"/>
        <v>102.5227272727272</v>
      </c>
      <c r="W184" s="21">
        <v>546.9</v>
      </c>
      <c r="Y184" s="21">
        <f t="shared" si="24"/>
        <v>80657.599999999919</v>
      </c>
      <c r="Z184" s="21">
        <f t="shared" si="18"/>
        <v>21101.100000000002</v>
      </c>
      <c r="AA184" s="39">
        <v>8.9706590474786747</v>
      </c>
    </row>
    <row r="185" spans="1:28" s="3" customFormat="1" ht="15" customHeight="1" x14ac:dyDescent="0.25">
      <c r="A185" s="3">
        <v>5400</v>
      </c>
      <c r="B185" s="3">
        <v>24010</v>
      </c>
      <c r="C185" s="7">
        <v>42763</v>
      </c>
      <c r="F185" s="61" t="s">
        <v>48</v>
      </c>
      <c r="G185" s="3">
        <v>6.2</v>
      </c>
      <c r="H185" s="3">
        <v>4.9000000000000004</v>
      </c>
      <c r="I185" s="3">
        <v>7.4</v>
      </c>
      <c r="J185" s="3">
        <f t="shared" si="23"/>
        <v>1235.3</v>
      </c>
      <c r="K185" s="3">
        <f>G185</f>
        <v>6.2</v>
      </c>
      <c r="L185" s="14" t="s">
        <v>39</v>
      </c>
      <c r="M185" s="3">
        <v>0.1</v>
      </c>
      <c r="N185" s="3">
        <v>0.4</v>
      </c>
      <c r="O185" s="3">
        <f t="shared" si="20"/>
        <v>-0.30000000000000004</v>
      </c>
      <c r="P185" s="3">
        <f t="shared" si="25"/>
        <v>76.59999999999998</v>
      </c>
      <c r="Q185" s="3">
        <v>150</v>
      </c>
      <c r="R185" s="3">
        <f>1+((Q185-149)/62)*(1.15-1)</f>
        <v>1.0024193548387097</v>
      </c>
      <c r="S185" s="3">
        <f t="shared" si="21"/>
        <v>0.4009677419354839</v>
      </c>
      <c r="T185" s="28">
        <f t="shared" si="22"/>
        <v>-0.30096774193548392</v>
      </c>
      <c r="U185" s="28">
        <f t="shared" si="26"/>
        <v>102.22175953079172</v>
      </c>
      <c r="V185" s="33" t="s">
        <v>53</v>
      </c>
      <c r="W185" s="3">
        <v>253.2</v>
      </c>
      <c r="Y185" s="3">
        <f t="shared" si="24"/>
        <v>80910.799999999916</v>
      </c>
      <c r="Z185" s="3">
        <f>W185</f>
        <v>253.2</v>
      </c>
      <c r="AA185" s="3">
        <v>9.0152538394675457</v>
      </c>
      <c r="AB185" s="33" t="s">
        <v>58</v>
      </c>
    </row>
    <row r="186" spans="1:28" s="3" customFormat="1" x14ac:dyDescent="0.25">
      <c r="A186" s="3">
        <v>5400</v>
      </c>
      <c r="B186" s="3">
        <v>24010</v>
      </c>
      <c r="C186" s="7">
        <v>42764</v>
      </c>
      <c r="F186" s="62"/>
      <c r="G186" s="3">
        <v>5.2</v>
      </c>
      <c r="H186" s="3">
        <v>2.2999999999999998</v>
      </c>
      <c r="I186" s="3">
        <v>7.4</v>
      </c>
      <c r="J186" s="3">
        <f t="shared" si="23"/>
        <v>1240.5</v>
      </c>
      <c r="K186" s="3">
        <f t="shared" si="19"/>
        <v>11.4</v>
      </c>
      <c r="L186" s="11">
        <v>496.6</v>
      </c>
      <c r="M186" s="3">
        <v>0.4</v>
      </c>
      <c r="N186" s="3">
        <v>0.1</v>
      </c>
      <c r="O186" s="3">
        <f t="shared" si="20"/>
        <v>0.30000000000000004</v>
      </c>
      <c r="P186" s="3">
        <f t="shared" si="25"/>
        <v>76.899999999999977</v>
      </c>
      <c r="Q186" s="3">
        <v>151</v>
      </c>
      <c r="R186" s="3">
        <f t="shared" ref="R186:R246" si="27">1+((Q186-149)/62)*(1.15-1)</f>
        <v>1.0048387096774194</v>
      </c>
      <c r="S186" s="3">
        <f t="shared" si="21"/>
        <v>0.10048387096774195</v>
      </c>
      <c r="T186" s="28">
        <f t="shared" si="22"/>
        <v>0.2995161290322581</v>
      </c>
      <c r="U186" s="28">
        <f t="shared" si="26"/>
        <v>102.52127565982397</v>
      </c>
      <c r="V186">
        <v>0</v>
      </c>
      <c r="W186" s="3">
        <v>68.8</v>
      </c>
      <c r="Y186" s="3">
        <f t="shared" si="24"/>
        <v>80979.599999999919</v>
      </c>
      <c r="Z186" s="3">
        <f t="shared" si="18"/>
        <v>322</v>
      </c>
      <c r="AA186" s="3">
        <v>9.0606103255882218</v>
      </c>
      <c r="AB186">
        <v>33585.9</v>
      </c>
    </row>
    <row r="187" spans="1:28" s="3" customFormat="1" x14ac:dyDescent="0.25">
      <c r="A187" s="3">
        <v>5400</v>
      </c>
      <c r="B187" s="3">
        <v>24010</v>
      </c>
      <c r="C187" s="7">
        <v>42765</v>
      </c>
      <c r="F187" s="62"/>
      <c r="G187" s="3">
        <v>9</v>
      </c>
      <c r="H187" s="3">
        <v>7.2</v>
      </c>
      <c r="I187" s="3">
        <v>9.9</v>
      </c>
      <c r="J187" s="3">
        <f t="shared" si="23"/>
        <v>1249.5</v>
      </c>
      <c r="K187" s="3">
        <f t="shared" si="19"/>
        <v>20.399999999999999</v>
      </c>
      <c r="L187" s="14" t="s">
        <v>40</v>
      </c>
      <c r="M187" s="3">
        <v>2.2000000000000002</v>
      </c>
      <c r="N187" s="3">
        <v>0.1</v>
      </c>
      <c r="O187" s="3">
        <f t="shared" si="20"/>
        <v>2.1</v>
      </c>
      <c r="P187" s="3">
        <f t="shared" si="25"/>
        <v>78.999999999999972</v>
      </c>
      <c r="Q187" s="3">
        <v>152</v>
      </c>
      <c r="R187" s="3">
        <f t="shared" si="27"/>
        <v>1.0072580645161291</v>
      </c>
      <c r="S187" s="3">
        <f t="shared" si="21"/>
        <v>0.10072580645161291</v>
      </c>
      <c r="T187" s="28">
        <f t="shared" si="22"/>
        <v>2.0992741935483874</v>
      </c>
      <c r="U187" s="28">
        <f t="shared" si="26"/>
        <v>104.62054985337235</v>
      </c>
      <c r="V187" s="33" t="s">
        <v>54</v>
      </c>
      <c r="W187" s="3">
        <v>125.3</v>
      </c>
      <c r="Y187" s="3">
        <f t="shared" si="24"/>
        <v>81104.899999999921</v>
      </c>
      <c r="Z187" s="3">
        <f t="shared" si="18"/>
        <v>447.3</v>
      </c>
      <c r="AA187" s="3">
        <v>9.1067048718718819</v>
      </c>
      <c r="AB187" s="33" t="s">
        <v>59</v>
      </c>
    </row>
    <row r="188" spans="1:28" s="3" customFormat="1" x14ac:dyDescent="0.25">
      <c r="A188" s="3">
        <v>5400</v>
      </c>
      <c r="B188" s="3">
        <v>24010</v>
      </c>
      <c r="C188" s="7">
        <v>42766</v>
      </c>
      <c r="F188" s="62"/>
      <c r="G188" s="3">
        <v>10.7</v>
      </c>
      <c r="H188" s="3">
        <v>9.6999999999999993</v>
      </c>
      <c r="I188" s="3">
        <v>12.5</v>
      </c>
      <c r="J188" s="3">
        <f t="shared" si="23"/>
        <v>1260.2</v>
      </c>
      <c r="K188" s="3">
        <f t="shared" si="19"/>
        <v>31.099999999999998</v>
      </c>
      <c r="L188" s="11">
        <f>AVERAGE(G185:G246)</f>
        <v>8.0096774193548388</v>
      </c>
      <c r="M188" s="3">
        <v>0.2</v>
      </c>
      <c r="N188" s="3">
        <v>0.1</v>
      </c>
      <c r="O188" s="3">
        <f t="shared" si="20"/>
        <v>0.1</v>
      </c>
      <c r="P188" s="3">
        <f t="shared" si="25"/>
        <v>79.099999999999966</v>
      </c>
      <c r="Q188" s="3">
        <v>153</v>
      </c>
      <c r="R188" s="3">
        <f t="shared" si="27"/>
        <v>1.0096774193548388</v>
      </c>
      <c r="S188" s="3">
        <f t="shared" si="21"/>
        <v>0.10096774193548388</v>
      </c>
      <c r="T188" s="28">
        <f t="shared" si="22"/>
        <v>9.9032258064516127E-2</v>
      </c>
      <c r="U188" s="28">
        <f t="shared" si="26"/>
        <v>104.71958211143686</v>
      </c>
      <c r="V188">
        <v>0</v>
      </c>
      <c r="W188" s="3">
        <v>78.099999999999994</v>
      </c>
      <c r="Y188" s="3">
        <f t="shared" si="24"/>
        <v>81182.999999999927</v>
      </c>
      <c r="Z188" s="3">
        <f t="shared" si="18"/>
        <v>525.4</v>
      </c>
      <c r="AA188" s="3">
        <v>9.1535141102383459</v>
      </c>
      <c r="AB188">
        <f>(AB186/100)/L186</f>
        <v>0.67631695529601288</v>
      </c>
    </row>
    <row r="189" spans="1:28" s="3" customFormat="1" x14ac:dyDescent="0.25">
      <c r="A189" s="3">
        <v>5400</v>
      </c>
      <c r="B189" s="3">
        <v>24010</v>
      </c>
      <c r="C189" s="7">
        <v>42767</v>
      </c>
      <c r="F189" s="62"/>
      <c r="G189" s="3">
        <v>8.6999999999999993</v>
      </c>
      <c r="H189" s="3">
        <v>7.8</v>
      </c>
      <c r="I189" s="3">
        <v>9.5</v>
      </c>
      <c r="J189" s="3">
        <f t="shared" si="23"/>
        <v>1268.9000000000001</v>
      </c>
      <c r="K189" s="3">
        <f t="shared" si="19"/>
        <v>39.799999999999997</v>
      </c>
      <c r="L189" s="14" t="s">
        <v>41</v>
      </c>
      <c r="M189" s="3">
        <v>0.1</v>
      </c>
      <c r="N189" s="3">
        <v>0.3</v>
      </c>
      <c r="O189" s="3">
        <f t="shared" si="20"/>
        <v>-0.19999999999999998</v>
      </c>
      <c r="P189" s="3">
        <f t="shared" si="25"/>
        <v>78.899999999999963</v>
      </c>
      <c r="Q189" s="3">
        <v>154</v>
      </c>
      <c r="R189" s="3">
        <f t="shared" si="27"/>
        <v>1.0120967741935485</v>
      </c>
      <c r="S189" s="3">
        <f t="shared" si="21"/>
        <v>0.30362903225806454</v>
      </c>
      <c r="T189" s="28">
        <f t="shared" si="22"/>
        <v>-0.20362903225806453</v>
      </c>
      <c r="U189" s="28">
        <f t="shared" si="26"/>
        <v>104.5159530791788</v>
      </c>
      <c r="V189" s="33" t="s">
        <v>55</v>
      </c>
      <c r="W189" s="3">
        <v>402.8</v>
      </c>
      <c r="Y189" s="3">
        <f t="shared" si="24"/>
        <v>81585.79999999993</v>
      </c>
      <c r="Z189" s="3">
        <f t="shared" si="18"/>
        <v>928.2</v>
      </c>
      <c r="AA189" s="3">
        <v>9.2010149633532716</v>
      </c>
      <c r="AB189" s="33" t="s">
        <v>60</v>
      </c>
    </row>
    <row r="190" spans="1:28" s="3" customFormat="1" x14ac:dyDescent="0.25">
      <c r="A190" s="3">
        <v>5400</v>
      </c>
      <c r="B190" s="3">
        <v>24010</v>
      </c>
      <c r="C190" s="7">
        <v>42768</v>
      </c>
      <c r="F190" s="62"/>
      <c r="G190" s="3">
        <v>9.1999999999999993</v>
      </c>
      <c r="H190" s="3">
        <v>7.3</v>
      </c>
      <c r="I190" s="3">
        <v>10.9</v>
      </c>
      <c r="J190" s="3">
        <f t="shared" si="23"/>
        <v>1278.1000000000001</v>
      </c>
      <c r="K190" s="3">
        <f t="shared" si="19"/>
        <v>49</v>
      </c>
      <c r="L190" s="12">
        <f>MIN(H185:H246)</f>
        <v>-2.4</v>
      </c>
      <c r="M190" s="3">
        <v>1.2</v>
      </c>
      <c r="N190" s="3">
        <v>0.4</v>
      </c>
      <c r="O190" s="3">
        <f t="shared" si="20"/>
        <v>0.79999999999999993</v>
      </c>
      <c r="P190" s="3">
        <f t="shared" si="25"/>
        <v>79.69999999999996</v>
      </c>
      <c r="Q190" s="3">
        <v>155</v>
      </c>
      <c r="R190" s="3">
        <f t="shared" si="27"/>
        <v>1.014516129032258</v>
      </c>
      <c r="S190" s="3">
        <f t="shared" si="21"/>
        <v>0.40580645161290319</v>
      </c>
      <c r="T190" s="28">
        <f t="shared" si="22"/>
        <v>0.79419354838709677</v>
      </c>
      <c r="U190" s="28">
        <f t="shared" si="26"/>
        <v>105.3101466275659</v>
      </c>
      <c r="V190" s="28">
        <f>MIN(U185:U246)</f>
        <v>102.22175953079172</v>
      </c>
      <c r="W190" s="3">
        <v>107.9</v>
      </c>
      <c r="Y190" s="3">
        <f t="shared" si="24"/>
        <v>81693.699999999924</v>
      </c>
      <c r="Z190" s="3">
        <f t="shared" ref="Z190:Z246" si="28">Z189+W190</f>
        <v>1036.1000000000001</v>
      </c>
      <c r="AA190" s="3">
        <v>9.2491846673155411</v>
      </c>
      <c r="AB190">
        <v>53</v>
      </c>
    </row>
    <row r="191" spans="1:28" s="3" customFormat="1" x14ac:dyDescent="0.25">
      <c r="A191" s="3">
        <v>5400</v>
      </c>
      <c r="B191" s="3">
        <v>24010</v>
      </c>
      <c r="C191" s="7">
        <v>42769</v>
      </c>
      <c r="F191" s="62"/>
      <c r="G191" s="3">
        <v>7.4</v>
      </c>
      <c r="H191" s="3">
        <v>6.3</v>
      </c>
      <c r="I191" s="3">
        <v>9.4</v>
      </c>
      <c r="J191" s="3">
        <f t="shared" si="23"/>
        <v>1285.5000000000002</v>
      </c>
      <c r="K191" s="3">
        <f t="shared" si="19"/>
        <v>56.4</v>
      </c>
      <c r="L191" s="14" t="s">
        <v>42</v>
      </c>
      <c r="M191" s="3">
        <v>9.9</v>
      </c>
      <c r="N191" s="3">
        <v>0.7</v>
      </c>
      <c r="O191" s="3">
        <f t="shared" si="20"/>
        <v>9.2000000000000011</v>
      </c>
      <c r="P191" s="3">
        <f t="shared" si="25"/>
        <v>88.899999999999963</v>
      </c>
      <c r="Q191" s="3">
        <v>156</v>
      </c>
      <c r="R191" s="3">
        <f t="shared" si="27"/>
        <v>1.0169354838709677</v>
      </c>
      <c r="S191" s="3">
        <f t="shared" si="21"/>
        <v>0.71185483870967736</v>
      </c>
      <c r="T191" s="28">
        <f t="shared" si="22"/>
        <v>9.1881451612903238</v>
      </c>
      <c r="U191" s="28">
        <f t="shared" si="26"/>
        <v>114.49829178885622</v>
      </c>
      <c r="V191" s="33" t="s">
        <v>56</v>
      </c>
      <c r="W191" s="3">
        <v>428.3</v>
      </c>
      <c r="Y191" s="3">
        <f t="shared" si="24"/>
        <v>82121.999999999927</v>
      </c>
      <c r="Z191" s="3">
        <f t="shared" si="28"/>
        <v>1464.4</v>
      </c>
      <c r="AA191" s="3">
        <v>9.2980007922156727</v>
      </c>
    </row>
    <row r="192" spans="1:28" s="3" customFormat="1" x14ac:dyDescent="0.25">
      <c r="A192" s="3">
        <v>5400</v>
      </c>
      <c r="B192" s="3">
        <v>24010</v>
      </c>
      <c r="C192" s="7">
        <v>42770</v>
      </c>
      <c r="F192" s="62"/>
      <c r="G192" s="3">
        <v>5.5</v>
      </c>
      <c r="H192" s="3">
        <v>5.3</v>
      </c>
      <c r="I192" s="3">
        <v>5.9</v>
      </c>
      <c r="J192" s="3">
        <f t="shared" si="23"/>
        <v>1291.0000000000002</v>
      </c>
      <c r="K192" s="3">
        <f t="shared" ref="K192:K255" si="29">K191+G192</f>
        <v>61.9</v>
      </c>
      <c r="L192" s="11">
        <f>MAX(I185:I246)</f>
        <v>21.1</v>
      </c>
      <c r="M192" s="3">
        <v>6.1</v>
      </c>
      <c r="N192" s="3">
        <v>0.3</v>
      </c>
      <c r="O192" s="3">
        <f t="shared" si="20"/>
        <v>5.8</v>
      </c>
      <c r="P192" s="3">
        <f t="shared" si="25"/>
        <v>94.69999999999996</v>
      </c>
      <c r="Q192" s="3">
        <v>157</v>
      </c>
      <c r="R192" s="3">
        <f t="shared" si="27"/>
        <v>1.0193548387096774</v>
      </c>
      <c r="S192" s="3">
        <f t="shared" si="21"/>
        <v>0.30580645161290321</v>
      </c>
      <c r="T192" s="28">
        <f t="shared" si="22"/>
        <v>5.7941935483870965</v>
      </c>
      <c r="U192" s="28">
        <f t="shared" si="26"/>
        <v>120.29248533724332</v>
      </c>
      <c r="V192" s="28">
        <f>MAX(U185:U246)</f>
        <v>153.9</v>
      </c>
      <c r="W192" s="3">
        <v>137.9</v>
      </c>
      <c r="Y192" s="3">
        <f t="shared" si="24"/>
        <v>82259.899999999921</v>
      </c>
      <c r="Z192" s="3">
        <f t="shared" si="28"/>
        <v>1602.3000000000002</v>
      </c>
      <c r="AA192" s="3">
        <v>9.3474412606134152</v>
      </c>
    </row>
    <row r="193" spans="1:27" s="3" customFormat="1" x14ac:dyDescent="0.25">
      <c r="A193" s="3">
        <v>5400</v>
      </c>
      <c r="B193" s="3">
        <v>24010</v>
      </c>
      <c r="C193" s="7">
        <v>42771</v>
      </c>
      <c r="F193" s="62"/>
      <c r="G193" s="3">
        <v>6.6</v>
      </c>
      <c r="H193" s="3">
        <v>5</v>
      </c>
      <c r="I193" s="3">
        <v>9.3000000000000007</v>
      </c>
      <c r="J193" s="3">
        <f t="shared" si="23"/>
        <v>1297.6000000000001</v>
      </c>
      <c r="K193" s="3">
        <f t="shared" si="29"/>
        <v>68.5</v>
      </c>
      <c r="L193" s="14" t="s">
        <v>43</v>
      </c>
      <c r="M193" s="3">
        <v>1.6</v>
      </c>
      <c r="N193" s="3">
        <v>0.5</v>
      </c>
      <c r="O193" s="3">
        <f t="shared" si="20"/>
        <v>1.1000000000000001</v>
      </c>
      <c r="P193" s="3">
        <f t="shared" si="25"/>
        <v>95.799999999999955</v>
      </c>
      <c r="Q193" s="3">
        <v>158</v>
      </c>
      <c r="R193" s="3">
        <f t="shared" si="27"/>
        <v>1.0217741935483871</v>
      </c>
      <c r="S193" s="3">
        <f t="shared" si="21"/>
        <v>0.51088709677419353</v>
      </c>
      <c r="T193" s="28">
        <f t="shared" si="22"/>
        <v>1.0891129032258067</v>
      </c>
      <c r="U193" s="28">
        <f t="shared" si="26"/>
        <v>121.38159824046913</v>
      </c>
      <c r="V193" s="33" t="s">
        <v>57</v>
      </c>
      <c r="W193" s="3">
        <v>202.6</v>
      </c>
      <c r="Y193" s="3">
        <f t="shared" si="24"/>
        <v>82462.499999999927</v>
      </c>
      <c r="Z193" s="3">
        <f t="shared" si="28"/>
        <v>1804.9</v>
      </c>
      <c r="AA193" s="3">
        <v>9.397484363988978</v>
      </c>
    </row>
    <row r="194" spans="1:27" s="3" customFormat="1" x14ac:dyDescent="0.25">
      <c r="A194" s="3">
        <v>5400</v>
      </c>
      <c r="B194" s="3">
        <v>24010</v>
      </c>
      <c r="C194" s="7">
        <v>42772</v>
      </c>
      <c r="F194" s="62"/>
      <c r="G194" s="3">
        <v>5.6</v>
      </c>
      <c r="H194" s="3">
        <v>3.8</v>
      </c>
      <c r="I194" s="3">
        <v>7.3</v>
      </c>
      <c r="J194" s="3">
        <f t="shared" si="23"/>
        <v>1303.2</v>
      </c>
      <c r="K194" s="3">
        <f t="shared" si="29"/>
        <v>74.099999999999994</v>
      </c>
      <c r="L194" s="11">
        <v>0</v>
      </c>
      <c r="M194" s="3">
        <v>5.4</v>
      </c>
      <c r="N194" s="3">
        <v>0.4</v>
      </c>
      <c r="O194" s="3">
        <f t="shared" si="20"/>
        <v>5</v>
      </c>
      <c r="P194" s="3">
        <f t="shared" si="25"/>
        <v>100.79999999999995</v>
      </c>
      <c r="Q194" s="3">
        <v>159</v>
      </c>
      <c r="R194" s="3">
        <f t="shared" si="27"/>
        <v>1.0241935483870968</v>
      </c>
      <c r="S194" s="3">
        <f t="shared" si="21"/>
        <v>0.4096774193548387</v>
      </c>
      <c r="T194" s="28">
        <f t="shared" si="22"/>
        <v>4.9903225806451612</v>
      </c>
      <c r="U194" s="28">
        <f t="shared" si="26"/>
        <v>126.37192082111429</v>
      </c>
      <c r="V194" s="28">
        <f>AVERAGE(U185:U246)</f>
        <v>132.6378426828114</v>
      </c>
      <c r="W194" s="3">
        <v>316.60000000000002</v>
      </c>
      <c r="Y194" s="3">
        <f t="shared" si="24"/>
        <v>82779.099999999933</v>
      </c>
      <c r="Z194" s="3">
        <f t="shared" si="28"/>
        <v>2121.5</v>
      </c>
      <c r="AA194" s="3">
        <v>9.448108777227672</v>
      </c>
    </row>
    <row r="195" spans="1:27" s="3" customFormat="1" x14ac:dyDescent="0.25">
      <c r="A195" s="3">
        <v>5400</v>
      </c>
      <c r="B195" s="3">
        <v>24010</v>
      </c>
      <c r="C195" s="7">
        <v>42773</v>
      </c>
      <c r="F195" s="62"/>
      <c r="G195" s="3">
        <v>7</v>
      </c>
      <c r="H195" s="3">
        <v>4.9000000000000004</v>
      </c>
      <c r="I195" s="3">
        <v>10.5</v>
      </c>
      <c r="J195" s="3">
        <f t="shared" si="23"/>
        <v>1310.2</v>
      </c>
      <c r="K195" s="3">
        <f t="shared" si="29"/>
        <v>81.099999999999994</v>
      </c>
      <c r="L195" s="14" t="s">
        <v>44</v>
      </c>
      <c r="M195" s="3">
        <v>0.6</v>
      </c>
      <c r="N195" s="3">
        <v>0.7</v>
      </c>
      <c r="O195" s="3">
        <f t="shared" si="20"/>
        <v>-9.9999999999999978E-2</v>
      </c>
      <c r="P195" s="3">
        <f t="shared" si="25"/>
        <v>100.69999999999996</v>
      </c>
      <c r="Q195" s="3">
        <v>160</v>
      </c>
      <c r="R195" s="3">
        <f t="shared" si="27"/>
        <v>1.0266129032258065</v>
      </c>
      <c r="S195" s="3">
        <f t="shared" si="21"/>
        <v>0.71862903225806452</v>
      </c>
      <c r="T195" s="28">
        <f t="shared" si="22"/>
        <v>-0.11862903225806454</v>
      </c>
      <c r="U195" s="28">
        <f t="shared" si="26"/>
        <v>126.25329178885622</v>
      </c>
      <c r="W195" s="3">
        <v>487</v>
      </c>
      <c r="Y195" s="3">
        <f t="shared" si="24"/>
        <v>83266.099999999933</v>
      </c>
      <c r="Z195" s="3">
        <f t="shared" si="28"/>
        <v>2608.5</v>
      </c>
      <c r="AA195" s="3">
        <v>9.4992935712022106</v>
      </c>
    </row>
    <row r="196" spans="1:27" s="3" customFormat="1" x14ac:dyDescent="0.25">
      <c r="A196" s="3">
        <v>5400</v>
      </c>
      <c r="B196" s="3">
        <v>24010</v>
      </c>
      <c r="C196" s="7">
        <v>42774</v>
      </c>
      <c r="F196" s="62"/>
      <c r="G196" s="3">
        <v>5.7</v>
      </c>
      <c r="H196" s="3">
        <v>4.5</v>
      </c>
      <c r="I196" s="3">
        <v>7.4</v>
      </c>
      <c r="J196" s="3">
        <f t="shared" si="23"/>
        <v>1315.9</v>
      </c>
      <c r="K196" s="3">
        <f t="shared" si="29"/>
        <v>86.8</v>
      </c>
      <c r="L196" s="11">
        <v>24</v>
      </c>
      <c r="M196" s="3">
        <v>0</v>
      </c>
      <c r="N196" s="3">
        <v>0.5</v>
      </c>
      <c r="O196" s="3">
        <f t="shared" si="20"/>
        <v>-0.5</v>
      </c>
      <c r="P196" s="3">
        <f t="shared" si="25"/>
        <v>100.19999999999996</v>
      </c>
      <c r="Q196" s="3">
        <v>161</v>
      </c>
      <c r="R196" s="3">
        <f t="shared" si="27"/>
        <v>1.0290322580645161</v>
      </c>
      <c r="S196" s="3">
        <f t="shared" si="21"/>
        <v>0.51451612903225807</v>
      </c>
      <c r="T196" s="28">
        <f t="shared" si="22"/>
        <v>-0.51451612903225807</v>
      </c>
      <c r="U196" s="28">
        <f t="shared" si="26"/>
        <v>125.73877565982396</v>
      </c>
      <c r="V196" s="45">
        <f>(V194*100)/153.9</f>
        <v>86.184433192210122</v>
      </c>
      <c r="W196" s="3">
        <v>241.5</v>
      </c>
      <c r="Y196" s="3">
        <f t="shared" si="24"/>
        <v>83507.599999999933</v>
      </c>
      <c r="Z196" s="3">
        <f t="shared" si="28"/>
        <v>2850</v>
      </c>
      <c r="AA196" s="3">
        <v>9.5510182235205381</v>
      </c>
    </row>
    <row r="197" spans="1:27" s="3" customFormat="1" x14ac:dyDescent="0.25">
      <c r="A197" s="3">
        <v>5400</v>
      </c>
      <c r="B197" s="3">
        <v>24010</v>
      </c>
      <c r="C197" s="7">
        <v>42775</v>
      </c>
      <c r="F197" s="62"/>
      <c r="G197" s="3">
        <v>2.4</v>
      </c>
      <c r="H197" s="3">
        <v>1.3</v>
      </c>
      <c r="I197" s="3">
        <v>4.3</v>
      </c>
      <c r="J197" s="3">
        <f t="shared" si="23"/>
        <v>1318.3000000000002</v>
      </c>
      <c r="K197" s="3">
        <f t="shared" si="29"/>
        <v>89.2</v>
      </c>
      <c r="L197" s="14" t="s">
        <v>45</v>
      </c>
      <c r="M197" s="3">
        <v>0</v>
      </c>
      <c r="N197" s="3">
        <v>0.3</v>
      </c>
      <c r="O197" s="3">
        <f t="shared" si="20"/>
        <v>-0.3</v>
      </c>
      <c r="P197" s="3">
        <f t="shared" si="25"/>
        <v>99.899999999999963</v>
      </c>
      <c r="Q197" s="3">
        <v>162</v>
      </c>
      <c r="R197" s="3">
        <f t="shared" si="27"/>
        <v>1.0314516129032258</v>
      </c>
      <c r="S197" s="3">
        <f t="shared" si="21"/>
        <v>0.30943548387096775</v>
      </c>
      <c r="T197" s="28">
        <f t="shared" si="22"/>
        <v>-0.30943548387096775</v>
      </c>
      <c r="U197" s="28">
        <f t="shared" si="26"/>
        <v>125.42934017595299</v>
      </c>
      <c r="W197" s="3">
        <v>240.1</v>
      </c>
      <c r="Y197" s="3">
        <f t="shared" si="24"/>
        <v>83747.699999999939</v>
      </c>
      <c r="Z197" s="3">
        <f t="shared" si="28"/>
        <v>3090.1</v>
      </c>
      <c r="AA197" s="3">
        <v>9.6032626275097996</v>
      </c>
    </row>
    <row r="198" spans="1:27" s="3" customFormat="1" x14ac:dyDescent="0.25">
      <c r="A198" s="3">
        <v>5400</v>
      </c>
      <c r="B198" s="3">
        <v>24010</v>
      </c>
      <c r="C198" s="7">
        <v>42776</v>
      </c>
      <c r="F198" s="62"/>
      <c r="G198" s="3">
        <v>0.5</v>
      </c>
      <c r="H198" s="3">
        <v>-0.1</v>
      </c>
      <c r="I198" s="3">
        <v>2</v>
      </c>
      <c r="J198" s="3">
        <f t="shared" si="23"/>
        <v>1318.8000000000002</v>
      </c>
      <c r="K198" s="3">
        <f t="shared" si="29"/>
        <v>89.7</v>
      </c>
      <c r="L198" s="11">
        <v>4</v>
      </c>
      <c r="M198" s="3">
        <v>0</v>
      </c>
      <c r="N198" s="3">
        <v>0.3</v>
      </c>
      <c r="O198" s="3">
        <f t="shared" si="20"/>
        <v>-0.3</v>
      </c>
      <c r="P198" s="3">
        <f t="shared" si="25"/>
        <v>99.599999999999966</v>
      </c>
      <c r="Q198" s="3">
        <v>163</v>
      </c>
      <c r="R198" s="3">
        <f t="shared" si="27"/>
        <v>1.0338709677419355</v>
      </c>
      <c r="S198" s="3">
        <f t="shared" si="21"/>
        <v>0.31016129032258066</v>
      </c>
      <c r="T198" s="28">
        <f t="shared" si="22"/>
        <v>-0.31016129032258066</v>
      </c>
      <c r="U198" s="28">
        <f t="shared" si="26"/>
        <v>125.1191788856304</v>
      </c>
      <c r="W198" s="3">
        <v>220.8</v>
      </c>
      <c r="Y198" s="3">
        <f t="shared" si="24"/>
        <v>83968.499999999942</v>
      </c>
      <c r="Z198" s="3">
        <f t="shared" si="28"/>
        <v>3310.9</v>
      </c>
      <c r="AA198" s="3">
        <v>9.6560070995092708</v>
      </c>
    </row>
    <row r="199" spans="1:27" s="3" customFormat="1" x14ac:dyDescent="0.25">
      <c r="A199" s="3">
        <v>5400</v>
      </c>
      <c r="B199" s="3">
        <v>24010</v>
      </c>
      <c r="C199" s="7">
        <v>42777</v>
      </c>
      <c r="F199" s="62"/>
      <c r="G199" s="3">
        <v>0.2</v>
      </c>
      <c r="H199" s="3">
        <v>-1.5</v>
      </c>
      <c r="I199" s="3">
        <v>1.1000000000000001</v>
      </c>
      <c r="J199" s="3">
        <f t="shared" si="23"/>
        <v>1319.0000000000002</v>
      </c>
      <c r="K199" s="3">
        <f t="shared" si="29"/>
        <v>89.9</v>
      </c>
      <c r="L199" s="23"/>
      <c r="M199" s="3">
        <v>0</v>
      </c>
      <c r="N199" s="3">
        <v>0.2</v>
      </c>
      <c r="O199" s="3">
        <f t="shared" si="20"/>
        <v>-0.2</v>
      </c>
      <c r="P199" s="3">
        <f t="shared" si="25"/>
        <v>99.399999999999963</v>
      </c>
      <c r="Q199" s="3">
        <v>164</v>
      </c>
      <c r="R199" s="3">
        <f t="shared" si="27"/>
        <v>1.0362903225806452</v>
      </c>
      <c r="S199" s="3">
        <f t="shared" si="21"/>
        <v>0.20725806451612905</v>
      </c>
      <c r="T199" s="28">
        <f t="shared" si="22"/>
        <v>-0.20725806451612905</v>
      </c>
      <c r="U199" s="28">
        <f t="shared" si="26"/>
        <v>124.91192082111428</v>
      </c>
      <c r="W199" s="3">
        <v>254.1</v>
      </c>
      <c r="Y199" s="3">
        <f t="shared" si="24"/>
        <v>84222.599999999948</v>
      </c>
      <c r="Z199" s="3">
        <f t="shared" si="28"/>
        <v>3565</v>
      </c>
      <c r="AA199" s="3">
        <v>9.7092323845463948</v>
      </c>
    </row>
    <row r="200" spans="1:27" s="3" customFormat="1" x14ac:dyDescent="0.25">
      <c r="A200" s="3">
        <v>5400</v>
      </c>
      <c r="B200" s="3">
        <v>24010</v>
      </c>
      <c r="C200" s="7">
        <v>42778</v>
      </c>
      <c r="F200" s="62"/>
      <c r="G200" s="3">
        <v>3.3</v>
      </c>
      <c r="H200" s="3">
        <v>0</v>
      </c>
      <c r="I200" s="3">
        <v>6.9</v>
      </c>
      <c r="J200" s="3">
        <f t="shared" si="23"/>
        <v>1322.3000000000002</v>
      </c>
      <c r="K200" s="3">
        <f t="shared" si="29"/>
        <v>93.2</v>
      </c>
      <c r="L200" s="23"/>
      <c r="M200" s="3">
        <v>0</v>
      </c>
      <c r="N200" s="3">
        <v>0.4</v>
      </c>
      <c r="O200" s="3">
        <f t="shared" si="20"/>
        <v>-0.4</v>
      </c>
      <c r="P200" s="3">
        <f t="shared" si="25"/>
        <v>98.999999999999957</v>
      </c>
      <c r="Q200" s="3">
        <v>165</v>
      </c>
      <c r="R200" s="3">
        <f t="shared" si="27"/>
        <v>1.0387096774193547</v>
      </c>
      <c r="S200" s="3">
        <f t="shared" si="21"/>
        <v>0.41548387096774192</v>
      </c>
      <c r="T200" s="28">
        <f t="shared" si="22"/>
        <v>-0.41548387096774192</v>
      </c>
      <c r="U200" s="28">
        <f t="shared" si="26"/>
        <v>124.49643695014653</v>
      </c>
      <c r="W200" s="3">
        <v>137.9</v>
      </c>
      <c r="Y200" s="3">
        <f t="shared" si="24"/>
        <v>84360.499999999942</v>
      </c>
      <c r="Z200" s="3">
        <f t="shared" si="28"/>
        <v>3702.9</v>
      </c>
      <c r="AA200" s="3">
        <v>9.7629196604709403</v>
      </c>
    </row>
    <row r="201" spans="1:27" s="3" customFormat="1" x14ac:dyDescent="0.25">
      <c r="A201" s="3">
        <v>5400</v>
      </c>
      <c r="B201" s="3">
        <v>24010</v>
      </c>
      <c r="C201" s="7">
        <v>42779</v>
      </c>
      <c r="F201" s="62"/>
      <c r="G201" s="3">
        <v>6.4</v>
      </c>
      <c r="H201" s="3">
        <v>3.5</v>
      </c>
      <c r="I201" s="3">
        <v>9.5</v>
      </c>
      <c r="J201" s="3">
        <f t="shared" si="23"/>
        <v>1328.7000000000003</v>
      </c>
      <c r="K201" s="3">
        <f t="shared" si="29"/>
        <v>99.600000000000009</v>
      </c>
      <c r="L201" s="23"/>
      <c r="M201" s="3">
        <v>0.3</v>
      </c>
      <c r="N201" s="3">
        <v>1.2</v>
      </c>
      <c r="O201" s="3">
        <f t="shared" si="20"/>
        <v>-0.89999999999999991</v>
      </c>
      <c r="P201" s="3">
        <f t="shared" si="25"/>
        <v>98.099999999999952</v>
      </c>
      <c r="Q201" s="3">
        <v>166</v>
      </c>
      <c r="R201" s="3">
        <f t="shared" si="27"/>
        <v>1.0411290322580644</v>
      </c>
      <c r="S201" s="3">
        <f t="shared" si="21"/>
        <v>1.2493548387096773</v>
      </c>
      <c r="T201" s="28">
        <f t="shared" si="22"/>
        <v>-0.9493548387096773</v>
      </c>
      <c r="U201" s="28">
        <f t="shared" si="26"/>
        <v>123.54708211143685</v>
      </c>
      <c r="W201" s="3">
        <v>895.9</v>
      </c>
      <c r="Y201" s="3">
        <f t="shared" si="24"/>
        <v>85256.399999999936</v>
      </c>
      <c r="Z201" s="3">
        <f t="shared" si="28"/>
        <v>4598.8</v>
      </c>
      <c r="AA201" s="3">
        <v>9.8170505406225779</v>
      </c>
    </row>
    <row r="202" spans="1:27" s="3" customFormat="1" x14ac:dyDescent="0.25">
      <c r="A202" s="3">
        <v>5400</v>
      </c>
      <c r="B202" s="3">
        <v>24010</v>
      </c>
      <c r="C202" s="7">
        <v>42780</v>
      </c>
      <c r="F202" s="62"/>
      <c r="G202" s="3">
        <v>9.1999999999999993</v>
      </c>
      <c r="H202" s="3">
        <v>5.4</v>
      </c>
      <c r="I202" s="3">
        <v>12.3</v>
      </c>
      <c r="J202" s="3">
        <f t="shared" si="23"/>
        <v>1337.9000000000003</v>
      </c>
      <c r="K202" s="3">
        <f t="shared" si="29"/>
        <v>108.80000000000001</v>
      </c>
      <c r="L202" s="23"/>
      <c r="M202" s="3">
        <v>0</v>
      </c>
      <c r="N202" s="3">
        <v>0.4</v>
      </c>
      <c r="O202" s="3">
        <f t="shared" si="20"/>
        <v>-0.4</v>
      </c>
      <c r="P202" s="3">
        <f t="shared" si="25"/>
        <v>97.699999999999946</v>
      </c>
      <c r="Q202" s="3">
        <v>167</v>
      </c>
      <c r="R202" s="3">
        <f t="shared" si="27"/>
        <v>1.0435483870967741</v>
      </c>
      <c r="S202" s="3">
        <f t="shared" si="21"/>
        <v>0.41741935483870968</v>
      </c>
      <c r="T202" s="28">
        <f t="shared" si="22"/>
        <v>-0.41741935483870968</v>
      </c>
      <c r="U202" s="28">
        <f t="shared" si="26"/>
        <v>123.12966275659814</v>
      </c>
      <c r="W202" s="3">
        <v>274.5</v>
      </c>
      <c r="Y202" s="3">
        <f t="shared" si="24"/>
        <v>85530.899999999936</v>
      </c>
      <c r="Z202" s="3">
        <f t="shared" si="28"/>
        <v>4873.3</v>
      </c>
      <c r="AA202" s="3">
        <v>9.8716070751068781</v>
      </c>
    </row>
    <row r="203" spans="1:27" s="3" customFormat="1" x14ac:dyDescent="0.25">
      <c r="A203" s="3">
        <v>5400</v>
      </c>
      <c r="B203" s="3">
        <v>24010</v>
      </c>
      <c r="C203" s="7">
        <v>42781</v>
      </c>
      <c r="F203" s="62"/>
      <c r="G203" s="3">
        <v>10.3</v>
      </c>
      <c r="H203" s="3">
        <v>7.8</v>
      </c>
      <c r="I203" s="3">
        <v>14.7</v>
      </c>
      <c r="J203" s="3">
        <f t="shared" si="23"/>
        <v>1348.2000000000003</v>
      </c>
      <c r="K203" s="3">
        <f t="shared" si="29"/>
        <v>119.10000000000001</v>
      </c>
      <c r="L203" s="23"/>
      <c r="M203" s="3">
        <v>1.2</v>
      </c>
      <c r="N203" s="3">
        <v>1.3</v>
      </c>
      <c r="O203" s="3">
        <f t="shared" si="20"/>
        <v>-0.10000000000000009</v>
      </c>
      <c r="P203" s="3">
        <f t="shared" si="25"/>
        <v>97.599999999999952</v>
      </c>
      <c r="Q203" s="3">
        <v>168</v>
      </c>
      <c r="R203" s="3">
        <f t="shared" si="27"/>
        <v>1.0459677419354838</v>
      </c>
      <c r="S203" s="3">
        <f t="shared" si="21"/>
        <v>1.3597580645161289</v>
      </c>
      <c r="T203" s="28">
        <f t="shared" si="22"/>
        <v>-0.15975806451612895</v>
      </c>
      <c r="U203" s="28">
        <f t="shared" si="26"/>
        <v>122.96990469208201</v>
      </c>
      <c r="W203" s="3">
        <v>875.3</v>
      </c>
      <c r="Y203" s="3">
        <f t="shared" si="24"/>
        <v>86406.199999999939</v>
      </c>
      <c r="Z203" s="3">
        <f t="shared" si="28"/>
        <v>5748.6</v>
      </c>
      <c r="AA203" s="3">
        <v>9.9265717507541886</v>
      </c>
    </row>
    <row r="204" spans="1:27" s="3" customFormat="1" x14ac:dyDescent="0.25">
      <c r="A204" s="3">
        <v>5400</v>
      </c>
      <c r="B204" s="3">
        <v>24010</v>
      </c>
      <c r="C204" s="7">
        <v>42782</v>
      </c>
      <c r="F204" s="62"/>
      <c r="G204" s="3">
        <v>8.6</v>
      </c>
      <c r="H204" s="3">
        <v>5.7</v>
      </c>
      <c r="I204" s="3">
        <v>12.4</v>
      </c>
      <c r="J204" s="3">
        <f t="shared" si="23"/>
        <v>1356.8000000000002</v>
      </c>
      <c r="K204" s="3">
        <f t="shared" si="29"/>
        <v>127.7</v>
      </c>
      <c r="L204" s="23"/>
      <c r="M204" s="3">
        <v>1.7</v>
      </c>
      <c r="N204" s="3">
        <v>0.6</v>
      </c>
      <c r="O204" s="3">
        <f t="shared" si="20"/>
        <v>1.1000000000000001</v>
      </c>
      <c r="P204" s="3">
        <f t="shared" si="25"/>
        <v>98.699999999999946</v>
      </c>
      <c r="Q204" s="3">
        <v>169</v>
      </c>
      <c r="R204" s="3">
        <f t="shared" si="27"/>
        <v>1.0483870967741935</v>
      </c>
      <c r="S204" s="3">
        <f t="shared" si="21"/>
        <v>0.62903225806451613</v>
      </c>
      <c r="T204" s="28">
        <f t="shared" si="22"/>
        <v>1.0709677419354837</v>
      </c>
      <c r="U204" s="28">
        <f t="shared" si="26"/>
        <v>124.0408724340175</v>
      </c>
      <c r="W204" s="3">
        <v>462.3</v>
      </c>
      <c r="Y204" s="3">
        <f t="shared" si="24"/>
        <v>86868.499999999942</v>
      </c>
      <c r="Z204" s="3">
        <f t="shared" si="28"/>
        <v>6210.9000000000005</v>
      </c>
      <c r="AA204" s="3">
        <v>9.9819274898346588</v>
      </c>
    </row>
    <row r="205" spans="1:27" s="3" customFormat="1" x14ac:dyDescent="0.25">
      <c r="A205" s="3">
        <v>5400</v>
      </c>
      <c r="B205" s="3">
        <v>24010</v>
      </c>
      <c r="C205" s="7">
        <v>42783</v>
      </c>
      <c r="F205" s="62"/>
      <c r="G205" s="3">
        <v>4.5999999999999996</v>
      </c>
      <c r="H205" s="3">
        <v>2.8</v>
      </c>
      <c r="I205" s="3">
        <v>7.4</v>
      </c>
      <c r="J205" s="3">
        <f t="shared" si="23"/>
        <v>1361.4</v>
      </c>
      <c r="K205" s="3">
        <f t="shared" si="29"/>
        <v>132.30000000000001</v>
      </c>
      <c r="L205" s="23"/>
      <c r="M205" s="3">
        <v>0</v>
      </c>
      <c r="N205" s="3">
        <v>0.6</v>
      </c>
      <c r="O205" s="3">
        <f t="shared" si="20"/>
        <v>-0.6</v>
      </c>
      <c r="P205" s="3">
        <f t="shared" si="25"/>
        <v>98.099999999999952</v>
      </c>
      <c r="Q205" s="3">
        <v>170</v>
      </c>
      <c r="R205" s="3">
        <f t="shared" si="27"/>
        <v>1.0508064516129032</v>
      </c>
      <c r="S205" s="3">
        <f t="shared" si="21"/>
        <v>0.63048387096774194</v>
      </c>
      <c r="T205" s="28">
        <f t="shared" si="22"/>
        <v>-0.63048387096774194</v>
      </c>
      <c r="U205" s="28">
        <f t="shared" si="26"/>
        <v>123.41038856304976</v>
      </c>
      <c r="W205" s="3">
        <v>450.9</v>
      </c>
      <c r="Y205" s="3">
        <f t="shared" si="24"/>
        <v>87319.399999999936</v>
      </c>
      <c r="Z205" s="3">
        <f t="shared" si="28"/>
        <v>6661.8</v>
      </c>
      <c r="AA205" s="3">
        <v>10.037657647601433</v>
      </c>
    </row>
    <row r="206" spans="1:27" s="3" customFormat="1" x14ac:dyDescent="0.25">
      <c r="A206" s="3">
        <v>5400</v>
      </c>
      <c r="B206" s="3">
        <v>24010</v>
      </c>
      <c r="C206" s="7">
        <v>42784</v>
      </c>
      <c r="F206" s="62"/>
      <c r="G206" s="3">
        <v>4.5</v>
      </c>
      <c r="H206" s="3">
        <v>0.6</v>
      </c>
      <c r="I206" s="3">
        <v>9.5</v>
      </c>
      <c r="J206" s="3">
        <f t="shared" si="23"/>
        <v>1365.9</v>
      </c>
      <c r="K206" s="3">
        <f t="shared" si="29"/>
        <v>136.80000000000001</v>
      </c>
      <c r="L206" s="23"/>
      <c r="M206" s="3">
        <v>0</v>
      </c>
      <c r="N206" s="3">
        <v>1.1000000000000001</v>
      </c>
      <c r="O206" s="3">
        <f t="shared" si="20"/>
        <v>-1.1000000000000001</v>
      </c>
      <c r="P206" s="3">
        <f t="shared" si="25"/>
        <v>96.999999999999957</v>
      </c>
      <c r="Q206" s="3">
        <v>171</v>
      </c>
      <c r="R206" s="3">
        <f t="shared" si="27"/>
        <v>1.0532258064516129</v>
      </c>
      <c r="S206" s="3">
        <f t="shared" si="21"/>
        <v>1.1585483870967743</v>
      </c>
      <c r="T206" s="28">
        <f t="shared" si="22"/>
        <v>-1.1585483870967743</v>
      </c>
      <c r="U206" s="28">
        <f t="shared" si="26"/>
        <v>122.25184017595299</v>
      </c>
      <c r="W206" s="3">
        <v>1001.3</v>
      </c>
      <c r="Y206" s="3">
        <f t="shared" si="24"/>
        <v>88320.699999999939</v>
      </c>
      <c r="Z206" s="3">
        <f t="shared" si="28"/>
        <v>7663.1</v>
      </c>
      <c r="AA206" s="3">
        <v>10.093746008732278</v>
      </c>
    </row>
    <row r="207" spans="1:27" s="3" customFormat="1" x14ac:dyDescent="0.25">
      <c r="A207" s="3">
        <v>5400</v>
      </c>
      <c r="B207" s="3">
        <v>24010</v>
      </c>
      <c r="C207" s="7">
        <v>42785</v>
      </c>
      <c r="F207" s="62"/>
      <c r="G207" s="3">
        <v>5.0999999999999996</v>
      </c>
      <c r="H207" s="3">
        <v>-2.4</v>
      </c>
      <c r="I207" s="3">
        <v>9.3000000000000007</v>
      </c>
      <c r="J207" s="3">
        <f t="shared" si="23"/>
        <v>1371</v>
      </c>
      <c r="K207" s="3">
        <f t="shared" si="29"/>
        <v>141.9</v>
      </c>
      <c r="L207" s="23"/>
      <c r="M207" s="3">
        <v>0.2</v>
      </c>
      <c r="N207" s="3">
        <v>0.6</v>
      </c>
      <c r="O207" s="3">
        <f t="shared" si="20"/>
        <v>-0.39999999999999997</v>
      </c>
      <c r="P207" s="3">
        <f t="shared" si="25"/>
        <v>96.599999999999952</v>
      </c>
      <c r="Q207" s="3">
        <v>172</v>
      </c>
      <c r="R207" s="3">
        <f t="shared" si="27"/>
        <v>1.0556451612903226</v>
      </c>
      <c r="S207" s="3">
        <f t="shared" si="21"/>
        <v>0.63338709677419358</v>
      </c>
      <c r="T207" s="28">
        <f t="shared" si="22"/>
        <v>-0.43338709677419357</v>
      </c>
      <c r="U207" s="28">
        <f t="shared" si="26"/>
        <v>121.81845307917879</v>
      </c>
      <c r="W207" s="3">
        <v>762.7</v>
      </c>
      <c r="Y207" s="3">
        <f t="shared" si="24"/>
        <v>89083.399999999936</v>
      </c>
      <c r="Z207" s="3">
        <f t="shared" si="28"/>
        <v>8425.8000000000011</v>
      </c>
      <c r="AA207" s="3">
        <v>10.150176782738047</v>
      </c>
    </row>
    <row r="208" spans="1:27" s="3" customFormat="1" x14ac:dyDescent="0.25">
      <c r="A208" s="3">
        <v>5400</v>
      </c>
      <c r="B208" s="3">
        <v>24010</v>
      </c>
      <c r="C208" s="7">
        <v>42786</v>
      </c>
      <c r="F208" s="62"/>
      <c r="G208" s="3">
        <v>9.1999999999999993</v>
      </c>
      <c r="H208" s="3">
        <v>6.8</v>
      </c>
      <c r="I208" s="3">
        <v>11</v>
      </c>
      <c r="J208" s="3">
        <f t="shared" si="23"/>
        <v>1380.2</v>
      </c>
      <c r="K208" s="3">
        <f t="shared" si="29"/>
        <v>151.1</v>
      </c>
      <c r="L208" s="23"/>
      <c r="M208" s="3">
        <v>0.2</v>
      </c>
      <c r="N208" s="3">
        <v>0.2</v>
      </c>
      <c r="O208" s="3">
        <f t="shared" si="20"/>
        <v>0</v>
      </c>
      <c r="P208" s="3">
        <f t="shared" si="25"/>
        <v>96.599999999999952</v>
      </c>
      <c r="Q208" s="3">
        <v>173</v>
      </c>
      <c r="R208" s="3">
        <f t="shared" si="27"/>
        <v>1.0580645161290323</v>
      </c>
      <c r="S208" s="3">
        <f t="shared" si="21"/>
        <v>0.21161290322580648</v>
      </c>
      <c r="T208" s="28">
        <f t="shared" si="22"/>
        <v>-1.1612903225806465E-2</v>
      </c>
      <c r="U208" s="28">
        <f t="shared" si="26"/>
        <v>121.80684017595298</v>
      </c>
      <c r="W208" s="3">
        <v>183.3</v>
      </c>
      <c r="Y208" s="3">
        <f t="shared" si="24"/>
        <v>89266.699999999939</v>
      </c>
      <c r="Z208" s="3">
        <f t="shared" si="28"/>
        <v>8609.1</v>
      </c>
      <c r="AA208" s="3">
        <v>10.206934598404168</v>
      </c>
    </row>
    <row r="209" spans="1:27" s="3" customFormat="1" x14ac:dyDescent="0.25">
      <c r="A209" s="3">
        <v>5400</v>
      </c>
      <c r="B209" s="3">
        <v>24010</v>
      </c>
      <c r="C209" s="7">
        <v>42787</v>
      </c>
      <c r="F209" s="62"/>
      <c r="G209" s="3">
        <v>10.6</v>
      </c>
      <c r="H209" s="3">
        <v>9.6999999999999993</v>
      </c>
      <c r="I209" s="3">
        <v>11.2</v>
      </c>
      <c r="J209" s="3">
        <f t="shared" si="23"/>
        <v>1390.8</v>
      </c>
      <c r="K209" s="3">
        <f t="shared" si="29"/>
        <v>161.69999999999999</v>
      </c>
      <c r="L209" s="23"/>
      <c r="M209" s="3">
        <v>0</v>
      </c>
      <c r="N209" s="3">
        <v>0.3</v>
      </c>
      <c r="O209" s="3">
        <f t="shared" si="20"/>
        <v>-0.3</v>
      </c>
      <c r="P209" s="3">
        <f t="shared" si="25"/>
        <v>96.299999999999955</v>
      </c>
      <c r="Q209" s="3">
        <v>174</v>
      </c>
      <c r="R209" s="3">
        <f t="shared" si="27"/>
        <v>1.060483870967742</v>
      </c>
      <c r="S209" s="3">
        <f t="shared" si="21"/>
        <v>0.31814516129032261</v>
      </c>
      <c r="T209" s="28">
        <f t="shared" si="22"/>
        <v>-0.31814516129032261</v>
      </c>
      <c r="U209" s="28">
        <f t="shared" si="26"/>
        <v>121.48869501466267</v>
      </c>
      <c r="W209" s="3">
        <v>176.1</v>
      </c>
      <c r="Y209" s="3">
        <f t="shared" si="24"/>
        <v>89442.799999999945</v>
      </c>
      <c r="Z209" s="3">
        <f t="shared" si="28"/>
        <v>8785.2000000000007</v>
      </c>
      <c r="AA209" s="3">
        <v>10.264004497329235</v>
      </c>
    </row>
    <row r="210" spans="1:27" s="3" customFormat="1" x14ac:dyDescent="0.25">
      <c r="A210" s="3">
        <v>5400</v>
      </c>
      <c r="B210" s="3">
        <v>24010</v>
      </c>
      <c r="C210" s="7">
        <v>42788</v>
      </c>
      <c r="F210" s="62"/>
      <c r="G210" s="3">
        <v>10.4</v>
      </c>
      <c r="H210" s="3">
        <v>9.6</v>
      </c>
      <c r="I210" s="3">
        <v>11.5</v>
      </c>
      <c r="J210" s="3">
        <f t="shared" si="23"/>
        <v>1401.2</v>
      </c>
      <c r="K210" s="3">
        <f t="shared" si="29"/>
        <v>172.1</v>
      </c>
      <c r="L210" s="23"/>
      <c r="M210" s="3">
        <v>0</v>
      </c>
      <c r="N210" s="3">
        <v>0.9</v>
      </c>
      <c r="O210" s="3">
        <f t="shared" si="20"/>
        <v>-0.9</v>
      </c>
      <c r="P210" s="3">
        <f t="shared" si="25"/>
        <v>95.399999999999949</v>
      </c>
      <c r="Q210" s="3">
        <v>175</v>
      </c>
      <c r="R210" s="3">
        <f t="shared" si="27"/>
        <v>1.0629032258064517</v>
      </c>
      <c r="S210" s="3">
        <f t="shared" si="21"/>
        <v>0.9566129032258065</v>
      </c>
      <c r="T210" s="28">
        <f t="shared" si="22"/>
        <v>-0.9566129032258065</v>
      </c>
      <c r="U210" s="28">
        <f t="shared" si="26"/>
        <v>120.53208211143686</v>
      </c>
      <c r="W210" s="3">
        <v>264.10000000000002</v>
      </c>
      <c r="Y210" s="3">
        <f t="shared" si="24"/>
        <v>89706.899999999951</v>
      </c>
      <c r="Z210" s="3">
        <f t="shared" si="28"/>
        <v>9049.3000000000011</v>
      </c>
      <c r="AA210" s="3">
        <v>10.321371926622165</v>
      </c>
    </row>
    <row r="211" spans="1:27" s="3" customFormat="1" x14ac:dyDescent="0.25">
      <c r="A211" s="3">
        <v>5400</v>
      </c>
      <c r="B211" s="3">
        <v>24010</v>
      </c>
      <c r="C211" s="7">
        <v>42789</v>
      </c>
      <c r="F211" s="62"/>
      <c r="G211" s="3">
        <v>8.6999999999999993</v>
      </c>
      <c r="H211" s="3">
        <v>8.1999999999999993</v>
      </c>
      <c r="I211" s="3">
        <v>10.199999999999999</v>
      </c>
      <c r="J211" s="3">
        <f t="shared" si="23"/>
        <v>1409.9</v>
      </c>
      <c r="K211" s="3">
        <f t="shared" si="29"/>
        <v>180.79999999999998</v>
      </c>
      <c r="L211" s="23"/>
      <c r="M211" s="3">
        <v>0.1</v>
      </c>
      <c r="N211" s="3">
        <v>1.1000000000000001</v>
      </c>
      <c r="O211" s="3">
        <f t="shared" si="20"/>
        <v>-1</v>
      </c>
      <c r="P211" s="3">
        <f t="shared" si="25"/>
        <v>94.399999999999949</v>
      </c>
      <c r="Q211" s="3">
        <v>176</v>
      </c>
      <c r="R211" s="3">
        <f t="shared" si="27"/>
        <v>1.0653225806451612</v>
      </c>
      <c r="S211" s="3">
        <f t="shared" si="21"/>
        <v>1.1718548387096774</v>
      </c>
      <c r="T211" s="28">
        <f t="shared" si="22"/>
        <v>-1.0718548387096773</v>
      </c>
      <c r="U211" s="28">
        <f t="shared" si="26"/>
        <v>119.46022727272718</v>
      </c>
      <c r="W211" s="3">
        <v>294.5</v>
      </c>
      <c r="Y211" s="3">
        <f t="shared" si="24"/>
        <v>90001.399999999951</v>
      </c>
      <c r="Z211" s="3">
        <f t="shared" si="28"/>
        <v>9343.8000000000011</v>
      </c>
      <c r="AA211" s="3">
        <v>10.379022730817001</v>
      </c>
    </row>
    <row r="212" spans="1:27" s="3" customFormat="1" x14ac:dyDescent="0.25">
      <c r="A212" s="3">
        <v>5400</v>
      </c>
      <c r="B212" s="3">
        <v>24010</v>
      </c>
      <c r="C212" s="7">
        <v>42790</v>
      </c>
      <c r="F212" s="62"/>
      <c r="G212" s="3">
        <v>4.3</v>
      </c>
      <c r="H212" s="3">
        <v>2.2000000000000002</v>
      </c>
      <c r="I212" s="3">
        <v>8.3000000000000007</v>
      </c>
      <c r="J212" s="3">
        <f t="shared" si="23"/>
        <v>1414.2</v>
      </c>
      <c r="K212" s="3">
        <f t="shared" si="29"/>
        <v>185.1</v>
      </c>
      <c r="L212" s="23"/>
      <c r="M212" s="3">
        <v>0</v>
      </c>
      <c r="N212" s="3">
        <v>0.9</v>
      </c>
      <c r="O212" s="3">
        <f t="shared" si="20"/>
        <v>-0.9</v>
      </c>
      <c r="P212" s="3">
        <f t="shared" si="25"/>
        <v>93.499999999999943</v>
      </c>
      <c r="Q212" s="3">
        <v>177</v>
      </c>
      <c r="R212" s="3">
        <f t="shared" si="27"/>
        <v>1.0677419354838709</v>
      </c>
      <c r="S212" s="3">
        <f t="shared" si="21"/>
        <v>0.96096774193548384</v>
      </c>
      <c r="T212" s="28">
        <f t="shared" si="22"/>
        <v>-0.96096774193548384</v>
      </c>
      <c r="U212" s="28">
        <f t="shared" si="26"/>
        <v>118.4992595307917</v>
      </c>
      <c r="W212" s="3">
        <v>739.5</v>
      </c>
      <c r="Y212" s="3">
        <f t="shared" si="24"/>
        <v>90740.899999999951</v>
      </c>
      <c r="Z212" s="3">
        <f t="shared" si="28"/>
        <v>10083.300000000001</v>
      </c>
      <c r="AA212" s="3">
        <v>10.436943143061796</v>
      </c>
    </row>
    <row r="213" spans="1:27" s="3" customFormat="1" x14ac:dyDescent="0.25">
      <c r="A213" s="3">
        <v>5400</v>
      </c>
      <c r="B213" s="3">
        <v>24010</v>
      </c>
      <c r="C213" s="7">
        <v>42791</v>
      </c>
      <c r="F213" s="62"/>
      <c r="G213" s="3">
        <v>4.9000000000000004</v>
      </c>
      <c r="H213" s="3">
        <v>-1.4</v>
      </c>
      <c r="I213" s="3">
        <v>9.6999999999999993</v>
      </c>
      <c r="J213" s="3">
        <f t="shared" si="23"/>
        <v>1419.1000000000001</v>
      </c>
      <c r="K213" s="3">
        <f t="shared" si="29"/>
        <v>190</v>
      </c>
      <c r="L213" s="23"/>
      <c r="M213" s="3">
        <v>0</v>
      </c>
      <c r="N213" s="3">
        <v>0.9</v>
      </c>
      <c r="O213" s="3">
        <f t="shared" si="20"/>
        <v>-0.9</v>
      </c>
      <c r="P213" s="3">
        <f t="shared" si="25"/>
        <v>92.599999999999937</v>
      </c>
      <c r="Q213" s="3">
        <v>178</v>
      </c>
      <c r="R213" s="3">
        <f t="shared" si="27"/>
        <v>1.0701612903225806</v>
      </c>
      <c r="S213" s="3">
        <f t="shared" si="21"/>
        <v>0.96314516129032257</v>
      </c>
      <c r="T213" s="28">
        <f t="shared" si="22"/>
        <v>-0.96314516129032257</v>
      </c>
      <c r="U213" s="28">
        <f t="shared" si="26"/>
        <v>117.53611436950138</v>
      </c>
      <c r="W213" s="3">
        <v>857.2</v>
      </c>
      <c r="Y213" s="3">
        <f t="shared" si="24"/>
        <v>91598.099999999948</v>
      </c>
      <c r="Z213" s="3">
        <f t="shared" si="28"/>
        <v>10940.500000000002</v>
      </c>
      <c r="AA213" s="3">
        <v>10.495119775635398</v>
      </c>
    </row>
    <row r="214" spans="1:27" s="3" customFormat="1" x14ac:dyDescent="0.25">
      <c r="A214" s="3">
        <v>5400</v>
      </c>
      <c r="B214" s="3">
        <v>24010</v>
      </c>
      <c r="C214" s="7">
        <v>42792</v>
      </c>
      <c r="F214" s="62"/>
      <c r="G214" s="3">
        <v>8.8000000000000007</v>
      </c>
      <c r="H214" s="3">
        <v>5.4</v>
      </c>
      <c r="I214" s="3">
        <v>11.5</v>
      </c>
      <c r="J214" s="3">
        <f t="shared" si="23"/>
        <v>1427.9</v>
      </c>
      <c r="K214" s="3">
        <f t="shared" si="29"/>
        <v>198.8</v>
      </c>
      <c r="L214" s="23"/>
      <c r="M214" s="3">
        <v>0</v>
      </c>
      <c r="N214" s="3">
        <v>0.6</v>
      </c>
      <c r="O214" s="3">
        <f t="shared" si="20"/>
        <v>-0.6</v>
      </c>
      <c r="P214" s="3">
        <f t="shared" si="25"/>
        <v>91.999999999999943</v>
      </c>
      <c r="Q214" s="3">
        <v>179</v>
      </c>
      <c r="R214" s="3">
        <f t="shared" si="27"/>
        <v>1.0725806451612903</v>
      </c>
      <c r="S214" s="3">
        <f t="shared" si="21"/>
        <v>0.64354838709677409</v>
      </c>
      <c r="T214" s="28">
        <f t="shared" si="22"/>
        <v>-0.64354838709677409</v>
      </c>
      <c r="U214" s="28">
        <f t="shared" si="26"/>
        <v>116.89256598240461</v>
      </c>
      <c r="W214" s="3">
        <v>201.5</v>
      </c>
      <c r="Y214" s="3">
        <f t="shared" si="24"/>
        <v>91799.599999999948</v>
      </c>
      <c r="Z214" s="3">
        <f t="shared" si="28"/>
        <v>11142.000000000002</v>
      </c>
      <c r="AA214" s="3">
        <v>10.553539609843265</v>
      </c>
    </row>
    <row r="215" spans="1:27" s="3" customFormat="1" x14ac:dyDescent="0.25">
      <c r="A215" s="3">
        <v>5400</v>
      </c>
      <c r="B215" s="3">
        <v>24010</v>
      </c>
      <c r="C215" s="7">
        <v>42793</v>
      </c>
      <c r="F215" s="62"/>
      <c r="G215" s="3">
        <v>8.3000000000000007</v>
      </c>
      <c r="H215" s="3">
        <v>6.6</v>
      </c>
      <c r="I215" s="3">
        <v>10.3</v>
      </c>
      <c r="J215" s="3">
        <f t="shared" si="23"/>
        <v>1436.2</v>
      </c>
      <c r="K215" s="3">
        <f t="shared" si="29"/>
        <v>207.10000000000002</v>
      </c>
      <c r="L215" s="23"/>
      <c r="M215" s="3">
        <v>9.1999999999999993</v>
      </c>
      <c r="N215" s="3">
        <v>0.8</v>
      </c>
      <c r="O215" s="3">
        <f t="shared" si="20"/>
        <v>8.3999999999999986</v>
      </c>
      <c r="P215" s="3">
        <f t="shared" si="25"/>
        <v>100.39999999999995</v>
      </c>
      <c r="Q215" s="3">
        <v>180</v>
      </c>
      <c r="R215" s="3">
        <f t="shared" si="27"/>
        <v>1.075</v>
      </c>
      <c r="S215" s="3">
        <f t="shared" si="21"/>
        <v>0.86</v>
      </c>
      <c r="T215" s="28">
        <f t="shared" si="22"/>
        <v>8.34</v>
      </c>
      <c r="U215" s="28">
        <f t="shared" si="26"/>
        <v>125.23256598240461</v>
      </c>
      <c r="W215" s="3">
        <v>237.2</v>
      </c>
      <c r="Y215" s="3">
        <f t="shared" si="24"/>
        <v>92036.799999999945</v>
      </c>
      <c r="Z215" s="3">
        <f t="shared" si="28"/>
        <v>11379.200000000003</v>
      </c>
      <c r="AA215" s="3">
        <v>10.612189985340851</v>
      </c>
    </row>
    <row r="216" spans="1:27" s="3" customFormat="1" x14ac:dyDescent="0.25">
      <c r="A216" s="3">
        <v>5400</v>
      </c>
      <c r="B216" s="3">
        <v>24010</v>
      </c>
      <c r="C216" s="7">
        <v>42794</v>
      </c>
      <c r="F216" s="62"/>
      <c r="G216" s="3">
        <v>5.4</v>
      </c>
      <c r="H216" s="3">
        <v>3.6</v>
      </c>
      <c r="I216" s="3">
        <v>6.7</v>
      </c>
      <c r="J216" s="3">
        <f t="shared" si="23"/>
        <v>1441.6000000000001</v>
      </c>
      <c r="K216" s="3">
        <f t="shared" si="29"/>
        <v>212.50000000000003</v>
      </c>
      <c r="L216" s="23"/>
      <c r="M216" s="3">
        <v>2.2000000000000002</v>
      </c>
      <c r="N216" s="3">
        <v>0.7</v>
      </c>
      <c r="O216" s="3">
        <f t="shared" si="20"/>
        <v>1.5000000000000002</v>
      </c>
      <c r="P216" s="3">
        <f t="shared" si="25"/>
        <v>101.89999999999995</v>
      </c>
      <c r="Q216" s="3">
        <v>181</v>
      </c>
      <c r="R216" s="3">
        <f t="shared" si="27"/>
        <v>1.0774193548387097</v>
      </c>
      <c r="S216" s="3">
        <f t="shared" si="21"/>
        <v>0.75419354838709673</v>
      </c>
      <c r="T216" s="28">
        <f t="shared" si="22"/>
        <v>1.4458064516129034</v>
      </c>
      <c r="U216" s="28">
        <f t="shared" si="26"/>
        <v>126.67837243401752</v>
      </c>
      <c r="W216" s="3">
        <v>381.2</v>
      </c>
      <c r="Y216" s="3">
        <f t="shared" si="24"/>
        <v>92417.999999999942</v>
      </c>
      <c r="Z216" s="3">
        <f t="shared" si="28"/>
        <v>11760.400000000003</v>
      </c>
      <c r="AA216" s="3">
        <v>10.671058588930366</v>
      </c>
    </row>
    <row r="217" spans="1:27" s="3" customFormat="1" x14ac:dyDescent="0.25">
      <c r="A217" s="3">
        <v>5400</v>
      </c>
      <c r="B217" s="3">
        <v>24010</v>
      </c>
      <c r="C217" s="7">
        <v>42795</v>
      </c>
      <c r="F217" s="62"/>
      <c r="G217" s="3">
        <v>8</v>
      </c>
      <c r="H217" s="3">
        <v>6</v>
      </c>
      <c r="I217" s="3">
        <v>11.2</v>
      </c>
      <c r="J217" s="3">
        <f t="shared" si="23"/>
        <v>1449.6000000000001</v>
      </c>
      <c r="K217" s="3">
        <f t="shared" si="29"/>
        <v>220.50000000000003</v>
      </c>
      <c r="L217" s="23"/>
      <c r="M217" s="3">
        <v>7.7</v>
      </c>
      <c r="N217" s="3">
        <v>0.6</v>
      </c>
      <c r="O217" s="3">
        <f t="shared" si="20"/>
        <v>7.1000000000000005</v>
      </c>
      <c r="P217" s="3">
        <f t="shared" si="25"/>
        <v>108.99999999999994</v>
      </c>
      <c r="Q217" s="3">
        <v>182</v>
      </c>
      <c r="R217" s="3">
        <f t="shared" si="27"/>
        <v>1.0798387096774194</v>
      </c>
      <c r="S217" s="3">
        <f t="shared" si="21"/>
        <v>0.64790322580645154</v>
      </c>
      <c r="T217" s="28">
        <f t="shared" si="22"/>
        <v>7.052096774193549</v>
      </c>
      <c r="U217" s="28">
        <f t="shared" si="26"/>
        <v>133.73046920821108</v>
      </c>
      <c r="W217" s="3">
        <v>191.3</v>
      </c>
      <c r="Y217" s="3">
        <f t="shared" si="24"/>
        <v>92609.299999999945</v>
      </c>
      <c r="Z217" s="3">
        <f t="shared" si="28"/>
        <v>11951.700000000003</v>
      </c>
      <c r="AA217" s="3">
        <v>10.730133442874166</v>
      </c>
    </row>
    <row r="218" spans="1:27" s="3" customFormat="1" x14ac:dyDescent="0.25">
      <c r="A218" s="3">
        <v>5400</v>
      </c>
      <c r="B218" s="3">
        <v>24010</v>
      </c>
      <c r="C218" s="7">
        <v>42796</v>
      </c>
      <c r="F218" s="62"/>
      <c r="G218" s="3">
        <v>7.3</v>
      </c>
      <c r="H218" s="3">
        <v>4.7</v>
      </c>
      <c r="I218" s="3">
        <v>10.8</v>
      </c>
      <c r="J218" s="3">
        <f t="shared" si="23"/>
        <v>1456.9</v>
      </c>
      <c r="K218" s="3">
        <f t="shared" si="29"/>
        <v>227.80000000000004</v>
      </c>
      <c r="L218" s="23"/>
      <c r="M218" s="3">
        <v>0</v>
      </c>
      <c r="N218" s="3">
        <v>1.2</v>
      </c>
      <c r="O218" s="3">
        <f t="shared" si="20"/>
        <v>-1.2</v>
      </c>
      <c r="P218" s="3">
        <f t="shared" si="25"/>
        <v>107.79999999999994</v>
      </c>
      <c r="Q218" s="3">
        <v>183</v>
      </c>
      <c r="R218" s="3">
        <f t="shared" si="27"/>
        <v>1.082258064516129</v>
      </c>
      <c r="S218" s="3">
        <f t="shared" si="21"/>
        <v>1.2987096774193547</v>
      </c>
      <c r="T218" s="28">
        <f t="shared" si="22"/>
        <v>-1.2987096774193547</v>
      </c>
      <c r="U218" s="28">
        <f t="shared" si="26"/>
        <v>132.43175953079171</v>
      </c>
      <c r="W218" s="3">
        <v>871.9</v>
      </c>
      <c r="Y218" s="3">
        <f t="shared" si="24"/>
        <v>93481.199999999939</v>
      </c>
      <c r="Z218" s="3">
        <f t="shared" si="28"/>
        <v>12823.600000000002</v>
      </c>
      <c r="AA218" s="3">
        <v>10.789402892765496</v>
      </c>
    </row>
    <row r="219" spans="1:27" s="3" customFormat="1" x14ac:dyDescent="0.25">
      <c r="A219" s="3">
        <v>5400</v>
      </c>
      <c r="B219" s="3">
        <v>24010</v>
      </c>
      <c r="C219" s="7">
        <v>42797</v>
      </c>
      <c r="F219" s="62"/>
      <c r="G219" s="3">
        <v>9.6999999999999993</v>
      </c>
      <c r="H219" s="3">
        <v>4.9000000000000004</v>
      </c>
      <c r="I219" s="3">
        <v>12.7</v>
      </c>
      <c r="J219" s="3">
        <f t="shared" si="23"/>
        <v>1466.6000000000001</v>
      </c>
      <c r="K219" s="3">
        <f t="shared" si="29"/>
        <v>237.50000000000003</v>
      </c>
      <c r="L219" s="23"/>
      <c r="M219" s="3">
        <v>9.5</v>
      </c>
      <c r="N219" s="3">
        <v>0.9</v>
      </c>
      <c r="O219" s="3">
        <f t="shared" si="20"/>
        <v>8.6</v>
      </c>
      <c r="P219" s="3">
        <f t="shared" si="25"/>
        <v>116.39999999999993</v>
      </c>
      <c r="Q219" s="3">
        <v>184</v>
      </c>
      <c r="R219" s="3">
        <f t="shared" si="27"/>
        <v>1.0846774193548387</v>
      </c>
      <c r="S219" s="3">
        <f t="shared" si="21"/>
        <v>0.97620967741935494</v>
      </c>
      <c r="T219" s="28">
        <f t="shared" si="22"/>
        <v>8.5237903225806448</v>
      </c>
      <c r="U219" s="28">
        <f t="shared" si="26"/>
        <v>140.95554985337236</v>
      </c>
      <c r="W219" s="3">
        <v>678.6</v>
      </c>
      <c r="Y219" s="3">
        <f t="shared" si="24"/>
        <v>94159.799999999945</v>
      </c>
      <c r="Z219" s="3">
        <f t="shared" si="28"/>
        <v>13502.200000000003</v>
      </c>
      <c r="AA219" s="3">
        <v>10.848855594994687</v>
      </c>
    </row>
    <row r="220" spans="1:27" s="3" customFormat="1" x14ac:dyDescent="0.25">
      <c r="A220" s="3">
        <v>5400</v>
      </c>
      <c r="B220" s="3">
        <v>24010</v>
      </c>
      <c r="C220" s="7">
        <v>42798</v>
      </c>
      <c r="F220" s="62"/>
      <c r="G220" s="3">
        <v>7.6</v>
      </c>
      <c r="H220" s="3">
        <v>6.5</v>
      </c>
      <c r="I220" s="3">
        <v>8.1999999999999993</v>
      </c>
      <c r="J220" s="3">
        <f t="shared" si="23"/>
        <v>1474.2</v>
      </c>
      <c r="K220" s="3">
        <f t="shared" si="29"/>
        <v>245.10000000000002</v>
      </c>
      <c r="L220" s="23"/>
      <c r="M220" s="3">
        <v>6.4</v>
      </c>
      <c r="N220" s="3">
        <v>0.2</v>
      </c>
      <c r="O220" s="3">
        <f t="shared" si="20"/>
        <v>6.2</v>
      </c>
      <c r="P220" s="3">
        <f t="shared" si="25"/>
        <v>122.59999999999994</v>
      </c>
      <c r="Q220" s="3">
        <v>185</v>
      </c>
      <c r="R220" s="3">
        <f t="shared" si="27"/>
        <v>1.0870967741935484</v>
      </c>
      <c r="S220" s="3">
        <f t="shared" si="21"/>
        <v>0.21741935483870969</v>
      </c>
      <c r="T220" s="28">
        <f t="shared" si="22"/>
        <v>6.1825806451612904</v>
      </c>
      <c r="U220" s="28">
        <f t="shared" si="26"/>
        <v>147.13813049853366</v>
      </c>
      <c r="W220" s="3">
        <v>242.5</v>
      </c>
      <c r="Y220" s="3">
        <f t="shared" si="24"/>
        <v>94402.299999999945</v>
      </c>
      <c r="Z220" s="3">
        <f t="shared" si="28"/>
        <v>13744.700000000003</v>
      </c>
      <c r="AA220" s="3">
        <v>10.90848050384661</v>
      </c>
    </row>
    <row r="221" spans="1:27" s="3" customFormat="1" x14ac:dyDescent="0.25">
      <c r="A221" s="3">
        <v>5400</v>
      </c>
      <c r="B221" s="3">
        <v>24010</v>
      </c>
      <c r="C221" s="7">
        <v>42799</v>
      </c>
      <c r="F221" s="62"/>
      <c r="G221" s="3">
        <v>6.4</v>
      </c>
      <c r="H221" s="3">
        <v>4.2</v>
      </c>
      <c r="I221" s="3">
        <v>7.7</v>
      </c>
      <c r="J221" s="3">
        <f t="shared" si="23"/>
        <v>1480.6000000000001</v>
      </c>
      <c r="K221" s="3">
        <f t="shared" si="29"/>
        <v>251.50000000000003</v>
      </c>
      <c r="L221" s="23"/>
      <c r="M221" s="3">
        <v>10.1</v>
      </c>
      <c r="N221" s="3">
        <v>0.4</v>
      </c>
      <c r="O221" s="3">
        <f t="shared" si="20"/>
        <v>9.6999999999999993</v>
      </c>
      <c r="P221" s="3">
        <f t="shared" si="25"/>
        <v>132.29999999999993</v>
      </c>
      <c r="Q221" s="3">
        <v>186</v>
      </c>
      <c r="R221" s="3">
        <f t="shared" si="27"/>
        <v>1.0895161290322579</v>
      </c>
      <c r="S221" s="3">
        <f t="shared" si="21"/>
        <v>0.43580645161290321</v>
      </c>
      <c r="T221" s="28">
        <f t="shared" si="22"/>
        <v>9.6641935483870967</v>
      </c>
      <c r="U221" s="28">
        <f t="shared" si="26"/>
        <v>153.9</v>
      </c>
      <c r="W221" s="3">
        <v>283.5</v>
      </c>
      <c r="Y221" s="3">
        <f t="shared" si="24"/>
        <v>94685.799999999945</v>
      </c>
      <c r="Z221" s="3">
        <f t="shared" si="28"/>
        <v>14028.200000000003</v>
      </c>
      <c r="AA221" s="3">
        <v>10.968266858262773</v>
      </c>
    </row>
    <row r="222" spans="1:27" s="3" customFormat="1" x14ac:dyDescent="0.25">
      <c r="A222" s="3">
        <v>5400</v>
      </c>
      <c r="B222" s="3">
        <v>24010</v>
      </c>
      <c r="C222" s="7">
        <v>42800</v>
      </c>
      <c r="F222" s="62"/>
      <c r="G222" s="3">
        <v>5.6</v>
      </c>
      <c r="H222" s="3">
        <v>3.8</v>
      </c>
      <c r="I222" s="3">
        <v>5.9</v>
      </c>
      <c r="J222" s="3">
        <f t="shared" si="23"/>
        <v>1486.2</v>
      </c>
      <c r="K222" s="3">
        <f t="shared" si="29"/>
        <v>257.10000000000002</v>
      </c>
      <c r="L222" s="23"/>
      <c r="M222" s="3">
        <v>12.3</v>
      </c>
      <c r="N222" s="3">
        <v>0.2</v>
      </c>
      <c r="O222" s="3">
        <f t="shared" si="20"/>
        <v>12.100000000000001</v>
      </c>
      <c r="P222" s="3">
        <f t="shared" si="25"/>
        <v>144.39999999999992</v>
      </c>
      <c r="Q222" s="3">
        <v>187</v>
      </c>
      <c r="R222" s="3">
        <f t="shared" si="27"/>
        <v>1.0919354838709676</v>
      </c>
      <c r="S222" s="3">
        <f t="shared" si="21"/>
        <v>0.21838709677419355</v>
      </c>
      <c r="T222" s="28">
        <f t="shared" si="22"/>
        <v>12.081612903225807</v>
      </c>
      <c r="U222" s="28">
        <f t="shared" si="26"/>
        <v>153.9</v>
      </c>
      <c r="W222" s="3">
        <v>183</v>
      </c>
      <c r="Y222" s="3">
        <f t="shared" si="24"/>
        <v>94868.799999999945</v>
      </c>
      <c r="Z222" s="3">
        <f t="shared" si="28"/>
        <v>14211.200000000003</v>
      </c>
      <c r="AA222" s="3">
        <v>11.028204168299142</v>
      </c>
    </row>
    <row r="223" spans="1:27" s="3" customFormat="1" x14ac:dyDescent="0.25">
      <c r="A223" s="3">
        <v>5400</v>
      </c>
      <c r="B223" s="3">
        <v>24010</v>
      </c>
      <c r="C223" s="7">
        <v>42801</v>
      </c>
      <c r="F223" s="62"/>
      <c r="G223" s="3">
        <v>6.7</v>
      </c>
      <c r="H223" s="3">
        <v>4.5</v>
      </c>
      <c r="I223" s="3">
        <v>8.1999999999999993</v>
      </c>
      <c r="J223" s="3">
        <f t="shared" si="23"/>
        <v>1492.9</v>
      </c>
      <c r="K223" s="3">
        <f t="shared" si="29"/>
        <v>263.8</v>
      </c>
      <c r="L223" s="23"/>
      <c r="M223" s="3">
        <v>1.1000000000000001</v>
      </c>
      <c r="N223" s="3">
        <v>0.5</v>
      </c>
      <c r="O223" s="3">
        <f t="shared" si="20"/>
        <v>0.60000000000000009</v>
      </c>
      <c r="P223" s="3">
        <f t="shared" si="25"/>
        <v>144.99999999999991</v>
      </c>
      <c r="Q223" s="3">
        <v>188</v>
      </c>
      <c r="R223" s="3">
        <f t="shared" si="27"/>
        <v>1.0943548387096773</v>
      </c>
      <c r="S223" s="3">
        <f t="shared" si="21"/>
        <v>0.54717741935483866</v>
      </c>
      <c r="T223" s="28">
        <f t="shared" si="22"/>
        <v>0.55282258064516143</v>
      </c>
      <c r="U223" s="28">
        <f t="shared" si="26"/>
        <v>153.9</v>
      </c>
      <c r="W223" s="3">
        <v>536.4</v>
      </c>
      <c r="Y223" s="3">
        <f t="shared" si="24"/>
        <v>95405.199999999939</v>
      </c>
      <c r="Z223" s="3">
        <f t="shared" si="28"/>
        <v>14747.600000000002</v>
      </c>
      <c r="AA223" s="3">
        <v>11.08828220130871</v>
      </c>
    </row>
    <row r="224" spans="1:27" s="3" customFormat="1" x14ac:dyDescent="0.25">
      <c r="A224" s="3">
        <v>5400</v>
      </c>
      <c r="B224" s="3">
        <v>24010</v>
      </c>
      <c r="C224" s="7">
        <v>42802</v>
      </c>
      <c r="F224" s="62"/>
      <c r="G224" s="3">
        <v>10.3</v>
      </c>
      <c r="H224" s="3">
        <v>6.3</v>
      </c>
      <c r="I224" s="3">
        <v>12.5</v>
      </c>
      <c r="J224" s="3">
        <f t="shared" si="23"/>
        <v>1503.2</v>
      </c>
      <c r="K224" s="3">
        <f t="shared" si="29"/>
        <v>274.10000000000002</v>
      </c>
      <c r="L224" s="23"/>
      <c r="M224" s="3">
        <v>0.2</v>
      </c>
      <c r="N224" s="3">
        <v>0.1</v>
      </c>
      <c r="O224" s="3">
        <f t="shared" si="20"/>
        <v>0.1</v>
      </c>
      <c r="P224" s="3">
        <f t="shared" si="25"/>
        <v>145.09999999999991</v>
      </c>
      <c r="Q224" s="3">
        <v>189</v>
      </c>
      <c r="R224" s="3">
        <f t="shared" si="27"/>
        <v>1.096774193548387</v>
      </c>
      <c r="S224" s="3">
        <f t="shared" si="21"/>
        <v>0.10967741935483871</v>
      </c>
      <c r="T224" s="28">
        <f t="shared" si="22"/>
        <v>9.0322580645161299E-2</v>
      </c>
      <c r="U224" s="28">
        <f t="shared" si="26"/>
        <v>153.9</v>
      </c>
      <c r="W224" s="3">
        <v>219.8</v>
      </c>
      <c r="Y224" s="3">
        <f t="shared" si="24"/>
        <v>95624.999999999942</v>
      </c>
      <c r="Z224" s="3">
        <f t="shared" si="28"/>
        <v>14967.400000000001</v>
      </c>
      <c r="AA224" s="3">
        <v>11.14849096787561</v>
      </c>
    </row>
    <row r="225" spans="1:27" s="3" customFormat="1" x14ac:dyDescent="0.25">
      <c r="A225" s="3">
        <v>5400</v>
      </c>
      <c r="B225" s="3">
        <v>24010</v>
      </c>
      <c r="C225" s="7">
        <v>42803</v>
      </c>
      <c r="F225" s="62"/>
      <c r="G225" s="3">
        <v>11.9</v>
      </c>
      <c r="H225" s="3">
        <v>11</v>
      </c>
      <c r="I225" s="3">
        <v>13</v>
      </c>
      <c r="J225" s="3">
        <f t="shared" si="23"/>
        <v>1515.1000000000001</v>
      </c>
      <c r="K225" s="3">
        <f t="shared" si="29"/>
        <v>286</v>
      </c>
      <c r="L225" s="23"/>
      <c r="M225" s="3">
        <v>0.1</v>
      </c>
      <c r="N225" s="3">
        <v>0.3</v>
      </c>
      <c r="O225" s="3">
        <f t="shared" si="20"/>
        <v>-0.19999999999999998</v>
      </c>
      <c r="P225" s="3">
        <f t="shared" si="25"/>
        <v>144.89999999999992</v>
      </c>
      <c r="Q225" s="3">
        <v>190</v>
      </c>
      <c r="R225" s="3">
        <f t="shared" si="27"/>
        <v>1.0991935483870967</v>
      </c>
      <c r="S225" s="3">
        <f t="shared" si="21"/>
        <v>0.32975806451612899</v>
      </c>
      <c r="T225" s="28">
        <f t="shared" si="22"/>
        <v>-0.22975806451612898</v>
      </c>
      <c r="U225" s="28">
        <f t="shared" si="26"/>
        <v>153.67024193548389</v>
      </c>
      <c r="W225" s="3">
        <v>221.5</v>
      </c>
      <c r="Y225" s="3">
        <f t="shared" si="24"/>
        <v>95846.499999999942</v>
      </c>
      <c r="Z225" s="3">
        <f t="shared" si="28"/>
        <v>15188.900000000001</v>
      </c>
      <c r="AA225" s="3">
        <v>11.20882070752578</v>
      </c>
    </row>
    <row r="226" spans="1:27" s="3" customFormat="1" x14ac:dyDescent="0.25">
      <c r="A226" s="3">
        <v>5400</v>
      </c>
      <c r="B226" s="3">
        <v>24010</v>
      </c>
      <c r="C226" s="7">
        <v>42804</v>
      </c>
      <c r="F226" s="62"/>
      <c r="G226" s="3">
        <v>9.4</v>
      </c>
      <c r="H226" s="3">
        <v>9.1</v>
      </c>
      <c r="I226" s="3">
        <v>10.7</v>
      </c>
      <c r="J226" s="3">
        <f t="shared" si="23"/>
        <v>1524.5000000000002</v>
      </c>
      <c r="K226" s="3">
        <f t="shared" si="29"/>
        <v>295.39999999999998</v>
      </c>
      <c r="L226" s="23"/>
      <c r="M226" s="3">
        <v>0.1</v>
      </c>
      <c r="N226" s="3">
        <v>0.4</v>
      </c>
      <c r="O226" s="3">
        <f t="shared" si="20"/>
        <v>-0.30000000000000004</v>
      </c>
      <c r="P226" s="3">
        <f t="shared" si="25"/>
        <v>144.59999999999991</v>
      </c>
      <c r="Q226" s="3">
        <v>191</v>
      </c>
      <c r="R226" s="3">
        <f t="shared" si="27"/>
        <v>1.1016129032258064</v>
      </c>
      <c r="S226" s="3">
        <f t="shared" si="21"/>
        <v>0.44064516129032261</v>
      </c>
      <c r="T226" s="28">
        <f t="shared" si="22"/>
        <v>-0.34064516129032263</v>
      </c>
      <c r="U226" s="28">
        <f t="shared" si="26"/>
        <v>153.32959677419356</v>
      </c>
      <c r="W226" s="3">
        <v>322.89999999999998</v>
      </c>
      <c r="Y226" s="3">
        <f t="shared" si="24"/>
        <v>96169.399999999936</v>
      </c>
      <c r="Z226" s="3">
        <f t="shared" si="28"/>
        <v>15511.800000000001</v>
      </c>
      <c r="AA226" s="3">
        <v>11.269261874237142</v>
      </c>
    </row>
    <row r="227" spans="1:27" s="3" customFormat="1" x14ac:dyDescent="0.25">
      <c r="A227" s="3">
        <v>5400</v>
      </c>
      <c r="B227" s="3">
        <v>24010</v>
      </c>
      <c r="C227" s="7">
        <v>42805</v>
      </c>
      <c r="F227" s="62"/>
      <c r="G227" s="3">
        <v>8.9</v>
      </c>
      <c r="H227" s="3">
        <v>3.4</v>
      </c>
      <c r="I227" s="3">
        <v>13.5</v>
      </c>
      <c r="J227" s="3">
        <f t="shared" si="23"/>
        <v>1533.4000000000003</v>
      </c>
      <c r="K227" s="3">
        <f t="shared" si="29"/>
        <v>304.29999999999995</v>
      </c>
      <c r="L227" s="23"/>
      <c r="M227" s="3">
        <v>0</v>
      </c>
      <c r="N227" s="3">
        <v>1</v>
      </c>
      <c r="O227" s="3">
        <f t="shared" si="20"/>
        <v>-1</v>
      </c>
      <c r="P227" s="3">
        <f t="shared" si="25"/>
        <v>143.59999999999991</v>
      </c>
      <c r="Q227" s="3">
        <v>192</v>
      </c>
      <c r="R227" s="3">
        <f t="shared" si="27"/>
        <v>1.1040322580645161</v>
      </c>
      <c r="S227" s="3">
        <f t="shared" si="21"/>
        <v>1.1040322580645161</v>
      </c>
      <c r="T227" s="28">
        <f t="shared" si="22"/>
        <v>-1.1040322580645161</v>
      </c>
      <c r="U227" s="28">
        <f t="shared" si="26"/>
        <v>152.22556451612905</v>
      </c>
      <c r="W227" s="3">
        <v>916</v>
      </c>
      <c r="Y227" s="3">
        <f t="shared" si="24"/>
        <v>97085.399999999936</v>
      </c>
      <c r="Z227" s="3">
        <f t="shared" si="28"/>
        <v>16427.800000000003</v>
      </c>
      <c r="AA227" s="3">
        <v>11.329805121770649</v>
      </c>
    </row>
    <row r="228" spans="1:27" s="3" customFormat="1" x14ac:dyDescent="0.25">
      <c r="A228" s="3">
        <v>5400</v>
      </c>
      <c r="B228" s="3">
        <v>24010</v>
      </c>
      <c r="C228" s="7">
        <v>42806</v>
      </c>
      <c r="F228" s="62"/>
      <c r="G228" s="3">
        <v>10.1</v>
      </c>
      <c r="H228" s="3">
        <v>4.9000000000000004</v>
      </c>
      <c r="I228" s="3">
        <v>16.100000000000001</v>
      </c>
      <c r="J228" s="3">
        <f t="shared" si="23"/>
        <v>1543.5000000000002</v>
      </c>
      <c r="K228" s="3">
        <f t="shared" si="29"/>
        <v>314.39999999999998</v>
      </c>
      <c r="L228" s="23"/>
      <c r="M228" s="3">
        <v>0</v>
      </c>
      <c r="N228" s="3">
        <v>1.6</v>
      </c>
      <c r="O228" s="3">
        <f t="shared" si="20"/>
        <v>-1.6</v>
      </c>
      <c r="P228" s="3">
        <f t="shared" si="25"/>
        <v>141.99999999999991</v>
      </c>
      <c r="Q228" s="3">
        <v>193</v>
      </c>
      <c r="R228" s="3">
        <f t="shared" si="27"/>
        <v>1.1064516129032258</v>
      </c>
      <c r="S228" s="3">
        <f t="shared" si="21"/>
        <v>1.7703225806451615</v>
      </c>
      <c r="T228" s="28">
        <f t="shared" si="22"/>
        <v>-1.7703225806451615</v>
      </c>
      <c r="U228" s="28">
        <f t="shared" si="26"/>
        <v>150.45524193548388</v>
      </c>
      <c r="W228" s="3">
        <v>1078.0999999999999</v>
      </c>
      <c r="Y228" s="3">
        <f t="shared" si="24"/>
        <v>98163.499999999942</v>
      </c>
      <c r="Z228" s="3">
        <f t="shared" si="28"/>
        <v>17505.900000000001</v>
      </c>
      <c r="AA228" s="3">
        <v>11.390441288841842</v>
      </c>
    </row>
    <row r="229" spans="1:27" s="3" customFormat="1" x14ac:dyDescent="0.25">
      <c r="A229" s="3">
        <v>5400</v>
      </c>
      <c r="B229" s="3">
        <v>24010</v>
      </c>
      <c r="C229" s="7">
        <v>42807</v>
      </c>
      <c r="F229" s="62"/>
      <c r="G229" s="3">
        <v>10.1</v>
      </c>
      <c r="H229" s="3">
        <v>8.1</v>
      </c>
      <c r="I229" s="3">
        <v>13</v>
      </c>
      <c r="J229" s="3">
        <f t="shared" si="23"/>
        <v>1553.6000000000001</v>
      </c>
      <c r="K229" s="3">
        <f t="shared" si="29"/>
        <v>324.5</v>
      </c>
      <c r="L229" s="23"/>
      <c r="M229" s="3">
        <v>0.1</v>
      </c>
      <c r="N229" s="3">
        <v>0.8</v>
      </c>
      <c r="O229" s="3">
        <f t="shared" ref="O229:O292" si="30">M229-N229</f>
        <v>-0.70000000000000007</v>
      </c>
      <c r="P229" s="3">
        <f t="shared" si="25"/>
        <v>141.29999999999993</v>
      </c>
      <c r="Q229" s="3">
        <v>194</v>
      </c>
      <c r="R229" s="3">
        <f t="shared" si="27"/>
        <v>1.1088709677419355</v>
      </c>
      <c r="S229" s="3">
        <f t="shared" ref="S229:S292" si="31">R229*N229</f>
        <v>0.88709677419354849</v>
      </c>
      <c r="T229" s="28">
        <f t="shared" ref="T229:T292" si="32">M229-S229</f>
        <v>-0.78709677419354851</v>
      </c>
      <c r="U229" s="28">
        <f t="shared" si="26"/>
        <v>149.66814516129034</v>
      </c>
      <c r="W229" s="3">
        <v>585.70000000000005</v>
      </c>
      <c r="Y229" s="3">
        <f t="shared" si="24"/>
        <v>98749.199999999939</v>
      </c>
      <c r="Z229" s="3">
        <f t="shared" si="28"/>
        <v>18091.600000000002</v>
      </c>
      <c r="AA229" s="3">
        <v>11.451161384151062</v>
      </c>
    </row>
    <row r="230" spans="1:27" s="3" customFormat="1" x14ac:dyDescent="0.25">
      <c r="A230" s="3">
        <v>5400</v>
      </c>
      <c r="B230" s="3">
        <v>24010</v>
      </c>
      <c r="C230" s="7">
        <v>42808</v>
      </c>
      <c r="F230" s="62"/>
      <c r="G230" s="3">
        <v>8.1999999999999993</v>
      </c>
      <c r="H230" s="3">
        <v>0.8</v>
      </c>
      <c r="I230" s="3">
        <v>12.9</v>
      </c>
      <c r="J230" s="3">
        <f t="shared" ref="J230:J293" si="33">J229+G230</f>
        <v>1561.8000000000002</v>
      </c>
      <c r="K230" s="3">
        <f t="shared" si="29"/>
        <v>332.7</v>
      </c>
      <c r="L230" s="23"/>
      <c r="M230" s="3">
        <v>0</v>
      </c>
      <c r="N230" s="3">
        <v>0.7</v>
      </c>
      <c r="O230" s="3">
        <f t="shared" si="30"/>
        <v>-0.7</v>
      </c>
      <c r="P230" s="3">
        <f t="shared" si="25"/>
        <v>140.59999999999994</v>
      </c>
      <c r="Q230" s="3">
        <v>195</v>
      </c>
      <c r="R230" s="3">
        <f t="shared" si="27"/>
        <v>1.1112903225806452</v>
      </c>
      <c r="S230" s="3">
        <f t="shared" si="31"/>
        <v>0.77790322580645155</v>
      </c>
      <c r="T230" s="28">
        <f t="shared" si="32"/>
        <v>-0.77790322580645155</v>
      </c>
      <c r="U230" s="28">
        <f t="shared" si="26"/>
        <v>148.89024193548389</v>
      </c>
      <c r="W230" s="3">
        <v>848.3</v>
      </c>
      <c r="Y230" s="3">
        <f t="shared" ref="Y230:Y293" si="34">Y229+W230</f>
        <v>99597.499999999942</v>
      </c>
      <c r="Z230" s="3">
        <f t="shared" si="28"/>
        <v>18939.900000000001</v>
      </c>
      <c r="AA230" s="3">
        <v>11.511956571289026</v>
      </c>
    </row>
    <row r="231" spans="1:27" s="3" customFormat="1" x14ac:dyDescent="0.25">
      <c r="A231" s="3">
        <v>5400</v>
      </c>
      <c r="B231" s="3">
        <v>24010</v>
      </c>
      <c r="C231" s="7">
        <v>42809</v>
      </c>
      <c r="F231" s="62"/>
      <c r="G231" s="3">
        <v>10.1</v>
      </c>
      <c r="H231" s="3">
        <v>8.9</v>
      </c>
      <c r="I231" s="3">
        <v>12</v>
      </c>
      <c r="J231" s="3">
        <f t="shared" si="33"/>
        <v>1571.9</v>
      </c>
      <c r="K231" s="3">
        <f t="shared" si="29"/>
        <v>342.8</v>
      </c>
      <c r="L231" s="23"/>
      <c r="M231" s="3">
        <v>0</v>
      </c>
      <c r="N231" s="3">
        <v>0.6</v>
      </c>
      <c r="O231" s="3">
        <f t="shared" si="30"/>
        <v>-0.6</v>
      </c>
      <c r="P231" s="3">
        <f t="shared" si="25"/>
        <v>139.99999999999994</v>
      </c>
      <c r="Q231" s="3">
        <v>196</v>
      </c>
      <c r="R231" s="3">
        <f t="shared" si="27"/>
        <v>1.1137096774193547</v>
      </c>
      <c r="S231" s="3">
        <f t="shared" si="31"/>
        <v>0.66822580645161278</v>
      </c>
      <c r="T231" s="28">
        <f t="shared" si="32"/>
        <v>-0.66822580645161278</v>
      </c>
      <c r="U231" s="28">
        <f t="shared" si="26"/>
        <v>148.22201612903228</v>
      </c>
      <c r="W231" s="3">
        <v>567.20000000000005</v>
      </c>
      <c r="Y231" s="3">
        <f t="shared" si="34"/>
        <v>100164.69999999994</v>
      </c>
      <c r="Z231" s="3">
        <f t="shared" si="28"/>
        <v>19507.100000000002</v>
      </c>
      <c r="AA231" s="3">
        <v>11.572818153533236</v>
      </c>
    </row>
    <row r="232" spans="1:27" s="3" customFormat="1" x14ac:dyDescent="0.25">
      <c r="A232" s="3">
        <v>5400</v>
      </c>
      <c r="B232" s="3">
        <v>24010</v>
      </c>
      <c r="C232" s="7">
        <v>42810</v>
      </c>
      <c r="F232" s="62"/>
      <c r="G232" s="3">
        <v>10.9</v>
      </c>
      <c r="H232" s="3">
        <v>3.7</v>
      </c>
      <c r="I232" s="3">
        <v>16.600000000000001</v>
      </c>
      <c r="J232" s="3">
        <f t="shared" si="33"/>
        <v>1582.8000000000002</v>
      </c>
      <c r="K232" s="3">
        <f t="shared" si="29"/>
        <v>353.7</v>
      </c>
      <c r="L232" s="23"/>
      <c r="M232" s="3">
        <v>0</v>
      </c>
      <c r="N232" s="3">
        <v>2.2000000000000002</v>
      </c>
      <c r="O232" s="3">
        <f t="shared" si="30"/>
        <v>-2.2000000000000002</v>
      </c>
      <c r="P232" s="3">
        <f t="shared" ref="P232:P295" si="35">O232+P231</f>
        <v>137.79999999999995</v>
      </c>
      <c r="Q232" s="3">
        <v>197</v>
      </c>
      <c r="R232" s="3">
        <f t="shared" si="27"/>
        <v>1.1161290322580644</v>
      </c>
      <c r="S232" s="3">
        <f t="shared" si="31"/>
        <v>2.455483870967742</v>
      </c>
      <c r="T232" s="28">
        <f t="shared" si="32"/>
        <v>-2.455483870967742</v>
      </c>
      <c r="U232" s="28">
        <f t="shared" ref="U232:U295" si="36">MIN(U231+T232,153.9)</f>
        <v>145.76653225806453</v>
      </c>
      <c r="W232" s="3">
        <v>1718.2</v>
      </c>
      <c r="Y232" s="3">
        <f t="shared" si="34"/>
        <v>101882.89999999994</v>
      </c>
      <c r="Z232" s="3">
        <f t="shared" si="28"/>
        <v>21225.300000000003</v>
      </c>
      <c r="AA232" s="3">
        <v>11.633737558549445</v>
      </c>
    </row>
    <row r="233" spans="1:27" s="3" customFormat="1" x14ac:dyDescent="0.25">
      <c r="A233" s="3">
        <v>5400</v>
      </c>
      <c r="B233" s="3">
        <v>24010</v>
      </c>
      <c r="C233" s="7">
        <v>42811</v>
      </c>
      <c r="F233" s="62"/>
      <c r="G233" s="3">
        <v>9.5</v>
      </c>
      <c r="H233" s="3">
        <v>8.1</v>
      </c>
      <c r="I233" s="3">
        <v>11.9</v>
      </c>
      <c r="J233" s="3">
        <f t="shared" si="33"/>
        <v>1592.3000000000002</v>
      </c>
      <c r="K233" s="3">
        <f t="shared" si="29"/>
        <v>363.2</v>
      </c>
      <c r="L233" s="23"/>
      <c r="M233" s="3">
        <v>0.1</v>
      </c>
      <c r="N233" s="3">
        <v>1</v>
      </c>
      <c r="O233" s="3">
        <f t="shared" si="30"/>
        <v>-0.9</v>
      </c>
      <c r="P233" s="3">
        <f t="shared" si="35"/>
        <v>136.89999999999995</v>
      </c>
      <c r="Q233" s="3">
        <v>198</v>
      </c>
      <c r="R233" s="3">
        <f t="shared" si="27"/>
        <v>1.1185483870967741</v>
      </c>
      <c r="S233" s="3">
        <f t="shared" si="31"/>
        <v>1.1185483870967741</v>
      </c>
      <c r="T233" s="28">
        <f t="shared" si="32"/>
        <v>-1.018548387096774</v>
      </c>
      <c r="U233" s="28">
        <f t="shared" si="36"/>
        <v>144.74798387096774</v>
      </c>
      <c r="W233" s="3">
        <v>538.29999999999995</v>
      </c>
      <c r="Y233" s="3">
        <f t="shared" si="34"/>
        <v>102421.19999999994</v>
      </c>
      <c r="Z233" s="3">
        <f t="shared" si="28"/>
        <v>21763.600000000002</v>
      </c>
      <c r="AA233" s="3">
        <v>11.694706323011433</v>
      </c>
    </row>
    <row r="234" spans="1:27" s="3" customFormat="1" x14ac:dyDescent="0.25">
      <c r="A234" s="3">
        <v>5400</v>
      </c>
      <c r="B234" s="3">
        <v>24010</v>
      </c>
      <c r="C234" s="7">
        <v>42812</v>
      </c>
      <c r="F234" s="62"/>
      <c r="G234" s="3">
        <v>10.3</v>
      </c>
      <c r="H234" s="3">
        <v>7.1</v>
      </c>
      <c r="I234" s="3">
        <v>12.4</v>
      </c>
      <c r="J234" s="3">
        <f t="shared" si="33"/>
        <v>1602.6000000000001</v>
      </c>
      <c r="K234" s="3">
        <f t="shared" si="29"/>
        <v>373.5</v>
      </c>
      <c r="L234" s="23"/>
      <c r="M234" s="3">
        <v>0.1</v>
      </c>
      <c r="N234" s="3">
        <v>0.5</v>
      </c>
      <c r="O234" s="3">
        <f t="shared" si="30"/>
        <v>-0.4</v>
      </c>
      <c r="P234" s="3">
        <f t="shared" si="35"/>
        <v>136.49999999999994</v>
      </c>
      <c r="Q234" s="3">
        <v>199</v>
      </c>
      <c r="R234" s="3">
        <f t="shared" si="27"/>
        <v>1.1209677419354838</v>
      </c>
      <c r="S234" s="3">
        <f t="shared" si="31"/>
        <v>0.56048387096774188</v>
      </c>
      <c r="T234" s="28">
        <f t="shared" si="32"/>
        <v>-0.4604838709677419</v>
      </c>
      <c r="U234" s="28">
        <f t="shared" si="36"/>
        <v>144.28749999999999</v>
      </c>
      <c r="W234" s="3">
        <v>355.9</v>
      </c>
      <c r="Y234" s="3">
        <f t="shared" si="34"/>
        <v>102777.09999999993</v>
      </c>
      <c r="Z234" s="3">
        <f t="shared" si="28"/>
        <v>22119.500000000004</v>
      </c>
      <c r="AA234" s="3">
        <v>11.755716077151309</v>
      </c>
    </row>
    <row r="235" spans="1:27" s="3" customFormat="1" x14ac:dyDescent="0.25">
      <c r="A235" s="3">
        <v>5400</v>
      </c>
      <c r="B235" s="3">
        <v>24010</v>
      </c>
      <c r="C235" s="7">
        <v>42813</v>
      </c>
      <c r="F235" s="62"/>
      <c r="G235" s="3">
        <v>11.3</v>
      </c>
      <c r="H235" s="3">
        <v>10.4</v>
      </c>
      <c r="I235" s="3">
        <v>12.3</v>
      </c>
      <c r="J235" s="3">
        <f t="shared" si="33"/>
        <v>1613.9</v>
      </c>
      <c r="K235" s="3">
        <f t="shared" si="29"/>
        <v>384.8</v>
      </c>
      <c r="L235" s="23"/>
      <c r="M235" s="3">
        <v>0</v>
      </c>
      <c r="N235" s="3">
        <v>0.7</v>
      </c>
      <c r="O235" s="3">
        <f t="shared" si="30"/>
        <v>-0.7</v>
      </c>
      <c r="P235" s="3">
        <f t="shared" si="35"/>
        <v>135.79999999999995</v>
      </c>
      <c r="Q235" s="3">
        <v>200</v>
      </c>
      <c r="R235" s="3">
        <f t="shared" si="27"/>
        <v>1.1233870967741935</v>
      </c>
      <c r="S235" s="3">
        <f t="shared" si="31"/>
        <v>0.78637096774193538</v>
      </c>
      <c r="T235" s="28">
        <f t="shared" si="32"/>
        <v>-0.78637096774193538</v>
      </c>
      <c r="U235" s="28">
        <f t="shared" si="36"/>
        <v>143.50112903225806</v>
      </c>
      <c r="W235" s="3">
        <v>211.2</v>
      </c>
      <c r="Y235" s="3">
        <f t="shared" si="34"/>
        <v>102988.29999999993</v>
      </c>
      <c r="Z235" s="3">
        <f t="shared" si="28"/>
        <v>22330.700000000004</v>
      </c>
      <c r="AA235" s="3">
        <v>11.816758529251816</v>
      </c>
    </row>
    <row r="236" spans="1:27" s="3" customFormat="1" x14ac:dyDescent="0.25">
      <c r="A236" s="3">
        <v>5400</v>
      </c>
      <c r="B236" s="3">
        <v>24010</v>
      </c>
      <c r="C236" s="7">
        <v>42814</v>
      </c>
      <c r="F236" s="62"/>
      <c r="G236" s="3">
        <v>10.4</v>
      </c>
      <c r="H236" s="3">
        <v>8.8000000000000007</v>
      </c>
      <c r="I236" s="3">
        <v>11.5</v>
      </c>
      <c r="J236" s="3">
        <f t="shared" si="33"/>
        <v>1624.3000000000002</v>
      </c>
      <c r="K236" s="3">
        <f t="shared" si="29"/>
        <v>395.2</v>
      </c>
      <c r="L236" s="23"/>
      <c r="M236" s="3">
        <v>0.1</v>
      </c>
      <c r="N236" s="3">
        <v>0.8</v>
      </c>
      <c r="O236" s="3">
        <f t="shared" si="30"/>
        <v>-0.70000000000000007</v>
      </c>
      <c r="P236" s="3">
        <f t="shared" si="35"/>
        <v>135.09999999999997</v>
      </c>
      <c r="Q236" s="3">
        <v>201</v>
      </c>
      <c r="R236" s="3">
        <f t="shared" si="27"/>
        <v>1.1258064516129032</v>
      </c>
      <c r="S236" s="3">
        <f t="shared" si="31"/>
        <v>0.90064516129032257</v>
      </c>
      <c r="T236" s="28">
        <f t="shared" si="32"/>
        <v>-0.80064516129032259</v>
      </c>
      <c r="U236" s="28">
        <f t="shared" si="36"/>
        <v>142.70048387096773</v>
      </c>
      <c r="W236" s="3">
        <v>194.2</v>
      </c>
      <c r="Y236" s="3">
        <f t="shared" si="34"/>
        <v>103182.49999999993</v>
      </c>
      <c r="Z236" s="3">
        <f t="shared" si="28"/>
        <v>22524.900000000005</v>
      </c>
      <c r="AA236" s="3">
        <v>11.877825450091386</v>
      </c>
    </row>
    <row r="237" spans="1:27" s="3" customFormat="1" x14ac:dyDescent="0.25">
      <c r="A237" s="3">
        <v>5400</v>
      </c>
      <c r="B237" s="3">
        <v>24010</v>
      </c>
      <c r="C237" s="7">
        <v>42815</v>
      </c>
      <c r="F237" s="62"/>
      <c r="G237" s="3">
        <v>7.9</v>
      </c>
      <c r="H237" s="3">
        <v>7.8</v>
      </c>
      <c r="I237" s="3">
        <v>9.3000000000000007</v>
      </c>
      <c r="J237" s="3">
        <f t="shared" si="33"/>
        <v>1632.2000000000003</v>
      </c>
      <c r="K237" s="3">
        <f t="shared" si="29"/>
        <v>403.09999999999997</v>
      </c>
      <c r="L237" s="23"/>
      <c r="M237" s="3">
        <v>0.4</v>
      </c>
      <c r="N237" s="3">
        <v>0.9</v>
      </c>
      <c r="O237" s="3">
        <f t="shared" si="30"/>
        <v>-0.5</v>
      </c>
      <c r="P237" s="3">
        <f t="shared" si="35"/>
        <v>134.59999999999997</v>
      </c>
      <c r="Q237" s="3">
        <v>202</v>
      </c>
      <c r="R237" s="3">
        <f t="shared" si="27"/>
        <v>1.1282258064516129</v>
      </c>
      <c r="S237" s="3">
        <f t="shared" si="31"/>
        <v>1.0154032258064516</v>
      </c>
      <c r="T237" s="28">
        <f t="shared" si="32"/>
        <v>-0.61540322580645157</v>
      </c>
      <c r="U237" s="28">
        <f t="shared" si="36"/>
        <v>142.08508064516127</v>
      </c>
      <c r="W237" s="3">
        <v>855.1</v>
      </c>
      <c r="Y237" s="3">
        <f t="shared" si="34"/>
        <v>104037.59999999993</v>
      </c>
      <c r="Z237" s="3">
        <f t="shared" si="28"/>
        <v>23380.000000000004</v>
      </c>
      <c r="AA237" s="3">
        <v>11.938908657352055</v>
      </c>
    </row>
    <row r="238" spans="1:27" s="3" customFormat="1" x14ac:dyDescent="0.25">
      <c r="A238" s="3">
        <v>5400</v>
      </c>
      <c r="B238" s="3">
        <v>24010</v>
      </c>
      <c r="C238" s="7">
        <v>42816</v>
      </c>
      <c r="F238" s="62"/>
      <c r="G238" s="3">
        <v>6.4</v>
      </c>
      <c r="H238" s="3">
        <v>2.7</v>
      </c>
      <c r="I238" s="3">
        <v>10.199999999999999</v>
      </c>
      <c r="J238" s="3">
        <f t="shared" si="33"/>
        <v>1638.6000000000004</v>
      </c>
      <c r="K238" s="3">
        <f t="shared" si="29"/>
        <v>409.49999999999994</v>
      </c>
      <c r="L238" s="23"/>
      <c r="M238" s="3">
        <v>8.3000000000000007</v>
      </c>
      <c r="N238" s="3">
        <v>0.7</v>
      </c>
      <c r="O238" s="3">
        <f t="shared" si="30"/>
        <v>7.6000000000000005</v>
      </c>
      <c r="P238" s="3">
        <f t="shared" si="35"/>
        <v>142.19999999999996</v>
      </c>
      <c r="Q238" s="3">
        <v>203</v>
      </c>
      <c r="R238" s="3">
        <f t="shared" si="27"/>
        <v>1.1306451612903226</v>
      </c>
      <c r="S238" s="3">
        <f t="shared" si="31"/>
        <v>0.79145161290322574</v>
      </c>
      <c r="T238" s="28">
        <f t="shared" si="32"/>
        <v>7.5085483870967753</v>
      </c>
      <c r="U238" s="28">
        <f t="shared" si="36"/>
        <v>149.59362903225804</v>
      </c>
      <c r="W238" s="3">
        <v>531.20000000000005</v>
      </c>
      <c r="Y238" s="3">
        <f t="shared" si="34"/>
        <v>104568.79999999993</v>
      </c>
      <c r="Z238" s="3">
        <f t="shared" si="28"/>
        <v>23911.200000000004</v>
      </c>
      <c r="AA238" s="3">
        <v>12</v>
      </c>
    </row>
    <row r="239" spans="1:27" s="3" customFormat="1" x14ac:dyDescent="0.25">
      <c r="A239" s="3">
        <v>5400</v>
      </c>
      <c r="B239" s="3">
        <v>24010</v>
      </c>
      <c r="C239" s="7">
        <v>42817</v>
      </c>
      <c r="F239" s="62"/>
      <c r="G239" s="3">
        <v>7</v>
      </c>
      <c r="H239" s="3">
        <v>5.4</v>
      </c>
      <c r="I239" s="3">
        <v>8.6</v>
      </c>
      <c r="J239" s="3">
        <f t="shared" si="33"/>
        <v>1645.6000000000004</v>
      </c>
      <c r="K239" s="3">
        <f t="shared" si="29"/>
        <v>416.49999999999994</v>
      </c>
      <c r="L239" s="23"/>
      <c r="M239" s="3">
        <v>5.2</v>
      </c>
      <c r="N239" s="3">
        <v>0.6</v>
      </c>
      <c r="O239" s="3">
        <f t="shared" si="30"/>
        <v>4.6000000000000005</v>
      </c>
      <c r="P239" s="3">
        <f t="shared" si="35"/>
        <v>146.79999999999995</v>
      </c>
      <c r="Q239" s="3">
        <v>204</v>
      </c>
      <c r="R239" s="3">
        <f t="shared" si="27"/>
        <v>1.1330645161290323</v>
      </c>
      <c r="S239" s="3">
        <f t="shared" si="31"/>
        <v>0.67983870967741933</v>
      </c>
      <c r="T239" s="28">
        <f t="shared" si="32"/>
        <v>4.520161290322581</v>
      </c>
      <c r="U239" s="28">
        <f t="shared" si="36"/>
        <v>153.9</v>
      </c>
      <c r="W239" s="3">
        <v>270.3</v>
      </c>
      <c r="Y239" s="3">
        <f t="shared" si="34"/>
        <v>104839.09999999993</v>
      </c>
      <c r="Z239" s="3">
        <f t="shared" si="28"/>
        <v>24181.500000000004</v>
      </c>
      <c r="AA239" s="3">
        <v>12.061091342647943</v>
      </c>
    </row>
    <row r="240" spans="1:27" s="3" customFormat="1" x14ac:dyDescent="0.25">
      <c r="A240" s="3">
        <v>5400</v>
      </c>
      <c r="B240" s="3">
        <v>24010</v>
      </c>
      <c r="C240" s="7">
        <v>42818</v>
      </c>
      <c r="F240" s="62"/>
      <c r="G240" s="3">
        <v>8.1999999999999993</v>
      </c>
      <c r="H240" s="3">
        <v>2.8</v>
      </c>
      <c r="I240" s="3">
        <v>11.2</v>
      </c>
      <c r="J240" s="3">
        <f t="shared" si="33"/>
        <v>1653.8000000000004</v>
      </c>
      <c r="K240" s="3">
        <f t="shared" si="29"/>
        <v>424.69999999999993</v>
      </c>
      <c r="L240" s="23"/>
      <c r="M240" s="3">
        <v>0.2</v>
      </c>
      <c r="N240" s="3">
        <v>0.3</v>
      </c>
      <c r="O240" s="3">
        <f t="shared" si="30"/>
        <v>-9.9999999999999978E-2</v>
      </c>
      <c r="P240" s="3">
        <f t="shared" si="35"/>
        <v>146.69999999999996</v>
      </c>
      <c r="Q240" s="3">
        <v>205</v>
      </c>
      <c r="R240" s="3">
        <f t="shared" si="27"/>
        <v>1.1354838709677419</v>
      </c>
      <c r="S240" s="3">
        <f t="shared" si="31"/>
        <v>0.34064516129032257</v>
      </c>
      <c r="T240" s="28">
        <f t="shared" si="32"/>
        <v>-0.14064516129032256</v>
      </c>
      <c r="U240" s="28">
        <f t="shared" si="36"/>
        <v>153.75935483870967</v>
      </c>
      <c r="W240" s="3">
        <v>481.2</v>
      </c>
      <c r="Y240" s="3">
        <f t="shared" si="34"/>
        <v>105320.29999999993</v>
      </c>
      <c r="Z240" s="3">
        <f t="shared" si="28"/>
        <v>24662.700000000004</v>
      </c>
      <c r="AA240" s="3">
        <v>12.122174549908614</v>
      </c>
    </row>
    <row r="241" spans="1:28" s="3" customFormat="1" x14ac:dyDescent="0.25">
      <c r="A241" s="3">
        <v>5400</v>
      </c>
      <c r="B241" s="3">
        <v>24010</v>
      </c>
      <c r="C241" s="7">
        <v>42819</v>
      </c>
      <c r="F241" s="62"/>
      <c r="G241" s="3">
        <v>11.4</v>
      </c>
      <c r="H241" s="3">
        <v>7</v>
      </c>
      <c r="I241" s="3">
        <v>15.1</v>
      </c>
      <c r="J241" s="3">
        <f t="shared" si="33"/>
        <v>1665.2000000000005</v>
      </c>
      <c r="K241" s="3">
        <f t="shared" si="29"/>
        <v>436.09999999999991</v>
      </c>
      <c r="L241" s="23"/>
      <c r="M241" s="3">
        <v>0</v>
      </c>
      <c r="N241" s="3">
        <v>2.7</v>
      </c>
      <c r="O241" s="3">
        <f t="shared" si="30"/>
        <v>-2.7</v>
      </c>
      <c r="P241" s="3">
        <f t="shared" si="35"/>
        <v>143.99999999999997</v>
      </c>
      <c r="Q241" s="3">
        <v>206</v>
      </c>
      <c r="R241" s="3">
        <f t="shared" si="27"/>
        <v>1.1379032258064514</v>
      </c>
      <c r="S241" s="3">
        <f t="shared" si="31"/>
        <v>3.0723387096774188</v>
      </c>
      <c r="T241" s="28">
        <f t="shared" si="32"/>
        <v>-3.0723387096774188</v>
      </c>
      <c r="U241" s="28">
        <f t="shared" si="36"/>
        <v>150.68701612903226</v>
      </c>
      <c r="W241" s="3">
        <v>1834.8</v>
      </c>
      <c r="Y241" s="3">
        <f t="shared" si="34"/>
        <v>107155.09999999993</v>
      </c>
      <c r="Z241" s="3">
        <f t="shared" si="28"/>
        <v>26497.500000000004</v>
      </c>
      <c r="AA241" s="3">
        <v>12.183241470748182</v>
      </c>
    </row>
    <row r="242" spans="1:28" s="3" customFormat="1" x14ac:dyDescent="0.25">
      <c r="A242" s="3">
        <v>5400</v>
      </c>
      <c r="B242" s="3">
        <v>24010</v>
      </c>
      <c r="C242" s="7">
        <v>42820</v>
      </c>
      <c r="F242" s="62"/>
      <c r="G242" s="3">
        <v>10.8</v>
      </c>
      <c r="H242" s="3">
        <v>5.8</v>
      </c>
      <c r="I242" s="3">
        <v>14.4</v>
      </c>
      <c r="J242" s="3">
        <f t="shared" si="33"/>
        <v>1676.0000000000005</v>
      </c>
      <c r="K242" s="3">
        <f t="shared" si="29"/>
        <v>446.89999999999992</v>
      </c>
      <c r="L242" s="23"/>
      <c r="M242" s="3">
        <v>0</v>
      </c>
      <c r="N242" s="3">
        <v>2.2000000000000002</v>
      </c>
      <c r="O242" s="3">
        <f t="shared" si="30"/>
        <v>-2.2000000000000002</v>
      </c>
      <c r="P242" s="3">
        <f t="shared" si="35"/>
        <v>141.79999999999998</v>
      </c>
      <c r="Q242" s="3">
        <v>207</v>
      </c>
      <c r="R242" s="3">
        <f t="shared" si="27"/>
        <v>1.1403225806451611</v>
      </c>
      <c r="S242" s="3">
        <f t="shared" si="31"/>
        <v>2.5087096774193545</v>
      </c>
      <c r="T242" s="28">
        <f t="shared" si="32"/>
        <v>-2.5087096774193545</v>
      </c>
      <c r="U242" s="28">
        <f t="shared" si="36"/>
        <v>148.17830645161291</v>
      </c>
      <c r="W242" s="3">
        <v>1628.5</v>
      </c>
      <c r="Y242" s="3">
        <f t="shared" si="34"/>
        <v>108783.59999999993</v>
      </c>
      <c r="Z242" s="3">
        <f t="shared" si="28"/>
        <v>28126.000000000004</v>
      </c>
      <c r="AA242" s="3">
        <v>12.244283922848691</v>
      </c>
    </row>
    <row r="243" spans="1:28" s="3" customFormat="1" x14ac:dyDescent="0.25">
      <c r="A243" s="3">
        <v>5400</v>
      </c>
      <c r="B243" s="3">
        <v>24010</v>
      </c>
      <c r="C243" s="7">
        <v>42821</v>
      </c>
      <c r="F243" s="62"/>
      <c r="G243" s="3">
        <v>11.9</v>
      </c>
      <c r="H243" s="3">
        <v>7.1</v>
      </c>
      <c r="I243" s="3">
        <v>17.399999999999999</v>
      </c>
      <c r="J243" s="3">
        <f t="shared" si="33"/>
        <v>1687.9000000000005</v>
      </c>
      <c r="K243" s="3">
        <f t="shared" si="29"/>
        <v>458.7999999999999</v>
      </c>
      <c r="L243" s="23"/>
      <c r="M243" s="3">
        <v>0</v>
      </c>
      <c r="N243" s="3">
        <v>2.6</v>
      </c>
      <c r="O243" s="3">
        <f t="shared" si="30"/>
        <v>-2.6</v>
      </c>
      <c r="P243" s="3">
        <f t="shared" si="35"/>
        <v>139.19999999999999</v>
      </c>
      <c r="Q243" s="3">
        <v>208</v>
      </c>
      <c r="R243" s="3">
        <f t="shared" si="27"/>
        <v>1.1427419354838708</v>
      </c>
      <c r="S243" s="3">
        <f t="shared" si="31"/>
        <v>2.9711290322580641</v>
      </c>
      <c r="T243" s="28">
        <f t="shared" si="32"/>
        <v>-2.9711290322580641</v>
      </c>
      <c r="U243" s="28">
        <f t="shared" si="36"/>
        <v>145.20717741935485</v>
      </c>
      <c r="W243" s="3">
        <v>1649.1</v>
      </c>
      <c r="Y243" s="3">
        <f t="shared" si="34"/>
        <v>110432.69999999994</v>
      </c>
      <c r="Z243" s="3">
        <f t="shared" si="28"/>
        <v>29775.100000000002</v>
      </c>
      <c r="AA243" s="3">
        <v>12.305293676988565</v>
      </c>
    </row>
    <row r="244" spans="1:28" s="3" customFormat="1" x14ac:dyDescent="0.25">
      <c r="A244" s="3">
        <v>5400</v>
      </c>
      <c r="B244" s="3">
        <v>24010</v>
      </c>
      <c r="C244" s="7">
        <v>42822</v>
      </c>
      <c r="F244" s="62"/>
      <c r="G244" s="3">
        <v>10.6</v>
      </c>
      <c r="H244" s="3">
        <v>5.7</v>
      </c>
      <c r="I244" s="3">
        <v>15.4</v>
      </c>
      <c r="J244" s="3">
        <f t="shared" si="33"/>
        <v>1698.5000000000005</v>
      </c>
      <c r="K244" s="3">
        <f t="shared" si="29"/>
        <v>469.39999999999992</v>
      </c>
      <c r="L244" s="23"/>
      <c r="M244" s="3">
        <v>0.4</v>
      </c>
      <c r="N244" s="3">
        <v>1.1000000000000001</v>
      </c>
      <c r="O244" s="3">
        <f t="shared" si="30"/>
        <v>-0.70000000000000007</v>
      </c>
      <c r="P244" s="3">
        <f t="shared" si="35"/>
        <v>138.5</v>
      </c>
      <c r="Q244" s="3">
        <v>209</v>
      </c>
      <c r="R244" s="3">
        <f t="shared" si="27"/>
        <v>1.1451612903225805</v>
      </c>
      <c r="S244" s="3">
        <f t="shared" si="31"/>
        <v>1.2596774193548386</v>
      </c>
      <c r="T244" s="28">
        <f t="shared" si="32"/>
        <v>-0.85967741935483855</v>
      </c>
      <c r="U244" s="28">
        <f t="shared" si="36"/>
        <v>144.3475</v>
      </c>
      <c r="W244" s="3">
        <v>859.2</v>
      </c>
      <c r="Y244" s="3">
        <f t="shared" si="34"/>
        <v>111291.89999999994</v>
      </c>
      <c r="Z244" s="3">
        <f t="shared" si="28"/>
        <v>30634.300000000003</v>
      </c>
      <c r="AA244" s="3">
        <v>12.366262441450555</v>
      </c>
    </row>
    <row r="245" spans="1:28" s="3" customFormat="1" x14ac:dyDescent="0.25">
      <c r="A245" s="3">
        <v>5400</v>
      </c>
      <c r="B245" s="3">
        <v>24010</v>
      </c>
      <c r="C245" s="7">
        <v>42823</v>
      </c>
      <c r="F245" s="62"/>
      <c r="G245" s="3">
        <v>12.6</v>
      </c>
      <c r="H245" s="3">
        <v>6.3</v>
      </c>
      <c r="I245" s="3">
        <v>18</v>
      </c>
      <c r="J245" s="3">
        <f t="shared" si="33"/>
        <v>1711.1000000000004</v>
      </c>
      <c r="K245" s="3">
        <f t="shared" si="29"/>
        <v>481.99999999999994</v>
      </c>
      <c r="L245" s="23"/>
      <c r="M245" s="3">
        <v>0</v>
      </c>
      <c r="N245" s="3">
        <v>2.1</v>
      </c>
      <c r="O245" s="3">
        <f t="shared" si="30"/>
        <v>-2.1</v>
      </c>
      <c r="P245" s="3">
        <f t="shared" si="35"/>
        <v>136.4</v>
      </c>
      <c r="Q245" s="3">
        <v>210</v>
      </c>
      <c r="R245" s="3">
        <f t="shared" si="27"/>
        <v>1.1475806451612902</v>
      </c>
      <c r="S245" s="3">
        <f t="shared" si="31"/>
        <v>2.4099193548387094</v>
      </c>
      <c r="T245" s="28">
        <f t="shared" si="32"/>
        <v>-2.4099193548387094</v>
      </c>
      <c r="U245" s="28">
        <f t="shared" si="36"/>
        <v>141.93758064516129</v>
      </c>
      <c r="W245" s="3">
        <v>1345.8</v>
      </c>
      <c r="Y245" s="3">
        <f t="shared" si="34"/>
        <v>112637.69999999994</v>
      </c>
      <c r="Z245" s="3">
        <f t="shared" si="28"/>
        <v>31980.100000000002</v>
      </c>
      <c r="AA245" s="3">
        <v>12.427181846466764</v>
      </c>
    </row>
    <row r="246" spans="1:28" s="21" customFormat="1" ht="15.75" thickBot="1" x14ac:dyDescent="0.3">
      <c r="A246" s="21">
        <v>5400</v>
      </c>
      <c r="B246" s="21">
        <v>24010</v>
      </c>
      <c r="C246" s="22">
        <v>42824</v>
      </c>
      <c r="F246" s="69"/>
      <c r="G246" s="21">
        <v>14.6</v>
      </c>
      <c r="H246" s="21">
        <v>6.9</v>
      </c>
      <c r="I246" s="21">
        <v>21.1</v>
      </c>
      <c r="J246" s="21">
        <f t="shared" si="33"/>
        <v>1725.7000000000003</v>
      </c>
      <c r="K246" s="21">
        <f t="shared" si="29"/>
        <v>496.59999999999997</v>
      </c>
      <c r="L246" s="25"/>
      <c r="M246" s="21">
        <v>0</v>
      </c>
      <c r="N246" s="21">
        <v>2.7</v>
      </c>
      <c r="O246" s="21">
        <f t="shared" si="30"/>
        <v>-2.7</v>
      </c>
      <c r="P246" s="21">
        <f t="shared" si="35"/>
        <v>133.70000000000002</v>
      </c>
      <c r="Q246" s="21">
        <v>211</v>
      </c>
      <c r="R246" s="3">
        <f t="shared" si="27"/>
        <v>1.1499999999999999</v>
      </c>
      <c r="S246" s="21">
        <f t="shared" si="31"/>
        <v>3.105</v>
      </c>
      <c r="T246" s="29">
        <f t="shared" si="32"/>
        <v>-3.105</v>
      </c>
      <c r="U246" s="28">
        <f t="shared" si="36"/>
        <v>138.8325806451613</v>
      </c>
      <c r="W246" s="21">
        <v>1605.8</v>
      </c>
      <c r="Y246" s="21">
        <f t="shared" si="34"/>
        <v>114243.49999999994</v>
      </c>
      <c r="Z246" s="21">
        <f t="shared" si="28"/>
        <v>33585.9</v>
      </c>
      <c r="AA246" s="21">
        <v>12.488043428710972</v>
      </c>
    </row>
    <row r="247" spans="1:28" s="3" customFormat="1" x14ac:dyDescent="0.25">
      <c r="A247" s="3">
        <v>5400</v>
      </c>
      <c r="B247" s="3">
        <v>24010</v>
      </c>
      <c r="C247" s="7">
        <v>42825</v>
      </c>
      <c r="D247" s="3" t="s">
        <v>13</v>
      </c>
      <c r="F247" s="63" t="s">
        <v>49</v>
      </c>
      <c r="G247" s="3">
        <v>13.4</v>
      </c>
      <c r="H247" s="3">
        <v>11.6</v>
      </c>
      <c r="I247" s="3">
        <v>15.6</v>
      </c>
      <c r="J247" s="3">
        <f t="shared" si="33"/>
        <v>1739.1000000000004</v>
      </c>
      <c r="K247" s="3">
        <f>G247</f>
        <v>13.4</v>
      </c>
      <c r="L247" s="15" t="s">
        <v>39</v>
      </c>
      <c r="M247" s="3">
        <v>0.3</v>
      </c>
      <c r="N247" s="3">
        <v>1.7</v>
      </c>
      <c r="O247" s="3">
        <f t="shared" si="30"/>
        <v>-1.4</v>
      </c>
      <c r="P247" s="3">
        <f t="shared" si="35"/>
        <v>132.30000000000001</v>
      </c>
      <c r="Q247" s="3">
        <v>212</v>
      </c>
      <c r="R247" s="3">
        <v>1.1499999999999999</v>
      </c>
      <c r="S247" s="3">
        <f t="shared" si="31"/>
        <v>1.9549999999999998</v>
      </c>
      <c r="T247" s="28">
        <f t="shared" si="32"/>
        <v>-1.6549999999999998</v>
      </c>
      <c r="U247" s="28">
        <f t="shared" si="36"/>
        <v>137.1775806451613</v>
      </c>
      <c r="V247" s="34" t="s">
        <v>53</v>
      </c>
      <c r="W247" s="3">
        <v>792.6</v>
      </c>
      <c r="Y247" s="3">
        <f t="shared" si="34"/>
        <v>115036.09999999995</v>
      </c>
      <c r="Z247" s="3">
        <f>W247</f>
        <v>792.6</v>
      </c>
      <c r="AA247" s="3">
        <v>12.548838615848936</v>
      </c>
      <c r="AB247" s="34" t="s">
        <v>58</v>
      </c>
    </row>
    <row r="248" spans="1:28" s="41" customFormat="1" x14ac:dyDescent="0.25">
      <c r="A248" s="41">
        <v>5400</v>
      </c>
      <c r="B248" s="41">
        <v>24010</v>
      </c>
      <c r="C248" s="42">
        <v>42826</v>
      </c>
      <c r="D248" s="3"/>
      <c r="F248" s="64"/>
      <c r="G248" s="41">
        <v>10.8</v>
      </c>
      <c r="H248" s="41">
        <v>7.8</v>
      </c>
      <c r="I248" s="41">
        <v>13.9</v>
      </c>
      <c r="J248" s="41">
        <f t="shared" si="33"/>
        <v>1749.9000000000003</v>
      </c>
      <c r="K248" s="41">
        <f t="shared" si="29"/>
        <v>24.200000000000003</v>
      </c>
      <c r="L248" s="11">
        <v>211.2</v>
      </c>
      <c r="M248" s="41">
        <v>0.1</v>
      </c>
      <c r="N248" s="41">
        <v>1.6</v>
      </c>
      <c r="O248" s="41">
        <f t="shared" si="30"/>
        <v>-1.5</v>
      </c>
      <c r="P248" s="41">
        <f t="shared" si="35"/>
        <v>130.80000000000001</v>
      </c>
      <c r="Q248" s="41">
        <v>213</v>
      </c>
      <c r="R248" s="41">
        <f t="shared" ref="R248" si="37">1+((Q248-149)/64)*(1.15-1)</f>
        <v>1.1499999999999999</v>
      </c>
      <c r="S248" s="41">
        <f t="shared" si="31"/>
        <v>1.8399999999999999</v>
      </c>
      <c r="T248" s="43">
        <f t="shared" si="32"/>
        <v>-1.7399999999999998</v>
      </c>
      <c r="U248" s="28">
        <f t="shared" si="36"/>
        <v>135.43758064516129</v>
      </c>
      <c r="V248">
        <v>0</v>
      </c>
      <c r="W248" s="41">
        <v>1149.7</v>
      </c>
      <c r="Y248" s="41">
        <f t="shared" si="34"/>
        <v>116185.79999999994</v>
      </c>
      <c r="Z248" s="3">
        <f>Z247+W248</f>
        <v>1942.3000000000002</v>
      </c>
      <c r="AA248" s="41">
        <v>12.609558711158156</v>
      </c>
      <c r="AB248">
        <v>30082.7</v>
      </c>
    </row>
    <row r="249" spans="1:28" s="3" customFormat="1" ht="15" customHeight="1" x14ac:dyDescent="0.25">
      <c r="A249" s="3">
        <v>5400</v>
      </c>
      <c r="B249" s="3">
        <v>24010</v>
      </c>
      <c r="C249" s="7">
        <v>42827</v>
      </c>
      <c r="F249" s="64"/>
      <c r="G249" s="3">
        <v>10.4</v>
      </c>
      <c r="H249" s="3">
        <v>4.9000000000000004</v>
      </c>
      <c r="I249" s="3">
        <v>14.5</v>
      </c>
      <c r="J249" s="3">
        <f t="shared" si="33"/>
        <v>1760.3000000000004</v>
      </c>
      <c r="K249" s="41">
        <f t="shared" si="29"/>
        <v>34.6</v>
      </c>
      <c r="L249" s="15" t="s">
        <v>40</v>
      </c>
      <c r="M249" s="3">
        <v>0.1</v>
      </c>
      <c r="N249" s="3">
        <v>1.6</v>
      </c>
      <c r="O249" s="3">
        <f t="shared" si="30"/>
        <v>-1.5</v>
      </c>
      <c r="P249" s="3">
        <f t="shared" si="35"/>
        <v>129.30000000000001</v>
      </c>
      <c r="Q249" s="3">
        <v>214</v>
      </c>
      <c r="R249" s="27">
        <v>1.1499999999999999</v>
      </c>
      <c r="S249" s="3">
        <f t="shared" si="31"/>
        <v>1.8399999999999999</v>
      </c>
      <c r="T249" s="28">
        <f t="shared" si="32"/>
        <v>-1.7399999999999998</v>
      </c>
      <c r="U249" s="28">
        <f t="shared" si="36"/>
        <v>133.69758064516128</v>
      </c>
      <c r="V249" s="34" t="s">
        <v>54</v>
      </c>
      <c r="W249" s="3">
        <v>1247.8</v>
      </c>
      <c r="Y249" s="3">
        <f t="shared" si="34"/>
        <v>117433.59999999995</v>
      </c>
      <c r="Z249" s="3">
        <f t="shared" ref="Z249:Z311" si="38">Z248+W249</f>
        <v>3190.1000000000004</v>
      </c>
      <c r="AA249" s="3">
        <v>12.670194878229351</v>
      </c>
      <c r="AB249" s="34" t="s">
        <v>59</v>
      </c>
    </row>
    <row r="250" spans="1:28" s="3" customFormat="1" x14ac:dyDescent="0.25">
      <c r="A250" s="3">
        <v>5400</v>
      </c>
      <c r="B250" s="3">
        <v>24010</v>
      </c>
      <c r="C250" s="7">
        <v>42828</v>
      </c>
      <c r="F250" s="64"/>
      <c r="G250" s="3">
        <v>11.6</v>
      </c>
      <c r="H250" s="3">
        <v>4.8</v>
      </c>
      <c r="I250" s="3">
        <v>17.600000000000001</v>
      </c>
      <c r="J250" s="3">
        <f t="shared" si="33"/>
        <v>1771.9000000000003</v>
      </c>
      <c r="K250" s="41">
        <f t="shared" si="29"/>
        <v>46.2</v>
      </c>
      <c r="L250" s="16">
        <f>AVERAGE(G247:G267)</f>
        <v>10.057142857142857</v>
      </c>
      <c r="M250" s="3">
        <v>0</v>
      </c>
      <c r="N250" s="3">
        <v>2.4</v>
      </c>
      <c r="O250" s="3">
        <f t="shared" si="30"/>
        <v>-2.4</v>
      </c>
      <c r="P250" s="3">
        <f t="shared" si="35"/>
        <v>126.9</v>
      </c>
      <c r="Q250" s="3">
        <v>215</v>
      </c>
      <c r="R250" s="27">
        <v>1.1499999999999999</v>
      </c>
      <c r="S250" s="3">
        <f t="shared" si="31"/>
        <v>2.76</v>
      </c>
      <c r="T250" s="28">
        <f t="shared" si="32"/>
        <v>-2.76</v>
      </c>
      <c r="U250" s="28">
        <f t="shared" si="36"/>
        <v>130.93758064516129</v>
      </c>
      <c r="V250">
        <v>0</v>
      </c>
      <c r="W250" s="3">
        <v>1597</v>
      </c>
      <c r="Y250" s="3">
        <f t="shared" si="34"/>
        <v>119030.59999999995</v>
      </c>
      <c r="Z250" s="3">
        <f t="shared" si="38"/>
        <v>4787.1000000000004</v>
      </c>
      <c r="AA250" s="3">
        <v>12.730738125762857</v>
      </c>
      <c r="AB250" s="28">
        <f>(AB248/100)/L248</f>
        <v>1.4243702651515153</v>
      </c>
    </row>
    <row r="251" spans="1:28" s="3" customFormat="1" x14ac:dyDescent="0.25">
      <c r="A251" s="3">
        <v>5400</v>
      </c>
      <c r="B251" s="3">
        <v>24010</v>
      </c>
      <c r="C251" s="7">
        <v>42829</v>
      </c>
      <c r="F251" s="64"/>
      <c r="G251" s="3">
        <v>9.9</v>
      </c>
      <c r="H251" s="3">
        <v>5.3</v>
      </c>
      <c r="I251" s="3">
        <v>15.3</v>
      </c>
      <c r="J251" s="3">
        <f t="shared" si="33"/>
        <v>1781.8000000000004</v>
      </c>
      <c r="K251" s="41">
        <f t="shared" si="29"/>
        <v>56.1</v>
      </c>
      <c r="L251" s="15" t="s">
        <v>41</v>
      </c>
      <c r="M251" s="3">
        <v>0.2</v>
      </c>
      <c r="N251" s="3">
        <v>1</v>
      </c>
      <c r="O251" s="3">
        <f t="shared" si="30"/>
        <v>-0.8</v>
      </c>
      <c r="P251" s="3">
        <f t="shared" si="35"/>
        <v>126.10000000000001</v>
      </c>
      <c r="Q251" s="3">
        <v>216</v>
      </c>
      <c r="R251" s="27">
        <v>1.1499999999999999</v>
      </c>
      <c r="S251" s="3">
        <f t="shared" si="31"/>
        <v>1.1499999999999999</v>
      </c>
      <c r="T251" s="28">
        <f t="shared" si="32"/>
        <v>-0.95</v>
      </c>
      <c r="U251" s="28">
        <f t="shared" si="36"/>
        <v>129.9875806451613</v>
      </c>
      <c r="V251" s="34" t="s">
        <v>55</v>
      </c>
      <c r="W251" s="3">
        <v>585.79999999999995</v>
      </c>
      <c r="Y251" s="3">
        <f t="shared" si="34"/>
        <v>119616.39999999995</v>
      </c>
      <c r="Z251" s="3">
        <f t="shared" si="38"/>
        <v>5372.9000000000005</v>
      </c>
      <c r="AA251" s="3">
        <v>12.791179292474219</v>
      </c>
      <c r="AB251" s="34" t="s">
        <v>60</v>
      </c>
    </row>
    <row r="252" spans="1:28" s="3" customFormat="1" x14ac:dyDescent="0.25">
      <c r="A252" s="3">
        <v>5400</v>
      </c>
      <c r="B252" s="3">
        <v>24010</v>
      </c>
      <c r="C252" s="7">
        <v>42830</v>
      </c>
      <c r="F252" s="64"/>
      <c r="G252" s="3">
        <v>10.4</v>
      </c>
      <c r="H252" s="3">
        <v>6.7</v>
      </c>
      <c r="I252" s="3">
        <v>14.2</v>
      </c>
      <c r="J252" s="3">
        <f t="shared" si="33"/>
        <v>1792.2000000000005</v>
      </c>
      <c r="K252" s="41">
        <f t="shared" si="29"/>
        <v>66.5</v>
      </c>
      <c r="L252" s="12">
        <f>MIN(H247:H267)</f>
        <v>-0.1</v>
      </c>
      <c r="M252" s="3">
        <v>0</v>
      </c>
      <c r="N252" s="3">
        <v>2</v>
      </c>
      <c r="O252" s="3">
        <f t="shared" si="30"/>
        <v>-2</v>
      </c>
      <c r="P252" s="3">
        <f t="shared" si="35"/>
        <v>124.10000000000001</v>
      </c>
      <c r="Q252" s="3">
        <v>217</v>
      </c>
      <c r="R252" s="27">
        <v>1.1499999999999999</v>
      </c>
      <c r="S252" s="3">
        <f t="shared" si="31"/>
        <v>2.2999999999999998</v>
      </c>
      <c r="T252" s="28">
        <f t="shared" si="32"/>
        <v>-2.2999999999999998</v>
      </c>
      <c r="U252" s="28">
        <f t="shared" si="36"/>
        <v>127.6875806451613</v>
      </c>
      <c r="V252" s="28">
        <f>MIN(U247:U267)</f>
        <v>91.800580645161318</v>
      </c>
      <c r="W252" s="3">
        <v>1442.4</v>
      </c>
      <c r="Y252" s="3">
        <f t="shared" si="34"/>
        <v>121058.79999999994</v>
      </c>
      <c r="Z252" s="3">
        <f t="shared" si="38"/>
        <v>6815.3000000000011</v>
      </c>
      <c r="AA252" s="3">
        <v>12.851509032124389</v>
      </c>
      <c r="AB252">
        <v>5</v>
      </c>
    </row>
    <row r="253" spans="1:28" s="3" customFormat="1" x14ac:dyDescent="0.25">
      <c r="A253" s="3">
        <v>5400</v>
      </c>
      <c r="B253" s="3">
        <v>24010</v>
      </c>
      <c r="C253" s="7">
        <v>42831</v>
      </c>
      <c r="F253" s="64"/>
      <c r="G253" s="3">
        <v>8.5</v>
      </c>
      <c r="H253" s="3">
        <v>4</v>
      </c>
      <c r="I253" s="3">
        <v>13.1</v>
      </c>
      <c r="J253" s="3">
        <f t="shared" si="33"/>
        <v>1800.7000000000005</v>
      </c>
      <c r="K253" s="41">
        <f t="shared" si="29"/>
        <v>75</v>
      </c>
      <c r="L253" s="15" t="s">
        <v>42</v>
      </c>
      <c r="M253" s="3">
        <v>0</v>
      </c>
      <c r="N253" s="3">
        <v>2.4</v>
      </c>
      <c r="O253" s="3">
        <f t="shared" si="30"/>
        <v>-2.4</v>
      </c>
      <c r="P253" s="3">
        <f t="shared" si="35"/>
        <v>121.7</v>
      </c>
      <c r="Q253" s="3">
        <v>218</v>
      </c>
      <c r="R253" s="27">
        <v>1.1499999999999999</v>
      </c>
      <c r="S253" s="3">
        <f t="shared" si="31"/>
        <v>2.76</v>
      </c>
      <c r="T253" s="28">
        <f t="shared" si="32"/>
        <v>-2.76</v>
      </c>
      <c r="U253" s="28">
        <f t="shared" si="36"/>
        <v>124.9275806451613</v>
      </c>
      <c r="V253" s="34" t="s">
        <v>56</v>
      </c>
      <c r="W253" s="3">
        <v>1702.1</v>
      </c>
      <c r="Y253" s="3">
        <f t="shared" si="34"/>
        <v>122760.89999999995</v>
      </c>
      <c r="Z253" s="3">
        <f t="shared" si="38"/>
        <v>8517.4000000000015</v>
      </c>
      <c r="AA253" s="3">
        <v>12.91171779869129</v>
      </c>
    </row>
    <row r="254" spans="1:28" s="3" customFormat="1" x14ac:dyDescent="0.25">
      <c r="A254" s="3">
        <v>5400</v>
      </c>
      <c r="B254" s="3">
        <v>24010</v>
      </c>
      <c r="C254" s="7">
        <v>42832</v>
      </c>
      <c r="F254" s="64"/>
      <c r="G254" s="3">
        <v>9.8000000000000007</v>
      </c>
      <c r="H254" s="3">
        <v>2.7</v>
      </c>
      <c r="I254" s="3">
        <v>16</v>
      </c>
      <c r="J254" s="3">
        <f t="shared" si="33"/>
        <v>1810.5000000000005</v>
      </c>
      <c r="K254" s="41">
        <f t="shared" si="29"/>
        <v>84.8</v>
      </c>
      <c r="L254" s="11">
        <f>MAX(I247:I267)</f>
        <v>22.5</v>
      </c>
      <c r="M254" s="3">
        <v>0</v>
      </c>
      <c r="N254" s="3">
        <v>2.8</v>
      </c>
      <c r="O254" s="3">
        <f t="shared" si="30"/>
        <v>-2.8</v>
      </c>
      <c r="P254" s="3">
        <f t="shared" si="35"/>
        <v>118.9</v>
      </c>
      <c r="Q254" s="3">
        <v>219</v>
      </c>
      <c r="R254" s="27">
        <v>1.1499999999999999</v>
      </c>
      <c r="S254" s="3">
        <f t="shared" si="31"/>
        <v>3.2199999999999998</v>
      </c>
      <c r="T254" s="28">
        <f t="shared" si="32"/>
        <v>-3.2199999999999998</v>
      </c>
      <c r="U254" s="28">
        <f t="shared" si="36"/>
        <v>121.7075806451613</v>
      </c>
      <c r="V254" s="28">
        <f>MAX(U247:U267)</f>
        <v>137.1775806451613</v>
      </c>
      <c r="W254" s="3">
        <v>2101.8000000000002</v>
      </c>
      <c r="Y254" s="3">
        <f t="shared" si="34"/>
        <v>124862.69999999995</v>
      </c>
      <c r="Z254" s="3">
        <f t="shared" si="38"/>
        <v>10619.2</v>
      </c>
      <c r="AA254" s="3">
        <v>12.971795831700856</v>
      </c>
    </row>
    <row r="255" spans="1:28" s="3" customFormat="1" x14ac:dyDescent="0.25">
      <c r="A255" s="3">
        <v>5400</v>
      </c>
      <c r="B255" s="3">
        <v>24010</v>
      </c>
      <c r="C255" s="7">
        <v>42833</v>
      </c>
      <c r="F255" s="64"/>
      <c r="G255" s="3">
        <v>12.3</v>
      </c>
      <c r="H255" s="3">
        <v>4.0999999999999996</v>
      </c>
      <c r="I255" s="3">
        <v>18.8</v>
      </c>
      <c r="J255" s="3">
        <f t="shared" si="33"/>
        <v>1822.8000000000004</v>
      </c>
      <c r="K255" s="41">
        <f t="shared" si="29"/>
        <v>97.1</v>
      </c>
      <c r="L255" s="15" t="s">
        <v>43</v>
      </c>
      <c r="M255" s="3">
        <v>0</v>
      </c>
      <c r="N255" s="3">
        <v>3.1</v>
      </c>
      <c r="O255" s="3">
        <f t="shared" si="30"/>
        <v>-3.1</v>
      </c>
      <c r="P255" s="3">
        <f t="shared" si="35"/>
        <v>115.80000000000001</v>
      </c>
      <c r="Q255" s="3">
        <v>220</v>
      </c>
      <c r="R255" s="27">
        <v>1.1499999999999999</v>
      </c>
      <c r="S255" s="3">
        <f t="shared" si="31"/>
        <v>3.5649999999999999</v>
      </c>
      <c r="T255" s="28">
        <f t="shared" si="32"/>
        <v>-3.5649999999999999</v>
      </c>
      <c r="U255" s="28">
        <f t="shared" si="36"/>
        <v>118.1425806451613</v>
      </c>
      <c r="V255" s="34" t="s">
        <v>57</v>
      </c>
      <c r="W255" s="3">
        <v>2245</v>
      </c>
      <c r="Y255" s="3">
        <f t="shared" si="34"/>
        <v>127107.69999999995</v>
      </c>
      <c r="Z255" s="3">
        <f t="shared" si="38"/>
        <v>12864.2</v>
      </c>
      <c r="AA255" s="3">
        <v>13.031733141737227</v>
      </c>
    </row>
    <row r="256" spans="1:28" s="3" customFormat="1" x14ac:dyDescent="0.25">
      <c r="A256" s="3">
        <v>5400</v>
      </c>
      <c r="B256" s="3">
        <v>24010</v>
      </c>
      <c r="C256" s="7">
        <v>42834</v>
      </c>
      <c r="F256" s="64"/>
      <c r="G256" s="3">
        <v>15.2</v>
      </c>
      <c r="H256" s="3">
        <v>5.9</v>
      </c>
      <c r="I256" s="3">
        <v>22.5</v>
      </c>
      <c r="J256" s="3">
        <f t="shared" si="33"/>
        <v>1838.0000000000005</v>
      </c>
      <c r="K256" s="41">
        <f t="shared" ref="K256:K319" si="39">K255+G256</f>
        <v>112.3</v>
      </c>
      <c r="L256" s="11">
        <v>0</v>
      </c>
      <c r="M256" s="3">
        <v>0</v>
      </c>
      <c r="N256" s="3">
        <v>3.7</v>
      </c>
      <c r="O256" s="3">
        <f t="shared" si="30"/>
        <v>-3.7</v>
      </c>
      <c r="P256" s="3">
        <f t="shared" si="35"/>
        <v>112.10000000000001</v>
      </c>
      <c r="Q256" s="3">
        <v>221</v>
      </c>
      <c r="R256" s="27">
        <v>1.1499999999999999</v>
      </c>
      <c r="S256" s="3">
        <f t="shared" si="31"/>
        <v>4.2549999999999999</v>
      </c>
      <c r="T256" s="28">
        <f t="shared" si="32"/>
        <v>-4.2549999999999999</v>
      </c>
      <c r="U256" s="28">
        <f t="shared" si="36"/>
        <v>113.88758064516131</v>
      </c>
      <c r="V256" s="28">
        <f>AVERAGE(U247:U267)</f>
        <v>114.27115207373274</v>
      </c>
      <c r="W256" s="3">
        <v>2282.6</v>
      </c>
      <c r="Y256" s="3">
        <f t="shared" si="34"/>
        <v>129390.29999999996</v>
      </c>
      <c r="Z256" s="3">
        <f t="shared" si="38"/>
        <v>15146.800000000001</v>
      </c>
      <c r="AA256" s="3">
        <v>13.09151949615339</v>
      </c>
    </row>
    <row r="257" spans="1:28" s="3" customFormat="1" x14ac:dyDescent="0.25">
      <c r="A257" s="3">
        <v>5400</v>
      </c>
      <c r="B257" s="3">
        <v>24010</v>
      </c>
      <c r="C257" s="7">
        <v>42835</v>
      </c>
      <c r="F257" s="64"/>
      <c r="G257" s="3">
        <v>11.4</v>
      </c>
      <c r="H257" s="3">
        <v>10.3</v>
      </c>
      <c r="I257" s="3">
        <v>14.5</v>
      </c>
      <c r="J257" s="3">
        <f t="shared" si="33"/>
        <v>1849.4000000000005</v>
      </c>
      <c r="K257" s="41">
        <f t="shared" si="39"/>
        <v>123.7</v>
      </c>
      <c r="L257" s="15" t="s">
        <v>44</v>
      </c>
      <c r="M257" s="3">
        <v>0</v>
      </c>
      <c r="N257" s="3">
        <v>1.4</v>
      </c>
      <c r="O257" s="3">
        <f t="shared" si="30"/>
        <v>-1.4</v>
      </c>
      <c r="P257" s="3">
        <f t="shared" si="35"/>
        <v>110.7</v>
      </c>
      <c r="Q257" s="3">
        <v>222</v>
      </c>
      <c r="R257" s="27">
        <v>1.1499999999999999</v>
      </c>
      <c r="S257" s="3">
        <f t="shared" si="31"/>
        <v>1.6099999999999999</v>
      </c>
      <c r="T257" s="28">
        <f t="shared" si="32"/>
        <v>-1.6099999999999999</v>
      </c>
      <c r="U257" s="28">
        <f t="shared" si="36"/>
        <v>112.27758064516131</v>
      </c>
      <c r="W257" s="3">
        <v>630.20000000000005</v>
      </c>
      <c r="Y257" s="3">
        <f t="shared" si="34"/>
        <v>130020.49999999996</v>
      </c>
      <c r="Z257" s="3">
        <f t="shared" si="38"/>
        <v>15777.000000000002</v>
      </c>
      <c r="AA257" s="3">
        <v>13.151144405005313</v>
      </c>
    </row>
    <row r="258" spans="1:28" s="3" customFormat="1" x14ac:dyDescent="0.25">
      <c r="A258" s="3">
        <v>5400</v>
      </c>
      <c r="B258" s="3">
        <v>24010</v>
      </c>
      <c r="C258" s="7">
        <v>42836</v>
      </c>
      <c r="F258" s="64"/>
      <c r="G258" s="3">
        <v>9.4</v>
      </c>
      <c r="H258" s="3">
        <v>4.0999999999999996</v>
      </c>
      <c r="I258" s="3">
        <v>14.4</v>
      </c>
      <c r="J258" s="3">
        <f t="shared" si="33"/>
        <v>1858.8000000000006</v>
      </c>
      <c r="K258" s="41">
        <f t="shared" si="39"/>
        <v>133.1</v>
      </c>
      <c r="L258" s="11">
        <v>9</v>
      </c>
      <c r="M258" s="3">
        <v>0</v>
      </c>
      <c r="N258" s="3">
        <v>2.6</v>
      </c>
      <c r="O258" s="3">
        <f t="shared" si="30"/>
        <v>-2.6</v>
      </c>
      <c r="P258" s="3">
        <f t="shared" si="35"/>
        <v>108.10000000000001</v>
      </c>
      <c r="Q258" s="3">
        <v>223</v>
      </c>
      <c r="R258" s="27">
        <v>1.1200000000000001</v>
      </c>
      <c r="S258" s="3">
        <f t="shared" si="31"/>
        <v>2.9120000000000004</v>
      </c>
      <c r="T258" s="28">
        <f t="shared" si="32"/>
        <v>-2.9120000000000004</v>
      </c>
      <c r="U258" s="28">
        <f t="shared" si="36"/>
        <v>109.3655806451613</v>
      </c>
      <c r="V258" s="45">
        <f>(V256*100)/153.9</f>
        <v>74.25026125648651</v>
      </c>
      <c r="W258" s="3">
        <v>1803.2</v>
      </c>
      <c r="Y258" s="3">
        <f t="shared" si="34"/>
        <v>131823.69999999995</v>
      </c>
      <c r="Z258" s="3">
        <f t="shared" si="38"/>
        <v>17580.2</v>
      </c>
      <c r="AA258" s="3">
        <v>13.210597107234502</v>
      </c>
    </row>
    <row r="259" spans="1:28" s="3" customFormat="1" x14ac:dyDescent="0.25">
      <c r="A259" s="3">
        <v>5400</v>
      </c>
      <c r="B259" s="3">
        <v>24010</v>
      </c>
      <c r="C259" s="7">
        <v>42837</v>
      </c>
      <c r="F259" s="64"/>
      <c r="G259" s="3">
        <v>10.3</v>
      </c>
      <c r="H259" s="3">
        <v>3.1</v>
      </c>
      <c r="I259" s="3">
        <v>16.2</v>
      </c>
      <c r="J259" s="3">
        <f t="shared" si="33"/>
        <v>1869.1000000000006</v>
      </c>
      <c r="K259" s="41">
        <f t="shared" si="39"/>
        <v>143.4</v>
      </c>
      <c r="L259" s="15" t="s">
        <v>45</v>
      </c>
      <c r="M259" s="3">
        <v>0</v>
      </c>
      <c r="N259" s="3">
        <v>2.7</v>
      </c>
      <c r="O259" s="3">
        <f t="shared" si="30"/>
        <v>-2.7</v>
      </c>
      <c r="P259" s="3">
        <f t="shared" si="35"/>
        <v>105.4</v>
      </c>
      <c r="Q259" s="3">
        <v>224</v>
      </c>
      <c r="R259" s="27">
        <v>1.1499999999999999</v>
      </c>
      <c r="S259" s="3">
        <f t="shared" si="31"/>
        <v>3.105</v>
      </c>
      <c r="T259" s="28">
        <f t="shared" si="32"/>
        <v>-3.105</v>
      </c>
      <c r="U259" s="28">
        <f t="shared" si="36"/>
        <v>106.2605806451613</v>
      </c>
      <c r="W259" s="3">
        <v>2009</v>
      </c>
      <c r="Y259" s="3">
        <f t="shared" si="34"/>
        <v>133832.69999999995</v>
      </c>
      <c r="Z259" s="3">
        <f t="shared" si="38"/>
        <v>19589.2</v>
      </c>
      <c r="AA259" s="3">
        <v>13.269866557125834</v>
      </c>
    </row>
    <row r="260" spans="1:28" s="3" customFormat="1" x14ac:dyDescent="0.25">
      <c r="A260" s="3">
        <v>5400</v>
      </c>
      <c r="B260" s="3">
        <v>24010</v>
      </c>
      <c r="C260" s="7">
        <v>42838</v>
      </c>
      <c r="F260" s="64"/>
      <c r="G260" s="3">
        <v>10.6</v>
      </c>
      <c r="H260" s="3">
        <v>6.1</v>
      </c>
      <c r="I260" s="3">
        <v>13.8</v>
      </c>
      <c r="J260" s="3">
        <f t="shared" si="33"/>
        <v>1879.7000000000005</v>
      </c>
      <c r="K260" s="41">
        <f t="shared" si="39"/>
        <v>154</v>
      </c>
      <c r="L260" s="17">
        <v>1</v>
      </c>
      <c r="M260" s="3">
        <v>0</v>
      </c>
      <c r="N260" s="3">
        <v>1.6</v>
      </c>
      <c r="O260" s="3">
        <f t="shared" si="30"/>
        <v>-1.6</v>
      </c>
      <c r="P260" s="3">
        <f t="shared" si="35"/>
        <v>103.80000000000001</v>
      </c>
      <c r="Q260" s="3">
        <v>225</v>
      </c>
      <c r="R260" s="27">
        <v>1.1499999999999999</v>
      </c>
      <c r="S260" s="3">
        <f t="shared" si="31"/>
        <v>1.8399999999999999</v>
      </c>
      <c r="T260" s="28">
        <f t="shared" si="32"/>
        <v>-1.8399999999999999</v>
      </c>
      <c r="U260" s="28">
        <f t="shared" si="36"/>
        <v>104.42058064516129</v>
      </c>
      <c r="W260" s="3">
        <v>1166</v>
      </c>
      <c r="Y260" s="3">
        <f t="shared" si="34"/>
        <v>134998.69999999995</v>
      </c>
      <c r="Z260" s="3">
        <f t="shared" si="38"/>
        <v>20755.2</v>
      </c>
      <c r="AA260" s="3">
        <v>13.328941411069634</v>
      </c>
    </row>
    <row r="261" spans="1:28" s="3" customFormat="1" x14ac:dyDescent="0.25">
      <c r="A261" s="3">
        <v>5400</v>
      </c>
      <c r="B261" s="3">
        <v>24010</v>
      </c>
      <c r="C261" s="7">
        <v>42839</v>
      </c>
      <c r="F261" s="64"/>
      <c r="G261" s="3">
        <v>11.1</v>
      </c>
      <c r="H261" s="3">
        <v>8.1</v>
      </c>
      <c r="I261" s="3">
        <v>14.9</v>
      </c>
      <c r="J261" s="3">
        <f t="shared" si="33"/>
        <v>1890.8000000000004</v>
      </c>
      <c r="K261" s="41">
        <f t="shared" si="39"/>
        <v>165.1</v>
      </c>
      <c r="M261" s="3">
        <v>0</v>
      </c>
      <c r="N261" s="3">
        <v>1.5</v>
      </c>
      <c r="O261" s="3">
        <f t="shared" si="30"/>
        <v>-1.5</v>
      </c>
      <c r="P261" s="3">
        <f t="shared" si="35"/>
        <v>102.30000000000001</v>
      </c>
      <c r="Q261" s="3">
        <v>226</v>
      </c>
      <c r="R261" s="27">
        <v>1.1499999999999999</v>
      </c>
      <c r="S261" s="3">
        <f t="shared" si="31"/>
        <v>1.7249999999999999</v>
      </c>
      <c r="T261" s="28">
        <f t="shared" si="32"/>
        <v>-1.7249999999999999</v>
      </c>
      <c r="U261" s="28">
        <f t="shared" si="36"/>
        <v>102.6955806451613</v>
      </c>
      <c r="W261" s="3">
        <v>862.4</v>
      </c>
      <c r="Y261" s="3">
        <f t="shared" si="34"/>
        <v>135861.09999999995</v>
      </c>
      <c r="Z261" s="3">
        <f t="shared" si="38"/>
        <v>21617.600000000002</v>
      </c>
      <c r="AA261" s="3">
        <v>13.387810014659147</v>
      </c>
    </row>
    <row r="262" spans="1:28" s="3" customFormat="1" x14ac:dyDescent="0.25">
      <c r="A262" s="3">
        <v>5400</v>
      </c>
      <c r="B262" s="3">
        <v>24010</v>
      </c>
      <c r="C262" s="7">
        <v>42840</v>
      </c>
      <c r="F262" s="64"/>
      <c r="G262" s="3">
        <v>9.8000000000000007</v>
      </c>
      <c r="H262" s="3">
        <v>6.9</v>
      </c>
      <c r="I262" s="3">
        <v>12</v>
      </c>
      <c r="J262" s="3">
        <f t="shared" si="33"/>
        <v>1900.6000000000004</v>
      </c>
      <c r="K262" s="41">
        <f t="shared" si="39"/>
        <v>174.9</v>
      </c>
      <c r="M262" s="3">
        <v>2</v>
      </c>
      <c r="N262" s="3">
        <v>0.5</v>
      </c>
      <c r="O262" s="3">
        <f t="shared" si="30"/>
        <v>1.5</v>
      </c>
      <c r="P262" s="3">
        <f t="shared" si="35"/>
        <v>103.80000000000001</v>
      </c>
      <c r="Q262" s="3">
        <v>227</v>
      </c>
      <c r="R262" s="27">
        <v>1.1499999999999999</v>
      </c>
      <c r="S262" s="3">
        <f t="shared" si="31"/>
        <v>0.57499999999999996</v>
      </c>
      <c r="T262" s="28">
        <f t="shared" si="32"/>
        <v>1.425</v>
      </c>
      <c r="U262" s="28">
        <f t="shared" si="36"/>
        <v>104.1205806451613</v>
      </c>
      <c r="W262" s="3">
        <v>371.6</v>
      </c>
      <c r="Y262" s="3">
        <f t="shared" si="34"/>
        <v>136232.69999999995</v>
      </c>
      <c r="Z262" s="3">
        <f t="shared" si="38"/>
        <v>21989.200000000001</v>
      </c>
      <c r="AA262" s="3">
        <v>13.446460390156734</v>
      </c>
    </row>
    <row r="263" spans="1:28" s="3" customFormat="1" x14ac:dyDescent="0.25">
      <c r="A263" s="3">
        <v>5400</v>
      </c>
      <c r="B263" s="3">
        <v>24010</v>
      </c>
      <c r="C263" s="7">
        <v>42841</v>
      </c>
      <c r="F263" s="64"/>
      <c r="G263" s="3">
        <v>9.4</v>
      </c>
      <c r="H263" s="3">
        <v>5.4</v>
      </c>
      <c r="I263" s="3">
        <v>13.2</v>
      </c>
      <c r="J263" s="3">
        <f t="shared" si="33"/>
        <v>1910.0000000000005</v>
      </c>
      <c r="K263" s="41">
        <f t="shared" si="39"/>
        <v>184.3</v>
      </c>
      <c r="L263" s="23"/>
      <c r="M263" s="3">
        <v>0</v>
      </c>
      <c r="N263" s="3">
        <v>2.2999999999999998</v>
      </c>
      <c r="O263" s="3">
        <f t="shared" si="30"/>
        <v>-2.2999999999999998</v>
      </c>
      <c r="P263" s="3">
        <f t="shared" si="35"/>
        <v>101.50000000000001</v>
      </c>
      <c r="Q263" s="3">
        <v>228</v>
      </c>
      <c r="R263" s="27">
        <v>1.1499999999999999</v>
      </c>
      <c r="S263" s="3">
        <f t="shared" si="31"/>
        <v>2.6449999999999996</v>
      </c>
      <c r="T263" s="28">
        <f t="shared" si="32"/>
        <v>-2.6449999999999996</v>
      </c>
      <c r="U263" s="28">
        <f t="shared" si="36"/>
        <v>101.4755806451613</v>
      </c>
      <c r="W263" s="3">
        <v>1721.9</v>
      </c>
      <c r="Y263" s="3">
        <f t="shared" si="34"/>
        <v>137954.59999999995</v>
      </c>
      <c r="Z263" s="3">
        <f t="shared" si="38"/>
        <v>23711.100000000002</v>
      </c>
      <c r="AA263" s="3">
        <v>13.504880224364602</v>
      </c>
    </row>
    <row r="264" spans="1:28" s="3" customFormat="1" x14ac:dyDescent="0.25">
      <c r="A264" s="3">
        <v>5400</v>
      </c>
      <c r="B264" s="3">
        <v>24010</v>
      </c>
      <c r="C264" s="7">
        <v>42842</v>
      </c>
      <c r="F264" s="64"/>
      <c r="G264" s="3">
        <v>8.9</v>
      </c>
      <c r="H264" s="3">
        <v>5.7</v>
      </c>
      <c r="I264" s="3">
        <v>12.6</v>
      </c>
      <c r="J264" s="3">
        <f t="shared" si="33"/>
        <v>1918.9000000000005</v>
      </c>
      <c r="K264" s="41">
        <f t="shared" si="39"/>
        <v>193.20000000000002</v>
      </c>
      <c r="L264" s="23"/>
      <c r="M264" s="3">
        <v>0.1</v>
      </c>
      <c r="N264" s="3">
        <v>1.3</v>
      </c>
      <c r="O264" s="3">
        <f t="shared" si="30"/>
        <v>-1.2</v>
      </c>
      <c r="P264" s="3">
        <f t="shared" si="35"/>
        <v>100.30000000000001</v>
      </c>
      <c r="Q264" s="3">
        <v>229</v>
      </c>
      <c r="R264" s="27">
        <v>1.1499999999999999</v>
      </c>
      <c r="S264" s="3">
        <f t="shared" si="31"/>
        <v>1.4949999999999999</v>
      </c>
      <c r="T264" s="28">
        <f t="shared" si="32"/>
        <v>-1.3949999999999998</v>
      </c>
      <c r="U264" s="28">
        <f t="shared" si="36"/>
        <v>100.08058064516131</v>
      </c>
      <c r="W264" s="3">
        <v>1036.4000000000001</v>
      </c>
      <c r="Y264" s="3">
        <f t="shared" si="34"/>
        <v>138990.99999999994</v>
      </c>
      <c r="Z264" s="3">
        <f t="shared" si="38"/>
        <v>24747.500000000004</v>
      </c>
      <c r="AA264" s="3">
        <v>13.563056856938204</v>
      </c>
    </row>
    <row r="265" spans="1:28" s="3" customFormat="1" x14ac:dyDescent="0.25">
      <c r="A265" s="3">
        <v>5400</v>
      </c>
      <c r="B265" s="3">
        <v>24010</v>
      </c>
      <c r="C265" s="7">
        <v>42843</v>
      </c>
      <c r="F265" s="64"/>
      <c r="G265" s="3">
        <v>6.1</v>
      </c>
      <c r="H265" s="3">
        <v>4.2</v>
      </c>
      <c r="I265" s="3">
        <v>9.9</v>
      </c>
      <c r="J265" s="3">
        <f t="shared" si="33"/>
        <v>1925.0000000000005</v>
      </c>
      <c r="K265" s="41">
        <f t="shared" si="39"/>
        <v>199.3</v>
      </c>
      <c r="L265" s="23"/>
      <c r="M265" s="3">
        <v>0</v>
      </c>
      <c r="N265" s="3">
        <v>1.4</v>
      </c>
      <c r="O265" s="3">
        <f t="shared" si="30"/>
        <v>-1.4</v>
      </c>
      <c r="P265" s="3">
        <f t="shared" si="35"/>
        <v>98.9</v>
      </c>
      <c r="Q265" s="3">
        <v>230</v>
      </c>
      <c r="R265" s="27">
        <v>1.1499999999999999</v>
      </c>
      <c r="S265" s="3">
        <f t="shared" si="31"/>
        <v>1.6099999999999999</v>
      </c>
      <c r="T265" s="28">
        <f t="shared" si="32"/>
        <v>-1.6099999999999999</v>
      </c>
      <c r="U265" s="28">
        <f t="shared" si="36"/>
        <v>98.470580645161306</v>
      </c>
      <c r="W265" s="3">
        <v>1020.5</v>
      </c>
      <c r="Y265" s="3">
        <f t="shared" si="34"/>
        <v>140011.49999999994</v>
      </c>
      <c r="Z265" s="3">
        <f t="shared" si="38"/>
        <v>25768.000000000004</v>
      </c>
      <c r="AA265" s="3">
        <v>13.620977269182998</v>
      </c>
    </row>
    <row r="266" spans="1:28" s="3" customFormat="1" x14ac:dyDescent="0.25">
      <c r="A266" s="3">
        <v>5400</v>
      </c>
      <c r="B266" s="3">
        <v>24010</v>
      </c>
      <c r="C266" s="7">
        <v>42844</v>
      </c>
      <c r="F266" s="64"/>
      <c r="G266" s="3">
        <v>5.7</v>
      </c>
      <c r="H266" s="3">
        <v>1.3</v>
      </c>
      <c r="I266" s="3">
        <v>11.2</v>
      </c>
      <c r="J266" s="3">
        <f t="shared" si="33"/>
        <v>1930.7000000000005</v>
      </c>
      <c r="K266" s="41">
        <f t="shared" si="39"/>
        <v>205</v>
      </c>
      <c r="L266" s="23"/>
      <c r="M266" s="3">
        <v>0</v>
      </c>
      <c r="N266" s="3">
        <v>2.9</v>
      </c>
      <c r="O266" s="3">
        <f t="shared" si="30"/>
        <v>-2.9</v>
      </c>
      <c r="P266" s="3">
        <f t="shared" si="35"/>
        <v>96</v>
      </c>
      <c r="Q266" s="3">
        <v>231</v>
      </c>
      <c r="R266" s="27">
        <v>1.1499999999999999</v>
      </c>
      <c r="S266" s="3">
        <f t="shared" si="31"/>
        <v>3.3349999999999995</v>
      </c>
      <c r="T266" s="28">
        <f t="shared" si="32"/>
        <v>-3.3349999999999995</v>
      </c>
      <c r="U266" s="28">
        <f t="shared" si="36"/>
        <v>95.135580645161312</v>
      </c>
      <c r="W266" s="3">
        <v>2025.3</v>
      </c>
      <c r="Y266" s="3">
        <f t="shared" si="34"/>
        <v>142036.79999999993</v>
      </c>
      <c r="Z266" s="3">
        <f t="shared" si="38"/>
        <v>27793.300000000003</v>
      </c>
      <c r="AA266" s="3">
        <v>13.678628073377833</v>
      </c>
    </row>
    <row r="267" spans="1:28" s="21" customFormat="1" ht="15.75" thickBot="1" x14ac:dyDescent="0.3">
      <c r="A267" s="21">
        <v>5400</v>
      </c>
      <c r="B267" s="21">
        <v>24010</v>
      </c>
      <c r="C267" s="22">
        <v>42845</v>
      </c>
      <c r="D267" s="21" t="s">
        <v>34</v>
      </c>
      <c r="F267" s="65"/>
      <c r="G267" s="21">
        <v>6.2</v>
      </c>
      <c r="H267" s="21">
        <v>-0.1</v>
      </c>
      <c r="I267" s="21">
        <v>11.6</v>
      </c>
      <c r="J267" s="21">
        <f t="shared" si="33"/>
        <v>1936.9000000000005</v>
      </c>
      <c r="K267" s="21">
        <f t="shared" si="39"/>
        <v>211.2</v>
      </c>
      <c r="L267" s="25"/>
      <c r="M267" s="21">
        <v>0</v>
      </c>
      <c r="N267" s="21">
        <v>2.9</v>
      </c>
      <c r="O267" s="21">
        <f t="shared" si="30"/>
        <v>-2.9</v>
      </c>
      <c r="P267" s="21">
        <f t="shared" si="35"/>
        <v>93.1</v>
      </c>
      <c r="Q267" s="21">
        <v>232</v>
      </c>
      <c r="R267" s="44">
        <v>1.1499999999999999</v>
      </c>
      <c r="S267" s="21">
        <f t="shared" si="31"/>
        <v>3.3349999999999995</v>
      </c>
      <c r="T267" s="29">
        <f t="shared" si="32"/>
        <v>-3.3349999999999995</v>
      </c>
      <c r="U267" s="28">
        <f t="shared" si="36"/>
        <v>91.800580645161318</v>
      </c>
      <c r="W267" s="21">
        <v>2289.4</v>
      </c>
      <c r="Y267" s="21">
        <f t="shared" si="34"/>
        <v>144326.19999999992</v>
      </c>
      <c r="Z267" s="21">
        <f t="shared" si="38"/>
        <v>30082.700000000004</v>
      </c>
      <c r="AA267" s="21">
        <v>13.735995502670763</v>
      </c>
    </row>
    <row r="268" spans="1:28" s="3" customFormat="1" x14ac:dyDescent="0.25">
      <c r="A268" s="3">
        <v>5400</v>
      </c>
      <c r="B268" s="3">
        <v>24010</v>
      </c>
      <c r="C268" s="7">
        <v>42846</v>
      </c>
      <c r="F268" s="66" t="s">
        <v>50</v>
      </c>
      <c r="G268" s="3">
        <v>9.3000000000000007</v>
      </c>
      <c r="H268" s="3">
        <v>1.2</v>
      </c>
      <c r="I268" s="3">
        <v>16.3</v>
      </c>
      <c r="J268" s="3">
        <f t="shared" si="33"/>
        <v>1946.2000000000005</v>
      </c>
      <c r="K268" s="41">
        <f>G268</f>
        <v>9.3000000000000007</v>
      </c>
      <c r="L268" s="18" t="s">
        <v>39</v>
      </c>
      <c r="M268" s="3">
        <v>0</v>
      </c>
      <c r="N268" s="3">
        <v>3.6</v>
      </c>
      <c r="O268" s="3">
        <f t="shared" si="30"/>
        <v>-3.6</v>
      </c>
      <c r="P268" s="3">
        <f t="shared" si="35"/>
        <v>89.5</v>
      </c>
      <c r="Q268" s="3">
        <v>233</v>
      </c>
      <c r="R268" s="27">
        <v>1.1499999999999999</v>
      </c>
      <c r="S268" s="3">
        <f t="shared" si="31"/>
        <v>4.1399999999999997</v>
      </c>
      <c r="T268" s="28">
        <f t="shared" si="32"/>
        <v>-4.1399999999999997</v>
      </c>
      <c r="U268" s="28">
        <f t="shared" si="36"/>
        <v>87.660580645161318</v>
      </c>
      <c r="V268" s="35" t="s">
        <v>53</v>
      </c>
      <c r="W268" s="3">
        <v>2591.1999999999998</v>
      </c>
      <c r="Y268" s="3">
        <f t="shared" si="34"/>
        <v>146917.39999999994</v>
      </c>
      <c r="Z268" s="3">
        <f>W268</f>
        <v>2591.1999999999998</v>
      </c>
      <c r="AA268" s="3">
        <v>13.793065401595832</v>
      </c>
      <c r="AB268" s="35" t="s">
        <v>58</v>
      </c>
    </row>
    <row r="269" spans="1:28" s="41" customFormat="1" x14ac:dyDescent="0.25">
      <c r="A269" s="41">
        <v>5400</v>
      </c>
      <c r="B269" s="41">
        <v>24010</v>
      </c>
      <c r="C269" s="42">
        <v>42847</v>
      </c>
      <c r="F269" s="67"/>
      <c r="G269" s="41">
        <v>10</v>
      </c>
      <c r="H269" s="41">
        <v>5.3</v>
      </c>
      <c r="I269" s="41">
        <v>15.3</v>
      </c>
      <c r="J269" s="41">
        <f t="shared" si="33"/>
        <v>1956.2000000000005</v>
      </c>
      <c r="K269" s="41">
        <f t="shared" si="39"/>
        <v>19.3</v>
      </c>
      <c r="L269" s="11">
        <v>305.89999999999998</v>
      </c>
      <c r="M269" s="41">
        <v>0</v>
      </c>
      <c r="N269" s="41">
        <v>2.4</v>
      </c>
      <c r="O269" s="41">
        <f t="shared" si="30"/>
        <v>-2.4</v>
      </c>
      <c r="P269" s="41">
        <f t="shared" si="35"/>
        <v>87.1</v>
      </c>
      <c r="Q269" s="41">
        <v>234</v>
      </c>
      <c r="R269" s="41">
        <v>1.1499999999999999</v>
      </c>
      <c r="S269" s="41">
        <f t="shared" si="31"/>
        <v>2.76</v>
      </c>
      <c r="T269" s="43">
        <f t="shared" si="32"/>
        <v>-2.76</v>
      </c>
      <c r="U269" s="28">
        <f t="shared" si="36"/>
        <v>84.900580645161313</v>
      </c>
      <c r="V269">
        <v>0</v>
      </c>
      <c r="W269" s="41">
        <v>1513.2</v>
      </c>
      <c r="Y269" s="41">
        <f t="shared" si="34"/>
        <v>148430.59999999995</v>
      </c>
      <c r="Z269" s="3">
        <f t="shared" si="38"/>
        <v>4104.3999999999996</v>
      </c>
      <c r="AA269" s="41">
        <v>13.849823217261951</v>
      </c>
      <c r="AB269">
        <v>41218.1</v>
      </c>
    </row>
    <row r="270" spans="1:28" s="3" customFormat="1" ht="15" customHeight="1" x14ac:dyDescent="0.25">
      <c r="A270" s="3">
        <v>5400</v>
      </c>
      <c r="B270" s="3">
        <v>24010</v>
      </c>
      <c r="C270" s="7">
        <v>42848</v>
      </c>
      <c r="F270" s="67"/>
      <c r="G270" s="3">
        <v>8.8000000000000007</v>
      </c>
      <c r="H270" s="3">
        <v>4</v>
      </c>
      <c r="I270" s="3">
        <v>13.8</v>
      </c>
      <c r="J270" s="3">
        <f t="shared" si="33"/>
        <v>1965.0000000000005</v>
      </c>
      <c r="K270" s="41">
        <f t="shared" si="39"/>
        <v>28.1</v>
      </c>
      <c r="L270" s="18" t="s">
        <v>40</v>
      </c>
      <c r="M270" s="3">
        <v>0</v>
      </c>
      <c r="N270" s="3">
        <v>2.9</v>
      </c>
      <c r="O270" s="3">
        <f t="shared" si="30"/>
        <v>-2.9</v>
      </c>
      <c r="P270" s="3">
        <f t="shared" si="35"/>
        <v>84.199999999999989</v>
      </c>
      <c r="Q270" s="3">
        <v>235</v>
      </c>
      <c r="R270" s="27">
        <v>1.1499999999999999</v>
      </c>
      <c r="S270" s="3">
        <f t="shared" si="31"/>
        <v>3.3349999999999995</v>
      </c>
      <c r="T270" s="28">
        <f t="shared" si="32"/>
        <v>-3.3349999999999995</v>
      </c>
      <c r="U270" s="28">
        <f t="shared" si="36"/>
        <v>81.565580645161319</v>
      </c>
      <c r="V270" s="35" t="s">
        <v>54</v>
      </c>
      <c r="W270" s="3">
        <v>1956.6</v>
      </c>
      <c r="Y270" s="3">
        <f t="shared" si="34"/>
        <v>150387.19999999995</v>
      </c>
      <c r="Z270" s="3">
        <f t="shared" si="38"/>
        <v>6061</v>
      </c>
      <c r="AA270" s="3">
        <v>13.90625399126772</v>
      </c>
      <c r="AB270" s="35" t="s">
        <v>59</v>
      </c>
    </row>
    <row r="271" spans="1:28" s="3" customFormat="1" x14ac:dyDescent="0.25">
      <c r="A271" s="3">
        <v>5400</v>
      </c>
      <c r="B271" s="3">
        <v>24010</v>
      </c>
      <c r="C271" s="7">
        <v>42849</v>
      </c>
      <c r="F271" s="67"/>
      <c r="G271" s="3">
        <v>9.6</v>
      </c>
      <c r="H271" s="3">
        <v>3</v>
      </c>
      <c r="I271" s="3">
        <v>15.1</v>
      </c>
      <c r="J271" s="3">
        <f t="shared" si="33"/>
        <v>1974.6000000000004</v>
      </c>
      <c r="K271" s="41">
        <f t="shared" si="39"/>
        <v>37.700000000000003</v>
      </c>
      <c r="L271" s="16">
        <f>AVERAGE(G268:G294)</f>
        <v>11.329629629629629</v>
      </c>
      <c r="M271" s="3">
        <v>0</v>
      </c>
      <c r="N271" s="3">
        <v>2.8</v>
      </c>
      <c r="O271" s="3">
        <f t="shared" si="30"/>
        <v>-2.8</v>
      </c>
      <c r="P271" s="3">
        <f t="shared" si="35"/>
        <v>81.399999999999991</v>
      </c>
      <c r="Q271" s="3">
        <v>236</v>
      </c>
      <c r="R271" s="27">
        <v>1.1499999999999999</v>
      </c>
      <c r="S271" s="3">
        <f t="shared" si="31"/>
        <v>3.2199999999999998</v>
      </c>
      <c r="T271" s="28">
        <f t="shared" si="32"/>
        <v>-3.2199999999999998</v>
      </c>
      <c r="U271" s="28">
        <f t="shared" si="36"/>
        <v>78.34558064516132</v>
      </c>
      <c r="V271">
        <v>0</v>
      </c>
      <c r="W271" s="3">
        <v>2082.4</v>
      </c>
      <c r="Y271" s="3">
        <f t="shared" si="34"/>
        <v>152469.59999999995</v>
      </c>
      <c r="Z271" s="3">
        <f t="shared" si="38"/>
        <v>8143.4</v>
      </c>
      <c r="AA271" s="3">
        <v>13.962342352398567</v>
      </c>
      <c r="AB271">
        <f>(AB269/100)/L269</f>
        <v>1.3474370709382151</v>
      </c>
    </row>
    <row r="272" spans="1:28" s="3" customFormat="1" x14ac:dyDescent="0.25">
      <c r="A272" s="3">
        <v>5400</v>
      </c>
      <c r="B272" s="3">
        <v>24010</v>
      </c>
      <c r="C272" s="7">
        <v>42850</v>
      </c>
      <c r="F272" s="67"/>
      <c r="G272" s="3">
        <v>7</v>
      </c>
      <c r="H272" s="3">
        <v>6.1</v>
      </c>
      <c r="I272" s="3">
        <v>8.6</v>
      </c>
      <c r="J272" s="3">
        <f t="shared" si="33"/>
        <v>1981.6000000000004</v>
      </c>
      <c r="K272" s="41">
        <f t="shared" si="39"/>
        <v>44.7</v>
      </c>
      <c r="L272" s="18" t="s">
        <v>41</v>
      </c>
      <c r="M272" s="3">
        <v>0.1</v>
      </c>
      <c r="N272" s="3">
        <v>2.1</v>
      </c>
      <c r="O272" s="3">
        <f t="shared" si="30"/>
        <v>-2</v>
      </c>
      <c r="P272" s="3">
        <f t="shared" si="35"/>
        <v>79.399999999999991</v>
      </c>
      <c r="Q272" s="3">
        <v>237</v>
      </c>
      <c r="R272" s="27">
        <v>1.1499999999999999</v>
      </c>
      <c r="S272" s="3">
        <f t="shared" si="31"/>
        <v>2.415</v>
      </c>
      <c r="T272" s="28">
        <f t="shared" si="32"/>
        <v>-2.3149999999999999</v>
      </c>
      <c r="U272" s="28">
        <f t="shared" si="36"/>
        <v>76.030580645161322</v>
      </c>
      <c r="V272" s="35" t="s">
        <v>55</v>
      </c>
      <c r="W272" s="3">
        <v>1464.7</v>
      </c>
      <c r="Y272" s="3">
        <f t="shared" si="34"/>
        <v>153934.29999999996</v>
      </c>
      <c r="Z272" s="3">
        <f t="shared" si="38"/>
        <v>9608.1</v>
      </c>
      <c r="AA272" s="3">
        <v>14.018072510165339</v>
      </c>
      <c r="AB272" s="35" t="s">
        <v>60</v>
      </c>
    </row>
    <row r="273" spans="1:28" s="3" customFormat="1" x14ac:dyDescent="0.25">
      <c r="A273" s="3">
        <v>5400</v>
      </c>
      <c r="B273" s="3">
        <v>24010</v>
      </c>
      <c r="C273" s="7">
        <v>42851</v>
      </c>
      <c r="F273" s="67"/>
      <c r="G273" s="3">
        <v>4.5999999999999996</v>
      </c>
      <c r="H273" s="3">
        <v>1</v>
      </c>
      <c r="I273" s="3">
        <v>9.3000000000000007</v>
      </c>
      <c r="J273" s="3">
        <f t="shared" si="33"/>
        <v>1986.2000000000003</v>
      </c>
      <c r="K273" s="41">
        <f t="shared" si="39"/>
        <v>49.300000000000004</v>
      </c>
      <c r="L273" s="12">
        <f>MIN(H268:H294)</f>
        <v>1</v>
      </c>
      <c r="M273" s="3">
        <v>0.6</v>
      </c>
      <c r="N273" s="3">
        <v>2.5</v>
      </c>
      <c r="O273" s="3">
        <f t="shared" si="30"/>
        <v>-1.9</v>
      </c>
      <c r="P273" s="3">
        <f t="shared" si="35"/>
        <v>77.499999999999986</v>
      </c>
      <c r="Q273" s="3">
        <v>238</v>
      </c>
      <c r="R273" s="27">
        <v>1.1499999999999999</v>
      </c>
      <c r="S273" s="3">
        <f t="shared" si="31"/>
        <v>2.875</v>
      </c>
      <c r="T273" s="28">
        <f t="shared" si="32"/>
        <v>-2.2749999999999999</v>
      </c>
      <c r="U273" s="28">
        <f t="shared" si="36"/>
        <v>73.755580645161317</v>
      </c>
      <c r="V273" s="28">
        <f>MIN(U268:U294)</f>
        <v>68.980580645161325</v>
      </c>
      <c r="W273" s="3">
        <v>2186.8000000000002</v>
      </c>
      <c r="Y273" s="3">
        <f t="shared" si="34"/>
        <v>156121.09999999995</v>
      </c>
      <c r="Z273" s="3">
        <f t="shared" si="38"/>
        <v>11794.900000000001</v>
      </c>
      <c r="AA273" s="3">
        <v>14.07342824924581</v>
      </c>
      <c r="AB273">
        <v>4</v>
      </c>
    </row>
    <row r="274" spans="1:28" s="3" customFormat="1" x14ac:dyDescent="0.25">
      <c r="A274" s="3">
        <v>5400</v>
      </c>
      <c r="B274" s="3">
        <v>24010</v>
      </c>
      <c r="C274" s="7">
        <v>42852</v>
      </c>
      <c r="F274" s="67"/>
      <c r="G274" s="3">
        <v>5.3</v>
      </c>
      <c r="H274" s="3">
        <v>1</v>
      </c>
      <c r="I274" s="3">
        <v>9.3000000000000007</v>
      </c>
      <c r="J274" s="3">
        <f t="shared" si="33"/>
        <v>1991.5000000000002</v>
      </c>
      <c r="K274" s="41">
        <f t="shared" si="39"/>
        <v>54.6</v>
      </c>
      <c r="L274" s="18" t="s">
        <v>42</v>
      </c>
      <c r="M274" s="3">
        <v>1.9</v>
      </c>
      <c r="N274" s="3">
        <v>1.7</v>
      </c>
      <c r="O274" s="3">
        <f t="shared" si="30"/>
        <v>0.19999999999999996</v>
      </c>
      <c r="P274" s="3">
        <f t="shared" si="35"/>
        <v>77.699999999999989</v>
      </c>
      <c r="Q274" s="3">
        <v>239</v>
      </c>
      <c r="R274" s="27">
        <v>1.1499999999999999</v>
      </c>
      <c r="S274" s="3">
        <f t="shared" si="31"/>
        <v>1.9549999999999998</v>
      </c>
      <c r="T274" s="28">
        <f t="shared" si="32"/>
        <v>-5.4999999999999938E-2</v>
      </c>
      <c r="U274" s="28">
        <f t="shared" si="36"/>
        <v>73.70058064516131</v>
      </c>
      <c r="V274" s="35" t="s">
        <v>56</v>
      </c>
      <c r="W274" s="3">
        <v>1364.7</v>
      </c>
      <c r="Y274" s="3">
        <f t="shared" si="34"/>
        <v>157485.79999999996</v>
      </c>
      <c r="Z274" s="3">
        <f t="shared" si="38"/>
        <v>13159.600000000002</v>
      </c>
      <c r="AA274" s="3">
        <v>14.12839292489312</v>
      </c>
    </row>
    <row r="275" spans="1:28" s="3" customFormat="1" x14ac:dyDescent="0.25">
      <c r="A275" s="3">
        <v>5400</v>
      </c>
      <c r="B275" s="3">
        <v>24010</v>
      </c>
      <c r="C275" s="7">
        <v>42853</v>
      </c>
      <c r="F275" s="67"/>
      <c r="G275" s="3">
        <v>7.9</v>
      </c>
      <c r="H275" s="3">
        <v>2.1</v>
      </c>
      <c r="I275" s="3">
        <v>12.1</v>
      </c>
      <c r="J275" s="3">
        <f t="shared" si="33"/>
        <v>1999.4000000000003</v>
      </c>
      <c r="K275" s="41">
        <f t="shared" si="39"/>
        <v>62.5</v>
      </c>
      <c r="L275" s="11">
        <f>MAX(I268:I294)</f>
        <v>26.8</v>
      </c>
      <c r="M275" s="3">
        <v>0.5</v>
      </c>
      <c r="N275" s="3">
        <v>1.1000000000000001</v>
      </c>
      <c r="O275" s="3">
        <f t="shared" si="30"/>
        <v>-0.60000000000000009</v>
      </c>
      <c r="P275" s="3">
        <f t="shared" si="35"/>
        <v>77.099999999999994</v>
      </c>
      <c r="Q275" s="3">
        <v>240</v>
      </c>
      <c r="R275" s="27">
        <v>1.1499999999999999</v>
      </c>
      <c r="S275" s="3">
        <f t="shared" si="31"/>
        <v>1.2649999999999999</v>
      </c>
      <c r="T275" s="28">
        <f t="shared" si="32"/>
        <v>-0.7649999999999999</v>
      </c>
      <c r="U275" s="28">
        <f t="shared" si="36"/>
        <v>72.935580645161309</v>
      </c>
      <c r="V275" s="28">
        <f>MAX(U268:U294)</f>
        <v>88.785580645161318</v>
      </c>
      <c r="W275" s="3">
        <v>830.8</v>
      </c>
      <c r="Y275" s="3">
        <f t="shared" si="34"/>
        <v>158316.59999999995</v>
      </c>
      <c r="Z275" s="3">
        <f t="shared" si="38"/>
        <v>13990.400000000001</v>
      </c>
      <c r="AA275" s="3">
        <v>14.182949459377422</v>
      </c>
    </row>
    <row r="276" spans="1:28" s="3" customFormat="1" x14ac:dyDescent="0.25">
      <c r="A276" s="3">
        <v>5400</v>
      </c>
      <c r="B276" s="3">
        <v>24010</v>
      </c>
      <c r="C276" s="7">
        <v>42854</v>
      </c>
      <c r="F276" s="67"/>
      <c r="G276" s="3">
        <v>10.199999999999999</v>
      </c>
      <c r="H276" s="3">
        <v>4</v>
      </c>
      <c r="I276" s="3">
        <v>16.2</v>
      </c>
      <c r="J276" s="3">
        <f t="shared" si="33"/>
        <v>2009.6000000000004</v>
      </c>
      <c r="K276" s="41">
        <f t="shared" si="39"/>
        <v>72.7</v>
      </c>
      <c r="L276" s="18" t="s">
        <v>43</v>
      </c>
      <c r="M276" s="3">
        <v>0</v>
      </c>
      <c r="N276" s="3">
        <v>2.6</v>
      </c>
      <c r="O276" s="3">
        <f t="shared" si="30"/>
        <v>-2.6</v>
      </c>
      <c r="P276" s="3">
        <f t="shared" si="35"/>
        <v>74.5</v>
      </c>
      <c r="Q276" s="3">
        <v>241</v>
      </c>
      <c r="R276" s="27">
        <v>1.1499999999999999</v>
      </c>
      <c r="S276" s="3">
        <f t="shared" si="31"/>
        <v>2.9899999999999998</v>
      </c>
      <c r="T276" s="28">
        <f t="shared" si="32"/>
        <v>-2.9899999999999998</v>
      </c>
      <c r="U276" s="28">
        <f t="shared" si="36"/>
        <v>69.945580645161314</v>
      </c>
      <c r="V276" s="35" t="s">
        <v>57</v>
      </c>
      <c r="W276" s="3">
        <v>1732</v>
      </c>
      <c r="Y276" s="3">
        <f t="shared" si="34"/>
        <v>160048.59999999995</v>
      </c>
      <c r="Z276" s="3">
        <f t="shared" si="38"/>
        <v>15722.400000000001</v>
      </c>
      <c r="AA276" s="3">
        <v>14.23708033952906</v>
      </c>
    </row>
    <row r="277" spans="1:28" s="3" customFormat="1" x14ac:dyDescent="0.25">
      <c r="A277" s="3">
        <v>5400</v>
      </c>
      <c r="B277" s="3">
        <v>24010</v>
      </c>
      <c r="C277" s="7">
        <v>42855</v>
      </c>
      <c r="F277" s="67"/>
      <c r="G277" s="3">
        <v>8.6999999999999993</v>
      </c>
      <c r="H277" s="3">
        <v>5.3</v>
      </c>
      <c r="I277" s="3">
        <v>12.3</v>
      </c>
      <c r="J277" s="3">
        <f t="shared" si="33"/>
        <v>2018.3000000000004</v>
      </c>
      <c r="K277" s="41">
        <f t="shared" si="39"/>
        <v>81.400000000000006</v>
      </c>
      <c r="L277" s="11">
        <v>2</v>
      </c>
      <c r="M277" s="3">
        <v>11.4</v>
      </c>
      <c r="N277" s="3">
        <v>2.2000000000000002</v>
      </c>
      <c r="O277" s="3">
        <f t="shared" si="30"/>
        <v>9.1999999999999993</v>
      </c>
      <c r="P277" s="3">
        <f t="shared" si="35"/>
        <v>83.7</v>
      </c>
      <c r="Q277" s="3">
        <v>242</v>
      </c>
      <c r="R277" s="27">
        <v>1.1499999999999999</v>
      </c>
      <c r="S277" s="3">
        <f t="shared" si="31"/>
        <v>2.5299999999999998</v>
      </c>
      <c r="T277" s="28">
        <f t="shared" si="32"/>
        <v>8.870000000000001</v>
      </c>
      <c r="U277" s="28">
        <f t="shared" si="36"/>
        <v>78.815580645161319</v>
      </c>
      <c r="V277" s="28">
        <f>AVERAGE(U268:U294)</f>
        <v>78.436691756272438</v>
      </c>
      <c r="W277" s="3">
        <v>1753.8</v>
      </c>
      <c r="Y277" s="3">
        <f t="shared" si="34"/>
        <v>161802.39999999994</v>
      </c>
      <c r="Z277" s="3">
        <f t="shared" si="38"/>
        <v>17476.2</v>
      </c>
      <c r="AA277" s="3">
        <v>14.290767615453605</v>
      </c>
    </row>
    <row r="278" spans="1:28" s="3" customFormat="1" x14ac:dyDescent="0.25">
      <c r="A278" s="3">
        <v>5400</v>
      </c>
      <c r="B278" s="3">
        <v>24010</v>
      </c>
      <c r="C278" s="7">
        <v>42856</v>
      </c>
      <c r="F278" s="67"/>
      <c r="G278" s="3">
        <v>10</v>
      </c>
      <c r="H278" s="3">
        <v>7.2</v>
      </c>
      <c r="I278" s="3">
        <v>13.5</v>
      </c>
      <c r="J278" s="3">
        <f t="shared" si="33"/>
        <v>2028.3000000000004</v>
      </c>
      <c r="K278" s="41">
        <f t="shared" si="39"/>
        <v>91.4</v>
      </c>
      <c r="L278" s="18" t="s">
        <v>44</v>
      </c>
      <c r="M278" s="3">
        <v>0.9</v>
      </c>
      <c r="N278" s="3">
        <v>2.5</v>
      </c>
      <c r="O278" s="3">
        <f t="shared" si="30"/>
        <v>-1.6</v>
      </c>
      <c r="P278" s="3">
        <f t="shared" si="35"/>
        <v>82.100000000000009</v>
      </c>
      <c r="Q278" s="3">
        <v>243</v>
      </c>
      <c r="R278" s="27">
        <v>1.1499999999999999</v>
      </c>
      <c r="S278" s="3">
        <f t="shared" si="31"/>
        <v>2.875</v>
      </c>
      <c r="T278" s="28">
        <f t="shared" si="32"/>
        <v>-1.9750000000000001</v>
      </c>
      <c r="U278" s="28">
        <f t="shared" si="36"/>
        <v>76.840580645161324</v>
      </c>
      <c r="W278" s="3">
        <v>1480.8</v>
      </c>
      <c r="Y278" s="3">
        <f t="shared" si="34"/>
        <v>163283.19999999992</v>
      </c>
      <c r="Z278" s="3">
        <f t="shared" si="38"/>
        <v>18957</v>
      </c>
      <c r="AA278" s="3">
        <v>14.343992900490727</v>
      </c>
    </row>
    <row r="279" spans="1:28" s="3" customFormat="1" x14ac:dyDescent="0.25">
      <c r="A279" s="3">
        <v>5400</v>
      </c>
      <c r="B279" s="3">
        <v>24010</v>
      </c>
      <c r="C279" s="7">
        <v>42857</v>
      </c>
      <c r="F279" s="67"/>
      <c r="G279" s="3">
        <v>10.9</v>
      </c>
      <c r="H279" s="3">
        <v>7.7</v>
      </c>
      <c r="I279" s="3">
        <v>14.6</v>
      </c>
      <c r="J279" s="3">
        <f t="shared" si="33"/>
        <v>2039.2000000000005</v>
      </c>
      <c r="K279" s="41">
        <f t="shared" si="39"/>
        <v>102.30000000000001</v>
      </c>
      <c r="L279" s="11">
        <v>7</v>
      </c>
      <c r="M279" s="3">
        <v>0</v>
      </c>
      <c r="N279" s="3">
        <v>2.2999999999999998</v>
      </c>
      <c r="O279" s="3">
        <f t="shared" si="30"/>
        <v>-2.2999999999999998</v>
      </c>
      <c r="P279" s="3">
        <f t="shared" si="35"/>
        <v>79.800000000000011</v>
      </c>
      <c r="Q279" s="3">
        <v>244</v>
      </c>
      <c r="R279" s="27">
        <v>1.1499999999999999</v>
      </c>
      <c r="S279" s="3">
        <f t="shared" si="31"/>
        <v>2.6449999999999996</v>
      </c>
      <c r="T279" s="28">
        <f t="shared" si="32"/>
        <v>-2.6449999999999996</v>
      </c>
      <c r="U279" s="28">
        <f t="shared" si="36"/>
        <v>74.195580645161328</v>
      </c>
      <c r="V279" s="45">
        <f>(V277*100)/153.9</f>
        <v>50.966011537538947</v>
      </c>
      <c r="W279" s="3">
        <v>1581.2</v>
      </c>
      <c r="Y279" s="3">
        <f t="shared" si="34"/>
        <v>164864.39999999994</v>
      </c>
      <c r="Z279" s="3">
        <f t="shared" si="38"/>
        <v>20538.2</v>
      </c>
      <c r="AA279" s="3">
        <v>14.3967373724902</v>
      </c>
    </row>
    <row r="280" spans="1:28" s="3" customFormat="1" x14ac:dyDescent="0.25">
      <c r="A280" s="3">
        <v>5400</v>
      </c>
      <c r="B280" s="3">
        <v>24010</v>
      </c>
      <c r="C280" s="7">
        <v>42858</v>
      </c>
      <c r="F280" s="67"/>
      <c r="G280" s="3">
        <v>9.3000000000000007</v>
      </c>
      <c r="H280" s="3">
        <v>8.5</v>
      </c>
      <c r="I280" s="3">
        <v>10.8</v>
      </c>
      <c r="J280" s="3">
        <f t="shared" si="33"/>
        <v>2048.5000000000005</v>
      </c>
      <c r="K280" s="41">
        <f t="shared" si="39"/>
        <v>111.60000000000001</v>
      </c>
      <c r="L280" s="18" t="s">
        <v>45</v>
      </c>
      <c r="M280" s="3">
        <v>7.4</v>
      </c>
      <c r="N280" s="3">
        <v>0.7</v>
      </c>
      <c r="O280" s="3">
        <f t="shared" si="30"/>
        <v>6.7</v>
      </c>
      <c r="P280" s="3">
        <f t="shared" si="35"/>
        <v>86.500000000000014</v>
      </c>
      <c r="Q280" s="3">
        <v>245</v>
      </c>
      <c r="R280" s="27">
        <v>1.1499999999999999</v>
      </c>
      <c r="S280" s="3">
        <f t="shared" si="31"/>
        <v>0.80499999999999994</v>
      </c>
      <c r="T280" s="28">
        <f t="shared" si="32"/>
        <v>6.5950000000000006</v>
      </c>
      <c r="U280" s="28">
        <f t="shared" si="36"/>
        <v>80.790580645161327</v>
      </c>
      <c r="W280" s="3">
        <v>390.2</v>
      </c>
      <c r="Y280" s="3">
        <f t="shared" si="34"/>
        <v>165254.59999999995</v>
      </c>
      <c r="Z280" s="3">
        <f t="shared" si="38"/>
        <v>20928.400000000001</v>
      </c>
      <c r="AA280" s="3">
        <v>14.448981776479462</v>
      </c>
    </row>
    <row r="281" spans="1:28" s="3" customFormat="1" x14ac:dyDescent="0.25">
      <c r="A281" s="3">
        <v>5400</v>
      </c>
      <c r="B281" s="3">
        <v>24010</v>
      </c>
      <c r="C281" s="7">
        <v>42859</v>
      </c>
      <c r="F281" s="67"/>
      <c r="G281" s="3">
        <v>10.7</v>
      </c>
      <c r="H281" s="3">
        <v>8</v>
      </c>
      <c r="I281" s="3">
        <v>13.5</v>
      </c>
      <c r="J281" s="3">
        <f t="shared" si="33"/>
        <v>2059.2000000000003</v>
      </c>
      <c r="K281" s="41">
        <f t="shared" si="39"/>
        <v>122.30000000000001</v>
      </c>
      <c r="L281" s="17">
        <v>0</v>
      </c>
      <c r="M281" s="3">
        <v>1.2</v>
      </c>
      <c r="N281" s="3">
        <v>1.6</v>
      </c>
      <c r="O281" s="3">
        <f t="shared" si="30"/>
        <v>-0.40000000000000013</v>
      </c>
      <c r="P281" s="3">
        <f t="shared" si="35"/>
        <v>86.100000000000009</v>
      </c>
      <c r="Q281" s="3">
        <v>246</v>
      </c>
      <c r="R281" s="27">
        <v>1.1499999999999999</v>
      </c>
      <c r="S281" s="3">
        <f t="shared" si="31"/>
        <v>1.8399999999999999</v>
      </c>
      <c r="T281" s="28">
        <f t="shared" si="32"/>
        <v>-0.6399999999999999</v>
      </c>
      <c r="U281" s="28">
        <f t="shared" si="36"/>
        <v>80.150580645161327</v>
      </c>
      <c r="W281" s="3">
        <v>1189.0999999999999</v>
      </c>
      <c r="Y281" s="3">
        <f t="shared" si="34"/>
        <v>166443.69999999995</v>
      </c>
      <c r="Z281" s="3">
        <f t="shared" si="38"/>
        <v>22117.5</v>
      </c>
      <c r="AA281" s="3">
        <v>14.500706428797788</v>
      </c>
    </row>
    <row r="282" spans="1:28" s="3" customFormat="1" x14ac:dyDescent="0.25">
      <c r="A282" s="3">
        <v>5400</v>
      </c>
      <c r="B282" s="3">
        <v>24010</v>
      </c>
      <c r="C282" s="7">
        <v>42860</v>
      </c>
      <c r="F282" s="67"/>
      <c r="G282" s="3">
        <v>12.7</v>
      </c>
      <c r="H282" s="3">
        <v>7.2</v>
      </c>
      <c r="I282" s="3">
        <v>16.8</v>
      </c>
      <c r="J282" s="3">
        <f t="shared" si="33"/>
        <v>2071.9</v>
      </c>
      <c r="K282" s="41">
        <f t="shared" si="39"/>
        <v>135</v>
      </c>
      <c r="M282" s="3">
        <v>2.5</v>
      </c>
      <c r="N282" s="3">
        <v>2.4</v>
      </c>
      <c r="O282" s="3">
        <f t="shared" si="30"/>
        <v>0.10000000000000009</v>
      </c>
      <c r="P282" s="3">
        <f t="shared" si="35"/>
        <v>86.2</v>
      </c>
      <c r="Q282" s="3">
        <v>247</v>
      </c>
      <c r="R282" s="27">
        <v>1.1499999999999999</v>
      </c>
      <c r="S282" s="3">
        <f t="shared" si="31"/>
        <v>2.76</v>
      </c>
      <c r="T282" s="28">
        <f t="shared" si="32"/>
        <v>-0.25999999999999979</v>
      </c>
      <c r="U282" s="28">
        <f t="shared" si="36"/>
        <v>79.890580645161322</v>
      </c>
      <c r="W282" s="3">
        <v>1860.6</v>
      </c>
      <c r="Y282" s="3">
        <f t="shared" si="34"/>
        <v>168304.29999999996</v>
      </c>
      <c r="Z282" s="3">
        <f t="shared" si="38"/>
        <v>23978.1</v>
      </c>
      <c r="AA282" s="3">
        <v>14.551891222772328</v>
      </c>
    </row>
    <row r="283" spans="1:28" s="3" customFormat="1" x14ac:dyDescent="0.25">
      <c r="A283" s="3">
        <v>5400</v>
      </c>
      <c r="B283" s="3">
        <v>24010</v>
      </c>
      <c r="C283" s="7">
        <v>42861</v>
      </c>
      <c r="F283" s="67"/>
      <c r="G283" s="3">
        <v>11.7</v>
      </c>
      <c r="H283" s="3">
        <v>10</v>
      </c>
      <c r="I283" s="3">
        <v>12.7</v>
      </c>
      <c r="J283" s="3">
        <f t="shared" si="33"/>
        <v>2083.6</v>
      </c>
      <c r="K283" s="41">
        <f t="shared" si="39"/>
        <v>146.69999999999999</v>
      </c>
      <c r="M283" s="3">
        <v>9.6999999999999993</v>
      </c>
      <c r="N283" s="3">
        <v>0.7</v>
      </c>
      <c r="O283" s="3">
        <f t="shared" si="30"/>
        <v>9</v>
      </c>
      <c r="P283" s="3">
        <f t="shared" si="35"/>
        <v>95.2</v>
      </c>
      <c r="Q283" s="3">
        <v>248</v>
      </c>
      <c r="R283" s="27">
        <v>1.1499999999999999</v>
      </c>
      <c r="S283" s="3">
        <f t="shared" si="31"/>
        <v>0.80499999999999994</v>
      </c>
      <c r="T283" s="28">
        <f t="shared" si="32"/>
        <v>8.8949999999999996</v>
      </c>
      <c r="U283" s="28">
        <f t="shared" si="36"/>
        <v>88.785580645161318</v>
      </c>
      <c r="W283" s="3">
        <v>376.6</v>
      </c>
      <c r="Y283" s="3">
        <f t="shared" si="34"/>
        <v>168680.89999999997</v>
      </c>
      <c r="Z283" s="3">
        <f t="shared" si="38"/>
        <v>24354.699999999997</v>
      </c>
      <c r="AA283" s="3">
        <v>14.60251563601102</v>
      </c>
    </row>
    <row r="284" spans="1:28" s="3" customFormat="1" x14ac:dyDescent="0.25">
      <c r="A284" s="3">
        <v>5400</v>
      </c>
      <c r="B284" s="3">
        <v>24010</v>
      </c>
      <c r="C284" s="7">
        <v>42862</v>
      </c>
      <c r="F284" s="67"/>
      <c r="G284" s="3">
        <v>11.8</v>
      </c>
      <c r="H284" s="3">
        <v>10.1</v>
      </c>
      <c r="I284" s="3">
        <v>15.1</v>
      </c>
      <c r="J284" s="3">
        <f t="shared" si="33"/>
        <v>2095.4</v>
      </c>
      <c r="K284" s="41">
        <f t="shared" si="39"/>
        <v>158.5</v>
      </c>
      <c r="L284" s="23"/>
      <c r="M284" s="3">
        <v>0</v>
      </c>
      <c r="N284" s="3">
        <v>2</v>
      </c>
      <c r="O284" s="3">
        <f t="shared" si="30"/>
        <v>-2</v>
      </c>
      <c r="P284" s="3">
        <f t="shared" si="35"/>
        <v>93.2</v>
      </c>
      <c r="Q284" s="3">
        <v>249</v>
      </c>
      <c r="R284" s="27">
        <v>1.1499999999999999</v>
      </c>
      <c r="S284" s="3">
        <f t="shared" si="31"/>
        <v>2.2999999999999998</v>
      </c>
      <c r="T284" s="28">
        <f t="shared" si="32"/>
        <v>-2.2999999999999998</v>
      </c>
      <c r="U284" s="28">
        <f t="shared" si="36"/>
        <v>86.48558064516132</v>
      </c>
      <c r="W284" s="3">
        <v>1099.5</v>
      </c>
      <c r="Y284" s="3">
        <f t="shared" si="34"/>
        <v>169780.39999999997</v>
      </c>
      <c r="Z284" s="3">
        <f t="shared" si="38"/>
        <v>25454.199999999997</v>
      </c>
      <c r="AA284" s="3">
        <v>14.652558739386583</v>
      </c>
    </row>
    <row r="285" spans="1:28" s="3" customFormat="1" x14ac:dyDescent="0.25">
      <c r="A285" s="3">
        <v>5400</v>
      </c>
      <c r="B285" s="3">
        <v>24010</v>
      </c>
      <c r="C285" s="7">
        <v>42863</v>
      </c>
      <c r="F285" s="67"/>
      <c r="G285" s="3">
        <v>10.199999999999999</v>
      </c>
      <c r="H285" s="3">
        <v>8.6</v>
      </c>
      <c r="I285" s="3">
        <v>13.2</v>
      </c>
      <c r="J285" s="3">
        <f t="shared" si="33"/>
        <v>2105.6</v>
      </c>
      <c r="K285" s="41">
        <f t="shared" si="39"/>
        <v>168.7</v>
      </c>
      <c r="L285" s="23"/>
      <c r="M285" s="3">
        <v>0</v>
      </c>
      <c r="N285" s="3">
        <v>1.5</v>
      </c>
      <c r="O285" s="3">
        <f t="shared" si="30"/>
        <v>-1.5</v>
      </c>
      <c r="P285" s="3">
        <f t="shared" si="35"/>
        <v>91.7</v>
      </c>
      <c r="Q285" s="3">
        <v>250</v>
      </c>
      <c r="R285" s="27">
        <v>1.1499999999999999</v>
      </c>
      <c r="S285" s="3">
        <f t="shared" si="31"/>
        <v>1.7249999999999999</v>
      </c>
      <c r="T285" s="28">
        <f t="shared" si="32"/>
        <v>-1.7249999999999999</v>
      </c>
      <c r="U285" s="28">
        <f t="shared" si="36"/>
        <v>84.760580645161326</v>
      </c>
      <c r="W285" s="3">
        <v>724.3</v>
      </c>
      <c r="Y285" s="3">
        <f t="shared" si="34"/>
        <v>170504.69999999995</v>
      </c>
      <c r="Z285" s="3">
        <f t="shared" si="38"/>
        <v>26178.499999999996</v>
      </c>
      <c r="AA285" s="3">
        <v>14.701999207784327</v>
      </c>
    </row>
    <row r="286" spans="1:28" s="3" customFormat="1" x14ac:dyDescent="0.25">
      <c r="A286" s="3">
        <v>5400</v>
      </c>
      <c r="B286" s="3">
        <v>24010</v>
      </c>
      <c r="C286" s="7">
        <v>42864</v>
      </c>
      <c r="F286" s="67"/>
      <c r="G286" s="3">
        <v>11</v>
      </c>
      <c r="H286" s="3">
        <v>5.9</v>
      </c>
      <c r="I286" s="3">
        <v>15.4</v>
      </c>
      <c r="J286" s="3">
        <f t="shared" si="33"/>
        <v>2116.6</v>
      </c>
      <c r="K286" s="41">
        <f t="shared" si="39"/>
        <v>179.7</v>
      </c>
      <c r="L286" s="23"/>
      <c r="M286" s="3">
        <v>0</v>
      </c>
      <c r="N286" s="3">
        <v>3.2</v>
      </c>
      <c r="O286" s="3">
        <f t="shared" si="30"/>
        <v>-3.2</v>
      </c>
      <c r="P286" s="3">
        <f t="shared" si="35"/>
        <v>88.5</v>
      </c>
      <c r="Q286" s="3">
        <v>251</v>
      </c>
      <c r="R286" s="27">
        <v>1.1499999999999999</v>
      </c>
      <c r="S286" s="3">
        <f t="shared" si="31"/>
        <v>3.6799999999999997</v>
      </c>
      <c r="T286" s="28">
        <f t="shared" si="32"/>
        <v>-3.6799999999999997</v>
      </c>
      <c r="U286" s="28">
        <f t="shared" si="36"/>
        <v>81.080580645161319</v>
      </c>
      <c r="W286" s="3">
        <v>2222.6</v>
      </c>
      <c r="Y286" s="3">
        <f t="shared" si="34"/>
        <v>172727.29999999996</v>
      </c>
      <c r="Z286" s="3">
        <f t="shared" si="38"/>
        <v>28401.099999999995</v>
      </c>
      <c r="AA286" s="3">
        <v>14.750815332684459</v>
      </c>
    </row>
    <row r="287" spans="1:28" s="3" customFormat="1" x14ac:dyDescent="0.25">
      <c r="A287" s="3">
        <v>5400</v>
      </c>
      <c r="B287" s="3">
        <v>24010</v>
      </c>
      <c r="C287" s="7">
        <v>42865</v>
      </c>
      <c r="F287" s="67"/>
      <c r="G287" s="3">
        <v>13.9</v>
      </c>
      <c r="H287" s="3">
        <v>6.2</v>
      </c>
      <c r="I287" s="3">
        <v>18.7</v>
      </c>
      <c r="J287" s="3">
        <f t="shared" si="33"/>
        <v>2130.5</v>
      </c>
      <c r="K287" s="41">
        <f t="shared" si="39"/>
        <v>193.6</v>
      </c>
      <c r="L287" s="23"/>
      <c r="M287" s="3">
        <v>2.4</v>
      </c>
      <c r="N287" s="3">
        <v>3.4</v>
      </c>
      <c r="O287" s="3">
        <f t="shared" si="30"/>
        <v>-1</v>
      </c>
      <c r="P287" s="3">
        <f t="shared" si="35"/>
        <v>87.5</v>
      </c>
      <c r="Q287" s="3">
        <v>252</v>
      </c>
      <c r="R287" s="27">
        <v>1.1499999999999999</v>
      </c>
      <c r="S287" s="3">
        <f t="shared" si="31"/>
        <v>3.9099999999999997</v>
      </c>
      <c r="T287" s="28">
        <f t="shared" si="32"/>
        <v>-1.5099999999999998</v>
      </c>
      <c r="U287" s="28">
        <f t="shared" si="36"/>
        <v>79.570580645161314</v>
      </c>
      <c r="W287" s="3">
        <v>2170.3000000000002</v>
      </c>
      <c r="Y287" s="3">
        <f t="shared" si="34"/>
        <v>174897.59999999995</v>
      </c>
      <c r="Z287" s="3">
        <f t="shared" si="38"/>
        <v>30571.399999999994</v>
      </c>
      <c r="AA287" s="3">
        <v>14.798985036646728</v>
      </c>
    </row>
    <row r="288" spans="1:28" s="3" customFormat="1" x14ac:dyDescent="0.25">
      <c r="A288" s="3">
        <v>5400</v>
      </c>
      <c r="B288" s="3">
        <v>24010</v>
      </c>
      <c r="C288" s="7">
        <v>42866</v>
      </c>
      <c r="F288" s="67"/>
      <c r="G288" s="3">
        <v>13</v>
      </c>
      <c r="H288" s="3">
        <v>12</v>
      </c>
      <c r="I288" s="3">
        <v>14.3</v>
      </c>
      <c r="J288" s="3">
        <f t="shared" si="33"/>
        <v>2143.5</v>
      </c>
      <c r="K288" s="41">
        <f t="shared" si="39"/>
        <v>206.6</v>
      </c>
      <c r="L288" s="23"/>
      <c r="M288" s="3">
        <v>2.4</v>
      </c>
      <c r="N288" s="3">
        <v>1.9</v>
      </c>
      <c r="O288" s="3">
        <f t="shared" si="30"/>
        <v>0.5</v>
      </c>
      <c r="P288" s="3">
        <f t="shared" si="35"/>
        <v>88</v>
      </c>
      <c r="Q288" s="3">
        <v>253</v>
      </c>
      <c r="R288" s="27">
        <v>1.1499999999999999</v>
      </c>
      <c r="S288" s="3">
        <f t="shared" si="31"/>
        <v>2.1849999999999996</v>
      </c>
      <c r="T288" s="28">
        <f t="shared" si="32"/>
        <v>0.2150000000000003</v>
      </c>
      <c r="U288" s="28">
        <f t="shared" si="36"/>
        <v>79.785580645161318</v>
      </c>
      <c r="W288" s="3">
        <v>1248.2</v>
      </c>
      <c r="Y288" s="3">
        <f t="shared" si="34"/>
        <v>176145.79999999996</v>
      </c>
      <c r="Z288" s="3">
        <f t="shared" si="38"/>
        <v>31819.599999999995</v>
      </c>
      <c r="AA288" s="3">
        <v>14.846485889761652</v>
      </c>
    </row>
    <row r="289" spans="1:28" s="3" customFormat="1" x14ac:dyDescent="0.25">
      <c r="A289" s="3">
        <v>5400</v>
      </c>
      <c r="B289" s="3">
        <v>24010</v>
      </c>
      <c r="C289" s="7">
        <v>42867</v>
      </c>
      <c r="F289" s="67"/>
      <c r="G289" s="3">
        <v>14.6</v>
      </c>
      <c r="H289" s="3">
        <v>11.3</v>
      </c>
      <c r="I289" s="3">
        <v>19.2</v>
      </c>
      <c r="J289" s="3">
        <f t="shared" si="33"/>
        <v>2158.1</v>
      </c>
      <c r="K289" s="41">
        <f t="shared" si="39"/>
        <v>221.2</v>
      </c>
      <c r="L289" s="23"/>
      <c r="M289" s="3">
        <v>3.5</v>
      </c>
      <c r="N289" s="3">
        <v>2</v>
      </c>
      <c r="O289" s="3">
        <f t="shared" si="30"/>
        <v>1.5</v>
      </c>
      <c r="P289" s="3">
        <f t="shared" si="35"/>
        <v>89.5</v>
      </c>
      <c r="Q289" s="3">
        <v>254</v>
      </c>
      <c r="R289" s="27">
        <v>1.1499999999999999</v>
      </c>
      <c r="S289" s="3">
        <f t="shared" si="31"/>
        <v>2.2999999999999998</v>
      </c>
      <c r="T289" s="28">
        <f t="shared" si="32"/>
        <v>1.2000000000000002</v>
      </c>
      <c r="U289" s="28">
        <f t="shared" si="36"/>
        <v>80.98558064516132</v>
      </c>
      <c r="W289" s="3">
        <v>1226.2</v>
      </c>
      <c r="Y289" s="3">
        <f t="shared" si="34"/>
        <v>177371.99999999997</v>
      </c>
      <c r="Z289" s="3">
        <f t="shared" si="38"/>
        <v>33045.799999999996</v>
      </c>
      <c r="AA289" s="3">
        <v>14.893295128128116</v>
      </c>
    </row>
    <row r="290" spans="1:28" s="3" customFormat="1" x14ac:dyDescent="0.25">
      <c r="A290" s="3">
        <v>5400</v>
      </c>
      <c r="B290" s="3">
        <v>24010</v>
      </c>
      <c r="C290" s="7">
        <v>42868</v>
      </c>
      <c r="F290" s="67"/>
      <c r="G290" s="3">
        <v>14.5</v>
      </c>
      <c r="H290" s="3">
        <v>11.3</v>
      </c>
      <c r="I290" s="3">
        <v>18.100000000000001</v>
      </c>
      <c r="J290" s="3">
        <f t="shared" si="33"/>
        <v>2172.6</v>
      </c>
      <c r="K290" s="41">
        <f t="shared" si="39"/>
        <v>235.7</v>
      </c>
      <c r="L290" s="23"/>
      <c r="M290" s="3">
        <v>0</v>
      </c>
      <c r="N290" s="3">
        <v>2.6</v>
      </c>
      <c r="O290" s="3">
        <f t="shared" si="30"/>
        <v>-2.6</v>
      </c>
      <c r="P290" s="3">
        <f t="shared" si="35"/>
        <v>86.9</v>
      </c>
      <c r="Q290" s="3">
        <v>255</v>
      </c>
      <c r="R290" s="27">
        <v>1.1499999999999999</v>
      </c>
      <c r="S290" s="3">
        <f t="shared" si="31"/>
        <v>2.9899999999999998</v>
      </c>
      <c r="T290" s="28">
        <f t="shared" si="32"/>
        <v>-2.9899999999999998</v>
      </c>
      <c r="U290" s="28">
        <f t="shared" si="36"/>
        <v>77.995580645161326</v>
      </c>
      <c r="W290" s="3">
        <v>1550.3</v>
      </c>
      <c r="Y290" s="3">
        <f t="shared" si="34"/>
        <v>178922.29999999996</v>
      </c>
      <c r="Z290" s="3">
        <f t="shared" si="38"/>
        <v>34596.1</v>
      </c>
      <c r="AA290" s="3">
        <v>14.939389674411778</v>
      </c>
    </row>
    <row r="291" spans="1:28" s="3" customFormat="1" x14ac:dyDescent="0.25">
      <c r="A291" s="3">
        <v>5400</v>
      </c>
      <c r="B291" s="3">
        <v>24010</v>
      </c>
      <c r="C291" s="7">
        <v>42869</v>
      </c>
      <c r="F291" s="67"/>
      <c r="G291" s="3">
        <v>14.2</v>
      </c>
      <c r="H291" s="3">
        <v>10.199999999999999</v>
      </c>
      <c r="I291" s="3">
        <v>19.100000000000001</v>
      </c>
      <c r="J291" s="3">
        <f t="shared" si="33"/>
        <v>2186.7999999999997</v>
      </c>
      <c r="K291" s="41">
        <f t="shared" si="39"/>
        <v>249.89999999999998</v>
      </c>
      <c r="L291" s="23"/>
      <c r="M291" s="3">
        <v>0.3</v>
      </c>
      <c r="N291" s="3">
        <v>3.3</v>
      </c>
      <c r="O291" s="3">
        <f t="shared" si="30"/>
        <v>-3</v>
      </c>
      <c r="P291" s="3">
        <f t="shared" si="35"/>
        <v>83.9</v>
      </c>
      <c r="Q291" s="3">
        <v>256</v>
      </c>
      <c r="R291" s="27">
        <v>1.1499999999999999</v>
      </c>
      <c r="S291" s="3">
        <f t="shared" si="31"/>
        <v>3.7949999999999995</v>
      </c>
      <c r="T291" s="28">
        <f t="shared" si="32"/>
        <v>-3.4949999999999997</v>
      </c>
      <c r="U291" s="28">
        <f t="shared" si="36"/>
        <v>74.500580645161321</v>
      </c>
      <c r="W291" s="3">
        <v>1962.6</v>
      </c>
      <c r="Y291" s="3">
        <f t="shared" si="34"/>
        <v>180884.89999999997</v>
      </c>
      <c r="Z291" s="3">
        <f t="shared" si="38"/>
        <v>36558.699999999997</v>
      </c>
      <c r="AA291" s="3">
        <v>14.984746160532454</v>
      </c>
    </row>
    <row r="292" spans="1:28" s="3" customFormat="1" x14ac:dyDescent="0.25">
      <c r="A292" s="3">
        <v>5400</v>
      </c>
      <c r="B292" s="3">
        <v>24010</v>
      </c>
      <c r="C292" s="7">
        <v>42870</v>
      </c>
      <c r="F292" s="67"/>
      <c r="G292" s="3">
        <v>16.3</v>
      </c>
      <c r="H292" s="3">
        <v>7.7</v>
      </c>
      <c r="I292" s="3">
        <v>21.6</v>
      </c>
      <c r="J292" s="3">
        <f t="shared" si="33"/>
        <v>2203.1</v>
      </c>
      <c r="K292" s="41">
        <f t="shared" si="39"/>
        <v>266.2</v>
      </c>
      <c r="L292" s="23"/>
      <c r="M292" s="3">
        <v>0</v>
      </c>
      <c r="N292" s="3">
        <v>2.2999999999999998</v>
      </c>
      <c r="O292" s="3">
        <f t="shared" si="30"/>
        <v>-2.2999999999999998</v>
      </c>
      <c r="P292" s="3">
        <f t="shared" si="35"/>
        <v>81.600000000000009</v>
      </c>
      <c r="Q292" s="3">
        <v>257</v>
      </c>
      <c r="R292" s="27">
        <v>1.1499999999999999</v>
      </c>
      <c r="S292" s="3">
        <f t="shared" si="31"/>
        <v>2.6449999999999996</v>
      </c>
      <c r="T292" s="28">
        <f t="shared" si="32"/>
        <v>-2.6449999999999996</v>
      </c>
      <c r="U292" s="28">
        <f t="shared" si="36"/>
        <v>71.855580645161325</v>
      </c>
      <c r="W292" s="3">
        <v>1550.2</v>
      </c>
      <c r="Y292" s="3">
        <f t="shared" si="34"/>
        <v>182435.09999999998</v>
      </c>
      <c r="Z292" s="3">
        <f t="shared" si="38"/>
        <v>38108.899999999994</v>
      </c>
      <c r="AA292" s="3">
        <v>15.029340952521325</v>
      </c>
    </row>
    <row r="293" spans="1:28" s="3" customFormat="1" x14ac:dyDescent="0.25">
      <c r="A293" s="3">
        <v>5400</v>
      </c>
      <c r="B293" s="3">
        <v>24010</v>
      </c>
      <c r="C293" s="7">
        <v>42871</v>
      </c>
      <c r="F293" s="67"/>
      <c r="G293" s="3">
        <v>20.3</v>
      </c>
      <c r="H293" s="3">
        <v>14.9</v>
      </c>
      <c r="I293" s="3">
        <v>25.5</v>
      </c>
      <c r="J293" s="3">
        <f t="shared" si="33"/>
        <v>2223.4</v>
      </c>
      <c r="K293" s="41">
        <f t="shared" si="39"/>
        <v>286.5</v>
      </c>
      <c r="L293" s="23"/>
      <c r="M293" s="3">
        <v>0</v>
      </c>
      <c r="N293" s="3">
        <v>2.5</v>
      </c>
      <c r="O293" s="3">
        <f t="shared" ref="O293:O346" si="40">M293-N293</f>
        <v>-2.5</v>
      </c>
      <c r="P293" s="3">
        <f t="shared" si="35"/>
        <v>79.100000000000009</v>
      </c>
      <c r="Q293" s="3">
        <v>258</v>
      </c>
      <c r="R293" s="27">
        <v>1.1499999999999999</v>
      </c>
      <c r="S293" s="3">
        <f t="shared" ref="S293:S346" si="41">R293*N293</f>
        <v>2.875</v>
      </c>
      <c r="T293" s="28">
        <f t="shared" ref="T293:T346" si="42">M293-S293</f>
        <v>-2.875</v>
      </c>
      <c r="U293" s="28">
        <f t="shared" si="36"/>
        <v>68.980580645161325</v>
      </c>
      <c r="W293" s="3">
        <v>1303.3</v>
      </c>
      <c r="Y293" s="3">
        <f t="shared" si="34"/>
        <v>183738.39999999997</v>
      </c>
      <c r="Z293" s="3">
        <f t="shared" si="38"/>
        <v>39412.199999999997</v>
      </c>
      <c r="AA293" s="3">
        <v>15.073150177580498</v>
      </c>
    </row>
    <row r="294" spans="1:28" s="21" customFormat="1" ht="15.75" thickBot="1" x14ac:dyDescent="0.3">
      <c r="A294" s="21">
        <v>5400</v>
      </c>
      <c r="B294" s="21">
        <v>24010</v>
      </c>
      <c r="C294" s="22">
        <v>42872</v>
      </c>
      <c r="F294" s="68"/>
      <c r="G294" s="21">
        <v>19.399999999999999</v>
      </c>
      <c r="H294" s="21">
        <v>16.100000000000001</v>
      </c>
      <c r="I294" s="21">
        <v>26.8</v>
      </c>
      <c r="J294" s="21">
        <f t="shared" ref="J294:J346" si="43">J293+G294</f>
        <v>2242.8000000000002</v>
      </c>
      <c r="K294" s="21">
        <f t="shared" si="39"/>
        <v>305.89999999999998</v>
      </c>
      <c r="L294" s="25"/>
      <c r="M294" s="21">
        <v>9.1</v>
      </c>
      <c r="N294" s="21">
        <v>4</v>
      </c>
      <c r="O294" s="21">
        <f t="shared" si="40"/>
        <v>5.0999999999999996</v>
      </c>
      <c r="P294" s="21">
        <f t="shared" si="35"/>
        <v>84.2</v>
      </c>
      <c r="Q294" s="21">
        <v>259</v>
      </c>
      <c r="R294" s="44">
        <v>1.1499999999999999</v>
      </c>
      <c r="S294" s="21">
        <f t="shared" si="41"/>
        <v>4.5999999999999996</v>
      </c>
      <c r="T294" s="29">
        <f t="shared" si="42"/>
        <v>4.5</v>
      </c>
      <c r="U294" s="28">
        <f t="shared" si="36"/>
        <v>73.480580645161325</v>
      </c>
      <c r="W294" s="21">
        <v>1805.9</v>
      </c>
      <c r="Y294" s="21">
        <f t="shared" ref="Y294:Y346" si="44">Y293+W294</f>
        <v>185544.29999999996</v>
      </c>
      <c r="Z294" s="21">
        <f t="shared" si="38"/>
        <v>41218.1</v>
      </c>
      <c r="AA294" s="21">
        <v>15.116149753368088</v>
      </c>
    </row>
    <row r="295" spans="1:28" s="41" customFormat="1" x14ac:dyDescent="0.25">
      <c r="A295" s="41">
        <v>5400</v>
      </c>
      <c r="B295" s="41">
        <v>24010</v>
      </c>
      <c r="C295" s="42">
        <v>42873</v>
      </c>
      <c r="F295" s="55" t="s">
        <v>51</v>
      </c>
      <c r="G295" s="41">
        <v>13.9</v>
      </c>
      <c r="H295" s="41">
        <v>10.5</v>
      </c>
      <c r="I295" s="41">
        <v>18.399999999999999</v>
      </c>
      <c r="J295" s="41">
        <f t="shared" si="43"/>
        <v>2256.7000000000003</v>
      </c>
      <c r="K295" s="41">
        <f>G295</f>
        <v>13.9</v>
      </c>
      <c r="L295" s="19" t="s">
        <v>39</v>
      </c>
      <c r="M295" s="41">
        <v>23.2</v>
      </c>
      <c r="N295" s="41">
        <v>0.9</v>
      </c>
      <c r="O295" s="41">
        <f t="shared" si="40"/>
        <v>22.3</v>
      </c>
      <c r="P295" s="41">
        <f t="shared" si="35"/>
        <v>106.5</v>
      </c>
      <c r="Q295" s="41">
        <v>260</v>
      </c>
      <c r="R295" s="3">
        <f>1.15+((Q295-259)/52)*(0.35-1.15)</f>
        <v>1.1346153846153846</v>
      </c>
      <c r="S295" s="41">
        <f t="shared" si="41"/>
        <v>1.0211538461538461</v>
      </c>
      <c r="T295" s="43">
        <f t="shared" si="42"/>
        <v>22.178846153846152</v>
      </c>
      <c r="U295" s="28">
        <f t="shared" si="36"/>
        <v>95.659426799007477</v>
      </c>
      <c r="V295" s="36" t="s">
        <v>53</v>
      </c>
      <c r="W295" s="41">
        <v>451.7</v>
      </c>
      <c r="Y295" s="41">
        <f t="shared" si="44"/>
        <v>185995.99999999997</v>
      </c>
      <c r="Z295" s="3">
        <f>W295</f>
        <v>451.7</v>
      </c>
      <c r="AA295" s="41">
        <v>15.158315419521493</v>
      </c>
      <c r="AB295" s="36" t="s">
        <v>58</v>
      </c>
    </row>
    <row r="296" spans="1:28" s="3" customFormat="1" ht="15" customHeight="1" x14ac:dyDescent="0.25">
      <c r="A296" s="3">
        <v>5400</v>
      </c>
      <c r="B296" s="3">
        <v>24010</v>
      </c>
      <c r="C296" s="7">
        <v>42874</v>
      </c>
      <c r="F296" s="56"/>
      <c r="G296" s="3">
        <v>10.6</v>
      </c>
      <c r="H296" s="3">
        <v>8.8000000000000007</v>
      </c>
      <c r="I296" s="3">
        <v>15</v>
      </c>
      <c r="J296" s="3">
        <f t="shared" si="43"/>
        <v>2267.3000000000002</v>
      </c>
      <c r="K296" s="41">
        <f t="shared" si="39"/>
        <v>24.5</v>
      </c>
      <c r="L296" s="11">
        <v>303.10000000000002</v>
      </c>
      <c r="M296" s="3">
        <v>2.2999999999999998</v>
      </c>
      <c r="N296" s="3">
        <v>2.2999999999999998</v>
      </c>
      <c r="O296" s="3">
        <f t="shared" si="40"/>
        <v>0</v>
      </c>
      <c r="P296" s="3">
        <f t="shared" ref="P296:P342" si="45">O296+P295</f>
        <v>106.5</v>
      </c>
      <c r="Q296" s="3">
        <v>261</v>
      </c>
      <c r="R296" s="3">
        <f t="shared" ref="R296:R346" si="46">1.15+((Q296-259)/52)*(0.35-1.15)</f>
        <v>1.1192307692307693</v>
      </c>
      <c r="S296" s="3">
        <f t="shared" si="41"/>
        <v>2.5742307692307689</v>
      </c>
      <c r="T296" s="28">
        <f t="shared" si="42"/>
        <v>-0.27423076923076906</v>
      </c>
      <c r="U296" s="28">
        <f t="shared" ref="U296:U346" si="47">MIN(U295+T296,153.9)</f>
        <v>95.385196029776708</v>
      </c>
      <c r="V296">
        <v>0</v>
      </c>
      <c r="W296" s="3">
        <v>1623.6</v>
      </c>
      <c r="Y296" s="3">
        <f t="shared" si="44"/>
        <v>187619.59999999998</v>
      </c>
      <c r="Z296" s="3">
        <f t="shared" si="38"/>
        <v>2075.2999999999997</v>
      </c>
      <c r="AA296" s="3">
        <v>15.199622771419989</v>
      </c>
      <c r="AB296">
        <v>31698.1</v>
      </c>
    </row>
    <row r="297" spans="1:28" s="3" customFormat="1" x14ac:dyDescent="0.25">
      <c r="A297" s="3">
        <v>5400</v>
      </c>
      <c r="B297" s="3">
        <v>24010</v>
      </c>
      <c r="C297" s="7">
        <v>42875</v>
      </c>
      <c r="F297" s="56"/>
      <c r="G297" s="3">
        <v>11.5</v>
      </c>
      <c r="H297" s="3">
        <v>7</v>
      </c>
      <c r="I297" s="3">
        <v>15.4</v>
      </c>
      <c r="J297" s="3">
        <f t="shared" si="43"/>
        <v>2278.8000000000002</v>
      </c>
      <c r="K297" s="41">
        <f t="shared" si="39"/>
        <v>36</v>
      </c>
      <c r="L297" s="19" t="s">
        <v>40</v>
      </c>
      <c r="M297" s="3">
        <v>0.2</v>
      </c>
      <c r="N297" s="3">
        <v>2.4</v>
      </c>
      <c r="O297" s="3">
        <f t="shared" si="40"/>
        <v>-2.1999999999999997</v>
      </c>
      <c r="P297" s="3">
        <f t="shared" si="45"/>
        <v>104.3</v>
      </c>
      <c r="Q297" s="3">
        <v>262</v>
      </c>
      <c r="R297" s="3">
        <f t="shared" si="46"/>
        <v>1.1038461538461537</v>
      </c>
      <c r="S297" s="3">
        <f t="shared" si="41"/>
        <v>2.6492307692307686</v>
      </c>
      <c r="T297" s="28">
        <f t="shared" si="42"/>
        <v>-2.4492307692307684</v>
      </c>
      <c r="U297" s="28">
        <f t="shared" si="47"/>
        <v>92.935965260545942</v>
      </c>
      <c r="V297" s="36" t="s">
        <v>54</v>
      </c>
      <c r="W297" s="3">
        <v>1709.3</v>
      </c>
      <c r="Y297" s="3">
        <f t="shared" si="44"/>
        <v>189328.89999999997</v>
      </c>
      <c r="Z297" s="3">
        <f t="shared" si="38"/>
        <v>3784.5999999999995</v>
      </c>
      <c r="AA297" s="3">
        <v>15.240047296175096</v>
      </c>
      <c r="AB297" s="36" t="s">
        <v>59</v>
      </c>
    </row>
    <row r="298" spans="1:28" s="3" customFormat="1" x14ac:dyDescent="0.25">
      <c r="A298" s="3">
        <v>5400</v>
      </c>
      <c r="B298" s="3">
        <v>24010</v>
      </c>
      <c r="C298" s="7">
        <v>42876</v>
      </c>
      <c r="F298" s="56"/>
      <c r="G298" s="3">
        <v>14.7</v>
      </c>
      <c r="H298" s="3">
        <v>8.3000000000000007</v>
      </c>
      <c r="I298" s="3">
        <v>19</v>
      </c>
      <c r="J298" s="3">
        <f t="shared" si="43"/>
        <v>2293.5</v>
      </c>
      <c r="K298" s="41">
        <f t="shared" si="39"/>
        <v>50.7</v>
      </c>
      <c r="L298" s="16">
        <f>AVERAGE(G295:G311)</f>
        <v>17.829411764705888</v>
      </c>
      <c r="M298" s="3">
        <v>0</v>
      </c>
      <c r="N298" s="3">
        <v>3.1</v>
      </c>
      <c r="O298" s="3">
        <f t="shared" si="40"/>
        <v>-3.1</v>
      </c>
      <c r="P298" s="3">
        <f t="shared" si="45"/>
        <v>101.2</v>
      </c>
      <c r="Q298" s="3">
        <v>263</v>
      </c>
      <c r="R298" s="3">
        <f t="shared" si="46"/>
        <v>1.0884615384615384</v>
      </c>
      <c r="S298" s="3">
        <f t="shared" si="41"/>
        <v>3.3742307692307691</v>
      </c>
      <c r="T298" s="28">
        <f t="shared" si="42"/>
        <v>-3.3742307692307691</v>
      </c>
      <c r="U298" s="28">
        <f t="shared" si="47"/>
        <v>89.561734491315178</v>
      </c>
      <c r="V298">
        <v>1</v>
      </c>
      <c r="W298" s="3">
        <v>2104.3000000000002</v>
      </c>
      <c r="Y298" s="3">
        <f t="shared" si="44"/>
        <v>191433.19999999995</v>
      </c>
      <c r="Z298" s="3">
        <f t="shared" si="38"/>
        <v>5888.9</v>
      </c>
      <c r="AA298" s="3">
        <v>15.27956441082349</v>
      </c>
      <c r="AB298">
        <f>(AB296/100)/L296</f>
        <v>1.045796766743649</v>
      </c>
    </row>
    <row r="299" spans="1:28" s="3" customFormat="1" x14ac:dyDescent="0.25">
      <c r="A299" s="3">
        <v>5400</v>
      </c>
      <c r="B299" s="3">
        <v>24010</v>
      </c>
      <c r="C299" s="7">
        <v>42877</v>
      </c>
      <c r="F299" s="56"/>
      <c r="G299" s="3">
        <v>18</v>
      </c>
      <c r="H299" s="3">
        <v>12.1</v>
      </c>
      <c r="I299" s="3">
        <v>23.6</v>
      </c>
      <c r="J299" s="3">
        <f t="shared" si="43"/>
        <v>2311.5</v>
      </c>
      <c r="K299" s="41">
        <f t="shared" si="39"/>
        <v>68.7</v>
      </c>
      <c r="L299" s="19" t="s">
        <v>41</v>
      </c>
      <c r="M299" s="3">
        <v>0</v>
      </c>
      <c r="N299" s="3">
        <v>4.5</v>
      </c>
      <c r="O299" s="3">
        <f t="shared" si="40"/>
        <v>-4.5</v>
      </c>
      <c r="P299" s="3">
        <f t="shared" si="45"/>
        <v>96.7</v>
      </c>
      <c r="Q299" s="3">
        <v>264</v>
      </c>
      <c r="R299" s="3">
        <f t="shared" si="46"/>
        <v>1.073076923076923</v>
      </c>
      <c r="S299" s="3">
        <f t="shared" si="41"/>
        <v>4.828846153846154</v>
      </c>
      <c r="T299" s="28">
        <f t="shared" si="42"/>
        <v>-4.828846153846154</v>
      </c>
      <c r="U299" s="28">
        <f t="shared" si="47"/>
        <v>84.732888337469021</v>
      </c>
      <c r="V299" s="36" t="s">
        <v>55</v>
      </c>
      <c r="W299" s="3">
        <v>2602.1999999999998</v>
      </c>
      <c r="Y299" s="3">
        <f t="shared" si="44"/>
        <v>194035.39999999997</v>
      </c>
      <c r="Z299" s="3">
        <f t="shared" si="38"/>
        <v>8491.0999999999985</v>
      </c>
      <c r="AA299" s="3">
        <v>15.318149502682472</v>
      </c>
      <c r="AB299" s="36" t="s">
        <v>60</v>
      </c>
    </row>
    <row r="300" spans="1:28" s="3" customFormat="1" x14ac:dyDescent="0.25">
      <c r="A300" s="3">
        <v>5400</v>
      </c>
      <c r="B300" s="3">
        <v>24010</v>
      </c>
      <c r="C300" s="7">
        <v>42878</v>
      </c>
      <c r="F300" s="56"/>
      <c r="G300" s="3">
        <v>17.600000000000001</v>
      </c>
      <c r="H300" s="3">
        <v>13.6</v>
      </c>
      <c r="I300" s="3">
        <v>21.5</v>
      </c>
      <c r="J300" s="3">
        <f t="shared" si="43"/>
        <v>2329.1</v>
      </c>
      <c r="K300" s="41">
        <f t="shared" si="39"/>
        <v>86.300000000000011</v>
      </c>
      <c r="L300" s="12">
        <f>MIN(H295:H311)</f>
        <v>7</v>
      </c>
      <c r="M300" s="3">
        <v>0</v>
      </c>
      <c r="N300" s="3">
        <v>3.4</v>
      </c>
      <c r="O300" s="3">
        <f t="shared" si="40"/>
        <v>-3.4</v>
      </c>
      <c r="P300" s="3">
        <f t="shared" si="45"/>
        <v>93.3</v>
      </c>
      <c r="Q300" s="3">
        <v>265</v>
      </c>
      <c r="R300" s="3">
        <f t="shared" si="46"/>
        <v>1.0576923076923077</v>
      </c>
      <c r="S300" s="3">
        <f t="shared" si="41"/>
        <v>3.5961538461538463</v>
      </c>
      <c r="T300" s="28">
        <f t="shared" si="42"/>
        <v>-3.5961538461538463</v>
      </c>
      <c r="U300" s="28">
        <f t="shared" si="47"/>
        <v>81.136734491315181</v>
      </c>
      <c r="V300" s="28">
        <f>MIN(U295:U311)</f>
        <v>48.269042183622872</v>
      </c>
      <c r="W300" s="3">
        <v>1921.8</v>
      </c>
      <c r="Y300" s="3">
        <f t="shared" si="44"/>
        <v>195957.19999999995</v>
      </c>
      <c r="Z300" s="3">
        <f t="shared" si="38"/>
        <v>10412.899999999998</v>
      </c>
      <c r="AA300" s="3">
        <v>15.355777971812246</v>
      </c>
      <c r="AB300">
        <v>2</v>
      </c>
    </row>
    <row r="301" spans="1:28" s="3" customFormat="1" x14ac:dyDescent="0.25">
      <c r="A301" s="3">
        <v>5400</v>
      </c>
      <c r="B301" s="3">
        <v>24010</v>
      </c>
      <c r="C301" s="7">
        <v>42879</v>
      </c>
      <c r="F301" s="56"/>
      <c r="G301" s="3">
        <v>17.7</v>
      </c>
      <c r="H301" s="3">
        <v>13.3</v>
      </c>
      <c r="I301" s="3">
        <v>21.5</v>
      </c>
      <c r="J301" s="3">
        <f t="shared" si="43"/>
        <v>2346.7999999999997</v>
      </c>
      <c r="K301" s="41">
        <f t="shared" si="39"/>
        <v>104.00000000000001</v>
      </c>
      <c r="L301" s="19" t="s">
        <v>42</v>
      </c>
      <c r="M301" s="3">
        <v>0</v>
      </c>
      <c r="N301" s="3">
        <v>1.9</v>
      </c>
      <c r="O301" s="3">
        <f t="shared" si="40"/>
        <v>-1.9</v>
      </c>
      <c r="P301" s="3">
        <f t="shared" si="45"/>
        <v>91.399999999999991</v>
      </c>
      <c r="Q301" s="3">
        <v>266</v>
      </c>
      <c r="R301" s="3">
        <f t="shared" si="46"/>
        <v>1.0423076923076922</v>
      </c>
      <c r="S301" s="3">
        <f t="shared" si="41"/>
        <v>1.980384615384615</v>
      </c>
      <c r="T301" s="28">
        <f t="shared" si="42"/>
        <v>-1.980384615384615</v>
      </c>
      <c r="U301" s="28">
        <f t="shared" si="47"/>
        <v>79.156349875930573</v>
      </c>
      <c r="V301" s="36" t="s">
        <v>56</v>
      </c>
      <c r="W301" s="3">
        <v>1113.8</v>
      </c>
      <c r="Y301" s="3">
        <f t="shared" si="44"/>
        <v>197070.99999999994</v>
      </c>
      <c r="Z301" s="3">
        <f t="shared" si="38"/>
        <v>11526.699999999997</v>
      </c>
      <c r="AA301" s="3">
        <v>15.392425275512757</v>
      </c>
    </row>
    <row r="302" spans="1:28" s="3" customFormat="1" x14ac:dyDescent="0.25">
      <c r="A302" s="3">
        <v>5400</v>
      </c>
      <c r="B302" s="3">
        <v>24010</v>
      </c>
      <c r="C302" s="7">
        <v>42880</v>
      </c>
      <c r="F302" s="56"/>
      <c r="G302" s="3">
        <v>20.2</v>
      </c>
      <c r="H302" s="3">
        <v>14.8</v>
      </c>
      <c r="I302" s="3">
        <v>24.5</v>
      </c>
      <c r="J302" s="3">
        <f t="shared" si="43"/>
        <v>2366.9999999999995</v>
      </c>
      <c r="K302" s="41">
        <f t="shared" si="39"/>
        <v>124.20000000000002</v>
      </c>
      <c r="L302" s="11">
        <f>MAX(I295:I311)</f>
        <v>27.4</v>
      </c>
      <c r="M302" s="3">
        <v>0</v>
      </c>
      <c r="N302" s="3">
        <v>5.7</v>
      </c>
      <c r="O302" s="3">
        <f t="shared" si="40"/>
        <v>-5.7</v>
      </c>
      <c r="P302" s="3">
        <f t="shared" si="45"/>
        <v>85.699999999999989</v>
      </c>
      <c r="Q302" s="3">
        <v>267</v>
      </c>
      <c r="R302" s="3">
        <f t="shared" si="46"/>
        <v>1.0269230769230768</v>
      </c>
      <c r="S302" s="3">
        <f t="shared" si="41"/>
        <v>5.8534615384615378</v>
      </c>
      <c r="T302" s="28">
        <f t="shared" si="42"/>
        <v>-5.8534615384615378</v>
      </c>
      <c r="U302" s="28">
        <f t="shared" si="47"/>
        <v>73.302888337469028</v>
      </c>
      <c r="V302" s="28">
        <f>MAX(U295:U311)</f>
        <v>95.659426799007477</v>
      </c>
      <c r="W302" s="3">
        <v>3032.2</v>
      </c>
      <c r="Y302" s="3">
        <f t="shared" si="44"/>
        <v>200103.19999999995</v>
      </c>
      <c r="Z302" s="3">
        <f t="shared" si="38"/>
        <v>14558.899999999998</v>
      </c>
      <c r="AA302" s="3">
        <v>15.428066974765274</v>
      </c>
    </row>
    <row r="303" spans="1:28" s="3" customFormat="1" x14ac:dyDescent="0.25">
      <c r="A303" s="3">
        <v>5400</v>
      </c>
      <c r="B303" s="3">
        <v>24010</v>
      </c>
      <c r="C303" s="7">
        <v>42881</v>
      </c>
      <c r="F303" s="56"/>
      <c r="G303" s="3">
        <v>20.8</v>
      </c>
      <c r="H303" s="3">
        <v>15.7</v>
      </c>
      <c r="I303" s="3">
        <v>25.7</v>
      </c>
      <c r="J303" s="3">
        <f t="shared" si="43"/>
        <v>2387.7999999999997</v>
      </c>
      <c r="K303" s="41">
        <f t="shared" si="39"/>
        <v>145.00000000000003</v>
      </c>
      <c r="L303" s="19" t="s">
        <v>43</v>
      </c>
      <c r="M303" s="3">
        <v>0</v>
      </c>
      <c r="N303" s="3">
        <v>6.2</v>
      </c>
      <c r="O303" s="3">
        <f t="shared" si="40"/>
        <v>-6.2</v>
      </c>
      <c r="P303" s="3">
        <f t="shared" si="45"/>
        <v>79.499999999999986</v>
      </c>
      <c r="Q303" s="3">
        <v>268</v>
      </c>
      <c r="R303" s="3">
        <f t="shared" si="46"/>
        <v>1.0115384615384615</v>
      </c>
      <c r="S303" s="3">
        <f t="shared" si="41"/>
        <v>6.2715384615384613</v>
      </c>
      <c r="T303" s="28">
        <f t="shared" si="42"/>
        <v>-6.2715384615384613</v>
      </c>
      <c r="U303" s="28">
        <f t="shared" si="47"/>
        <v>67.031349875930573</v>
      </c>
      <c r="V303" s="36" t="s">
        <v>57</v>
      </c>
      <c r="W303" s="3">
        <v>3086.3</v>
      </c>
      <c r="Y303" s="3">
        <f t="shared" si="44"/>
        <v>203189.49999999994</v>
      </c>
      <c r="Z303" s="3">
        <f t="shared" si="38"/>
        <v>17645.199999999997</v>
      </c>
      <c r="AA303" s="3">
        <v>15.462678782510958</v>
      </c>
    </row>
    <row r="304" spans="1:28" s="3" customFormat="1" x14ac:dyDescent="0.25">
      <c r="A304" s="3">
        <v>5400</v>
      </c>
      <c r="B304" s="3">
        <v>24010</v>
      </c>
      <c r="C304" s="7">
        <v>42882</v>
      </c>
      <c r="F304" s="56"/>
      <c r="G304" s="3">
        <v>22.5</v>
      </c>
      <c r="H304" s="3">
        <v>15.9</v>
      </c>
      <c r="I304" s="3">
        <v>27.1</v>
      </c>
      <c r="J304" s="3">
        <f t="shared" si="43"/>
        <v>2410.2999999999997</v>
      </c>
      <c r="K304" s="41">
        <f t="shared" si="39"/>
        <v>167.50000000000003</v>
      </c>
      <c r="L304" s="11">
        <v>6</v>
      </c>
      <c r="M304" s="3">
        <v>1.9</v>
      </c>
      <c r="N304" s="3">
        <v>3.2</v>
      </c>
      <c r="O304" s="3">
        <f t="shared" si="40"/>
        <v>-1.3000000000000003</v>
      </c>
      <c r="P304" s="3">
        <f t="shared" si="45"/>
        <v>78.199999999999989</v>
      </c>
      <c r="Q304" s="3">
        <v>269</v>
      </c>
      <c r="R304" s="3">
        <f t="shared" si="46"/>
        <v>0.99615384615384606</v>
      </c>
      <c r="S304" s="3">
        <f t="shared" si="41"/>
        <v>3.1876923076923074</v>
      </c>
      <c r="T304" s="28">
        <f t="shared" si="42"/>
        <v>-1.2876923076923075</v>
      </c>
      <c r="U304" s="28">
        <f t="shared" si="47"/>
        <v>65.743657568238262</v>
      </c>
      <c r="V304" s="28">
        <f>AVERAGE(U295:U311)</f>
        <v>71.939539921179431</v>
      </c>
      <c r="W304" s="3">
        <v>1630.4</v>
      </c>
      <c r="Y304" s="3">
        <f t="shared" si="44"/>
        <v>204819.89999999994</v>
      </c>
      <c r="Z304" s="3">
        <f t="shared" si="38"/>
        <v>19275.599999999999</v>
      </c>
      <c r="AA304" s="3">
        <v>15.496236613639939</v>
      </c>
    </row>
    <row r="305" spans="1:28" s="3" customFormat="1" x14ac:dyDescent="0.25">
      <c r="A305" s="3">
        <v>5400</v>
      </c>
      <c r="B305" s="3">
        <v>24010</v>
      </c>
      <c r="C305" s="7">
        <v>42883</v>
      </c>
      <c r="F305" s="56"/>
      <c r="G305" s="3">
        <v>23</v>
      </c>
      <c r="H305" s="3">
        <v>18</v>
      </c>
      <c r="I305" s="3">
        <v>27.3</v>
      </c>
      <c r="J305" s="3">
        <f t="shared" si="43"/>
        <v>2433.2999999999997</v>
      </c>
      <c r="K305" s="41">
        <f t="shared" si="39"/>
        <v>190.50000000000003</v>
      </c>
      <c r="L305" s="19" t="s">
        <v>44</v>
      </c>
      <c r="M305" s="3">
        <v>0</v>
      </c>
      <c r="N305" s="3">
        <v>4.3</v>
      </c>
      <c r="O305" s="3">
        <f t="shared" si="40"/>
        <v>-4.3</v>
      </c>
      <c r="P305" s="3">
        <f t="shared" si="45"/>
        <v>73.899999999999991</v>
      </c>
      <c r="Q305" s="3">
        <v>270</v>
      </c>
      <c r="R305" s="3">
        <f t="shared" si="46"/>
        <v>0.98076923076923073</v>
      </c>
      <c r="S305" s="3">
        <f t="shared" si="41"/>
        <v>4.217307692307692</v>
      </c>
      <c r="T305" s="28">
        <f t="shared" si="42"/>
        <v>-4.217307692307692</v>
      </c>
      <c r="U305" s="28">
        <f t="shared" si="47"/>
        <v>61.52634987593057</v>
      </c>
      <c r="W305" s="3">
        <v>2379.6999999999998</v>
      </c>
      <c r="Y305" s="3">
        <f t="shared" si="44"/>
        <v>207199.59999999995</v>
      </c>
      <c r="Z305" s="3">
        <f t="shared" si="38"/>
        <v>21655.3</v>
      </c>
      <c r="AA305" s="3">
        <v>15.528716636545495</v>
      </c>
    </row>
    <row r="306" spans="1:28" s="3" customFormat="1" x14ac:dyDescent="0.25">
      <c r="A306" s="3">
        <v>5400</v>
      </c>
      <c r="B306" s="3">
        <v>24010</v>
      </c>
      <c r="C306" s="7">
        <v>42884</v>
      </c>
      <c r="F306" s="56"/>
      <c r="G306" s="3">
        <v>21.5</v>
      </c>
      <c r="H306" s="3">
        <v>20.3</v>
      </c>
      <c r="I306" s="3">
        <v>25.6</v>
      </c>
      <c r="J306" s="3">
        <f t="shared" si="43"/>
        <v>2454.7999999999997</v>
      </c>
      <c r="K306" s="41">
        <f t="shared" si="39"/>
        <v>212.00000000000003</v>
      </c>
      <c r="L306" s="11">
        <v>0</v>
      </c>
      <c r="M306" s="3">
        <v>0.2</v>
      </c>
      <c r="N306" s="3">
        <v>4</v>
      </c>
      <c r="O306" s="3">
        <f t="shared" si="40"/>
        <v>-3.8</v>
      </c>
      <c r="P306" s="3">
        <f t="shared" si="45"/>
        <v>70.099999999999994</v>
      </c>
      <c r="Q306" s="3">
        <v>271</v>
      </c>
      <c r="R306" s="3">
        <f t="shared" si="46"/>
        <v>0.96538461538461529</v>
      </c>
      <c r="S306" s="3">
        <f t="shared" si="41"/>
        <v>3.8615384615384611</v>
      </c>
      <c r="T306" s="28">
        <f t="shared" si="42"/>
        <v>-3.661538461538461</v>
      </c>
      <c r="U306" s="28">
        <f t="shared" si="47"/>
        <v>57.864811414392108</v>
      </c>
      <c r="V306" s="45">
        <f>(V304*100)/153.9</f>
        <v>46.744340429616265</v>
      </c>
      <c r="W306" s="3">
        <v>1972.7</v>
      </c>
      <c r="Y306" s="3">
        <f t="shared" si="44"/>
        <v>209172.29999999996</v>
      </c>
      <c r="Z306" s="3">
        <f t="shared" si="38"/>
        <v>23628</v>
      </c>
      <c r="AA306" s="3">
        <v>15.560095326078709</v>
      </c>
    </row>
    <row r="307" spans="1:28" s="3" customFormat="1" x14ac:dyDescent="0.25">
      <c r="A307" s="3">
        <v>5400</v>
      </c>
      <c r="B307" s="3">
        <v>24010</v>
      </c>
      <c r="C307" s="7">
        <v>42885</v>
      </c>
      <c r="F307" s="56"/>
      <c r="G307" s="3">
        <v>17.899999999999999</v>
      </c>
      <c r="H307" s="3">
        <v>16.2</v>
      </c>
      <c r="I307" s="3">
        <v>21.1</v>
      </c>
      <c r="J307" s="3">
        <f t="shared" si="43"/>
        <v>2472.6999999999998</v>
      </c>
      <c r="K307" s="41">
        <f t="shared" si="39"/>
        <v>229.90000000000003</v>
      </c>
      <c r="L307" s="19" t="s">
        <v>45</v>
      </c>
      <c r="M307" s="3">
        <v>0</v>
      </c>
      <c r="N307" s="3">
        <v>2.5</v>
      </c>
      <c r="O307" s="3">
        <f t="shared" si="40"/>
        <v>-2.5</v>
      </c>
      <c r="P307" s="3">
        <f t="shared" si="45"/>
        <v>67.599999999999994</v>
      </c>
      <c r="Q307" s="3">
        <v>272</v>
      </c>
      <c r="R307" s="3">
        <f t="shared" si="46"/>
        <v>0.95</v>
      </c>
      <c r="S307" s="3">
        <f t="shared" si="41"/>
        <v>2.375</v>
      </c>
      <c r="T307" s="28">
        <f t="shared" si="42"/>
        <v>-2.375</v>
      </c>
      <c r="U307" s="28">
        <f t="shared" si="47"/>
        <v>55.489811414392108</v>
      </c>
      <c r="W307" s="3">
        <v>1190</v>
      </c>
      <c r="Y307" s="3">
        <f t="shared" si="44"/>
        <v>210362.29999999996</v>
      </c>
      <c r="Z307" s="3">
        <f t="shared" si="38"/>
        <v>24818</v>
      </c>
      <c r="AA307" s="3">
        <v>15.59034951771986</v>
      </c>
    </row>
    <row r="308" spans="1:28" s="3" customFormat="1" x14ac:dyDescent="0.25">
      <c r="A308" s="3">
        <v>5400</v>
      </c>
      <c r="B308" s="3">
        <v>24010</v>
      </c>
      <c r="C308" s="7">
        <v>42886</v>
      </c>
      <c r="F308" s="56"/>
      <c r="G308" s="3">
        <v>18</v>
      </c>
      <c r="H308" s="3">
        <v>12.4</v>
      </c>
      <c r="I308" s="3">
        <v>21.9</v>
      </c>
      <c r="J308" s="3">
        <f t="shared" si="43"/>
        <v>2490.6999999999998</v>
      </c>
      <c r="K308" s="41">
        <f t="shared" si="39"/>
        <v>247.90000000000003</v>
      </c>
      <c r="L308" s="17">
        <v>0</v>
      </c>
      <c r="M308" s="3">
        <v>0</v>
      </c>
      <c r="N308" s="3">
        <v>3.3</v>
      </c>
      <c r="O308" s="3">
        <f t="shared" si="40"/>
        <v>-3.3</v>
      </c>
      <c r="P308" s="3">
        <f t="shared" si="45"/>
        <v>64.3</v>
      </c>
      <c r="Q308" s="3">
        <v>273</v>
      </c>
      <c r="R308" s="3">
        <f t="shared" si="46"/>
        <v>0.93461538461538451</v>
      </c>
      <c r="S308" s="3">
        <f t="shared" si="41"/>
        <v>3.0842307692307687</v>
      </c>
      <c r="T308" s="28">
        <f t="shared" si="42"/>
        <v>-3.0842307692307687</v>
      </c>
      <c r="U308" s="28">
        <f t="shared" si="47"/>
        <v>52.405580645161336</v>
      </c>
      <c r="W308" s="3">
        <v>1984</v>
      </c>
      <c r="Y308" s="3">
        <f t="shared" si="44"/>
        <v>212346.29999999996</v>
      </c>
      <c r="Z308" s="3">
        <f t="shared" si="38"/>
        <v>26802</v>
      </c>
      <c r="AA308" s="3">
        <v>15.619456462763997</v>
      </c>
    </row>
    <row r="309" spans="1:28" s="3" customFormat="1" x14ac:dyDescent="0.25">
      <c r="A309" s="3">
        <v>5400</v>
      </c>
      <c r="B309" s="3">
        <v>24010</v>
      </c>
      <c r="C309" s="7">
        <v>42887</v>
      </c>
      <c r="F309" s="56"/>
      <c r="G309" s="3">
        <v>20.6</v>
      </c>
      <c r="H309" s="3">
        <v>15</v>
      </c>
      <c r="I309" s="3">
        <v>25.1</v>
      </c>
      <c r="J309" s="3">
        <f t="shared" si="43"/>
        <v>2511.2999999999997</v>
      </c>
      <c r="K309" s="41">
        <f t="shared" si="39"/>
        <v>268.50000000000006</v>
      </c>
      <c r="M309" s="3">
        <v>0</v>
      </c>
      <c r="N309" s="3">
        <v>4.5</v>
      </c>
      <c r="O309" s="3">
        <f t="shared" si="40"/>
        <v>-4.5</v>
      </c>
      <c r="P309" s="3">
        <f t="shared" si="45"/>
        <v>59.8</v>
      </c>
      <c r="Q309" s="3">
        <v>274</v>
      </c>
      <c r="R309" s="3">
        <f t="shared" si="46"/>
        <v>0.91923076923076918</v>
      </c>
      <c r="S309" s="3">
        <f t="shared" si="41"/>
        <v>4.1365384615384615</v>
      </c>
      <c r="T309" s="28">
        <f t="shared" si="42"/>
        <v>-4.1365384615384615</v>
      </c>
      <c r="U309" s="28">
        <f t="shared" si="47"/>
        <v>48.269042183622872</v>
      </c>
      <c r="W309" s="3">
        <v>2384.8000000000002</v>
      </c>
      <c r="Y309" s="3">
        <f t="shared" si="44"/>
        <v>214731.09999999995</v>
      </c>
      <c r="Z309" s="3">
        <f t="shared" si="38"/>
        <v>29186.799999999999</v>
      </c>
      <c r="AA309" s="3">
        <v>15.64739388429968</v>
      </c>
    </row>
    <row r="310" spans="1:28" s="3" customFormat="1" x14ac:dyDescent="0.25">
      <c r="A310" s="3">
        <v>5400</v>
      </c>
      <c r="B310" s="3">
        <v>24010</v>
      </c>
      <c r="C310" s="7">
        <v>42888</v>
      </c>
      <c r="F310" s="56"/>
      <c r="G310" s="3">
        <v>20</v>
      </c>
      <c r="H310" s="3">
        <v>16.899999999999999</v>
      </c>
      <c r="I310" s="3">
        <v>27.4</v>
      </c>
      <c r="J310" s="3">
        <f t="shared" si="43"/>
        <v>2531.2999999999997</v>
      </c>
      <c r="K310" s="41">
        <f t="shared" si="39"/>
        <v>288.50000000000006</v>
      </c>
      <c r="L310" s="23"/>
      <c r="M310" s="3">
        <v>15.6</v>
      </c>
      <c r="N310" s="3">
        <v>3.4</v>
      </c>
      <c r="O310" s="3">
        <f t="shared" si="40"/>
        <v>12.2</v>
      </c>
      <c r="P310" s="3">
        <f t="shared" si="45"/>
        <v>72</v>
      </c>
      <c r="Q310" s="3">
        <v>275</v>
      </c>
      <c r="R310" s="3">
        <f t="shared" si="46"/>
        <v>0.90384615384615374</v>
      </c>
      <c r="S310" s="3">
        <f t="shared" si="41"/>
        <v>3.0730769230769228</v>
      </c>
      <c r="T310" s="28">
        <f t="shared" si="42"/>
        <v>12.526923076923076</v>
      </c>
      <c r="U310" s="28">
        <f t="shared" si="47"/>
        <v>60.795965260545948</v>
      </c>
      <c r="W310" s="3">
        <v>1630.8</v>
      </c>
      <c r="Y310" s="3">
        <f t="shared" si="44"/>
        <v>216361.89999999994</v>
      </c>
      <c r="Z310" s="3">
        <f t="shared" si="38"/>
        <v>30817.599999999999</v>
      </c>
      <c r="AA310" s="3">
        <v>15.67414003374237</v>
      </c>
    </row>
    <row r="311" spans="1:28" s="21" customFormat="1" ht="15.75" thickBot="1" x14ac:dyDescent="0.3">
      <c r="A311" s="21">
        <v>5400</v>
      </c>
      <c r="B311" s="21">
        <v>24010</v>
      </c>
      <c r="C311" s="22">
        <v>42889</v>
      </c>
      <c r="F311" s="57"/>
      <c r="G311" s="21">
        <v>14.6</v>
      </c>
      <c r="H311" s="21">
        <v>14.2</v>
      </c>
      <c r="I311" s="21">
        <v>17.7</v>
      </c>
      <c r="J311" s="21">
        <f t="shared" si="43"/>
        <v>2545.8999999999996</v>
      </c>
      <c r="K311" s="21">
        <f t="shared" si="39"/>
        <v>303.10000000000008</v>
      </c>
      <c r="L311" s="25"/>
      <c r="M311" s="21">
        <v>2.6</v>
      </c>
      <c r="N311" s="21">
        <v>1.6</v>
      </c>
      <c r="O311" s="21">
        <f t="shared" si="40"/>
        <v>1</v>
      </c>
      <c r="P311" s="21">
        <f t="shared" si="45"/>
        <v>73</v>
      </c>
      <c r="Q311" s="21">
        <v>276</v>
      </c>
      <c r="R311" s="3">
        <f t="shared" si="46"/>
        <v>0.88846153846153841</v>
      </c>
      <c r="S311" s="21">
        <f t="shared" si="41"/>
        <v>1.4215384615384616</v>
      </c>
      <c r="T311" s="29">
        <f t="shared" si="42"/>
        <v>1.1784615384615384</v>
      </c>
      <c r="U311" s="28">
        <f t="shared" si="47"/>
        <v>61.974426799007489</v>
      </c>
      <c r="W311" s="21">
        <v>880.5</v>
      </c>
      <c r="Y311" s="21">
        <f t="shared" si="44"/>
        <v>217242.39999999994</v>
      </c>
      <c r="Z311" s="21">
        <f t="shared" si="38"/>
        <v>31698.1</v>
      </c>
      <c r="AA311" s="21">
        <v>15.699673747667433</v>
      </c>
    </row>
    <row r="312" spans="1:28" s="41" customFormat="1" x14ac:dyDescent="0.25">
      <c r="A312" s="41">
        <v>5400</v>
      </c>
      <c r="B312" s="41">
        <v>24010</v>
      </c>
      <c r="C312" s="42">
        <v>42890</v>
      </c>
      <c r="F312" s="58" t="s">
        <v>52</v>
      </c>
      <c r="G312" s="41">
        <v>14.7</v>
      </c>
      <c r="H312" s="41">
        <v>9.1</v>
      </c>
      <c r="I312" s="41">
        <v>19.3</v>
      </c>
      <c r="J312" s="41">
        <f t="shared" si="43"/>
        <v>2560.5999999999995</v>
      </c>
      <c r="K312" s="41">
        <f>G312</f>
        <v>14.7</v>
      </c>
      <c r="L312" s="20" t="s">
        <v>39</v>
      </c>
      <c r="M312" s="41">
        <v>0</v>
      </c>
      <c r="N312" s="41">
        <v>2.5</v>
      </c>
      <c r="O312" s="41">
        <f t="shared" si="40"/>
        <v>-2.5</v>
      </c>
      <c r="P312" s="41">
        <f t="shared" si="45"/>
        <v>70.5</v>
      </c>
      <c r="Q312" s="41">
        <v>277</v>
      </c>
      <c r="R312" s="3">
        <f t="shared" si="46"/>
        <v>0.87307692307692308</v>
      </c>
      <c r="S312" s="41">
        <f t="shared" si="41"/>
        <v>2.1826923076923075</v>
      </c>
      <c r="T312" s="43">
        <f t="shared" si="42"/>
        <v>-2.1826923076923075</v>
      </c>
      <c r="U312" s="28">
        <f t="shared" si="47"/>
        <v>59.791734491315182</v>
      </c>
      <c r="V312" s="37" t="s">
        <v>53</v>
      </c>
      <c r="W312" s="41">
        <v>1643.8</v>
      </c>
      <c r="Y312" s="41">
        <f t="shared" si="44"/>
        <v>218886.19999999992</v>
      </c>
      <c r="Z312" s="3">
        <f>W312</f>
        <v>1643.8</v>
      </c>
      <c r="AA312" s="41">
        <v>15.723974504672491</v>
      </c>
      <c r="AB312" s="37" t="s">
        <v>58</v>
      </c>
    </row>
    <row r="313" spans="1:28" s="3" customFormat="1" ht="15" customHeight="1" x14ac:dyDescent="0.25">
      <c r="A313" s="3">
        <v>5400</v>
      </c>
      <c r="B313" s="3">
        <v>24010</v>
      </c>
      <c r="C313" s="7">
        <v>42891</v>
      </c>
      <c r="F313" s="59"/>
      <c r="G313" s="3">
        <v>16.5</v>
      </c>
      <c r="H313" s="3">
        <v>11.7</v>
      </c>
      <c r="I313" s="3">
        <v>20.9</v>
      </c>
      <c r="J313" s="3">
        <f t="shared" si="43"/>
        <v>2577.0999999999995</v>
      </c>
      <c r="K313" s="41">
        <f t="shared" si="39"/>
        <v>31.2</v>
      </c>
      <c r="L313" s="11">
        <v>417.9</v>
      </c>
      <c r="M313" s="3">
        <v>6.7</v>
      </c>
      <c r="N313" s="3">
        <v>3.3</v>
      </c>
      <c r="O313" s="3">
        <f t="shared" si="40"/>
        <v>3.4000000000000004</v>
      </c>
      <c r="P313" s="3">
        <f t="shared" si="45"/>
        <v>73.900000000000006</v>
      </c>
      <c r="Q313" s="3">
        <v>278</v>
      </c>
      <c r="R313" s="3">
        <f t="shared" si="46"/>
        <v>0.85769230769230764</v>
      </c>
      <c r="S313" s="3">
        <f t="shared" si="41"/>
        <v>2.8303846153846153</v>
      </c>
      <c r="T313" s="28">
        <f t="shared" si="42"/>
        <v>3.8696153846153849</v>
      </c>
      <c r="U313" s="28">
        <f t="shared" si="47"/>
        <v>63.661349875930568</v>
      </c>
      <c r="V313">
        <v>0</v>
      </c>
      <c r="W313" s="3">
        <v>1770.3</v>
      </c>
      <c r="Y313" s="3">
        <f t="shared" si="44"/>
        <v>220656.49999999991</v>
      </c>
      <c r="Z313" s="3">
        <f t="shared" ref="Z313:Z346" si="48">Z312+W313</f>
        <v>3414.1</v>
      </c>
      <c r="AA313" s="3">
        <v>15.747022481985315</v>
      </c>
      <c r="AB313">
        <v>47248</v>
      </c>
    </row>
    <row r="314" spans="1:28" s="3" customFormat="1" x14ac:dyDescent="0.25">
      <c r="A314" s="3">
        <v>5400</v>
      </c>
      <c r="B314" s="3">
        <v>24010</v>
      </c>
      <c r="C314" s="7">
        <v>42892</v>
      </c>
      <c r="F314" s="59"/>
      <c r="G314" s="3">
        <v>12.6</v>
      </c>
      <c r="H314" s="3">
        <v>11.4</v>
      </c>
      <c r="I314" s="3">
        <v>14.1</v>
      </c>
      <c r="J314" s="3">
        <f t="shared" si="43"/>
        <v>2589.6999999999994</v>
      </c>
      <c r="K314" s="41">
        <f t="shared" si="39"/>
        <v>43.8</v>
      </c>
      <c r="L314" s="20" t="s">
        <v>40</v>
      </c>
      <c r="M314" s="3">
        <v>2.2999999999999998</v>
      </c>
      <c r="N314" s="3">
        <v>2.7</v>
      </c>
      <c r="O314" s="3">
        <f t="shared" si="40"/>
        <v>-0.40000000000000036</v>
      </c>
      <c r="P314" s="3">
        <f t="shared" si="45"/>
        <v>73.5</v>
      </c>
      <c r="Q314" s="3">
        <v>279</v>
      </c>
      <c r="R314" s="3">
        <f t="shared" si="46"/>
        <v>0.8423076923076922</v>
      </c>
      <c r="S314" s="3">
        <f t="shared" si="41"/>
        <v>2.2742307692307691</v>
      </c>
      <c r="T314" s="28">
        <f t="shared" si="42"/>
        <v>2.5769230769230766E-2</v>
      </c>
      <c r="U314" s="28">
        <f t="shared" si="47"/>
        <v>63.687119106699797</v>
      </c>
      <c r="V314" s="37" t="s">
        <v>54</v>
      </c>
      <c r="W314" s="3">
        <v>1947.5</v>
      </c>
      <c r="Y314" s="3">
        <f t="shared" si="44"/>
        <v>222603.99999999991</v>
      </c>
      <c r="Z314" s="3">
        <f t="shared" si="48"/>
        <v>5361.6</v>
      </c>
      <c r="AA314" s="3">
        <v>15.768798611521829</v>
      </c>
      <c r="AB314" s="37" t="s">
        <v>59</v>
      </c>
    </row>
    <row r="315" spans="1:28" s="3" customFormat="1" x14ac:dyDescent="0.25">
      <c r="A315" s="3">
        <v>5400</v>
      </c>
      <c r="B315" s="3">
        <v>24010</v>
      </c>
      <c r="C315" s="7">
        <v>42893</v>
      </c>
      <c r="F315" s="59"/>
      <c r="G315" s="3">
        <v>14</v>
      </c>
      <c r="H315" s="3">
        <v>9.8000000000000007</v>
      </c>
      <c r="I315" s="3">
        <v>18.399999999999999</v>
      </c>
      <c r="J315" s="3">
        <f t="shared" si="43"/>
        <v>2603.6999999999994</v>
      </c>
      <c r="K315" s="41">
        <f t="shared" si="39"/>
        <v>57.8</v>
      </c>
      <c r="L315" s="11">
        <f>AVERAGE(G312:G332)</f>
        <v>19.899999999999999</v>
      </c>
      <c r="M315" s="3">
        <v>0</v>
      </c>
      <c r="N315" s="3">
        <v>3.4</v>
      </c>
      <c r="O315" s="3">
        <f t="shared" si="40"/>
        <v>-3.4</v>
      </c>
      <c r="P315" s="3">
        <f t="shared" si="45"/>
        <v>70.099999999999994</v>
      </c>
      <c r="Q315" s="3">
        <v>280</v>
      </c>
      <c r="R315" s="3">
        <f t="shared" si="46"/>
        <v>0.82692307692307687</v>
      </c>
      <c r="S315" s="3">
        <f t="shared" si="41"/>
        <v>2.8115384615384613</v>
      </c>
      <c r="T315" s="28">
        <f t="shared" si="42"/>
        <v>-2.8115384615384613</v>
      </c>
      <c r="U315" s="28">
        <f t="shared" si="47"/>
        <v>60.875580645161335</v>
      </c>
      <c r="V315">
        <v>10</v>
      </c>
      <c r="W315" s="3">
        <v>2010.7</v>
      </c>
      <c r="Y315" s="3">
        <f t="shared" si="44"/>
        <v>224614.69999999992</v>
      </c>
      <c r="Z315" s="3">
        <f t="shared" si="48"/>
        <v>7372.3</v>
      </c>
      <c r="AA315" s="3">
        <v>15.78928463508929</v>
      </c>
      <c r="AB315">
        <f>(AB313/100)/L313</f>
        <v>1.1306054079923429</v>
      </c>
    </row>
    <row r="316" spans="1:28" s="3" customFormat="1" x14ac:dyDescent="0.25">
      <c r="A316" s="3">
        <v>5400</v>
      </c>
      <c r="B316" s="3">
        <v>24010</v>
      </c>
      <c r="C316" s="7">
        <v>42894</v>
      </c>
      <c r="F316" s="59"/>
      <c r="G316" s="3">
        <v>18.7</v>
      </c>
      <c r="H316" s="3">
        <v>11.2</v>
      </c>
      <c r="I316" s="3">
        <v>25.3</v>
      </c>
      <c r="J316" s="3">
        <f t="shared" si="43"/>
        <v>2622.3999999999992</v>
      </c>
      <c r="K316" s="41">
        <f t="shared" si="39"/>
        <v>76.5</v>
      </c>
      <c r="L316" s="20" t="s">
        <v>41</v>
      </c>
      <c r="M316" s="3">
        <v>14.7</v>
      </c>
      <c r="N316" s="3">
        <v>4.0999999999999996</v>
      </c>
      <c r="O316" s="3">
        <f t="shared" si="40"/>
        <v>10.6</v>
      </c>
      <c r="P316" s="3">
        <f t="shared" si="45"/>
        <v>80.699999999999989</v>
      </c>
      <c r="Q316" s="3">
        <v>281</v>
      </c>
      <c r="R316" s="3">
        <f t="shared" si="46"/>
        <v>0.81153846153846154</v>
      </c>
      <c r="S316" s="3">
        <f t="shared" si="41"/>
        <v>3.3273076923076919</v>
      </c>
      <c r="T316" s="28">
        <f t="shared" si="42"/>
        <v>11.372692307692308</v>
      </c>
      <c r="U316" s="28">
        <f t="shared" si="47"/>
        <v>72.24827295285364</v>
      </c>
      <c r="V316" s="37" t="s">
        <v>55</v>
      </c>
      <c r="W316" s="3">
        <v>2340.1</v>
      </c>
      <c r="Y316" s="3">
        <f t="shared" si="44"/>
        <v>226954.79999999993</v>
      </c>
      <c r="Z316" s="3">
        <f t="shared" si="48"/>
        <v>9712.4</v>
      </c>
      <c r="AA316" s="3">
        <v>15.808463158422683</v>
      </c>
      <c r="AB316" s="37" t="s">
        <v>60</v>
      </c>
    </row>
    <row r="317" spans="1:28" s="3" customFormat="1" x14ac:dyDescent="0.25">
      <c r="A317" s="3">
        <v>5400</v>
      </c>
      <c r="B317" s="3">
        <v>24010</v>
      </c>
      <c r="C317" s="7">
        <v>42895</v>
      </c>
      <c r="F317" s="59"/>
      <c r="G317" s="3">
        <v>17.899999999999999</v>
      </c>
      <c r="H317" s="3">
        <v>15.5</v>
      </c>
      <c r="I317" s="3">
        <v>20.7</v>
      </c>
      <c r="J317" s="3">
        <f t="shared" si="43"/>
        <v>2640.2999999999993</v>
      </c>
      <c r="K317" s="41">
        <f t="shared" si="39"/>
        <v>94.4</v>
      </c>
      <c r="L317" s="11">
        <f>MIN(H312:H332)</f>
        <v>9.1</v>
      </c>
      <c r="M317" s="3">
        <v>0</v>
      </c>
      <c r="N317" s="3">
        <v>2.9</v>
      </c>
      <c r="O317" s="3">
        <f t="shared" si="40"/>
        <v>-2.9</v>
      </c>
      <c r="P317" s="3">
        <f t="shared" si="45"/>
        <v>77.799999999999983</v>
      </c>
      <c r="Q317" s="3">
        <v>282</v>
      </c>
      <c r="R317" s="3">
        <f t="shared" si="46"/>
        <v>0.7961538461538461</v>
      </c>
      <c r="S317" s="3">
        <f t="shared" si="41"/>
        <v>2.3088461538461535</v>
      </c>
      <c r="T317" s="28">
        <f t="shared" si="42"/>
        <v>-2.3088461538461535</v>
      </c>
      <c r="U317" s="28">
        <f t="shared" si="47"/>
        <v>69.939426799007492</v>
      </c>
      <c r="V317" s="28">
        <f>MIN(U312:U332)</f>
        <v>19.078657568238253</v>
      </c>
      <c r="W317" s="3">
        <v>1513</v>
      </c>
      <c r="Y317" s="3">
        <f t="shared" si="44"/>
        <v>228467.79999999993</v>
      </c>
      <c r="Z317" s="3">
        <f t="shared" si="48"/>
        <v>11225.4</v>
      </c>
      <c r="AA317" s="3">
        <v>15.826317703737999</v>
      </c>
      <c r="AB317">
        <v>0</v>
      </c>
    </row>
    <row r="318" spans="1:28" s="3" customFormat="1" x14ac:dyDescent="0.25">
      <c r="A318" s="3">
        <v>5400</v>
      </c>
      <c r="B318" s="3">
        <v>24010</v>
      </c>
      <c r="C318" s="7">
        <v>42896</v>
      </c>
      <c r="F318" s="59"/>
      <c r="G318" s="3">
        <v>19.899999999999999</v>
      </c>
      <c r="H318" s="3">
        <v>14.6</v>
      </c>
      <c r="I318" s="3">
        <v>25.1</v>
      </c>
      <c r="J318" s="3">
        <f t="shared" si="43"/>
        <v>2660.1999999999994</v>
      </c>
      <c r="K318" s="41">
        <f t="shared" si="39"/>
        <v>114.30000000000001</v>
      </c>
      <c r="L318" s="20" t="s">
        <v>42</v>
      </c>
      <c r="M318" s="3">
        <v>0</v>
      </c>
      <c r="N318" s="3">
        <v>6</v>
      </c>
      <c r="O318" s="3">
        <f t="shared" si="40"/>
        <v>-6</v>
      </c>
      <c r="P318" s="3">
        <f t="shared" si="45"/>
        <v>71.799999999999983</v>
      </c>
      <c r="Q318" s="3">
        <v>283</v>
      </c>
      <c r="R318" s="3">
        <f t="shared" si="46"/>
        <v>0.78076923076923066</v>
      </c>
      <c r="S318" s="3">
        <f t="shared" si="41"/>
        <v>4.684615384615384</v>
      </c>
      <c r="T318" s="28">
        <f t="shared" si="42"/>
        <v>-4.684615384615384</v>
      </c>
      <c r="U318" s="28">
        <f t="shared" si="47"/>
        <v>65.254811414392108</v>
      </c>
      <c r="V318" s="37" t="s">
        <v>56</v>
      </c>
      <c r="W318" s="3">
        <v>3040.8</v>
      </c>
      <c r="Y318" s="3">
        <f t="shared" si="44"/>
        <v>231508.59999999992</v>
      </c>
      <c r="Z318" s="3">
        <f t="shared" si="48"/>
        <v>14266.2</v>
      </c>
      <c r="AA318" s="3">
        <v>15.842832760484622</v>
      </c>
    </row>
    <row r="319" spans="1:28" s="3" customFormat="1" x14ac:dyDescent="0.25">
      <c r="A319" s="3">
        <v>5400</v>
      </c>
      <c r="B319" s="3">
        <v>24010</v>
      </c>
      <c r="C319" s="7">
        <v>42897</v>
      </c>
      <c r="F319" s="59"/>
      <c r="G319" s="3">
        <v>20.8</v>
      </c>
      <c r="H319" s="3">
        <v>15.1</v>
      </c>
      <c r="I319" s="3">
        <v>27.5</v>
      </c>
      <c r="J319" s="3">
        <f t="shared" si="43"/>
        <v>2680.9999999999995</v>
      </c>
      <c r="K319" s="41">
        <f t="shared" si="39"/>
        <v>135.10000000000002</v>
      </c>
      <c r="L319" s="11">
        <f>MAX(I312:I332)</f>
        <v>34.5</v>
      </c>
      <c r="M319" s="3">
        <v>0</v>
      </c>
      <c r="N319" s="3">
        <v>4.7</v>
      </c>
      <c r="O319" s="3">
        <f t="shared" si="40"/>
        <v>-4.7</v>
      </c>
      <c r="P319" s="3">
        <f t="shared" si="45"/>
        <v>67.09999999999998</v>
      </c>
      <c r="Q319" s="3">
        <v>284</v>
      </c>
      <c r="R319" s="3">
        <f t="shared" si="46"/>
        <v>0.76538461538461533</v>
      </c>
      <c r="S319" s="3">
        <f t="shared" si="41"/>
        <v>3.5973076923076923</v>
      </c>
      <c r="T319" s="28">
        <f t="shared" si="42"/>
        <v>-3.5973076923076923</v>
      </c>
      <c r="U319" s="28">
        <f t="shared" si="47"/>
        <v>61.657503722084414</v>
      </c>
      <c r="V319" s="28">
        <f>MAX(U312:U332)</f>
        <v>72.24827295285364</v>
      </c>
      <c r="W319" s="3">
        <v>2044.2</v>
      </c>
      <c r="Y319" s="3">
        <f t="shared" si="44"/>
        <v>233552.79999999993</v>
      </c>
      <c r="Z319" s="3">
        <f t="shared" si="48"/>
        <v>16310.400000000001</v>
      </c>
      <c r="AA319" s="3">
        <v>15.857993833980643</v>
      </c>
    </row>
    <row r="320" spans="1:28" s="3" customFormat="1" x14ac:dyDescent="0.25">
      <c r="A320" s="3">
        <v>5400</v>
      </c>
      <c r="B320" s="3">
        <v>24010</v>
      </c>
      <c r="C320" s="7">
        <v>42898</v>
      </c>
      <c r="F320" s="59"/>
      <c r="G320" s="3">
        <v>16.7</v>
      </c>
      <c r="H320" s="3">
        <v>13.6</v>
      </c>
      <c r="I320" s="3">
        <v>20.2</v>
      </c>
      <c r="J320" s="3">
        <f t="shared" si="43"/>
        <v>2697.6999999999994</v>
      </c>
      <c r="K320" s="41">
        <f t="shared" ref="K320:K346" si="49">K319+G320</f>
        <v>151.80000000000001</v>
      </c>
      <c r="L320" s="20" t="s">
        <v>43</v>
      </c>
      <c r="M320" s="3">
        <v>0</v>
      </c>
      <c r="N320" s="3">
        <v>4.2</v>
      </c>
      <c r="O320" s="3">
        <f t="shared" si="40"/>
        <v>-4.2</v>
      </c>
      <c r="P320" s="3">
        <f t="shared" si="45"/>
        <v>62.899999999999977</v>
      </c>
      <c r="Q320" s="3">
        <v>285</v>
      </c>
      <c r="R320" s="3">
        <f t="shared" si="46"/>
        <v>0.75</v>
      </c>
      <c r="S320" s="3">
        <f t="shared" si="41"/>
        <v>3.1500000000000004</v>
      </c>
      <c r="T320" s="28">
        <f t="shared" si="42"/>
        <v>-3.1500000000000004</v>
      </c>
      <c r="U320" s="28">
        <f t="shared" si="47"/>
        <v>58.507503722084415</v>
      </c>
      <c r="V320" s="37" t="s">
        <v>57</v>
      </c>
      <c r="W320" s="3">
        <v>2193</v>
      </c>
      <c r="Y320" s="3">
        <f t="shared" si="44"/>
        <v>235745.79999999993</v>
      </c>
      <c r="Z320" s="3">
        <f t="shared" si="48"/>
        <v>18503.400000000001</v>
      </c>
      <c r="AA320" s="3">
        <v>15.87178749161964</v>
      </c>
    </row>
    <row r="321" spans="1:27" s="3" customFormat="1" x14ac:dyDescent="0.25">
      <c r="A321" s="3">
        <v>5400</v>
      </c>
      <c r="B321" s="3">
        <v>24010</v>
      </c>
      <c r="C321" s="7">
        <v>42899</v>
      </c>
      <c r="F321" s="59"/>
      <c r="G321" s="3">
        <v>16.8</v>
      </c>
      <c r="H321" s="3">
        <v>11.4</v>
      </c>
      <c r="I321" s="3">
        <v>20.9</v>
      </c>
      <c r="J321" s="3">
        <f t="shared" si="43"/>
        <v>2714.4999999999995</v>
      </c>
      <c r="K321" s="41">
        <f t="shared" si="49"/>
        <v>168.60000000000002</v>
      </c>
      <c r="L321" s="11">
        <v>11</v>
      </c>
      <c r="M321" s="3">
        <v>0</v>
      </c>
      <c r="N321" s="3">
        <v>4.5</v>
      </c>
      <c r="O321" s="3">
        <f t="shared" si="40"/>
        <v>-4.5</v>
      </c>
      <c r="P321" s="3">
        <f t="shared" si="45"/>
        <v>58.399999999999977</v>
      </c>
      <c r="Q321" s="3">
        <v>286</v>
      </c>
      <c r="R321" s="3">
        <f t="shared" si="46"/>
        <v>0.73461538461538445</v>
      </c>
      <c r="S321" s="3">
        <f t="shared" si="41"/>
        <v>3.3057692307692301</v>
      </c>
      <c r="T321" s="28">
        <f t="shared" si="42"/>
        <v>-3.3057692307692301</v>
      </c>
      <c r="U321" s="28">
        <f t="shared" si="47"/>
        <v>55.201734491315186</v>
      </c>
      <c r="V321" s="28">
        <f>AVERAGE(U312:U332)</f>
        <v>48.48710079168147</v>
      </c>
      <c r="W321" s="3">
        <v>2747.5</v>
      </c>
      <c r="Y321" s="3">
        <f t="shared" si="44"/>
        <v>238493.29999999993</v>
      </c>
      <c r="Z321" s="3">
        <f t="shared" si="48"/>
        <v>21250.9</v>
      </c>
      <c r="AA321" s="3">
        <v>15.884201406345564</v>
      </c>
    </row>
    <row r="322" spans="1:27" s="3" customFormat="1" x14ac:dyDescent="0.25">
      <c r="A322" s="3">
        <v>5400</v>
      </c>
      <c r="B322" s="3">
        <v>24010</v>
      </c>
      <c r="C322" s="7">
        <v>42900</v>
      </c>
      <c r="F322" s="59"/>
      <c r="G322" s="3">
        <v>21.9</v>
      </c>
      <c r="H322" s="3">
        <v>15.4</v>
      </c>
      <c r="I322" s="3">
        <v>27.5</v>
      </c>
      <c r="J322" s="3">
        <f t="shared" si="43"/>
        <v>2736.3999999999996</v>
      </c>
      <c r="K322" s="41">
        <f t="shared" si="49"/>
        <v>190.50000000000003</v>
      </c>
      <c r="L322" s="20" t="s">
        <v>44</v>
      </c>
      <c r="M322" s="3">
        <v>0</v>
      </c>
      <c r="N322" s="3">
        <v>3.1</v>
      </c>
      <c r="O322" s="3">
        <f t="shared" si="40"/>
        <v>-3.1</v>
      </c>
      <c r="P322" s="3">
        <f t="shared" si="45"/>
        <v>55.299999999999976</v>
      </c>
      <c r="Q322" s="3">
        <v>287</v>
      </c>
      <c r="R322" s="3">
        <f t="shared" si="46"/>
        <v>0.71923076923076912</v>
      </c>
      <c r="S322" s="3">
        <f t="shared" si="41"/>
        <v>2.2296153846153843</v>
      </c>
      <c r="T322" s="28">
        <f t="shared" si="42"/>
        <v>-2.2296153846153843</v>
      </c>
      <c r="U322" s="28">
        <f t="shared" si="47"/>
        <v>52.9721191066998</v>
      </c>
      <c r="W322" s="3">
        <v>1464.2</v>
      </c>
      <c r="Y322" s="3">
        <f t="shared" si="44"/>
        <v>239957.49999999994</v>
      </c>
      <c r="Z322" s="3">
        <f t="shared" si="48"/>
        <v>22715.100000000002</v>
      </c>
      <c r="AA322" s="3">
        <v>15.895224397103791</v>
      </c>
    </row>
    <row r="323" spans="1:27" s="3" customFormat="1" x14ac:dyDescent="0.25">
      <c r="A323" s="3">
        <v>5400</v>
      </c>
      <c r="B323" s="3">
        <v>24010</v>
      </c>
      <c r="C323" s="7">
        <v>42901</v>
      </c>
      <c r="F323" s="59"/>
      <c r="G323" s="3">
        <v>22</v>
      </c>
      <c r="H323" s="3">
        <v>19.2</v>
      </c>
      <c r="I323" s="3">
        <v>27.2</v>
      </c>
      <c r="J323" s="3">
        <f t="shared" si="43"/>
        <v>2758.3999999999996</v>
      </c>
      <c r="K323" s="41">
        <f t="shared" si="49"/>
        <v>212.50000000000003</v>
      </c>
      <c r="L323" s="11">
        <v>0</v>
      </c>
      <c r="M323" s="3">
        <v>0</v>
      </c>
      <c r="N323" s="3">
        <v>5.3</v>
      </c>
      <c r="O323" s="3">
        <f t="shared" si="40"/>
        <v>-5.3</v>
      </c>
      <c r="P323" s="3">
        <f t="shared" si="45"/>
        <v>49.999999999999979</v>
      </c>
      <c r="Q323" s="3">
        <v>288</v>
      </c>
      <c r="R323" s="3">
        <f t="shared" si="46"/>
        <v>0.70384615384615379</v>
      </c>
      <c r="S323" s="3">
        <f t="shared" si="41"/>
        <v>3.7303846153846147</v>
      </c>
      <c r="T323" s="28">
        <f t="shared" si="42"/>
        <v>-3.7303846153846147</v>
      </c>
      <c r="U323" s="28">
        <f t="shared" si="47"/>
        <v>49.241734491315185</v>
      </c>
      <c r="V323" s="45">
        <f>(V321*100)/153.9</f>
        <v>31.505588558597445</v>
      </c>
      <c r="W323" s="3">
        <v>2421.1</v>
      </c>
      <c r="Y323" s="3">
        <f t="shared" si="44"/>
        <v>242378.59999999995</v>
      </c>
      <c r="Z323" s="3">
        <f t="shared" si="48"/>
        <v>25136.2</v>
      </c>
      <c r="AA323" s="3">
        <v>15.904846465991007</v>
      </c>
    </row>
    <row r="324" spans="1:27" s="3" customFormat="1" x14ac:dyDescent="0.25">
      <c r="A324" s="3">
        <v>5400</v>
      </c>
      <c r="B324" s="3">
        <v>24010</v>
      </c>
      <c r="C324" s="7">
        <v>42902</v>
      </c>
      <c r="F324" s="59"/>
      <c r="G324" s="3">
        <v>17.600000000000001</v>
      </c>
      <c r="H324" s="3">
        <v>13.8</v>
      </c>
      <c r="I324" s="3">
        <v>21.7</v>
      </c>
      <c r="J324" s="3">
        <f t="shared" si="43"/>
        <v>2775.9999999999995</v>
      </c>
      <c r="K324" s="41">
        <f t="shared" si="49"/>
        <v>230.10000000000002</v>
      </c>
      <c r="L324" s="20" t="s">
        <v>45</v>
      </c>
      <c r="M324" s="3">
        <v>0</v>
      </c>
      <c r="N324" s="3">
        <v>4.9000000000000004</v>
      </c>
      <c r="O324" s="3">
        <f t="shared" si="40"/>
        <v>-4.9000000000000004</v>
      </c>
      <c r="P324" s="3">
        <f t="shared" si="45"/>
        <v>45.09999999999998</v>
      </c>
      <c r="Q324" s="3">
        <v>289</v>
      </c>
      <c r="R324" s="3">
        <f t="shared" si="46"/>
        <v>0.68846153846153846</v>
      </c>
      <c r="S324" s="3">
        <f t="shared" si="41"/>
        <v>3.3734615384615387</v>
      </c>
      <c r="T324" s="28">
        <f t="shared" si="42"/>
        <v>-3.3734615384615387</v>
      </c>
      <c r="U324" s="28">
        <f t="shared" si="47"/>
        <v>45.868272952853644</v>
      </c>
      <c r="W324" s="3">
        <v>2678.9</v>
      </c>
      <c r="Y324" s="3">
        <f t="shared" si="44"/>
        <v>245057.49999999994</v>
      </c>
      <c r="Z324" s="3">
        <f t="shared" si="48"/>
        <v>27815.100000000002</v>
      </c>
      <c r="AA324" s="3">
        <v>15.913058831844545</v>
      </c>
    </row>
    <row r="325" spans="1:27" s="3" customFormat="1" x14ac:dyDescent="0.25">
      <c r="A325" s="3">
        <v>5400</v>
      </c>
      <c r="B325" s="3">
        <v>24010</v>
      </c>
      <c r="C325" s="7">
        <v>42903</v>
      </c>
      <c r="F325" s="59"/>
      <c r="G325" s="3">
        <v>20.399999999999999</v>
      </c>
      <c r="H325" s="3">
        <v>12.8</v>
      </c>
      <c r="I325" s="3">
        <v>25.9</v>
      </c>
      <c r="J325" s="3">
        <f t="shared" si="43"/>
        <v>2796.3999999999996</v>
      </c>
      <c r="K325" s="41">
        <f t="shared" si="49"/>
        <v>250.50000000000003</v>
      </c>
      <c r="L325" s="11">
        <v>0</v>
      </c>
      <c r="M325" s="3">
        <v>0</v>
      </c>
      <c r="N325" s="3">
        <v>4.2</v>
      </c>
      <c r="O325" s="3">
        <f t="shared" si="40"/>
        <v>-4.2</v>
      </c>
      <c r="P325" s="3">
        <f t="shared" si="45"/>
        <v>40.899999999999977</v>
      </c>
      <c r="Q325" s="3">
        <v>290</v>
      </c>
      <c r="R325" s="3">
        <f t="shared" si="46"/>
        <v>0.67307692307692302</v>
      </c>
      <c r="S325" s="3">
        <f t="shared" si="41"/>
        <v>2.8269230769230766</v>
      </c>
      <c r="T325" s="28">
        <f t="shared" si="42"/>
        <v>-2.8269230769230766</v>
      </c>
      <c r="U325" s="28">
        <f t="shared" si="47"/>
        <v>43.041349875930564</v>
      </c>
      <c r="W325" s="3">
        <v>2165.4</v>
      </c>
      <c r="Y325" s="3">
        <f t="shared" si="44"/>
        <v>247222.89999999994</v>
      </c>
      <c r="Z325" s="3">
        <f t="shared" si="48"/>
        <v>29980.500000000004</v>
      </c>
      <c r="AA325" s="3">
        <v>15.919853960032878</v>
      </c>
    </row>
    <row r="326" spans="1:27" s="3" customFormat="1" x14ac:dyDescent="0.25">
      <c r="A326" s="3">
        <v>5400</v>
      </c>
      <c r="B326" s="3">
        <v>24010</v>
      </c>
      <c r="C326" s="7">
        <v>42904</v>
      </c>
      <c r="F326" s="59"/>
      <c r="G326" s="3">
        <v>23</v>
      </c>
      <c r="H326" s="3">
        <v>17.600000000000001</v>
      </c>
      <c r="I326" s="3">
        <v>27.4</v>
      </c>
      <c r="J326" s="3">
        <f t="shared" si="43"/>
        <v>2819.3999999999996</v>
      </c>
      <c r="K326" s="41">
        <f t="shared" si="49"/>
        <v>273.5</v>
      </c>
      <c r="M326" s="3">
        <v>0</v>
      </c>
      <c r="N326" s="3">
        <v>6.7</v>
      </c>
      <c r="O326" s="3">
        <f t="shared" si="40"/>
        <v>-6.7</v>
      </c>
      <c r="P326" s="3">
        <f t="shared" si="45"/>
        <v>34.199999999999974</v>
      </c>
      <c r="Q326" s="3">
        <v>291</v>
      </c>
      <c r="R326" s="3">
        <f t="shared" si="46"/>
        <v>0.65769230769230758</v>
      </c>
      <c r="S326" s="3">
        <f t="shared" si="41"/>
        <v>4.4065384615384611</v>
      </c>
      <c r="T326" s="28">
        <f t="shared" si="42"/>
        <v>-4.4065384615384611</v>
      </c>
      <c r="U326" s="28">
        <f t="shared" si="47"/>
        <v>38.634811414392104</v>
      </c>
      <c r="W326" s="3">
        <v>3152.4</v>
      </c>
      <c r="Y326" s="3">
        <f t="shared" si="44"/>
        <v>250375.29999999993</v>
      </c>
      <c r="Z326" s="3">
        <f t="shared" si="48"/>
        <v>33132.9</v>
      </c>
      <c r="AA326" s="3">
        <v>15.92522558823274</v>
      </c>
    </row>
    <row r="327" spans="1:27" s="3" customFormat="1" x14ac:dyDescent="0.25">
      <c r="A327" s="3">
        <v>5400</v>
      </c>
      <c r="B327" s="3">
        <v>24010</v>
      </c>
      <c r="C327" s="7">
        <v>42905</v>
      </c>
      <c r="F327" s="59"/>
      <c r="G327" s="3">
        <v>25.1</v>
      </c>
      <c r="H327" s="3">
        <v>19</v>
      </c>
      <c r="I327" s="3">
        <v>31.5</v>
      </c>
      <c r="J327" s="3">
        <f t="shared" si="43"/>
        <v>2844.4999999999995</v>
      </c>
      <c r="K327" s="41">
        <f t="shared" si="49"/>
        <v>298.60000000000002</v>
      </c>
      <c r="L327" s="23"/>
      <c r="M327" s="3">
        <v>0</v>
      </c>
      <c r="N327" s="3">
        <v>6</v>
      </c>
      <c r="O327" s="3">
        <f t="shared" si="40"/>
        <v>-6</v>
      </c>
      <c r="P327" s="3">
        <f t="shared" si="45"/>
        <v>28.199999999999974</v>
      </c>
      <c r="Q327" s="3">
        <v>292</v>
      </c>
      <c r="R327" s="3">
        <f t="shared" si="46"/>
        <v>0.64230769230769225</v>
      </c>
      <c r="S327" s="3">
        <f t="shared" si="41"/>
        <v>3.8538461538461535</v>
      </c>
      <c r="T327" s="28">
        <f t="shared" si="42"/>
        <v>-3.8538461538461535</v>
      </c>
      <c r="U327" s="28">
        <f t="shared" si="47"/>
        <v>34.780965260545948</v>
      </c>
      <c r="W327" s="3">
        <v>2696.4</v>
      </c>
      <c r="Y327" s="3">
        <f t="shared" si="44"/>
        <v>253071.69999999992</v>
      </c>
      <c r="Z327" s="3">
        <f t="shared" si="48"/>
        <v>35829.300000000003</v>
      </c>
      <c r="AA327" s="3">
        <v>15.929168748005209</v>
      </c>
    </row>
    <row r="328" spans="1:27" s="3" customFormat="1" x14ac:dyDescent="0.25">
      <c r="A328" s="3">
        <v>5400</v>
      </c>
      <c r="B328" s="3">
        <v>24010</v>
      </c>
      <c r="C328" s="7">
        <v>42906</v>
      </c>
      <c r="F328" s="59"/>
      <c r="G328" s="3">
        <v>26.9</v>
      </c>
      <c r="H328" s="3">
        <v>18.3</v>
      </c>
      <c r="I328" s="3">
        <v>33</v>
      </c>
      <c r="J328" s="3">
        <f t="shared" si="43"/>
        <v>2871.3999999999996</v>
      </c>
      <c r="K328" s="41">
        <f t="shared" si="49"/>
        <v>325.5</v>
      </c>
      <c r="L328" s="23"/>
      <c r="M328" s="3">
        <v>0</v>
      </c>
      <c r="N328" s="3">
        <v>4.9000000000000004</v>
      </c>
      <c r="O328" s="3">
        <f t="shared" si="40"/>
        <v>-4.9000000000000004</v>
      </c>
      <c r="P328" s="3">
        <f t="shared" si="45"/>
        <v>23.299999999999976</v>
      </c>
      <c r="Q328" s="3">
        <v>293</v>
      </c>
      <c r="R328" s="3">
        <f t="shared" si="46"/>
        <v>0.62692307692307692</v>
      </c>
      <c r="S328" s="3">
        <f t="shared" si="41"/>
        <v>3.0719230769230772</v>
      </c>
      <c r="T328" s="28">
        <f t="shared" si="42"/>
        <v>-3.0719230769230772</v>
      </c>
      <c r="U328" s="28">
        <f t="shared" si="47"/>
        <v>31.70904218362287</v>
      </c>
      <c r="W328" s="3">
        <v>2185.1</v>
      </c>
      <c r="Y328" s="3">
        <f t="shared" si="44"/>
        <v>255256.79999999993</v>
      </c>
      <c r="Z328" s="3">
        <f t="shared" si="48"/>
        <v>38014.400000000001</v>
      </c>
      <c r="AA328" s="3">
        <v>15.931679782011862</v>
      </c>
    </row>
    <row r="329" spans="1:27" s="3" customFormat="1" x14ac:dyDescent="0.25">
      <c r="A329" s="3">
        <v>5400</v>
      </c>
      <c r="B329" s="3">
        <v>24010</v>
      </c>
      <c r="C329" s="7">
        <v>42907</v>
      </c>
      <c r="F329" s="59"/>
      <c r="G329" s="3">
        <v>28.4</v>
      </c>
      <c r="H329" s="3">
        <v>23.2</v>
      </c>
      <c r="I329" s="3">
        <v>34.5</v>
      </c>
      <c r="J329" s="3">
        <f t="shared" si="43"/>
        <v>2899.7999999999997</v>
      </c>
      <c r="K329" s="41">
        <f t="shared" si="49"/>
        <v>353.9</v>
      </c>
      <c r="L329" s="23"/>
      <c r="M329" s="3">
        <v>0</v>
      </c>
      <c r="N329" s="3">
        <v>7.4</v>
      </c>
      <c r="O329" s="3">
        <f t="shared" si="40"/>
        <v>-7.4</v>
      </c>
      <c r="P329" s="3">
        <f t="shared" si="45"/>
        <v>15.899999999999975</v>
      </c>
      <c r="Q329" s="3">
        <v>294</v>
      </c>
      <c r="R329" s="3">
        <f t="shared" si="46"/>
        <v>0.61153846153846148</v>
      </c>
      <c r="S329" s="3">
        <f t="shared" si="41"/>
        <v>4.5253846153846151</v>
      </c>
      <c r="T329" s="28">
        <f t="shared" si="42"/>
        <v>-4.5253846153846151</v>
      </c>
      <c r="U329" s="28">
        <f t="shared" si="47"/>
        <v>27.183657568238253</v>
      </c>
      <c r="W329" s="3">
        <v>3053.1</v>
      </c>
      <c r="Y329" s="3">
        <f t="shared" si="44"/>
        <v>258309.89999999994</v>
      </c>
      <c r="Z329" s="3">
        <f t="shared" si="48"/>
        <v>41067.5</v>
      </c>
      <c r="AA329" s="3">
        <v>15.932756356743276</v>
      </c>
    </row>
    <row r="330" spans="1:27" s="3" customFormat="1" x14ac:dyDescent="0.25">
      <c r="A330" s="3">
        <v>5400</v>
      </c>
      <c r="B330" s="3">
        <v>24010</v>
      </c>
      <c r="C330" s="7">
        <v>42908</v>
      </c>
      <c r="F330" s="59"/>
      <c r="G330" s="3">
        <v>25.8</v>
      </c>
      <c r="H330" s="3">
        <v>20.9</v>
      </c>
      <c r="I330" s="3">
        <v>32.299999999999997</v>
      </c>
      <c r="J330" s="3">
        <f t="shared" si="43"/>
        <v>2925.6</v>
      </c>
      <c r="K330" s="41">
        <f t="shared" si="49"/>
        <v>379.7</v>
      </c>
      <c r="L330" s="23"/>
      <c r="M330" s="3">
        <v>0</v>
      </c>
      <c r="N330" s="3">
        <v>5.9</v>
      </c>
      <c r="O330" s="3">
        <f t="shared" si="40"/>
        <v>-5.9</v>
      </c>
      <c r="P330" s="3">
        <f t="shared" si="45"/>
        <v>9.9999999999999751</v>
      </c>
      <c r="Q330" s="3">
        <v>295</v>
      </c>
      <c r="R330" s="3">
        <f t="shared" si="46"/>
        <v>0.59615384615384615</v>
      </c>
      <c r="S330" s="3">
        <f t="shared" si="41"/>
        <v>3.5173076923076927</v>
      </c>
      <c r="T330" s="28">
        <f t="shared" si="42"/>
        <v>-3.5173076923076927</v>
      </c>
      <c r="U330" s="28">
        <f t="shared" si="47"/>
        <v>23.66634987593056</v>
      </c>
      <c r="W330" s="3">
        <v>2525.6</v>
      </c>
      <c r="Y330" s="3">
        <f t="shared" si="44"/>
        <v>260835.49999999994</v>
      </c>
      <c r="Z330" s="3">
        <f t="shared" si="48"/>
        <v>43593.1</v>
      </c>
      <c r="AA330" s="3">
        <v>15.932397470664863</v>
      </c>
    </row>
    <row r="331" spans="1:27" s="3" customFormat="1" x14ac:dyDescent="0.25">
      <c r="A331" s="3">
        <v>5400</v>
      </c>
      <c r="B331" s="3">
        <v>24010</v>
      </c>
      <c r="C331" s="7">
        <v>42909</v>
      </c>
      <c r="F331" s="59"/>
      <c r="G331" s="3">
        <v>19</v>
      </c>
      <c r="H331" s="3">
        <v>16.5</v>
      </c>
      <c r="I331" s="3">
        <v>22.4</v>
      </c>
      <c r="J331" s="3">
        <f t="shared" si="43"/>
        <v>2944.6</v>
      </c>
      <c r="K331" s="41">
        <f t="shared" si="49"/>
        <v>398.7</v>
      </c>
      <c r="L331" s="23"/>
      <c r="M331" s="3">
        <v>0</v>
      </c>
      <c r="N331" s="3">
        <v>4.2</v>
      </c>
      <c r="O331" s="3">
        <f t="shared" si="40"/>
        <v>-4.2</v>
      </c>
      <c r="P331" s="3">
        <f t="shared" si="45"/>
        <v>5.799999999999975</v>
      </c>
      <c r="Q331" s="3">
        <v>296</v>
      </c>
      <c r="R331" s="3">
        <f t="shared" si="46"/>
        <v>0.5807692307692307</v>
      </c>
      <c r="S331" s="3">
        <f t="shared" si="41"/>
        <v>2.4392307692307691</v>
      </c>
      <c r="T331" s="28">
        <f t="shared" si="42"/>
        <v>-2.4392307692307691</v>
      </c>
      <c r="U331" s="28">
        <f t="shared" si="47"/>
        <v>21.227119106699792</v>
      </c>
      <c r="W331" s="3">
        <v>1813.3</v>
      </c>
      <c r="Y331" s="3">
        <f t="shared" si="44"/>
        <v>262648.79999999993</v>
      </c>
      <c r="Z331" s="3">
        <f t="shared" si="48"/>
        <v>45406.400000000001</v>
      </c>
      <c r="AA331" s="3">
        <v>15.930603457718863</v>
      </c>
    </row>
    <row r="332" spans="1:27" s="21" customFormat="1" ht="15.75" thickBot="1" x14ac:dyDescent="0.3">
      <c r="A332" s="21">
        <v>5400</v>
      </c>
      <c r="B332" s="21">
        <v>24010</v>
      </c>
      <c r="C332" s="22">
        <v>42910</v>
      </c>
      <c r="F332" s="60"/>
      <c r="G332" s="21">
        <v>19.2</v>
      </c>
      <c r="H332" s="21">
        <v>13.2</v>
      </c>
      <c r="I332" s="21">
        <v>24.1</v>
      </c>
      <c r="J332" s="21">
        <f t="shared" si="43"/>
        <v>2963.7999999999997</v>
      </c>
      <c r="K332" s="21">
        <f t="shared" si="49"/>
        <v>417.9</v>
      </c>
      <c r="M332" s="21">
        <v>0</v>
      </c>
      <c r="N332" s="21">
        <v>3.8</v>
      </c>
      <c r="O332" s="21">
        <f t="shared" si="40"/>
        <v>-3.8</v>
      </c>
      <c r="P332" s="21">
        <f t="shared" si="45"/>
        <v>1.9999999999999751</v>
      </c>
      <c r="Q332" s="21">
        <v>297</v>
      </c>
      <c r="R332" s="3">
        <f t="shared" si="46"/>
        <v>0.56538461538461537</v>
      </c>
      <c r="S332" s="21">
        <f t="shared" si="41"/>
        <v>2.1484615384615382</v>
      </c>
      <c r="T332" s="29">
        <f t="shared" si="42"/>
        <v>-2.1484615384615382</v>
      </c>
      <c r="U332" s="28">
        <f t="shared" si="47"/>
        <v>19.078657568238253</v>
      </c>
      <c r="W332" s="21">
        <v>1841.6</v>
      </c>
      <c r="Y332" s="21">
        <f t="shared" si="44"/>
        <v>264490.39999999991</v>
      </c>
      <c r="Z332" s="21">
        <f t="shared" si="48"/>
        <v>47248</v>
      </c>
      <c r="AA332" s="21">
        <v>15.927375986156308</v>
      </c>
    </row>
    <row r="333" spans="1:27" s="3" customFormat="1" x14ac:dyDescent="0.25">
      <c r="A333" s="3">
        <v>5400</v>
      </c>
      <c r="B333" s="3">
        <v>24010</v>
      </c>
      <c r="C333" s="7">
        <v>42911</v>
      </c>
      <c r="G333" s="3">
        <v>20.7</v>
      </c>
      <c r="H333" s="3">
        <v>16.600000000000001</v>
      </c>
      <c r="I333" s="3">
        <v>25.9</v>
      </c>
      <c r="J333" s="3">
        <f t="shared" si="43"/>
        <v>2984.4999999999995</v>
      </c>
      <c r="K333" s="41">
        <f t="shared" si="49"/>
        <v>438.59999999999997</v>
      </c>
      <c r="L333" s="23"/>
      <c r="M333" s="3">
        <v>0</v>
      </c>
      <c r="N333" s="3">
        <v>3.5</v>
      </c>
      <c r="O333" s="3">
        <f t="shared" si="40"/>
        <v>-3.5</v>
      </c>
      <c r="P333" s="3">
        <v>0</v>
      </c>
      <c r="Q333" s="3">
        <v>298</v>
      </c>
      <c r="R333" s="3">
        <f t="shared" si="46"/>
        <v>0.54999999999999993</v>
      </c>
      <c r="S333" s="3">
        <f t="shared" si="41"/>
        <v>1.9249999999999998</v>
      </c>
      <c r="T333" s="28">
        <f t="shared" si="42"/>
        <v>-1.9249999999999998</v>
      </c>
      <c r="U333" s="28">
        <f t="shared" si="47"/>
        <v>17.153657568238252</v>
      </c>
      <c r="W333" s="3">
        <v>1421.5</v>
      </c>
      <c r="Y333" s="3">
        <f t="shared" si="44"/>
        <v>265911.89999999991</v>
      </c>
      <c r="Z333" s="3">
        <f t="shared" si="48"/>
        <v>48669.5</v>
      </c>
      <c r="AA333" s="3">
        <v>15.922718052707602</v>
      </c>
    </row>
    <row r="334" spans="1:27" s="3" customFormat="1" x14ac:dyDescent="0.25">
      <c r="A334" s="3">
        <v>5400</v>
      </c>
      <c r="B334" s="3">
        <v>24010</v>
      </c>
      <c r="C334" s="7">
        <v>42912</v>
      </c>
      <c r="G334" s="3">
        <v>21.3</v>
      </c>
      <c r="H334" s="3">
        <v>15.3</v>
      </c>
      <c r="I334" s="3">
        <v>26</v>
      </c>
      <c r="J334" s="3">
        <f t="shared" si="43"/>
        <v>3005.7999999999997</v>
      </c>
      <c r="K334" s="41">
        <f t="shared" si="49"/>
        <v>459.9</v>
      </c>
      <c r="L334" s="23"/>
      <c r="M334" s="3">
        <v>3.6</v>
      </c>
      <c r="N334" s="3">
        <v>4</v>
      </c>
      <c r="O334" s="3">
        <f t="shared" si="40"/>
        <v>-0.39999999999999991</v>
      </c>
      <c r="P334" s="3">
        <v>0</v>
      </c>
      <c r="Q334" s="3">
        <v>299</v>
      </c>
      <c r="R334" s="3">
        <f t="shared" si="46"/>
        <v>0.53461538461538449</v>
      </c>
      <c r="S334" s="3">
        <f t="shared" si="41"/>
        <v>2.138461538461538</v>
      </c>
      <c r="T334" s="28">
        <f t="shared" si="42"/>
        <v>1.4615384615384621</v>
      </c>
      <c r="U334" s="28">
        <f t="shared" si="47"/>
        <v>18.615196029776715</v>
      </c>
      <c r="W334" s="3">
        <v>1971.3</v>
      </c>
      <c r="Y334" s="3">
        <f t="shared" si="44"/>
        <v>267883.1999999999</v>
      </c>
      <c r="Z334" s="3">
        <f t="shared" si="48"/>
        <v>50640.800000000003</v>
      </c>
      <c r="AA334" s="3">
        <v>15.916633972135569</v>
      </c>
    </row>
    <row r="335" spans="1:27" s="3" customFormat="1" x14ac:dyDescent="0.25">
      <c r="A335" s="3">
        <v>5400</v>
      </c>
      <c r="B335" s="3">
        <v>24010</v>
      </c>
      <c r="C335" s="7">
        <v>42913</v>
      </c>
      <c r="G335" s="3">
        <v>20.2</v>
      </c>
      <c r="H335" s="3">
        <v>18.399999999999999</v>
      </c>
      <c r="I335" s="3">
        <v>23.6</v>
      </c>
      <c r="J335" s="3">
        <f t="shared" si="43"/>
        <v>3025.9999999999995</v>
      </c>
      <c r="K335" s="41">
        <f t="shared" si="49"/>
        <v>480.09999999999997</v>
      </c>
      <c r="L335" s="23"/>
      <c r="M335" s="3">
        <v>2.6</v>
      </c>
      <c r="N335" s="3">
        <v>2.8</v>
      </c>
      <c r="O335" s="3">
        <f t="shared" si="40"/>
        <v>-0.19999999999999973</v>
      </c>
      <c r="P335" s="3">
        <v>0</v>
      </c>
      <c r="Q335" s="3">
        <v>300</v>
      </c>
      <c r="R335" s="3">
        <f t="shared" si="46"/>
        <v>0.51923076923076916</v>
      </c>
      <c r="S335" s="3">
        <f t="shared" si="41"/>
        <v>1.4538461538461536</v>
      </c>
      <c r="T335" s="28">
        <f t="shared" si="42"/>
        <v>1.1461538461538465</v>
      </c>
      <c r="U335" s="28">
        <f t="shared" si="47"/>
        <v>19.761349875930563</v>
      </c>
      <c r="W335" s="3">
        <v>1352</v>
      </c>
      <c r="Y335" s="3">
        <f t="shared" si="44"/>
        <v>269235.1999999999</v>
      </c>
      <c r="Z335" s="3">
        <f t="shared" si="48"/>
        <v>51992.800000000003</v>
      </c>
      <c r="AA335" s="3">
        <v>15.909129362249191</v>
      </c>
    </row>
    <row r="336" spans="1:27" s="3" customFormat="1" x14ac:dyDescent="0.25">
      <c r="A336" s="3">
        <v>5400</v>
      </c>
      <c r="B336" s="3">
        <v>24010</v>
      </c>
      <c r="C336" s="7">
        <v>42914</v>
      </c>
      <c r="G336" s="3">
        <v>18</v>
      </c>
      <c r="H336" s="3">
        <v>16.2</v>
      </c>
      <c r="I336" s="3">
        <v>21.4</v>
      </c>
      <c r="J336" s="3">
        <f t="shared" si="43"/>
        <v>3043.9999999999995</v>
      </c>
      <c r="K336" s="41">
        <f t="shared" si="49"/>
        <v>498.09999999999997</v>
      </c>
      <c r="L336" s="23"/>
      <c r="M336" s="3">
        <v>8.1999999999999993</v>
      </c>
      <c r="N336" s="3">
        <v>2.8</v>
      </c>
      <c r="O336" s="3">
        <f t="shared" si="40"/>
        <v>5.3999999999999995</v>
      </c>
      <c r="P336" s="3">
        <f t="shared" si="45"/>
        <v>5.3999999999999995</v>
      </c>
      <c r="Q336" s="3">
        <v>301</v>
      </c>
      <c r="R336" s="3">
        <f t="shared" si="46"/>
        <v>0.50384615384615383</v>
      </c>
      <c r="S336" s="3">
        <f t="shared" si="41"/>
        <v>1.4107692307692306</v>
      </c>
      <c r="T336" s="28">
        <f t="shared" si="42"/>
        <v>6.7892307692307687</v>
      </c>
      <c r="U336" s="28">
        <f t="shared" si="47"/>
        <v>26.550580645161332</v>
      </c>
      <c r="W336" s="3">
        <v>1449.7</v>
      </c>
      <c r="Y336" s="3">
        <f t="shared" si="44"/>
        <v>270684.89999999991</v>
      </c>
      <c r="Z336" s="3">
        <f t="shared" si="48"/>
        <v>53442.5</v>
      </c>
      <c r="AA336" s="3">
        <v>15.900211124489507</v>
      </c>
    </row>
    <row r="337" spans="1:27" s="3" customFormat="1" x14ac:dyDescent="0.25">
      <c r="A337" s="3">
        <v>5400</v>
      </c>
      <c r="B337" s="3">
        <v>24010</v>
      </c>
      <c r="C337" s="7">
        <v>42915</v>
      </c>
      <c r="G337" s="3">
        <v>16.7</v>
      </c>
      <c r="H337" s="3">
        <v>13.2</v>
      </c>
      <c r="I337" s="3">
        <v>20.3</v>
      </c>
      <c r="J337" s="3">
        <f t="shared" si="43"/>
        <v>3060.6999999999994</v>
      </c>
      <c r="K337" s="41">
        <f t="shared" si="49"/>
        <v>514.79999999999995</v>
      </c>
      <c r="L337" s="23"/>
      <c r="M337" s="3">
        <v>5.0999999999999996</v>
      </c>
      <c r="N337" s="3">
        <v>3.8</v>
      </c>
      <c r="O337" s="3">
        <f t="shared" si="40"/>
        <v>1.2999999999999998</v>
      </c>
      <c r="P337" s="3">
        <f t="shared" si="45"/>
        <v>6.6999999999999993</v>
      </c>
      <c r="Q337" s="3">
        <v>302</v>
      </c>
      <c r="R337" s="3">
        <f t="shared" si="46"/>
        <v>0.4884615384615385</v>
      </c>
      <c r="S337" s="3">
        <f t="shared" si="41"/>
        <v>1.8561538461538463</v>
      </c>
      <c r="T337" s="28">
        <f t="shared" si="42"/>
        <v>3.2438461538461532</v>
      </c>
      <c r="U337" s="28">
        <f t="shared" si="47"/>
        <v>29.794426799007486</v>
      </c>
      <c r="W337" s="3">
        <v>2254.6</v>
      </c>
      <c r="Y337" s="3">
        <f t="shared" si="44"/>
        <v>272939.49999999988</v>
      </c>
      <c r="Z337" s="3">
        <f t="shared" si="48"/>
        <v>55697.1</v>
      </c>
      <c r="AA337" s="3">
        <v>15.889887420231323</v>
      </c>
    </row>
    <row r="338" spans="1:27" s="3" customFormat="1" x14ac:dyDescent="0.25">
      <c r="A338" s="3">
        <v>5400</v>
      </c>
      <c r="B338" s="3">
        <v>24010</v>
      </c>
      <c r="C338" s="7">
        <v>42916</v>
      </c>
      <c r="G338" s="3">
        <v>15</v>
      </c>
      <c r="H338" s="3">
        <v>13.9</v>
      </c>
      <c r="I338" s="3">
        <v>16.600000000000001</v>
      </c>
      <c r="J338" s="3">
        <f t="shared" si="43"/>
        <v>3075.6999999999994</v>
      </c>
      <c r="K338" s="41">
        <f t="shared" si="49"/>
        <v>529.79999999999995</v>
      </c>
      <c r="L338" s="23"/>
      <c r="M338" s="3">
        <v>3.5</v>
      </c>
      <c r="N338" s="3">
        <v>1.4</v>
      </c>
      <c r="O338" s="3">
        <f t="shared" si="40"/>
        <v>2.1</v>
      </c>
      <c r="P338" s="3">
        <f t="shared" si="45"/>
        <v>8.7999999999999989</v>
      </c>
      <c r="Q338" s="3">
        <v>303</v>
      </c>
      <c r="R338" s="3">
        <f t="shared" si="46"/>
        <v>0.47307692307692306</v>
      </c>
      <c r="S338" s="3">
        <f t="shared" si="41"/>
        <v>0.66230769230769226</v>
      </c>
      <c r="T338" s="28">
        <f t="shared" si="42"/>
        <v>2.8376923076923077</v>
      </c>
      <c r="U338" s="28">
        <f t="shared" si="47"/>
        <v>32.63211910669979</v>
      </c>
      <c r="W338" s="3">
        <v>700.2</v>
      </c>
      <c r="Y338" s="3">
        <f t="shared" si="44"/>
        <v>273639.6999999999</v>
      </c>
      <c r="Z338" s="3">
        <f t="shared" si="48"/>
        <v>56397.299999999996</v>
      </c>
      <c r="AA338" s="3">
        <v>15.878167642974184</v>
      </c>
    </row>
    <row r="339" spans="1:27" s="3" customFormat="1" x14ac:dyDescent="0.25">
      <c r="A339" s="3">
        <v>5400</v>
      </c>
      <c r="B339" s="3">
        <v>24010</v>
      </c>
      <c r="C339" s="7">
        <v>42917</v>
      </c>
      <c r="G339" s="3">
        <v>15.8</v>
      </c>
      <c r="H339" s="3">
        <v>13.7</v>
      </c>
      <c r="I339" s="3">
        <v>19</v>
      </c>
      <c r="J339" s="3">
        <f t="shared" si="43"/>
        <v>3091.4999999999995</v>
      </c>
      <c r="K339" s="41">
        <f t="shared" si="49"/>
        <v>545.59999999999991</v>
      </c>
      <c r="L339" s="23"/>
      <c r="M339" s="3">
        <v>3.6</v>
      </c>
      <c r="N339" s="3">
        <v>1.6</v>
      </c>
      <c r="O339" s="3">
        <f t="shared" si="40"/>
        <v>2</v>
      </c>
      <c r="P339" s="3">
        <f t="shared" si="45"/>
        <v>10.799999999999999</v>
      </c>
      <c r="Q339" s="3">
        <v>304</v>
      </c>
      <c r="R339" s="3">
        <f t="shared" si="46"/>
        <v>0.45769230769230762</v>
      </c>
      <c r="S339" s="3">
        <f t="shared" si="41"/>
        <v>0.73230769230769222</v>
      </c>
      <c r="T339" s="28">
        <f t="shared" si="42"/>
        <v>2.867692307692308</v>
      </c>
      <c r="U339" s="28">
        <f t="shared" si="47"/>
        <v>35.499811414392099</v>
      </c>
      <c r="W339" s="3">
        <v>732.1</v>
      </c>
      <c r="Y339" s="3">
        <f t="shared" si="44"/>
        <v>274371.79999999987</v>
      </c>
      <c r="Z339" s="3">
        <f t="shared" si="48"/>
        <v>57129.399999999994</v>
      </c>
      <c r="AA339" s="3">
        <v>15.865062386624107</v>
      </c>
    </row>
    <row r="340" spans="1:27" s="3" customFormat="1" x14ac:dyDescent="0.25">
      <c r="A340" s="3">
        <v>5400</v>
      </c>
      <c r="B340" s="3">
        <v>24010</v>
      </c>
      <c r="C340" s="7">
        <v>42918</v>
      </c>
      <c r="G340" s="3">
        <v>17</v>
      </c>
      <c r="H340" s="3">
        <v>12.5</v>
      </c>
      <c r="I340" s="3">
        <v>22.3</v>
      </c>
      <c r="J340" s="3">
        <f t="shared" si="43"/>
        <v>3108.4999999999995</v>
      </c>
      <c r="K340" s="41">
        <f t="shared" si="49"/>
        <v>562.59999999999991</v>
      </c>
      <c r="L340" s="23"/>
      <c r="M340" s="3">
        <v>0.2</v>
      </c>
      <c r="N340" s="3">
        <v>1.7</v>
      </c>
      <c r="O340" s="3">
        <f t="shared" si="40"/>
        <v>-1.5</v>
      </c>
      <c r="P340" s="3">
        <f t="shared" si="45"/>
        <v>9.2999999999999989</v>
      </c>
      <c r="Q340" s="3">
        <v>305</v>
      </c>
      <c r="R340" s="3">
        <f t="shared" si="46"/>
        <v>0.44230769230769229</v>
      </c>
      <c r="S340" s="3">
        <f t="shared" si="41"/>
        <v>0.75192307692307692</v>
      </c>
      <c r="T340" s="28">
        <f t="shared" si="42"/>
        <v>-0.55192307692307696</v>
      </c>
      <c r="U340" s="28">
        <f t="shared" si="47"/>
        <v>34.947888337469024</v>
      </c>
      <c r="W340" s="3">
        <v>871.1</v>
      </c>
      <c r="Y340" s="3">
        <f t="shared" si="44"/>
        <v>275242.89999999985</v>
      </c>
      <c r="Z340" s="3">
        <f t="shared" si="48"/>
        <v>58000.499999999993</v>
      </c>
      <c r="AA340" s="3">
        <v>15.850583410092792</v>
      </c>
    </row>
    <row r="341" spans="1:27" s="3" customFormat="1" x14ac:dyDescent="0.25">
      <c r="A341" s="3">
        <v>5400</v>
      </c>
      <c r="B341" s="3">
        <v>24010</v>
      </c>
      <c r="C341" s="7">
        <v>42919</v>
      </c>
      <c r="G341" s="3">
        <v>18.8</v>
      </c>
      <c r="H341" s="3">
        <v>13.2</v>
      </c>
      <c r="I341" s="3">
        <v>23.9</v>
      </c>
      <c r="J341" s="3">
        <f t="shared" si="43"/>
        <v>3127.2999999999997</v>
      </c>
      <c r="K341" s="41">
        <f t="shared" si="49"/>
        <v>581.39999999999986</v>
      </c>
      <c r="L341" s="23"/>
      <c r="M341" s="3">
        <v>0</v>
      </c>
      <c r="N341" s="3">
        <v>3.2</v>
      </c>
      <c r="O341" s="3">
        <f t="shared" si="40"/>
        <v>-3.2</v>
      </c>
      <c r="P341" s="3">
        <f t="shared" si="45"/>
        <v>6.0999999999999988</v>
      </c>
      <c r="Q341" s="3">
        <v>306</v>
      </c>
      <c r="R341" s="3">
        <f t="shared" si="46"/>
        <v>0.42692307692307685</v>
      </c>
      <c r="S341" s="3">
        <f t="shared" si="41"/>
        <v>1.3661538461538461</v>
      </c>
      <c r="T341" s="28">
        <f t="shared" si="42"/>
        <v>-1.3661538461538461</v>
      </c>
      <c r="U341" s="28">
        <f t="shared" si="47"/>
        <v>33.581734491315181</v>
      </c>
      <c r="W341" s="3">
        <v>1664</v>
      </c>
      <c r="Y341" s="3">
        <f t="shared" si="44"/>
        <v>276906.89999999985</v>
      </c>
      <c r="Z341" s="3">
        <f t="shared" si="48"/>
        <v>59664.499999999993</v>
      </c>
      <c r="AA341" s="3">
        <v>15.834743598463533</v>
      </c>
    </row>
    <row r="342" spans="1:27" s="3" customFormat="1" x14ac:dyDescent="0.25">
      <c r="A342" s="3">
        <v>5400</v>
      </c>
      <c r="B342" s="3">
        <v>24010</v>
      </c>
      <c r="C342" s="7">
        <v>42920</v>
      </c>
      <c r="G342" s="3">
        <v>21.5</v>
      </c>
      <c r="H342" s="3">
        <v>13.5</v>
      </c>
      <c r="I342" s="3">
        <v>28.1</v>
      </c>
      <c r="J342" s="3">
        <f t="shared" si="43"/>
        <v>3148.7999999999997</v>
      </c>
      <c r="K342" s="41">
        <f t="shared" si="49"/>
        <v>602.89999999999986</v>
      </c>
      <c r="L342" s="23"/>
      <c r="M342" s="3">
        <v>0</v>
      </c>
      <c r="N342" s="3">
        <v>5.4</v>
      </c>
      <c r="O342" s="3">
        <f t="shared" si="40"/>
        <v>-5.4</v>
      </c>
      <c r="P342" s="3">
        <f t="shared" si="45"/>
        <v>0.6999999999999984</v>
      </c>
      <c r="Q342" s="3">
        <v>307</v>
      </c>
      <c r="R342" s="3">
        <f t="shared" si="46"/>
        <v>0.41153846153846152</v>
      </c>
      <c r="S342" s="3">
        <f t="shared" si="41"/>
        <v>2.2223076923076923</v>
      </c>
      <c r="T342" s="28">
        <f t="shared" si="42"/>
        <v>-2.2223076923076923</v>
      </c>
      <c r="U342" s="28">
        <f t="shared" si="47"/>
        <v>31.35942679900749</v>
      </c>
      <c r="W342" s="3">
        <v>2720.8</v>
      </c>
      <c r="Y342" s="3">
        <f t="shared" si="44"/>
        <v>279627.69999999984</v>
      </c>
      <c r="Z342" s="3">
        <f t="shared" si="48"/>
        <v>62385.299999999996</v>
      </c>
      <c r="AA342" s="3">
        <v>15.817556920992599</v>
      </c>
    </row>
    <row r="343" spans="1:27" s="3" customFormat="1" x14ac:dyDescent="0.25">
      <c r="A343" s="3">
        <v>5400</v>
      </c>
      <c r="B343" s="3">
        <v>24010</v>
      </c>
      <c r="C343" s="7">
        <v>42921</v>
      </c>
      <c r="G343" s="3">
        <v>24.6</v>
      </c>
      <c r="H343" s="3">
        <v>16.600000000000001</v>
      </c>
      <c r="I343" s="3">
        <v>30</v>
      </c>
      <c r="J343" s="3">
        <f t="shared" si="43"/>
        <v>3173.3999999999996</v>
      </c>
      <c r="K343" s="41">
        <f t="shared" si="49"/>
        <v>627.49999999999989</v>
      </c>
      <c r="L343" s="23"/>
      <c r="M343" s="3">
        <v>0</v>
      </c>
      <c r="N343" s="3">
        <v>5.6</v>
      </c>
      <c r="O343" s="3">
        <f t="shared" si="40"/>
        <v>-5.6</v>
      </c>
      <c r="P343" s="3">
        <v>0</v>
      </c>
      <c r="Q343" s="3">
        <v>308</v>
      </c>
      <c r="R343" s="3">
        <f t="shared" si="46"/>
        <v>0.39615384615384619</v>
      </c>
      <c r="S343" s="3">
        <f t="shared" si="41"/>
        <v>2.2184615384615385</v>
      </c>
      <c r="T343" s="28">
        <f t="shared" si="42"/>
        <v>-2.2184615384615385</v>
      </c>
      <c r="U343" s="28">
        <f t="shared" si="47"/>
        <v>29.140965260545951</v>
      </c>
      <c r="W343" s="3">
        <v>2463.6</v>
      </c>
      <c r="Y343" s="3">
        <f t="shared" si="44"/>
        <v>282091.29999999981</v>
      </c>
      <c r="Z343" s="3">
        <f t="shared" si="48"/>
        <v>64848.899999999994</v>
      </c>
      <c r="AA343" s="3">
        <v>15.799038386231093</v>
      </c>
    </row>
    <row r="344" spans="1:27" s="3" customFormat="1" x14ac:dyDescent="0.25">
      <c r="A344" s="3">
        <v>5400</v>
      </c>
      <c r="B344" s="3">
        <v>24010</v>
      </c>
      <c r="C344" s="7">
        <v>42922</v>
      </c>
      <c r="G344" s="3">
        <v>27</v>
      </c>
      <c r="H344" s="3">
        <v>21.6</v>
      </c>
      <c r="I344" s="3">
        <v>32.299999999999997</v>
      </c>
      <c r="J344" s="3">
        <f t="shared" si="43"/>
        <v>3200.3999999999996</v>
      </c>
      <c r="K344" s="41">
        <f t="shared" si="49"/>
        <v>654.49999999999989</v>
      </c>
      <c r="L344" s="23"/>
      <c r="M344" s="3">
        <v>0</v>
      </c>
      <c r="N344" s="3">
        <v>4.9000000000000004</v>
      </c>
      <c r="O344" s="3">
        <f t="shared" si="40"/>
        <v>-4.9000000000000004</v>
      </c>
      <c r="P344" s="3">
        <v>0</v>
      </c>
      <c r="Q344" s="3">
        <v>309</v>
      </c>
      <c r="R344" s="3">
        <f t="shared" si="46"/>
        <v>0.38076923076923075</v>
      </c>
      <c r="S344" s="3">
        <f t="shared" si="41"/>
        <v>1.8657692307692308</v>
      </c>
      <c r="T344" s="28">
        <f t="shared" si="42"/>
        <v>-1.8657692307692308</v>
      </c>
      <c r="U344" s="28">
        <f t="shared" si="47"/>
        <v>27.275196029776719</v>
      </c>
      <c r="W344" s="3">
        <v>1816.9</v>
      </c>
      <c r="Y344" s="3">
        <f t="shared" si="44"/>
        <v>283908.19999999984</v>
      </c>
      <c r="Z344" s="3">
        <f t="shared" si="48"/>
        <v>66665.799999999988</v>
      </c>
      <c r="AA344" s="3">
        <v>15.779203994565437</v>
      </c>
    </row>
    <row r="345" spans="1:27" s="3" customFormat="1" x14ac:dyDescent="0.25">
      <c r="A345" s="3">
        <v>5400</v>
      </c>
      <c r="B345" s="3">
        <v>24010</v>
      </c>
      <c r="C345" s="7">
        <v>42923</v>
      </c>
      <c r="G345" s="3">
        <v>26.3</v>
      </c>
      <c r="H345" s="3">
        <v>21.5</v>
      </c>
      <c r="I345" s="3">
        <v>32.200000000000003</v>
      </c>
      <c r="J345" s="3">
        <f t="shared" si="43"/>
        <v>3226.7</v>
      </c>
      <c r="K345" s="41">
        <f t="shared" si="49"/>
        <v>680.79999999999984</v>
      </c>
      <c r="L345" s="23"/>
      <c r="M345" s="3">
        <v>0</v>
      </c>
      <c r="N345" s="3">
        <v>6.2</v>
      </c>
      <c r="O345" s="3">
        <f t="shared" si="40"/>
        <v>-6.2</v>
      </c>
      <c r="P345" s="3">
        <v>0</v>
      </c>
      <c r="Q345" s="3">
        <v>310</v>
      </c>
      <c r="R345" s="3">
        <f t="shared" si="46"/>
        <v>0.36538461538461542</v>
      </c>
      <c r="S345" s="3">
        <f t="shared" si="41"/>
        <v>2.2653846153846158</v>
      </c>
      <c r="T345" s="28">
        <f t="shared" si="42"/>
        <v>-2.2653846153846158</v>
      </c>
      <c r="U345" s="28">
        <f t="shared" si="47"/>
        <v>25.009811414392104</v>
      </c>
      <c r="W345" s="3">
        <v>2535.6</v>
      </c>
      <c r="Y345" s="3">
        <f t="shared" si="44"/>
        <v>286443.79999999981</v>
      </c>
      <c r="Z345" s="3">
        <f t="shared" si="48"/>
        <v>69201.399999999994</v>
      </c>
      <c r="AA345" s="3">
        <v>15.758070688484191</v>
      </c>
    </row>
    <row r="346" spans="1:27" s="3" customFormat="1" x14ac:dyDescent="0.25">
      <c r="A346" s="3">
        <v>5400</v>
      </c>
      <c r="B346" s="3">
        <v>24010</v>
      </c>
      <c r="C346" s="7">
        <v>42924</v>
      </c>
      <c r="G346" s="3">
        <v>23.9</v>
      </c>
      <c r="H346" s="3">
        <v>18.7</v>
      </c>
      <c r="I346" s="3">
        <v>29</v>
      </c>
      <c r="J346" s="3">
        <f t="shared" si="43"/>
        <v>3250.6</v>
      </c>
      <c r="K346" s="41">
        <f t="shared" si="49"/>
        <v>704.69999999999982</v>
      </c>
      <c r="L346" s="23"/>
      <c r="M346" s="3">
        <v>0</v>
      </c>
      <c r="N346" s="3">
        <v>5.7</v>
      </c>
      <c r="O346" s="3">
        <f t="shared" si="40"/>
        <v>-5.7</v>
      </c>
      <c r="P346" s="3">
        <v>0</v>
      </c>
      <c r="Q346" s="3">
        <v>311</v>
      </c>
      <c r="R346" s="3">
        <f t="shared" si="46"/>
        <v>0.35</v>
      </c>
      <c r="S346" s="3">
        <f t="shared" si="41"/>
        <v>1.9949999999999999</v>
      </c>
      <c r="T346" s="28">
        <f t="shared" si="42"/>
        <v>-1.9949999999999999</v>
      </c>
      <c r="U346" s="28">
        <f t="shared" si="47"/>
        <v>23.014811414392103</v>
      </c>
      <c r="W346" s="3">
        <v>2415.3000000000002</v>
      </c>
      <c r="Y346" s="3">
        <f t="shared" si="44"/>
        <v>288859.0999999998</v>
      </c>
      <c r="Z346" s="3">
        <f t="shared" si="48"/>
        <v>71616.7</v>
      </c>
      <c r="AA346" s="3">
        <v>15.735656300885532</v>
      </c>
    </row>
    <row r="347" spans="1:27" s="9" customFormat="1" x14ac:dyDescent="0.25">
      <c r="A347" s="47" t="s">
        <v>35</v>
      </c>
      <c r="B347" s="47"/>
      <c r="C347" s="47"/>
      <c r="D347" s="47"/>
      <c r="E347" s="47"/>
      <c r="F347" s="47"/>
      <c r="L347" s="26"/>
    </row>
    <row r="348" spans="1:27" s="3" customFormat="1" x14ac:dyDescent="0.25">
      <c r="A348" s="3">
        <v>5400</v>
      </c>
      <c r="B348" s="3">
        <v>24010</v>
      </c>
      <c r="C348" s="7">
        <v>42925</v>
      </c>
      <c r="G348" s="3">
        <v>21</v>
      </c>
      <c r="H348" s="3">
        <v>19.100000000000001</v>
      </c>
      <c r="I348" s="3">
        <v>26.4</v>
      </c>
      <c r="L348" s="23"/>
      <c r="M348" s="3">
        <v>12.6</v>
      </c>
      <c r="N348" s="3">
        <v>2.8</v>
      </c>
      <c r="W348" s="3">
        <v>1100.5999999999999</v>
      </c>
    </row>
    <row r="349" spans="1:27" s="3" customFormat="1" x14ac:dyDescent="0.25">
      <c r="A349" s="3">
        <v>5400</v>
      </c>
      <c r="B349" s="3">
        <v>24010</v>
      </c>
      <c r="C349" s="7">
        <v>42926</v>
      </c>
      <c r="G349" s="3">
        <v>18.2</v>
      </c>
      <c r="H349" s="3">
        <v>16</v>
      </c>
      <c r="I349" s="3">
        <v>21.2</v>
      </c>
      <c r="L349" s="23"/>
      <c r="M349" s="3">
        <v>1.3</v>
      </c>
      <c r="N349" s="3">
        <v>1.9</v>
      </c>
      <c r="W349" s="3">
        <v>883.6</v>
      </c>
    </row>
    <row r="350" spans="1:27" s="3" customFormat="1" x14ac:dyDescent="0.25">
      <c r="A350" s="3">
        <v>5400</v>
      </c>
      <c r="B350" s="3">
        <v>24010</v>
      </c>
      <c r="C350" s="7">
        <v>42927</v>
      </c>
      <c r="G350" s="3">
        <v>19.100000000000001</v>
      </c>
      <c r="H350" s="3">
        <v>14</v>
      </c>
      <c r="I350" s="3">
        <v>22.7</v>
      </c>
      <c r="L350" s="23"/>
      <c r="M350" s="3">
        <v>0.4</v>
      </c>
      <c r="N350" s="3">
        <v>2.9</v>
      </c>
      <c r="W350" s="3">
        <v>1233.5999999999999</v>
      </c>
    </row>
    <row r="351" spans="1:27" s="3" customFormat="1" x14ac:dyDescent="0.25">
      <c r="A351" s="3">
        <v>5400</v>
      </c>
      <c r="B351" s="3">
        <v>24010</v>
      </c>
      <c r="C351" s="7">
        <v>42928</v>
      </c>
      <c r="G351" s="3">
        <v>18.899999999999999</v>
      </c>
      <c r="H351" s="3">
        <v>17.5</v>
      </c>
      <c r="I351" s="3">
        <v>21.5</v>
      </c>
      <c r="L351" s="23"/>
      <c r="M351" s="3">
        <v>2.6</v>
      </c>
      <c r="N351" s="3">
        <v>1.7</v>
      </c>
      <c r="W351" s="3">
        <v>601</v>
      </c>
    </row>
    <row r="352" spans="1:27" s="3" customFormat="1" x14ac:dyDescent="0.25">
      <c r="A352" s="3">
        <v>5400</v>
      </c>
      <c r="B352" s="3">
        <v>24010</v>
      </c>
      <c r="C352" s="7">
        <v>42929</v>
      </c>
      <c r="G352" s="3">
        <v>19.2</v>
      </c>
      <c r="H352" s="3">
        <v>15.3</v>
      </c>
      <c r="I352" s="3">
        <v>22.9</v>
      </c>
      <c r="L352" s="23"/>
      <c r="M352" s="3">
        <v>1</v>
      </c>
      <c r="N352" s="3">
        <v>3.8</v>
      </c>
      <c r="W352" s="3">
        <v>2002.7</v>
      </c>
    </row>
    <row r="353" spans="1:23" s="3" customFormat="1" x14ac:dyDescent="0.25">
      <c r="A353" s="3">
        <v>5400</v>
      </c>
      <c r="B353" s="3">
        <v>24010</v>
      </c>
      <c r="C353" s="7">
        <v>42930</v>
      </c>
      <c r="G353" s="3">
        <v>17.899999999999999</v>
      </c>
      <c r="H353" s="3">
        <v>15.3</v>
      </c>
      <c r="I353" s="3">
        <v>21.5</v>
      </c>
      <c r="L353" s="23"/>
      <c r="M353" s="3">
        <v>0</v>
      </c>
      <c r="N353" s="3">
        <v>3.9</v>
      </c>
      <c r="W353" s="3">
        <v>1800.2</v>
      </c>
    </row>
    <row r="354" spans="1:23" s="3" customFormat="1" x14ac:dyDescent="0.25">
      <c r="A354" s="3">
        <v>5400</v>
      </c>
      <c r="B354" s="3">
        <v>24010</v>
      </c>
      <c r="C354" s="7">
        <v>42931</v>
      </c>
      <c r="G354" s="3">
        <v>19.2</v>
      </c>
      <c r="H354" s="3">
        <v>12</v>
      </c>
      <c r="I354" s="3">
        <v>24.8</v>
      </c>
      <c r="L354" s="23"/>
      <c r="M354" s="3">
        <v>0</v>
      </c>
      <c r="N354" s="3">
        <v>4.3</v>
      </c>
      <c r="W354" s="3">
        <v>2221.5</v>
      </c>
    </row>
    <row r="355" spans="1:23" s="3" customFormat="1" x14ac:dyDescent="0.25">
      <c r="A355" s="3">
        <v>5400</v>
      </c>
      <c r="B355" s="3">
        <v>24010</v>
      </c>
      <c r="C355" s="7">
        <v>42932</v>
      </c>
      <c r="G355" s="3">
        <v>21.5</v>
      </c>
      <c r="H355" s="3">
        <v>14.6</v>
      </c>
      <c r="I355" s="3">
        <v>27.6</v>
      </c>
      <c r="L355" s="23"/>
      <c r="M355" s="3">
        <v>0</v>
      </c>
      <c r="N355" s="3">
        <v>4.7</v>
      </c>
      <c r="W355" s="3">
        <v>2370.6</v>
      </c>
    </row>
    <row r="356" spans="1:23" s="3" customFormat="1" x14ac:dyDescent="0.25">
      <c r="A356" s="3">
        <v>5400</v>
      </c>
      <c r="B356" s="3">
        <v>24010</v>
      </c>
      <c r="C356" s="7">
        <v>42933</v>
      </c>
      <c r="G356" s="3">
        <v>23.6</v>
      </c>
      <c r="H356" s="3">
        <v>17.3</v>
      </c>
      <c r="I356" s="3">
        <v>28.9</v>
      </c>
      <c r="L356" s="23"/>
      <c r="M356" s="3">
        <v>0</v>
      </c>
      <c r="N356" s="3">
        <v>3.9</v>
      </c>
      <c r="W356" s="3">
        <v>1782.6</v>
      </c>
    </row>
    <row r="357" spans="1:23" s="3" customFormat="1" x14ac:dyDescent="0.25">
      <c r="A357" s="3">
        <v>5400</v>
      </c>
      <c r="B357" s="3">
        <v>24010</v>
      </c>
      <c r="C357" s="7">
        <v>42934</v>
      </c>
      <c r="G357" s="3">
        <v>26.8</v>
      </c>
      <c r="H357" s="3">
        <v>20.5</v>
      </c>
      <c r="I357" s="3">
        <v>32.6</v>
      </c>
      <c r="L357" s="23"/>
      <c r="M357" s="3">
        <v>0.1</v>
      </c>
      <c r="N357" s="3">
        <v>6.5</v>
      </c>
      <c r="W357" s="3">
        <v>2498.6</v>
      </c>
    </row>
    <row r="358" spans="1:23" s="3" customFormat="1" x14ac:dyDescent="0.25">
      <c r="A358" s="3">
        <v>5400</v>
      </c>
      <c r="B358" s="3">
        <v>24010</v>
      </c>
      <c r="C358" s="7">
        <v>42935</v>
      </c>
      <c r="G358" s="3">
        <v>23.6</v>
      </c>
      <c r="H358" s="3">
        <v>22.9</v>
      </c>
      <c r="I358" s="3">
        <v>26</v>
      </c>
      <c r="L358" s="23"/>
      <c r="M358" s="3">
        <v>0.2</v>
      </c>
      <c r="N358" s="3">
        <v>4.5999999999999996</v>
      </c>
      <c r="W358" s="3">
        <v>1775.7</v>
      </c>
    </row>
    <row r="359" spans="1:23" s="3" customFormat="1" x14ac:dyDescent="0.25">
      <c r="A359" s="3">
        <v>5400</v>
      </c>
      <c r="B359" s="3">
        <v>24010</v>
      </c>
      <c r="C359" s="7">
        <v>42936</v>
      </c>
      <c r="G359" s="3">
        <v>18.899999999999999</v>
      </c>
      <c r="H359" s="3">
        <v>18.5</v>
      </c>
      <c r="I359" s="3">
        <v>21.8</v>
      </c>
      <c r="L359" s="23"/>
      <c r="M359" s="3">
        <v>0</v>
      </c>
      <c r="N359" s="3">
        <v>3.7</v>
      </c>
      <c r="W359" s="3">
        <v>1447.5</v>
      </c>
    </row>
    <row r="360" spans="1:23" s="3" customFormat="1" x14ac:dyDescent="0.25">
      <c r="A360" s="3">
        <v>5400</v>
      </c>
      <c r="B360" s="3">
        <v>24010</v>
      </c>
      <c r="C360" s="7">
        <v>42937</v>
      </c>
      <c r="G360" s="3">
        <v>18.3</v>
      </c>
      <c r="H360" s="3">
        <v>11.6</v>
      </c>
      <c r="I360" s="3">
        <v>23</v>
      </c>
      <c r="L360" s="23"/>
      <c r="M360" s="3">
        <v>1.1000000000000001</v>
      </c>
      <c r="N360" s="3">
        <v>4.9000000000000004</v>
      </c>
      <c r="W360" s="3">
        <v>2582.8000000000002</v>
      </c>
    </row>
    <row r="361" spans="1:23" s="3" customFormat="1" x14ac:dyDescent="0.25">
      <c r="A361" s="3">
        <v>5400</v>
      </c>
      <c r="B361" s="3">
        <v>24010</v>
      </c>
      <c r="C361" s="7">
        <v>42938</v>
      </c>
      <c r="G361" s="3">
        <v>17.399999999999999</v>
      </c>
      <c r="H361" s="3">
        <v>15.4</v>
      </c>
      <c r="I361" s="3">
        <v>20.3</v>
      </c>
      <c r="L361" s="23"/>
      <c r="M361" s="3">
        <v>0.1</v>
      </c>
      <c r="N361" s="3">
        <v>2.2000000000000002</v>
      </c>
      <c r="W361" s="3">
        <v>816.7</v>
      </c>
    </row>
    <row r="362" spans="1:23" s="3" customFormat="1" x14ac:dyDescent="0.25">
      <c r="A362" s="3">
        <v>5400</v>
      </c>
      <c r="B362" s="3">
        <v>24010</v>
      </c>
      <c r="C362" s="7">
        <v>42939</v>
      </c>
      <c r="G362" s="3">
        <v>15.9</v>
      </c>
      <c r="H362" s="3">
        <v>13.5</v>
      </c>
      <c r="I362" s="3">
        <v>20.2</v>
      </c>
      <c r="L362" s="23"/>
      <c r="M362" s="3">
        <v>9.9</v>
      </c>
      <c r="N362" s="3">
        <v>2.2000000000000002</v>
      </c>
      <c r="W362" s="3">
        <v>840.2</v>
      </c>
    </row>
    <row r="363" spans="1:23" s="3" customFormat="1" x14ac:dyDescent="0.25">
      <c r="A363" s="3">
        <v>5400</v>
      </c>
      <c r="B363" s="3">
        <v>24010</v>
      </c>
      <c r="C363" s="7">
        <v>42940</v>
      </c>
      <c r="G363" s="3">
        <v>15.9</v>
      </c>
      <c r="H363" s="3">
        <v>13.6</v>
      </c>
      <c r="I363" s="3">
        <v>17.8</v>
      </c>
      <c r="L363" s="23"/>
      <c r="M363" s="3">
        <v>0.5</v>
      </c>
      <c r="N363" s="3">
        <v>1.2</v>
      </c>
      <c r="W363" s="3">
        <v>624.9</v>
      </c>
    </row>
    <row r="364" spans="1:23" s="3" customFormat="1" x14ac:dyDescent="0.25">
      <c r="A364" s="3">
        <v>5400</v>
      </c>
      <c r="B364" s="3">
        <v>24010</v>
      </c>
      <c r="C364" s="7">
        <v>42941</v>
      </c>
      <c r="G364" s="3">
        <v>17.2</v>
      </c>
      <c r="H364" s="3">
        <v>14.5</v>
      </c>
      <c r="I364" s="3">
        <v>21.5</v>
      </c>
      <c r="L364" s="23"/>
      <c r="M364" s="3">
        <v>0</v>
      </c>
      <c r="N364" s="3">
        <v>3.1</v>
      </c>
      <c r="W364" s="3">
        <v>1532.4</v>
      </c>
    </row>
    <row r="365" spans="1:23" s="3" customFormat="1" x14ac:dyDescent="0.25">
      <c r="A365" s="3">
        <v>5400</v>
      </c>
      <c r="B365" s="3">
        <v>24010</v>
      </c>
      <c r="C365" s="7">
        <v>42942</v>
      </c>
      <c r="G365" s="3">
        <v>17</v>
      </c>
      <c r="H365" s="3">
        <v>11.8</v>
      </c>
      <c r="I365" s="3">
        <v>19.5</v>
      </c>
      <c r="L365" s="23"/>
      <c r="M365" s="3">
        <v>1.9</v>
      </c>
      <c r="N365" s="3">
        <v>1.1000000000000001</v>
      </c>
      <c r="W365" s="3">
        <v>697.2</v>
      </c>
    </row>
    <row r="366" spans="1:23" s="3" customFormat="1" x14ac:dyDescent="0.25">
      <c r="A366" s="3">
        <v>5400</v>
      </c>
      <c r="B366" s="3">
        <v>24010</v>
      </c>
      <c r="C366" s="7">
        <v>42943</v>
      </c>
      <c r="G366" s="3">
        <v>18.899999999999999</v>
      </c>
      <c r="H366" s="3">
        <v>17</v>
      </c>
      <c r="I366" s="3">
        <v>21.1</v>
      </c>
      <c r="L366" s="23"/>
      <c r="M366" s="3">
        <v>0.8</v>
      </c>
      <c r="N366" s="3">
        <v>1.5</v>
      </c>
      <c r="W366" s="3">
        <v>633.6</v>
      </c>
    </row>
    <row r="367" spans="1:23" s="3" customFormat="1" x14ac:dyDescent="0.25">
      <c r="A367" s="3">
        <v>5400</v>
      </c>
      <c r="B367" s="3">
        <v>24010</v>
      </c>
      <c r="C367" s="7">
        <v>42944</v>
      </c>
      <c r="G367" s="3">
        <v>18.7</v>
      </c>
      <c r="H367" s="3">
        <v>14.8</v>
      </c>
      <c r="I367" s="3">
        <v>21.6</v>
      </c>
      <c r="L367" s="23"/>
      <c r="M367" s="3">
        <v>0</v>
      </c>
      <c r="N367" s="3">
        <v>3.6</v>
      </c>
      <c r="W367" s="3">
        <v>1586.3</v>
      </c>
    </row>
    <row r="368" spans="1:23" s="3" customFormat="1" x14ac:dyDescent="0.25">
      <c r="A368" s="3">
        <v>5400</v>
      </c>
      <c r="B368" s="3">
        <v>24010</v>
      </c>
      <c r="C368" s="7">
        <v>42945</v>
      </c>
      <c r="G368" s="3">
        <v>21.4</v>
      </c>
      <c r="H368" s="3">
        <v>16.3</v>
      </c>
      <c r="I368" s="3">
        <v>25.4</v>
      </c>
      <c r="L368" s="23"/>
      <c r="M368" s="3">
        <v>0</v>
      </c>
      <c r="N368" s="3">
        <v>4.4000000000000004</v>
      </c>
      <c r="W368" s="3">
        <v>2049.8000000000002</v>
      </c>
    </row>
    <row r="369" spans="1:23" s="3" customFormat="1" x14ac:dyDescent="0.25">
      <c r="A369" s="3">
        <v>5400</v>
      </c>
      <c r="B369" s="3">
        <v>24010</v>
      </c>
      <c r="C369" s="7">
        <v>42946</v>
      </c>
      <c r="G369" s="3">
        <v>20.5</v>
      </c>
      <c r="H369" s="3">
        <v>18.8</v>
      </c>
      <c r="I369" s="3">
        <v>23</v>
      </c>
      <c r="L369" s="23"/>
      <c r="M369" s="3">
        <v>0</v>
      </c>
      <c r="N369" s="3">
        <v>4.4000000000000004</v>
      </c>
      <c r="W369" s="3">
        <v>1627.5</v>
      </c>
    </row>
    <row r="370" spans="1:23" s="3" customFormat="1" x14ac:dyDescent="0.25">
      <c r="A370" s="3">
        <v>5400</v>
      </c>
      <c r="B370" s="3">
        <v>24010</v>
      </c>
      <c r="C370" s="7">
        <v>42947</v>
      </c>
      <c r="G370" s="3">
        <v>18.600000000000001</v>
      </c>
      <c r="H370" s="3">
        <v>14.5</v>
      </c>
      <c r="I370" s="3">
        <v>22.2</v>
      </c>
      <c r="L370" s="23"/>
      <c r="M370" s="3">
        <v>2.2000000000000002</v>
      </c>
      <c r="N370" s="3">
        <v>2.6</v>
      </c>
      <c r="W370" s="3">
        <v>1507.8</v>
      </c>
    </row>
    <row r="371" spans="1:23" s="3" customFormat="1" x14ac:dyDescent="0.25">
      <c r="A371" s="3">
        <v>5400</v>
      </c>
      <c r="B371" s="3">
        <v>24010</v>
      </c>
      <c r="C371" s="7">
        <v>42948</v>
      </c>
      <c r="G371" s="3">
        <v>19.3</v>
      </c>
      <c r="H371" s="3">
        <v>14.5</v>
      </c>
      <c r="I371" s="3">
        <v>25.2</v>
      </c>
      <c r="L371" s="23"/>
      <c r="M371" s="3">
        <v>0</v>
      </c>
      <c r="N371" s="3">
        <v>3.8</v>
      </c>
      <c r="W371" s="3">
        <v>1823.8</v>
      </c>
    </row>
    <row r="372" spans="1:23" s="3" customFormat="1" x14ac:dyDescent="0.25">
      <c r="A372" s="3">
        <v>5400</v>
      </c>
      <c r="B372" s="3">
        <v>24010</v>
      </c>
      <c r="C372" s="7">
        <v>42949</v>
      </c>
      <c r="G372" s="3">
        <v>21.5</v>
      </c>
      <c r="H372" s="3">
        <v>14.3</v>
      </c>
      <c r="I372" s="3">
        <v>27.2</v>
      </c>
      <c r="L372" s="23"/>
      <c r="M372" s="3">
        <v>0.1</v>
      </c>
      <c r="N372" s="3">
        <v>2.8</v>
      </c>
      <c r="W372" s="3">
        <v>1111.4000000000001</v>
      </c>
    </row>
    <row r="373" spans="1:23" s="3" customFormat="1" x14ac:dyDescent="0.25">
      <c r="A373" s="3">
        <v>5400</v>
      </c>
      <c r="B373" s="3">
        <v>24010</v>
      </c>
      <c r="C373" s="7">
        <v>42950</v>
      </c>
      <c r="G373" s="3">
        <v>21.7</v>
      </c>
      <c r="H373" s="3">
        <v>18.899999999999999</v>
      </c>
      <c r="I373" s="3">
        <v>24.9</v>
      </c>
      <c r="L373" s="23"/>
      <c r="M373" s="3">
        <v>0.1</v>
      </c>
      <c r="N373" s="3">
        <v>3.9</v>
      </c>
      <c r="W373" s="3">
        <v>1101.5</v>
      </c>
    </row>
    <row r="374" spans="1:23" s="3" customFormat="1" x14ac:dyDescent="0.25">
      <c r="A374" s="3">
        <v>5400</v>
      </c>
      <c r="B374" s="3">
        <v>24010</v>
      </c>
      <c r="C374" s="7">
        <v>42951</v>
      </c>
      <c r="G374" s="3">
        <v>20.6</v>
      </c>
      <c r="H374" s="3">
        <v>17</v>
      </c>
      <c r="I374" s="3">
        <v>24.1</v>
      </c>
      <c r="L374" s="23"/>
      <c r="M374" s="3">
        <v>0.1</v>
      </c>
      <c r="N374" s="3">
        <v>2.5</v>
      </c>
      <c r="W374" s="3">
        <v>859.1</v>
      </c>
    </row>
    <row r="375" spans="1:23" s="3" customFormat="1" x14ac:dyDescent="0.25">
      <c r="A375" s="3">
        <v>5400</v>
      </c>
      <c r="B375" s="3">
        <v>24010</v>
      </c>
      <c r="C375" s="7">
        <v>42952</v>
      </c>
      <c r="G375" s="3">
        <v>18.7</v>
      </c>
      <c r="H375" s="3">
        <v>15.6</v>
      </c>
      <c r="I375" s="3">
        <v>22.3</v>
      </c>
      <c r="L375" s="23"/>
      <c r="M375" s="3">
        <v>0.1</v>
      </c>
      <c r="N375" s="3">
        <v>2.9</v>
      </c>
      <c r="W375" s="3">
        <v>1297.3</v>
      </c>
    </row>
    <row r="376" spans="1:23" s="3" customFormat="1" x14ac:dyDescent="0.25">
      <c r="A376" s="3">
        <v>5400</v>
      </c>
      <c r="B376" s="3">
        <v>24010</v>
      </c>
      <c r="C376" s="7">
        <v>42953</v>
      </c>
      <c r="G376" s="3">
        <v>17.2</v>
      </c>
      <c r="H376" s="3">
        <v>11.4</v>
      </c>
      <c r="I376" s="3">
        <v>23.2</v>
      </c>
      <c r="L376" s="23"/>
      <c r="M376" s="3">
        <v>0</v>
      </c>
      <c r="N376" s="3">
        <v>4.3</v>
      </c>
      <c r="W376" s="3">
        <v>2275.1</v>
      </c>
    </row>
    <row r="377" spans="1:23" s="3" customFormat="1" x14ac:dyDescent="0.25">
      <c r="A377" s="3">
        <v>5400</v>
      </c>
      <c r="B377" s="3">
        <v>24010</v>
      </c>
      <c r="C377" s="7">
        <v>42954</v>
      </c>
      <c r="G377" s="3">
        <v>19.399999999999999</v>
      </c>
      <c r="H377" s="3">
        <v>12.6</v>
      </c>
      <c r="I377" s="3">
        <v>25.2</v>
      </c>
      <c r="L377" s="23"/>
      <c r="M377" s="3">
        <v>0.5</v>
      </c>
      <c r="N377" s="3">
        <v>4.5</v>
      </c>
      <c r="W377" s="3">
        <v>2166.9</v>
      </c>
    </row>
    <row r="378" spans="1:23" s="3" customFormat="1" x14ac:dyDescent="0.25">
      <c r="A378" s="3">
        <v>5400</v>
      </c>
      <c r="B378" s="3">
        <v>24010</v>
      </c>
      <c r="C378" s="7">
        <v>42955</v>
      </c>
      <c r="G378" s="3">
        <v>16</v>
      </c>
      <c r="H378" s="3">
        <v>14.2</v>
      </c>
      <c r="I378" s="3">
        <v>17.600000000000001</v>
      </c>
      <c r="L378" s="23"/>
      <c r="M378" s="3">
        <v>2.5</v>
      </c>
      <c r="N378" s="3">
        <v>0.9</v>
      </c>
      <c r="W378" s="3">
        <v>358.1</v>
      </c>
    </row>
    <row r="379" spans="1:23" s="3" customFormat="1" x14ac:dyDescent="0.25">
      <c r="A379" s="3">
        <v>5400</v>
      </c>
      <c r="B379" s="3">
        <v>24010</v>
      </c>
      <c r="C379" s="7">
        <v>42956</v>
      </c>
      <c r="G379" s="3">
        <v>13.1</v>
      </c>
      <c r="H379" s="3">
        <v>11.1</v>
      </c>
      <c r="I379" s="3">
        <v>14.6</v>
      </c>
      <c r="L379" s="23"/>
      <c r="M379" s="3">
        <v>13.2</v>
      </c>
      <c r="N379" s="3">
        <v>0.9</v>
      </c>
      <c r="W379" s="3">
        <v>594.20000000000005</v>
      </c>
    </row>
    <row r="380" spans="1:23" s="3" customFormat="1" x14ac:dyDescent="0.25">
      <c r="A380" s="3">
        <v>5400</v>
      </c>
      <c r="B380" s="3">
        <v>24010</v>
      </c>
      <c r="C380" s="7">
        <v>42957</v>
      </c>
      <c r="G380" s="3">
        <v>14.8</v>
      </c>
      <c r="H380" s="3">
        <v>12.2</v>
      </c>
      <c r="I380" s="3">
        <v>18</v>
      </c>
      <c r="L380" s="23"/>
      <c r="M380" s="3">
        <v>5.2</v>
      </c>
      <c r="N380" s="3">
        <v>1.3</v>
      </c>
      <c r="W380" s="3">
        <v>862.3</v>
      </c>
    </row>
    <row r="381" spans="1:23" s="3" customFormat="1" x14ac:dyDescent="0.25">
      <c r="A381" s="3">
        <v>5400</v>
      </c>
      <c r="B381" s="3">
        <v>24010</v>
      </c>
      <c r="C381" s="7">
        <v>42958</v>
      </c>
      <c r="G381" s="3">
        <v>16.100000000000001</v>
      </c>
      <c r="H381" s="3">
        <v>13.1</v>
      </c>
      <c r="I381" s="3">
        <v>19.8</v>
      </c>
      <c r="L381" s="23"/>
      <c r="M381" s="3">
        <v>0</v>
      </c>
      <c r="N381" s="3">
        <v>2.5</v>
      </c>
      <c r="W381" s="3">
        <v>1373.6</v>
      </c>
    </row>
    <row r="382" spans="1:23" s="3" customFormat="1" x14ac:dyDescent="0.25">
      <c r="A382" s="3">
        <v>5400</v>
      </c>
      <c r="B382" s="3">
        <v>24010</v>
      </c>
      <c r="C382" s="7">
        <v>42959</v>
      </c>
      <c r="G382" s="3">
        <v>16.3</v>
      </c>
      <c r="H382" s="3">
        <v>13.2</v>
      </c>
      <c r="I382" s="3">
        <v>18.5</v>
      </c>
      <c r="L382" s="23"/>
      <c r="M382" s="3">
        <v>1.9</v>
      </c>
      <c r="N382" s="3">
        <v>1.1000000000000001</v>
      </c>
      <c r="W382" s="3">
        <v>541.9</v>
      </c>
    </row>
    <row r="383" spans="1:23" s="3" customFormat="1" x14ac:dyDescent="0.25">
      <c r="A383" s="3">
        <v>5400</v>
      </c>
      <c r="B383" s="3">
        <v>24010</v>
      </c>
      <c r="C383" s="7">
        <v>42960</v>
      </c>
      <c r="G383" s="3">
        <v>16.3</v>
      </c>
      <c r="H383" s="3">
        <v>12.1</v>
      </c>
      <c r="I383" s="3">
        <v>20.3</v>
      </c>
      <c r="L383" s="23"/>
      <c r="M383" s="3">
        <v>0</v>
      </c>
      <c r="N383" s="3">
        <v>2.7</v>
      </c>
      <c r="W383" s="3">
        <v>1462</v>
      </c>
    </row>
    <row r="384" spans="1:23" s="3" customFormat="1" x14ac:dyDescent="0.25">
      <c r="A384" s="3">
        <v>5400</v>
      </c>
      <c r="B384" s="3">
        <v>24010</v>
      </c>
      <c r="C384" s="7">
        <v>42961</v>
      </c>
      <c r="G384" s="3">
        <v>19.399999999999999</v>
      </c>
      <c r="H384" s="3">
        <v>11.1</v>
      </c>
      <c r="I384" s="3">
        <v>26</v>
      </c>
      <c r="L384" s="23"/>
      <c r="M384" s="3">
        <v>0</v>
      </c>
      <c r="N384" s="3">
        <v>2.5</v>
      </c>
      <c r="W384" s="3">
        <v>1247.3</v>
      </c>
    </row>
    <row r="385" spans="1:23" s="3" customFormat="1" x14ac:dyDescent="0.25">
      <c r="A385" s="3">
        <v>5400</v>
      </c>
      <c r="B385" s="3">
        <v>24010</v>
      </c>
      <c r="C385" s="7">
        <v>42962</v>
      </c>
      <c r="G385" s="3">
        <v>21.6</v>
      </c>
      <c r="H385" s="3">
        <v>18.7</v>
      </c>
      <c r="I385" s="3">
        <v>25.6</v>
      </c>
      <c r="L385" s="23"/>
      <c r="M385" s="3">
        <v>5.4</v>
      </c>
      <c r="N385" s="3">
        <v>2.5</v>
      </c>
      <c r="W385" s="3">
        <v>1263.5</v>
      </c>
    </row>
    <row r="386" spans="1:23" s="3" customFormat="1" x14ac:dyDescent="0.25">
      <c r="A386" s="3">
        <v>5400</v>
      </c>
      <c r="B386" s="3">
        <v>24010</v>
      </c>
      <c r="C386" s="7">
        <v>42963</v>
      </c>
      <c r="G386" s="3">
        <v>19.2</v>
      </c>
      <c r="H386" s="3">
        <v>14.2</v>
      </c>
      <c r="I386" s="3">
        <v>23.7</v>
      </c>
      <c r="L386" s="23"/>
      <c r="M386" s="3">
        <v>0.3</v>
      </c>
      <c r="N386" s="3">
        <v>3</v>
      </c>
      <c r="W386" s="3">
        <v>1633.3</v>
      </c>
    </row>
    <row r="387" spans="1:23" s="3" customFormat="1" x14ac:dyDescent="0.25">
      <c r="A387" s="3">
        <v>5400</v>
      </c>
      <c r="B387" s="3">
        <v>24010</v>
      </c>
      <c r="C387" s="7">
        <v>42964</v>
      </c>
      <c r="G387" s="3">
        <v>19.5</v>
      </c>
      <c r="H387" s="3">
        <v>16</v>
      </c>
      <c r="I387" s="3">
        <v>22.6</v>
      </c>
      <c r="L387" s="23"/>
      <c r="M387" s="3">
        <v>18.100000000000001</v>
      </c>
      <c r="N387" s="3">
        <v>1.2</v>
      </c>
      <c r="W387" s="3">
        <v>504.6</v>
      </c>
    </row>
    <row r="388" spans="1:23" s="3" customFormat="1" x14ac:dyDescent="0.25">
      <c r="A388" s="3">
        <v>5400</v>
      </c>
      <c r="B388" s="3">
        <v>24010</v>
      </c>
      <c r="C388" s="7">
        <v>42965</v>
      </c>
      <c r="G388" s="3">
        <v>17.600000000000001</v>
      </c>
      <c r="H388" s="3">
        <v>17.399999999999999</v>
      </c>
      <c r="I388" s="3">
        <v>19.3</v>
      </c>
      <c r="L388" s="23"/>
      <c r="M388" s="3">
        <v>11.1</v>
      </c>
      <c r="N388" s="3">
        <v>1.3</v>
      </c>
      <c r="W388" s="3">
        <v>576.1</v>
      </c>
    </row>
    <row r="389" spans="1:23" s="3" customFormat="1" x14ac:dyDescent="0.25">
      <c r="A389" s="3">
        <v>5400</v>
      </c>
      <c r="B389" s="3">
        <v>24010</v>
      </c>
      <c r="C389" s="7">
        <v>42966</v>
      </c>
      <c r="G389" s="3">
        <v>15.4</v>
      </c>
      <c r="H389" s="3">
        <v>11.4</v>
      </c>
      <c r="I389" s="3">
        <v>19.5</v>
      </c>
      <c r="L389" s="23"/>
      <c r="M389" s="3">
        <v>0</v>
      </c>
      <c r="N389" s="3">
        <v>2.6</v>
      </c>
      <c r="W389" s="3">
        <v>1590.1</v>
      </c>
    </row>
    <row r="390" spans="1:23" s="3" customFormat="1" x14ac:dyDescent="0.25">
      <c r="A390" s="3">
        <v>5400</v>
      </c>
      <c r="B390" s="3">
        <v>24010</v>
      </c>
      <c r="C390" s="7">
        <v>42967</v>
      </c>
      <c r="G390" s="3">
        <v>16.100000000000001</v>
      </c>
      <c r="H390" s="3">
        <v>9.6999999999999993</v>
      </c>
      <c r="I390" s="3">
        <v>20.100000000000001</v>
      </c>
      <c r="L390" s="23"/>
      <c r="M390" s="3">
        <v>0</v>
      </c>
      <c r="N390" s="3">
        <v>2</v>
      </c>
      <c r="W390" s="3">
        <v>1059.0999999999999</v>
      </c>
    </row>
    <row r="391" spans="1:23" s="3" customFormat="1" x14ac:dyDescent="0.25">
      <c r="A391" s="3">
        <v>5400</v>
      </c>
      <c r="B391" s="3">
        <v>24010</v>
      </c>
      <c r="C391" s="7">
        <v>42968</v>
      </c>
      <c r="G391" s="3">
        <v>20.5</v>
      </c>
      <c r="H391" s="3">
        <v>16.7</v>
      </c>
      <c r="I391" s="3">
        <v>24.1</v>
      </c>
      <c r="L391" s="23"/>
      <c r="M391" s="3">
        <v>0</v>
      </c>
      <c r="N391" s="3">
        <v>1.8</v>
      </c>
      <c r="W391" s="3">
        <v>830</v>
      </c>
    </row>
    <row r="392" spans="1:23" s="3" customFormat="1" x14ac:dyDescent="0.25">
      <c r="A392" s="3">
        <v>5400</v>
      </c>
      <c r="B392" s="3">
        <v>24010</v>
      </c>
      <c r="C392" s="7">
        <v>42969</v>
      </c>
      <c r="G392" s="3">
        <v>21.9</v>
      </c>
      <c r="H392" s="3">
        <v>16.2</v>
      </c>
      <c r="I392" s="3">
        <v>26.8</v>
      </c>
      <c r="L392" s="23"/>
      <c r="M392" s="3">
        <v>0.2</v>
      </c>
      <c r="N392" s="3">
        <v>3.9</v>
      </c>
      <c r="W392" s="3">
        <v>1838.9</v>
      </c>
    </row>
    <row r="393" spans="1:23" s="3" customFormat="1" x14ac:dyDescent="0.25">
      <c r="A393" s="3">
        <v>5400</v>
      </c>
      <c r="B393" s="3">
        <v>24010</v>
      </c>
      <c r="C393" s="7">
        <v>42970</v>
      </c>
      <c r="G393" s="3">
        <v>20.100000000000001</v>
      </c>
      <c r="H393" s="3">
        <v>16.5</v>
      </c>
      <c r="I393" s="3">
        <v>24.4</v>
      </c>
      <c r="L393" s="23"/>
      <c r="M393" s="3">
        <v>0.1</v>
      </c>
      <c r="N393" s="3">
        <v>2.2000000000000002</v>
      </c>
      <c r="W393" s="3">
        <v>1048.0999999999999</v>
      </c>
    </row>
    <row r="394" spans="1:23" s="3" customFormat="1" x14ac:dyDescent="0.25">
      <c r="A394" s="3">
        <v>5400</v>
      </c>
      <c r="B394" s="3">
        <v>24010</v>
      </c>
      <c r="C394" s="7">
        <v>42971</v>
      </c>
      <c r="G394" s="3">
        <v>19.100000000000001</v>
      </c>
      <c r="H394" s="3">
        <v>13.7</v>
      </c>
      <c r="I394" s="3">
        <v>22.9</v>
      </c>
      <c r="L394" s="23"/>
      <c r="M394" s="3">
        <v>0.7</v>
      </c>
      <c r="N394" s="3">
        <v>1.6</v>
      </c>
      <c r="W394" s="3">
        <v>825.2</v>
      </c>
    </row>
    <row r="395" spans="1:23" s="3" customFormat="1" x14ac:dyDescent="0.25">
      <c r="A395" s="3">
        <v>5400</v>
      </c>
      <c r="B395" s="3">
        <v>24010</v>
      </c>
      <c r="C395" s="7">
        <v>42972</v>
      </c>
      <c r="G395" s="3">
        <v>19.100000000000001</v>
      </c>
      <c r="H395" s="3">
        <v>16.5</v>
      </c>
      <c r="I395" s="3">
        <v>22.7</v>
      </c>
      <c r="L395" s="23"/>
      <c r="M395" s="3">
        <v>7</v>
      </c>
      <c r="N395" s="3">
        <v>1.6</v>
      </c>
      <c r="W395" s="3">
        <v>821.2</v>
      </c>
    </row>
    <row r="396" spans="1:23" s="3" customFormat="1" x14ac:dyDescent="0.25">
      <c r="A396" s="3">
        <v>5400</v>
      </c>
      <c r="B396" s="3">
        <v>24010</v>
      </c>
      <c r="C396" s="7">
        <v>42973</v>
      </c>
      <c r="G396" s="3">
        <v>21.3</v>
      </c>
      <c r="H396" s="3">
        <v>16.5</v>
      </c>
      <c r="I396" s="3">
        <v>26.2</v>
      </c>
      <c r="L396" s="23"/>
      <c r="M396" s="3">
        <v>7.8</v>
      </c>
      <c r="N396" s="3">
        <v>1.9</v>
      </c>
      <c r="W396" s="3">
        <v>861.7</v>
      </c>
    </row>
    <row r="397" spans="1:23" s="3" customFormat="1" x14ac:dyDescent="0.25">
      <c r="A397" s="3">
        <v>5400</v>
      </c>
      <c r="B397" s="3">
        <v>24010</v>
      </c>
      <c r="C397" s="7">
        <v>42974</v>
      </c>
      <c r="G397" s="3">
        <v>22.3</v>
      </c>
      <c r="H397" s="3">
        <v>17.8</v>
      </c>
      <c r="I397" s="3">
        <v>26.5</v>
      </c>
      <c r="L397" s="23"/>
      <c r="M397" s="3">
        <v>0.5</v>
      </c>
      <c r="N397" s="3">
        <v>3.4</v>
      </c>
      <c r="W397" s="3">
        <v>1708.7</v>
      </c>
    </row>
    <row r="398" spans="1:23" s="3" customFormat="1" x14ac:dyDescent="0.25">
      <c r="A398" s="3">
        <v>5400</v>
      </c>
      <c r="B398" s="3">
        <v>24010</v>
      </c>
      <c r="C398" s="7">
        <v>42975</v>
      </c>
      <c r="G398" s="3">
        <v>22.8</v>
      </c>
      <c r="H398" s="3">
        <v>17</v>
      </c>
      <c r="I398" s="3">
        <v>28.2</v>
      </c>
      <c r="L398" s="23"/>
      <c r="M398" s="3">
        <v>0.1</v>
      </c>
      <c r="N398" s="3">
        <v>2.7</v>
      </c>
      <c r="W398" s="3">
        <v>1273</v>
      </c>
    </row>
    <row r="399" spans="1:23" s="3" customFormat="1" x14ac:dyDescent="0.25">
      <c r="A399" s="3">
        <v>5400</v>
      </c>
      <c r="B399" s="3">
        <v>24010</v>
      </c>
      <c r="C399" s="7">
        <v>42976</v>
      </c>
      <c r="G399" s="3">
        <v>24.9</v>
      </c>
      <c r="H399" s="3">
        <v>18.399999999999999</v>
      </c>
      <c r="I399" s="3">
        <v>30.8</v>
      </c>
      <c r="L399" s="23"/>
      <c r="M399" s="3">
        <v>0</v>
      </c>
      <c r="N399" s="3">
        <v>4.2</v>
      </c>
      <c r="W399" s="3">
        <v>1864.9</v>
      </c>
    </row>
    <row r="400" spans="1:23" s="3" customFormat="1" x14ac:dyDescent="0.25">
      <c r="A400" s="3">
        <v>5400</v>
      </c>
      <c r="B400" s="3">
        <v>24010</v>
      </c>
      <c r="C400" s="7">
        <v>42977</v>
      </c>
      <c r="G400" s="3">
        <v>17</v>
      </c>
      <c r="H400" s="3">
        <v>14.6</v>
      </c>
      <c r="I400" s="3">
        <v>19.899999999999999</v>
      </c>
      <c r="L400" s="23"/>
      <c r="M400" s="3">
        <v>6</v>
      </c>
      <c r="N400" s="3">
        <v>0.6</v>
      </c>
      <c r="W400" s="3">
        <v>298.5</v>
      </c>
    </row>
    <row r="401" spans="1:23" s="3" customFormat="1" x14ac:dyDescent="0.25">
      <c r="A401" s="3">
        <v>5400</v>
      </c>
      <c r="B401" s="3">
        <v>24010</v>
      </c>
      <c r="C401" s="7">
        <v>42978</v>
      </c>
      <c r="G401" s="3">
        <v>14.9</v>
      </c>
      <c r="H401" s="3">
        <v>11.1</v>
      </c>
      <c r="I401" s="3">
        <v>18.3</v>
      </c>
      <c r="L401" s="23"/>
      <c r="M401" s="3">
        <v>0.4</v>
      </c>
      <c r="N401" s="3">
        <v>1.7</v>
      </c>
      <c r="W401" s="3">
        <v>1065</v>
      </c>
    </row>
  </sheetData>
  <mergeCells count="13">
    <mergeCell ref="A347:F347"/>
    <mergeCell ref="F185:F246"/>
    <mergeCell ref="F247:F267"/>
    <mergeCell ref="F268:F294"/>
    <mergeCell ref="F295:F311"/>
    <mergeCell ref="F312:F332"/>
    <mergeCell ref="F124:F184"/>
    <mergeCell ref="G1:L1"/>
    <mergeCell ref="M1:P1"/>
    <mergeCell ref="Q1:U1"/>
    <mergeCell ref="W1:AB1"/>
    <mergeCell ref="A35:F35"/>
    <mergeCell ref="F36:F123"/>
  </mergeCells>
  <conditionalFormatting sqref="O2">
    <cfRule type="cellIs" dxfId="31" priority="32" operator="lessThan">
      <formula>0</formula>
    </cfRule>
  </conditionalFormatting>
  <conditionalFormatting sqref="O1:O2">
    <cfRule type="cellIs" dxfId="30" priority="31" operator="lessThan">
      <formula>0</formula>
    </cfRule>
  </conditionalFormatting>
  <conditionalFormatting sqref="G1:I2">
    <cfRule type="cellIs" dxfId="29" priority="28" operator="greaterThanOrEqual">
      <formula>25</formula>
    </cfRule>
    <cfRule type="cellIs" dxfId="28" priority="29" operator="between">
      <formula>0</formula>
      <formula>5</formula>
    </cfRule>
    <cfRule type="cellIs" dxfId="27" priority="30" operator="lessThan">
      <formula>0</formula>
    </cfRule>
  </conditionalFormatting>
  <conditionalFormatting sqref="O1:O2">
    <cfRule type="cellIs" dxfId="26" priority="27" operator="lessThan">
      <formula>0</formula>
    </cfRule>
  </conditionalFormatting>
  <conditionalFormatting sqref="W1:W2">
    <cfRule type="cellIs" dxfId="25" priority="26" operator="lessThan">
      <formula>900</formula>
    </cfRule>
  </conditionalFormatting>
  <conditionalFormatting sqref="G1:I2">
    <cfRule type="cellIs" dxfId="24" priority="23" operator="greaterThanOrEqual">
      <formula>25</formula>
    </cfRule>
    <cfRule type="cellIs" dxfId="23" priority="24" operator="between">
      <formula>0</formula>
      <formula>5</formula>
    </cfRule>
    <cfRule type="cellIs" dxfId="22" priority="25" operator="lessThanOrEqual">
      <formula>0</formula>
    </cfRule>
  </conditionalFormatting>
  <conditionalFormatting sqref="O1:O2">
    <cfRule type="cellIs" dxfId="21" priority="22" operator="lessThan">
      <formula>0</formula>
    </cfRule>
  </conditionalFormatting>
  <conditionalFormatting sqref="G1:I1048576">
    <cfRule type="cellIs" dxfId="20" priority="19" operator="greaterThanOrEqual">
      <formula>25</formula>
    </cfRule>
    <cfRule type="cellIs" dxfId="19" priority="20" operator="between">
      <formula>0</formula>
      <formula>5</formula>
    </cfRule>
    <cfRule type="cellIs" dxfId="18" priority="21" operator="lessThan">
      <formula>0</formula>
    </cfRule>
  </conditionalFormatting>
  <conditionalFormatting sqref="O36:O346 P37:P38">
    <cfRule type="cellIs" dxfId="17" priority="18" operator="lessThan">
      <formula>0</formula>
    </cfRule>
  </conditionalFormatting>
  <conditionalFormatting sqref="T36:T346">
    <cfRule type="cellIs" dxfId="16" priority="17" operator="lessThan">
      <formula>0</formula>
    </cfRule>
  </conditionalFormatting>
  <conditionalFormatting sqref="W36:W346">
    <cfRule type="cellIs" dxfId="15" priority="16" operator="lessThan">
      <formula>900</formula>
    </cfRule>
  </conditionalFormatting>
  <conditionalFormatting sqref="L37 L45 L49 L47">
    <cfRule type="cellIs" dxfId="14" priority="14" operator="lessThanOrEqual">
      <formula>0</formula>
    </cfRule>
    <cfRule type="cellIs" dxfId="13" priority="15" operator="lessThanOrEqual">
      <formula>5</formula>
    </cfRule>
  </conditionalFormatting>
  <conditionalFormatting sqref="L125 L133 L137 L135">
    <cfRule type="cellIs" dxfId="12" priority="12" operator="lessThanOrEqual">
      <formula>0</formula>
    </cfRule>
    <cfRule type="cellIs" dxfId="11" priority="13" operator="lessThanOrEqual">
      <formula>5</formula>
    </cfRule>
  </conditionalFormatting>
  <conditionalFormatting sqref="L186 L194 L198 L196">
    <cfRule type="cellIs" dxfId="10" priority="10" operator="lessThanOrEqual">
      <formula>0</formula>
    </cfRule>
    <cfRule type="cellIs" dxfId="9" priority="11" operator="lessThanOrEqual">
      <formula>5</formula>
    </cfRule>
  </conditionalFormatting>
  <conditionalFormatting sqref="L248 L260 L258 L256">
    <cfRule type="cellIs" dxfId="8" priority="8" operator="lessThanOrEqual">
      <formula>0</formula>
    </cfRule>
    <cfRule type="cellIs" dxfId="7" priority="9" operator="lessThanOrEqual">
      <formula>5</formula>
    </cfRule>
  </conditionalFormatting>
  <conditionalFormatting sqref="L269 L277 L279 L281">
    <cfRule type="cellIs" dxfId="6" priority="6" operator="lessThanOrEqual">
      <formula>0</formula>
    </cfRule>
    <cfRule type="cellIs" dxfId="5" priority="7" operator="lessThanOrEqual">
      <formula>5</formula>
    </cfRule>
  </conditionalFormatting>
  <conditionalFormatting sqref="L296 L306">
    <cfRule type="cellIs" dxfId="4" priority="4" operator="lessThanOrEqual">
      <formula>0</formula>
    </cfRule>
    <cfRule type="cellIs" dxfId="3" priority="5" operator="lessThanOrEqual">
      <formula>5</formula>
    </cfRule>
  </conditionalFormatting>
  <conditionalFormatting sqref="O3:O34">
    <cfRule type="cellIs" dxfId="2" priority="3" operator="lessThan">
      <formula>0</formula>
    </cfRule>
  </conditionalFormatting>
  <conditionalFormatting sqref="V37 U36:U346">
    <cfRule type="cellIs" dxfId="1" priority="1" operator="equal">
      <formula>0</formula>
    </cfRule>
    <cfRule type="cellIs" dxfId="0" priority="2" operator="lessThan">
      <formula>51.3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N+</vt:lpstr>
      <vt:lpstr>N-</vt:lpstr>
    </vt:vector>
  </TitlesOfParts>
  <Company>INRA - RENNES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Erwan Corlouer</dc:creator>
  <cp:lastModifiedBy>adminigepp</cp:lastModifiedBy>
  <dcterms:created xsi:type="dcterms:W3CDTF">2018-11-13T08:33:12Z</dcterms:created>
  <dcterms:modified xsi:type="dcterms:W3CDTF">2019-11-27T11:34:38Z</dcterms:modified>
</cp:coreProperties>
</file>