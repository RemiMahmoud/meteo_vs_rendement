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28800" windowHeight="11700" tabRatio="601"/>
  </bookViews>
  <sheets>
    <sheet name="N+" sheetId="1" r:id="rId1"/>
    <sheet name="N-" sheetId="2" r:id="rId2"/>
  </sheets>
  <calcPr calcId="162913"/>
</workbook>
</file>

<file path=xl/calcChain.xml><?xml version="1.0" encoding="utf-8"?>
<calcChain xmlns="http://schemas.openxmlformats.org/spreadsheetml/2006/main">
  <c r="AC228" i="1" l="1"/>
  <c r="AC226" i="1"/>
  <c r="AC224" i="1"/>
  <c r="AC222" i="1"/>
  <c r="AC220" i="1"/>
  <c r="AB242" i="1"/>
  <c r="AB234" i="1"/>
  <c r="AB231" i="1"/>
  <c r="AB223" i="1"/>
  <c r="AB216" i="1"/>
  <c r="AB208" i="1"/>
  <c r="AB205" i="1"/>
  <c r="AB197" i="1"/>
  <c r="AD226" i="2"/>
  <c r="AD224" i="2"/>
  <c r="AD222" i="2"/>
  <c r="AD220" i="2"/>
  <c r="AD218" i="2"/>
  <c r="AB216" i="2"/>
  <c r="AB208" i="2"/>
  <c r="AB205" i="2"/>
  <c r="AB197" i="2"/>
  <c r="U186" i="2" l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293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185" i="2"/>
  <c r="L317" i="2" l="1"/>
  <c r="L315" i="2"/>
  <c r="L313" i="2"/>
  <c r="L300" i="2"/>
  <c r="L298" i="2"/>
  <c r="L296" i="2"/>
  <c r="L270" i="2"/>
  <c r="L268" i="2"/>
  <c r="L266" i="2"/>
  <c r="L249" i="2"/>
  <c r="L247" i="2"/>
  <c r="L245" i="2"/>
  <c r="L192" i="2"/>
  <c r="L190" i="2"/>
  <c r="L188" i="2"/>
  <c r="Y310" i="2"/>
  <c r="K310" i="2"/>
  <c r="K293" i="2"/>
  <c r="Y293" i="2"/>
  <c r="K263" i="2"/>
  <c r="Y263" i="2"/>
  <c r="Y243" i="2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42" i="2"/>
  <c r="K243" i="2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4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S358" i="2"/>
  <c r="T358" i="2" s="1"/>
  <c r="O358" i="2"/>
  <c r="S357" i="2"/>
  <c r="T357" i="2" s="1"/>
  <c r="O357" i="2"/>
  <c r="S356" i="2"/>
  <c r="T356" i="2" s="1"/>
  <c r="O356" i="2"/>
  <c r="S355" i="2"/>
  <c r="T355" i="2" s="1"/>
  <c r="O355" i="2"/>
  <c r="S354" i="2"/>
  <c r="T354" i="2" s="1"/>
  <c r="O354" i="2"/>
  <c r="S353" i="2"/>
  <c r="T353" i="2" s="1"/>
  <c r="O353" i="2"/>
  <c r="S352" i="2"/>
  <c r="T352" i="2" s="1"/>
  <c r="O352" i="2"/>
  <c r="S351" i="2"/>
  <c r="T351" i="2" s="1"/>
  <c r="O351" i="2"/>
  <c r="S350" i="2"/>
  <c r="T350" i="2" s="1"/>
  <c r="O350" i="2"/>
  <c r="S349" i="2"/>
  <c r="T349" i="2" s="1"/>
  <c r="O349" i="2"/>
  <c r="S348" i="2"/>
  <c r="T348" i="2" s="1"/>
  <c r="O348" i="2"/>
  <c r="S347" i="2"/>
  <c r="T347" i="2" s="1"/>
  <c r="O347" i="2"/>
  <c r="S346" i="2"/>
  <c r="T346" i="2" s="1"/>
  <c r="O346" i="2"/>
  <c r="S345" i="2"/>
  <c r="T345" i="2" s="1"/>
  <c r="O345" i="2"/>
  <c r="S344" i="2"/>
  <c r="T344" i="2" s="1"/>
  <c r="O344" i="2"/>
  <c r="S343" i="2"/>
  <c r="T343" i="2" s="1"/>
  <c r="O343" i="2"/>
  <c r="S342" i="2"/>
  <c r="T342" i="2" s="1"/>
  <c r="O342" i="2"/>
  <c r="S341" i="2"/>
  <c r="T341" i="2" s="1"/>
  <c r="O341" i="2"/>
  <c r="S340" i="2"/>
  <c r="T340" i="2" s="1"/>
  <c r="O340" i="2"/>
  <c r="S339" i="2"/>
  <c r="T339" i="2" s="1"/>
  <c r="O339" i="2"/>
  <c r="S338" i="2"/>
  <c r="T338" i="2" s="1"/>
  <c r="O338" i="2"/>
  <c r="S337" i="2"/>
  <c r="T337" i="2" s="1"/>
  <c r="O337" i="2"/>
  <c r="S336" i="2"/>
  <c r="T336" i="2" s="1"/>
  <c r="O336" i="2"/>
  <c r="S335" i="2"/>
  <c r="T335" i="2" s="1"/>
  <c r="O335" i="2"/>
  <c r="S334" i="2"/>
  <c r="T334" i="2" s="1"/>
  <c r="O334" i="2"/>
  <c r="S333" i="2"/>
  <c r="T333" i="2" s="1"/>
  <c r="O333" i="2"/>
  <c r="S332" i="2"/>
  <c r="T332" i="2" s="1"/>
  <c r="O332" i="2"/>
  <c r="S331" i="2"/>
  <c r="T331" i="2" s="1"/>
  <c r="O331" i="2"/>
  <c r="S330" i="2"/>
  <c r="T330" i="2" s="1"/>
  <c r="O330" i="2"/>
  <c r="S329" i="2"/>
  <c r="T329" i="2" s="1"/>
  <c r="O329" i="2"/>
  <c r="S328" i="2"/>
  <c r="T328" i="2" s="1"/>
  <c r="O328" i="2"/>
  <c r="S327" i="2"/>
  <c r="T327" i="2" s="1"/>
  <c r="O327" i="2"/>
  <c r="S326" i="2"/>
  <c r="T326" i="2" s="1"/>
  <c r="O326" i="2"/>
  <c r="S325" i="2"/>
  <c r="T325" i="2" s="1"/>
  <c r="O325" i="2"/>
  <c r="S324" i="2"/>
  <c r="T324" i="2" s="1"/>
  <c r="O324" i="2"/>
  <c r="S323" i="2"/>
  <c r="T323" i="2" s="1"/>
  <c r="O323" i="2"/>
  <c r="S322" i="2"/>
  <c r="T322" i="2" s="1"/>
  <c r="O322" i="2"/>
  <c r="S321" i="2"/>
  <c r="T321" i="2" s="1"/>
  <c r="O321" i="2"/>
  <c r="S320" i="2"/>
  <c r="T320" i="2" s="1"/>
  <c r="O320" i="2"/>
  <c r="S319" i="2"/>
  <c r="T319" i="2" s="1"/>
  <c r="O319" i="2"/>
  <c r="S318" i="2"/>
  <c r="T318" i="2" s="1"/>
  <c r="O318" i="2"/>
  <c r="S317" i="2"/>
  <c r="T317" i="2" s="1"/>
  <c r="O317" i="2"/>
  <c r="S316" i="2"/>
  <c r="T316" i="2" s="1"/>
  <c r="O316" i="2"/>
  <c r="S315" i="2"/>
  <c r="T315" i="2" s="1"/>
  <c r="O315" i="2"/>
  <c r="AA313" i="2"/>
  <c r="S314" i="2"/>
  <c r="T314" i="2" s="1"/>
  <c r="O314" i="2"/>
  <c r="S313" i="2"/>
  <c r="T313" i="2" s="1"/>
  <c r="O313" i="2"/>
  <c r="S312" i="2"/>
  <c r="T312" i="2" s="1"/>
  <c r="O312" i="2"/>
  <c r="S311" i="2"/>
  <c r="T311" i="2" s="1"/>
  <c r="O311" i="2"/>
  <c r="S310" i="2"/>
  <c r="T310" i="2" s="1"/>
  <c r="O310" i="2"/>
  <c r="S309" i="2"/>
  <c r="T309" i="2" s="1"/>
  <c r="O309" i="2"/>
  <c r="S308" i="2"/>
  <c r="T308" i="2" s="1"/>
  <c r="O308" i="2"/>
  <c r="S307" i="2"/>
  <c r="T307" i="2" s="1"/>
  <c r="O307" i="2"/>
  <c r="S306" i="2"/>
  <c r="T306" i="2" s="1"/>
  <c r="O306" i="2"/>
  <c r="S305" i="2"/>
  <c r="T305" i="2" s="1"/>
  <c r="O305" i="2"/>
  <c r="S304" i="2"/>
  <c r="T304" i="2" s="1"/>
  <c r="O304" i="2"/>
  <c r="T303" i="2"/>
  <c r="S303" i="2"/>
  <c r="O303" i="2"/>
  <c r="S302" i="2"/>
  <c r="T302" i="2" s="1"/>
  <c r="O302" i="2"/>
  <c r="S301" i="2"/>
  <c r="T301" i="2" s="1"/>
  <c r="O301" i="2"/>
  <c r="S300" i="2"/>
  <c r="T300" i="2" s="1"/>
  <c r="O300" i="2"/>
  <c r="S299" i="2"/>
  <c r="T299" i="2" s="1"/>
  <c r="O299" i="2"/>
  <c r="S298" i="2"/>
  <c r="T298" i="2" s="1"/>
  <c r="O298" i="2"/>
  <c r="AA296" i="2"/>
  <c r="S297" i="2"/>
  <c r="T297" i="2" s="1"/>
  <c r="O297" i="2"/>
  <c r="S296" i="2"/>
  <c r="T296" i="2" s="1"/>
  <c r="O296" i="2"/>
  <c r="S295" i="2"/>
  <c r="T295" i="2" s="1"/>
  <c r="O295" i="2"/>
  <c r="S294" i="2"/>
  <c r="T294" i="2" s="1"/>
  <c r="O294" i="2"/>
  <c r="S293" i="2"/>
  <c r="T293" i="2" s="1"/>
  <c r="O293" i="2"/>
  <c r="S292" i="2"/>
  <c r="T292" i="2" s="1"/>
  <c r="O292" i="2"/>
  <c r="S291" i="2"/>
  <c r="T291" i="2" s="1"/>
  <c r="O291" i="2"/>
  <c r="S290" i="2"/>
  <c r="T290" i="2" s="1"/>
  <c r="O290" i="2"/>
  <c r="S289" i="2"/>
  <c r="T289" i="2" s="1"/>
  <c r="O289" i="2"/>
  <c r="S288" i="2"/>
  <c r="T288" i="2" s="1"/>
  <c r="O288" i="2"/>
  <c r="S287" i="2"/>
  <c r="T287" i="2" s="1"/>
  <c r="O287" i="2"/>
  <c r="S286" i="2"/>
  <c r="T286" i="2" s="1"/>
  <c r="O286" i="2"/>
  <c r="S285" i="2"/>
  <c r="T285" i="2" s="1"/>
  <c r="O285" i="2"/>
  <c r="S284" i="2"/>
  <c r="T284" i="2" s="1"/>
  <c r="O284" i="2"/>
  <c r="S283" i="2"/>
  <c r="T283" i="2" s="1"/>
  <c r="O283" i="2"/>
  <c r="S282" i="2"/>
  <c r="T282" i="2" s="1"/>
  <c r="O282" i="2"/>
  <c r="S281" i="2"/>
  <c r="T281" i="2" s="1"/>
  <c r="O281" i="2"/>
  <c r="S280" i="2"/>
  <c r="T280" i="2" s="1"/>
  <c r="O280" i="2"/>
  <c r="S279" i="2"/>
  <c r="T279" i="2" s="1"/>
  <c r="O279" i="2"/>
  <c r="S278" i="2"/>
  <c r="T278" i="2" s="1"/>
  <c r="O278" i="2"/>
  <c r="S277" i="2"/>
  <c r="T277" i="2" s="1"/>
  <c r="O277" i="2"/>
  <c r="S276" i="2"/>
  <c r="T276" i="2" s="1"/>
  <c r="O276" i="2"/>
  <c r="S275" i="2"/>
  <c r="T275" i="2" s="1"/>
  <c r="O275" i="2"/>
  <c r="S274" i="2"/>
  <c r="T274" i="2" s="1"/>
  <c r="O274" i="2"/>
  <c r="S273" i="2"/>
  <c r="T273" i="2" s="1"/>
  <c r="O273" i="2"/>
  <c r="S272" i="2"/>
  <c r="T272" i="2" s="1"/>
  <c r="O272" i="2"/>
  <c r="T271" i="2"/>
  <c r="S271" i="2"/>
  <c r="O271" i="2"/>
  <c r="S270" i="2"/>
  <c r="T270" i="2" s="1"/>
  <c r="O270" i="2"/>
  <c r="S269" i="2"/>
  <c r="T269" i="2" s="1"/>
  <c r="O269" i="2"/>
  <c r="S268" i="2"/>
  <c r="T268" i="2" s="1"/>
  <c r="O268" i="2"/>
  <c r="AA266" i="2"/>
  <c r="S267" i="2"/>
  <c r="T267" i="2" s="1"/>
  <c r="O267" i="2"/>
  <c r="S266" i="2"/>
  <c r="T266" i="2" s="1"/>
  <c r="O266" i="2"/>
  <c r="S265" i="2"/>
  <c r="T265" i="2" s="1"/>
  <c r="O265" i="2"/>
  <c r="S264" i="2"/>
  <c r="T264" i="2" s="1"/>
  <c r="O264" i="2"/>
  <c r="S263" i="2"/>
  <c r="T263" i="2" s="1"/>
  <c r="O263" i="2"/>
  <c r="S262" i="2"/>
  <c r="T262" i="2" s="1"/>
  <c r="O262" i="2"/>
  <c r="S261" i="2"/>
  <c r="T261" i="2" s="1"/>
  <c r="O261" i="2"/>
  <c r="S260" i="2"/>
  <c r="T260" i="2" s="1"/>
  <c r="O260" i="2"/>
  <c r="S259" i="2"/>
  <c r="T259" i="2" s="1"/>
  <c r="O259" i="2"/>
  <c r="S258" i="2"/>
  <c r="T258" i="2" s="1"/>
  <c r="O258" i="2"/>
  <c r="S257" i="2"/>
  <c r="T257" i="2" s="1"/>
  <c r="O257" i="2"/>
  <c r="S256" i="2"/>
  <c r="T256" i="2" s="1"/>
  <c r="O256" i="2"/>
  <c r="S255" i="2"/>
  <c r="T255" i="2" s="1"/>
  <c r="O255" i="2"/>
  <c r="T254" i="2"/>
  <c r="S254" i="2"/>
  <c r="O254" i="2"/>
  <c r="T253" i="2"/>
  <c r="S253" i="2"/>
  <c r="O253" i="2"/>
  <c r="S252" i="2"/>
  <c r="T252" i="2" s="1"/>
  <c r="O252" i="2"/>
  <c r="S251" i="2"/>
  <c r="T251" i="2" s="1"/>
  <c r="O251" i="2"/>
  <c r="S250" i="2"/>
  <c r="T250" i="2" s="1"/>
  <c r="O250" i="2"/>
  <c r="S249" i="2"/>
  <c r="T249" i="2" s="1"/>
  <c r="O249" i="2"/>
  <c r="S248" i="2"/>
  <c r="T248" i="2" s="1"/>
  <c r="O248" i="2"/>
  <c r="S247" i="2"/>
  <c r="T247" i="2" s="1"/>
  <c r="O247" i="2"/>
  <c r="AA245" i="2"/>
  <c r="S246" i="2"/>
  <c r="T246" i="2" s="1"/>
  <c r="O246" i="2"/>
  <c r="S245" i="2"/>
  <c r="T245" i="2" s="1"/>
  <c r="O245" i="2"/>
  <c r="S244" i="2"/>
  <c r="T244" i="2" s="1"/>
  <c r="O244" i="2"/>
  <c r="S243" i="2"/>
  <c r="T243" i="2" s="1"/>
  <c r="O243" i="2"/>
  <c r="S242" i="2"/>
  <c r="T242" i="2" s="1"/>
  <c r="O242" i="2"/>
  <c r="S241" i="2"/>
  <c r="T241" i="2" s="1"/>
  <c r="O241" i="2"/>
  <c r="S240" i="2"/>
  <c r="T240" i="2" s="1"/>
  <c r="O240" i="2"/>
  <c r="S239" i="2"/>
  <c r="T239" i="2" s="1"/>
  <c r="O239" i="2"/>
  <c r="S238" i="2"/>
  <c r="T238" i="2" s="1"/>
  <c r="O238" i="2"/>
  <c r="S237" i="2"/>
  <c r="T237" i="2" s="1"/>
  <c r="O237" i="2"/>
  <c r="S236" i="2"/>
  <c r="T236" i="2" s="1"/>
  <c r="O236" i="2"/>
  <c r="S235" i="2"/>
  <c r="T235" i="2" s="1"/>
  <c r="O235" i="2"/>
  <c r="S234" i="2"/>
  <c r="T234" i="2" s="1"/>
  <c r="O234" i="2"/>
  <c r="S233" i="2"/>
  <c r="T233" i="2" s="1"/>
  <c r="O233" i="2"/>
  <c r="S232" i="2"/>
  <c r="T232" i="2" s="1"/>
  <c r="O232" i="2"/>
  <c r="S231" i="2"/>
  <c r="T231" i="2" s="1"/>
  <c r="O231" i="2"/>
  <c r="S230" i="2"/>
  <c r="T230" i="2" s="1"/>
  <c r="O230" i="2"/>
  <c r="S229" i="2"/>
  <c r="T229" i="2" s="1"/>
  <c r="O229" i="2"/>
  <c r="S228" i="2"/>
  <c r="T228" i="2" s="1"/>
  <c r="O228" i="2"/>
  <c r="S227" i="2"/>
  <c r="T227" i="2" s="1"/>
  <c r="O227" i="2"/>
  <c r="S226" i="2"/>
  <c r="T226" i="2" s="1"/>
  <c r="O226" i="2"/>
  <c r="S225" i="2"/>
  <c r="T225" i="2" s="1"/>
  <c r="O225" i="2"/>
  <c r="T224" i="2"/>
  <c r="S224" i="2"/>
  <c r="O224" i="2"/>
  <c r="S223" i="2"/>
  <c r="T223" i="2" s="1"/>
  <c r="O223" i="2"/>
  <c r="S222" i="2"/>
  <c r="T222" i="2" s="1"/>
  <c r="O222" i="2"/>
  <c r="S221" i="2"/>
  <c r="T221" i="2" s="1"/>
  <c r="O221" i="2"/>
  <c r="S220" i="2"/>
  <c r="T220" i="2" s="1"/>
  <c r="O220" i="2"/>
  <c r="S219" i="2"/>
  <c r="T219" i="2" s="1"/>
  <c r="O219" i="2"/>
  <c r="S218" i="2"/>
  <c r="T218" i="2" s="1"/>
  <c r="O218" i="2"/>
  <c r="S217" i="2"/>
  <c r="T217" i="2" s="1"/>
  <c r="O217" i="2"/>
  <c r="S216" i="2"/>
  <c r="T216" i="2" s="1"/>
  <c r="O216" i="2"/>
  <c r="S215" i="2"/>
  <c r="T215" i="2" s="1"/>
  <c r="O215" i="2"/>
  <c r="S214" i="2"/>
  <c r="T214" i="2" s="1"/>
  <c r="O214" i="2"/>
  <c r="S213" i="2"/>
  <c r="T213" i="2" s="1"/>
  <c r="O213" i="2"/>
  <c r="S212" i="2"/>
  <c r="T212" i="2" s="1"/>
  <c r="O212" i="2"/>
  <c r="S211" i="2"/>
  <c r="T211" i="2" s="1"/>
  <c r="O211" i="2"/>
  <c r="S210" i="2"/>
  <c r="T210" i="2" s="1"/>
  <c r="O210" i="2"/>
  <c r="S209" i="2"/>
  <c r="T209" i="2" s="1"/>
  <c r="O209" i="2"/>
  <c r="S208" i="2"/>
  <c r="T208" i="2" s="1"/>
  <c r="O208" i="2"/>
  <c r="S207" i="2"/>
  <c r="T207" i="2" s="1"/>
  <c r="O207" i="2"/>
  <c r="T206" i="2"/>
  <c r="S206" i="2"/>
  <c r="O206" i="2"/>
  <c r="S205" i="2"/>
  <c r="T205" i="2" s="1"/>
  <c r="O205" i="2"/>
  <c r="S204" i="2"/>
  <c r="T204" i="2" s="1"/>
  <c r="O204" i="2"/>
  <c r="S203" i="2"/>
  <c r="T203" i="2" s="1"/>
  <c r="O203" i="2"/>
  <c r="S202" i="2"/>
  <c r="T202" i="2" s="1"/>
  <c r="O202" i="2"/>
  <c r="S201" i="2"/>
  <c r="T201" i="2" s="1"/>
  <c r="O201" i="2"/>
  <c r="K201" i="2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J201" i="2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S200" i="2"/>
  <c r="T200" i="2" s="1"/>
  <c r="O200" i="2"/>
  <c r="S199" i="2"/>
  <c r="T199" i="2" s="1"/>
  <c r="O199" i="2"/>
  <c r="S198" i="2"/>
  <c r="T198" i="2" s="1"/>
  <c r="O198" i="2"/>
  <c r="S197" i="2"/>
  <c r="T197" i="2" s="1"/>
  <c r="O197" i="2"/>
  <c r="S196" i="2"/>
  <c r="T196" i="2" s="1"/>
  <c r="O196" i="2"/>
  <c r="S195" i="2"/>
  <c r="T195" i="2" s="1"/>
  <c r="O195" i="2"/>
  <c r="S194" i="2"/>
  <c r="T194" i="2" s="1"/>
  <c r="O194" i="2"/>
  <c r="S193" i="2"/>
  <c r="T193" i="2" s="1"/>
  <c r="O193" i="2"/>
  <c r="S192" i="2"/>
  <c r="T192" i="2" s="1"/>
  <c r="O192" i="2"/>
  <c r="S191" i="2"/>
  <c r="T191" i="2" s="1"/>
  <c r="O191" i="2"/>
  <c r="S190" i="2"/>
  <c r="T190" i="2" s="1"/>
  <c r="O190" i="2"/>
  <c r="S189" i="2"/>
  <c r="T189" i="2" s="1"/>
  <c r="O189" i="2"/>
  <c r="K189" i="2"/>
  <c r="K190" i="2" s="1"/>
  <c r="K191" i="2" s="1"/>
  <c r="K192" i="2" s="1"/>
  <c r="K193" i="2" s="1"/>
  <c r="K194" i="2" s="1"/>
  <c r="K195" i="2" s="1"/>
  <c r="K196" i="2" s="1"/>
  <c r="K197" i="2" s="1"/>
  <c r="K198" i="2" s="1"/>
  <c r="AA188" i="2"/>
  <c r="Y188" i="2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S188" i="2"/>
  <c r="T188" i="2" s="1"/>
  <c r="O188" i="2"/>
  <c r="S187" i="2"/>
  <c r="T187" i="2" s="1"/>
  <c r="O187" i="2"/>
  <c r="K187" i="2"/>
  <c r="K188" i="2" s="1"/>
  <c r="Y186" i="2"/>
  <c r="Y187" i="2" s="1"/>
  <c r="S186" i="2"/>
  <c r="T186" i="2" s="1"/>
  <c r="O186" i="2"/>
  <c r="J186" i="2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Y185" i="2"/>
  <c r="S185" i="2"/>
  <c r="T185" i="2" s="1"/>
  <c r="O185" i="2"/>
  <c r="K185" i="2"/>
  <c r="K186" i="2" s="1"/>
  <c r="J185" i="2"/>
  <c r="S184" i="2"/>
  <c r="T184" i="2" s="1"/>
  <c r="O184" i="2"/>
  <c r="T183" i="2"/>
  <c r="S183" i="2"/>
  <c r="O183" i="2"/>
  <c r="S182" i="2"/>
  <c r="T182" i="2" s="1"/>
  <c r="O182" i="2"/>
  <c r="S181" i="2"/>
  <c r="T181" i="2" s="1"/>
  <c r="O181" i="2"/>
  <c r="S180" i="2"/>
  <c r="T180" i="2" s="1"/>
  <c r="O180" i="2"/>
  <c r="S179" i="2"/>
  <c r="T179" i="2" s="1"/>
  <c r="O179" i="2"/>
  <c r="S178" i="2"/>
  <c r="T178" i="2" s="1"/>
  <c r="O178" i="2"/>
  <c r="S177" i="2"/>
  <c r="T177" i="2" s="1"/>
  <c r="O177" i="2"/>
  <c r="S176" i="2"/>
  <c r="T176" i="2" s="1"/>
  <c r="O176" i="2"/>
  <c r="T175" i="2"/>
  <c r="S175" i="2"/>
  <c r="O175" i="2"/>
  <c r="S174" i="2"/>
  <c r="T174" i="2" s="1"/>
  <c r="O174" i="2"/>
  <c r="S173" i="2"/>
  <c r="T173" i="2" s="1"/>
  <c r="O173" i="2"/>
  <c r="T172" i="2"/>
  <c r="S172" i="2"/>
  <c r="O172" i="2"/>
  <c r="S171" i="2"/>
  <c r="T171" i="2" s="1"/>
  <c r="O171" i="2"/>
  <c r="S170" i="2"/>
  <c r="T170" i="2" s="1"/>
  <c r="O170" i="2"/>
  <c r="S169" i="2"/>
  <c r="T169" i="2" s="1"/>
  <c r="O169" i="2"/>
  <c r="S168" i="2"/>
  <c r="T168" i="2" s="1"/>
  <c r="O168" i="2"/>
  <c r="S167" i="2"/>
  <c r="T167" i="2" s="1"/>
  <c r="O167" i="2"/>
  <c r="S166" i="2"/>
  <c r="T166" i="2" s="1"/>
  <c r="O166" i="2"/>
  <c r="K166" i="2"/>
  <c r="K167" i="2" s="1"/>
  <c r="K168" i="2" s="1"/>
  <c r="K169" i="2" s="1"/>
  <c r="K170" i="2" s="1"/>
  <c r="K171" i="2" s="1"/>
  <c r="K172" i="2" s="1"/>
  <c r="K173" i="2" s="1"/>
  <c r="K174" i="2" s="1"/>
  <c r="J166" i="2"/>
  <c r="J167" i="2" s="1"/>
  <c r="J168" i="2" s="1"/>
  <c r="J169" i="2" s="1"/>
  <c r="J170" i="2" s="1"/>
  <c r="J171" i="2" s="1"/>
  <c r="J172" i="2" s="1"/>
  <c r="J173" i="2" s="1"/>
  <c r="J174" i="2" s="1"/>
  <c r="T165" i="2"/>
  <c r="S165" i="2"/>
  <c r="O165" i="2"/>
  <c r="S164" i="2"/>
  <c r="T164" i="2" s="1"/>
  <c r="O164" i="2"/>
  <c r="S163" i="2"/>
  <c r="T163" i="2" s="1"/>
  <c r="O163" i="2"/>
  <c r="K163" i="2"/>
  <c r="J163" i="2"/>
  <c r="T162" i="2"/>
  <c r="S162" i="2"/>
  <c r="O162" i="2"/>
  <c r="K162" i="2"/>
  <c r="J162" i="2"/>
  <c r="S161" i="2"/>
  <c r="T161" i="2" s="1"/>
  <c r="O161" i="2"/>
  <c r="T160" i="2"/>
  <c r="S160" i="2"/>
  <c r="O160" i="2"/>
  <c r="K160" i="2"/>
  <c r="J160" i="2"/>
  <c r="S159" i="2"/>
  <c r="T159" i="2" s="1"/>
  <c r="O159" i="2"/>
  <c r="T158" i="2"/>
  <c r="S158" i="2"/>
  <c r="O158" i="2"/>
  <c r="S157" i="2"/>
  <c r="T157" i="2" s="1"/>
  <c r="O157" i="2"/>
  <c r="S156" i="2"/>
  <c r="T156" i="2" s="1"/>
  <c r="O156" i="2"/>
  <c r="S155" i="2"/>
  <c r="T155" i="2" s="1"/>
  <c r="O155" i="2"/>
  <c r="S154" i="2"/>
  <c r="T154" i="2" s="1"/>
  <c r="O154" i="2"/>
  <c r="S153" i="2"/>
  <c r="T153" i="2" s="1"/>
  <c r="O153" i="2"/>
  <c r="T152" i="2"/>
  <c r="S152" i="2"/>
  <c r="O152" i="2"/>
  <c r="T151" i="2"/>
  <c r="S151" i="2"/>
  <c r="O151" i="2"/>
  <c r="T150" i="2"/>
  <c r="S150" i="2"/>
  <c r="O150" i="2"/>
  <c r="S149" i="2"/>
  <c r="T149" i="2" s="1"/>
  <c r="O149" i="2"/>
  <c r="S148" i="2"/>
  <c r="T148" i="2" s="1"/>
  <c r="O148" i="2"/>
  <c r="S147" i="2"/>
  <c r="T147" i="2" s="1"/>
  <c r="O147" i="2"/>
  <c r="S146" i="2"/>
  <c r="T146" i="2" s="1"/>
  <c r="O146" i="2"/>
  <c r="S145" i="2"/>
  <c r="T145" i="2" s="1"/>
  <c r="O145" i="2"/>
  <c r="T144" i="2"/>
  <c r="S144" i="2"/>
  <c r="O144" i="2"/>
  <c r="T143" i="2"/>
  <c r="S143" i="2"/>
  <c r="O143" i="2"/>
  <c r="T142" i="2"/>
  <c r="S142" i="2"/>
  <c r="O142" i="2"/>
  <c r="S141" i="2"/>
  <c r="T141" i="2" s="1"/>
  <c r="O141" i="2"/>
  <c r="S140" i="2"/>
  <c r="T140" i="2" s="1"/>
  <c r="O140" i="2"/>
  <c r="S139" i="2"/>
  <c r="T139" i="2" s="1"/>
  <c r="O139" i="2"/>
  <c r="S138" i="2"/>
  <c r="T138" i="2" s="1"/>
  <c r="O138" i="2"/>
  <c r="S137" i="2"/>
  <c r="T137" i="2" s="1"/>
  <c r="O137" i="2"/>
  <c r="T136" i="2"/>
  <c r="S136" i="2"/>
  <c r="O136" i="2"/>
  <c r="S135" i="2"/>
  <c r="T135" i="2" s="1"/>
  <c r="O135" i="2"/>
  <c r="S134" i="2"/>
  <c r="T134" i="2" s="1"/>
  <c r="O134" i="2"/>
  <c r="S133" i="2"/>
  <c r="T133" i="2" s="1"/>
  <c r="O133" i="2"/>
  <c r="S132" i="2"/>
  <c r="T132" i="2" s="1"/>
  <c r="O132" i="2"/>
  <c r="L132" i="2"/>
  <c r="T131" i="2"/>
  <c r="S131" i="2"/>
  <c r="O131" i="2"/>
  <c r="S130" i="2"/>
  <c r="T130" i="2" s="1"/>
  <c r="O130" i="2"/>
  <c r="L130" i="2"/>
  <c r="S129" i="2"/>
  <c r="T129" i="2" s="1"/>
  <c r="O129" i="2"/>
  <c r="K129" i="2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AA128" i="2"/>
  <c r="S128" i="2"/>
  <c r="T128" i="2" s="1"/>
  <c r="O128" i="2"/>
  <c r="L128" i="2"/>
  <c r="S127" i="2"/>
  <c r="T127" i="2" s="1"/>
  <c r="O127" i="2"/>
  <c r="S126" i="2"/>
  <c r="T126" i="2" s="1"/>
  <c r="O126" i="2"/>
  <c r="Y125" i="2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S125" i="2"/>
  <c r="T125" i="2" s="1"/>
  <c r="O125" i="2"/>
  <c r="K125" i="2"/>
  <c r="K126" i="2" s="1"/>
  <c r="K127" i="2" s="1"/>
  <c r="K128" i="2" s="1"/>
  <c r="R124" i="2"/>
  <c r="S124" i="2" s="1"/>
  <c r="T124" i="2" s="1"/>
  <c r="O124" i="2"/>
  <c r="R123" i="2"/>
  <c r="S123" i="2" s="1"/>
  <c r="T123" i="2" s="1"/>
  <c r="O123" i="2"/>
  <c r="R122" i="2"/>
  <c r="S122" i="2" s="1"/>
  <c r="T122" i="2" s="1"/>
  <c r="O122" i="2"/>
  <c r="S121" i="2"/>
  <c r="T121" i="2" s="1"/>
  <c r="R121" i="2"/>
  <c r="O121" i="2"/>
  <c r="R120" i="2"/>
  <c r="S120" i="2" s="1"/>
  <c r="T120" i="2" s="1"/>
  <c r="O120" i="2"/>
  <c r="R119" i="2"/>
  <c r="S119" i="2" s="1"/>
  <c r="T119" i="2" s="1"/>
  <c r="O119" i="2"/>
  <c r="R118" i="2"/>
  <c r="S118" i="2" s="1"/>
  <c r="T118" i="2" s="1"/>
  <c r="O118" i="2"/>
  <c r="R117" i="2"/>
  <c r="S117" i="2" s="1"/>
  <c r="T117" i="2" s="1"/>
  <c r="O117" i="2"/>
  <c r="R116" i="2"/>
  <c r="S116" i="2" s="1"/>
  <c r="T116" i="2" s="1"/>
  <c r="O116" i="2"/>
  <c r="R115" i="2"/>
  <c r="S115" i="2" s="1"/>
  <c r="T115" i="2" s="1"/>
  <c r="O115" i="2"/>
  <c r="R114" i="2"/>
  <c r="S114" i="2" s="1"/>
  <c r="T114" i="2" s="1"/>
  <c r="O114" i="2"/>
  <c r="R113" i="2"/>
  <c r="S113" i="2" s="1"/>
  <c r="T113" i="2" s="1"/>
  <c r="O113" i="2"/>
  <c r="R112" i="2"/>
  <c r="S112" i="2" s="1"/>
  <c r="T112" i="2" s="1"/>
  <c r="O112" i="2"/>
  <c r="R111" i="2"/>
  <c r="S111" i="2" s="1"/>
  <c r="T111" i="2" s="1"/>
  <c r="O111" i="2"/>
  <c r="S110" i="2"/>
  <c r="T110" i="2" s="1"/>
  <c r="R110" i="2"/>
  <c r="O110" i="2"/>
  <c r="R109" i="2"/>
  <c r="S109" i="2" s="1"/>
  <c r="T109" i="2" s="1"/>
  <c r="O109" i="2"/>
  <c r="S108" i="2"/>
  <c r="T108" i="2" s="1"/>
  <c r="R108" i="2"/>
  <c r="O108" i="2"/>
  <c r="R107" i="2"/>
  <c r="S107" i="2" s="1"/>
  <c r="T107" i="2" s="1"/>
  <c r="O107" i="2"/>
  <c r="R106" i="2"/>
  <c r="S106" i="2" s="1"/>
  <c r="T106" i="2" s="1"/>
  <c r="O106" i="2"/>
  <c r="R105" i="2"/>
  <c r="S105" i="2" s="1"/>
  <c r="T105" i="2" s="1"/>
  <c r="O105" i="2"/>
  <c r="R104" i="2"/>
  <c r="S104" i="2" s="1"/>
  <c r="T104" i="2" s="1"/>
  <c r="O104" i="2"/>
  <c r="R103" i="2"/>
  <c r="S103" i="2" s="1"/>
  <c r="T103" i="2" s="1"/>
  <c r="O103" i="2"/>
  <c r="R102" i="2"/>
  <c r="S102" i="2" s="1"/>
  <c r="T102" i="2" s="1"/>
  <c r="O102" i="2"/>
  <c r="R101" i="2"/>
  <c r="S101" i="2" s="1"/>
  <c r="T101" i="2" s="1"/>
  <c r="O101" i="2"/>
  <c r="R100" i="2"/>
  <c r="S100" i="2" s="1"/>
  <c r="T100" i="2" s="1"/>
  <c r="O100" i="2"/>
  <c r="R99" i="2"/>
  <c r="S99" i="2" s="1"/>
  <c r="T99" i="2" s="1"/>
  <c r="O99" i="2"/>
  <c r="R98" i="2"/>
  <c r="S98" i="2" s="1"/>
  <c r="T98" i="2" s="1"/>
  <c r="O98" i="2"/>
  <c r="S97" i="2"/>
  <c r="T97" i="2" s="1"/>
  <c r="R97" i="2"/>
  <c r="O97" i="2"/>
  <c r="T96" i="2"/>
  <c r="R96" i="2"/>
  <c r="S96" i="2" s="1"/>
  <c r="O96" i="2"/>
  <c r="R95" i="2"/>
  <c r="S95" i="2" s="1"/>
  <c r="T95" i="2" s="1"/>
  <c r="O95" i="2"/>
  <c r="R94" i="2"/>
  <c r="S94" i="2" s="1"/>
  <c r="T94" i="2" s="1"/>
  <c r="O94" i="2"/>
  <c r="S93" i="2"/>
  <c r="T93" i="2" s="1"/>
  <c r="R93" i="2"/>
  <c r="O93" i="2"/>
  <c r="R92" i="2"/>
  <c r="S92" i="2" s="1"/>
  <c r="T92" i="2" s="1"/>
  <c r="O92" i="2"/>
  <c r="S91" i="2"/>
  <c r="T91" i="2" s="1"/>
  <c r="R91" i="2"/>
  <c r="O91" i="2"/>
  <c r="T90" i="2"/>
  <c r="R90" i="2"/>
  <c r="S90" i="2" s="1"/>
  <c r="O90" i="2"/>
  <c r="R89" i="2"/>
  <c r="S89" i="2" s="1"/>
  <c r="T89" i="2" s="1"/>
  <c r="O89" i="2"/>
  <c r="S88" i="2"/>
  <c r="T88" i="2" s="1"/>
  <c r="R88" i="2"/>
  <c r="O88" i="2"/>
  <c r="S87" i="2"/>
  <c r="T87" i="2" s="1"/>
  <c r="R87" i="2"/>
  <c r="O87" i="2"/>
  <c r="R86" i="2"/>
  <c r="S86" i="2" s="1"/>
  <c r="T86" i="2" s="1"/>
  <c r="O86" i="2"/>
  <c r="S85" i="2"/>
  <c r="T85" i="2" s="1"/>
  <c r="R85" i="2"/>
  <c r="O85" i="2"/>
  <c r="R84" i="2"/>
  <c r="S84" i="2" s="1"/>
  <c r="T84" i="2" s="1"/>
  <c r="O84" i="2"/>
  <c r="S83" i="2"/>
  <c r="T83" i="2" s="1"/>
  <c r="R83" i="2"/>
  <c r="O83" i="2"/>
  <c r="T82" i="2"/>
  <c r="R82" i="2"/>
  <c r="S82" i="2" s="1"/>
  <c r="O82" i="2"/>
  <c r="R81" i="2"/>
  <c r="S81" i="2" s="1"/>
  <c r="T81" i="2" s="1"/>
  <c r="O81" i="2"/>
  <c r="S80" i="2"/>
  <c r="T80" i="2" s="1"/>
  <c r="R80" i="2"/>
  <c r="O80" i="2"/>
  <c r="S79" i="2"/>
  <c r="T79" i="2" s="1"/>
  <c r="R79" i="2"/>
  <c r="O79" i="2"/>
  <c r="R78" i="2"/>
  <c r="S78" i="2" s="1"/>
  <c r="T78" i="2" s="1"/>
  <c r="O78" i="2"/>
  <c r="S77" i="2"/>
  <c r="T77" i="2" s="1"/>
  <c r="R77" i="2"/>
  <c r="O77" i="2"/>
  <c r="R76" i="2"/>
  <c r="S76" i="2" s="1"/>
  <c r="T76" i="2" s="1"/>
  <c r="O76" i="2"/>
  <c r="S75" i="2"/>
  <c r="T75" i="2" s="1"/>
  <c r="R75" i="2"/>
  <c r="O75" i="2"/>
  <c r="R74" i="2"/>
  <c r="S74" i="2" s="1"/>
  <c r="T74" i="2" s="1"/>
  <c r="O74" i="2"/>
  <c r="R73" i="2"/>
  <c r="S73" i="2" s="1"/>
  <c r="T73" i="2" s="1"/>
  <c r="O73" i="2"/>
  <c r="R72" i="2"/>
  <c r="S72" i="2" s="1"/>
  <c r="T72" i="2" s="1"/>
  <c r="O72" i="2"/>
  <c r="R71" i="2"/>
  <c r="S71" i="2" s="1"/>
  <c r="T71" i="2" s="1"/>
  <c r="O71" i="2"/>
  <c r="R70" i="2"/>
  <c r="S70" i="2" s="1"/>
  <c r="T70" i="2" s="1"/>
  <c r="O70" i="2"/>
  <c r="R69" i="2"/>
  <c r="S69" i="2" s="1"/>
  <c r="T69" i="2" s="1"/>
  <c r="O69" i="2"/>
  <c r="R68" i="2"/>
  <c r="S68" i="2" s="1"/>
  <c r="T68" i="2" s="1"/>
  <c r="O68" i="2"/>
  <c r="R67" i="2"/>
  <c r="S67" i="2" s="1"/>
  <c r="T67" i="2" s="1"/>
  <c r="O67" i="2"/>
  <c r="T66" i="2"/>
  <c r="R66" i="2"/>
  <c r="S66" i="2" s="1"/>
  <c r="O66" i="2"/>
  <c r="R65" i="2"/>
  <c r="S65" i="2" s="1"/>
  <c r="T65" i="2" s="1"/>
  <c r="O65" i="2"/>
  <c r="S64" i="2"/>
  <c r="T64" i="2" s="1"/>
  <c r="R64" i="2"/>
  <c r="O64" i="2"/>
  <c r="R63" i="2"/>
  <c r="S63" i="2" s="1"/>
  <c r="T63" i="2" s="1"/>
  <c r="O63" i="2"/>
  <c r="R62" i="2"/>
  <c r="S62" i="2" s="1"/>
  <c r="T62" i="2" s="1"/>
  <c r="O62" i="2"/>
  <c r="S61" i="2"/>
  <c r="T61" i="2" s="1"/>
  <c r="R61" i="2"/>
  <c r="O61" i="2"/>
  <c r="R60" i="2"/>
  <c r="S60" i="2" s="1"/>
  <c r="T60" i="2" s="1"/>
  <c r="O60" i="2"/>
  <c r="S59" i="2"/>
  <c r="T59" i="2" s="1"/>
  <c r="R59" i="2"/>
  <c r="O59" i="2"/>
  <c r="R58" i="2"/>
  <c r="S58" i="2" s="1"/>
  <c r="T58" i="2" s="1"/>
  <c r="O58" i="2"/>
  <c r="R57" i="2"/>
  <c r="S57" i="2" s="1"/>
  <c r="T57" i="2" s="1"/>
  <c r="O57" i="2"/>
  <c r="S56" i="2"/>
  <c r="T56" i="2" s="1"/>
  <c r="R56" i="2"/>
  <c r="O56" i="2"/>
  <c r="R55" i="2"/>
  <c r="S55" i="2" s="1"/>
  <c r="T55" i="2" s="1"/>
  <c r="O55" i="2"/>
  <c r="R54" i="2"/>
  <c r="S54" i="2" s="1"/>
  <c r="T54" i="2" s="1"/>
  <c r="O54" i="2"/>
  <c r="S53" i="2"/>
  <c r="T53" i="2" s="1"/>
  <c r="R53" i="2"/>
  <c r="O53" i="2"/>
  <c r="R52" i="2"/>
  <c r="S52" i="2" s="1"/>
  <c r="T52" i="2" s="1"/>
  <c r="O52" i="2"/>
  <c r="R51" i="2"/>
  <c r="S51" i="2" s="1"/>
  <c r="T51" i="2" s="1"/>
  <c r="O51" i="2"/>
  <c r="R50" i="2"/>
  <c r="S50" i="2" s="1"/>
  <c r="T50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O50" i="2"/>
  <c r="R49" i="2"/>
  <c r="S49" i="2" s="1"/>
  <c r="T49" i="2" s="1"/>
  <c r="O49" i="2"/>
  <c r="R48" i="2"/>
  <c r="S48" i="2" s="1"/>
  <c r="T48" i="2" s="1"/>
  <c r="O48" i="2"/>
  <c r="R47" i="2"/>
  <c r="S47" i="2" s="1"/>
  <c r="T47" i="2" s="1"/>
  <c r="O47" i="2"/>
  <c r="R46" i="2"/>
  <c r="S46" i="2" s="1"/>
  <c r="T46" i="2" s="1"/>
  <c r="O46" i="2"/>
  <c r="R45" i="2"/>
  <c r="S45" i="2" s="1"/>
  <c r="T45" i="2" s="1"/>
  <c r="O45" i="2"/>
  <c r="R44" i="2"/>
  <c r="S44" i="2" s="1"/>
  <c r="T44" i="2" s="1"/>
  <c r="O44" i="2"/>
  <c r="L44" i="2"/>
  <c r="S43" i="2"/>
  <c r="T43" i="2" s="1"/>
  <c r="O43" i="2"/>
  <c r="S42" i="2"/>
  <c r="T42" i="2" s="1"/>
  <c r="O42" i="2"/>
  <c r="L42" i="2"/>
  <c r="S41" i="2"/>
  <c r="T41" i="2" s="1"/>
  <c r="O41" i="2"/>
  <c r="AA40" i="2"/>
  <c r="S40" i="2"/>
  <c r="T40" i="2" s="1"/>
  <c r="U40" i="2" s="1"/>
  <c r="O40" i="2"/>
  <c r="L40" i="2"/>
  <c r="Y39" i="2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S39" i="2"/>
  <c r="T39" i="2" s="1"/>
  <c r="O39" i="2"/>
  <c r="S38" i="2"/>
  <c r="T38" i="2" s="1"/>
  <c r="O38" i="2"/>
  <c r="Y37" i="2"/>
  <c r="Y38" i="2" s="1"/>
  <c r="X37" i="2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2" i="2" s="1"/>
  <c r="X273" i="2" s="1"/>
  <c r="X274" i="2" s="1"/>
  <c r="X275" i="2" s="1"/>
  <c r="X276" i="2" s="1"/>
  <c r="X277" i="2" s="1"/>
  <c r="X278" i="2" s="1"/>
  <c r="X279" i="2" s="1"/>
  <c r="X280" i="2" s="1"/>
  <c r="X281" i="2" s="1"/>
  <c r="X282" i="2" s="1"/>
  <c r="X283" i="2" s="1"/>
  <c r="X284" i="2" s="1"/>
  <c r="X285" i="2" s="1"/>
  <c r="X286" i="2" s="1"/>
  <c r="X287" i="2" s="1"/>
  <c r="X288" i="2" s="1"/>
  <c r="X289" i="2" s="1"/>
  <c r="X290" i="2" s="1"/>
  <c r="X291" i="2" s="1"/>
  <c r="X292" i="2" s="1"/>
  <c r="X293" i="2" s="1"/>
  <c r="X294" i="2" s="1"/>
  <c r="X295" i="2" s="1"/>
  <c r="X296" i="2" s="1"/>
  <c r="X297" i="2" s="1"/>
  <c r="X298" i="2" s="1"/>
  <c r="X299" i="2" s="1"/>
  <c r="X300" i="2" s="1"/>
  <c r="X301" i="2" s="1"/>
  <c r="X302" i="2" s="1"/>
  <c r="X303" i="2" s="1"/>
  <c r="X304" i="2" s="1"/>
  <c r="X305" i="2" s="1"/>
  <c r="X306" i="2" s="1"/>
  <c r="X307" i="2" s="1"/>
  <c r="X308" i="2" s="1"/>
  <c r="X309" i="2" s="1"/>
  <c r="X310" i="2" s="1"/>
  <c r="X311" i="2" s="1"/>
  <c r="X312" i="2" s="1"/>
  <c r="X313" i="2" s="1"/>
  <c r="X314" i="2" s="1"/>
  <c r="X315" i="2" s="1"/>
  <c r="X316" i="2" s="1"/>
  <c r="X317" i="2" s="1"/>
  <c r="X318" i="2" s="1"/>
  <c r="X319" i="2" s="1"/>
  <c r="X320" i="2" s="1"/>
  <c r="X321" i="2" s="1"/>
  <c r="X322" i="2" s="1"/>
  <c r="X323" i="2" s="1"/>
  <c r="X324" i="2" s="1"/>
  <c r="X325" i="2" s="1"/>
  <c r="X326" i="2" s="1"/>
  <c r="X327" i="2" s="1"/>
  <c r="X328" i="2" s="1"/>
  <c r="X329" i="2" s="1"/>
  <c r="X330" i="2" s="1"/>
  <c r="X331" i="2" s="1"/>
  <c r="X332" i="2" s="1"/>
  <c r="X333" i="2" s="1"/>
  <c r="X334" i="2" s="1"/>
  <c r="X335" i="2" s="1"/>
  <c r="X336" i="2" s="1"/>
  <c r="X337" i="2" s="1"/>
  <c r="X338" i="2" s="1"/>
  <c r="X339" i="2" s="1"/>
  <c r="X340" i="2" s="1"/>
  <c r="X341" i="2" s="1"/>
  <c r="X342" i="2" s="1"/>
  <c r="X343" i="2" s="1"/>
  <c r="X344" i="2" s="1"/>
  <c r="X345" i="2" s="1"/>
  <c r="X346" i="2" s="1"/>
  <c r="X347" i="2" s="1"/>
  <c r="X348" i="2" s="1"/>
  <c r="X349" i="2" s="1"/>
  <c r="X350" i="2" s="1"/>
  <c r="X351" i="2" s="1"/>
  <c r="X352" i="2" s="1"/>
  <c r="X353" i="2" s="1"/>
  <c r="X354" i="2" s="1"/>
  <c r="X355" i="2" s="1"/>
  <c r="X356" i="2" s="1"/>
  <c r="X357" i="2" s="1"/>
  <c r="X358" i="2" s="1"/>
  <c r="X359" i="2" s="1"/>
  <c r="X360" i="2" s="1"/>
  <c r="X361" i="2" s="1"/>
  <c r="X362" i="2" s="1"/>
  <c r="X363" i="2" s="1"/>
  <c r="X364" i="2" s="1"/>
  <c r="X365" i="2" s="1"/>
  <c r="X366" i="2" s="1"/>
  <c r="X367" i="2" s="1"/>
  <c r="X368" i="2" s="1"/>
  <c r="X369" i="2" s="1"/>
  <c r="X370" i="2" s="1"/>
  <c r="X371" i="2" s="1"/>
  <c r="X372" i="2" s="1"/>
  <c r="X373" i="2" s="1"/>
  <c r="X374" i="2" s="1"/>
  <c r="X375" i="2" s="1"/>
  <c r="X376" i="2" s="1"/>
  <c r="X377" i="2" s="1"/>
  <c r="X378" i="2" s="1"/>
  <c r="X379" i="2" s="1"/>
  <c r="X380" i="2" s="1"/>
  <c r="X381" i="2" s="1"/>
  <c r="X382" i="2" s="1"/>
  <c r="X383" i="2" s="1"/>
  <c r="X384" i="2" s="1"/>
  <c r="X385" i="2" s="1"/>
  <c r="X386" i="2" s="1"/>
  <c r="X387" i="2" s="1"/>
  <c r="X388" i="2" s="1"/>
  <c r="X389" i="2" s="1"/>
  <c r="X390" i="2" s="1"/>
  <c r="X391" i="2" s="1"/>
  <c r="X392" i="2" s="1"/>
  <c r="X393" i="2" s="1"/>
  <c r="X394" i="2" s="1"/>
  <c r="X395" i="2" s="1"/>
  <c r="X396" i="2" s="1"/>
  <c r="X397" i="2" s="1"/>
  <c r="X398" i="2" s="1"/>
  <c r="X399" i="2" s="1"/>
  <c r="X400" i="2" s="1"/>
  <c r="X401" i="2" s="1"/>
  <c r="S37" i="2"/>
  <c r="T37" i="2" s="1"/>
  <c r="O37" i="2"/>
  <c r="J37" i="2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P9" i="2" s="1"/>
  <c r="O8" i="2"/>
  <c r="O7" i="2"/>
  <c r="O6" i="2"/>
  <c r="O5" i="2"/>
  <c r="O4" i="2"/>
  <c r="P1" i="2"/>
  <c r="Y311" i="1"/>
  <c r="L318" i="1"/>
  <c r="L316" i="1"/>
  <c r="L314" i="1"/>
  <c r="L301" i="1"/>
  <c r="L299" i="1"/>
  <c r="L297" i="1"/>
  <c r="Y294" i="1"/>
  <c r="Y264" i="1"/>
  <c r="L271" i="1"/>
  <c r="L269" i="1"/>
  <c r="L267" i="1"/>
  <c r="Y243" i="1"/>
  <c r="L250" i="1"/>
  <c r="L248" i="1"/>
  <c r="L246" i="1"/>
  <c r="L192" i="1"/>
  <c r="L190" i="1"/>
  <c r="L188" i="1"/>
  <c r="AA314" i="1"/>
  <c r="AA297" i="1"/>
  <c r="AA267" i="1"/>
  <c r="AA246" i="1"/>
  <c r="J38" i="2" l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K264" i="2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Y264" i="2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Y334" i="2" s="1"/>
  <c r="Y335" i="2" s="1"/>
  <c r="Y336" i="2" s="1"/>
  <c r="Y337" i="2" s="1"/>
  <c r="Y338" i="2" s="1"/>
  <c r="Y339" i="2" s="1"/>
  <c r="Y340" i="2" s="1"/>
  <c r="Y341" i="2" s="1"/>
  <c r="Y342" i="2" s="1"/>
  <c r="Y343" i="2" s="1"/>
  <c r="Y344" i="2" s="1"/>
  <c r="Y345" i="2" s="1"/>
  <c r="Y346" i="2" s="1"/>
  <c r="Y347" i="2" s="1"/>
  <c r="Y348" i="2" s="1"/>
  <c r="Y349" i="2" s="1"/>
  <c r="Y350" i="2" s="1"/>
  <c r="Y351" i="2" s="1"/>
  <c r="Y352" i="2" s="1"/>
  <c r="Y353" i="2" s="1"/>
  <c r="Y354" i="2" s="1"/>
  <c r="Y355" i="2" s="1"/>
  <c r="Y356" i="2" s="1"/>
  <c r="Y357" i="2" s="1"/>
  <c r="Y358" i="2" s="1"/>
  <c r="Y359" i="2" s="1"/>
  <c r="Y360" i="2" s="1"/>
  <c r="Y361" i="2" s="1"/>
  <c r="Y362" i="2" s="1"/>
  <c r="Y363" i="2" s="1"/>
  <c r="Y364" i="2" s="1"/>
  <c r="Y365" i="2" s="1"/>
  <c r="Y366" i="2" s="1"/>
  <c r="Y367" i="2" s="1"/>
  <c r="Y368" i="2" s="1"/>
  <c r="Y369" i="2" s="1"/>
  <c r="Y370" i="2" s="1"/>
  <c r="Y371" i="2" s="1"/>
  <c r="Y372" i="2" s="1"/>
  <c r="Y373" i="2" s="1"/>
  <c r="Y374" i="2" s="1"/>
  <c r="Y375" i="2" s="1"/>
  <c r="Y376" i="2" s="1"/>
  <c r="Y377" i="2" s="1"/>
  <c r="Y378" i="2" s="1"/>
  <c r="Y379" i="2" s="1"/>
  <c r="Y380" i="2" s="1"/>
  <c r="Y381" i="2" s="1"/>
  <c r="Y382" i="2" s="1"/>
  <c r="Y383" i="2" s="1"/>
  <c r="Y384" i="2" s="1"/>
  <c r="Y385" i="2" s="1"/>
  <c r="Y386" i="2" s="1"/>
  <c r="Y387" i="2" s="1"/>
  <c r="Y388" i="2" s="1"/>
  <c r="Y389" i="2" s="1"/>
  <c r="Y390" i="2" s="1"/>
  <c r="Y391" i="2" s="1"/>
  <c r="Y392" i="2" s="1"/>
  <c r="Y393" i="2" s="1"/>
  <c r="Y394" i="2" s="1"/>
  <c r="Y395" i="2" s="1"/>
  <c r="Y396" i="2" s="1"/>
  <c r="Y397" i="2" s="1"/>
  <c r="Y398" i="2" s="1"/>
  <c r="Y399" i="2" s="1"/>
  <c r="Y400" i="2" s="1"/>
  <c r="Y401" i="2" s="1"/>
  <c r="U126" i="2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V44" i="2"/>
  <c r="V46" i="2"/>
  <c r="V48" i="2" s="1"/>
  <c r="AA188" i="1"/>
  <c r="V134" i="2" l="1"/>
  <c r="V136" i="2" s="1"/>
  <c r="V132" i="2"/>
  <c r="V130" i="2"/>
  <c r="AA128" i="1"/>
  <c r="AA40" i="1"/>
  <c r="Y185" i="1"/>
  <c r="L132" i="1"/>
  <c r="L130" i="1"/>
  <c r="L128" i="1"/>
  <c r="Y125" i="1"/>
  <c r="L44" i="1"/>
  <c r="L42" i="1"/>
  <c r="L40" i="1"/>
  <c r="V192" i="2" l="1"/>
  <c r="V194" i="2"/>
  <c r="V196" i="2" s="1"/>
  <c r="V190" i="2"/>
  <c r="Y37" i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X37" i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294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185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44" i="1"/>
  <c r="K311" i="1" l="1"/>
  <c r="K294" i="1"/>
  <c r="K264" i="1"/>
  <c r="K185" i="1"/>
  <c r="K125" i="1"/>
  <c r="K37" i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60" i="1" s="1"/>
  <c r="K162" i="1" s="1"/>
  <c r="K163" i="1" s="1"/>
  <c r="K166" i="1" s="1"/>
  <c r="K167" i="1" s="1"/>
  <c r="K168" i="1" s="1"/>
  <c r="K169" i="1" s="1"/>
  <c r="K170" i="1" s="1"/>
  <c r="K171" i="1" s="1"/>
  <c r="K172" i="1" s="1"/>
  <c r="K173" i="1" s="1"/>
  <c r="K174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J39" i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60" i="1" s="1"/>
  <c r="J162" i="1" s="1"/>
  <c r="J163" i="1" s="1"/>
  <c r="J166" i="1" s="1"/>
  <c r="J167" i="1" s="1"/>
  <c r="J168" i="1" s="1"/>
  <c r="J169" i="1" s="1"/>
  <c r="J170" i="1" s="1"/>
  <c r="J171" i="1" s="1"/>
  <c r="J172" i="1" s="1"/>
  <c r="J173" i="1" s="1"/>
  <c r="J17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38" i="1"/>
  <c r="J37" i="1"/>
  <c r="T273" i="1"/>
  <c r="T344" i="1"/>
  <c r="S38" i="1"/>
  <c r="T38" i="1" s="1"/>
  <c r="S39" i="1"/>
  <c r="T39" i="1" s="1"/>
  <c r="S40" i="1"/>
  <c r="T40" i="1" s="1"/>
  <c r="U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U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7" i="1"/>
  <c r="T37" i="1" s="1"/>
  <c r="V247" i="2" l="1"/>
  <c r="V249" i="2"/>
  <c r="V251" i="2"/>
  <c r="V253" i="2" s="1"/>
  <c r="U50" i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P1" i="1"/>
  <c r="O5" i="1"/>
  <c r="O6" i="1"/>
  <c r="O7" i="1"/>
  <c r="O8" i="1"/>
  <c r="O9" i="1"/>
  <c r="P9" i="1" s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" i="1"/>
  <c r="V272" i="2" l="1"/>
  <c r="V274" i="2" s="1"/>
  <c r="V270" i="2"/>
  <c r="U126" i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V44" i="1"/>
  <c r="V268" i="2"/>
  <c r="V46" i="1"/>
  <c r="V48" i="1" s="1"/>
  <c r="U186" i="1" l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V300" i="2"/>
  <c r="V132" i="1"/>
  <c r="V298" i="2"/>
  <c r="V302" i="2"/>
  <c r="V304" i="2" s="1"/>
  <c r="V134" i="1"/>
  <c r="V136" i="1" s="1"/>
  <c r="V130" i="1"/>
  <c r="V192" i="1" l="1"/>
  <c r="V190" i="1"/>
  <c r="V317" i="2"/>
  <c r="V319" i="2"/>
  <c r="V321" i="2" s="1"/>
  <c r="V194" i="1"/>
  <c r="V196" i="1" s="1"/>
  <c r="U244" i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V250" i="1" l="1"/>
  <c r="V252" i="1"/>
  <c r="V254" i="1" s="1"/>
  <c r="U265" i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V248" i="1"/>
  <c r="U295" i="1" l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V269" i="1"/>
  <c r="V271" i="1"/>
  <c r="V273" i="1"/>
  <c r="V275" i="1" s="1"/>
  <c r="V299" i="1" l="1"/>
  <c r="V301" i="1"/>
  <c r="V303" i="1"/>
  <c r="V305" i="1" s="1"/>
  <c r="U312" i="1"/>
  <c r="U313" i="1" s="1"/>
  <c r="U314" i="1" s="1"/>
  <c r="U315" i="1" s="1"/>
  <c r="U316" i="1" s="1"/>
  <c r="U317" i="1" s="1"/>
  <c r="U318" i="1" s="1"/>
  <c r="U319" i="1" s="1"/>
  <c r="U320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V320" i="1" l="1"/>
  <c r="V322" i="1" s="1"/>
  <c r="V318" i="1"/>
</calcChain>
</file>

<file path=xl/sharedStrings.xml><?xml version="1.0" encoding="utf-8"?>
<sst xmlns="http://schemas.openxmlformats.org/spreadsheetml/2006/main" count="350" uniqueCount="69">
  <si>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</si>
  <si>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</si>
  <si>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</si>
  <si>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</si>
  <si>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</si>
  <si>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</si>
  <si>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</si>
  <si>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</si>
  <si>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</si>
  <si>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</si>
  <si>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Vernalisation</t>
  </si>
  <si>
    <t>Période</t>
  </si>
  <si>
    <t>GDD_Cumul</t>
  </si>
  <si>
    <t>GDD/période</t>
  </si>
  <si>
    <t>IPC</t>
  </si>
  <si>
    <t>P-ETP</t>
  </si>
  <si>
    <t>RU_avant_Semi</t>
  </si>
  <si>
    <t>i</t>
  </si>
  <si>
    <t>kc</t>
  </si>
  <si>
    <t>ETM</t>
  </si>
  <si>
    <t>P-ETM</t>
  </si>
  <si>
    <t>WSCi</t>
  </si>
  <si>
    <t>SSI_Cumul</t>
  </si>
  <si>
    <t>SSI/période</t>
  </si>
  <si>
    <t>Photopériode</t>
  </si>
  <si>
    <t>Indicateur</t>
  </si>
  <si>
    <t>TEMPERATURE</t>
  </si>
  <si>
    <t>WATER</t>
  </si>
  <si>
    <t>SOLAR</t>
  </si>
  <si>
    <t>RU</t>
  </si>
  <si>
    <t>1/3</t>
  </si>
  <si>
    <t>Fin FLO</t>
  </si>
  <si>
    <t>Semis</t>
  </si>
  <si>
    <t>Levée</t>
  </si>
  <si>
    <t>Récolte</t>
  </si>
  <si>
    <t>Hiver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</si>
  <si>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</si>
  <si>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</si>
  <si>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</si>
  <si>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</si>
  <si>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</si>
  <si>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</si>
  <si>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</si>
  <si>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</si>
  <si>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</si>
  <si>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</si>
  <si>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</si>
  <si>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</si>
  <si>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</si>
  <si>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</si>
  <si>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</si>
  <si>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</si>
  <si>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AUTOMNE</t>
  </si>
  <si>
    <t>BOLTING</t>
  </si>
  <si>
    <t>FLOWERING</t>
  </si>
  <si>
    <t>P300</t>
  </si>
  <si>
    <t>P600</t>
  </si>
  <si>
    <t>P1000</t>
  </si>
  <si>
    <t>f</t>
  </si>
  <si>
    <t>S</t>
  </si>
  <si>
    <t>N45</t>
  </si>
  <si>
    <t>N22</t>
  </si>
  <si>
    <t>N81</t>
  </si>
  <si>
    <t>N29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</si>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</sst>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7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6">
    <xf numFmtId="0" fontId="0" fillId="0" borderId="0" xfId="0"/>
    <xf numFmtId="14" fontId="0" fillId="0" borderId="0" xfId="0" applyNumberFormat="1"/>
    <xf numFmtId="0" fontId="16" fillId="0" borderId="0" xfId="0" applyFont="1"/>
    <xf numFmtId="16" fontId="16" fillId="0" borderId="0" xfId="0" quotePrefix="1" applyNumberFormat="1" applyFont="1"/>
    <xf numFmtId="0" fontId="0" fillId="35" borderId="0" xfId="0" applyFill="1"/>
    <xf numFmtId="14" fontId="0" fillId="35" borderId="0" xfId="0" applyNumberFormat="1" applyFill="1"/>
    <xf numFmtId="0" fontId="16" fillId="0" borderId="10" xfId="0" applyFont="1" applyBorder="1"/>
    <xf numFmtId="14" fontId="16" fillId="0" borderId="10" xfId="0" applyNumberFormat="1" applyFont="1" applyBorder="1"/>
    <xf numFmtId="0" fontId="16" fillId="36" borderId="11" xfId="0" applyFont="1" applyFill="1" applyBorder="1"/>
    <xf numFmtId="0" fontId="0" fillId="0" borderId="11" xfId="0" applyBorder="1"/>
    <xf numFmtId="0" fontId="0" fillId="0" borderId="11" xfId="0" applyFont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2" fontId="0" fillId="0" borderId="0" xfId="0" applyNumberFormat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0" fillId="0" borderId="11" xfId="0" applyFill="1" applyBorder="1"/>
    <xf numFmtId="0" fontId="16" fillId="39" borderId="0" xfId="0" applyFont="1" applyFill="1"/>
    <xf numFmtId="0" fontId="16" fillId="40" borderId="11" xfId="0" applyFont="1" applyFill="1" applyBorder="1"/>
    <xf numFmtId="0" fontId="16" fillId="40" borderId="0" xfId="0" applyFont="1" applyFill="1"/>
    <xf numFmtId="0" fontId="16" fillId="41" borderId="11" xfId="0" applyFont="1" applyFill="1" applyBorder="1"/>
    <xf numFmtId="0" fontId="16" fillId="41" borderId="0" xfId="0" applyFont="1" applyFill="1"/>
    <xf numFmtId="0" fontId="16" fillId="42" borderId="11" xfId="0" applyFont="1" applyFill="1" applyBorder="1"/>
    <xf numFmtId="0" fontId="16" fillId="42" borderId="0" xfId="0" applyFont="1" applyFill="1"/>
    <xf numFmtId="2" fontId="16" fillId="0" borderId="10" xfId="0" applyNumberFormat="1" applyFont="1" applyBorder="1"/>
    <xf numFmtId="0" fontId="0" fillId="0" borderId="0" xfId="0" applyFont="1" applyBorder="1"/>
    <xf numFmtId="14" fontId="0" fillId="0" borderId="0" xfId="0" applyNumberFormat="1" applyFont="1" applyBorder="1"/>
    <xf numFmtId="164" fontId="0" fillId="0" borderId="0" xfId="0" applyNumberFormat="1"/>
    <xf numFmtId="0" fontId="18" fillId="33" borderId="0" xfId="0" applyFont="1" applyFill="1" applyAlignment="1">
      <alignment horizontal="center"/>
    </xf>
    <xf numFmtId="0" fontId="19" fillId="35" borderId="0" xfId="0" applyFont="1" applyFill="1" applyAlignment="1">
      <alignment horizontal="center"/>
    </xf>
    <xf numFmtId="0" fontId="16" fillId="43" borderId="0" xfId="0" applyFont="1" applyFill="1" applyAlignment="1">
      <alignment horizontal="center" vertical="center" textRotation="255"/>
    </xf>
    <xf numFmtId="0" fontId="16" fillId="43" borderId="10" xfId="0" applyFont="1" applyFill="1" applyBorder="1" applyAlignment="1">
      <alignment horizontal="center" vertical="center" textRotation="255"/>
    </xf>
    <xf numFmtId="0" fontId="16" fillId="44" borderId="12" xfId="0" applyFont="1" applyFill="1" applyBorder="1" applyAlignment="1">
      <alignment horizontal="center" vertical="center" textRotation="255"/>
    </xf>
    <xf numFmtId="0" fontId="16" fillId="44" borderId="0" xfId="0" applyFont="1" applyFill="1" applyAlignment="1">
      <alignment horizontal="center" vertical="center" textRotation="255"/>
    </xf>
    <xf numFmtId="0" fontId="16" fillId="44" borderId="10" xfId="0" applyFont="1" applyFill="1" applyBorder="1" applyAlignment="1">
      <alignment horizontal="center" vertical="center" textRotation="255"/>
    </xf>
    <xf numFmtId="0" fontId="16" fillId="45" borderId="12" xfId="0" applyFont="1" applyFill="1" applyBorder="1" applyAlignment="1">
      <alignment horizontal="center" vertical="center" textRotation="255"/>
    </xf>
    <xf numFmtId="0" fontId="16" fillId="45" borderId="0" xfId="0" applyFont="1" applyFill="1" applyAlignment="1">
      <alignment horizontal="center" vertical="center" textRotation="255"/>
    </xf>
    <xf numFmtId="0" fontId="16" fillId="45" borderId="10" xfId="0" applyFont="1" applyFill="1" applyBorder="1" applyAlignment="1">
      <alignment horizontal="center" vertical="center" textRotation="255"/>
    </xf>
    <xf numFmtId="0" fontId="16" fillId="46" borderId="12" xfId="0" applyFont="1" applyFill="1" applyBorder="1" applyAlignment="1">
      <alignment horizontal="center" vertical="center" textRotation="255"/>
    </xf>
    <xf numFmtId="0" fontId="16" fillId="46" borderId="0" xfId="0" applyFont="1" applyFill="1" applyAlignment="1">
      <alignment horizontal="center" vertical="center" textRotation="255"/>
    </xf>
    <xf numFmtId="0" fontId="16" fillId="46" borderId="10" xfId="0" applyFont="1" applyFill="1" applyBorder="1" applyAlignment="1">
      <alignment horizontal="center" vertical="center" textRotation="255"/>
    </xf>
    <xf numFmtId="0" fontId="16" fillId="47" borderId="12" xfId="0" applyFont="1" applyFill="1" applyBorder="1" applyAlignment="1">
      <alignment horizontal="center" vertical="center" textRotation="255"/>
    </xf>
    <xf numFmtId="0" fontId="16" fillId="47" borderId="0" xfId="0" applyFont="1" applyFill="1" applyAlignment="1">
      <alignment horizontal="center" vertical="center" textRotation="255"/>
    </xf>
    <xf numFmtId="0" fontId="16" fillId="47" borderId="10" xfId="0" applyFont="1" applyFill="1" applyBorder="1" applyAlignment="1">
      <alignment horizontal="center" vertical="center" textRotation="255"/>
    </xf>
    <xf numFmtId="0" fontId="16" fillId="48" borderId="12" xfId="0" applyFont="1" applyFill="1" applyBorder="1" applyAlignment="1">
      <alignment horizontal="center" vertical="center" textRotation="255"/>
    </xf>
    <xf numFmtId="0" fontId="16" fillId="48" borderId="0" xfId="0" applyFont="1" applyFill="1" applyAlignment="1">
      <alignment horizontal="center" vertical="center" textRotation="255"/>
    </xf>
    <xf numFmtId="0" fontId="16" fillId="48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16" fillId="0" borderId="0" xfId="0" applyFont="1" applyAlignment="1">
      <alignment horizontal="center"/>
    </xf>
    <xf numFmtId="0" fontId="16" fillId="34" borderId="0" xfId="0" applyFont="1" applyFill="1" applyBorder="1" applyAlignment="1">
      <alignment horizontal="center" vertical="center" textRotation="255"/>
    </xf>
    <xf numFmtId="0" fontId="16" fillId="45" borderId="0" xfId="0" applyFont="1" applyFill="1" applyBorder="1" applyAlignment="1">
      <alignment horizontal="center" vertical="center" textRotation="255"/>
    </xf>
    <xf numFmtId="0" fontId="16" fillId="46" borderId="0" xfId="0" applyFont="1" applyFill="1" applyBorder="1" applyAlignment="1">
      <alignment horizontal="center" vertical="center" textRotation="255"/>
    </xf>
    <xf numFmtId="0" fontId="16" fillId="47" borderId="0" xfId="0" applyFont="1" applyFill="1" applyBorder="1" applyAlignment="1">
      <alignment horizontal="center" vertical="center" textRotation="255"/>
    </xf>
    <xf numFmtId="0" fontId="16" fillId="48" borderId="0" xfId="0" applyFont="1" applyFill="1" applyBorder="1" applyAlignment="1">
      <alignment horizontal="center" vertical="center" textRotation="255"/>
    </xf>
    <xf numFmtId="0" fontId="0" fillId="49" borderId="0" xfId="0" applyFill="1"/>
    <xf numFmtId="14" fontId="0" fillId="49" borderId="0" xfId="0" applyNumberFormat="1" applyFill="1"/>
    <xf numFmtId="2" fontId="0" fillId="49" borderId="0" xfId="0" applyNumberFormat="1" applyFill="1"/>
    <xf numFmtId="0" fontId="16" fillId="49" borderId="10" xfId="0" applyFont="1" applyFill="1" applyBorder="1"/>
    <xf numFmtId="14" fontId="16" fillId="49" borderId="10" xfId="0" applyNumberFormat="1" applyFont="1" applyFill="1" applyBorder="1"/>
    <xf numFmtId="2" fontId="16" fillId="49" borderId="10" xfId="0" applyNumberFormat="1" applyFont="1" applyFill="1" applyBorder="1"/>
    <xf numFmtId="0" fontId="0" fillId="50" borderId="0" xfId="0" applyFill="1"/>
    <xf numFmtId="2" fontId="0" fillId="50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0">
    <dxf>
      <fill>
        <patternFill>
          <bgColor theme="0" tint="-0.2499465926084170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colors>
    <mruColors>
      <color rgb="FF669900"/>
      <color rgb="FF00CC66"/>
      <color rgb="FF33CCCC"/>
      <color rgb="FF3399FF"/>
      <color rgb="FFCC66FF"/>
      <color rgb="FF9933FF"/>
      <color rgb="FFFF66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1"/>
  <sheetViews>
    <sheetView tabSelected="1" zoomScale="80" zoomScaleNormal="80" workbookViewId="0">
      <pane xSplit="6" ySplit="3" topLeftCell="G199" activePane="bottomRight" state="frozen"/>
      <selection pane="topRight" activeCell="G1" sqref="G1"/>
      <selection pane="bottomLeft" activeCell="A4" sqref="A4"/>
      <selection pane="bottomRight" activeCell="AC220" sqref="AC220"/>
    </sheetView>
  </sheetViews>
  <sheetFormatPr baseColWidth="10" defaultRowHeight="15" x14ac:dyDescent="0.25"/>
  <sheetData>
    <row r="1" spans="1:27" s="2" customFormat="1" x14ac:dyDescent="0.25">
      <c r="M1" s="2" t="s">
        <v>29</v>
      </c>
      <c r="N1" s="2">
        <v>138.9</v>
      </c>
      <c r="O1" s="3" t="s">
        <v>30</v>
      </c>
      <c r="P1" s="2">
        <f>N1/3</f>
        <v>46.300000000000004</v>
      </c>
    </row>
    <row r="2" spans="1:27" s="2" customFormat="1" x14ac:dyDescent="0.25">
      <c r="G2" s="52" t="s">
        <v>26</v>
      </c>
      <c r="H2" s="52"/>
      <c r="I2" s="52"/>
      <c r="J2" s="52"/>
      <c r="K2" s="52"/>
      <c r="L2" s="52"/>
      <c r="M2" s="52" t="s">
        <v>27</v>
      </c>
      <c r="N2" s="52"/>
      <c r="O2" s="52"/>
      <c r="P2" s="52"/>
      <c r="Q2" s="52"/>
      <c r="R2" s="52"/>
      <c r="S2" s="52"/>
      <c r="T2" s="52"/>
      <c r="U2" s="52"/>
      <c r="V2" s="52"/>
      <c r="W2" s="52" t="s">
        <v>28</v>
      </c>
      <c r="X2" s="52"/>
      <c r="Y2" s="52"/>
      <c r="Z2" s="52"/>
      <c r="AA2" s="52"/>
    </row>
    <row r="3" spans="1:27" s="2" customFormat="1" x14ac:dyDescent="0.2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4</v>
      </c>
      <c r="H3" s="2" t="s">
        <v>7</v>
      </c>
      <c r="I3" s="2" t="s">
        <v>8</v>
      </c>
      <c r="J3" s="2" t="s">
        <v>12</v>
      </c>
      <c r="K3" s="2" t="s">
        <v>13</v>
      </c>
      <c r="L3" s="2" t="s">
        <v>14</v>
      </c>
      <c r="M3" s="2" t="s">
        <v>3</v>
      </c>
      <c r="N3" s="2" t="s">
        <v>6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14</v>
      </c>
      <c r="W3" s="2" t="s">
        <v>5</v>
      </c>
      <c r="X3" s="2" t="s">
        <v>22</v>
      </c>
      <c r="Y3" s="2" t="s">
        <v>23</v>
      </c>
      <c r="Z3" s="2" t="s">
        <v>24</v>
      </c>
      <c r="AA3" s="2" t="s">
        <v>25</v>
      </c>
    </row>
    <row r="4" spans="1:27" x14ac:dyDescent="0.25">
      <c r="A4">
        <v>5320</v>
      </c>
      <c r="B4">
        <v>23210</v>
      </c>
      <c r="C4" s="1">
        <v>42582</v>
      </c>
      <c r="G4">
        <v>20.2</v>
      </c>
      <c r="H4">
        <v>15.7</v>
      </c>
      <c r="I4">
        <v>25.1</v>
      </c>
      <c r="M4">
        <v>0</v>
      </c>
      <c r="N4">
        <v>4.0999999999999996</v>
      </c>
      <c r="O4">
        <f>M4-N4</f>
        <v>-4.0999999999999996</v>
      </c>
      <c r="P4">
        <v>0</v>
      </c>
      <c r="W4">
        <v>1786.2</v>
      </c>
    </row>
    <row r="5" spans="1:27" x14ac:dyDescent="0.25">
      <c r="A5">
        <v>5320</v>
      </c>
      <c r="B5">
        <v>23210</v>
      </c>
      <c r="C5" s="1">
        <v>42583</v>
      </c>
      <c r="G5">
        <v>19.5</v>
      </c>
      <c r="H5">
        <v>14.4</v>
      </c>
      <c r="I5">
        <v>23.7</v>
      </c>
      <c r="M5">
        <v>0</v>
      </c>
      <c r="N5">
        <v>4.3</v>
      </c>
      <c r="O5">
        <f t="shared" ref="O5:O69" si="0">M5-N5</f>
        <v>-4.3</v>
      </c>
      <c r="P5">
        <v>0</v>
      </c>
      <c r="W5">
        <v>1923</v>
      </c>
    </row>
    <row r="6" spans="1:27" x14ac:dyDescent="0.25">
      <c r="A6">
        <v>5320</v>
      </c>
      <c r="B6">
        <v>23210</v>
      </c>
      <c r="C6" s="1">
        <v>42584</v>
      </c>
      <c r="G6">
        <v>20.399999999999999</v>
      </c>
      <c r="H6">
        <v>17.399999999999999</v>
      </c>
      <c r="I6">
        <v>24.1</v>
      </c>
      <c r="M6">
        <v>0</v>
      </c>
      <c r="N6">
        <v>3.2</v>
      </c>
      <c r="O6">
        <f t="shared" si="0"/>
        <v>-3.2</v>
      </c>
      <c r="P6">
        <v>0</v>
      </c>
      <c r="W6">
        <v>881.4</v>
      </c>
    </row>
    <row r="7" spans="1:27" x14ac:dyDescent="0.25">
      <c r="A7">
        <v>5320</v>
      </c>
      <c r="B7">
        <v>23210</v>
      </c>
      <c r="C7" s="1">
        <v>42585</v>
      </c>
      <c r="G7">
        <v>20.9</v>
      </c>
      <c r="H7">
        <v>16.8</v>
      </c>
      <c r="I7">
        <v>26.3</v>
      </c>
      <c r="M7">
        <v>0</v>
      </c>
      <c r="N7">
        <v>4.5</v>
      </c>
      <c r="O7">
        <f t="shared" si="0"/>
        <v>-4.5</v>
      </c>
      <c r="P7">
        <v>0</v>
      </c>
      <c r="W7">
        <v>1674.1</v>
      </c>
    </row>
    <row r="8" spans="1:27" x14ac:dyDescent="0.25">
      <c r="A8">
        <v>5320</v>
      </c>
      <c r="B8">
        <v>23210</v>
      </c>
      <c r="C8" s="1">
        <v>42586</v>
      </c>
      <c r="G8">
        <v>17.2</v>
      </c>
      <c r="H8">
        <v>17</v>
      </c>
      <c r="I8">
        <v>18.899999999999999</v>
      </c>
      <c r="M8">
        <v>5.4</v>
      </c>
      <c r="N8">
        <v>2</v>
      </c>
      <c r="O8">
        <f t="shared" si="0"/>
        <v>3.4000000000000004</v>
      </c>
      <c r="P8">
        <v>3.4</v>
      </c>
      <c r="W8">
        <v>1490.6</v>
      </c>
    </row>
    <row r="9" spans="1:27" x14ac:dyDescent="0.25">
      <c r="A9">
        <v>5320</v>
      </c>
      <c r="B9">
        <v>23210</v>
      </c>
      <c r="C9" s="1">
        <v>42587</v>
      </c>
      <c r="G9">
        <v>17.100000000000001</v>
      </c>
      <c r="H9">
        <v>12.8</v>
      </c>
      <c r="I9">
        <v>22.1</v>
      </c>
      <c r="M9">
        <v>0</v>
      </c>
      <c r="N9">
        <v>2.9</v>
      </c>
      <c r="O9">
        <f t="shared" si="0"/>
        <v>-2.9</v>
      </c>
      <c r="P9">
        <f>P8+O9</f>
        <v>0.5</v>
      </c>
      <c r="W9">
        <v>1362.4</v>
      </c>
    </row>
    <row r="10" spans="1:27" x14ac:dyDescent="0.25">
      <c r="A10">
        <v>5320</v>
      </c>
      <c r="B10">
        <v>23210</v>
      </c>
      <c r="C10" s="1">
        <v>42588</v>
      </c>
      <c r="G10">
        <v>18</v>
      </c>
      <c r="H10">
        <v>10.8</v>
      </c>
      <c r="I10">
        <v>24.4</v>
      </c>
      <c r="M10">
        <v>0</v>
      </c>
      <c r="N10">
        <v>3.9</v>
      </c>
      <c r="O10">
        <f t="shared" si="0"/>
        <v>-3.9</v>
      </c>
      <c r="P10">
        <v>0</v>
      </c>
      <c r="W10">
        <v>2003.1</v>
      </c>
    </row>
    <row r="11" spans="1:27" x14ac:dyDescent="0.25">
      <c r="A11">
        <v>5320</v>
      </c>
      <c r="B11">
        <v>23210</v>
      </c>
      <c r="C11" s="1">
        <v>42589</v>
      </c>
      <c r="G11">
        <v>21.5</v>
      </c>
      <c r="H11">
        <v>13.7</v>
      </c>
      <c r="I11">
        <v>27.9</v>
      </c>
      <c r="M11">
        <v>0</v>
      </c>
      <c r="N11">
        <v>5.7</v>
      </c>
      <c r="O11">
        <f t="shared" si="0"/>
        <v>-5.7</v>
      </c>
      <c r="P11">
        <v>0</v>
      </c>
      <c r="W11">
        <v>2790.4</v>
      </c>
    </row>
    <row r="12" spans="1:27" x14ac:dyDescent="0.25">
      <c r="A12">
        <v>5320</v>
      </c>
      <c r="B12">
        <v>23210</v>
      </c>
      <c r="C12" s="1">
        <v>42590</v>
      </c>
      <c r="G12">
        <v>19.600000000000001</v>
      </c>
      <c r="H12">
        <v>17.399999999999999</v>
      </c>
      <c r="I12">
        <v>23</v>
      </c>
      <c r="M12">
        <v>0</v>
      </c>
      <c r="N12">
        <v>3.8</v>
      </c>
      <c r="O12">
        <f t="shared" si="0"/>
        <v>-3.8</v>
      </c>
      <c r="P12">
        <v>0</v>
      </c>
      <c r="W12">
        <v>1425</v>
      </c>
    </row>
    <row r="13" spans="1:27" x14ac:dyDescent="0.25">
      <c r="A13">
        <v>5320</v>
      </c>
      <c r="B13">
        <v>23210</v>
      </c>
      <c r="C13" s="1">
        <v>42591</v>
      </c>
      <c r="G13">
        <v>17</v>
      </c>
      <c r="H13">
        <v>12.3</v>
      </c>
      <c r="I13">
        <v>21.4</v>
      </c>
      <c r="M13">
        <v>0</v>
      </c>
      <c r="N13">
        <v>2.9</v>
      </c>
      <c r="O13">
        <f t="shared" si="0"/>
        <v>-2.9</v>
      </c>
      <c r="P13">
        <v>0</v>
      </c>
      <c r="W13">
        <v>1241.2</v>
      </c>
    </row>
    <row r="14" spans="1:27" x14ac:dyDescent="0.25">
      <c r="A14">
        <v>5320</v>
      </c>
      <c r="B14">
        <v>23210</v>
      </c>
      <c r="C14" s="1">
        <v>42592</v>
      </c>
      <c r="G14">
        <v>14.1</v>
      </c>
      <c r="H14">
        <v>9.4</v>
      </c>
      <c r="I14">
        <v>19.399999999999999</v>
      </c>
      <c r="M14">
        <v>0</v>
      </c>
      <c r="N14">
        <v>2.5</v>
      </c>
      <c r="O14">
        <f t="shared" si="0"/>
        <v>-2.5</v>
      </c>
      <c r="P14">
        <v>0</v>
      </c>
      <c r="W14">
        <v>1279.5999999999999</v>
      </c>
    </row>
    <row r="15" spans="1:27" x14ac:dyDescent="0.25">
      <c r="A15">
        <v>5320</v>
      </c>
      <c r="B15">
        <v>23210</v>
      </c>
      <c r="C15" s="1">
        <v>42593</v>
      </c>
      <c r="G15">
        <v>15.3</v>
      </c>
      <c r="H15">
        <v>7.8</v>
      </c>
      <c r="I15">
        <v>22</v>
      </c>
      <c r="M15">
        <v>0</v>
      </c>
      <c r="N15">
        <v>3.1</v>
      </c>
      <c r="O15">
        <f t="shared" si="0"/>
        <v>-3.1</v>
      </c>
      <c r="P15">
        <v>0</v>
      </c>
      <c r="W15">
        <v>1613.5</v>
      </c>
    </row>
    <row r="16" spans="1:27" x14ac:dyDescent="0.25">
      <c r="A16">
        <v>5320</v>
      </c>
      <c r="B16">
        <v>23210</v>
      </c>
      <c r="C16" s="1">
        <v>42594</v>
      </c>
      <c r="G16">
        <v>19</v>
      </c>
      <c r="H16">
        <v>11.5</v>
      </c>
      <c r="I16">
        <v>26.6</v>
      </c>
      <c r="M16">
        <v>0</v>
      </c>
      <c r="N16">
        <v>5.6</v>
      </c>
      <c r="O16">
        <f t="shared" si="0"/>
        <v>-5.6</v>
      </c>
      <c r="P16">
        <v>0</v>
      </c>
      <c r="W16">
        <v>2760.5</v>
      </c>
    </row>
    <row r="17" spans="1:23" x14ac:dyDescent="0.25">
      <c r="A17">
        <v>5320</v>
      </c>
      <c r="B17">
        <v>23210</v>
      </c>
      <c r="C17" s="1">
        <v>42595</v>
      </c>
      <c r="G17">
        <v>21.5</v>
      </c>
      <c r="H17">
        <v>12.8</v>
      </c>
      <c r="I17">
        <v>28.8</v>
      </c>
      <c r="M17">
        <v>0</v>
      </c>
      <c r="N17">
        <v>5.8</v>
      </c>
      <c r="O17">
        <f t="shared" si="0"/>
        <v>-5.8</v>
      </c>
      <c r="P17">
        <v>0</v>
      </c>
      <c r="W17">
        <v>2682.2</v>
      </c>
    </row>
    <row r="18" spans="1:23" x14ac:dyDescent="0.25">
      <c r="A18">
        <v>5320</v>
      </c>
      <c r="B18">
        <v>23210</v>
      </c>
      <c r="C18" s="1">
        <v>42596</v>
      </c>
      <c r="G18">
        <v>22.6</v>
      </c>
      <c r="H18">
        <v>15.3</v>
      </c>
      <c r="I18">
        <v>28.5</v>
      </c>
      <c r="M18">
        <v>0</v>
      </c>
      <c r="N18">
        <v>5.8</v>
      </c>
      <c r="O18">
        <f t="shared" si="0"/>
        <v>-5.8</v>
      </c>
      <c r="P18">
        <v>0</v>
      </c>
      <c r="W18">
        <v>2267.1999999999998</v>
      </c>
    </row>
    <row r="19" spans="1:23" x14ac:dyDescent="0.25">
      <c r="A19">
        <v>5320</v>
      </c>
      <c r="B19">
        <v>23210</v>
      </c>
      <c r="C19" s="1">
        <v>42597</v>
      </c>
      <c r="G19">
        <v>22.6</v>
      </c>
      <c r="H19">
        <v>15.7</v>
      </c>
      <c r="I19">
        <v>28.4</v>
      </c>
      <c r="M19">
        <v>0</v>
      </c>
      <c r="N19">
        <v>6.3</v>
      </c>
      <c r="O19">
        <f t="shared" si="0"/>
        <v>-6.3</v>
      </c>
      <c r="P19">
        <v>0</v>
      </c>
      <c r="W19">
        <v>2714.8</v>
      </c>
    </row>
    <row r="20" spans="1:23" x14ac:dyDescent="0.25">
      <c r="A20">
        <v>5320</v>
      </c>
      <c r="B20">
        <v>23210</v>
      </c>
      <c r="C20" s="1">
        <v>42598</v>
      </c>
      <c r="G20">
        <v>23.1</v>
      </c>
      <c r="H20">
        <v>15.8</v>
      </c>
      <c r="I20">
        <v>29.6</v>
      </c>
      <c r="M20">
        <v>0</v>
      </c>
      <c r="N20">
        <v>6.2</v>
      </c>
      <c r="O20">
        <f t="shared" si="0"/>
        <v>-6.2</v>
      </c>
      <c r="P20">
        <v>0</v>
      </c>
      <c r="W20">
        <v>2741.7</v>
      </c>
    </row>
    <row r="21" spans="1:23" x14ac:dyDescent="0.25">
      <c r="A21">
        <v>5320</v>
      </c>
      <c r="B21">
        <v>23210</v>
      </c>
      <c r="C21" s="1">
        <v>42599</v>
      </c>
      <c r="G21">
        <v>23.7</v>
      </c>
      <c r="H21">
        <v>15.1</v>
      </c>
      <c r="I21">
        <v>31</v>
      </c>
      <c r="M21">
        <v>3.5</v>
      </c>
      <c r="N21">
        <v>5.3</v>
      </c>
      <c r="O21">
        <f t="shared" si="0"/>
        <v>-1.7999999999999998</v>
      </c>
      <c r="P21">
        <v>0</v>
      </c>
      <c r="W21">
        <v>2259.1999999999998</v>
      </c>
    </row>
    <row r="22" spans="1:23" x14ac:dyDescent="0.25">
      <c r="A22">
        <v>5320</v>
      </c>
      <c r="B22">
        <v>23210</v>
      </c>
      <c r="C22" s="1">
        <v>42600</v>
      </c>
      <c r="G22">
        <v>19.600000000000001</v>
      </c>
      <c r="H22">
        <v>18.600000000000001</v>
      </c>
      <c r="I22">
        <v>22.2</v>
      </c>
      <c r="M22">
        <v>1.2</v>
      </c>
      <c r="N22">
        <v>2.1</v>
      </c>
      <c r="O22">
        <f t="shared" si="0"/>
        <v>-0.90000000000000013</v>
      </c>
      <c r="P22">
        <v>0</v>
      </c>
      <c r="W22">
        <v>586.20000000000005</v>
      </c>
    </row>
    <row r="23" spans="1:23" x14ac:dyDescent="0.25">
      <c r="A23">
        <v>5320</v>
      </c>
      <c r="B23">
        <v>23210</v>
      </c>
      <c r="C23" s="1">
        <v>42601</v>
      </c>
      <c r="G23">
        <v>16.600000000000001</v>
      </c>
      <c r="H23">
        <v>13.3</v>
      </c>
      <c r="I23">
        <v>20.7</v>
      </c>
      <c r="M23">
        <v>1.2</v>
      </c>
      <c r="N23">
        <v>1.9</v>
      </c>
      <c r="O23">
        <f t="shared" si="0"/>
        <v>-0.7</v>
      </c>
      <c r="P23">
        <v>0</v>
      </c>
      <c r="W23">
        <v>1158.5</v>
      </c>
    </row>
    <row r="24" spans="1:23" x14ac:dyDescent="0.25">
      <c r="A24">
        <v>5320</v>
      </c>
      <c r="B24">
        <v>23210</v>
      </c>
      <c r="C24" s="1">
        <v>42602</v>
      </c>
      <c r="G24">
        <v>18.5</v>
      </c>
      <c r="H24">
        <v>14.5</v>
      </c>
      <c r="I24">
        <v>23.5</v>
      </c>
      <c r="M24">
        <v>0</v>
      </c>
      <c r="N24">
        <v>4.0999999999999996</v>
      </c>
      <c r="O24">
        <f t="shared" si="0"/>
        <v>-4.0999999999999996</v>
      </c>
      <c r="P24">
        <v>0</v>
      </c>
      <c r="W24">
        <v>1328.6</v>
      </c>
    </row>
    <row r="25" spans="1:23" x14ac:dyDescent="0.25">
      <c r="A25">
        <v>5320</v>
      </c>
      <c r="B25">
        <v>23210</v>
      </c>
      <c r="C25" s="1">
        <v>42603</v>
      </c>
      <c r="G25">
        <v>17.100000000000001</v>
      </c>
      <c r="H25">
        <v>12.3</v>
      </c>
      <c r="I25">
        <v>21.7</v>
      </c>
      <c r="M25">
        <v>0</v>
      </c>
      <c r="N25">
        <v>3.5</v>
      </c>
      <c r="O25">
        <f t="shared" si="0"/>
        <v>-3.5</v>
      </c>
      <c r="P25">
        <v>0</v>
      </c>
      <c r="W25">
        <v>1228.8</v>
      </c>
    </row>
    <row r="26" spans="1:23" x14ac:dyDescent="0.25">
      <c r="A26">
        <v>5320</v>
      </c>
      <c r="B26">
        <v>23210</v>
      </c>
      <c r="C26" s="1">
        <v>42604</v>
      </c>
      <c r="G26">
        <v>20.3</v>
      </c>
      <c r="H26">
        <v>12</v>
      </c>
      <c r="I26">
        <v>26.9</v>
      </c>
      <c r="M26">
        <v>0</v>
      </c>
      <c r="N26">
        <v>5.2</v>
      </c>
      <c r="O26">
        <f t="shared" si="0"/>
        <v>-5.2</v>
      </c>
      <c r="P26">
        <v>0</v>
      </c>
      <c r="W26">
        <v>2494.3000000000002</v>
      </c>
    </row>
    <row r="27" spans="1:23" x14ac:dyDescent="0.25">
      <c r="A27">
        <v>5320</v>
      </c>
      <c r="B27">
        <v>23210</v>
      </c>
      <c r="C27" s="1">
        <v>42605</v>
      </c>
      <c r="G27">
        <v>24.3</v>
      </c>
      <c r="H27">
        <v>16.7</v>
      </c>
      <c r="I27">
        <v>32.1</v>
      </c>
      <c r="M27">
        <v>0</v>
      </c>
      <c r="N27">
        <v>7.1</v>
      </c>
      <c r="O27">
        <f t="shared" si="0"/>
        <v>-7.1</v>
      </c>
      <c r="P27">
        <v>0</v>
      </c>
      <c r="W27">
        <v>2574.1999999999998</v>
      </c>
    </row>
    <row r="28" spans="1:23" x14ac:dyDescent="0.25">
      <c r="A28">
        <v>5320</v>
      </c>
      <c r="B28">
        <v>23210</v>
      </c>
      <c r="C28" s="1">
        <v>42606</v>
      </c>
      <c r="G28">
        <v>26.7</v>
      </c>
      <c r="H28">
        <v>18.100000000000001</v>
      </c>
      <c r="I28">
        <v>34.799999999999997</v>
      </c>
      <c r="M28">
        <v>0</v>
      </c>
      <c r="N28">
        <v>6.4</v>
      </c>
      <c r="O28">
        <f t="shared" si="0"/>
        <v>-6.4</v>
      </c>
      <c r="P28">
        <v>0</v>
      </c>
      <c r="W28">
        <v>2555.4</v>
      </c>
    </row>
    <row r="29" spans="1:23" x14ac:dyDescent="0.25">
      <c r="A29">
        <v>5320</v>
      </c>
      <c r="B29">
        <v>23210</v>
      </c>
      <c r="C29" s="1">
        <v>42607</v>
      </c>
      <c r="G29">
        <v>25.6</v>
      </c>
      <c r="H29">
        <v>17.399999999999999</v>
      </c>
      <c r="I29">
        <v>33.5</v>
      </c>
      <c r="M29">
        <v>0</v>
      </c>
      <c r="N29">
        <v>6.1</v>
      </c>
      <c r="O29">
        <f t="shared" si="0"/>
        <v>-6.1</v>
      </c>
      <c r="P29">
        <v>0</v>
      </c>
      <c r="W29">
        <v>2481.1999999999998</v>
      </c>
    </row>
    <row r="30" spans="1:23" x14ac:dyDescent="0.25">
      <c r="A30">
        <v>5320</v>
      </c>
      <c r="B30">
        <v>23210</v>
      </c>
      <c r="C30" s="1">
        <v>42608</v>
      </c>
      <c r="G30">
        <v>25.8</v>
      </c>
      <c r="H30">
        <v>18.899999999999999</v>
      </c>
      <c r="I30">
        <v>33.200000000000003</v>
      </c>
      <c r="M30">
        <v>0</v>
      </c>
      <c r="N30">
        <v>4.9000000000000004</v>
      </c>
      <c r="O30">
        <f t="shared" si="0"/>
        <v>-4.9000000000000004</v>
      </c>
      <c r="P30">
        <v>0</v>
      </c>
      <c r="W30">
        <v>2067</v>
      </c>
    </row>
    <row r="31" spans="1:23" x14ac:dyDescent="0.25">
      <c r="A31">
        <v>5320</v>
      </c>
      <c r="B31">
        <v>23210</v>
      </c>
      <c r="C31" s="1">
        <v>42609</v>
      </c>
      <c r="G31">
        <v>25.1</v>
      </c>
      <c r="H31">
        <v>16.399999999999999</v>
      </c>
      <c r="I31">
        <v>32.700000000000003</v>
      </c>
      <c r="M31">
        <v>0</v>
      </c>
      <c r="N31">
        <v>5.7</v>
      </c>
      <c r="O31">
        <f t="shared" si="0"/>
        <v>-5.7</v>
      </c>
      <c r="P31">
        <v>0</v>
      </c>
      <c r="W31">
        <v>2346.3000000000002</v>
      </c>
    </row>
    <row r="32" spans="1:23" x14ac:dyDescent="0.25">
      <c r="A32">
        <v>5320</v>
      </c>
      <c r="B32">
        <v>23210</v>
      </c>
      <c r="C32" s="1">
        <v>42610</v>
      </c>
      <c r="G32">
        <v>21.4</v>
      </c>
      <c r="H32">
        <v>17.100000000000001</v>
      </c>
      <c r="I32">
        <v>24.6</v>
      </c>
      <c r="M32">
        <v>0</v>
      </c>
      <c r="N32">
        <v>3.5</v>
      </c>
      <c r="O32">
        <f t="shared" si="0"/>
        <v>-3.5</v>
      </c>
      <c r="P32">
        <v>0</v>
      </c>
      <c r="W32">
        <v>1308.5999999999999</v>
      </c>
    </row>
    <row r="33" spans="1:27" x14ac:dyDescent="0.25">
      <c r="A33">
        <v>5320</v>
      </c>
      <c r="B33">
        <v>23210</v>
      </c>
      <c r="C33" s="1">
        <v>42611</v>
      </c>
      <c r="G33">
        <v>19.600000000000001</v>
      </c>
      <c r="H33">
        <v>17.600000000000001</v>
      </c>
      <c r="I33">
        <v>21.9</v>
      </c>
      <c r="M33">
        <v>0.2</v>
      </c>
      <c r="N33">
        <v>2.9</v>
      </c>
      <c r="O33">
        <f t="shared" si="0"/>
        <v>-2.6999999999999997</v>
      </c>
      <c r="P33">
        <v>0</v>
      </c>
      <c r="W33">
        <v>1363.1</v>
      </c>
    </row>
    <row r="34" spans="1:27" x14ac:dyDescent="0.25">
      <c r="A34">
        <v>5320</v>
      </c>
      <c r="B34">
        <v>23210</v>
      </c>
      <c r="C34" s="1">
        <v>42612</v>
      </c>
      <c r="G34">
        <v>20.2</v>
      </c>
      <c r="H34">
        <v>14.3</v>
      </c>
      <c r="I34">
        <v>25.5</v>
      </c>
      <c r="M34">
        <v>0</v>
      </c>
      <c r="N34">
        <v>4.0999999999999996</v>
      </c>
      <c r="O34">
        <f t="shared" si="0"/>
        <v>-4.0999999999999996</v>
      </c>
      <c r="P34">
        <v>0</v>
      </c>
      <c r="W34">
        <v>1917</v>
      </c>
    </row>
    <row r="35" spans="1:27" x14ac:dyDescent="0.25">
      <c r="A35">
        <v>5320</v>
      </c>
      <c r="B35">
        <v>23210</v>
      </c>
      <c r="C35" s="1">
        <v>42613</v>
      </c>
      <c r="G35">
        <v>21</v>
      </c>
      <c r="H35">
        <v>13.6</v>
      </c>
      <c r="I35">
        <v>27</v>
      </c>
      <c r="M35">
        <v>0</v>
      </c>
      <c r="N35">
        <v>3.2</v>
      </c>
      <c r="O35">
        <f t="shared" si="0"/>
        <v>-3.2</v>
      </c>
      <c r="P35">
        <v>0</v>
      </c>
      <c r="W35">
        <v>1228.7</v>
      </c>
    </row>
    <row r="36" spans="1:27" s="4" customFormat="1" x14ac:dyDescent="0.25">
      <c r="C36" s="5"/>
    </row>
    <row r="37" spans="1:27" x14ac:dyDescent="0.25">
      <c r="A37">
        <v>5320</v>
      </c>
      <c r="B37">
        <v>23210</v>
      </c>
      <c r="C37" s="1">
        <v>42614</v>
      </c>
      <c r="D37" s="31" t="s">
        <v>32</v>
      </c>
      <c r="E37" s="31"/>
      <c r="F37" s="31"/>
      <c r="G37">
        <v>20.8</v>
      </c>
      <c r="H37">
        <v>13.3</v>
      </c>
      <c r="I37">
        <v>26.7</v>
      </c>
      <c r="J37">
        <f>G37</f>
        <v>20.8</v>
      </c>
      <c r="K37">
        <f>J37</f>
        <v>20.8</v>
      </c>
      <c r="L37" s="8" t="s">
        <v>36</v>
      </c>
      <c r="M37">
        <v>0</v>
      </c>
      <c r="N37">
        <v>3.5</v>
      </c>
      <c r="O37">
        <f t="shared" si="0"/>
        <v>-3.5</v>
      </c>
      <c r="Q37">
        <v>1</v>
      </c>
      <c r="R37">
        <v>0.35</v>
      </c>
      <c r="S37">
        <f>R37*N37</f>
        <v>1.2249999999999999</v>
      </c>
      <c r="T37">
        <f>M37-S37</f>
        <v>-1.2249999999999999</v>
      </c>
      <c r="U37" s="14">
        <v>0</v>
      </c>
      <c r="V37" s="11" t="s">
        <v>43</v>
      </c>
      <c r="W37">
        <v>1697.6</v>
      </c>
      <c r="X37">
        <f>W37</f>
        <v>1697.6</v>
      </c>
      <c r="Y37">
        <f>W37</f>
        <v>1697.6</v>
      </c>
      <c r="Z37">
        <v>13.092459911331661</v>
      </c>
      <c r="AA37" s="11" t="s">
        <v>48</v>
      </c>
    </row>
    <row r="38" spans="1:27" x14ac:dyDescent="0.25">
      <c r="A38">
        <v>5320</v>
      </c>
      <c r="B38">
        <v>23210</v>
      </c>
      <c r="C38" s="1">
        <v>42615</v>
      </c>
      <c r="F38" s="32" t="s">
        <v>52</v>
      </c>
      <c r="G38">
        <v>21.6</v>
      </c>
      <c r="H38">
        <v>13.4</v>
      </c>
      <c r="I38">
        <v>29.4</v>
      </c>
      <c r="J38">
        <f>J37+G38</f>
        <v>42.400000000000006</v>
      </c>
      <c r="K38">
        <f>K37+G38</f>
        <v>42.400000000000006</v>
      </c>
      <c r="L38" s="9">
        <v>1060</v>
      </c>
      <c r="M38">
        <v>0</v>
      </c>
      <c r="N38">
        <v>3.5</v>
      </c>
      <c r="O38">
        <f t="shared" si="0"/>
        <v>-3.5</v>
      </c>
      <c r="Q38">
        <v>2</v>
      </c>
      <c r="R38">
        <v>0.35</v>
      </c>
      <c r="S38">
        <f t="shared" ref="S38:S101" si="1">R38*N38</f>
        <v>1.2249999999999999</v>
      </c>
      <c r="T38">
        <f t="shared" ref="T38:T101" si="2">M38-S38</f>
        <v>-1.2249999999999999</v>
      </c>
      <c r="U38" s="14">
        <v>0</v>
      </c>
      <c r="V38">
        <v>12</v>
      </c>
      <c r="W38">
        <v>1522.4</v>
      </c>
      <c r="X38">
        <f>X37+W38</f>
        <v>3220</v>
      </c>
      <c r="Y38">
        <f>Y37+W38</f>
        <v>3220</v>
      </c>
      <c r="Z38">
        <v>13.034311124077094</v>
      </c>
      <c r="AA38">
        <v>62208.5</v>
      </c>
    </row>
    <row r="39" spans="1:27" x14ac:dyDescent="0.25">
      <c r="A39">
        <v>5320</v>
      </c>
      <c r="B39">
        <v>23210</v>
      </c>
      <c r="C39" s="1">
        <v>42616</v>
      </c>
      <c r="F39" s="32"/>
      <c r="G39">
        <v>21</v>
      </c>
      <c r="H39">
        <v>12.6</v>
      </c>
      <c r="I39">
        <v>27.1</v>
      </c>
      <c r="J39">
        <f t="shared" ref="J39:J102" si="3">J38+G39</f>
        <v>63.400000000000006</v>
      </c>
      <c r="K39">
        <f t="shared" ref="K39:K102" si="4">K38+G39</f>
        <v>63.400000000000006</v>
      </c>
      <c r="L39" s="8" t="s">
        <v>37</v>
      </c>
      <c r="M39">
        <v>0</v>
      </c>
      <c r="N39">
        <v>3.5</v>
      </c>
      <c r="O39">
        <f t="shared" si="0"/>
        <v>-3.5</v>
      </c>
      <c r="Q39">
        <v>3</v>
      </c>
      <c r="R39">
        <v>0.35</v>
      </c>
      <c r="S39">
        <f t="shared" si="1"/>
        <v>1.2249999999999999</v>
      </c>
      <c r="T39">
        <f t="shared" si="2"/>
        <v>-1.2249999999999999</v>
      </c>
      <c r="U39" s="14">
        <v>0</v>
      </c>
      <c r="V39" s="11" t="s">
        <v>44</v>
      </c>
      <c r="W39">
        <v>1668.1</v>
      </c>
      <c r="X39">
        <f t="shared" ref="X39:X102" si="5">X38+W39</f>
        <v>4888.1000000000004</v>
      </c>
      <c r="Y39">
        <f t="shared" ref="Y39:Y102" si="6">Y38+W39</f>
        <v>4888.1000000000004</v>
      </c>
      <c r="Z39">
        <v>12.976006960807814</v>
      </c>
      <c r="AA39" s="11" t="s">
        <v>49</v>
      </c>
    </row>
    <row r="40" spans="1:27" x14ac:dyDescent="0.25">
      <c r="A40">
        <v>5320</v>
      </c>
      <c r="B40">
        <v>23210</v>
      </c>
      <c r="C40" s="1">
        <v>42617</v>
      </c>
      <c r="F40" s="32"/>
      <c r="G40">
        <v>20.3</v>
      </c>
      <c r="H40">
        <v>17.3</v>
      </c>
      <c r="I40">
        <v>23.2</v>
      </c>
      <c r="J40">
        <f t="shared" si="3"/>
        <v>83.7</v>
      </c>
      <c r="K40">
        <f t="shared" si="4"/>
        <v>83.7</v>
      </c>
      <c r="L40" s="9">
        <f>AVERAGE(G37:G124)</f>
        <v>12.045454545454543</v>
      </c>
      <c r="M40">
        <v>0.6</v>
      </c>
      <c r="N40">
        <v>1.7</v>
      </c>
      <c r="O40">
        <f t="shared" si="0"/>
        <v>-1.1000000000000001</v>
      </c>
      <c r="Q40">
        <v>4</v>
      </c>
      <c r="R40">
        <v>0.35</v>
      </c>
      <c r="S40">
        <f t="shared" si="1"/>
        <v>0.59499999999999997</v>
      </c>
      <c r="T40">
        <f t="shared" si="2"/>
        <v>5.0000000000000044E-3</v>
      </c>
      <c r="U40" s="14">
        <f t="shared" ref="U40:U102" si="7">MIN(U39+T40,138.9)</f>
        <v>5.0000000000000044E-3</v>
      </c>
      <c r="V40">
        <v>66</v>
      </c>
      <c r="W40">
        <v>870</v>
      </c>
      <c r="X40">
        <f t="shared" si="5"/>
        <v>5758.1</v>
      </c>
      <c r="Y40">
        <f t="shared" si="6"/>
        <v>5758.1</v>
      </c>
      <c r="Z40">
        <v>12.917557680826606</v>
      </c>
      <c r="AA40">
        <f>(AA38/100)/L38</f>
        <v>0.58687264150943397</v>
      </c>
    </row>
    <row r="41" spans="1:27" x14ac:dyDescent="0.25">
      <c r="A41">
        <v>5320</v>
      </c>
      <c r="B41">
        <v>23210</v>
      </c>
      <c r="C41" s="1">
        <v>42618</v>
      </c>
      <c r="F41" s="32"/>
      <c r="G41">
        <v>21.2</v>
      </c>
      <c r="H41">
        <v>19.2</v>
      </c>
      <c r="I41">
        <v>23.7</v>
      </c>
      <c r="J41">
        <f t="shared" si="3"/>
        <v>104.9</v>
      </c>
      <c r="K41">
        <f t="shared" si="4"/>
        <v>104.9</v>
      </c>
      <c r="L41" s="8" t="s">
        <v>38</v>
      </c>
      <c r="M41">
        <v>0</v>
      </c>
      <c r="N41">
        <v>1.6</v>
      </c>
      <c r="O41">
        <f t="shared" si="0"/>
        <v>-1.6</v>
      </c>
      <c r="Q41">
        <v>5</v>
      </c>
      <c r="R41">
        <v>0.35</v>
      </c>
      <c r="S41">
        <f t="shared" si="1"/>
        <v>0.55999999999999994</v>
      </c>
      <c r="T41">
        <f t="shared" si="2"/>
        <v>-0.55999999999999994</v>
      </c>
      <c r="U41" s="14">
        <v>0</v>
      </c>
      <c r="V41" s="11" t="s">
        <v>45</v>
      </c>
      <c r="W41">
        <v>486.5</v>
      </c>
      <c r="X41">
        <f t="shared" si="5"/>
        <v>6244.6</v>
      </c>
      <c r="Y41">
        <f t="shared" si="6"/>
        <v>6244.6</v>
      </c>
      <c r="Z41">
        <v>12.85897330307197</v>
      </c>
      <c r="AA41" s="11" t="s">
        <v>50</v>
      </c>
    </row>
    <row r="42" spans="1:27" x14ac:dyDescent="0.25">
      <c r="A42">
        <v>5320</v>
      </c>
      <c r="B42">
        <v>23210</v>
      </c>
      <c r="C42" s="1">
        <v>42619</v>
      </c>
      <c r="F42" s="32"/>
      <c r="G42">
        <v>20.100000000000001</v>
      </c>
      <c r="H42">
        <v>15.9</v>
      </c>
      <c r="I42">
        <v>23.3</v>
      </c>
      <c r="J42">
        <f t="shared" si="3"/>
        <v>125</v>
      </c>
      <c r="K42">
        <f t="shared" si="4"/>
        <v>125</v>
      </c>
      <c r="L42" s="10">
        <f>MIN(H37:H124)</f>
        <v>-0.2</v>
      </c>
      <c r="M42">
        <v>0.1</v>
      </c>
      <c r="N42">
        <v>2</v>
      </c>
      <c r="O42">
        <f t="shared" si="0"/>
        <v>-1.9</v>
      </c>
      <c r="Q42">
        <v>6</v>
      </c>
      <c r="R42">
        <v>0.35</v>
      </c>
      <c r="S42">
        <f t="shared" si="1"/>
        <v>0.7</v>
      </c>
      <c r="T42">
        <f t="shared" si="2"/>
        <v>-0.6</v>
      </c>
      <c r="U42" s="14">
        <v>0</v>
      </c>
      <c r="V42">
        <v>0</v>
      </c>
      <c r="W42">
        <v>835</v>
      </c>
      <c r="X42">
        <f t="shared" si="5"/>
        <v>7079.6</v>
      </c>
      <c r="Y42">
        <f t="shared" si="6"/>
        <v>7079.6</v>
      </c>
      <c r="Z42">
        <v>12.800263619633025</v>
      </c>
      <c r="AA42">
        <v>58</v>
      </c>
    </row>
    <row r="43" spans="1:27" x14ac:dyDescent="0.25">
      <c r="A43">
        <v>5320</v>
      </c>
      <c r="B43">
        <v>23210</v>
      </c>
      <c r="C43" s="1">
        <v>42620</v>
      </c>
      <c r="D43" t="s">
        <v>33</v>
      </c>
      <c r="F43" s="32"/>
      <c r="G43">
        <v>20.6</v>
      </c>
      <c r="H43">
        <v>14.4</v>
      </c>
      <c r="I43">
        <v>26.6</v>
      </c>
      <c r="J43">
        <f t="shared" si="3"/>
        <v>145.6</v>
      </c>
      <c r="K43">
        <f t="shared" si="4"/>
        <v>145.6</v>
      </c>
      <c r="L43" s="8" t="s">
        <v>39</v>
      </c>
      <c r="M43">
        <v>0</v>
      </c>
      <c r="N43">
        <v>4.5999999999999996</v>
      </c>
      <c r="O43">
        <f t="shared" si="0"/>
        <v>-4.5999999999999996</v>
      </c>
      <c r="Q43">
        <v>7</v>
      </c>
      <c r="R43">
        <v>0.35</v>
      </c>
      <c r="S43">
        <f t="shared" si="1"/>
        <v>1.6099999999999999</v>
      </c>
      <c r="T43">
        <f t="shared" si="2"/>
        <v>-1.6099999999999999</v>
      </c>
      <c r="U43" s="14">
        <v>0</v>
      </c>
      <c r="V43" s="11" t="s">
        <v>46</v>
      </c>
      <c r="W43">
        <v>1893.8</v>
      </c>
      <c r="X43">
        <f t="shared" si="5"/>
        <v>8973.4</v>
      </c>
      <c r="Y43">
        <f t="shared" si="6"/>
        <v>8973.4</v>
      </c>
      <c r="Z43">
        <v>12.741438209486914</v>
      </c>
    </row>
    <row r="44" spans="1:27" x14ac:dyDescent="0.25">
      <c r="A44">
        <v>5320</v>
      </c>
      <c r="B44">
        <v>23210</v>
      </c>
      <c r="C44" s="1">
        <v>42621</v>
      </c>
      <c r="F44" s="32"/>
      <c r="G44">
        <v>18.7</v>
      </c>
      <c r="H44">
        <v>14.8</v>
      </c>
      <c r="I44">
        <v>22.9</v>
      </c>
      <c r="J44">
        <f t="shared" si="3"/>
        <v>164.29999999999998</v>
      </c>
      <c r="K44">
        <f t="shared" si="4"/>
        <v>164.29999999999998</v>
      </c>
      <c r="L44" s="9">
        <f>MAX(I37:I124)</f>
        <v>30.9</v>
      </c>
      <c r="M44">
        <v>0</v>
      </c>
      <c r="N44">
        <v>2.6</v>
      </c>
      <c r="O44">
        <f t="shared" si="0"/>
        <v>-2.6</v>
      </c>
      <c r="Q44">
        <v>8</v>
      </c>
      <c r="R44">
        <f>0.35+((Q44-7)/81)*(1-0.35)</f>
        <v>0.35802469135802467</v>
      </c>
      <c r="S44">
        <f t="shared" si="1"/>
        <v>0.93086419753086413</v>
      </c>
      <c r="T44">
        <f t="shared" si="2"/>
        <v>-0.93086419753086413</v>
      </c>
      <c r="U44" s="14">
        <v>0</v>
      </c>
      <c r="V44" s="14">
        <f>MAX(U37:U124)</f>
        <v>57.262777777777778</v>
      </c>
      <c r="W44">
        <v>772.9</v>
      </c>
      <c r="X44">
        <f t="shared" si="5"/>
        <v>9746.2999999999993</v>
      </c>
      <c r="Y44">
        <f t="shared" si="6"/>
        <v>9746.2999999999993</v>
      </c>
      <c r="Z44">
        <v>12.682506452436247</v>
      </c>
    </row>
    <row r="45" spans="1:27" x14ac:dyDescent="0.25">
      <c r="A45">
        <v>5320</v>
      </c>
      <c r="B45">
        <v>23210</v>
      </c>
      <c r="C45" s="1">
        <v>42622</v>
      </c>
      <c r="F45" s="32"/>
      <c r="G45">
        <v>17.100000000000001</v>
      </c>
      <c r="H45">
        <v>9.6999999999999993</v>
      </c>
      <c r="I45">
        <v>24.3</v>
      </c>
      <c r="J45">
        <f t="shared" si="3"/>
        <v>181.39999999999998</v>
      </c>
      <c r="K45">
        <f t="shared" si="4"/>
        <v>181.39999999999998</v>
      </c>
      <c r="L45" s="8" t="s">
        <v>40</v>
      </c>
      <c r="M45">
        <v>0</v>
      </c>
      <c r="N45">
        <v>3.2</v>
      </c>
      <c r="O45">
        <f t="shared" si="0"/>
        <v>-3.2</v>
      </c>
      <c r="Q45">
        <v>9</v>
      </c>
      <c r="R45">
        <f t="shared" ref="R45:R108" si="8">0.35+((Q45-7)/81)*(1-0.35)</f>
        <v>0.36604938271604937</v>
      </c>
      <c r="S45">
        <f t="shared" si="1"/>
        <v>1.171358024691358</v>
      </c>
      <c r="T45">
        <f t="shared" si="2"/>
        <v>-1.171358024691358</v>
      </c>
      <c r="U45" s="14">
        <v>0</v>
      </c>
      <c r="V45" s="11" t="s">
        <v>47</v>
      </c>
      <c r="W45">
        <v>1618.9</v>
      </c>
      <c r="X45">
        <f t="shared" si="5"/>
        <v>11365.199999999999</v>
      </c>
      <c r="Y45">
        <f t="shared" si="6"/>
        <v>11365.199999999999</v>
      </c>
      <c r="Z45">
        <v>12.623477543225754</v>
      </c>
    </row>
    <row r="46" spans="1:27" x14ac:dyDescent="0.25">
      <c r="A46">
        <v>5320</v>
      </c>
      <c r="B46">
        <v>23210</v>
      </c>
      <c r="C46" s="1">
        <v>42623</v>
      </c>
      <c r="F46" s="32"/>
      <c r="G46">
        <v>17.8</v>
      </c>
      <c r="H46">
        <v>9.3000000000000007</v>
      </c>
      <c r="I46">
        <v>24.1</v>
      </c>
      <c r="J46">
        <f t="shared" si="3"/>
        <v>199.2</v>
      </c>
      <c r="K46">
        <f t="shared" si="4"/>
        <v>199.2</v>
      </c>
      <c r="L46" s="9">
        <v>7</v>
      </c>
      <c r="M46">
        <v>0</v>
      </c>
      <c r="N46">
        <v>3.1</v>
      </c>
      <c r="O46">
        <f t="shared" si="0"/>
        <v>-3.1</v>
      </c>
      <c r="Q46">
        <v>10</v>
      </c>
      <c r="R46">
        <f t="shared" si="8"/>
        <v>0.37407407407407406</v>
      </c>
      <c r="S46">
        <f t="shared" si="1"/>
        <v>1.1596296296296296</v>
      </c>
      <c r="T46">
        <f t="shared" si="2"/>
        <v>-1.1596296296296296</v>
      </c>
      <c r="U46" s="14">
        <v>0</v>
      </c>
      <c r="V46" s="14">
        <f>AVERAGE(U37:U124)</f>
        <v>16.801593013468015</v>
      </c>
      <c r="W46">
        <v>1616.6</v>
      </c>
      <c r="X46">
        <f t="shared" si="5"/>
        <v>12981.8</v>
      </c>
      <c r="Y46">
        <f t="shared" si="6"/>
        <v>12981.8</v>
      </c>
      <c r="Z46">
        <v>12.564360505818829</v>
      </c>
    </row>
    <row r="47" spans="1:27" x14ac:dyDescent="0.25">
      <c r="A47">
        <v>5320</v>
      </c>
      <c r="B47">
        <v>23210</v>
      </c>
      <c r="C47" s="1">
        <v>42624</v>
      </c>
      <c r="F47" s="32"/>
      <c r="G47">
        <v>20.2</v>
      </c>
      <c r="H47">
        <v>17.600000000000001</v>
      </c>
      <c r="I47">
        <v>23.2</v>
      </c>
      <c r="J47">
        <f t="shared" si="3"/>
        <v>219.39999999999998</v>
      </c>
      <c r="K47">
        <f t="shared" si="4"/>
        <v>219.39999999999998</v>
      </c>
      <c r="L47" s="8" t="s">
        <v>41</v>
      </c>
      <c r="M47">
        <v>0</v>
      </c>
      <c r="N47">
        <v>1.4</v>
      </c>
      <c r="O47">
        <f t="shared" si="0"/>
        <v>-1.4</v>
      </c>
      <c r="Q47">
        <v>11</v>
      </c>
      <c r="R47">
        <f t="shared" si="8"/>
        <v>0.38209876543209875</v>
      </c>
      <c r="S47">
        <f t="shared" si="1"/>
        <v>0.53493827160493823</v>
      </c>
      <c r="T47">
        <f t="shared" si="2"/>
        <v>-0.53493827160493823</v>
      </c>
      <c r="U47" s="14">
        <v>0</v>
      </c>
      <c r="W47">
        <v>490.2</v>
      </c>
      <c r="X47">
        <f t="shared" si="5"/>
        <v>13472</v>
      </c>
      <c r="Y47">
        <f t="shared" si="6"/>
        <v>13472</v>
      </c>
      <c r="Z47">
        <v>12.50516420781603</v>
      </c>
    </row>
    <row r="48" spans="1:27" x14ac:dyDescent="0.25">
      <c r="A48">
        <v>5320</v>
      </c>
      <c r="B48">
        <v>23210</v>
      </c>
      <c r="C48" s="1">
        <v>42625</v>
      </c>
      <c r="F48" s="32"/>
      <c r="G48">
        <v>21.8</v>
      </c>
      <c r="H48">
        <v>14.5</v>
      </c>
      <c r="I48">
        <v>29.8</v>
      </c>
      <c r="J48">
        <f t="shared" si="3"/>
        <v>241.2</v>
      </c>
      <c r="K48">
        <f t="shared" si="4"/>
        <v>241.2</v>
      </c>
      <c r="L48" s="9">
        <v>20</v>
      </c>
      <c r="M48">
        <v>0.4</v>
      </c>
      <c r="N48">
        <v>2.6</v>
      </c>
      <c r="O48">
        <f t="shared" si="0"/>
        <v>-2.2000000000000002</v>
      </c>
      <c r="Q48">
        <v>12</v>
      </c>
      <c r="R48">
        <f t="shared" si="8"/>
        <v>0.39012345679012345</v>
      </c>
      <c r="S48">
        <f t="shared" si="1"/>
        <v>1.0143209876543211</v>
      </c>
      <c r="T48">
        <f t="shared" si="2"/>
        <v>-0.61432098765432108</v>
      </c>
      <c r="U48" s="14">
        <v>0</v>
      </c>
      <c r="V48">
        <f>(V46*100)/138.9</f>
        <v>12.096179275354942</v>
      </c>
      <c r="W48">
        <v>1131.3</v>
      </c>
      <c r="X48">
        <f t="shared" si="5"/>
        <v>14603.3</v>
      </c>
      <c r="Y48">
        <f t="shared" si="6"/>
        <v>14603.3</v>
      </c>
      <c r="Z48">
        <v>12.445897374998864</v>
      </c>
    </row>
    <row r="49" spans="1:26" x14ac:dyDescent="0.25">
      <c r="A49">
        <v>5320</v>
      </c>
      <c r="B49">
        <v>23210</v>
      </c>
      <c r="C49" s="1">
        <v>42626</v>
      </c>
      <c r="F49" s="32"/>
      <c r="G49">
        <v>23.7</v>
      </c>
      <c r="H49">
        <v>17.2</v>
      </c>
      <c r="I49">
        <v>30.9</v>
      </c>
      <c r="J49">
        <f t="shared" si="3"/>
        <v>264.89999999999998</v>
      </c>
      <c r="K49">
        <f t="shared" si="4"/>
        <v>264.89999999999998</v>
      </c>
      <c r="L49" s="8" t="s">
        <v>42</v>
      </c>
      <c r="M49">
        <v>0</v>
      </c>
      <c r="N49">
        <v>4.4000000000000004</v>
      </c>
      <c r="O49">
        <f t="shared" si="0"/>
        <v>-4.4000000000000004</v>
      </c>
      <c r="Q49">
        <v>13</v>
      </c>
      <c r="R49">
        <f t="shared" si="8"/>
        <v>0.39814814814814814</v>
      </c>
      <c r="S49">
        <f t="shared" si="1"/>
        <v>1.751851851851852</v>
      </c>
      <c r="T49">
        <f t="shared" si="2"/>
        <v>-1.751851851851852</v>
      </c>
      <c r="U49" s="14">
        <v>0</v>
      </c>
      <c r="W49">
        <v>1636.7</v>
      </c>
      <c r="X49">
        <f t="shared" si="5"/>
        <v>16240</v>
      </c>
      <c r="Y49">
        <f t="shared" si="6"/>
        <v>16240</v>
      </c>
      <c r="Z49">
        <v>12.386568605983387</v>
      </c>
    </row>
    <row r="50" spans="1:26" x14ac:dyDescent="0.25">
      <c r="A50">
        <v>5320</v>
      </c>
      <c r="B50">
        <v>23210</v>
      </c>
      <c r="C50" s="1">
        <v>42627</v>
      </c>
      <c r="F50" s="32"/>
      <c r="G50">
        <v>17.3</v>
      </c>
      <c r="H50">
        <v>14.3</v>
      </c>
      <c r="I50">
        <v>20.6</v>
      </c>
      <c r="J50">
        <f t="shared" si="3"/>
        <v>282.2</v>
      </c>
      <c r="K50">
        <f t="shared" si="4"/>
        <v>282.2</v>
      </c>
      <c r="L50" s="9">
        <v>1</v>
      </c>
      <c r="M50">
        <v>7.9</v>
      </c>
      <c r="N50">
        <v>1.9</v>
      </c>
      <c r="O50">
        <f t="shared" si="0"/>
        <v>6</v>
      </c>
      <c r="Q50">
        <v>14</v>
      </c>
      <c r="R50">
        <f t="shared" si="8"/>
        <v>0.40617283950617283</v>
      </c>
      <c r="S50">
        <f t="shared" si="1"/>
        <v>0.7717283950617283</v>
      </c>
      <c r="T50">
        <f t="shared" si="2"/>
        <v>7.1282716049382717</v>
      </c>
      <c r="U50" s="14">
        <f t="shared" si="7"/>
        <v>7.1282716049382717</v>
      </c>
      <c r="W50">
        <v>1043.8</v>
      </c>
      <c r="X50">
        <f t="shared" si="5"/>
        <v>17283.8</v>
      </c>
      <c r="Y50">
        <f t="shared" si="6"/>
        <v>17283.8</v>
      </c>
      <c r="Z50">
        <v>12.327186386969192</v>
      </c>
    </row>
    <row r="51" spans="1:26" x14ac:dyDescent="0.25">
      <c r="A51">
        <v>5320</v>
      </c>
      <c r="B51">
        <v>23210</v>
      </c>
      <c r="C51" s="1">
        <v>42628</v>
      </c>
      <c r="F51" s="32"/>
      <c r="G51">
        <v>15.9</v>
      </c>
      <c r="H51">
        <v>15.4</v>
      </c>
      <c r="I51">
        <v>16.899999999999999</v>
      </c>
      <c r="J51">
        <f t="shared" si="3"/>
        <v>298.09999999999997</v>
      </c>
      <c r="K51">
        <f t="shared" si="4"/>
        <v>298.09999999999997</v>
      </c>
      <c r="M51">
        <v>1.5</v>
      </c>
      <c r="N51">
        <v>1.1000000000000001</v>
      </c>
      <c r="O51">
        <f t="shared" si="0"/>
        <v>0.39999999999999991</v>
      </c>
      <c r="Q51">
        <v>15</v>
      </c>
      <c r="R51">
        <f t="shared" si="8"/>
        <v>0.41419753086419753</v>
      </c>
      <c r="S51">
        <f t="shared" si="1"/>
        <v>0.45561728395061729</v>
      </c>
      <c r="T51">
        <f t="shared" si="2"/>
        <v>1.0443827160493826</v>
      </c>
      <c r="U51" s="14">
        <f t="shared" si="7"/>
        <v>8.1726543209876539</v>
      </c>
      <c r="W51">
        <v>592.79999999999995</v>
      </c>
      <c r="X51">
        <f t="shared" si="5"/>
        <v>17876.599999999999</v>
      </c>
      <c r="Y51">
        <f t="shared" si="6"/>
        <v>17876.599999999999</v>
      </c>
      <c r="Z51">
        <v>12.267759106570322</v>
      </c>
    </row>
    <row r="52" spans="1:26" x14ac:dyDescent="0.25">
      <c r="A52">
        <v>5320</v>
      </c>
      <c r="B52">
        <v>23210</v>
      </c>
      <c r="C52" s="1">
        <v>42629</v>
      </c>
      <c r="F52" s="32"/>
      <c r="G52">
        <v>13.4</v>
      </c>
      <c r="H52">
        <v>11.4</v>
      </c>
      <c r="I52">
        <v>15.5</v>
      </c>
      <c r="J52">
        <f t="shared" si="3"/>
        <v>311.49999999999994</v>
      </c>
      <c r="K52">
        <f t="shared" si="4"/>
        <v>311.49999999999994</v>
      </c>
      <c r="M52">
        <v>5.8</v>
      </c>
      <c r="N52">
        <v>0.9</v>
      </c>
      <c r="O52">
        <f t="shared" si="0"/>
        <v>4.8999999999999995</v>
      </c>
      <c r="Q52">
        <v>16</v>
      </c>
      <c r="R52">
        <f t="shared" si="8"/>
        <v>0.42222222222222217</v>
      </c>
      <c r="S52">
        <f t="shared" si="1"/>
        <v>0.37999999999999995</v>
      </c>
      <c r="T52">
        <f t="shared" si="2"/>
        <v>5.42</v>
      </c>
      <c r="U52" s="14">
        <f t="shared" si="7"/>
        <v>13.592654320987654</v>
      </c>
      <c r="W52">
        <v>499.2</v>
      </c>
      <c r="X52">
        <f t="shared" si="5"/>
        <v>18375.8</v>
      </c>
      <c r="Y52">
        <f t="shared" si="6"/>
        <v>18375.8</v>
      </c>
      <c r="Z52">
        <v>12.208295070715486</v>
      </c>
    </row>
    <row r="53" spans="1:26" x14ac:dyDescent="0.25">
      <c r="A53">
        <v>5320</v>
      </c>
      <c r="B53">
        <v>23210</v>
      </c>
      <c r="C53" s="1">
        <v>42630</v>
      </c>
      <c r="F53" s="32"/>
      <c r="G53">
        <v>13.8</v>
      </c>
      <c r="H53">
        <v>10.9</v>
      </c>
      <c r="I53">
        <v>16.899999999999999</v>
      </c>
      <c r="J53">
        <f t="shared" si="3"/>
        <v>325.29999999999995</v>
      </c>
      <c r="K53">
        <f t="shared" si="4"/>
        <v>325.29999999999995</v>
      </c>
      <c r="M53">
        <v>0.8</v>
      </c>
      <c r="N53">
        <v>1.7</v>
      </c>
      <c r="O53">
        <f t="shared" si="0"/>
        <v>-0.89999999999999991</v>
      </c>
      <c r="Q53">
        <v>17</v>
      </c>
      <c r="R53">
        <f t="shared" si="8"/>
        <v>0.43024691358024691</v>
      </c>
      <c r="S53">
        <f t="shared" si="1"/>
        <v>0.73141975308641971</v>
      </c>
      <c r="T53">
        <f t="shared" si="2"/>
        <v>6.8580246913580334E-2</v>
      </c>
      <c r="U53" s="14">
        <f t="shared" si="7"/>
        <v>13.661234567901234</v>
      </c>
      <c r="W53">
        <v>915.5</v>
      </c>
      <c r="X53">
        <f t="shared" si="5"/>
        <v>19291.3</v>
      </c>
      <c r="Y53">
        <f t="shared" si="6"/>
        <v>19291.3</v>
      </c>
      <c r="Z53">
        <v>12.148802517605674</v>
      </c>
    </row>
    <row r="54" spans="1:26" x14ac:dyDescent="0.25">
      <c r="A54">
        <v>5320</v>
      </c>
      <c r="B54">
        <v>23210</v>
      </c>
      <c r="C54" s="1">
        <v>42631</v>
      </c>
      <c r="F54" s="32"/>
      <c r="G54">
        <v>15.7</v>
      </c>
      <c r="H54">
        <v>13.1</v>
      </c>
      <c r="I54">
        <v>18.8</v>
      </c>
      <c r="J54">
        <f t="shared" si="3"/>
        <v>340.99999999999994</v>
      </c>
      <c r="K54">
        <f t="shared" si="4"/>
        <v>340.99999999999994</v>
      </c>
      <c r="M54">
        <v>0.2</v>
      </c>
      <c r="N54">
        <v>0.9</v>
      </c>
      <c r="O54">
        <f t="shared" si="0"/>
        <v>-0.7</v>
      </c>
      <c r="Q54">
        <v>18</v>
      </c>
      <c r="R54">
        <f t="shared" si="8"/>
        <v>0.43827160493827155</v>
      </c>
      <c r="S54">
        <f t="shared" si="1"/>
        <v>0.39444444444444443</v>
      </c>
      <c r="T54">
        <f t="shared" si="2"/>
        <v>-0.19444444444444442</v>
      </c>
      <c r="U54" s="14">
        <f t="shared" si="7"/>
        <v>13.466790123456789</v>
      </c>
      <c r="W54">
        <v>379.1</v>
      </c>
      <c r="X54">
        <f t="shared" si="5"/>
        <v>19670.399999999998</v>
      </c>
      <c r="Y54">
        <f t="shared" si="6"/>
        <v>19670.399999999998</v>
      </c>
      <c r="Z54">
        <v>12.089289632717872</v>
      </c>
    </row>
    <row r="55" spans="1:26" x14ac:dyDescent="0.25">
      <c r="A55">
        <v>5320</v>
      </c>
      <c r="B55">
        <v>23210</v>
      </c>
      <c r="C55" s="1">
        <v>42632</v>
      </c>
      <c r="F55" s="32"/>
      <c r="G55">
        <v>15.8</v>
      </c>
      <c r="H55">
        <v>12.4</v>
      </c>
      <c r="I55">
        <v>19.5</v>
      </c>
      <c r="J55">
        <f t="shared" si="3"/>
        <v>356.79999999999995</v>
      </c>
      <c r="K55">
        <f t="shared" si="4"/>
        <v>356.79999999999995</v>
      </c>
      <c r="M55">
        <v>0</v>
      </c>
      <c r="N55">
        <v>1.6</v>
      </c>
      <c r="O55">
        <f t="shared" si="0"/>
        <v>-1.6</v>
      </c>
      <c r="Q55">
        <v>19</v>
      </c>
      <c r="R55">
        <f t="shared" si="8"/>
        <v>0.4462962962962963</v>
      </c>
      <c r="S55">
        <f t="shared" si="1"/>
        <v>0.71407407407407408</v>
      </c>
      <c r="T55">
        <f t="shared" si="2"/>
        <v>-0.71407407407407408</v>
      </c>
      <c r="U55" s="14">
        <f t="shared" si="7"/>
        <v>12.752716049382716</v>
      </c>
      <c r="W55">
        <v>1015.7</v>
      </c>
      <c r="X55">
        <f t="shared" si="5"/>
        <v>20686.099999999999</v>
      </c>
      <c r="Y55">
        <f t="shared" si="6"/>
        <v>20686.099999999999</v>
      </c>
      <c r="Z55">
        <v>12.029764563844175</v>
      </c>
    </row>
    <row r="56" spans="1:26" x14ac:dyDescent="0.25">
      <c r="A56">
        <v>5320</v>
      </c>
      <c r="B56">
        <v>23210</v>
      </c>
      <c r="C56" s="1">
        <v>42633</v>
      </c>
      <c r="F56" s="32"/>
      <c r="G56">
        <v>14.9</v>
      </c>
      <c r="H56">
        <v>12.4</v>
      </c>
      <c r="I56">
        <v>18.8</v>
      </c>
      <c r="J56">
        <f t="shared" si="3"/>
        <v>371.69999999999993</v>
      </c>
      <c r="K56">
        <f t="shared" si="4"/>
        <v>371.69999999999993</v>
      </c>
      <c r="M56">
        <v>1</v>
      </c>
      <c r="N56">
        <v>1.6</v>
      </c>
      <c r="O56">
        <f t="shared" si="0"/>
        <v>-0.60000000000000009</v>
      </c>
      <c r="Q56">
        <v>20</v>
      </c>
      <c r="R56">
        <f t="shared" si="8"/>
        <v>0.45432098765432094</v>
      </c>
      <c r="S56">
        <f t="shared" si="1"/>
        <v>0.72691358024691355</v>
      </c>
      <c r="T56">
        <f t="shared" si="2"/>
        <v>0.27308641975308645</v>
      </c>
      <c r="U56" s="14">
        <f t="shared" si="7"/>
        <v>13.025802469135803</v>
      </c>
      <c r="W56">
        <v>952.8</v>
      </c>
      <c r="X56">
        <f t="shared" si="5"/>
        <v>21638.899999999998</v>
      </c>
      <c r="Y56">
        <f t="shared" si="6"/>
        <v>21638.899999999998</v>
      </c>
      <c r="Z56">
        <v>11.970235436155825</v>
      </c>
    </row>
    <row r="57" spans="1:26" x14ac:dyDescent="0.25">
      <c r="A57">
        <v>5320</v>
      </c>
      <c r="B57">
        <v>23210</v>
      </c>
      <c r="C57" s="1">
        <v>42634</v>
      </c>
      <c r="F57" s="32"/>
      <c r="G57">
        <v>13.9</v>
      </c>
      <c r="H57">
        <v>7</v>
      </c>
      <c r="I57">
        <v>20.5</v>
      </c>
      <c r="J57">
        <f t="shared" si="3"/>
        <v>385.59999999999991</v>
      </c>
      <c r="K57">
        <f t="shared" si="4"/>
        <v>385.59999999999991</v>
      </c>
      <c r="M57">
        <v>0</v>
      </c>
      <c r="N57">
        <v>2.5</v>
      </c>
      <c r="O57">
        <f t="shared" si="0"/>
        <v>-2.5</v>
      </c>
      <c r="Q57">
        <v>21</v>
      </c>
      <c r="R57">
        <f t="shared" si="8"/>
        <v>0.46234567901234563</v>
      </c>
      <c r="S57">
        <f t="shared" si="1"/>
        <v>1.1558641975308641</v>
      </c>
      <c r="T57">
        <f t="shared" si="2"/>
        <v>-1.1558641975308641</v>
      </c>
      <c r="U57" s="14">
        <f t="shared" si="7"/>
        <v>11.869938271604939</v>
      </c>
      <c r="W57">
        <v>1567.6</v>
      </c>
      <c r="X57">
        <f t="shared" si="5"/>
        <v>23206.499999999996</v>
      </c>
      <c r="Y57">
        <f t="shared" si="6"/>
        <v>23206.499999999996</v>
      </c>
      <c r="Z57">
        <v>11.910710367282128</v>
      </c>
    </row>
    <row r="58" spans="1:26" x14ac:dyDescent="0.25">
      <c r="A58">
        <v>5320</v>
      </c>
      <c r="B58">
        <v>23210</v>
      </c>
      <c r="C58" s="1">
        <v>42635</v>
      </c>
      <c r="F58" s="32"/>
      <c r="G58">
        <v>15.9</v>
      </c>
      <c r="H58">
        <v>9.1</v>
      </c>
      <c r="I58">
        <v>22.7</v>
      </c>
      <c r="J58">
        <f t="shared" si="3"/>
        <v>401.49999999999989</v>
      </c>
      <c r="K58">
        <f t="shared" si="4"/>
        <v>401.49999999999989</v>
      </c>
      <c r="M58">
        <v>0</v>
      </c>
      <c r="N58">
        <v>2.2000000000000002</v>
      </c>
      <c r="O58">
        <f t="shared" si="0"/>
        <v>-2.2000000000000002</v>
      </c>
      <c r="Q58">
        <v>22</v>
      </c>
      <c r="R58">
        <f t="shared" si="8"/>
        <v>0.47037037037037033</v>
      </c>
      <c r="S58">
        <f t="shared" si="1"/>
        <v>1.0348148148148149</v>
      </c>
      <c r="T58">
        <f t="shared" si="2"/>
        <v>-1.0348148148148149</v>
      </c>
      <c r="U58" s="14">
        <f t="shared" si="7"/>
        <v>10.835123456790123</v>
      </c>
      <c r="W58">
        <v>1297.4000000000001</v>
      </c>
      <c r="X58">
        <f t="shared" si="5"/>
        <v>24503.899999999998</v>
      </c>
      <c r="Y58">
        <f t="shared" si="6"/>
        <v>24503.899999999998</v>
      </c>
      <c r="Z58">
        <v>11.85119748239433</v>
      </c>
    </row>
    <row r="59" spans="1:26" x14ac:dyDescent="0.25">
      <c r="A59">
        <v>5320</v>
      </c>
      <c r="B59">
        <v>23210</v>
      </c>
      <c r="C59" s="1">
        <v>42636</v>
      </c>
      <c r="F59" s="32"/>
      <c r="G59">
        <v>16.7</v>
      </c>
      <c r="H59">
        <v>11</v>
      </c>
      <c r="I59">
        <v>23.6</v>
      </c>
      <c r="J59">
        <f t="shared" si="3"/>
        <v>418.19999999999987</v>
      </c>
      <c r="K59">
        <f t="shared" si="4"/>
        <v>418.19999999999987</v>
      </c>
      <c r="M59">
        <v>0</v>
      </c>
      <c r="N59">
        <v>2.6</v>
      </c>
      <c r="O59">
        <f t="shared" si="0"/>
        <v>-2.6</v>
      </c>
      <c r="Q59">
        <v>23</v>
      </c>
      <c r="R59">
        <f t="shared" si="8"/>
        <v>0.47839506172839508</v>
      </c>
      <c r="S59">
        <f t="shared" si="1"/>
        <v>1.2438271604938271</v>
      </c>
      <c r="T59">
        <f t="shared" si="2"/>
        <v>-1.2438271604938271</v>
      </c>
      <c r="U59" s="14">
        <f t="shared" si="7"/>
        <v>9.5912962962962958</v>
      </c>
      <c r="W59">
        <v>1393.8</v>
      </c>
      <c r="X59">
        <f t="shared" si="5"/>
        <v>25897.699999999997</v>
      </c>
      <c r="Y59">
        <f t="shared" si="6"/>
        <v>25897.699999999997</v>
      </c>
      <c r="Z59">
        <v>11.791704929284512</v>
      </c>
    </row>
    <row r="60" spans="1:26" x14ac:dyDescent="0.25">
      <c r="A60">
        <v>5320</v>
      </c>
      <c r="B60">
        <v>23210</v>
      </c>
      <c r="C60" s="1">
        <v>42637</v>
      </c>
      <c r="F60" s="32"/>
      <c r="G60">
        <v>16.7</v>
      </c>
      <c r="H60">
        <v>9.5</v>
      </c>
      <c r="I60">
        <v>25.1</v>
      </c>
      <c r="J60">
        <f t="shared" si="3"/>
        <v>434.89999999999986</v>
      </c>
      <c r="K60">
        <f t="shared" si="4"/>
        <v>434.89999999999986</v>
      </c>
      <c r="M60">
        <v>0</v>
      </c>
      <c r="N60">
        <v>3.6</v>
      </c>
      <c r="O60">
        <f t="shared" si="0"/>
        <v>-3.6</v>
      </c>
      <c r="Q60">
        <v>24</v>
      </c>
      <c r="R60">
        <f t="shared" si="8"/>
        <v>0.48641975308641971</v>
      </c>
      <c r="S60">
        <f t="shared" si="1"/>
        <v>1.7511111111111111</v>
      </c>
      <c r="T60">
        <f t="shared" si="2"/>
        <v>-1.7511111111111111</v>
      </c>
      <c r="U60" s="14">
        <f t="shared" si="7"/>
        <v>7.8401851851851845</v>
      </c>
      <c r="W60">
        <v>1557.7</v>
      </c>
      <c r="X60">
        <f t="shared" si="5"/>
        <v>27455.399999999998</v>
      </c>
      <c r="Y60">
        <f t="shared" si="6"/>
        <v>27455.399999999998</v>
      </c>
      <c r="Z60">
        <v>11.732240893429678</v>
      </c>
    </row>
    <row r="61" spans="1:26" x14ac:dyDescent="0.25">
      <c r="A61">
        <v>5320</v>
      </c>
      <c r="B61">
        <v>23210</v>
      </c>
      <c r="C61" s="1">
        <v>42638</v>
      </c>
      <c r="F61" s="32"/>
      <c r="G61">
        <v>14.7</v>
      </c>
      <c r="H61">
        <v>13.2</v>
      </c>
      <c r="I61">
        <v>18.8</v>
      </c>
      <c r="J61">
        <f t="shared" si="3"/>
        <v>449.59999999999985</v>
      </c>
      <c r="K61">
        <f t="shared" si="4"/>
        <v>449.59999999999985</v>
      </c>
      <c r="M61">
        <v>0.5</v>
      </c>
      <c r="N61">
        <v>2.2999999999999998</v>
      </c>
      <c r="O61">
        <f t="shared" si="0"/>
        <v>-1.7999999999999998</v>
      </c>
      <c r="Q61">
        <v>25</v>
      </c>
      <c r="R61">
        <f t="shared" si="8"/>
        <v>0.49444444444444441</v>
      </c>
      <c r="S61">
        <f t="shared" si="1"/>
        <v>1.1372222222222221</v>
      </c>
      <c r="T61">
        <f t="shared" si="2"/>
        <v>-0.63722222222222213</v>
      </c>
      <c r="U61" s="14">
        <f t="shared" si="7"/>
        <v>7.2029629629629621</v>
      </c>
      <c r="W61">
        <v>1090.2</v>
      </c>
      <c r="X61">
        <f t="shared" si="5"/>
        <v>28545.599999999999</v>
      </c>
      <c r="Y61">
        <f t="shared" si="6"/>
        <v>28545.599999999999</v>
      </c>
      <c r="Z61">
        <v>11.672813613030808</v>
      </c>
    </row>
    <row r="62" spans="1:26" x14ac:dyDescent="0.25">
      <c r="A62">
        <v>5320</v>
      </c>
      <c r="B62">
        <v>23210</v>
      </c>
      <c r="C62" s="1">
        <v>42639</v>
      </c>
      <c r="F62" s="32"/>
      <c r="G62">
        <v>13.8</v>
      </c>
      <c r="H62">
        <v>7.3</v>
      </c>
      <c r="I62">
        <v>21.1</v>
      </c>
      <c r="J62">
        <f t="shared" si="3"/>
        <v>463.39999999999986</v>
      </c>
      <c r="K62">
        <f t="shared" si="4"/>
        <v>463.39999999999986</v>
      </c>
      <c r="M62">
        <v>0</v>
      </c>
      <c r="N62">
        <v>1.7</v>
      </c>
      <c r="O62">
        <f t="shared" si="0"/>
        <v>-1.7</v>
      </c>
      <c r="Q62">
        <v>26</v>
      </c>
      <c r="R62">
        <f t="shared" si="8"/>
        <v>0.5024691358024691</v>
      </c>
      <c r="S62">
        <f t="shared" si="1"/>
        <v>0.85419753086419747</v>
      </c>
      <c r="T62">
        <f t="shared" si="2"/>
        <v>-0.85419753086419747</v>
      </c>
      <c r="U62" s="14">
        <f t="shared" si="7"/>
        <v>6.348765432098765</v>
      </c>
      <c r="W62">
        <v>922.7</v>
      </c>
      <c r="X62">
        <f t="shared" si="5"/>
        <v>29468.3</v>
      </c>
      <c r="Y62">
        <f t="shared" si="6"/>
        <v>29468.3</v>
      </c>
      <c r="Z62">
        <v>11.613431394016612</v>
      </c>
    </row>
    <row r="63" spans="1:26" x14ac:dyDescent="0.25">
      <c r="A63">
        <v>5320</v>
      </c>
      <c r="B63">
        <v>23210</v>
      </c>
      <c r="C63" s="1">
        <v>42640</v>
      </c>
      <c r="F63" s="32"/>
      <c r="G63">
        <v>16.3</v>
      </c>
      <c r="H63">
        <v>9.5</v>
      </c>
      <c r="I63">
        <v>23</v>
      </c>
      <c r="J63">
        <f t="shared" si="3"/>
        <v>479.69999999999987</v>
      </c>
      <c r="K63">
        <f t="shared" si="4"/>
        <v>479.69999999999987</v>
      </c>
      <c r="M63">
        <v>0</v>
      </c>
      <c r="N63">
        <v>2.2999999999999998</v>
      </c>
      <c r="O63">
        <f t="shared" si="0"/>
        <v>-2.2999999999999998</v>
      </c>
      <c r="Q63">
        <v>27</v>
      </c>
      <c r="R63">
        <f t="shared" si="8"/>
        <v>0.51049382716049374</v>
      </c>
      <c r="S63">
        <f t="shared" si="1"/>
        <v>1.1741358024691355</v>
      </c>
      <c r="T63">
        <f t="shared" si="2"/>
        <v>-1.1741358024691355</v>
      </c>
      <c r="U63" s="14">
        <f t="shared" si="7"/>
        <v>5.1746296296296297</v>
      </c>
      <c r="W63">
        <v>966.2</v>
      </c>
      <c r="X63">
        <f t="shared" si="5"/>
        <v>30434.5</v>
      </c>
      <c r="Y63">
        <f t="shared" si="6"/>
        <v>30434.5</v>
      </c>
      <c r="Z63">
        <v>11.554102625001134</v>
      </c>
    </row>
    <row r="64" spans="1:26" x14ac:dyDescent="0.25">
      <c r="A64">
        <v>5320</v>
      </c>
      <c r="B64">
        <v>23210</v>
      </c>
      <c r="C64" s="1">
        <v>42641</v>
      </c>
      <c r="F64" s="32"/>
      <c r="G64">
        <v>15.8</v>
      </c>
      <c r="H64">
        <v>10.8</v>
      </c>
      <c r="I64">
        <v>21.3</v>
      </c>
      <c r="J64">
        <f t="shared" si="3"/>
        <v>495.49999999999989</v>
      </c>
      <c r="K64">
        <f t="shared" si="4"/>
        <v>495.49999999999989</v>
      </c>
      <c r="M64">
        <v>0.1</v>
      </c>
      <c r="N64">
        <v>1.2</v>
      </c>
      <c r="O64">
        <f t="shared" si="0"/>
        <v>-1.0999999999999999</v>
      </c>
      <c r="Q64">
        <v>28</v>
      </c>
      <c r="R64">
        <f t="shared" si="8"/>
        <v>0.51851851851851849</v>
      </c>
      <c r="S64">
        <f t="shared" si="1"/>
        <v>0.62222222222222212</v>
      </c>
      <c r="T64">
        <f t="shared" si="2"/>
        <v>-0.52222222222222214</v>
      </c>
      <c r="U64" s="14">
        <f t="shared" si="7"/>
        <v>4.6524074074074075</v>
      </c>
      <c r="W64">
        <v>511</v>
      </c>
      <c r="X64">
        <f t="shared" si="5"/>
        <v>30945.5</v>
      </c>
      <c r="Y64">
        <f t="shared" si="6"/>
        <v>30945.5</v>
      </c>
      <c r="Z64">
        <v>11.494835792183968</v>
      </c>
    </row>
    <row r="65" spans="1:26" x14ac:dyDescent="0.25">
      <c r="A65">
        <v>5320</v>
      </c>
      <c r="B65">
        <v>23210</v>
      </c>
      <c r="C65" s="1">
        <v>42642</v>
      </c>
      <c r="F65" s="32"/>
      <c r="G65">
        <v>17.399999999999999</v>
      </c>
      <c r="H65">
        <v>11.4</v>
      </c>
      <c r="I65">
        <v>23.3</v>
      </c>
      <c r="J65">
        <f t="shared" si="3"/>
        <v>512.89999999999986</v>
      </c>
      <c r="K65">
        <f t="shared" si="4"/>
        <v>512.89999999999986</v>
      </c>
      <c r="M65">
        <v>0.3</v>
      </c>
      <c r="N65">
        <v>2.2000000000000002</v>
      </c>
      <c r="O65">
        <f t="shared" si="0"/>
        <v>-1.9000000000000001</v>
      </c>
      <c r="Q65">
        <v>29</v>
      </c>
      <c r="R65">
        <f t="shared" si="8"/>
        <v>0.52654320987654324</v>
      </c>
      <c r="S65">
        <f t="shared" si="1"/>
        <v>1.1583950617283951</v>
      </c>
      <c r="T65">
        <f t="shared" si="2"/>
        <v>-0.85839506172839508</v>
      </c>
      <c r="U65" s="14">
        <f t="shared" si="7"/>
        <v>3.7940123456790125</v>
      </c>
      <c r="W65">
        <v>846.9</v>
      </c>
      <c r="X65">
        <f t="shared" si="5"/>
        <v>31792.400000000001</v>
      </c>
      <c r="Y65">
        <f t="shared" si="6"/>
        <v>31792.400000000001</v>
      </c>
      <c r="Z65">
        <v>11.435639494181173</v>
      </c>
    </row>
    <row r="66" spans="1:26" x14ac:dyDescent="0.25">
      <c r="A66">
        <v>5320</v>
      </c>
      <c r="B66">
        <v>23210</v>
      </c>
      <c r="C66" s="1">
        <v>42643</v>
      </c>
      <c r="F66" s="32"/>
      <c r="G66">
        <v>14.6</v>
      </c>
      <c r="H66">
        <v>13.3</v>
      </c>
      <c r="I66">
        <v>16.899999999999999</v>
      </c>
      <c r="J66">
        <f t="shared" si="3"/>
        <v>527.49999999999989</v>
      </c>
      <c r="K66">
        <f t="shared" si="4"/>
        <v>527.49999999999989</v>
      </c>
      <c r="M66">
        <v>17.7</v>
      </c>
      <c r="N66">
        <v>0.8</v>
      </c>
      <c r="O66">
        <f t="shared" si="0"/>
        <v>16.899999999999999</v>
      </c>
      <c r="Q66">
        <v>30</v>
      </c>
      <c r="R66">
        <f t="shared" si="8"/>
        <v>0.53456790123456788</v>
      </c>
      <c r="S66">
        <f t="shared" si="1"/>
        <v>0.42765432098765432</v>
      </c>
      <c r="T66">
        <f t="shared" si="2"/>
        <v>17.272345679012346</v>
      </c>
      <c r="U66" s="14">
        <f t="shared" si="7"/>
        <v>21.066358024691358</v>
      </c>
      <c r="W66">
        <v>528.70000000000005</v>
      </c>
      <c r="X66">
        <f t="shared" si="5"/>
        <v>32321.100000000002</v>
      </c>
      <c r="Y66">
        <f t="shared" si="6"/>
        <v>32321.100000000002</v>
      </c>
      <c r="Z66">
        <v>11.376522456774246</v>
      </c>
    </row>
    <row r="67" spans="1:26" x14ac:dyDescent="0.25">
      <c r="A67">
        <v>5320</v>
      </c>
      <c r="B67">
        <v>23210</v>
      </c>
      <c r="C67" s="1">
        <v>42644</v>
      </c>
      <c r="F67" s="32"/>
      <c r="G67">
        <v>13.6</v>
      </c>
      <c r="H67">
        <v>12.3</v>
      </c>
      <c r="I67">
        <v>17.399999999999999</v>
      </c>
      <c r="J67">
        <f t="shared" si="3"/>
        <v>541.09999999999991</v>
      </c>
      <c r="K67">
        <f t="shared" si="4"/>
        <v>541.09999999999991</v>
      </c>
      <c r="M67">
        <v>1.3</v>
      </c>
      <c r="N67">
        <v>2</v>
      </c>
      <c r="O67">
        <f t="shared" si="0"/>
        <v>-0.7</v>
      </c>
      <c r="Q67">
        <v>31</v>
      </c>
      <c r="R67">
        <f t="shared" si="8"/>
        <v>0.54259259259259252</v>
      </c>
      <c r="S67">
        <f t="shared" si="1"/>
        <v>1.085185185185185</v>
      </c>
      <c r="T67">
        <f t="shared" si="2"/>
        <v>0.21481481481481501</v>
      </c>
      <c r="U67" s="14">
        <f t="shared" si="7"/>
        <v>21.281172839506173</v>
      </c>
      <c r="W67">
        <v>801.5</v>
      </c>
      <c r="X67">
        <f t="shared" si="5"/>
        <v>33122.600000000006</v>
      </c>
      <c r="Y67">
        <f t="shared" si="6"/>
        <v>33122.600000000006</v>
      </c>
      <c r="Z67">
        <v>11.317493547563753</v>
      </c>
    </row>
    <row r="68" spans="1:26" x14ac:dyDescent="0.25">
      <c r="A68">
        <v>5320</v>
      </c>
      <c r="B68">
        <v>23210</v>
      </c>
      <c r="C68" s="1">
        <v>42645</v>
      </c>
      <c r="F68" s="32"/>
      <c r="G68">
        <v>10.7</v>
      </c>
      <c r="H68">
        <v>6.4</v>
      </c>
      <c r="I68">
        <v>16.100000000000001</v>
      </c>
      <c r="J68">
        <f t="shared" si="3"/>
        <v>551.79999999999995</v>
      </c>
      <c r="K68">
        <f t="shared" si="4"/>
        <v>551.79999999999995</v>
      </c>
      <c r="M68">
        <v>0</v>
      </c>
      <c r="N68">
        <v>1.5</v>
      </c>
      <c r="O68">
        <f t="shared" si="0"/>
        <v>-1.5</v>
      </c>
      <c r="Q68">
        <v>32</v>
      </c>
      <c r="R68">
        <f t="shared" si="8"/>
        <v>0.55061728395061726</v>
      </c>
      <c r="S68">
        <f t="shared" si="1"/>
        <v>0.82592592592592595</v>
      </c>
      <c r="T68">
        <f t="shared" si="2"/>
        <v>-0.82592592592592595</v>
      </c>
      <c r="U68" s="14">
        <f t="shared" si="7"/>
        <v>20.455246913580247</v>
      </c>
      <c r="W68">
        <v>930</v>
      </c>
      <c r="X68">
        <f t="shared" si="5"/>
        <v>34052.600000000006</v>
      </c>
      <c r="Y68">
        <f t="shared" si="6"/>
        <v>34052.600000000006</v>
      </c>
      <c r="Z68">
        <v>11.258561790513085</v>
      </c>
    </row>
    <row r="69" spans="1:26" x14ac:dyDescent="0.25">
      <c r="A69">
        <v>5320</v>
      </c>
      <c r="B69">
        <v>23210</v>
      </c>
      <c r="C69" s="1">
        <v>42646</v>
      </c>
      <c r="F69" s="32"/>
      <c r="G69">
        <v>11</v>
      </c>
      <c r="H69">
        <v>4.7</v>
      </c>
      <c r="I69">
        <v>17.3</v>
      </c>
      <c r="J69">
        <f t="shared" si="3"/>
        <v>562.79999999999995</v>
      </c>
      <c r="K69">
        <f t="shared" si="4"/>
        <v>562.79999999999995</v>
      </c>
      <c r="M69">
        <v>0</v>
      </c>
      <c r="N69">
        <v>2.4</v>
      </c>
      <c r="O69">
        <f t="shared" si="0"/>
        <v>-2.4</v>
      </c>
      <c r="Q69">
        <v>33</v>
      </c>
      <c r="R69">
        <f t="shared" si="8"/>
        <v>0.55864197530864201</v>
      </c>
      <c r="S69">
        <f t="shared" si="1"/>
        <v>1.3407407407407408</v>
      </c>
      <c r="T69">
        <f t="shared" si="2"/>
        <v>-1.3407407407407408</v>
      </c>
      <c r="U69" s="14">
        <f t="shared" si="7"/>
        <v>19.114506172839505</v>
      </c>
      <c r="W69">
        <v>1543.5</v>
      </c>
      <c r="X69">
        <f t="shared" si="5"/>
        <v>35596.100000000006</v>
      </c>
      <c r="Y69">
        <f t="shared" si="6"/>
        <v>35596.100000000006</v>
      </c>
      <c r="Z69">
        <v>11.199736380366977</v>
      </c>
    </row>
    <row r="70" spans="1:26" x14ac:dyDescent="0.25">
      <c r="A70">
        <v>5320</v>
      </c>
      <c r="B70">
        <v>23210</v>
      </c>
      <c r="C70" s="1">
        <v>42647</v>
      </c>
      <c r="F70" s="32"/>
      <c r="G70">
        <v>12.9</v>
      </c>
      <c r="H70">
        <v>8.1999999999999993</v>
      </c>
      <c r="I70">
        <v>18.7</v>
      </c>
      <c r="J70">
        <f t="shared" si="3"/>
        <v>575.69999999999993</v>
      </c>
      <c r="K70">
        <f t="shared" si="4"/>
        <v>575.69999999999993</v>
      </c>
      <c r="M70">
        <v>0</v>
      </c>
      <c r="N70">
        <v>3.1</v>
      </c>
      <c r="O70">
        <f t="shared" ref="O70:O133" si="9">M70-N70</f>
        <v>-3.1</v>
      </c>
      <c r="Q70">
        <v>34</v>
      </c>
      <c r="R70">
        <f t="shared" si="8"/>
        <v>0.56666666666666665</v>
      </c>
      <c r="S70">
        <f t="shared" si="1"/>
        <v>1.7566666666666666</v>
      </c>
      <c r="T70">
        <f t="shared" si="2"/>
        <v>-1.7566666666666666</v>
      </c>
      <c r="U70" s="14">
        <f t="shared" si="7"/>
        <v>17.357839506172837</v>
      </c>
      <c r="W70">
        <v>1506.9</v>
      </c>
      <c r="X70">
        <f t="shared" si="5"/>
        <v>37103.000000000007</v>
      </c>
      <c r="Y70">
        <f t="shared" si="6"/>
        <v>37103.000000000007</v>
      </c>
      <c r="Z70">
        <v>11.14102669692803</v>
      </c>
    </row>
    <row r="71" spans="1:26" x14ac:dyDescent="0.25">
      <c r="A71">
        <v>5320</v>
      </c>
      <c r="B71">
        <v>23210</v>
      </c>
      <c r="C71" s="1">
        <v>42648</v>
      </c>
      <c r="F71" s="32"/>
      <c r="G71">
        <v>11.6</v>
      </c>
      <c r="H71">
        <v>8.5</v>
      </c>
      <c r="I71">
        <v>16.600000000000001</v>
      </c>
      <c r="J71">
        <f t="shared" si="3"/>
        <v>587.29999999999995</v>
      </c>
      <c r="K71">
        <f t="shared" si="4"/>
        <v>587.29999999999995</v>
      </c>
      <c r="M71">
        <v>0</v>
      </c>
      <c r="N71">
        <v>2.8</v>
      </c>
      <c r="O71">
        <f t="shared" si="9"/>
        <v>-2.8</v>
      </c>
      <c r="Q71">
        <v>35</v>
      </c>
      <c r="R71">
        <f t="shared" si="8"/>
        <v>0.57469135802469129</v>
      </c>
      <c r="S71">
        <f t="shared" si="1"/>
        <v>1.6091358024691356</v>
      </c>
      <c r="T71">
        <f t="shared" si="2"/>
        <v>-1.6091358024691356</v>
      </c>
      <c r="U71" s="14">
        <f t="shared" si="7"/>
        <v>15.748703703703702</v>
      </c>
      <c r="W71">
        <v>1416.5</v>
      </c>
      <c r="X71">
        <f t="shared" si="5"/>
        <v>38519.500000000007</v>
      </c>
      <c r="Y71">
        <f t="shared" si="6"/>
        <v>38519.500000000007</v>
      </c>
      <c r="Z71">
        <v>11.082442319173392</v>
      </c>
    </row>
    <row r="72" spans="1:26" x14ac:dyDescent="0.25">
      <c r="A72">
        <v>5320</v>
      </c>
      <c r="B72">
        <v>23210</v>
      </c>
      <c r="C72" s="1">
        <v>42649</v>
      </c>
      <c r="F72" s="32"/>
      <c r="G72">
        <v>9.4</v>
      </c>
      <c r="H72">
        <v>4.7</v>
      </c>
      <c r="I72">
        <v>13.9</v>
      </c>
      <c r="J72">
        <f t="shared" si="3"/>
        <v>596.69999999999993</v>
      </c>
      <c r="K72">
        <f t="shared" si="4"/>
        <v>596.69999999999993</v>
      </c>
      <c r="M72">
        <v>0</v>
      </c>
      <c r="N72">
        <v>2.6</v>
      </c>
      <c r="O72">
        <f t="shared" si="9"/>
        <v>-2.6</v>
      </c>
      <c r="Q72">
        <v>36</v>
      </c>
      <c r="R72">
        <f t="shared" si="8"/>
        <v>0.58271604938271604</v>
      </c>
      <c r="S72">
        <f t="shared" si="1"/>
        <v>1.5150617283950618</v>
      </c>
      <c r="T72">
        <f t="shared" si="2"/>
        <v>-1.5150617283950618</v>
      </c>
      <c r="U72" s="14">
        <f t="shared" si="7"/>
        <v>14.23364197530864</v>
      </c>
      <c r="W72">
        <v>1605.6</v>
      </c>
      <c r="X72">
        <f t="shared" si="5"/>
        <v>40125.100000000006</v>
      </c>
      <c r="Y72">
        <f t="shared" si="6"/>
        <v>40125.100000000006</v>
      </c>
      <c r="Z72">
        <v>11.023993039192186</v>
      </c>
    </row>
    <row r="73" spans="1:26" x14ac:dyDescent="0.25">
      <c r="A73">
        <v>5320</v>
      </c>
      <c r="B73">
        <v>23210</v>
      </c>
      <c r="C73" s="1">
        <v>42650</v>
      </c>
      <c r="F73" s="32"/>
      <c r="G73">
        <v>10.199999999999999</v>
      </c>
      <c r="H73">
        <v>6</v>
      </c>
      <c r="I73">
        <v>12.9</v>
      </c>
      <c r="J73">
        <f t="shared" si="3"/>
        <v>606.9</v>
      </c>
      <c r="K73">
        <f t="shared" si="4"/>
        <v>606.9</v>
      </c>
      <c r="M73">
        <v>0</v>
      </c>
      <c r="N73">
        <v>1</v>
      </c>
      <c r="O73">
        <f t="shared" si="9"/>
        <v>-1</v>
      </c>
      <c r="Q73">
        <v>37</v>
      </c>
      <c r="R73">
        <f t="shared" si="8"/>
        <v>0.59074074074074068</v>
      </c>
      <c r="S73">
        <f t="shared" si="1"/>
        <v>0.59074074074074068</v>
      </c>
      <c r="T73">
        <f t="shared" si="2"/>
        <v>-0.59074074074074068</v>
      </c>
      <c r="U73" s="14">
        <f t="shared" si="7"/>
        <v>13.642901234567899</v>
      </c>
      <c r="W73">
        <v>483.5</v>
      </c>
      <c r="X73">
        <f t="shared" si="5"/>
        <v>40608.600000000006</v>
      </c>
      <c r="Y73">
        <f t="shared" si="6"/>
        <v>40608.600000000006</v>
      </c>
      <c r="Z73">
        <v>10.965688875922906</v>
      </c>
    </row>
    <row r="74" spans="1:26" x14ac:dyDescent="0.25">
      <c r="A74">
        <v>5320</v>
      </c>
      <c r="B74">
        <v>23210</v>
      </c>
      <c r="C74" s="1">
        <v>42651</v>
      </c>
      <c r="F74" s="32"/>
      <c r="G74">
        <v>12</v>
      </c>
      <c r="H74">
        <v>10.7</v>
      </c>
      <c r="I74">
        <v>14.9</v>
      </c>
      <c r="J74">
        <f t="shared" si="3"/>
        <v>618.9</v>
      </c>
      <c r="K74">
        <f t="shared" si="4"/>
        <v>618.9</v>
      </c>
      <c r="M74">
        <v>0</v>
      </c>
      <c r="N74">
        <v>1.4</v>
      </c>
      <c r="O74">
        <f t="shared" si="9"/>
        <v>-1.4</v>
      </c>
      <c r="Q74">
        <v>38</v>
      </c>
      <c r="R74">
        <f t="shared" si="8"/>
        <v>0.59876543209876543</v>
      </c>
      <c r="S74">
        <f t="shared" si="1"/>
        <v>0.83827160493827158</v>
      </c>
      <c r="T74">
        <f t="shared" si="2"/>
        <v>-0.83827160493827158</v>
      </c>
      <c r="U74" s="14">
        <f t="shared" si="7"/>
        <v>12.804629629629629</v>
      </c>
      <c r="W74">
        <v>392.3</v>
      </c>
      <c r="X74">
        <f t="shared" si="5"/>
        <v>41000.900000000009</v>
      </c>
      <c r="Y74">
        <f t="shared" si="6"/>
        <v>41000.900000000009</v>
      </c>
      <c r="Z74">
        <v>10.907540088668341</v>
      </c>
    </row>
    <row r="75" spans="1:26" x14ac:dyDescent="0.25">
      <c r="A75">
        <v>5320</v>
      </c>
      <c r="B75">
        <v>23210</v>
      </c>
      <c r="C75" s="1">
        <v>42652</v>
      </c>
      <c r="F75" s="32"/>
      <c r="G75">
        <v>10.5</v>
      </c>
      <c r="H75">
        <v>7.5</v>
      </c>
      <c r="I75">
        <v>15.4</v>
      </c>
      <c r="J75">
        <f t="shared" si="3"/>
        <v>629.4</v>
      </c>
      <c r="K75">
        <f t="shared" si="4"/>
        <v>629.4</v>
      </c>
      <c r="M75">
        <v>0</v>
      </c>
      <c r="N75">
        <v>2</v>
      </c>
      <c r="O75">
        <f t="shared" si="9"/>
        <v>-2</v>
      </c>
      <c r="Q75">
        <v>39</v>
      </c>
      <c r="R75">
        <f t="shared" si="8"/>
        <v>0.60679012345679006</v>
      </c>
      <c r="S75">
        <f t="shared" si="1"/>
        <v>1.2135802469135801</v>
      </c>
      <c r="T75">
        <f t="shared" si="2"/>
        <v>-1.2135802469135801</v>
      </c>
      <c r="U75" s="14">
        <f t="shared" si="7"/>
        <v>11.591049382716049</v>
      </c>
      <c r="W75">
        <v>908.1</v>
      </c>
      <c r="X75">
        <f t="shared" si="5"/>
        <v>41909.000000000007</v>
      </c>
      <c r="Y75">
        <f t="shared" si="6"/>
        <v>41909.000000000007</v>
      </c>
      <c r="Z75">
        <v>10.849557190363928</v>
      </c>
    </row>
    <row r="76" spans="1:26" x14ac:dyDescent="0.25">
      <c r="A76">
        <v>5320</v>
      </c>
      <c r="B76">
        <v>23210</v>
      </c>
      <c r="C76" s="1">
        <v>42653</v>
      </c>
      <c r="F76" s="32"/>
      <c r="G76">
        <v>8.6999999999999993</v>
      </c>
      <c r="H76">
        <v>2.7</v>
      </c>
      <c r="I76">
        <v>14.5</v>
      </c>
      <c r="J76">
        <f t="shared" si="3"/>
        <v>638.1</v>
      </c>
      <c r="K76">
        <f t="shared" si="4"/>
        <v>638.1</v>
      </c>
      <c r="M76">
        <v>0.1</v>
      </c>
      <c r="N76">
        <v>1.3</v>
      </c>
      <c r="O76">
        <f t="shared" si="9"/>
        <v>-1.2</v>
      </c>
      <c r="Q76">
        <v>40</v>
      </c>
      <c r="R76">
        <f t="shared" si="8"/>
        <v>0.61481481481481481</v>
      </c>
      <c r="S76">
        <f t="shared" si="1"/>
        <v>0.79925925925925934</v>
      </c>
      <c r="T76">
        <f t="shared" si="2"/>
        <v>-0.69925925925925936</v>
      </c>
      <c r="U76" s="14">
        <f t="shared" si="7"/>
        <v>10.89179012345679</v>
      </c>
      <c r="W76">
        <v>816.5</v>
      </c>
      <c r="X76">
        <f t="shared" si="5"/>
        <v>42725.500000000007</v>
      </c>
      <c r="Y76">
        <f t="shared" si="6"/>
        <v>42725.500000000007</v>
      </c>
      <c r="Z76">
        <v>10.791750960573564</v>
      </c>
    </row>
    <row r="77" spans="1:26" x14ac:dyDescent="0.25">
      <c r="A77">
        <v>5320</v>
      </c>
      <c r="B77">
        <v>23210</v>
      </c>
      <c r="C77" s="1">
        <v>42654</v>
      </c>
      <c r="F77" s="32"/>
      <c r="G77">
        <v>7.8</v>
      </c>
      <c r="H77">
        <v>3.6</v>
      </c>
      <c r="I77">
        <v>12.4</v>
      </c>
      <c r="J77">
        <f t="shared" si="3"/>
        <v>645.9</v>
      </c>
      <c r="K77">
        <f t="shared" si="4"/>
        <v>645.9</v>
      </c>
      <c r="M77">
        <v>0</v>
      </c>
      <c r="N77">
        <v>1.3</v>
      </c>
      <c r="O77">
        <f t="shared" si="9"/>
        <v>-1.3</v>
      </c>
      <c r="Q77">
        <v>41</v>
      </c>
      <c r="R77">
        <f t="shared" si="8"/>
        <v>0.62283950617283945</v>
      </c>
      <c r="S77">
        <f t="shared" si="1"/>
        <v>0.80969135802469128</v>
      </c>
      <c r="T77">
        <f t="shared" si="2"/>
        <v>-0.80969135802469128</v>
      </c>
      <c r="U77" s="14">
        <f t="shared" si="7"/>
        <v>10.082098765432098</v>
      </c>
      <c r="W77">
        <v>934.2</v>
      </c>
      <c r="X77">
        <f t="shared" si="5"/>
        <v>43659.700000000004</v>
      </c>
      <c r="Y77">
        <f t="shared" si="6"/>
        <v>43659.700000000004</v>
      </c>
      <c r="Z77">
        <v>10.73413245818508</v>
      </c>
    </row>
    <row r="78" spans="1:26" x14ac:dyDescent="0.25">
      <c r="A78">
        <v>5320</v>
      </c>
      <c r="B78">
        <v>23210</v>
      </c>
      <c r="C78" s="1">
        <v>42655</v>
      </c>
      <c r="F78" s="32"/>
      <c r="G78">
        <v>8.5</v>
      </c>
      <c r="H78">
        <v>3.4</v>
      </c>
      <c r="I78">
        <v>13.9</v>
      </c>
      <c r="J78">
        <f t="shared" si="3"/>
        <v>654.4</v>
      </c>
      <c r="K78">
        <f t="shared" si="4"/>
        <v>654.4</v>
      </c>
      <c r="M78">
        <v>0</v>
      </c>
      <c r="N78">
        <v>1.9</v>
      </c>
      <c r="O78">
        <f t="shared" si="9"/>
        <v>-1.9</v>
      </c>
      <c r="Q78">
        <v>42</v>
      </c>
      <c r="R78">
        <f t="shared" si="8"/>
        <v>0.6308641975308642</v>
      </c>
      <c r="S78">
        <f t="shared" si="1"/>
        <v>1.1986419753086419</v>
      </c>
      <c r="T78">
        <f t="shared" si="2"/>
        <v>-1.1986419753086419</v>
      </c>
      <c r="U78" s="14">
        <f t="shared" si="7"/>
        <v>8.8834567901234571</v>
      </c>
      <c r="W78">
        <v>1083.4000000000001</v>
      </c>
      <c r="X78">
        <f t="shared" si="5"/>
        <v>44743.100000000006</v>
      </c>
      <c r="Y78">
        <f t="shared" si="6"/>
        <v>44743.100000000006</v>
      </c>
      <c r="Z78">
        <v>10.676713033775604</v>
      </c>
    </row>
    <row r="79" spans="1:26" x14ac:dyDescent="0.25">
      <c r="A79">
        <v>5320</v>
      </c>
      <c r="B79">
        <v>23210</v>
      </c>
      <c r="C79" s="1">
        <v>42656</v>
      </c>
      <c r="F79" s="32"/>
      <c r="G79">
        <v>7.7</v>
      </c>
      <c r="H79">
        <v>4.4000000000000004</v>
      </c>
      <c r="I79">
        <v>9.5</v>
      </c>
      <c r="J79">
        <f t="shared" si="3"/>
        <v>662.1</v>
      </c>
      <c r="K79">
        <f t="shared" si="4"/>
        <v>662.1</v>
      </c>
      <c r="M79">
        <v>1.4</v>
      </c>
      <c r="N79">
        <v>0.3</v>
      </c>
      <c r="O79">
        <f t="shared" si="9"/>
        <v>1.0999999999999999</v>
      </c>
      <c r="Q79">
        <v>43</v>
      </c>
      <c r="R79">
        <f t="shared" si="8"/>
        <v>0.63888888888888884</v>
      </c>
      <c r="S79">
        <f t="shared" si="1"/>
        <v>0.19166666666666665</v>
      </c>
      <c r="T79">
        <f t="shared" si="2"/>
        <v>1.2083333333333333</v>
      </c>
      <c r="U79" s="14">
        <f t="shared" si="7"/>
        <v>10.091790123456791</v>
      </c>
      <c r="W79">
        <v>244.4</v>
      </c>
      <c r="X79">
        <f t="shared" si="5"/>
        <v>44987.500000000007</v>
      </c>
      <c r="Y79">
        <f t="shared" si="6"/>
        <v>44987.500000000007</v>
      </c>
      <c r="Z79">
        <v>10.619504341614908</v>
      </c>
    </row>
    <row r="80" spans="1:26" x14ac:dyDescent="0.25">
      <c r="A80">
        <v>5320</v>
      </c>
      <c r="B80">
        <v>23210</v>
      </c>
      <c r="C80" s="1">
        <v>42657</v>
      </c>
      <c r="F80" s="32"/>
      <c r="G80">
        <v>10.1</v>
      </c>
      <c r="H80">
        <v>9.1999999999999993</v>
      </c>
      <c r="I80">
        <v>11.6</v>
      </c>
      <c r="J80">
        <f t="shared" si="3"/>
        <v>672.2</v>
      </c>
      <c r="K80">
        <f t="shared" si="4"/>
        <v>672.2</v>
      </c>
      <c r="M80">
        <v>0</v>
      </c>
      <c r="N80">
        <v>0.6</v>
      </c>
      <c r="O80">
        <f t="shared" si="9"/>
        <v>-0.6</v>
      </c>
      <c r="Q80">
        <v>44</v>
      </c>
      <c r="R80">
        <f t="shared" si="8"/>
        <v>0.64691358024691348</v>
      </c>
      <c r="S80">
        <f t="shared" si="1"/>
        <v>0.38814814814814808</v>
      </c>
      <c r="T80">
        <f t="shared" si="2"/>
        <v>-0.38814814814814808</v>
      </c>
      <c r="U80" s="14">
        <f t="shared" si="7"/>
        <v>9.7036419753086438</v>
      </c>
      <c r="W80">
        <v>322.2</v>
      </c>
      <c r="X80">
        <f t="shared" si="5"/>
        <v>45309.700000000004</v>
      </c>
      <c r="Y80">
        <f t="shared" si="6"/>
        <v>45309.700000000004</v>
      </c>
      <c r="Z80">
        <v>10.562518351272772</v>
      </c>
    </row>
    <row r="81" spans="1:26" x14ac:dyDescent="0.25">
      <c r="A81">
        <v>5320</v>
      </c>
      <c r="B81">
        <v>23210</v>
      </c>
      <c r="C81" s="1">
        <v>42658</v>
      </c>
      <c r="F81" s="32"/>
      <c r="G81">
        <v>11.8</v>
      </c>
      <c r="H81">
        <v>6.8</v>
      </c>
      <c r="I81">
        <v>17.7</v>
      </c>
      <c r="J81">
        <f t="shared" si="3"/>
        <v>684</v>
      </c>
      <c r="K81">
        <f t="shared" si="4"/>
        <v>684</v>
      </c>
      <c r="M81">
        <v>0</v>
      </c>
      <c r="N81">
        <v>1.7</v>
      </c>
      <c r="O81">
        <f t="shared" si="9"/>
        <v>-1.7</v>
      </c>
      <c r="Q81">
        <v>45</v>
      </c>
      <c r="R81">
        <f t="shared" si="8"/>
        <v>0.65493827160493823</v>
      </c>
      <c r="S81">
        <f t="shared" si="1"/>
        <v>1.113395061728395</v>
      </c>
      <c r="T81">
        <f t="shared" si="2"/>
        <v>-1.113395061728395</v>
      </c>
      <c r="U81" s="14">
        <f t="shared" si="7"/>
        <v>8.5902469135802484</v>
      </c>
      <c r="W81">
        <v>750.1</v>
      </c>
      <c r="X81">
        <f t="shared" si="5"/>
        <v>46059.8</v>
      </c>
      <c r="Y81">
        <f t="shared" si="6"/>
        <v>46059.8</v>
      </c>
      <c r="Z81">
        <v>10.50576735879411</v>
      </c>
    </row>
    <row r="82" spans="1:26" x14ac:dyDescent="0.25">
      <c r="A82">
        <v>5320</v>
      </c>
      <c r="B82">
        <v>23210</v>
      </c>
      <c r="C82" s="1">
        <v>42659</v>
      </c>
      <c r="F82" s="32"/>
      <c r="G82">
        <v>13.6</v>
      </c>
      <c r="H82">
        <v>7.6</v>
      </c>
      <c r="I82">
        <v>19.899999999999999</v>
      </c>
      <c r="J82">
        <f t="shared" si="3"/>
        <v>697.6</v>
      </c>
      <c r="K82">
        <f t="shared" si="4"/>
        <v>697.6</v>
      </c>
      <c r="M82">
        <v>0.6</v>
      </c>
      <c r="N82">
        <v>1.7</v>
      </c>
      <c r="O82">
        <f t="shared" si="9"/>
        <v>-1.1000000000000001</v>
      </c>
      <c r="Q82">
        <v>46</v>
      </c>
      <c r="R82">
        <f t="shared" si="8"/>
        <v>0.66296296296296298</v>
      </c>
      <c r="S82">
        <f t="shared" si="1"/>
        <v>1.1270370370370371</v>
      </c>
      <c r="T82">
        <f t="shared" si="2"/>
        <v>-0.52703703703703708</v>
      </c>
      <c r="U82" s="14">
        <f t="shared" si="7"/>
        <v>8.0632098765432119</v>
      </c>
      <c r="W82">
        <v>862.8</v>
      </c>
      <c r="X82">
        <f t="shared" si="5"/>
        <v>46922.600000000006</v>
      </c>
      <c r="Y82">
        <f t="shared" si="6"/>
        <v>46922.600000000006</v>
      </c>
      <c r="Z82">
        <v>10.449263997403417</v>
      </c>
    </row>
    <row r="83" spans="1:26" x14ac:dyDescent="0.25">
      <c r="A83">
        <v>5320</v>
      </c>
      <c r="B83">
        <v>23210</v>
      </c>
      <c r="C83" s="1">
        <v>42660</v>
      </c>
      <c r="F83" s="32"/>
      <c r="G83">
        <v>12.2</v>
      </c>
      <c r="H83">
        <v>9.1</v>
      </c>
      <c r="I83">
        <v>18.5</v>
      </c>
      <c r="J83">
        <f t="shared" si="3"/>
        <v>709.80000000000007</v>
      </c>
      <c r="K83">
        <f t="shared" si="4"/>
        <v>709.80000000000007</v>
      </c>
      <c r="M83">
        <v>0.6</v>
      </c>
      <c r="N83">
        <v>1.1000000000000001</v>
      </c>
      <c r="O83">
        <f t="shared" si="9"/>
        <v>-0.50000000000000011</v>
      </c>
      <c r="Q83">
        <v>47</v>
      </c>
      <c r="R83">
        <f t="shared" si="8"/>
        <v>0.67098765432098761</v>
      </c>
      <c r="S83">
        <f t="shared" si="1"/>
        <v>0.73808641975308642</v>
      </c>
      <c r="T83">
        <f t="shared" si="2"/>
        <v>-0.13808641975308644</v>
      </c>
      <c r="U83" s="14">
        <f t="shared" si="7"/>
        <v>7.925123456790125</v>
      </c>
      <c r="W83">
        <v>485.8</v>
      </c>
      <c r="X83">
        <f t="shared" si="5"/>
        <v>47408.400000000009</v>
      </c>
      <c r="Y83">
        <f t="shared" si="6"/>
        <v>47408.400000000009</v>
      </c>
      <c r="Z83">
        <v>10.393021247697723</v>
      </c>
    </row>
    <row r="84" spans="1:26" x14ac:dyDescent="0.25">
      <c r="A84">
        <v>5320</v>
      </c>
      <c r="B84">
        <v>23210</v>
      </c>
      <c r="C84" s="1">
        <v>42661</v>
      </c>
      <c r="F84" s="32"/>
      <c r="G84">
        <v>10.4</v>
      </c>
      <c r="H84">
        <v>4.0999999999999996</v>
      </c>
      <c r="I84">
        <v>15.6</v>
      </c>
      <c r="J84">
        <f t="shared" si="3"/>
        <v>720.2</v>
      </c>
      <c r="K84">
        <f t="shared" si="4"/>
        <v>720.2</v>
      </c>
      <c r="M84">
        <v>1</v>
      </c>
      <c r="N84">
        <v>0.9</v>
      </c>
      <c r="O84">
        <f t="shared" si="9"/>
        <v>9.9999999999999978E-2</v>
      </c>
      <c r="Q84">
        <v>48</v>
      </c>
      <c r="R84">
        <f t="shared" si="8"/>
        <v>0.67901234567901236</v>
      </c>
      <c r="S84">
        <f t="shared" si="1"/>
        <v>0.61111111111111116</v>
      </c>
      <c r="T84">
        <f t="shared" si="2"/>
        <v>0.38888888888888884</v>
      </c>
      <c r="U84" s="14">
        <f t="shared" si="7"/>
        <v>8.3140123456790143</v>
      </c>
      <c r="W84">
        <v>607.29999999999995</v>
      </c>
      <c r="X84">
        <f t="shared" si="5"/>
        <v>48015.700000000012</v>
      </c>
      <c r="Y84">
        <f t="shared" si="6"/>
        <v>48015.700000000012</v>
      </c>
      <c r="Z84">
        <v>10.337052447284885</v>
      </c>
    </row>
    <row r="85" spans="1:26" x14ac:dyDescent="0.25">
      <c r="A85">
        <v>5320</v>
      </c>
      <c r="B85">
        <v>23210</v>
      </c>
      <c r="C85" s="1">
        <v>42662</v>
      </c>
      <c r="F85" s="32"/>
      <c r="G85">
        <v>9.9</v>
      </c>
      <c r="H85">
        <v>6.5</v>
      </c>
      <c r="I85">
        <v>14</v>
      </c>
      <c r="J85">
        <f t="shared" si="3"/>
        <v>730.1</v>
      </c>
      <c r="K85">
        <f t="shared" si="4"/>
        <v>730.1</v>
      </c>
      <c r="M85">
        <v>0.1</v>
      </c>
      <c r="N85">
        <v>1.2</v>
      </c>
      <c r="O85">
        <f t="shared" si="9"/>
        <v>-1.0999999999999999</v>
      </c>
      <c r="Q85">
        <v>49</v>
      </c>
      <c r="R85">
        <f t="shared" si="8"/>
        <v>0.687037037037037</v>
      </c>
      <c r="S85">
        <f t="shared" si="1"/>
        <v>0.82444444444444442</v>
      </c>
      <c r="T85">
        <f t="shared" si="2"/>
        <v>-0.72444444444444445</v>
      </c>
      <c r="U85" s="14">
        <f t="shared" si="7"/>
        <v>7.5895679012345703</v>
      </c>
      <c r="W85">
        <v>669.2</v>
      </c>
      <c r="X85">
        <f t="shared" si="5"/>
        <v>48684.900000000009</v>
      </c>
      <c r="Y85">
        <f t="shared" si="6"/>
        <v>48684.900000000009</v>
      </c>
      <c r="Z85">
        <v>10.281371299821677</v>
      </c>
    </row>
    <row r="86" spans="1:26" x14ac:dyDescent="0.25">
      <c r="A86">
        <v>5320</v>
      </c>
      <c r="B86">
        <v>23210</v>
      </c>
      <c r="C86" s="1">
        <v>42663</v>
      </c>
      <c r="F86" s="32"/>
      <c r="G86">
        <v>10.5</v>
      </c>
      <c r="H86">
        <v>7.6</v>
      </c>
      <c r="I86">
        <v>13.6</v>
      </c>
      <c r="J86">
        <f t="shared" si="3"/>
        <v>740.6</v>
      </c>
      <c r="K86">
        <f t="shared" si="4"/>
        <v>740.6</v>
      </c>
      <c r="M86">
        <v>0</v>
      </c>
      <c r="N86">
        <v>1.1000000000000001</v>
      </c>
      <c r="O86">
        <f t="shared" si="9"/>
        <v>-1.1000000000000001</v>
      </c>
      <c r="Q86">
        <v>50</v>
      </c>
      <c r="R86">
        <f t="shared" si="8"/>
        <v>0.69506172839506175</v>
      </c>
      <c r="S86">
        <f t="shared" si="1"/>
        <v>0.76456790123456797</v>
      </c>
      <c r="T86">
        <f t="shared" si="2"/>
        <v>-0.76456790123456797</v>
      </c>
      <c r="U86" s="14">
        <f t="shared" si="7"/>
        <v>6.825000000000002</v>
      </c>
      <c r="W86">
        <v>569.70000000000005</v>
      </c>
      <c r="X86">
        <f t="shared" si="5"/>
        <v>49254.600000000006</v>
      </c>
      <c r="Y86">
        <f t="shared" si="6"/>
        <v>49254.600000000006</v>
      </c>
      <c r="Z86">
        <v>10.225991883403822</v>
      </c>
    </row>
    <row r="87" spans="1:26" x14ac:dyDescent="0.25">
      <c r="A87">
        <v>5320</v>
      </c>
      <c r="B87">
        <v>23210</v>
      </c>
      <c r="C87" s="1">
        <v>42664</v>
      </c>
      <c r="F87" s="32"/>
      <c r="G87">
        <v>9.9</v>
      </c>
      <c r="H87">
        <v>7</v>
      </c>
      <c r="I87">
        <v>13.3</v>
      </c>
      <c r="J87">
        <f t="shared" si="3"/>
        <v>750.5</v>
      </c>
      <c r="K87">
        <f t="shared" si="4"/>
        <v>750.5</v>
      </c>
      <c r="M87">
        <v>0</v>
      </c>
      <c r="N87">
        <v>0.7</v>
      </c>
      <c r="O87">
        <f t="shared" si="9"/>
        <v>-0.7</v>
      </c>
      <c r="Q87">
        <v>51</v>
      </c>
      <c r="R87">
        <f t="shared" si="8"/>
        <v>0.70308641975308639</v>
      </c>
      <c r="S87">
        <f t="shared" si="1"/>
        <v>0.49216049382716043</v>
      </c>
      <c r="T87">
        <f t="shared" si="2"/>
        <v>-0.49216049382716043</v>
      </c>
      <c r="U87" s="14">
        <f t="shared" si="7"/>
        <v>6.3328395061728413</v>
      </c>
      <c r="W87">
        <v>532.5</v>
      </c>
      <c r="X87">
        <f t="shared" si="5"/>
        <v>49787.100000000006</v>
      </c>
      <c r="Y87">
        <f t="shared" si="6"/>
        <v>49787.100000000006</v>
      </c>
      <c r="Z87">
        <v>10.1709286582576</v>
      </c>
    </row>
    <row r="88" spans="1:26" x14ac:dyDescent="0.25">
      <c r="A88">
        <v>5320</v>
      </c>
      <c r="B88">
        <v>23210</v>
      </c>
      <c r="C88" s="1">
        <v>42665</v>
      </c>
      <c r="F88" s="32"/>
      <c r="G88">
        <v>7.6</v>
      </c>
      <c r="H88">
        <v>3.1</v>
      </c>
      <c r="I88">
        <v>11.4</v>
      </c>
      <c r="J88">
        <f t="shared" si="3"/>
        <v>758.1</v>
      </c>
      <c r="K88">
        <f t="shared" si="4"/>
        <v>758.1</v>
      </c>
      <c r="M88">
        <v>0</v>
      </c>
      <c r="N88">
        <v>0.4</v>
      </c>
      <c r="O88">
        <f t="shared" si="9"/>
        <v>-0.4</v>
      </c>
      <c r="Q88">
        <v>52</v>
      </c>
      <c r="R88">
        <f t="shared" si="8"/>
        <v>0.71111111111111114</v>
      </c>
      <c r="S88">
        <f t="shared" si="1"/>
        <v>0.28444444444444444</v>
      </c>
      <c r="T88">
        <f t="shared" si="2"/>
        <v>-0.28444444444444444</v>
      </c>
      <c r="U88" s="14">
        <f t="shared" si="7"/>
        <v>6.0483950617283968</v>
      </c>
      <c r="W88">
        <v>487.4</v>
      </c>
      <c r="X88">
        <f t="shared" si="5"/>
        <v>50274.500000000007</v>
      </c>
      <c r="Y88">
        <f t="shared" si="6"/>
        <v>50274.500000000007</v>
      </c>
      <c r="Z88">
        <v>10.116196473680416</v>
      </c>
    </row>
    <row r="89" spans="1:26" x14ac:dyDescent="0.25">
      <c r="A89">
        <v>5320</v>
      </c>
      <c r="B89">
        <v>23210</v>
      </c>
      <c r="C89" s="1">
        <v>42666</v>
      </c>
      <c r="F89" s="32"/>
      <c r="G89">
        <v>7.8</v>
      </c>
      <c r="H89">
        <v>4.3</v>
      </c>
      <c r="I89">
        <v>10.4</v>
      </c>
      <c r="J89">
        <f t="shared" si="3"/>
        <v>765.9</v>
      </c>
      <c r="K89">
        <f t="shared" si="4"/>
        <v>765.9</v>
      </c>
      <c r="M89">
        <v>4.8</v>
      </c>
      <c r="N89">
        <v>0.4</v>
      </c>
      <c r="O89">
        <f t="shared" si="9"/>
        <v>4.3999999999999995</v>
      </c>
      <c r="Q89">
        <v>53</v>
      </c>
      <c r="R89">
        <f t="shared" si="8"/>
        <v>0.71913580246913578</v>
      </c>
      <c r="S89">
        <f t="shared" si="1"/>
        <v>0.28765432098765431</v>
      </c>
      <c r="T89">
        <f t="shared" si="2"/>
        <v>4.5123456790123457</v>
      </c>
      <c r="U89" s="14">
        <f t="shared" si="7"/>
        <v>10.560740740740743</v>
      </c>
      <c r="W89">
        <v>225.9</v>
      </c>
      <c r="X89">
        <f t="shared" si="5"/>
        <v>50500.400000000009</v>
      </c>
      <c r="Y89">
        <f t="shared" si="6"/>
        <v>50500.400000000009</v>
      </c>
      <c r="Z89">
        <v>10.061810574175423</v>
      </c>
    </row>
    <row r="90" spans="1:26" x14ac:dyDescent="0.25">
      <c r="A90">
        <v>5320</v>
      </c>
      <c r="B90">
        <v>23210</v>
      </c>
      <c r="C90" s="1">
        <v>42667</v>
      </c>
      <c r="F90" s="32"/>
      <c r="G90">
        <v>12</v>
      </c>
      <c r="H90">
        <v>8.1</v>
      </c>
      <c r="I90">
        <v>13.4</v>
      </c>
      <c r="J90">
        <f t="shared" si="3"/>
        <v>777.9</v>
      </c>
      <c r="K90">
        <f t="shared" si="4"/>
        <v>777.9</v>
      </c>
      <c r="M90">
        <v>1.5</v>
      </c>
      <c r="N90">
        <v>0</v>
      </c>
      <c r="O90">
        <f t="shared" si="9"/>
        <v>1.5</v>
      </c>
      <c r="Q90">
        <v>54</v>
      </c>
      <c r="R90">
        <f t="shared" si="8"/>
        <v>0.72716049382716053</v>
      </c>
      <c r="S90">
        <f t="shared" si="1"/>
        <v>0</v>
      </c>
      <c r="T90">
        <f t="shared" si="2"/>
        <v>1.5</v>
      </c>
      <c r="U90" s="14">
        <f t="shared" si="7"/>
        <v>12.060740740740743</v>
      </c>
      <c r="W90">
        <v>249</v>
      </c>
      <c r="X90">
        <f t="shared" si="5"/>
        <v>50749.400000000009</v>
      </c>
      <c r="Y90">
        <f t="shared" si="6"/>
        <v>50749.400000000009</v>
      </c>
      <c r="Z90">
        <v>10.007786604723023</v>
      </c>
    </row>
    <row r="91" spans="1:26" x14ac:dyDescent="0.25">
      <c r="A91">
        <v>5320</v>
      </c>
      <c r="B91">
        <v>23210</v>
      </c>
      <c r="C91" s="1">
        <v>42668</v>
      </c>
      <c r="F91" s="32"/>
      <c r="G91">
        <v>12.6</v>
      </c>
      <c r="H91">
        <v>11.9</v>
      </c>
      <c r="I91">
        <v>14</v>
      </c>
      <c r="J91">
        <f t="shared" si="3"/>
        <v>790.5</v>
      </c>
      <c r="K91">
        <f t="shared" si="4"/>
        <v>790.5</v>
      </c>
      <c r="M91">
        <v>0</v>
      </c>
      <c r="N91">
        <v>0.3</v>
      </c>
      <c r="O91">
        <f t="shared" si="9"/>
        <v>-0.3</v>
      </c>
      <c r="Q91">
        <v>55</v>
      </c>
      <c r="R91">
        <f t="shared" si="8"/>
        <v>0.73518518518518516</v>
      </c>
      <c r="S91">
        <f t="shared" si="1"/>
        <v>0.22055555555555553</v>
      </c>
      <c r="T91">
        <f t="shared" si="2"/>
        <v>-0.22055555555555553</v>
      </c>
      <c r="U91" s="14">
        <f t="shared" si="7"/>
        <v>11.840185185185186</v>
      </c>
      <c r="W91">
        <v>299.89999999999998</v>
      </c>
      <c r="X91">
        <f t="shared" si="5"/>
        <v>51049.30000000001</v>
      </c>
      <c r="Y91">
        <f t="shared" si="6"/>
        <v>51049.30000000001</v>
      </c>
      <c r="Z91">
        <v>9.9541406151299654</v>
      </c>
    </row>
    <row r="92" spans="1:26" x14ac:dyDescent="0.25">
      <c r="A92">
        <v>5320</v>
      </c>
      <c r="B92">
        <v>23210</v>
      </c>
      <c r="C92" s="1">
        <v>42669</v>
      </c>
      <c r="F92" s="32"/>
      <c r="G92">
        <v>10.199999999999999</v>
      </c>
      <c r="H92">
        <v>10.1</v>
      </c>
      <c r="I92">
        <v>12.9</v>
      </c>
      <c r="J92">
        <f t="shared" si="3"/>
        <v>800.7</v>
      </c>
      <c r="K92">
        <f t="shared" si="4"/>
        <v>800.7</v>
      </c>
      <c r="M92">
        <v>0.2</v>
      </c>
      <c r="N92">
        <v>0.7</v>
      </c>
      <c r="O92">
        <f t="shared" si="9"/>
        <v>-0.49999999999999994</v>
      </c>
      <c r="Q92">
        <v>56</v>
      </c>
      <c r="R92">
        <f t="shared" si="8"/>
        <v>0.7432098765432098</v>
      </c>
      <c r="S92">
        <f t="shared" si="1"/>
        <v>0.52024691358024688</v>
      </c>
      <c r="T92">
        <f t="shared" si="2"/>
        <v>-0.32024691358024687</v>
      </c>
      <c r="U92" s="14">
        <f t="shared" si="7"/>
        <v>11.519938271604939</v>
      </c>
      <c r="W92">
        <v>267.89999999999998</v>
      </c>
      <c r="X92">
        <f t="shared" si="5"/>
        <v>51317.200000000012</v>
      </c>
      <c r="Y92">
        <f t="shared" si="6"/>
        <v>51317.200000000012</v>
      </c>
      <c r="Z92">
        <v>9.9008890633948266</v>
      </c>
    </row>
    <row r="93" spans="1:26" x14ac:dyDescent="0.25">
      <c r="A93">
        <v>5320</v>
      </c>
      <c r="B93">
        <v>23210</v>
      </c>
      <c r="C93" s="1">
        <v>42670</v>
      </c>
      <c r="F93" s="32"/>
      <c r="G93">
        <v>8.1999999999999993</v>
      </c>
      <c r="H93">
        <v>4.3</v>
      </c>
      <c r="I93">
        <v>10.6</v>
      </c>
      <c r="J93">
        <f t="shared" si="3"/>
        <v>808.90000000000009</v>
      </c>
      <c r="K93">
        <f t="shared" si="4"/>
        <v>808.90000000000009</v>
      </c>
      <c r="M93">
        <v>0.1</v>
      </c>
      <c r="N93">
        <v>0.6</v>
      </c>
      <c r="O93">
        <f t="shared" si="9"/>
        <v>-0.5</v>
      </c>
      <c r="Q93">
        <v>57</v>
      </c>
      <c r="R93">
        <f t="shared" si="8"/>
        <v>0.75123456790123455</v>
      </c>
      <c r="S93">
        <f t="shared" si="1"/>
        <v>0.45074074074074072</v>
      </c>
      <c r="T93">
        <f t="shared" si="2"/>
        <v>-0.35074074074074069</v>
      </c>
      <c r="U93" s="14">
        <f t="shared" si="7"/>
        <v>11.169197530864199</v>
      </c>
      <c r="W93">
        <v>501.6</v>
      </c>
      <c r="X93">
        <f t="shared" si="5"/>
        <v>51818.80000000001</v>
      </c>
      <c r="Y93">
        <f t="shared" si="6"/>
        <v>51818.80000000001</v>
      </c>
      <c r="Z93">
        <v>9.8480488180267329</v>
      </c>
    </row>
    <row r="94" spans="1:26" x14ac:dyDescent="0.25">
      <c r="A94">
        <v>5320</v>
      </c>
      <c r="B94">
        <v>23210</v>
      </c>
      <c r="C94" s="1">
        <v>42671</v>
      </c>
      <c r="F94" s="32"/>
      <c r="G94">
        <v>8.1</v>
      </c>
      <c r="H94">
        <v>4.7</v>
      </c>
      <c r="I94">
        <v>10.8</v>
      </c>
      <c r="J94">
        <f t="shared" si="3"/>
        <v>817.00000000000011</v>
      </c>
      <c r="K94">
        <f t="shared" si="4"/>
        <v>817.00000000000011</v>
      </c>
      <c r="M94">
        <v>0.1</v>
      </c>
      <c r="N94">
        <v>0.7</v>
      </c>
      <c r="O94">
        <f t="shared" si="9"/>
        <v>-0.6</v>
      </c>
      <c r="Q94">
        <v>58</v>
      </c>
      <c r="R94">
        <f t="shared" si="8"/>
        <v>0.7592592592592593</v>
      </c>
      <c r="S94">
        <f t="shared" si="1"/>
        <v>0.53148148148148144</v>
      </c>
      <c r="T94">
        <f t="shared" si="2"/>
        <v>-0.43148148148148147</v>
      </c>
      <c r="U94" s="14">
        <f t="shared" si="7"/>
        <v>10.737716049382717</v>
      </c>
      <c r="W94">
        <v>469.9</v>
      </c>
      <c r="X94">
        <f t="shared" si="5"/>
        <v>52288.700000000012</v>
      </c>
      <c r="Y94">
        <f t="shared" si="6"/>
        <v>52288.700000000012</v>
      </c>
      <c r="Z94">
        <v>9.7956371592526832</v>
      </c>
    </row>
    <row r="95" spans="1:26" x14ac:dyDescent="0.25">
      <c r="A95">
        <v>5320</v>
      </c>
      <c r="B95">
        <v>23210</v>
      </c>
      <c r="C95" s="1">
        <v>42672</v>
      </c>
      <c r="F95" s="32"/>
      <c r="G95">
        <v>9.1</v>
      </c>
      <c r="H95">
        <v>5.8</v>
      </c>
      <c r="I95">
        <v>11.3</v>
      </c>
      <c r="J95">
        <f t="shared" si="3"/>
        <v>826.10000000000014</v>
      </c>
      <c r="K95">
        <f t="shared" si="4"/>
        <v>826.10000000000014</v>
      </c>
      <c r="M95">
        <v>0.1</v>
      </c>
      <c r="N95">
        <v>0.5</v>
      </c>
      <c r="O95">
        <f t="shared" si="9"/>
        <v>-0.4</v>
      </c>
      <c r="Q95">
        <v>59</v>
      </c>
      <c r="R95">
        <f t="shared" si="8"/>
        <v>0.76728395061728394</v>
      </c>
      <c r="S95">
        <f t="shared" si="1"/>
        <v>0.38364197530864197</v>
      </c>
      <c r="T95">
        <f t="shared" si="2"/>
        <v>-0.28364197530864199</v>
      </c>
      <c r="U95" s="14">
        <f t="shared" si="7"/>
        <v>10.454074074074075</v>
      </c>
      <c r="W95">
        <v>244.3</v>
      </c>
      <c r="X95">
        <f t="shared" si="5"/>
        <v>52533.000000000015</v>
      </c>
      <c r="Y95">
        <f t="shared" si="6"/>
        <v>52533.000000000015</v>
      </c>
      <c r="Z95">
        <v>9.7436717790473022</v>
      </c>
    </row>
    <row r="96" spans="1:26" x14ac:dyDescent="0.25">
      <c r="A96">
        <v>5320</v>
      </c>
      <c r="B96">
        <v>23210</v>
      </c>
      <c r="C96" s="1">
        <v>42673</v>
      </c>
      <c r="F96" s="32"/>
      <c r="G96">
        <v>10.8</v>
      </c>
      <c r="H96">
        <v>6.9</v>
      </c>
      <c r="I96">
        <v>14.7</v>
      </c>
      <c r="J96">
        <f t="shared" si="3"/>
        <v>836.90000000000009</v>
      </c>
      <c r="K96">
        <f t="shared" si="4"/>
        <v>836.90000000000009</v>
      </c>
      <c r="M96">
        <v>0</v>
      </c>
      <c r="N96">
        <v>1.5</v>
      </c>
      <c r="O96">
        <f t="shared" si="9"/>
        <v>-1.5</v>
      </c>
      <c r="Q96">
        <v>60</v>
      </c>
      <c r="R96">
        <f t="shared" si="8"/>
        <v>0.77530864197530858</v>
      </c>
      <c r="S96">
        <f t="shared" si="1"/>
        <v>1.162962962962963</v>
      </c>
      <c r="T96">
        <f t="shared" si="2"/>
        <v>-1.162962962962963</v>
      </c>
      <c r="U96" s="14">
        <f t="shared" si="7"/>
        <v>9.2911111111111122</v>
      </c>
      <c r="W96">
        <v>1058.2</v>
      </c>
      <c r="X96">
        <f t="shared" si="5"/>
        <v>53591.200000000012</v>
      </c>
      <c r="Y96">
        <f t="shared" si="6"/>
        <v>53591.200000000012</v>
      </c>
      <c r="Z96">
        <v>9.6921707799178201</v>
      </c>
    </row>
    <row r="97" spans="1:26" x14ac:dyDescent="0.25">
      <c r="A97">
        <v>5320</v>
      </c>
      <c r="B97">
        <v>23210</v>
      </c>
      <c r="C97" s="1">
        <v>42674</v>
      </c>
      <c r="F97" s="32"/>
      <c r="G97">
        <v>10.5</v>
      </c>
      <c r="H97">
        <v>6.3</v>
      </c>
      <c r="I97">
        <v>16.100000000000001</v>
      </c>
      <c r="J97">
        <f t="shared" si="3"/>
        <v>847.40000000000009</v>
      </c>
      <c r="K97">
        <f t="shared" si="4"/>
        <v>847.40000000000009</v>
      </c>
      <c r="M97">
        <v>0.1</v>
      </c>
      <c r="N97">
        <v>1.8</v>
      </c>
      <c r="O97">
        <f t="shared" si="9"/>
        <v>-1.7</v>
      </c>
      <c r="Q97">
        <v>61</v>
      </c>
      <c r="R97">
        <f t="shared" si="8"/>
        <v>0.78333333333333333</v>
      </c>
      <c r="S97">
        <f t="shared" si="1"/>
        <v>1.41</v>
      </c>
      <c r="T97">
        <f t="shared" si="2"/>
        <v>-1.3099999999999998</v>
      </c>
      <c r="U97" s="14">
        <f t="shared" si="7"/>
        <v>7.9811111111111126</v>
      </c>
      <c r="W97">
        <v>1102.5</v>
      </c>
      <c r="X97">
        <f t="shared" si="5"/>
        <v>54693.700000000012</v>
      </c>
      <c r="Y97">
        <f t="shared" si="6"/>
        <v>54693.700000000012</v>
      </c>
      <c r="Z97">
        <v>9.6411526723762702</v>
      </c>
    </row>
    <row r="98" spans="1:26" x14ac:dyDescent="0.25">
      <c r="A98">
        <v>5320</v>
      </c>
      <c r="B98">
        <v>23210</v>
      </c>
      <c r="C98" s="1">
        <v>42675</v>
      </c>
      <c r="F98" s="32"/>
      <c r="G98">
        <v>6.5</v>
      </c>
      <c r="H98">
        <v>4.5</v>
      </c>
      <c r="I98">
        <v>8.6</v>
      </c>
      <c r="J98">
        <f t="shared" si="3"/>
        <v>853.90000000000009</v>
      </c>
      <c r="K98">
        <f t="shared" si="4"/>
        <v>853.90000000000009</v>
      </c>
      <c r="M98">
        <v>0.2</v>
      </c>
      <c r="N98">
        <v>0.5</v>
      </c>
      <c r="O98">
        <f t="shared" si="9"/>
        <v>-0.3</v>
      </c>
      <c r="Q98">
        <v>62</v>
      </c>
      <c r="R98">
        <f t="shared" si="8"/>
        <v>0.79135802469135808</v>
      </c>
      <c r="S98">
        <f t="shared" si="1"/>
        <v>0.39567901234567904</v>
      </c>
      <c r="T98">
        <f t="shared" si="2"/>
        <v>-0.19567901234567903</v>
      </c>
      <c r="U98" s="14">
        <f t="shared" si="7"/>
        <v>7.7854320987654333</v>
      </c>
      <c r="W98">
        <v>355.7</v>
      </c>
      <c r="X98">
        <f t="shared" si="5"/>
        <v>55049.400000000009</v>
      </c>
      <c r="Y98">
        <f t="shared" si="6"/>
        <v>55049.400000000009</v>
      </c>
      <c r="Z98">
        <v>9.5906363710303424</v>
      </c>
    </row>
    <row r="99" spans="1:26" x14ac:dyDescent="0.25">
      <c r="A99">
        <v>5320</v>
      </c>
      <c r="B99">
        <v>23210</v>
      </c>
      <c r="C99" s="1">
        <v>42676</v>
      </c>
      <c r="F99" s="32"/>
      <c r="G99">
        <v>7.3</v>
      </c>
      <c r="H99">
        <v>3.8</v>
      </c>
      <c r="I99">
        <v>10.8</v>
      </c>
      <c r="J99">
        <f t="shared" si="3"/>
        <v>861.2</v>
      </c>
      <c r="K99">
        <f t="shared" si="4"/>
        <v>861.2</v>
      </c>
      <c r="M99">
        <v>0</v>
      </c>
      <c r="N99">
        <v>0.2</v>
      </c>
      <c r="O99">
        <f t="shared" si="9"/>
        <v>-0.2</v>
      </c>
      <c r="Q99">
        <v>63</v>
      </c>
      <c r="R99">
        <f t="shared" si="8"/>
        <v>0.79938271604938271</v>
      </c>
      <c r="S99">
        <f t="shared" si="1"/>
        <v>0.15987654320987654</v>
      </c>
      <c r="T99">
        <f t="shared" si="2"/>
        <v>-0.15987654320987654</v>
      </c>
      <c r="U99" s="14">
        <f t="shared" si="7"/>
        <v>7.6255555555555565</v>
      </c>
      <c r="W99">
        <v>272</v>
      </c>
      <c r="X99">
        <f t="shared" si="5"/>
        <v>55321.400000000009</v>
      </c>
      <c r="Y99">
        <f t="shared" si="6"/>
        <v>55321.400000000009</v>
      </c>
      <c r="Z99">
        <v>9.5406411892244272</v>
      </c>
    </row>
    <row r="100" spans="1:26" x14ac:dyDescent="0.25">
      <c r="A100">
        <v>5320</v>
      </c>
      <c r="B100">
        <v>23210</v>
      </c>
      <c r="C100" s="1">
        <v>42677</v>
      </c>
      <c r="F100" s="32"/>
      <c r="G100">
        <v>5.2</v>
      </c>
      <c r="H100">
        <v>0.9</v>
      </c>
      <c r="I100">
        <v>10.1</v>
      </c>
      <c r="J100">
        <f t="shared" si="3"/>
        <v>866.40000000000009</v>
      </c>
      <c r="K100">
        <f t="shared" si="4"/>
        <v>866.40000000000009</v>
      </c>
      <c r="M100">
        <v>0</v>
      </c>
      <c r="N100">
        <v>1.2</v>
      </c>
      <c r="O100">
        <f t="shared" si="9"/>
        <v>-1.2</v>
      </c>
      <c r="Q100">
        <v>64</v>
      </c>
      <c r="R100">
        <f t="shared" si="8"/>
        <v>0.80740740740740735</v>
      </c>
      <c r="S100">
        <f t="shared" si="1"/>
        <v>0.9688888888888888</v>
      </c>
      <c r="T100">
        <f t="shared" si="2"/>
        <v>-0.9688888888888888</v>
      </c>
      <c r="U100" s="14">
        <f t="shared" si="7"/>
        <v>6.6566666666666681</v>
      </c>
      <c r="W100">
        <v>991.3</v>
      </c>
      <c r="X100">
        <f t="shared" si="5"/>
        <v>56312.700000000012</v>
      </c>
      <c r="Y100">
        <f t="shared" si="6"/>
        <v>56312.700000000012</v>
      </c>
      <c r="Z100">
        <v>9.4911868321626613</v>
      </c>
    </row>
    <row r="101" spans="1:26" x14ac:dyDescent="0.25">
      <c r="A101">
        <v>5320</v>
      </c>
      <c r="B101">
        <v>23210</v>
      </c>
      <c r="C101" s="1">
        <v>42678</v>
      </c>
      <c r="F101" s="32"/>
      <c r="G101">
        <v>7.2</v>
      </c>
      <c r="H101">
        <v>1.3</v>
      </c>
      <c r="I101">
        <v>11</v>
      </c>
      <c r="J101">
        <f t="shared" si="3"/>
        <v>873.60000000000014</v>
      </c>
      <c r="K101">
        <f t="shared" si="4"/>
        <v>873.60000000000014</v>
      </c>
      <c r="M101">
        <v>7.8</v>
      </c>
      <c r="N101">
        <v>0.4</v>
      </c>
      <c r="O101">
        <f t="shared" si="9"/>
        <v>7.3999999999999995</v>
      </c>
      <c r="Q101">
        <v>65</v>
      </c>
      <c r="R101">
        <f t="shared" si="8"/>
        <v>0.81543209876543199</v>
      </c>
      <c r="S101">
        <f t="shared" si="1"/>
        <v>0.32617283950617282</v>
      </c>
      <c r="T101">
        <f t="shared" si="2"/>
        <v>7.4738271604938271</v>
      </c>
      <c r="U101" s="14">
        <f t="shared" si="7"/>
        <v>14.130493827160496</v>
      </c>
      <c r="W101">
        <v>262.7</v>
      </c>
      <c r="X101">
        <f t="shared" si="5"/>
        <v>56575.400000000009</v>
      </c>
      <c r="Y101">
        <f t="shared" si="6"/>
        <v>56575.400000000009</v>
      </c>
      <c r="Z101">
        <v>9.4422933884467799</v>
      </c>
    </row>
    <row r="102" spans="1:26" x14ac:dyDescent="0.25">
      <c r="A102">
        <v>5320</v>
      </c>
      <c r="B102">
        <v>23210</v>
      </c>
      <c r="C102" s="1">
        <v>42679</v>
      </c>
      <c r="F102" s="32"/>
      <c r="G102">
        <v>7.8</v>
      </c>
      <c r="H102">
        <v>6.6</v>
      </c>
      <c r="I102">
        <v>10.1</v>
      </c>
      <c r="J102">
        <f t="shared" si="3"/>
        <v>881.40000000000009</v>
      </c>
      <c r="K102">
        <f t="shared" si="4"/>
        <v>881.40000000000009</v>
      </c>
      <c r="M102">
        <v>0.5</v>
      </c>
      <c r="N102">
        <v>0.7</v>
      </c>
      <c r="O102">
        <f t="shared" si="9"/>
        <v>-0.19999999999999996</v>
      </c>
      <c r="Q102">
        <v>66</v>
      </c>
      <c r="R102">
        <f t="shared" si="8"/>
        <v>0.82345679012345685</v>
      </c>
      <c r="S102">
        <f t="shared" ref="S102:S165" si="10">R102*N102</f>
        <v>0.57641975308641979</v>
      </c>
      <c r="T102">
        <f t="shared" ref="T102:T165" si="11">M102-S102</f>
        <v>-7.6419753086419795E-2</v>
      </c>
      <c r="U102" s="14">
        <f t="shared" si="7"/>
        <v>14.054074074074077</v>
      </c>
      <c r="W102">
        <v>400.7</v>
      </c>
      <c r="X102">
        <f t="shared" si="5"/>
        <v>56976.100000000006</v>
      </c>
      <c r="Y102">
        <f t="shared" si="6"/>
        <v>56976.100000000006</v>
      </c>
      <c r="Z102">
        <v>9.3939813199629949</v>
      </c>
    </row>
    <row r="103" spans="1:26" x14ac:dyDescent="0.25">
      <c r="A103">
        <v>5320</v>
      </c>
      <c r="B103">
        <v>23210</v>
      </c>
      <c r="C103" s="1">
        <v>42680</v>
      </c>
      <c r="F103" s="32"/>
      <c r="G103">
        <v>3.9</v>
      </c>
      <c r="H103">
        <v>3.5</v>
      </c>
      <c r="I103">
        <v>6.6</v>
      </c>
      <c r="J103">
        <f t="shared" ref="J103:J166" si="12">J102+G103</f>
        <v>885.30000000000007</v>
      </c>
      <c r="K103">
        <f t="shared" ref="K103:K166" si="13">K102+G103</f>
        <v>885.30000000000007</v>
      </c>
      <c r="M103">
        <v>1.1000000000000001</v>
      </c>
      <c r="N103">
        <v>0.5</v>
      </c>
      <c r="O103">
        <f t="shared" si="9"/>
        <v>0.60000000000000009</v>
      </c>
      <c r="Q103">
        <v>67</v>
      </c>
      <c r="R103">
        <f t="shared" si="8"/>
        <v>0.83148148148148149</v>
      </c>
      <c r="S103">
        <f t="shared" si="10"/>
        <v>0.41574074074074074</v>
      </c>
      <c r="T103">
        <f t="shared" si="11"/>
        <v>0.68425925925925934</v>
      </c>
      <c r="U103" s="14">
        <f t="shared" ref="U103:U166" si="14">MIN(U102+T103,138.9)</f>
        <v>14.738333333333337</v>
      </c>
      <c r="W103">
        <v>452.4</v>
      </c>
      <c r="X103">
        <f t="shared" ref="X103:X166" si="15">X102+W103</f>
        <v>57428.500000000007</v>
      </c>
      <c r="Y103">
        <f t="shared" ref="Y103:Y166" si="16">Y102+W103</f>
        <v>57428.500000000007</v>
      </c>
      <c r="Z103">
        <v>9.3462714500542123</v>
      </c>
    </row>
    <row r="104" spans="1:26" x14ac:dyDescent="0.25">
      <c r="A104">
        <v>5320</v>
      </c>
      <c r="B104">
        <v>23210</v>
      </c>
      <c r="C104" s="1">
        <v>42681</v>
      </c>
      <c r="F104" s="32"/>
      <c r="G104">
        <v>3.3</v>
      </c>
      <c r="H104">
        <v>-0.2</v>
      </c>
      <c r="I104">
        <v>6</v>
      </c>
      <c r="J104">
        <f t="shared" si="12"/>
        <v>888.6</v>
      </c>
      <c r="K104">
        <f t="shared" si="13"/>
        <v>888.6</v>
      </c>
      <c r="M104">
        <v>5.0999999999999996</v>
      </c>
      <c r="N104">
        <v>0.2</v>
      </c>
      <c r="O104">
        <f t="shared" si="9"/>
        <v>4.8999999999999995</v>
      </c>
      <c r="Q104">
        <v>68</v>
      </c>
      <c r="R104">
        <f t="shared" si="8"/>
        <v>0.83950617283950613</v>
      </c>
      <c r="S104">
        <f t="shared" si="10"/>
        <v>0.16790123456790124</v>
      </c>
      <c r="T104">
        <f t="shared" si="11"/>
        <v>4.932098765432098</v>
      </c>
      <c r="U104" s="14">
        <f t="shared" si="14"/>
        <v>19.670432098765435</v>
      </c>
      <c r="W104">
        <v>196.8</v>
      </c>
      <c r="X104">
        <f t="shared" si="15"/>
        <v>57625.30000000001</v>
      </c>
      <c r="Y104">
        <f t="shared" si="16"/>
        <v>57625.30000000001</v>
      </c>
      <c r="Z104">
        <v>9.2991849499165635</v>
      </c>
    </row>
    <row r="105" spans="1:26" x14ac:dyDescent="0.25">
      <c r="A105">
        <v>5320</v>
      </c>
      <c r="B105">
        <v>23210</v>
      </c>
      <c r="C105" s="1">
        <v>42682</v>
      </c>
      <c r="F105" s="32"/>
      <c r="G105">
        <v>4.9000000000000004</v>
      </c>
      <c r="H105">
        <v>2.8</v>
      </c>
      <c r="I105">
        <v>6.5</v>
      </c>
      <c r="J105">
        <f t="shared" si="12"/>
        <v>893.5</v>
      </c>
      <c r="K105">
        <f t="shared" si="13"/>
        <v>893.5</v>
      </c>
      <c r="M105">
        <v>8.4</v>
      </c>
      <c r="N105">
        <v>0.4</v>
      </c>
      <c r="O105">
        <f t="shared" si="9"/>
        <v>8</v>
      </c>
      <c r="Q105">
        <v>69</v>
      </c>
      <c r="R105">
        <f t="shared" si="8"/>
        <v>0.84753086419753076</v>
      </c>
      <c r="S105">
        <f t="shared" si="10"/>
        <v>0.33901234567901234</v>
      </c>
      <c r="T105">
        <f t="shared" si="11"/>
        <v>8.0609876543209875</v>
      </c>
      <c r="U105" s="14">
        <f t="shared" si="14"/>
        <v>27.731419753086421</v>
      </c>
      <c r="W105">
        <v>449.5</v>
      </c>
      <c r="X105">
        <f t="shared" si="15"/>
        <v>58074.80000000001</v>
      </c>
      <c r="Y105">
        <f t="shared" si="16"/>
        <v>58074.80000000001</v>
      </c>
      <c r="Z105">
        <v>9.2527433231627665</v>
      </c>
    </row>
    <row r="106" spans="1:26" x14ac:dyDescent="0.25">
      <c r="A106">
        <v>5320</v>
      </c>
      <c r="B106">
        <v>23210</v>
      </c>
      <c r="C106" s="1">
        <v>42683</v>
      </c>
      <c r="F106" s="32"/>
      <c r="G106">
        <v>7.9</v>
      </c>
      <c r="H106">
        <v>5.5</v>
      </c>
      <c r="I106">
        <v>10.4</v>
      </c>
      <c r="J106">
        <f t="shared" si="12"/>
        <v>901.4</v>
      </c>
      <c r="K106">
        <f t="shared" si="13"/>
        <v>901.4</v>
      </c>
      <c r="M106">
        <v>1</v>
      </c>
      <c r="N106">
        <v>0.9</v>
      </c>
      <c r="O106">
        <f t="shared" si="9"/>
        <v>9.9999999999999978E-2</v>
      </c>
      <c r="Q106">
        <v>70</v>
      </c>
      <c r="R106">
        <f t="shared" si="8"/>
        <v>0.85555555555555551</v>
      </c>
      <c r="S106">
        <f t="shared" si="10"/>
        <v>0.77</v>
      </c>
      <c r="T106">
        <f t="shared" si="11"/>
        <v>0.22999999999999998</v>
      </c>
      <c r="U106" s="14">
        <f t="shared" si="14"/>
        <v>27.961419753086421</v>
      </c>
      <c r="W106">
        <v>213.8</v>
      </c>
      <c r="X106">
        <f t="shared" si="15"/>
        <v>58288.600000000013</v>
      </c>
      <c r="Y106">
        <f t="shared" si="16"/>
        <v>58288.600000000013</v>
      </c>
      <c r="Z106">
        <v>9.2069683884988454</v>
      </c>
    </row>
    <row r="107" spans="1:26" x14ac:dyDescent="0.25">
      <c r="A107">
        <v>5320</v>
      </c>
      <c r="B107">
        <v>23210</v>
      </c>
      <c r="C107" s="1">
        <v>42684</v>
      </c>
      <c r="F107" s="32"/>
      <c r="G107">
        <v>9.1999999999999993</v>
      </c>
      <c r="H107">
        <v>7.9</v>
      </c>
      <c r="I107">
        <v>10.5</v>
      </c>
      <c r="J107">
        <f t="shared" si="12"/>
        <v>910.6</v>
      </c>
      <c r="K107">
        <f t="shared" si="13"/>
        <v>910.6</v>
      </c>
      <c r="M107">
        <v>2.4</v>
      </c>
      <c r="N107">
        <v>0.7</v>
      </c>
      <c r="O107">
        <f t="shared" si="9"/>
        <v>1.7</v>
      </c>
      <c r="Q107">
        <v>71</v>
      </c>
      <c r="R107">
        <f t="shared" si="8"/>
        <v>0.86358024691358026</v>
      </c>
      <c r="S107">
        <f t="shared" si="10"/>
        <v>0.60450617283950614</v>
      </c>
      <c r="T107">
        <f t="shared" si="11"/>
        <v>1.7954938271604939</v>
      </c>
      <c r="U107" s="14">
        <f t="shared" si="14"/>
        <v>29.756913580246916</v>
      </c>
      <c r="W107">
        <v>160.1</v>
      </c>
      <c r="X107">
        <f t="shared" si="15"/>
        <v>58448.700000000012</v>
      </c>
      <c r="Y107">
        <f t="shared" si="16"/>
        <v>58448.700000000012</v>
      </c>
      <c r="Z107">
        <v>9.1618822604659123</v>
      </c>
    </row>
    <row r="108" spans="1:26" x14ac:dyDescent="0.25">
      <c r="A108">
        <v>5320</v>
      </c>
      <c r="B108">
        <v>23210</v>
      </c>
      <c r="C108" s="1">
        <v>42685</v>
      </c>
      <c r="F108" s="32"/>
      <c r="G108">
        <v>5.6</v>
      </c>
      <c r="H108">
        <v>3.6</v>
      </c>
      <c r="I108">
        <v>8.9</v>
      </c>
      <c r="J108">
        <f t="shared" si="12"/>
        <v>916.2</v>
      </c>
      <c r="K108">
        <f t="shared" si="13"/>
        <v>916.2</v>
      </c>
      <c r="M108">
        <v>0</v>
      </c>
      <c r="N108">
        <v>0.7</v>
      </c>
      <c r="O108">
        <f t="shared" si="9"/>
        <v>-0.7</v>
      </c>
      <c r="Q108">
        <v>72</v>
      </c>
      <c r="R108">
        <f t="shared" si="8"/>
        <v>0.8716049382716049</v>
      </c>
      <c r="S108">
        <f t="shared" si="10"/>
        <v>0.61012345679012336</v>
      </c>
      <c r="T108">
        <f t="shared" si="11"/>
        <v>-0.61012345679012336</v>
      </c>
      <c r="U108" s="14">
        <f t="shared" si="14"/>
        <v>29.146790123456793</v>
      </c>
      <c r="W108">
        <v>295.8</v>
      </c>
      <c r="X108">
        <f t="shared" si="15"/>
        <v>58744.500000000015</v>
      </c>
      <c r="Y108">
        <f t="shared" si="16"/>
        <v>58744.500000000015</v>
      </c>
      <c r="Z108">
        <v>9.1175073282043382</v>
      </c>
    </row>
    <row r="109" spans="1:26" x14ac:dyDescent="0.25">
      <c r="A109">
        <v>5320</v>
      </c>
      <c r="B109">
        <v>23210</v>
      </c>
      <c r="C109" s="1">
        <v>42686</v>
      </c>
      <c r="F109" s="32"/>
      <c r="G109">
        <v>4.9000000000000004</v>
      </c>
      <c r="H109">
        <v>0.1</v>
      </c>
      <c r="I109">
        <v>10</v>
      </c>
      <c r="J109">
        <f t="shared" si="12"/>
        <v>921.1</v>
      </c>
      <c r="K109">
        <f t="shared" si="13"/>
        <v>921.1</v>
      </c>
      <c r="M109">
        <v>6</v>
      </c>
      <c r="N109">
        <v>0.3</v>
      </c>
      <c r="O109">
        <f t="shared" si="9"/>
        <v>5.7</v>
      </c>
      <c r="Q109">
        <v>73</v>
      </c>
      <c r="R109">
        <f t="shared" ref="R109:R124" si="17">0.35+((Q109-7)/81)*(1-0.35)</f>
        <v>0.87962962962962965</v>
      </c>
      <c r="S109">
        <f t="shared" si="10"/>
        <v>0.2638888888888889</v>
      </c>
      <c r="T109">
        <f t="shared" si="11"/>
        <v>5.7361111111111107</v>
      </c>
      <c r="U109" s="14">
        <f t="shared" si="14"/>
        <v>34.882901234567903</v>
      </c>
      <c r="W109">
        <v>163.4</v>
      </c>
      <c r="X109">
        <f t="shared" si="15"/>
        <v>58907.900000000016</v>
      </c>
      <c r="Y109">
        <f t="shared" si="16"/>
        <v>58907.900000000016</v>
      </c>
      <c r="Z109">
        <v>9.0738662322045265</v>
      </c>
    </row>
    <row r="110" spans="1:26" x14ac:dyDescent="0.25">
      <c r="A110">
        <v>5320</v>
      </c>
      <c r="B110">
        <v>23210</v>
      </c>
      <c r="C110" s="1">
        <v>42687</v>
      </c>
      <c r="E110" t="s">
        <v>59</v>
      </c>
      <c r="F110" s="32"/>
      <c r="G110">
        <v>9.3000000000000007</v>
      </c>
      <c r="H110">
        <v>7.4</v>
      </c>
      <c r="I110">
        <v>10.6</v>
      </c>
      <c r="J110">
        <f t="shared" si="12"/>
        <v>930.4</v>
      </c>
      <c r="K110">
        <f t="shared" si="13"/>
        <v>930.4</v>
      </c>
      <c r="M110">
        <v>0.1</v>
      </c>
      <c r="N110">
        <v>0.3</v>
      </c>
      <c r="O110">
        <f t="shared" si="9"/>
        <v>-0.19999999999999998</v>
      </c>
      <c r="Q110">
        <v>74</v>
      </c>
      <c r="R110">
        <f t="shared" si="17"/>
        <v>0.88765432098765429</v>
      </c>
      <c r="S110">
        <f t="shared" si="10"/>
        <v>0.26629629629629625</v>
      </c>
      <c r="T110">
        <f t="shared" si="11"/>
        <v>-0.16629629629629625</v>
      </c>
      <c r="U110" s="14">
        <f t="shared" si="14"/>
        <v>34.716604938271608</v>
      </c>
      <c r="W110">
        <v>171.2</v>
      </c>
      <c r="X110">
        <f t="shared" si="15"/>
        <v>59079.100000000013</v>
      </c>
      <c r="Y110">
        <f t="shared" si="16"/>
        <v>59079.100000000013</v>
      </c>
      <c r="Z110">
        <v>9.0309818390159844</v>
      </c>
    </row>
    <row r="111" spans="1:26" x14ac:dyDescent="0.25">
      <c r="A111">
        <v>5320</v>
      </c>
      <c r="B111">
        <v>23210</v>
      </c>
      <c r="C111" s="1">
        <v>42688</v>
      </c>
      <c r="F111" s="32"/>
      <c r="G111">
        <v>7.3</v>
      </c>
      <c r="H111">
        <v>6.3</v>
      </c>
      <c r="I111">
        <v>8.1999999999999993</v>
      </c>
      <c r="J111">
        <f t="shared" si="12"/>
        <v>937.69999999999993</v>
      </c>
      <c r="K111">
        <f t="shared" si="13"/>
        <v>937.69999999999993</v>
      </c>
      <c r="M111">
        <v>0</v>
      </c>
      <c r="N111">
        <v>0.4</v>
      </c>
      <c r="O111">
        <f t="shared" si="9"/>
        <v>-0.4</v>
      </c>
      <c r="Q111">
        <v>75</v>
      </c>
      <c r="R111">
        <f t="shared" si="17"/>
        <v>0.89567901234567893</v>
      </c>
      <c r="S111">
        <f t="shared" si="10"/>
        <v>0.35827160493827159</v>
      </c>
      <c r="T111">
        <f t="shared" si="11"/>
        <v>-0.35827160493827159</v>
      </c>
      <c r="U111" s="14">
        <f t="shared" si="14"/>
        <v>34.358333333333334</v>
      </c>
      <c r="W111">
        <v>131.80000000000001</v>
      </c>
      <c r="X111">
        <f t="shared" si="15"/>
        <v>59210.900000000016</v>
      </c>
      <c r="Y111">
        <f t="shared" si="16"/>
        <v>59210.900000000016</v>
      </c>
      <c r="Z111">
        <v>8.9888772138950088</v>
      </c>
    </row>
    <row r="112" spans="1:26" x14ac:dyDescent="0.25">
      <c r="A112">
        <v>5320</v>
      </c>
      <c r="B112">
        <v>23210</v>
      </c>
      <c r="C112" s="1">
        <v>42689</v>
      </c>
      <c r="F112" s="32"/>
      <c r="G112">
        <v>9.5</v>
      </c>
      <c r="H112">
        <v>6.9</v>
      </c>
      <c r="I112">
        <v>11.2</v>
      </c>
      <c r="J112">
        <f t="shared" si="12"/>
        <v>947.19999999999993</v>
      </c>
      <c r="K112">
        <f t="shared" si="13"/>
        <v>947.19999999999993</v>
      </c>
      <c r="M112">
        <v>4</v>
      </c>
      <c r="N112">
        <v>0.3</v>
      </c>
      <c r="O112">
        <f t="shared" si="9"/>
        <v>3.7</v>
      </c>
      <c r="Q112">
        <v>76</v>
      </c>
      <c r="R112">
        <f t="shared" si="17"/>
        <v>0.90370370370370368</v>
      </c>
      <c r="S112">
        <f t="shared" si="10"/>
        <v>0.27111111111111108</v>
      </c>
      <c r="T112">
        <f t="shared" si="11"/>
        <v>3.7288888888888891</v>
      </c>
      <c r="U112" s="14">
        <f t="shared" si="14"/>
        <v>38.087222222222223</v>
      </c>
      <c r="W112">
        <v>165.9</v>
      </c>
      <c r="X112">
        <f t="shared" si="15"/>
        <v>59376.800000000017</v>
      </c>
      <c r="Y112">
        <f t="shared" si="16"/>
        <v>59376.800000000017</v>
      </c>
      <c r="Z112">
        <v>8.9475755913807937</v>
      </c>
    </row>
    <row r="113" spans="1:27" x14ac:dyDescent="0.25">
      <c r="A113">
        <v>5320</v>
      </c>
      <c r="B113">
        <v>23210</v>
      </c>
      <c r="C113" s="1">
        <v>42690</v>
      </c>
      <c r="F113" s="32"/>
      <c r="G113">
        <v>10.9</v>
      </c>
      <c r="H113">
        <v>10.5</v>
      </c>
      <c r="I113">
        <v>11.3</v>
      </c>
      <c r="J113">
        <f t="shared" si="12"/>
        <v>958.09999999999991</v>
      </c>
      <c r="K113">
        <f t="shared" si="13"/>
        <v>958.09999999999991</v>
      </c>
      <c r="M113">
        <v>4.3</v>
      </c>
      <c r="N113">
        <v>0.4</v>
      </c>
      <c r="O113">
        <f t="shared" si="9"/>
        <v>3.9</v>
      </c>
      <c r="Q113">
        <v>77</v>
      </c>
      <c r="R113">
        <f t="shared" si="17"/>
        <v>0.91172839506172831</v>
      </c>
      <c r="S113">
        <f t="shared" si="10"/>
        <v>0.36469135802469133</v>
      </c>
      <c r="T113">
        <f t="shared" si="11"/>
        <v>3.9353086419753085</v>
      </c>
      <c r="U113" s="14">
        <f t="shared" si="14"/>
        <v>42.022530864197535</v>
      </c>
      <c r="W113">
        <v>120.1</v>
      </c>
      <c r="X113">
        <f t="shared" si="15"/>
        <v>59496.900000000016</v>
      </c>
      <c r="Y113">
        <f t="shared" si="16"/>
        <v>59496.900000000016</v>
      </c>
      <c r="Z113">
        <v>8.9071003438002521</v>
      </c>
    </row>
    <row r="114" spans="1:27" x14ac:dyDescent="0.25">
      <c r="A114">
        <v>5320</v>
      </c>
      <c r="B114">
        <v>23210</v>
      </c>
      <c r="C114" s="1">
        <v>42691</v>
      </c>
      <c r="F114" s="32"/>
      <c r="G114">
        <v>11.9</v>
      </c>
      <c r="H114">
        <v>10.8</v>
      </c>
      <c r="I114">
        <v>13</v>
      </c>
      <c r="J114">
        <f t="shared" si="12"/>
        <v>969.99999999999989</v>
      </c>
      <c r="K114">
        <f t="shared" si="13"/>
        <v>969.99999999999989</v>
      </c>
      <c r="M114">
        <v>3.7</v>
      </c>
      <c r="N114">
        <v>0.9</v>
      </c>
      <c r="O114">
        <f t="shared" si="9"/>
        <v>2.8000000000000003</v>
      </c>
      <c r="Q114">
        <v>78</v>
      </c>
      <c r="R114">
        <f t="shared" si="17"/>
        <v>0.91975308641975306</v>
      </c>
      <c r="S114">
        <f t="shared" si="10"/>
        <v>0.82777777777777772</v>
      </c>
      <c r="T114">
        <f t="shared" si="11"/>
        <v>2.8722222222222227</v>
      </c>
      <c r="U114" s="14">
        <f t="shared" si="14"/>
        <v>44.894753086419755</v>
      </c>
      <c r="W114">
        <v>233.8</v>
      </c>
      <c r="X114">
        <f t="shared" si="15"/>
        <v>59730.700000000019</v>
      </c>
      <c r="Y114">
        <f t="shared" si="16"/>
        <v>59730.700000000019</v>
      </c>
      <c r="Z114">
        <v>8.8674749477131751</v>
      </c>
    </row>
    <row r="115" spans="1:27" x14ac:dyDescent="0.25">
      <c r="A115">
        <v>5320</v>
      </c>
      <c r="B115">
        <v>23210</v>
      </c>
      <c r="C115" s="1">
        <v>42692</v>
      </c>
      <c r="F115" s="32"/>
      <c r="G115">
        <v>7.5</v>
      </c>
      <c r="H115">
        <v>5.8</v>
      </c>
      <c r="I115">
        <v>8.4</v>
      </c>
      <c r="J115">
        <f t="shared" si="12"/>
        <v>977.49999999999989</v>
      </c>
      <c r="K115">
        <f t="shared" si="13"/>
        <v>977.49999999999989</v>
      </c>
      <c r="M115">
        <v>2.2999999999999998</v>
      </c>
      <c r="N115">
        <v>0.7</v>
      </c>
      <c r="O115">
        <f t="shared" si="9"/>
        <v>1.5999999999999999</v>
      </c>
      <c r="Q115">
        <v>79</v>
      </c>
      <c r="R115">
        <f t="shared" si="17"/>
        <v>0.9277777777777777</v>
      </c>
      <c r="S115">
        <f t="shared" si="10"/>
        <v>0.64944444444444438</v>
      </c>
      <c r="T115">
        <f t="shared" si="11"/>
        <v>1.6505555555555556</v>
      </c>
      <c r="U115" s="14">
        <f t="shared" si="14"/>
        <v>46.545308641975311</v>
      </c>
      <c r="W115">
        <v>130.9</v>
      </c>
      <c r="X115">
        <f t="shared" si="15"/>
        <v>59861.60000000002</v>
      </c>
      <c r="Y115">
        <f t="shared" si="16"/>
        <v>59861.60000000002</v>
      </c>
      <c r="Z115">
        <v>8.8287229483217917</v>
      </c>
    </row>
    <row r="116" spans="1:27" x14ac:dyDescent="0.25">
      <c r="A116">
        <v>5320</v>
      </c>
      <c r="B116">
        <v>23210</v>
      </c>
      <c r="C116" s="1">
        <v>42693</v>
      </c>
      <c r="F116" s="32"/>
      <c r="G116">
        <v>7.1</v>
      </c>
      <c r="H116">
        <v>4.3</v>
      </c>
      <c r="I116">
        <v>10.7</v>
      </c>
      <c r="J116">
        <f t="shared" si="12"/>
        <v>984.59999999999991</v>
      </c>
      <c r="K116">
        <f t="shared" si="13"/>
        <v>984.59999999999991</v>
      </c>
      <c r="M116">
        <v>1.6</v>
      </c>
      <c r="N116">
        <v>1.3</v>
      </c>
      <c r="O116">
        <f t="shared" si="9"/>
        <v>0.30000000000000004</v>
      </c>
      <c r="Q116">
        <v>80</v>
      </c>
      <c r="R116">
        <f t="shared" si="17"/>
        <v>0.93580246913580245</v>
      </c>
      <c r="S116">
        <f t="shared" si="10"/>
        <v>1.2165432098765432</v>
      </c>
      <c r="T116">
        <f t="shared" si="11"/>
        <v>0.3834567901234569</v>
      </c>
      <c r="U116" s="14">
        <f t="shared" si="14"/>
        <v>46.928765432098764</v>
      </c>
      <c r="W116">
        <v>656.9</v>
      </c>
      <c r="X116">
        <f t="shared" si="15"/>
        <v>60518.500000000022</v>
      </c>
      <c r="Y116">
        <f t="shared" si="16"/>
        <v>60518.500000000022</v>
      </c>
      <c r="Z116">
        <v>8.79086792188202</v>
      </c>
    </row>
    <row r="117" spans="1:27" x14ac:dyDescent="0.25">
      <c r="A117">
        <v>5320</v>
      </c>
      <c r="B117">
        <v>23210</v>
      </c>
      <c r="C117" s="1">
        <v>42694</v>
      </c>
      <c r="F117" s="32"/>
      <c r="G117">
        <v>11.5</v>
      </c>
      <c r="H117">
        <v>7.9</v>
      </c>
      <c r="I117">
        <v>13.1</v>
      </c>
      <c r="J117">
        <f t="shared" si="12"/>
        <v>996.09999999999991</v>
      </c>
      <c r="K117">
        <f t="shared" si="13"/>
        <v>996.09999999999991</v>
      </c>
      <c r="M117">
        <v>3.2</v>
      </c>
      <c r="N117">
        <v>0.8</v>
      </c>
      <c r="O117">
        <f t="shared" si="9"/>
        <v>2.4000000000000004</v>
      </c>
      <c r="Q117">
        <v>81</v>
      </c>
      <c r="R117">
        <f t="shared" si="17"/>
        <v>0.94382716049382709</v>
      </c>
      <c r="S117">
        <f t="shared" si="10"/>
        <v>0.75506172839506169</v>
      </c>
      <c r="T117">
        <f t="shared" si="11"/>
        <v>2.4449382716049386</v>
      </c>
      <c r="U117" s="14">
        <f t="shared" si="14"/>
        <v>49.373703703703704</v>
      </c>
      <c r="W117">
        <v>169.7</v>
      </c>
      <c r="X117">
        <f t="shared" si="15"/>
        <v>60688.200000000019</v>
      </c>
      <c r="Y117">
        <f t="shared" si="16"/>
        <v>60688.200000000019</v>
      </c>
      <c r="Z117">
        <v>8.7539334361676513</v>
      </c>
    </row>
    <row r="118" spans="1:27" x14ac:dyDescent="0.25">
      <c r="A118">
        <v>5320</v>
      </c>
      <c r="B118">
        <v>23210</v>
      </c>
      <c r="C118" s="1">
        <v>42695</v>
      </c>
      <c r="F118" s="32"/>
      <c r="G118">
        <v>11.3</v>
      </c>
      <c r="H118">
        <v>10.5</v>
      </c>
      <c r="I118">
        <v>11.9</v>
      </c>
      <c r="J118">
        <f t="shared" si="12"/>
        <v>1007.3999999999999</v>
      </c>
      <c r="K118">
        <f t="shared" si="13"/>
        <v>1007.3999999999999</v>
      </c>
      <c r="M118">
        <v>0.7</v>
      </c>
      <c r="N118">
        <v>1</v>
      </c>
      <c r="O118">
        <f t="shared" si="9"/>
        <v>-0.30000000000000004</v>
      </c>
      <c r="Q118">
        <v>82</v>
      </c>
      <c r="R118">
        <f t="shared" si="17"/>
        <v>0.95185185185185184</v>
      </c>
      <c r="S118">
        <f t="shared" si="10"/>
        <v>0.95185185185185184</v>
      </c>
      <c r="T118">
        <f t="shared" si="11"/>
        <v>-0.25185185185185188</v>
      </c>
      <c r="U118" s="14">
        <f t="shared" si="14"/>
        <v>49.121851851851851</v>
      </c>
      <c r="W118">
        <v>221.6</v>
      </c>
      <c r="X118">
        <f t="shared" si="15"/>
        <v>60909.800000000017</v>
      </c>
      <c r="Y118">
        <f t="shared" si="16"/>
        <v>60909.800000000017</v>
      </c>
      <c r="Z118">
        <v>8.7179430090537888</v>
      </c>
    </row>
    <row r="119" spans="1:27" x14ac:dyDescent="0.25">
      <c r="A119">
        <v>5320</v>
      </c>
      <c r="B119">
        <v>23210</v>
      </c>
      <c r="C119" s="1">
        <v>42696</v>
      </c>
      <c r="F119" s="32"/>
      <c r="G119">
        <v>9.4</v>
      </c>
      <c r="H119">
        <v>8</v>
      </c>
      <c r="I119">
        <v>11.4</v>
      </c>
      <c r="J119">
        <f t="shared" si="12"/>
        <v>1016.7999999999998</v>
      </c>
      <c r="K119">
        <f t="shared" si="13"/>
        <v>1016.7999999999998</v>
      </c>
      <c r="M119">
        <v>8.8000000000000007</v>
      </c>
      <c r="N119">
        <v>0.7</v>
      </c>
      <c r="O119">
        <f t="shared" si="9"/>
        <v>8.1000000000000014</v>
      </c>
      <c r="Q119">
        <v>83</v>
      </c>
      <c r="R119">
        <f t="shared" si="17"/>
        <v>0.95987654320987648</v>
      </c>
      <c r="S119">
        <f t="shared" si="10"/>
        <v>0.6719135802469135</v>
      </c>
      <c r="T119">
        <f t="shared" si="11"/>
        <v>8.1280864197530871</v>
      </c>
      <c r="U119" s="14">
        <f t="shared" si="14"/>
        <v>57.24993827160494</v>
      </c>
      <c r="W119">
        <v>304.60000000000002</v>
      </c>
      <c r="X119">
        <f t="shared" si="15"/>
        <v>61214.400000000016</v>
      </c>
      <c r="Y119">
        <f t="shared" si="16"/>
        <v>61214.400000000016</v>
      </c>
      <c r="Z119">
        <v>8.6829200653011878</v>
      </c>
    </row>
    <row r="120" spans="1:27" x14ac:dyDescent="0.25">
      <c r="A120">
        <v>5320</v>
      </c>
      <c r="B120">
        <v>23210</v>
      </c>
      <c r="C120" s="1">
        <v>42697</v>
      </c>
      <c r="F120" s="32"/>
      <c r="G120">
        <v>10.7</v>
      </c>
      <c r="H120">
        <v>8.1999999999999993</v>
      </c>
      <c r="I120">
        <v>13.2</v>
      </c>
      <c r="J120">
        <f t="shared" si="12"/>
        <v>1027.4999999999998</v>
      </c>
      <c r="K120">
        <f t="shared" si="13"/>
        <v>1027.4999999999998</v>
      </c>
      <c r="M120">
        <v>0.4</v>
      </c>
      <c r="N120">
        <v>0.4</v>
      </c>
      <c r="O120">
        <f t="shared" si="9"/>
        <v>0</v>
      </c>
      <c r="Q120">
        <v>84</v>
      </c>
      <c r="R120">
        <f t="shared" si="17"/>
        <v>0.96790123456790123</v>
      </c>
      <c r="S120">
        <f t="shared" si="10"/>
        <v>0.3871604938271605</v>
      </c>
      <c r="T120">
        <f t="shared" si="11"/>
        <v>1.2839506172839521E-2</v>
      </c>
      <c r="U120" s="14">
        <f t="shared" si="14"/>
        <v>57.262777777777778</v>
      </c>
      <c r="W120">
        <v>189.7</v>
      </c>
      <c r="X120">
        <f t="shared" si="15"/>
        <v>61404.100000000013</v>
      </c>
      <c r="Y120">
        <f t="shared" si="16"/>
        <v>61404.100000000013</v>
      </c>
      <c r="Z120">
        <v>8.6488878916394363</v>
      </c>
    </row>
    <row r="121" spans="1:27" x14ac:dyDescent="0.25">
      <c r="A121">
        <v>5320</v>
      </c>
      <c r="B121">
        <v>23210</v>
      </c>
      <c r="C121" s="1">
        <v>42698</v>
      </c>
      <c r="F121" s="32"/>
      <c r="G121">
        <v>10.199999999999999</v>
      </c>
      <c r="H121">
        <v>9.8000000000000007</v>
      </c>
      <c r="I121">
        <v>11.1</v>
      </c>
      <c r="J121">
        <f t="shared" si="12"/>
        <v>1037.6999999999998</v>
      </c>
      <c r="K121">
        <f t="shared" si="13"/>
        <v>1037.6999999999998</v>
      </c>
      <c r="M121">
        <v>0</v>
      </c>
      <c r="N121">
        <v>0.8</v>
      </c>
      <c r="O121">
        <f t="shared" si="9"/>
        <v>-0.8</v>
      </c>
      <c r="Q121">
        <v>85</v>
      </c>
      <c r="R121">
        <f t="shared" si="17"/>
        <v>0.97592592592592586</v>
      </c>
      <c r="S121">
        <f t="shared" si="10"/>
        <v>0.78074074074074074</v>
      </c>
      <c r="T121">
        <f t="shared" si="11"/>
        <v>-0.78074074074074074</v>
      </c>
      <c r="U121" s="14">
        <f t="shared" si="14"/>
        <v>56.482037037037038</v>
      </c>
      <c r="W121">
        <v>139.5</v>
      </c>
      <c r="X121">
        <f t="shared" si="15"/>
        <v>61543.600000000013</v>
      </c>
      <c r="Y121">
        <f t="shared" si="16"/>
        <v>61543.600000000013</v>
      </c>
      <c r="Z121">
        <v>8.6158695902634577</v>
      </c>
    </row>
    <row r="122" spans="1:27" x14ac:dyDescent="0.25">
      <c r="A122">
        <v>5320</v>
      </c>
      <c r="B122">
        <v>23210</v>
      </c>
      <c r="C122" s="1">
        <v>42699</v>
      </c>
      <c r="F122" s="32"/>
      <c r="G122">
        <v>8.5</v>
      </c>
      <c r="H122">
        <v>8.5</v>
      </c>
      <c r="I122">
        <v>9.1</v>
      </c>
      <c r="J122">
        <f t="shared" si="12"/>
        <v>1046.1999999999998</v>
      </c>
      <c r="K122">
        <f t="shared" si="13"/>
        <v>1046.1999999999998</v>
      </c>
      <c r="M122">
        <v>0</v>
      </c>
      <c r="N122">
        <v>0.8</v>
      </c>
      <c r="O122">
        <f t="shared" si="9"/>
        <v>-0.8</v>
      </c>
      <c r="Q122">
        <v>86</v>
      </c>
      <c r="R122">
        <f t="shared" si="17"/>
        <v>0.98395061728395061</v>
      </c>
      <c r="S122">
        <f t="shared" si="10"/>
        <v>0.78716049382716058</v>
      </c>
      <c r="T122">
        <f t="shared" si="11"/>
        <v>-0.78716049382716058</v>
      </c>
      <c r="U122" s="14">
        <f t="shared" si="14"/>
        <v>55.69487654320988</v>
      </c>
      <c r="W122">
        <v>106.7</v>
      </c>
      <c r="X122">
        <f t="shared" si="15"/>
        <v>61650.30000000001</v>
      </c>
      <c r="Y122">
        <f t="shared" si="16"/>
        <v>61650.30000000001</v>
      </c>
      <c r="Z122">
        <v>8.5838880308746468</v>
      </c>
    </row>
    <row r="123" spans="1:27" x14ac:dyDescent="0.25">
      <c r="A123">
        <v>5320</v>
      </c>
      <c r="B123">
        <v>23210</v>
      </c>
      <c r="C123" s="1">
        <v>42700</v>
      </c>
      <c r="F123" s="32"/>
      <c r="G123">
        <v>7.3</v>
      </c>
      <c r="H123">
        <v>6.7</v>
      </c>
      <c r="I123">
        <v>8.5</v>
      </c>
      <c r="J123">
        <f t="shared" si="12"/>
        <v>1053.4999999999998</v>
      </c>
      <c r="K123">
        <f t="shared" si="13"/>
        <v>1053.4999999999998</v>
      </c>
      <c r="M123">
        <v>0.1</v>
      </c>
      <c r="N123">
        <v>0.3</v>
      </c>
      <c r="O123">
        <f t="shared" si="9"/>
        <v>-0.19999999999999998</v>
      </c>
      <c r="Q123">
        <v>87</v>
      </c>
      <c r="R123">
        <f t="shared" si="17"/>
        <v>0.99197530864197525</v>
      </c>
      <c r="S123">
        <f t="shared" si="10"/>
        <v>0.29759259259259258</v>
      </c>
      <c r="T123">
        <f t="shared" si="11"/>
        <v>-0.19759259259259257</v>
      </c>
      <c r="U123" s="14">
        <f t="shared" si="14"/>
        <v>55.497283950617287</v>
      </c>
      <c r="W123">
        <v>223</v>
      </c>
      <c r="X123">
        <f t="shared" si="15"/>
        <v>61873.30000000001</v>
      </c>
      <c r="Y123">
        <f t="shared" si="16"/>
        <v>61873.30000000001</v>
      </c>
      <c r="Z123">
        <v>8.5529658014152101</v>
      </c>
    </row>
    <row r="124" spans="1:27" s="6" customFormat="1" ht="15.75" thickBot="1" x14ac:dyDescent="0.3">
      <c r="A124" s="6">
        <v>5320</v>
      </c>
      <c r="B124" s="6">
        <v>23210</v>
      </c>
      <c r="C124" s="7">
        <v>42701</v>
      </c>
      <c r="F124" s="33"/>
      <c r="G124" s="6">
        <v>6.5</v>
      </c>
      <c r="H124" s="6">
        <v>5.6</v>
      </c>
      <c r="I124" s="6">
        <v>8.3000000000000007</v>
      </c>
      <c r="J124" s="6">
        <f t="shared" si="12"/>
        <v>1059.9999999999998</v>
      </c>
      <c r="K124" s="6">
        <f t="shared" si="13"/>
        <v>1059.9999999999998</v>
      </c>
      <c r="M124" s="6">
        <v>0</v>
      </c>
      <c r="N124" s="6">
        <v>0.7</v>
      </c>
      <c r="O124" s="6">
        <f t="shared" si="9"/>
        <v>-0.7</v>
      </c>
      <c r="Q124" s="6">
        <v>88</v>
      </c>
      <c r="R124" s="6">
        <f t="shared" si="17"/>
        <v>1</v>
      </c>
      <c r="S124" s="6">
        <f t="shared" si="10"/>
        <v>0.7</v>
      </c>
      <c r="T124" s="6">
        <f t="shared" si="11"/>
        <v>-0.7</v>
      </c>
      <c r="U124" s="26">
        <f t="shared" si="14"/>
        <v>54.797283950617285</v>
      </c>
      <c r="W124" s="6">
        <v>335.2</v>
      </c>
      <c r="X124" s="6">
        <f t="shared" si="15"/>
        <v>62208.500000000007</v>
      </c>
      <c r="Y124" s="6">
        <f t="shared" si="16"/>
        <v>62208.500000000007</v>
      </c>
      <c r="Z124" s="6">
        <v>8.5231251576610934</v>
      </c>
    </row>
    <row r="125" spans="1:27" x14ac:dyDescent="0.25">
      <c r="A125">
        <v>5320</v>
      </c>
      <c r="B125">
        <v>23210</v>
      </c>
      <c r="C125" s="1">
        <v>42702</v>
      </c>
      <c r="E125">
        <v>1</v>
      </c>
      <c r="F125" s="34" t="s">
        <v>35</v>
      </c>
      <c r="G125">
        <v>3.5</v>
      </c>
      <c r="H125">
        <v>2.5</v>
      </c>
      <c r="I125">
        <v>6.6</v>
      </c>
      <c r="J125">
        <f t="shared" si="12"/>
        <v>1063.4999999999998</v>
      </c>
      <c r="K125">
        <f>G125</f>
        <v>3.5</v>
      </c>
      <c r="L125" s="12" t="s">
        <v>36</v>
      </c>
      <c r="M125">
        <v>0</v>
      </c>
      <c r="N125">
        <v>1.6</v>
      </c>
      <c r="O125">
        <f t="shared" si="9"/>
        <v>-1.6</v>
      </c>
      <c r="Q125">
        <v>89</v>
      </c>
      <c r="R125">
        <v>1</v>
      </c>
      <c r="S125">
        <f t="shared" si="10"/>
        <v>1.6</v>
      </c>
      <c r="T125">
        <f t="shared" si="11"/>
        <v>-1.6</v>
      </c>
      <c r="U125" s="14">
        <f t="shared" si="14"/>
        <v>53.197283950617283</v>
      </c>
      <c r="V125" s="13" t="s">
        <v>43</v>
      </c>
      <c r="W125">
        <v>774.1</v>
      </c>
      <c r="X125">
        <f t="shared" si="15"/>
        <v>62982.600000000006</v>
      </c>
      <c r="Y125">
        <f>W125</f>
        <v>774.1</v>
      </c>
      <c r="Z125">
        <v>8.4943879718558613</v>
      </c>
      <c r="AA125" s="13" t="s">
        <v>48</v>
      </c>
    </row>
    <row r="126" spans="1:27" x14ac:dyDescent="0.25">
      <c r="A126">
        <v>5320</v>
      </c>
      <c r="B126">
        <v>23210</v>
      </c>
      <c r="C126" s="1">
        <v>42703</v>
      </c>
      <c r="E126">
        <v>2</v>
      </c>
      <c r="F126" s="35"/>
      <c r="G126">
        <v>0</v>
      </c>
      <c r="H126">
        <v>-1.9</v>
      </c>
      <c r="I126">
        <v>2.5</v>
      </c>
      <c r="J126">
        <f t="shared" si="12"/>
        <v>1063.4999999999998</v>
      </c>
      <c r="K126">
        <f t="shared" si="13"/>
        <v>3.5</v>
      </c>
      <c r="L126" s="9">
        <v>158.69999999999999</v>
      </c>
      <c r="M126">
        <v>0</v>
      </c>
      <c r="N126">
        <v>1</v>
      </c>
      <c r="O126">
        <f t="shared" si="9"/>
        <v>-1</v>
      </c>
      <c r="Q126">
        <v>90</v>
      </c>
      <c r="R126">
        <v>1</v>
      </c>
      <c r="S126">
        <f t="shared" si="10"/>
        <v>1</v>
      </c>
      <c r="T126">
        <f t="shared" si="11"/>
        <v>-1</v>
      </c>
      <c r="U126" s="14">
        <f t="shared" si="14"/>
        <v>52.197283950617283</v>
      </c>
      <c r="V126">
        <v>0</v>
      </c>
      <c r="W126">
        <v>790.2</v>
      </c>
      <c r="X126">
        <f t="shared" si="15"/>
        <v>63772.800000000003</v>
      </c>
      <c r="Y126">
        <f t="shared" si="16"/>
        <v>1564.3000000000002</v>
      </c>
      <c r="Z126">
        <v>8.4667756805841918</v>
      </c>
      <c r="AA126">
        <v>25647.3</v>
      </c>
    </row>
    <row r="127" spans="1:27" x14ac:dyDescent="0.25">
      <c r="A127">
        <v>5320</v>
      </c>
      <c r="B127">
        <v>23210</v>
      </c>
      <c r="C127" s="1">
        <v>42704</v>
      </c>
      <c r="E127">
        <v>3</v>
      </c>
      <c r="F127" s="35"/>
      <c r="G127">
        <v>1</v>
      </c>
      <c r="H127">
        <v>-2.7</v>
      </c>
      <c r="I127">
        <v>5.6</v>
      </c>
      <c r="J127">
        <f t="shared" si="12"/>
        <v>1064.4999999999998</v>
      </c>
      <c r="K127">
        <f t="shared" si="13"/>
        <v>4.5</v>
      </c>
      <c r="L127" s="12" t="s">
        <v>37</v>
      </c>
      <c r="M127">
        <v>0</v>
      </c>
      <c r="N127">
        <v>0.8</v>
      </c>
      <c r="O127">
        <f t="shared" si="9"/>
        <v>-0.8</v>
      </c>
      <c r="Q127">
        <v>91</v>
      </c>
      <c r="R127">
        <v>1</v>
      </c>
      <c r="S127">
        <f t="shared" si="10"/>
        <v>0.8</v>
      </c>
      <c r="T127">
        <f t="shared" si="11"/>
        <v>-0.8</v>
      </c>
      <c r="U127" s="14">
        <f t="shared" si="14"/>
        <v>51.397283950617286</v>
      </c>
      <c r="V127" s="13" t="s">
        <v>44</v>
      </c>
      <c r="W127">
        <v>774.4</v>
      </c>
      <c r="X127">
        <f t="shared" si="15"/>
        <v>64547.200000000004</v>
      </c>
      <c r="Y127">
        <f t="shared" si="16"/>
        <v>2338.7000000000003</v>
      </c>
      <c r="Z127">
        <v>8.4403092320993593</v>
      </c>
      <c r="AA127" s="13" t="s">
        <v>49</v>
      </c>
    </row>
    <row r="128" spans="1:27" x14ac:dyDescent="0.25">
      <c r="A128">
        <v>5320</v>
      </c>
      <c r="B128">
        <v>23210</v>
      </c>
      <c r="C128" s="1">
        <v>42705</v>
      </c>
      <c r="E128">
        <v>4</v>
      </c>
      <c r="F128" s="35"/>
      <c r="G128">
        <v>0.8</v>
      </c>
      <c r="H128">
        <v>-2</v>
      </c>
      <c r="I128">
        <v>5.2</v>
      </c>
      <c r="J128">
        <f t="shared" si="12"/>
        <v>1065.2999999999997</v>
      </c>
      <c r="K128">
        <f t="shared" si="13"/>
        <v>5.3</v>
      </c>
      <c r="L128" s="9">
        <f>AVERAGE(G125:G184)</f>
        <v>2.0433333333333334</v>
      </c>
      <c r="M128">
        <v>0</v>
      </c>
      <c r="N128">
        <v>0.8</v>
      </c>
      <c r="O128">
        <f t="shared" si="9"/>
        <v>-0.8</v>
      </c>
      <c r="Q128">
        <v>92</v>
      </c>
      <c r="R128">
        <v>1</v>
      </c>
      <c r="S128">
        <f t="shared" si="10"/>
        <v>0.8</v>
      </c>
      <c r="T128">
        <f t="shared" si="11"/>
        <v>-0.8</v>
      </c>
      <c r="U128" s="14">
        <f t="shared" si="14"/>
        <v>50.597283950617289</v>
      </c>
      <c r="V128">
        <v>13</v>
      </c>
      <c r="W128">
        <v>760.7</v>
      </c>
      <c r="X128">
        <f t="shared" si="15"/>
        <v>65307.9</v>
      </c>
      <c r="Y128">
        <f t="shared" si="16"/>
        <v>3099.4000000000005</v>
      </c>
      <c r="Z128">
        <v>8.4150090333339023</v>
      </c>
      <c r="AA128">
        <f>(AA126/100)/L126</f>
        <v>1.6160869565217393</v>
      </c>
    </row>
    <row r="129" spans="1:27" x14ac:dyDescent="0.25">
      <c r="A129">
        <v>5320</v>
      </c>
      <c r="B129">
        <v>23210</v>
      </c>
      <c r="C129" s="1">
        <v>42706</v>
      </c>
      <c r="E129">
        <v>5</v>
      </c>
      <c r="F129" s="35"/>
      <c r="G129">
        <v>1.5</v>
      </c>
      <c r="H129">
        <v>-1.5</v>
      </c>
      <c r="I129">
        <v>4.0999999999999996</v>
      </c>
      <c r="J129">
        <f t="shared" si="12"/>
        <v>1066.7999999999997</v>
      </c>
      <c r="K129">
        <f t="shared" si="13"/>
        <v>6.8</v>
      </c>
      <c r="L129" s="12" t="s">
        <v>38</v>
      </c>
      <c r="M129">
        <v>0</v>
      </c>
      <c r="N129">
        <v>0.3</v>
      </c>
      <c r="O129">
        <f t="shared" si="9"/>
        <v>-0.3</v>
      </c>
      <c r="Q129">
        <v>93</v>
      </c>
      <c r="R129">
        <v>1</v>
      </c>
      <c r="S129">
        <f t="shared" si="10"/>
        <v>0.3</v>
      </c>
      <c r="T129">
        <f t="shared" si="11"/>
        <v>-0.3</v>
      </c>
      <c r="U129" s="14">
        <f t="shared" si="14"/>
        <v>50.297283950617292</v>
      </c>
      <c r="V129" s="13" t="s">
        <v>45</v>
      </c>
      <c r="W129">
        <v>239.9</v>
      </c>
      <c r="X129">
        <f t="shared" si="15"/>
        <v>65547.8</v>
      </c>
      <c r="Y129">
        <f t="shared" si="16"/>
        <v>3339.3000000000006</v>
      </c>
      <c r="Z129">
        <v>8.3908948968363433</v>
      </c>
      <c r="AA129" s="13" t="s">
        <v>50</v>
      </c>
    </row>
    <row r="130" spans="1:27" x14ac:dyDescent="0.25">
      <c r="A130">
        <v>5320</v>
      </c>
      <c r="B130">
        <v>23210</v>
      </c>
      <c r="C130" s="1">
        <v>42707</v>
      </c>
      <c r="E130">
        <v>6</v>
      </c>
      <c r="F130" s="35"/>
      <c r="G130">
        <v>4</v>
      </c>
      <c r="H130">
        <v>3</v>
      </c>
      <c r="I130">
        <v>6.7</v>
      </c>
      <c r="J130">
        <f t="shared" si="12"/>
        <v>1070.7999999999997</v>
      </c>
      <c r="K130">
        <f t="shared" si="13"/>
        <v>10.8</v>
      </c>
      <c r="L130" s="10">
        <f>MIN(H125:H184)</f>
        <v>-7.8</v>
      </c>
      <c r="M130">
        <v>0</v>
      </c>
      <c r="N130">
        <v>1</v>
      </c>
      <c r="O130">
        <f t="shared" si="9"/>
        <v>-1</v>
      </c>
      <c r="Q130">
        <v>94</v>
      </c>
      <c r="R130">
        <v>1</v>
      </c>
      <c r="S130">
        <f t="shared" si="10"/>
        <v>1</v>
      </c>
      <c r="T130">
        <f t="shared" si="11"/>
        <v>-1</v>
      </c>
      <c r="U130" s="14">
        <f t="shared" si="14"/>
        <v>49.297283950617292</v>
      </c>
      <c r="V130" s="14">
        <f>MIN(U125:U184)</f>
        <v>41.997283950617302</v>
      </c>
      <c r="W130">
        <v>626</v>
      </c>
      <c r="X130">
        <f t="shared" si="15"/>
        <v>66173.8</v>
      </c>
      <c r="Y130">
        <f t="shared" si="16"/>
        <v>3965.3000000000006</v>
      </c>
      <c r="Z130">
        <v>8.3679859878890319</v>
      </c>
      <c r="AA130">
        <v>59</v>
      </c>
    </row>
    <row r="131" spans="1:27" x14ac:dyDescent="0.25">
      <c r="A131">
        <v>5320</v>
      </c>
      <c r="B131">
        <v>23210</v>
      </c>
      <c r="C131" s="1">
        <v>42708</v>
      </c>
      <c r="E131">
        <v>7</v>
      </c>
      <c r="F131" s="35"/>
      <c r="G131">
        <v>0.7</v>
      </c>
      <c r="H131">
        <v>-0.7</v>
      </c>
      <c r="I131">
        <v>2.2999999999999998</v>
      </c>
      <c r="J131">
        <f t="shared" si="12"/>
        <v>1071.4999999999998</v>
      </c>
      <c r="K131">
        <f t="shared" si="13"/>
        <v>11.5</v>
      </c>
      <c r="L131" s="12" t="s">
        <v>39</v>
      </c>
      <c r="M131">
        <v>0.2</v>
      </c>
      <c r="N131">
        <v>0.3</v>
      </c>
      <c r="O131">
        <f t="shared" si="9"/>
        <v>-9.9999999999999978E-2</v>
      </c>
      <c r="Q131">
        <v>95</v>
      </c>
      <c r="R131">
        <v>1</v>
      </c>
      <c r="S131">
        <f t="shared" si="10"/>
        <v>0.3</v>
      </c>
      <c r="T131">
        <f t="shared" si="11"/>
        <v>-9.9999999999999978E-2</v>
      </c>
      <c r="U131" s="14">
        <f t="shared" si="14"/>
        <v>49.19728395061729</v>
      </c>
      <c r="V131" s="13" t="s">
        <v>46</v>
      </c>
      <c r="W131">
        <v>249.6</v>
      </c>
      <c r="X131">
        <f t="shared" si="15"/>
        <v>66423.400000000009</v>
      </c>
      <c r="Y131">
        <f t="shared" si="16"/>
        <v>4214.9000000000005</v>
      </c>
      <c r="Z131">
        <v>8.3463007720729312</v>
      </c>
      <c r="AA131" t="s">
        <v>51</v>
      </c>
    </row>
    <row r="132" spans="1:27" x14ac:dyDescent="0.25">
      <c r="A132">
        <v>5320</v>
      </c>
      <c r="B132">
        <v>23210</v>
      </c>
      <c r="C132" s="1">
        <v>42709</v>
      </c>
      <c r="F132" s="35"/>
      <c r="G132">
        <v>5.2</v>
      </c>
      <c r="H132">
        <v>0.9</v>
      </c>
      <c r="I132">
        <v>10.5</v>
      </c>
      <c r="J132">
        <f t="shared" si="12"/>
        <v>1076.6999999999998</v>
      </c>
      <c r="K132">
        <f t="shared" si="13"/>
        <v>16.7</v>
      </c>
      <c r="L132" s="9">
        <f>MAX(I125:I184)</f>
        <v>11.6</v>
      </c>
      <c r="M132">
        <v>0</v>
      </c>
      <c r="N132">
        <v>0.9</v>
      </c>
      <c r="O132">
        <f t="shared" si="9"/>
        <v>-0.9</v>
      </c>
      <c r="Q132">
        <v>96</v>
      </c>
      <c r="R132">
        <v>1</v>
      </c>
      <c r="S132">
        <f t="shared" si="10"/>
        <v>0.9</v>
      </c>
      <c r="T132">
        <f t="shared" si="11"/>
        <v>-0.9</v>
      </c>
      <c r="U132" s="14">
        <f t="shared" si="14"/>
        <v>48.297283950617292</v>
      </c>
      <c r="V132" s="14">
        <f>MAX(U125:U184)</f>
        <v>71.897283950617307</v>
      </c>
      <c r="W132">
        <v>675.8</v>
      </c>
      <c r="X132">
        <f t="shared" si="15"/>
        <v>67099.200000000012</v>
      </c>
      <c r="Y132">
        <f t="shared" si="16"/>
        <v>4890.7000000000007</v>
      </c>
      <c r="Z132">
        <v>8.32585696355385</v>
      </c>
      <c r="AA132">
        <v>48</v>
      </c>
    </row>
    <row r="133" spans="1:27" x14ac:dyDescent="0.25">
      <c r="A133">
        <v>5320</v>
      </c>
      <c r="B133">
        <v>23210</v>
      </c>
      <c r="C133" s="1">
        <v>42710</v>
      </c>
      <c r="E133">
        <v>8</v>
      </c>
      <c r="F133" s="35"/>
      <c r="G133">
        <v>4.9000000000000004</v>
      </c>
      <c r="H133">
        <v>1.4</v>
      </c>
      <c r="I133">
        <v>10</v>
      </c>
      <c r="J133">
        <f t="shared" si="12"/>
        <v>1081.5999999999999</v>
      </c>
      <c r="K133">
        <f t="shared" si="13"/>
        <v>21.6</v>
      </c>
      <c r="L133" s="12" t="s">
        <v>40</v>
      </c>
      <c r="M133">
        <v>0</v>
      </c>
      <c r="N133">
        <v>0.7</v>
      </c>
      <c r="O133">
        <f t="shared" si="9"/>
        <v>-0.7</v>
      </c>
      <c r="Q133">
        <v>97</v>
      </c>
      <c r="R133">
        <v>1</v>
      </c>
      <c r="S133">
        <f t="shared" si="10"/>
        <v>0.7</v>
      </c>
      <c r="T133">
        <f t="shared" si="11"/>
        <v>-0.7</v>
      </c>
      <c r="U133" s="14">
        <f t="shared" si="14"/>
        <v>47.597283950617289</v>
      </c>
      <c r="V133" s="13" t="s">
        <v>47</v>
      </c>
      <c r="W133">
        <v>556.1</v>
      </c>
      <c r="X133">
        <f t="shared" si="15"/>
        <v>67655.300000000017</v>
      </c>
      <c r="Y133">
        <f t="shared" si="16"/>
        <v>5446.8000000000011</v>
      </c>
      <c r="Z133">
        <v>8.3066714743712904</v>
      </c>
    </row>
    <row r="134" spans="1:27" x14ac:dyDescent="0.25">
      <c r="A134">
        <v>5320</v>
      </c>
      <c r="B134">
        <v>23210</v>
      </c>
      <c r="C134" s="1">
        <v>42711</v>
      </c>
      <c r="E134">
        <v>9</v>
      </c>
      <c r="F134" s="35"/>
      <c r="G134">
        <v>4.7</v>
      </c>
      <c r="H134">
        <v>1.8</v>
      </c>
      <c r="I134">
        <v>10.9</v>
      </c>
      <c r="J134">
        <f t="shared" si="12"/>
        <v>1086.3</v>
      </c>
      <c r="K134">
        <f t="shared" si="13"/>
        <v>26.3</v>
      </c>
      <c r="L134" s="9">
        <v>0</v>
      </c>
      <c r="M134">
        <v>0</v>
      </c>
      <c r="N134">
        <v>1</v>
      </c>
      <c r="O134">
        <f t="shared" ref="O134:O197" si="18">M134-N134</f>
        <v>-1</v>
      </c>
      <c r="Q134">
        <v>98</v>
      </c>
      <c r="R134">
        <v>1</v>
      </c>
      <c r="S134">
        <f t="shared" si="10"/>
        <v>1</v>
      </c>
      <c r="T134">
        <f t="shared" si="11"/>
        <v>-1</v>
      </c>
      <c r="U134" s="14">
        <f t="shared" si="14"/>
        <v>46.597283950617289</v>
      </c>
      <c r="V134" s="14">
        <f>AVERAGE(U125:U184)</f>
        <v>55.762283950617281</v>
      </c>
      <c r="W134">
        <v>650</v>
      </c>
      <c r="X134">
        <f t="shared" si="15"/>
        <v>68305.300000000017</v>
      </c>
      <c r="Y134">
        <f t="shared" si="16"/>
        <v>6096.8000000000011</v>
      </c>
      <c r="Z134">
        <v>8.288760365015559</v>
      </c>
    </row>
    <row r="135" spans="1:27" x14ac:dyDescent="0.25">
      <c r="A135">
        <v>5320</v>
      </c>
      <c r="B135">
        <v>23210</v>
      </c>
      <c r="C135" s="1">
        <v>42712</v>
      </c>
      <c r="E135">
        <v>10</v>
      </c>
      <c r="F135" s="35"/>
      <c r="G135">
        <v>4.2</v>
      </c>
      <c r="H135">
        <v>-0.6</v>
      </c>
      <c r="I135">
        <v>9.6</v>
      </c>
      <c r="J135">
        <f t="shared" si="12"/>
        <v>1090.5</v>
      </c>
      <c r="K135">
        <f t="shared" si="13"/>
        <v>30.5</v>
      </c>
      <c r="L135" s="12" t="s">
        <v>41</v>
      </c>
      <c r="M135">
        <v>0</v>
      </c>
      <c r="N135">
        <v>0.8</v>
      </c>
      <c r="O135">
        <f t="shared" si="18"/>
        <v>-0.8</v>
      </c>
      <c r="Q135">
        <v>99</v>
      </c>
      <c r="R135">
        <v>1</v>
      </c>
      <c r="S135">
        <f t="shared" si="10"/>
        <v>0.8</v>
      </c>
      <c r="T135">
        <f t="shared" si="11"/>
        <v>-0.8</v>
      </c>
      <c r="U135" s="14">
        <f t="shared" si="14"/>
        <v>45.797283950617292</v>
      </c>
      <c r="W135">
        <v>611.4</v>
      </c>
      <c r="X135">
        <f t="shared" si="15"/>
        <v>68916.700000000012</v>
      </c>
      <c r="Y135">
        <f t="shared" si="16"/>
        <v>6708.2000000000007</v>
      </c>
      <c r="Z135">
        <v>8.2721387965805562</v>
      </c>
    </row>
    <row r="136" spans="1:27" x14ac:dyDescent="0.25">
      <c r="A136">
        <v>5320</v>
      </c>
      <c r="B136">
        <v>23210</v>
      </c>
      <c r="C136" s="1">
        <v>42713</v>
      </c>
      <c r="F136" s="35"/>
      <c r="G136">
        <v>5.0999999999999996</v>
      </c>
      <c r="H136">
        <v>0.4</v>
      </c>
      <c r="I136">
        <v>11.2</v>
      </c>
      <c r="J136">
        <f t="shared" si="12"/>
        <v>1095.5999999999999</v>
      </c>
      <c r="K136">
        <f t="shared" si="13"/>
        <v>35.6</v>
      </c>
      <c r="L136" s="9">
        <v>22</v>
      </c>
      <c r="M136">
        <v>0.1</v>
      </c>
      <c r="N136">
        <v>0.6</v>
      </c>
      <c r="O136">
        <f t="shared" si="18"/>
        <v>-0.5</v>
      </c>
      <c r="Q136">
        <v>100</v>
      </c>
      <c r="R136">
        <v>1</v>
      </c>
      <c r="S136">
        <f t="shared" si="10"/>
        <v>0.6</v>
      </c>
      <c r="T136">
        <f t="shared" si="11"/>
        <v>-0.5</v>
      </c>
      <c r="U136" s="14">
        <f t="shared" si="14"/>
        <v>45.297283950617292</v>
      </c>
      <c r="V136">
        <f>(V134*100)/138.9</f>
        <v>40.145632793820937</v>
      </c>
      <c r="W136">
        <v>461</v>
      </c>
      <c r="X136">
        <f t="shared" si="15"/>
        <v>69377.700000000012</v>
      </c>
      <c r="Y136">
        <f t="shared" si="16"/>
        <v>7169.2000000000007</v>
      </c>
      <c r="Z136">
        <v>8.2568209847789991</v>
      </c>
    </row>
    <row r="137" spans="1:27" x14ac:dyDescent="0.25">
      <c r="A137">
        <v>5320</v>
      </c>
      <c r="B137">
        <v>23210</v>
      </c>
      <c r="C137" s="1">
        <v>42714</v>
      </c>
      <c r="E137">
        <v>12</v>
      </c>
      <c r="F137" s="35"/>
      <c r="G137">
        <v>3</v>
      </c>
      <c r="H137">
        <v>0.5</v>
      </c>
      <c r="I137">
        <v>7.4</v>
      </c>
      <c r="J137">
        <f t="shared" si="12"/>
        <v>1098.5999999999999</v>
      </c>
      <c r="K137">
        <f t="shared" si="13"/>
        <v>38.6</v>
      </c>
      <c r="L137" s="12" t="s">
        <v>42</v>
      </c>
      <c r="M137">
        <v>0.4</v>
      </c>
      <c r="N137">
        <v>0.7</v>
      </c>
      <c r="O137">
        <f t="shared" si="18"/>
        <v>-0.29999999999999993</v>
      </c>
      <c r="Q137">
        <v>101</v>
      </c>
      <c r="R137">
        <v>1</v>
      </c>
      <c r="S137">
        <f t="shared" si="10"/>
        <v>0.7</v>
      </c>
      <c r="T137">
        <f t="shared" si="11"/>
        <v>-0.29999999999999993</v>
      </c>
      <c r="U137" s="14">
        <f t="shared" si="14"/>
        <v>44.997283950617295</v>
      </c>
      <c r="W137">
        <v>483.9</v>
      </c>
      <c r="X137">
        <f t="shared" si="15"/>
        <v>69861.600000000006</v>
      </c>
      <c r="Y137">
        <f t="shared" si="16"/>
        <v>7653.1</v>
      </c>
      <c r="Z137">
        <v>8.242820156103269</v>
      </c>
    </row>
    <row r="138" spans="1:27" x14ac:dyDescent="0.25">
      <c r="A138">
        <v>5320</v>
      </c>
      <c r="B138">
        <v>23210</v>
      </c>
      <c r="C138" s="1">
        <v>42715</v>
      </c>
      <c r="E138">
        <v>13</v>
      </c>
      <c r="F138" s="35"/>
      <c r="G138">
        <v>4.9000000000000004</v>
      </c>
      <c r="H138">
        <v>2</v>
      </c>
      <c r="I138">
        <v>6</v>
      </c>
      <c r="J138">
        <f t="shared" si="12"/>
        <v>1103.5</v>
      </c>
      <c r="K138">
        <f t="shared" si="13"/>
        <v>43.5</v>
      </c>
      <c r="L138" s="9">
        <v>33</v>
      </c>
      <c r="M138">
        <v>0.4</v>
      </c>
      <c r="N138">
        <v>0.4</v>
      </c>
      <c r="O138">
        <f t="shared" si="18"/>
        <v>0</v>
      </c>
      <c r="Q138">
        <v>102</v>
      </c>
      <c r="R138">
        <v>1</v>
      </c>
      <c r="S138">
        <f t="shared" si="10"/>
        <v>0.4</v>
      </c>
      <c r="T138">
        <f t="shared" si="11"/>
        <v>0</v>
      </c>
      <c r="U138" s="14">
        <f t="shared" si="14"/>
        <v>44.997283950617295</v>
      </c>
      <c r="W138">
        <v>281.5</v>
      </c>
      <c r="X138">
        <f t="shared" si="15"/>
        <v>70143.100000000006</v>
      </c>
      <c r="Y138">
        <f t="shared" si="16"/>
        <v>7934.6</v>
      </c>
      <c r="Z138">
        <v>8.2301485064087441</v>
      </c>
    </row>
    <row r="139" spans="1:27" x14ac:dyDescent="0.25">
      <c r="A139">
        <v>5320</v>
      </c>
      <c r="B139">
        <v>23210</v>
      </c>
      <c r="C139" s="1">
        <v>42716</v>
      </c>
      <c r="E139">
        <v>14</v>
      </c>
      <c r="F139" s="35"/>
      <c r="G139">
        <v>4.9000000000000004</v>
      </c>
      <c r="H139">
        <v>4.2</v>
      </c>
      <c r="I139">
        <v>5.5</v>
      </c>
      <c r="J139">
        <f t="shared" si="12"/>
        <v>1108.4000000000001</v>
      </c>
      <c r="K139">
        <f t="shared" si="13"/>
        <v>48.4</v>
      </c>
      <c r="M139">
        <v>0.3</v>
      </c>
      <c r="N139">
        <v>0.2</v>
      </c>
      <c r="O139">
        <f t="shared" si="18"/>
        <v>9.9999999999999978E-2</v>
      </c>
      <c r="Q139">
        <v>103</v>
      </c>
      <c r="R139">
        <v>1</v>
      </c>
      <c r="S139">
        <f t="shared" si="10"/>
        <v>0.2</v>
      </c>
      <c r="T139">
        <f t="shared" si="11"/>
        <v>9.9999999999999978E-2</v>
      </c>
      <c r="U139" s="14">
        <f t="shared" si="14"/>
        <v>45.097283950617296</v>
      </c>
      <c r="W139">
        <v>77.2</v>
      </c>
      <c r="X139">
        <f t="shared" si="15"/>
        <v>70220.3</v>
      </c>
      <c r="Y139">
        <f t="shared" si="16"/>
        <v>8011.8</v>
      </c>
      <c r="Z139">
        <v>8.2188171621872232</v>
      </c>
    </row>
    <row r="140" spans="1:27" x14ac:dyDescent="0.25">
      <c r="A140">
        <v>5320</v>
      </c>
      <c r="B140">
        <v>23210</v>
      </c>
      <c r="C140" s="1">
        <v>42717</v>
      </c>
      <c r="F140" s="35"/>
      <c r="G140">
        <v>6</v>
      </c>
      <c r="H140">
        <v>4.9000000000000004</v>
      </c>
      <c r="I140">
        <v>10.1</v>
      </c>
      <c r="J140">
        <f t="shared" si="12"/>
        <v>1114.4000000000001</v>
      </c>
      <c r="K140">
        <f t="shared" si="13"/>
        <v>54.4</v>
      </c>
      <c r="M140">
        <v>0</v>
      </c>
      <c r="N140">
        <v>0.8</v>
      </c>
      <c r="O140">
        <f t="shared" si="18"/>
        <v>-0.8</v>
      </c>
      <c r="Q140">
        <v>104</v>
      </c>
      <c r="R140">
        <v>1</v>
      </c>
      <c r="S140">
        <f t="shared" si="10"/>
        <v>0.8</v>
      </c>
      <c r="T140">
        <f t="shared" si="11"/>
        <v>-0.8</v>
      </c>
      <c r="U140" s="14">
        <f t="shared" si="14"/>
        <v>44.297283950617299</v>
      </c>
      <c r="W140">
        <v>257.10000000000002</v>
      </c>
      <c r="X140">
        <f t="shared" si="15"/>
        <v>70477.400000000009</v>
      </c>
      <c r="Y140">
        <f t="shared" si="16"/>
        <v>8268.9</v>
      </c>
      <c r="Z140">
        <v>8.2088361447858578</v>
      </c>
    </row>
    <row r="141" spans="1:27" x14ac:dyDescent="0.25">
      <c r="A141">
        <v>5320</v>
      </c>
      <c r="B141">
        <v>23210</v>
      </c>
      <c r="C141" s="1">
        <v>42718</v>
      </c>
      <c r="E141">
        <v>15</v>
      </c>
      <c r="F141" s="35"/>
      <c r="G141">
        <v>3.2</v>
      </c>
      <c r="H141">
        <v>-0.3</v>
      </c>
      <c r="I141">
        <v>7.1</v>
      </c>
      <c r="J141">
        <f t="shared" si="12"/>
        <v>1117.6000000000001</v>
      </c>
      <c r="K141">
        <f t="shared" si="13"/>
        <v>57.6</v>
      </c>
      <c r="M141">
        <v>0</v>
      </c>
      <c r="N141">
        <v>0.6</v>
      </c>
      <c r="O141">
        <f t="shared" si="18"/>
        <v>-0.6</v>
      </c>
      <c r="Q141">
        <v>105</v>
      </c>
      <c r="R141">
        <v>1</v>
      </c>
      <c r="S141">
        <f t="shared" si="10"/>
        <v>0.6</v>
      </c>
      <c r="T141">
        <f t="shared" si="11"/>
        <v>-0.6</v>
      </c>
      <c r="U141" s="14">
        <f t="shared" si="14"/>
        <v>43.697283950617297</v>
      </c>
      <c r="W141">
        <v>699.5</v>
      </c>
      <c r="X141">
        <f t="shared" si="15"/>
        <v>71176.900000000009</v>
      </c>
      <c r="Y141">
        <f t="shared" si="16"/>
        <v>8968.4</v>
      </c>
      <c r="Z141">
        <v>8.2002143378120582</v>
      </c>
    </row>
    <row r="142" spans="1:27" x14ac:dyDescent="0.25">
      <c r="A142">
        <v>5320</v>
      </c>
      <c r="B142">
        <v>23210</v>
      </c>
      <c r="C142" s="1">
        <v>42719</v>
      </c>
      <c r="E142">
        <v>16</v>
      </c>
      <c r="F142" s="35"/>
      <c r="G142">
        <v>2.8</v>
      </c>
      <c r="H142">
        <v>-0.7</v>
      </c>
      <c r="I142">
        <v>5.2</v>
      </c>
      <c r="J142">
        <f t="shared" si="12"/>
        <v>1120.4000000000001</v>
      </c>
      <c r="K142">
        <f t="shared" si="13"/>
        <v>60.4</v>
      </c>
      <c r="M142">
        <v>0</v>
      </c>
      <c r="N142">
        <v>0.3</v>
      </c>
      <c r="O142">
        <f t="shared" si="18"/>
        <v>-0.3</v>
      </c>
      <c r="Q142">
        <v>106</v>
      </c>
      <c r="R142">
        <v>1</v>
      </c>
      <c r="S142">
        <f t="shared" si="10"/>
        <v>0.3</v>
      </c>
      <c r="T142">
        <f t="shared" si="11"/>
        <v>-0.3</v>
      </c>
      <c r="U142" s="14">
        <f t="shared" si="14"/>
        <v>43.3972839506173</v>
      </c>
      <c r="W142">
        <v>238.6</v>
      </c>
      <c r="X142">
        <f t="shared" si="15"/>
        <v>71415.500000000015</v>
      </c>
      <c r="Y142">
        <f t="shared" si="16"/>
        <v>9207</v>
      </c>
      <c r="Z142">
        <v>8.1929594579470635</v>
      </c>
    </row>
    <row r="143" spans="1:27" x14ac:dyDescent="0.25">
      <c r="A143">
        <v>5320</v>
      </c>
      <c r="B143">
        <v>23210</v>
      </c>
      <c r="C143" s="1">
        <v>42720</v>
      </c>
      <c r="F143" s="35"/>
      <c r="G143">
        <v>5.2</v>
      </c>
      <c r="H143">
        <v>2.4</v>
      </c>
      <c r="I143">
        <v>10.6</v>
      </c>
      <c r="J143">
        <f t="shared" si="12"/>
        <v>1125.6000000000001</v>
      </c>
      <c r="K143">
        <f t="shared" si="13"/>
        <v>65.599999999999994</v>
      </c>
      <c r="M143">
        <v>0</v>
      </c>
      <c r="N143">
        <v>0.7</v>
      </c>
      <c r="O143">
        <f t="shared" si="18"/>
        <v>-0.7</v>
      </c>
      <c r="Q143">
        <v>107</v>
      </c>
      <c r="R143">
        <v>1</v>
      </c>
      <c r="S143">
        <f t="shared" si="10"/>
        <v>0.7</v>
      </c>
      <c r="T143">
        <f t="shared" si="11"/>
        <v>-0.7</v>
      </c>
      <c r="U143" s="14">
        <f t="shared" si="14"/>
        <v>42.697283950617297</v>
      </c>
      <c r="W143">
        <v>455</v>
      </c>
      <c r="X143">
        <f t="shared" si="15"/>
        <v>71870.500000000015</v>
      </c>
      <c r="Y143">
        <f t="shared" si="16"/>
        <v>9662</v>
      </c>
      <c r="Z143">
        <v>8.1870780293705305</v>
      </c>
    </row>
    <row r="144" spans="1:27" x14ac:dyDescent="0.25">
      <c r="A144">
        <v>5320</v>
      </c>
      <c r="B144">
        <v>23210</v>
      </c>
      <c r="C144" s="1">
        <v>42721</v>
      </c>
      <c r="E144">
        <v>17</v>
      </c>
      <c r="F144" s="35"/>
      <c r="G144">
        <v>2.4</v>
      </c>
      <c r="H144">
        <v>-1.2</v>
      </c>
      <c r="I144">
        <v>6.2</v>
      </c>
      <c r="J144">
        <f t="shared" si="12"/>
        <v>1128.0000000000002</v>
      </c>
      <c r="K144">
        <f t="shared" si="13"/>
        <v>68</v>
      </c>
      <c r="M144">
        <v>0.3</v>
      </c>
      <c r="N144">
        <v>0.6</v>
      </c>
      <c r="O144">
        <f t="shared" si="18"/>
        <v>-0.3</v>
      </c>
      <c r="Q144">
        <v>108</v>
      </c>
      <c r="R144">
        <v>1</v>
      </c>
      <c r="S144">
        <f t="shared" si="10"/>
        <v>0.6</v>
      </c>
      <c r="T144">
        <f t="shared" si="11"/>
        <v>-0.3</v>
      </c>
      <c r="U144" s="14">
        <f t="shared" si="14"/>
        <v>42.3972839506173</v>
      </c>
      <c r="W144">
        <v>535.9</v>
      </c>
      <c r="X144">
        <f t="shared" si="15"/>
        <v>72406.400000000009</v>
      </c>
      <c r="Y144">
        <f t="shared" si="16"/>
        <v>10197.9</v>
      </c>
      <c r="Z144">
        <v>8.1825753619756654</v>
      </c>
    </row>
    <row r="145" spans="1:26" x14ac:dyDescent="0.25">
      <c r="A145">
        <v>5320</v>
      </c>
      <c r="B145">
        <v>23210</v>
      </c>
      <c r="C145" s="1">
        <v>42722</v>
      </c>
      <c r="E145">
        <v>18</v>
      </c>
      <c r="F145" s="35"/>
      <c r="G145">
        <v>1.7</v>
      </c>
      <c r="H145">
        <v>0.8</v>
      </c>
      <c r="I145">
        <v>2.6</v>
      </c>
      <c r="J145">
        <f t="shared" si="12"/>
        <v>1129.7000000000003</v>
      </c>
      <c r="K145">
        <f t="shared" si="13"/>
        <v>69.7</v>
      </c>
      <c r="M145">
        <v>0.1</v>
      </c>
      <c r="N145">
        <v>0.2</v>
      </c>
      <c r="O145">
        <f t="shared" si="18"/>
        <v>-0.1</v>
      </c>
      <c r="Q145">
        <v>109</v>
      </c>
      <c r="R145">
        <v>1</v>
      </c>
      <c r="S145">
        <f t="shared" si="10"/>
        <v>0.2</v>
      </c>
      <c r="T145">
        <f t="shared" si="11"/>
        <v>-0.1</v>
      </c>
      <c r="U145" s="14">
        <f t="shared" si="14"/>
        <v>42.297283950617299</v>
      </c>
      <c r="W145">
        <v>329.4</v>
      </c>
      <c r="X145">
        <f t="shared" si="15"/>
        <v>72735.8</v>
      </c>
      <c r="Y145">
        <f t="shared" si="16"/>
        <v>10527.3</v>
      </c>
      <c r="Z145">
        <v>8.1794555335295058</v>
      </c>
    </row>
    <row r="146" spans="1:26" x14ac:dyDescent="0.25">
      <c r="A146">
        <v>5320</v>
      </c>
      <c r="B146">
        <v>23210</v>
      </c>
      <c r="C146" s="1">
        <v>42723</v>
      </c>
      <c r="E146">
        <v>19</v>
      </c>
      <c r="F146" s="35"/>
      <c r="G146">
        <v>2.7</v>
      </c>
      <c r="H146">
        <v>0.5</v>
      </c>
      <c r="I146">
        <v>3.8</v>
      </c>
      <c r="J146">
        <f t="shared" si="12"/>
        <v>1132.4000000000003</v>
      </c>
      <c r="K146">
        <f t="shared" si="13"/>
        <v>72.400000000000006</v>
      </c>
      <c r="M146">
        <v>0.1</v>
      </c>
      <c r="N146">
        <v>0.1</v>
      </c>
      <c r="O146">
        <f t="shared" si="18"/>
        <v>0</v>
      </c>
      <c r="Q146">
        <v>110</v>
      </c>
      <c r="R146">
        <v>1</v>
      </c>
      <c r="S146">
        <f t="shared" si="10"/>
        <v>0.1</v>
      </c>
      <c r="T146">
        <f t="shared" si="11"/>
        <v>0</v>
      </c>
      <c r="U146" s="14">
        <f t="shared" si="14"/>
        <v>42.297283950617299</v>
      </c>
      <c r="W146">
        <v>127.9</v>
      </c>
      <c r="X146">
        <f t="shared" si="15"/>
        <v>72863.7</v>
      </c>
      <c r="Y146">
        <f t="shared" si="16"/>
        <v>10655.199999999999</v>
      </c>
      <c r="Z146">
        <v>8.1777213759060867</v>
      </c>
    </row>
    <row r="147" spans="1:26" x14ac:dyDescent="0.25">
      <c r="A147">
        <v>5320</v>
      </c>
      <c r="B147">
        <v>23210</v>
      </c>
      <c r="C147" s="1">
        <v>42724</v>
      </c>
      <c r="E147">
        <v>20</v>
      </c>
      <c r="F147" s="35"/>
      <c r="G147">
        <v>2</v>
      </c>
      <c r="H147">
        <v>1.5</v>
      </c>
      <c r="I147">
        <v>3.4</v>
      </c>
      <c r="J147">
        <f t="shared" si="12"/>
        <v>1134.4000000000003</v>
      </c>
      <c r="K147">
        <f t="shared" si="13"/>
        <v>74.400000000000006</v>
      </c>
      <c r="M147">
        <v>0</v>
      </c>
      <c r="N147">
        <v>0.3</v>
      </c>
      <c r="O147">
        <f t="shared" si="18"/>
        <v>-0.3</v>
      </c>
      <c r="Q147">
        <v>111</v>
      </c>
      <c r="R147">
        <v>1</v>
      </c>
      <c r="S147">
        <f t="shared" si="10"/>
        <v>0.3</v>
      </c>
      <c r="T147">
        <f t="shared" si="11"/>
        <v>-0.3</v>
      </c>
      <c r="U147" s="14">
        <f t="shared" si="14"/>
        <v>41.997283950617302</v>
      </c>
      <c r="W147">
        <v>185.3</v>
      </c>
      <c r="X147">
        <f t="shared" si="15"/>
        <v>73049</v>
      </c>
      <c r="Y147">
        <f t="shared" si="16"/>
        <v>10840.499999999998</v>
      </c>
      <c r="Z147">
        <v>8.1773744654916918</v>
      </c>
    </row>
    <row r="148" spans="1:26" x14ac:dyDescent="0.25">
      <c r="A148">
        <v>5320</v>
      </c>
      <c r="B148">
        <v>23210</v>
      </c>
      <c r="C148" s="1">
        <v>42725</v>
      </c>
      <c r="E148">
        <v>21</v>
      </c>
      <c r="F148" s="35"/>
      <c r="G148">
        <v>3.2</v>
      </c>
      <c r="H148">
        <v>-1.3</v>
      </c>
      <c r="I148">
        <v>6.9</v>
      </c>
      <c r="J148">
        <f t="shared" si="12"/>
        <v>1137.6000000000004</v>
      </c>
      <c r="K148">
        <f t="shared" si="13"/>
        <v>77.600000000000009</v>
      </c>
      <c r="M148">
        <v>14.9</v>
      </c>
      <c r="N148">
        <v>0.2</v>
      </c>
      <c r="O148">
        <f t="shared" si="18"/>
        <v>14.700000000000001</v>
      </c>
      <c r="Q148">
        <v>112</v>
      </c>
      <c r="R148">
        <v>1</v>
      </c>
      <c r="S148">
        <f t="shared" si="10"/>
        <v>0.2</v>
      </c>
      <c r="T148">
        <f t="shared" si="11"/>
        <v>14.700000000000001</v>
      </c>
      <c r="U148" s="14">
        <f t="shared" si="14"/>
        <v>56.697283950617305</v>
      </c>
      <c r="W148">
        <v>158.69999999999999</v>
      </c>
      <c r="X148">
        <f t="shared" si="15"/>
        <v>73207.7</v>
      </c>
      <c r="Y148">
        <f t="shared" si="16"/>
        <v>10999.199999999999</v>
      </c>
      <c r="Z148">
        <v>8.1784151178317455</v>
      </c>
    </row>
    <row r="149" spans="1:26" x14ac:dyDescent="0.25">
      <c r="A149">
        <v>5320</v>
      </c>
      <c r="B149">
        <v>23210</v>
      </c>
      <c r="C149" s="1">
        <v>42726</v>
      </c>
      <c r="F149" s="35"/>
      <c r="G149">
        <v>6.4</v>
      </c>
      <c r="H149">
        <v>6</v>
      </c>
      <c r="I149">
        <v>7.8</v>
      </c>
      <c r="J149">
        <f t="shared" si="12"/>
        <v>1144.0000000000005</v>
      </c>
      <c r="K149">
        <f t="shared" si="13"/>
        <v>84.000000000000014</v>
      </c>
      <c r="M149">
        <v>1.3</v>
      </c>
      <c r="N149">
        <v>0.3</v>
      </c>
      <c r="O149">
        <f t="shared" si="18"/>
        <v>1</v>
      </c>
      <c r="Q149">
        <v>113</v>
      </c>
      <c r="R149">
        <v>1</v>
      </c>
      <c r="S149">
        <f t="shared" si="10"/>
        <v>0.3</v>
      </c>
      <c r="T149">
        <f t="shared" si="11"/>
        <v>1</v>
      </c>
      <c r="U149" s="14">
        <f t="shared" si="14"/>
        <v>57.697283950617305</v>
      </c>
      <c r="W149">
        <v>110.3</v>
      </c>
      <c r="X149">
        <f t="shared" si="15"/>
        <v>73318</v>
      </c>
      <c r="Y149">
        <f t="shared" si="16"/>
        <v>11109.499999999998</v>
      </c>
      <c r="Z149">
        <v>8.180842386558238</v>
      </c>
    </row>
    <row r="150" spans="1:26" x14ac:dyDescent="0.25">
      <c r="A150">
        <v>5320</v>
      </c>
      <c r="B150">
        <v>23210</v>
      </c>
      <c r="C150" s="1">
        <v>42727</v>
      </c>
      <c r="E150">
        <v>22</v>
      </c>
      <c r="F150" s="35"/>
      <c r="G150">
        <v>5</v>
      </c>
      <c r="H150">
        <v>2.7</v>
      </c>
      <c r="I150">
        <v>9.1999999999999993</v>
      </c>
      <c r="J150">
        <f t="shared" si="12"/>
        <v>1149.0000000000005</v>
      </c>
      <c r="K150">
        <f t="shared" si="13"/>
        <v>89.000000000000014</v>
      </c>
      <c r="M150">
        <v>0</v>
      </c>
      <c r="N150">
        <v>0.4</v>
      </c>
      <c r="O150">
        <f t="shared" si="18"/>
        <v>-0.4</v>
      </c>
      <c r="Q150">
        <v>114</v>
      </c>
      <c r="R150">
        <v>1</v>
      </c>
      <c r="S150">
        <f t="shared" si="10"/>
        <v>0.4</v>
      </c>
      <c r="T150">
        <f t="shared" si="11"/>
        <v>-0.4</v>
      </c>
      <c r="U150" s="14">
        <f t="shared" si="14"/>
        <v>57.297283950617306</v>
      </c>
      <c r="W150">
        <v>146.19999999999999</v>
      </c>
      <c r="X150">
        <f t="shared" si="15"/>
        <v>73464.2</v>
      </c>
      <c r="Y150">
        <f t="shared" si="16"/>
        <v>11255.699999999999</v>
      </c>
      <c r="Z150">
        <v>8.1846540666055017</v>
      </c>
    </row>
    <row r="151" spans="1:26" x14ac:dyDescent="0.25">
      <c r="A151">
        <v>5320</v>
      </c>
      <c r="B151">
        <v>23210</v>
      </c>
      <c r="C151" s="1">
        <v>42728</v>
      </c>
      <c r="F151" s="35"/>
      <c r="G151">
        <v>7.6</v>
      </c>
      <c r="H151">
        <v>5.9</v>
      </c>
      <c r="I151">
        <v>9.1</v>
      </c>
      <c r="J151">
        <f t="shared" si="12"/>
        <v>1156.6000000000004</v>
      </c>
      <c r="K151">
        <f t="shared" si="13"/>
        <v>96.600000000000009</v>
      </c>
      <c r="M151">
        <v>0</v>
      </c>
      <c r="N151">
        <v>0.2</v>
      </c>
      <c r="O151">
        <f t="shared" si="18"/>
        <v>-0.2</v>
      </c>
      <c r="Q151">
        <v>115</v>
      </c>
      <c r="R151">
        <v>1</v>
      </c>
      <c r="S151">
        <f t="shared" si="10"/>
        <v>0.2</v>
      </c>
      <c r="T151">
        <f t="shared" si="11"/>
        <v>-0.2</v>
      </c>
      <c r="U151" s="14">
        <f t="shared" si="14"/>
        <v>57.097283950617303</v>
      </c>
      <c r="W151">
        <v>328.4</v>
      </c>
      <c r="X151">
        <f t="shared" si="15"/>
        <v>73792.599999999991</v>
      </c>
      <c r="Y151">
        <f t="shared" si="16"/>
        <v>11584.099999999999</v>
      </c>
      <c r="Z151">
        <v>8.1898467016909109</v>
      </c>
    </row>
    <row r="152" spans="1:26" x14ac:dyDescent="0.25">
      <c r="A152">
        <v>5320</v>
      </c>
      <c r="B152">
        <v>23210</v>
      </c>
      <c r="C152" s="1">
        <v>42729</v>
      </c>
      <c r="F152" s="35"/>
      <c r="G152">
        <v>8.6</v>
      </c>
      <c r="H152">
        <v>6.1</v>
      </c>
      <c r="I152">
        <v>10</v>
      </c>
      <c r="J152">
        <f t="shared" si="12"/>
        <v>1165.2000000000003</v>
      </c>
      <c r="K152">
        <f t="shared" si="13"/>
        <v>105.2</v>
      </c>
      <c r="M152">
        <v>0.4</v>
      </c>
      <c r="N152">
        <v>0.3</v>
      </c>
      <c r="O152">
        <f t="shared" si="18"/>
        <v>0.10000000000000003</v>
      </c>
      <c r="Q152">
        <v>116</v>
      </c>
      <c r="R152">
        <v>1</v>
      </c>
      <c r="S152">
        <f t="shared" si="10"/>
        <v>0.3</v>
      </c>
      <c r="T152">
        <f t="shared" si="11"/>
        <v>0.10000000000000003</v>
      </c>
      <c r="U152" s="14">
        <f t="shared" si="14"/>
        <v>57.197283950617305</v>
      </c>
      <c r="W152">
        <v>95.2</v>
      </c>
      <c r="X152">
        <f t="shared" si="15"/>
        <v>73887.799999999988</v>
      </c>
      <c r="Y152">
        <f t="shared" si="16"/>
        <v>11679.3</v>
      </c>
      <c r="Z152">
        <v>8.1964155960062683</v>
      </c>
    </row>
    <row r="153" spans="1:26" x14ac:dyDescent="0.25">
      <c r="A153">
        <v>5320</v>
      </c>
      <c r="B153">
        <v>23210</v>
      </c>
      <c r="C153" s="1">
        <v>42730</v>
      </c>
      <c r="F153" s="35"/>
      <c r="G153">
        <v>8.1999999999999993</v>
      </c>
      <c r="H153">
        <v>5.9</v>
      </c>
      <c r="I153">
        <v>11.6</v>
      </c>
      <c r="J153">
        <f t="shared" si="12"/>
        <v>1173.4000000000003</v>
      </c>
      <c r="K153">
        <f t="shared" si="13"/>
        <v>113.4</v>
      </c>
      <c r="M153">
        <v>0.1</v>
      </c>
      <c r="N153">
        <v>0.3</v>
      </c>
      <c r="O153">
        <f t="shared" si="18"/>
        <v>-0.19999999999999998</v>
      </c>
      <c r="Q153">
        <v>117</v>
      </c>
      <c r="R153">
        <v>1</v>
      </c>
      <c r="S153">
        <f t="shared" si="10"/>
        <v>0.3</v>
      </c>
      <c r="T153">
        <f t="shared" si="11"/>
        <v>-0.19999999999999998</v>
      </c>
      <c r="U153" s="14">
        <f t="shared" si="14"/>
        <v>56.997283950617302</v>
      </c>
      <c r="W153">
        <v>121.4</v>
      </c>
      <c r="X153">
        <f t="shared" si="15"/>
        <v>74009.199999999983</v>
      </c>
      <c r="Y153">
        <f t="shared" si="16"/>
        <v>11800.699999999999</v>
      </c>
      <c r="Z153">
        <v>8.2043548300352942</v>
      </c>
    </row>
    <row r="154" spans="1:26" x14ac:dyDescent="0.25">
      <c r="A154">
        <v>5320</v>
      </c>
      <c r="B154">
        <v>23210</v>
      </c>
      <c r="C154" s="1">
        <v>42731</v>
      </c>
      <c r="E154">
        <v>23</v>
      </c>
      <c r="F154" s="35"/>
      <c r="G154">
        <v>2.6</v>
      </c>
      <c r="H154">
        <v>0.1</v>
      </c>
      <c r="I154">
        <v>5.6</v>
      </c>
      <c r="J154">
        <f t="shared" si="12"/>
        <v>1176.0000000000002</v>
      </c>
      <c r="K154">
        <f t="shared" si="13"/>
        <v>116</v>
      </c>
      <c r="M154">
        <v>0.1</v>
      </c>
      <c r="N154">
        <v>0.5</v>
      </c>
      <c r="O154">
        <f t="shared" si="18"/>
        <v>-0.4</v>
      </c>
      <c r="Q154">
        <v>118</v>
      </c>
      <c r="R154">
        <v>1</v>
      </c>
      <c r="S154">
        <f t="shared" si="10"/>
        <v>0.5</v>
      </c>
      <c r="T154">
        <f t="shared" si="11"/>
        <v>-0.4</v>
      </c>
      <c r="U154" s="14">
        <f t="shared" si="14"/>
        <v>56.597283950617303</v>
      </c>
      <c r="W154">
        <v>676.7</v>
      </c>
      <c r="X154">
        <f t="shared" si="15"/>
        <v>74685.89999999998</v>
      </c>
      <c r="Y154">
        <f t="shared" si="16"/>
        <v>12477.4</v>
      </c>
      <c r="Z154">
        <v>8.213657280383595</v>
      </c>
    </row>
    <row r="155" spans="1:26" x14ac:dyDescent="0.25">
      <c r="A155">
        <v>5320</v>
      </c>
      <c r="B155">
        <v>23210</v>
      </c>
      <c r="C155" s="1">
        <v>42732</v>
      </c>
      <c r="E155">
        <v>24</v>
      </c>
      <c r="F155" s="35"/>
      <c r="G155">
        <v>1.7</v>
      </c>
      <c r="H155">
        <v>-0.1</v>
      </c>
      <c r="I155">
        <v>4</v>
      </c>
      <c r="J155">
        <f t="shared" si="12"/>
        <v>1177.7000000000003</v>
      </c>
      <c r="K155">
        <f t="shared" si="13"/>
        <v>117.7</v>
      </c>
      <c r="M155">
        <v>0.1</v>
      </c>
      <c r="N155">
        <v>0.6</v>
      </c>
      <c r="O155">
        <f t="shared" si="18"/>
        <v>-0.5</v>
      </c>
      <c r="Q155">
        <v>119</v>
      </c>
      <c r="R155">
        <v>1</v>
      </c>
      <c r="S155">
        <f t="shared" si="10"/>
        <v>0.6</v>
      </c>
      <c r="T155">
        <f t="shared" si="11"/>
        <v>-0.5</v>
      </c>
      <c r="U155" s="14">
        <f t="shared" si="14"/>
        <v>56.097283950617303</v>
      </c>
      <c r="W155">
        <v>591.4</v>
      </c>
      <c r="X155">
        <f t="shared" si="15"/>
        <v>75277.299999999974</v>
      </c>
      <c r="Y155">
        <f t="shared" si="16"/>
        <v>13068.8</v>
      </c>
      <c r="Z155">
        <v>8.2243146434797385</v>
      </c>
    </row>
    <row r="156" spans="1:26" x14ac:dyDescent="0.25">
      <c r="A156">
        <v>5320</v>
      </c>
      <c r="B156">
        <v>23210</v>
      </c>
      <c r="C156" s="1">
        <v>42733</v>
      </c>
      <c r="E156">
        <v>25</v>
      </c>
      <c r="F156" s="35"/>
      <c r="G156">
        <v>-1.6</v>
      </c>
      <c r="H156">
        <v>-2.1</v>
      </c>
      <c r="I156">
        <v>-1.3</v>
      </c>
      <c r="J156">
        <v>1177.7</v>
      </c>
      <c r="K156">
        <v>117.7</v>
      </c>
      <c r="M156">
        <v>0</v>
      </c>
      <c r="N156">
        <v>0.3</v>
      </c>
      <c r="O156">
        <f t="shared" si="18"/>
        <v>-0.3</v>
      </c>
      <c r="Q156">
        <v>120</v>
      </c>
      <c r="R156">
        <v>1</v>
      </c>
      <c r="S156">
        <f t="shared" si="10"/>
        <v>0.3</v>
      </c>
      <c r="T156">
        <f t="shared" si="11"/>
        <v>-0.3</v>
      </c>
      <c r="U156" s="14">
        <f t="shared" si="14"/>
        <v>55.797283950617306</v>
      </c>
      <c r="W156">
        <v>365.1</v>
      </c>
      <c r="X156">
        <f t="shared" si="15"/>
        <v>75642.39999999998</v>
      </c>
      <c r="Y156">
        <f t="shared" si="16"/>
        <v>13433.9</v>
      </c>
      <c r="Z156">
        <v>8.2363174629801126</v>
      </c>
    </row>
    <row r="157" spans="1:26" x14ac:dyDescent="0.25">
      <c r="A157">
        <v>5320</v>
      </c>
      <c r="B157">
        <v>23210</v>
      </c>
      <c r="C157" s="1">
        <v>42734</v>
      </c>
      <c r="E157">
        <v>26</v>
      </c>
      <c r="F157" s="35"/>
      <c r="G157">
        <v>-3.3</v>
      </c>
      <c r="H157">
        <v>-3.8</v>
      </c>
      <c r="I157">
        <v>-3.1</v>
      </c>
      <c r="J157">
        <v>1177.7</v>
      </c>
      <c r="K157">
        <v>117.7</v>
      </c>
      <c r="M157">
        <v>0</v>
      </c>
      <c r="N157">
        <v>0.3</v>
      </c>
      <c r="O157">
        <f t="shared" si="18"/>
        <v>-0.3</v>
      </c>
      <c r="Q157">
        <v>121</v>
      </c>
      <c r="R157">
        <v>1</v>
      </c>
      <c r="S157">
        <f t="shared" si="10"/>
        <v>0.3</v>
      </c>
      <c r="T157">
        <f t="shared" si="11"/>
        <v>-0.3</v>
      </c>
      <c r="U157" s="14">
        <f t="shared" si="14"/>
        <v>55.497283950617309</v>
      </c>
      <c r="W157">
        <v>385.4</v>
      </c>
      <c r="X157">
        <f t="shared" si="15"/>
        <v>76027.799999999974</v>
      </c>
      <c r="Y157">
        <f t="shared" si="16"/>
        <v>13819.3</v>
      </c>
      <c r="Z157">
        <v>8.2496551606862898</v>
      </c>
    </row>
    <row r="158" spans="1:26" x14ac:dyDescent="0.25">
      <c r="A158">
        <v>5320</v>
      </c>
      <c r="B158">
        <v>23210</v>
      </c>
      <c r="C158" s="1">
        <v>42735</v>
      </c>
      <c r="E158">
        <v>27</v>
      </c>
      <c r="F158" s="35"/>
      <c r="G158">
        <v>-4</v>
      </c>
      <c r="H158">
        <v>-4.5999999999999996</v>
      </c>
      <c r="I158">
        <v>-3.7</v>
      </c>
      <c r="J158">
        <v>1177.7</v>
      </c>
      <c r="K158">
        <v>117.7</v>
      </c>
      <c r="M158">
        <v>0.1</v>
      </c>
      <c r="N158">
        <v>0.2</v>
      </c>
      <c r="O158">
        <f t="shared" si="18"/>
        <v>-0.1</v>
      </c>
      <c r="Q158">
        <v>122</v>
      </c>
      <c r="R158">
        <v>1</v>
      </c>
      <c r="S158">
        <f t="shared" si="10"/>
        <v>0.2</v>
      </c>
      <c r="T158">
        <f t="shared" si="11"/>
        <v>-0.1</v>
      </c>
      <c r="U158" s="14">
        <f t="shared" si="14"/>
        <v>55.397283950617307</v>
      </c>
      <c r="W158">
        <v>386.3</v>
      </c>
      <c r="X158">
        <f t="shared" si="15"/>
        <v>76414.099999999977</v>
      </c>
      <c r="Y158">
        <f t="shared" si="16"/>
        <v>14205.599999999999</v>
      </c>
      <c r="Z158">
        <v>8.2643160707621295</v>
      </c>
    </row>
    <row r="159" spans="1:26" x14ac:dyDescent="0.25">
      <c r="A159">
        <v>5320</v>
      </c>
      <c r="B159">
        <v>23210</v>
      </c>
      <c r="C159" s="1">
        <v>42736</v>
      </c>
      <c r="E159">
        <v>28</v>
      </c>
      <c r="F159" s="35"/>
      <c r="G159">
        <v>-2</v>
      </c>
      <c r="H159">
        <v>-4</v>
      </c>
      <c r="I159">
        <v>0.5</v>
      </c>
      <c r="J159">
        <v>1177.7</v>
      </c>
      <c r="K159">
        <v>117.7</v>
      </c>
      <c r="M159">
        <v>0.2</v>
      </c>
      <c r="N159">
        <v>0.2</v>
      </c>
      <c r="O159">
        <f t="shared" si="18"/>
        <v>0</v>
      </c>
      <c r="Q159">
        <v>123</v>
      </c>
      <c r="R159">
        <v>1</v>
      </c>
      <c r="S159">
        <f t="shared" si="10"/>
        <v>0.2</v>
      </c>
      <c r="T159">
        <f t="shared" si="11"/>
        <v>0</v>
      </c>
      <c r="U159" s="14">
        <f t="shared" si="14"/>
        <v>55.397283950617307</v>
      </c>
      <c r="W159">
        <v>213.5</v>
      </c>
      <c r="X159">
        <f t="shared" si="15"/>
        <v>76627.599999999977</v>
      </c>
      <c r="Y159">
        <f t="shared" si="16"/>
        <v>14419.099999999999</v>
      </c>
      <c r="Z159">
        <v>8.2643160707621277</v>
      </c>
    </row>
    <row r="160" spans="1:26" x14ac:dyDescent="0.25">
      <c r="A160">
        <v>5320</v>
      </c>
      <c r="B160">
        <v>23210</v>
      </c>
      <c r="C160" s="1">
        <v>42737</v>
      </c>
      <c r="E160">
        <v>29</v>
      </c>
      <c r="F160" s="35"/>
      <c r="G160">
        <v>0.7</v>
      </c>
      <c r="H160">
        <v>-0.5</v>
      </c>
      <c r="I160">
        <v>1.7</v>
      </c>
      <c r="J160">
        <f t="shared" si="12"/>
        <v>1178.4000000000001</v>
      </c>
      <c r="K160">
        <f t="shared" si="13"/>
        <v>118.4</v>
      </c>
      <c r="M160">
        <v>0.1</v>
      </c>
      <c r="N160">
        <v>0.1</v>
      </c>
      <c r="O160">
        <f t="shared" si="18"/>
        <v>0</v>
      </c>
      <c r="Q160">
        <v>124</v>
      </c>
      <c r="R160">
        <v>1</v>
      </c>
      <c r="S160">
        <f t="shared" si="10"/>
        <v>0.1</v>
      </c>
      <c r="T160">
        <f t="shared" si="11"/>
        <v>0</v>
      </c>
      <c r="U160" s="14">
        <f t="shared" si="14"/>
        <v>55.397283950617307</v>
      </c>
      <c r="W160">
        <v>144.6</v>
      </c>
      <c r="X160">
        <f t="shared" si="15"/>
        <v>76772.199999999983</v>
      </c>
      <c r="Y160">
        <f t="shared" si="16"/>
        <v>14563.699999999999</v>
      </c>
      <c r="Z160">
        <v>8.2802874770186481</v>
      </c>
    </row>
    <row r="161" spans="1:26" x14ac:dyDescent="0.25">
      <c r="A161">
        <v>5320</v>
      </c>
      <c r="B161">
        <v>23210</v>
      </c>
      <c r="C161" s="1">
        <v>42738</v>
      </c>
      <c r="E161">
        <v>30</v>
      </c>
      <c r="F161" s="35"/>
      <c r="G161">
        <v>-1.1000000000000001</v>
      </c>
      <c r="H161">
        <v>-1.3</v>
      </c>
      <c r="I161">
        <v>-0.8</v>
      </c>
      <c r="J161">
        <v>1178.4000000000001</v>
      </c>
      <c r="K161">
        <v>118.4</v>
      </c>
      <c r="M161">
        <v>0</v>
      </c>
      <c r="N161">
        <v>0.2</v>
      </c>
      <c r="O161">
        <f t="shared" si="18"/>
        <v>-0.2</v>
      </c>
      <c r="Q161">
        <v>125</v>
      </c>
      <c r="R161">
        <v>1</v>
      </c>
      <c r="S161">
        <f t="shared" si="10"/>
        <v>0.2</v>
      </c>
      <c r="T161">
        <f t="shared" si="11"/>
        <v>-0.2</v>
      </c>
      <c r="U161" s="14">
        <f t="shared" si="14"/>
        <v>55.197283950617305</v>
      </c>
      <c r="W161">
        <v>194.9</v>
      </c>
      <c r="X161">
        <f t="shared" si="15"/>
        <v>76967.099999999977</v>
      </c>
      <c r="Y161">
        <f t="shared" si="16"/>
        <v>14758.599999999999</v>
      </c>
      <c r="Z161">
        <v>8.2975556530184242</v>
      </c>
    </row>
    <row r="162" spans="1:26" x14ac:dyDescent="0.25">
      <c r="A162">
        <v>5320</v>
      </c>
      <c r="B162">
        <v>23210</v>
      </c>
      <c r="C162" s="1">
        <v>42739</v>
      </c>
      <c r="E162">
        <v>31</v>
      </c>
      <c r="F162" s="35"/>
      <c r="G162">
        <v>0.2</v>
      </c>
      <c r="H162">
        <v>-2.1</v>
      </c>
      <c r="I162">
        <v>2.4</v>
      </c>
      <c r="J162">
        <f t="shared" si="12"/>
        <v>1178.6000000000001</v>
      </c>
      <c r="K162">
        <f t="shared" si="13"/>
        <v>118.60000000000001</v>
      </c>
      <c r="M162">
        <v>0.1</v>
      </c>
      <c r="N162">
        <v>0.1</v>
      </c>
      <c r="O162">
        <f t="shared" si="18"/>
        <v>0</v>
      </c>
      <c r="Q162">
        <v>126</v>
      </c>
      <c r="R162">
        <v>1</v>
      </c>
      <c r="S162">
        <f t="shared" si="10"/>
        <v>0.1</v>
      </c>
      <c r="T162">
        <f t="shared" si="11"/>
        <v>0</v>
      </c>
      <c r="U162" s="14">
        <f t="shared" si="14"/>
        <v>55.197283950617305</v>
      </c>
      <c r="W162">
        <v>132.69999999999999</v>
      </c>
      <c r="X162">
        <f t="shared" si="15"/>
        <v>77099.799999999974</v>
      </c>
      <c r="Y162">
        <f t="shared" si="16"/>
        <v>14891.3</v>
      </c>
      <c r="Z162">
        <v>8.3161059047375705</v>
      </c>
    </row>
    <row r="163" spans="1:26" x14ac:dyDescent="0.25">
      <c r="A163">
        <v>5320</v>
      </c>
      <c r="B163">
        <v>23210</v>
      </c>
      <c r="C163" s="1">
        <v>42740</v>
      </c>
      <c r="E163">
        <v>32</v>
      </c>
      <c r="F163" s="35"/>
      <c r="G163">
        <v>1.3</v>
      </c>
      <c r="H163">
        <v>-1.2</v>
      </c>
      <c r="I163">
        <v>4.4000000000000004</v>
      </c>
      <c r="J163">
        <f t="shared" si="12"/>
        <v>1179.9000000000001</v>
      </c>
      <c r="K163">
        <f t="shared" si="13"/>
        <v>119.9</v>
      </c>
      <c r="M163">
        <v>0</v>
      </c>
      <c r="N163">
        <v>0.3</v>
      </c>
      <c r="O163">
        <f t="shared" si="18"/>
        <v>-0.3</v>
      </c>
      <c r="Q163">
        <v>127</v>
      </c>
      <c r="R163">
        <v>1</v>
      </c>
      <c r="S163">
        <f t="shared" si="10"/>
        <v>0.3</v>
      </c>
      <c r="T163">
        <f t="shared" si="11"/>
        <v>-0.3</v>
      </c>
      <c r="U163" s="14">
        <f t="shared" si="14"/>
        <v>54.897283950617307</v>
      </c>
      <c r="W163">
        <v>521.4</v>
      </c>
      <c r="X163">
        <f t="shared" si="15"/>
        <v>77621.199999999968</v>
      </c>
      <c r="Y163">
        <f t="shared" si="16"/>
        <v>15412.699999999999</v>
      </c>
      <c r="Z163">
        <v>8.3359226155127928</v>
      </c>
    </row>
    <row r="164" spans="1:26" x14ac:dyDescent="0.25">
      <c r="A164">
        <v>5320</v>
      </c>
      <c r="B164">
        <v>23210</v>
      </c>
      <c r="C164" s="1">
        <v>42741</v>
      </c>
      <c r="E164">
        <v>33</v>
      </c>
      <c r="F164" s="35"/>
      <c r="G164">
        <v>-1.4</v>
      </c>
      <c r="H164">
        <v>-2.5</v>
      </c>
      <c r="I164">
        <v>0.8</v>
      </c>
      <c r="J164">
        <v>1179.9000000000001</v>
      </c>
      <c r="K164">
        <v>119.9</v>
      </c>
      <c r="M164">
        <v>0</v>
      </c>
      <c r="N164">
        <v>0.5</v>
      </c>
      <c r="O164">
        <f t="shared" si="18"/>
        <v>-0.5</v>
      </c>
      <c r="Q164">
        <v>128</v>
      </c>
      <c r="R164">
        <v>1</v>
      </c>
      <c r="S164">
        <f t="shared" si="10"/>
        <v>0.5</v>
      </c>
      <c r="T164">
        <f t="shared" si="11"/>
        <v>-0.5</v>
      </c>
      <c r="U164" s="14">
        <f t="shared" si="14"/>
        <v>54.397283950617307</v>
      </c>
      <c r="W164">
        <v>673.1</v>
      </c>
      <c r="X164">
        <f t="shared" si="15"/>
        <v>78294.299999999974</v>
      </c>
      <c r="Y164">
        <f t="shared" si="16"/>
        <v>16085.8</v>
      </c>
      <c r="Z164">
        <v>8.3569892929930631</v>
      </c>
    </row>
    <row r="165" spans="1:26" x14ac:dyDescent="0.25">
      <c r="A165">
        <v>5320</v>
      </c>
      <c r="B165">
        <v>23210</v>
      </c>
      <c r="C165" s="1">
        <v>42742</v>
      </c>
      <c r="E165">
        <v>34</v>
      </c>
      <c r="F165" s="35"/>
      <c r="G165">
        <v>-1.8</v>
      </c>
      <c r="H165">
        <v>-5</v>
      </c>
      <c r="I165">
        <v>1.4</v>
      </c>
      <c r="J165">
        <v>1179.9000000000001</v>
      </c>
      <c r="K165">
        <v>119.9</v>
      </c>
      <c r="M165">
        <v>1.4</v>
      </c>
      <c r="N165">
        <v>0.4</v>
      </c>
      <c r="O165">
        <f t="shared" si="18"/>
        <v>0.99999999999999989</v>
      </c>
      <c r="Q165">
        <v>129</v>
      </c>
      <c r="R165">
        <v>1</v>
      </c>
      <c r="S165">
        <f t="shared" si="10"/>
        <v>0.4</v>
      </c>
      <c r="T165">
        <f t="shared" si="11"/>
        <v>0.99999999999999989</v>
      </c>
      <c r="U165" s="14">
        <f t="shared" si="14"/>
        <v>55.397283950617307</v>
      </c>
      <c r="W165">
        <v>180.4</v>
      </c>
      <c r="X165">
        <f t="shared" si="15"/>
        <v>78474.699999999968</v>
      </c>
      <c r="Y165">
        <f t="shared" si="16"/>
        <v>16266.199999999999</v>
      </c>
      <c r="Z165">
        <v>8.3792886178106194</v>
      </c>
    </row>
    <row r="166" spans="1:26" x14ac:dyDescent="0.25">
      <c r="A166">
        <v>5320</v>
      </c>
      <c r="B166">
        <v>23210</v>
      </c>
      <c r="C166" s="1">
        <v>42743</v>
      </c>
      <c r="E166">
        <v>35</v>
      </c>
      <c r="F166" s="35"/>
      <c r="G166">
        <v>3.7</v>
      </c>
      <c r="H166">
        <v>-0.2</v>
      </c>
      <c r="I166">
        <v>5.7</v>
      </c>
      <c r="J166">
        <f t="shared" si="12"/>
        <v>1183.6000000000001</v>
      </c>
      <c r="K166">
        <f t="shared" si="13"/>
        <v>123.60000000000001</v>
      </c>
      <c r="M166">
        <v>0.9</v>
      </c>
      <c r="N166">
        <v>0.2</v>
      </c>
      <c r="O166">
        <f t="shared" si="18"/>
        <v>0.7</v>
      </c>
      <c r="Q166">
        <v>130</v>
      </c>
      <c r="R166">
        <v>1</v>
      </c>
      <c r="S166">
        <f t="shared" ref="S166:S229" si="19">R166*N166</f>
        <v>0.2</v>
      </c>
      <c r="T166">
        <f t="shared" ref="T166:T229" si="20">M166-S166</f>
        <v>0.7</v>
      </c>
      <c r="U166" s="14">
        <f t="shared" si="14"/>
        <v>56.09728395061731</v>
      </c>
      <c r="W166">
        <v>160.69999999999999</v>
      </c>
      <c r="X166">
        <f t="shared" si="15"/>
        <v>78635.399999999965</v>
      </c>
      <c r="Y166">
        <f t="shared" si="16"/>
        <v>16426.899999999998</v>
      </c>
      <c r="Z166">
        <v>8.4028024936838701</v>
      </c>
    </row>
    <row r="167" spans="1:26" x14ac:dyDescent="0.25">
      <c r="A167">
        <v>5320</v>
      </c>
      <c r="B167">
        <v>23210</v>
      </c>
      <c r="C167" s="1">
        <v>42744</v>
      </c>
      <c r="F167" s="35"/>
      <c r="G167">
        <v>6.2</v>
      </c>
      <c r="H167">
        <v>4.5</v>
      </c>
      <c r="I167">
        <v>7.6</v>
      </c>
      <c r="J167">
        <f t="shared" ref="J167:J230" si="21">J166+G167</f>
        <v>1189.8000000000002</v>
      </c>
      <c r="K167">
        <f t="shared" ref="K167:K230" si="22">K166+G167</f>
        <v>129.80000000000001</v>
      </c>
      <c r="M167">
        <v>5</v>
      </c>
      <c r="N167">
        <v>0.2</v>
      </c>
      <c r="O167">
        <f t="shared" si="18"/>
        <v>4.8</v>
      </c>
      <c r="Q167">
        <v>131</v>
      </c>
      <c r="R167">
        <v>1</v>
      </c>
      <c r="S167">
        <f t="shared" si="19"/>
        <v>0.2</v>
      </c>
      <c r="T167">
        <f t="shared" si="20"/>
        <v>4.8</v>
      </c>
      <c r="U167" s="14">
        <f t="shared" ref="U167:U230" si="23">MIN(U166+T167,138.9)</f>
        <v>60.897283950617307</v>
      </c>
      <c r="W167">
        <v>126.4</v>
      </c>
      <c r="X167">
        <f t="shared" ref="X167:X230" si="24">X166+W167</f>
        <v>78761.799999999959</v>
      </c>
      <c r="Y167">
        <f t="shared" ref="Y167:Y230" si="25">Y166+W167</f>
        <v>16553.3</v>
      </c>
      <c r="Z167">
        <v>8.4275120986653143</v>
      </c>
    </row>
    <row r="168" spans="1:26" x14ac:dyDescent="0.25">
      <c r="A168">
        <v>5320</v>
      </c>
      <c r="B168">
        <v>23210</v>
      </c>
      <c r="C168" s="1">
        <v>42745</v>
      </c>
      <c r="F168" s="35"/>
      <c r="G168">
        <v>5.3</v>
      </c>
      <c r="H168">
        <v>4.7</v>
      </c>
      <c r="I168">
        <v>6.7</v>
      </c>
      <c r="J168">
        <f t="shared" si="21"/>
        <v>1195.1000000000001</v>
      </c>
      <c r="K168">
        <f t="shared" si="22"/>
        <v>135.10000000000002</v>
      </c>
      <c r="M168">
        <v>0.2</v>
      </c>
      <c r="N168">
        <v>0.3</v>
      </c>
      <c r="O168">
        <f t="shared" si="18"/>
        <v>-9.9999999999999978E-2</v>
      </c>
      <c r="Q168">
        <v>132</v>
      </c>
      <c r="R168">
        <v>1</v>
      </c>
      <c r="S168">
        <f t="shared" si="19"/>
        <v>0.3</v>
      </c>
      <c r="T168">
        <f t="shared" si="20"/>
        <v>-9.9999999999999978E-2</v>
      </c>
      <c r="U168" s="14">
        <f t="shared" si="23"/>
        <v>60.797283950617306</v>
      </c>
      <c r="W168">
        <v>299.2</v>
      </c>
      <c r="X168">
        <f t="shared" si="24"/>
        <v>79060.999999999956</v>
      </c>
      <c r="Y168">
        <f t="shared" si="25"/>
        <v>16852.5</v>
      </c>
      <c r="Z168">
        <v>8.4533979372508483</v>
      </c>
    </row>
    <row r="169" spans="1:26" x14ac:dyDescent="0.25">
      <c r="A169">
        <v>5320</v>
      </c>
      <c r="B169">
        <v>23210</v>
      </c>
      <c r="C169" s="1">
        <v>42746</v>
      </c>
      <c r="F169" s="35"/>
      <c r="G169">
        <v>6.9</v>
      </c>
      <c r="H169">
        <v>1.5</v>
      </c>
      <c r="I169">
        <v>9.3000000000000007</v>
      </c>
      <c r="J169">
        <f t="shared" si="21"/>
        <v>1202.0000000000002</v>
      </c>
      <c r="K169">
        <f t="shared" si="22"/>
        <v>142.00000000000003</v>
      </c>
      <c r="M169">
        <v>0.2</v>
      </c>
      <c r="N169">
        <v>0</v>
      </c>
      <c r="O169">
        <f t="shared" si="18"/>
        <v>0.2</v>
      </c>
      <c r="Q169">
        <v>133</v>
      </c>
      <c r="R169">
        <v>1</v>
      </c>
      <c r="S169">
        <f t="shared" si="19"/>
        <v>0</v>
      </c>
      <c r="T169">
        <f t="shared" si="20"/>
        <v>0.2</v>
      </c>
      <c r="U169" s="14">
        <f t="shared" si="23"/>
        <v>60.997283950617309</v>
      </c>
      <c r="W169">
        <v>145</v>
      </c>
      <c r="X169">
        <f t="shared" si="24"/>
        <v>79205.999999999956</v>
      </c>
      <c r="Y169">
        <f t="shared" si="25"/>
        <v>16997.5</v>
      </c>
      <c r="Z169">
        <v>8.4804398930722318</v>
      </c>
    </row>
    <row r="170" spans="1:26" x14ac:dyDescent="0.25">
      <c r="A170">
        <v>5320</v>
      </c>
      <c r="B170">
        <v>23210</v>
      </c>
      <c r="C170" s="1">
        <v>42747</v>
      </c>
      <c r="F170" s="35"/>
      <c r="G170">
        <v>6.5</v>
      </c>
      <c r="H170">
        <v>5.4</v>
      </c>
      <c r="I170">
        <v>9.5</v>
      </c>
      <c r="J170">
        <f t="shared" si="21"/>
        <v>1208.5000000000002</v>
      </c>
      <c r="K170">
        <f t="shared" si="22"/>
        <v>148.50000000000003</v>
      </c>
      <c r="M170">
        <v>7</v>
      </c>
      <c r="N170">
        <v>1</v>
      </c>
      <c r="O170">
        <f t="shared" si="18"/>
        <v>6</v>
      </c>
      <c r="Q170">
        <v>134</v>
      </c>
      <c r="R170">
        <v>1</v>
      </c>
      <c r="S170">
        <f t="shared" si="19"/>
        <v>1</v>
      </c>
      <c r="T170">
        <f t="shared" si="20"/>
        <v>6</v>
      </c>
      <c r="U170" s="14">
        <f t="shared" si="23"/>
        <v>66.997283950617316</v>
      </c>
      <c r="W170">
        <v>100</v>
      </c>
      <c r="X170">
        <f t="shared" si="24"/>
        <v>79305.999999999956</v>
      </c>
      <c r="Y170">
        <f t="shared" si="25"/>
        <v>17097.5</v>
      </c>
      <c r="Z170">
        <v>8.5086172819024348</v>
      </c>
    </row>
    <row r="171" spans="1:26" x14ac:dyDescent="0.25">
      <c r="A171">
        <v>5320</v>
      </c>
      <c r="B171">
        <v>23210</v>
      </c>
      <c r="C171" s="1">
        <v>42748</v>
      </c>
      <c r="E171">
        <v>36</v>
      </c>
      <c r="F171" s="35"/>
      <c r="G171">
        <v>3.1</v>
      </c>
      <c r="H171">
        <v>1.3</v>
      </c>
      <c r="I171">
        <v>4.7</v>
      </c>
      <c r="J171">
        <f t="shared" si="21"/>
        <v>1211.6000000000001</v>
      </c>
      <c r="K171">
        <f t="shared" si="22"/>
        <v>151.60000000000002</v>
      </c>
      <c r="M171">
        <v>0.9</v>
      </c>
      <c r="N171">
        <v>0.8</v>
      </c>
      <c r="O171">
        <f t="shared" si="18"/>
        <v>9.9999999999999978E-2</v>
      </c>
      <c r="Q171">
        <v>135</v>
      </c>
      <c r="R171">
        <v>1</v>
      </c>
      <c r="S171">
        <f t="shared" si="19"/>
        <v>0.8</v>
      </c>
      <c r="T171">
        <f t="shared" si="20"/>
        <v>9.9999999999999978E-2</v>
      </c>
      <c r="U171" s="14">
        <f t="shared" si="23"/>
        <v>67.09728395061731</v>
      </c>
      <c r="W171">
        <v>524</v>
      </c>
      <c r="X171">
        <f t="shared" si="24"/>
        <v>79829.999999999956</v>
      </c>
      <c r="Y171">
        <f t="shared" si="25"/>
        <v>17621.5</v>
      </c>
      <c r="Z171">
        <v>8.5379089047130723</v>
      </c>
    </row>
    <row r="172" spans="1:26" x14ac:dyDescent="0.25">
      <c r="A172">
        <v>5320</v>
      </c>
      <c r="B172">
        <v>23210</v>
      </c>
      <c r="C172" s="1">
        <v>42749</v>
      </c>
      <c r="E172">
        <v>37</v>
      </c>
      <c r="F172" s="35"/>
      <c r="G172">
        <v>2.2000000000000002</v>
      </c>
      <c r="H172">
        <v>-0.2</v>
      </c>
      <c r="I172">
        <v>4.2</v>
      </c>
      <c r="J172">
        <f t="shared" si="21"/>
        <v>1213.8000000000002</v>
      </c>
      <c r="K172">
        <f t="shared" si="22"/>
        <v>153.80000000000001</v>
      </c>
      <c r="M172">
        <v>1</v>
      </c>
      <c r="N172">
        <v>0.5</v>
      </c>
      <c r="O172">
        <f t="shared" si="18"/>
        <v>0.5</v>
      </c>
      <c r="Q172">
        <v>136</v>
      </c>
      <c r="R172">
        <v>1</v>
      </c>
      <c r="S172">
        <f t="shared" si="19"/>
        <v>0.5</v>
      </c>
      <c r="T172">
        <f t="shared" si="20"/>
        <v>0.5</v>
      </c>
      <c r="U172" s="14">
        <f t="shared" si="23"/>
        <v>67.59728395061731</v>
      </c>
      <c r="W172">
        <v>540.79999999999995</v>
      </c>
      <c r="X172">
        <f t="shared" si="24"/>
        <v>80370.799999999959</v>
      </c>
      <c r="Y172">
        <f t="shared" si="25"/>
        <v>18162.3</v>
      </c>
      <c r="Z172">
        <v>8.5682931005348841</v>
      </c>
    </row>
    <row r="173" spans="1:26" x14ac:dyDescent="0.25">
      <c r="A173">
        <v>5320</v>
      </c>
      <c r="B173">
        <v>23210</v>
      </c>
      <c r="C173" s="1">
        <v>42750</v>
      </c>
      <c r="E173">
        <v>38</v>
      </c>
      <c r="F173" s="35"/>
      <c r="G173">
        <v>3</v>
      </c>
      <c r="H173">
        <v>0.5</v>
      </c>
      <c r="I173">
        <v>5.5</v>
      </c>
      <c r="J173">
        <f t="shared" si="21"/>
        <v>1216.8000000000002</v>
      </c>
      <c r="K173">
        <f t="shared" si="22"/>
        <v>156.80000000000001</v>
      </c>
      <c r="M173">
        <v>4.5999999999999996</v>
      </c>
      <c r="N173">
        <v>0.3</v>
      </c>
      <c r="O173">
        <f t="shared" si="18"/>
        <v>4.3</v>
      </c>
      <c r="Q173">
        <v>137</v>
      </c>
      <c r="R173">
        <v>1</v>
      </c>
      <c r="S173">
        <f t="shared" si="19"/>
        <v>0.3</v>
      </c>
      <c r="T173">
        <f t="shared" si="20"/>
        <v>4.3</v>
      </c>
      <c r="U173" s="14">
        <f t="shared" si="23"/>
        <v>71.897283950617307</v>
      </c>
      <c r="W173">
        <v>146.4</v>
      </c>
      <c r="X173">
        <f t="shared" si="24"/>
        <v>80517.199999999953</v>
      </c>
      <c r="Y173">
        <f t="shared" si="25"/>
        <v>18308.7</v>
      </c>
      <c r="Z173">
        <v>8.5997477988849749</v>
      </c>
    </row>
    <row r="174" spans="1:26" x14ac:dyDescent="0.25">
      <c r="A174">
        <v>5320</v>
      </c>
      <c r="B174">
        <v>23210</v>
      </c>
      <c r="C174" s="1">
        <v>42751</v>
      </c>
      <c r="E174">
        <v>39</v>
      </c>
      <c r="F174" s="35"/>
      <c r="G174">
        <v>1.9</v>
      </c>
      <c r="H174">
        <v>1.2</v>
      </c>
      <c r="I174">
        <v>2.7</v>
      </c>
      <c r="J174">
        <f t="shared" si="21"/>
        <v>1218.7000000000003</v>
      </c>
      <c r="K174">
        <f t="shared" si="22"/>
        <v>158.70000000000002</v>
      </c>
      <c r="M174">
        <v>0.1</v>
      </c>
      <c r="N174">
        <v>0.2</v>
      </c>
      <c r="O174">
        <f t="shared" si="18"/>
        <v>-0.1</v>
      </c>
      <c r="Q174">
        <v>138</v>
      </c>
      <c r="R174">
        <v>1</v>
      </c>
      <c r="S174">
        <f t="shared" si="19"/>
        <v>0.2</v>
      </c>
      <c r="T174">
        <f t="shared" si="20"/>
        <v>-0.1</v>
      </c>
      <c r="U174" s="14">
        <f t="shared" si="23"/>
        <v>71.797283950617313</v>
      </c>
      <c r="W174">
        <v>181.9</v>
      </c>
      <c r="X174">
        <f t="shared" si="24"/>
        <v>80699.099999999948</v>
      </c>
      <c r="Y174">
        <f t="shared" si="25"/>
        <v>18490.600000000002</v>
      </c>
      <c r="Z174">
        <v>8.6322505715389841</v>
      </c>
    </row>
    <row r="175" spans="1:26" x14ac:dyDescent="0.25">
      <c r="A175">
        <v>5320</v>
      </c>
      <c r="B175">
        <v>23210</v>
      </c>
      <c r="C175" s="1">
        <v>42752</v>
      </c>
      <c r="E175">
        <v>40</v>
      </c>
      <c r="F175" s="35"/>
      <c r="G175">
        <v>-1.4</v>
      </c>
      <c r="H175">
        <v>-2.2000000000000002</v>
      </c>
      <c r="I175">
        <v>0.3</v>
      </c>
      <c r="J175">
        <v>1218.7</v>
      </c>
      <c r="K175">
        <v>158.69999999999999</v>
      </c>
      <c r="M175">
        <v>0</v>
      </c>
      <c r="N175">
        <v>0.6</v>
      </c>
      <c r="O175">
        <f t="shared" si="18"/>
        <v>-0.6</v>
      </c>
      <c r="Q175">
        <v>139</v>
      </c>
      <c r="R175">
        <v>1</v>
      </c>
      <c r="S175">
        <f t="shared" si="19"/>
        <v>0.6</v>
      </c>
      <c r="T175">
        <f t="shared" si="20"/>
        <v>-0.6</v>
      </c>
      <c r="U175" s="14">
        <f t="shared" si="23"/>
        <v>71.197283950617319</v>
      </c>
      <c r="W175">
        <v>795.6</v>
      </c>
      <c r="X175">
        <f t="shared" si="24"/>
        <v>81494.699999999953</v>
      </c>
      <c r="Y175">
        <f t="shared" si="25"/>
        <v>19286.2</v>
      </c>
      <c r="Z175">
        <v>8.6657786834414861</v>
      </c>
    </row>
    <row r="176" spans="1:26" x14ac:dyDescent="0.25">
      <c r="A176">
        <v>5320</v>
      </c>
      <c r="B176">
        <v>23210</v>
      </c>
      <c r="C176" s="1">
        <v>42753</v>
      </c>
      <c r="E176">
        <v>41</v>
      </c>
      <c r="F176" s="35"/>
      <c r="G176">
        <v>-2.6</v>
      </c>
      <c r="H176">
        <v>-4.0999999999999996</v>
      </c>
      <c r="I176">
        <v>-1.4</v>
      </c>
      <c r="J176">
        <v>1218.7</v>
      </c>
      <c r="K176">
        <v>158.69999999999999</v>
      </c>
      <c r="M176">
        <v>0</v>
      </c>
      <c r="N176">
        <v>0.7</v>
      </c>
      <c r="O176">
        <f t="shared" si="18"/>
        <v>-0.7</v>
      </c>
      <c r="Q176">
        <v>140</v>
      </c>
      <c r="R176">
        <v>1</v>
      </c>
      <c r="S176">
        <f t="shared" si="19"/>
        <v>0.7</v>
      </c>
      <c r="T176">
        <f t="shared" si="20"/>
        <v>-0.7</v>
      </c>
      <c r="U176" s="14">
        <f t="shared" si="23"/>
        <v>70.497283950617316</v>
      </c>
      <c r="W176">
        <v>663.9</v>
      </c>
      <c r="X176">
        <f t="shared" si="24"/>
        <v>82158.599999999948</v>
      </c>
      <c r="Y176">
        <f t="shared" si="25"/>
        <v>19950.100000000002</v>
      </c>
      <c r="Z176">
        <v>8.700309142564107</v>
      </c>
    </row>
    <row r="177" spans="1:27" x14ac:dyDescent="0.25">
      <c r="A177">
        <v>5320</v>
      </c>
      <c r="B177">
        <v>23210</v>
      </c>
      <c r="C177" s="1">
        <v>42754</v>
      </c>
      <c r="E177">
        <v>42</v>
      </c>
      <c r="F177" s="35"/>
      <c r="G177">
        <v>-3.6</v>
      </c>
      <c r="H177">
        <v>-5.2</v>
      </c>
      <c r="I177">
        <v>-2</v>
      </c>
      <c r="J177">
        <v>1218.7</v>
      </c>
      <c r="K177">
        <v>158.69999999999999</v>
      </c>
      <c r="M177">
        <v>0</v>
      </c>
      <c r="N177">
        <v>0.6</v>
      </c>
      <c r="O177">
        <f t="shared" si="18"/>
        <v>-0.6</v>
      </c>
      <c r="Q177">
        <v>141</v>
      </c>
      <c r="R177">
        <v>1</v>
      </c>
      <c r="S177">
        <f t="shared" si="19"/>
        <v>0.6</v>
      </c>
      <c r="T177">
        <f t="shared" si="20"/>
        <v>-0.6</v>
      </c>
      <c r="U177" s="14">
        <f t="shared" si="23"/>
        <v>69.897283950617322</v>
      </c>
      <c r="W177">
        <v>873.4</v>
      </c>
      <c r="X177">
        <f t="shared" si="24"/>
        <v>83031.999999999942</v>
      </c>
      <c r="Y177">
        <f t="shared" si="25"/>
        <v>20823.500000000004</v>
      </c>
      <c r="Z177">
        <v>8.7358187485374188</v>
      </c>
    </row>
    <row r="178" spans="1:27" x14ac:dyDescent="0.25">
      <c r="A178">
        <v>5320</v>
      </c>
      <c r="B178">
        <v>23210</v>
      </c>
      <c r="C178" s="1">
        <v>42755</v>
      </c>
      <c r="E178">
        <v>43</v>
      </c>
      <c r="F178" s="35"/>
      <c r="G178">
        <v>-4</v>
      </c>
      <c r="H178">
        <v>-6.4</v>
      </c>
      <c r="I178">
        <v>-1.3</v>
      </c>
      <c r="J178">
        <v>1218.7</v>
      </c>
      <c r="K178">
        <v>158.69999999999999</v>
      </c>
      <c r="M178">
        <v>0</v>
      </c>
      <c r="N178">
        <v>0.5</v>
      </c>
      <c r="O178">
        <f t="shared" si="18"/>
        <v>-0.5</v>
      </c>
      <c r="Q178">
        <v>142</v>
      </c>
      <c r="R178">
        <v>1</v>
      </c>
      <c r="S178">
        <f t="shared" si="19"/>
        <v>0.5</v>
      </c>
      <c r="T178">
        <f t="shared" si="20"/>
        <v>-0.5</v>
      </c>
      <c r="U178" s="14">
        <f t="shared" si="23"/>
        <v>69.397283950617322</v>
      </c>
      <c r="W178">
        <v>870.7</v>
      </c>
      <c r="X178">
        <f t="shared" si="24"/>
        <v>83902.699999999939</v>
      </c>
      <c r="Y178">
        <f t="shared" si="25"/>
        <v>21694.200000000004</v>
      </c>
      <c r="Z178">
        <v>8.7722841398995968</v>
      </c>
    </row>
    <row r="179" spans="1:27" x14ac:dyDescent="0.25">
      <c r="A179">
        <v>5320</v>
      </c>
      <c r="B179">
        <v>23210</v>
      </c>
      <c r="C179" s="1">
        <v>42756</v>
      </c>
      <c r="E179">
        <v>44</v>
      </c>
      <c r="F179" s="35"/>
      <c r="G179">
        <v>-2.6</v>
      </c>
      <c r="H179">
        <v>-7.8</v>
      </c>
      <c r="I179">
        <v>1</v>
      </c>
      <c r="J179">
        <v>1218.7</v>
      </c>
      <c r="K179">
        <v>158.69999999999999</v>
      </c>
      <c r="M179">
        <v>0</v>
      </c>
      <c r="N179">
        <v>0.5</v>
      </c>
      <c r="O179">
        <f t="shared" si="18"/>
        <v>-0.5</v>
      </c>
      <c r="Q179">
        <v>143</v>
      </c>
      <c r="R179">
        <v>1</v>
      </c>
      <c r="S179">
        <f t="shared" si="19"/>
        <v>0.5</v>
      </c>
      <c r="T179">
        <f t="shared" si="20"/>
        <v>-0.5</v>
      </c>
      <c r="U179" s="14">
        <f t="shared" si="23"/>
        <v>68.897283950617322</v>
      </c>
      <c r="W179">
        <v>840.3</v>
      </c>
      <c r="X179">
        <f t="shared" si="24"/>
        <v>84742.999999999942</v>
      </c>
      <c r="Y179">
        <f t="shared" si="25"/>
        <v>22534.500000000004</v>
      </c>
      <c r="Z179">
        <v>8.8096818398219465</v>
      </c>
    </row>
    <row r="180" spans="1:27" x14ac:dyDescent="0.25">
      <c r="A180">
        <v>5320</v>
      </c>
      <c r="B180">
        <v>23210</v>
      </c>
      <c r="C180" s="1">
        <v>42757</v>
      </c>
      <c r="E180">
        <v>45</v>
      </c>
      <c r="F180" s="35"/>
      <c r="G180">
        <v>-0.9</v>
      </c>
      <c r="H180">
        <v>-5.4</v>
      </c>
      <c r="I180">
        <v>2.7</v>
      </c>
      <c r="J180">
        <v>1218.7</v>
      </c>
      <c r="K180">
        <v>158.69999999999999</v>
      </c>
      <c r="M180">
        <v>0</v>
      </c>
      <c r="N180">
        <v>0.6</v>
      </c>
      <c r="O180">
        <f t="shared" si="18"/>
        <v>-0.6</v>
      </c>
      <c r="Q180">
        <v>144</v>
      </c>
      <c r="R180">
        <v>1</v>
      </c>
      <c r="S180">
        <f t="shared" si="19"/>
        <v>0.6</v>
      </c>
      <c r="T180">
        <f t="shared" si="20"/>
        <v>-0.6</v>
      </c>
      <c r="U180" s="14">
        <f t="shared" si="23"/>
        <v>68.297283950617327</v>
      </c>
      <c r="W180">
        <v>736.9</v>
      </c>
      <c r="X180">
        <f t="shared" si="24"/>
        <v>85479.899999999936</v>
      </c>
      <c r="Y180">
        <f t="shared" si="25"/>
        <v>23271.400000000005</v>
      </c>
      <c r="Z180">
        <v>8.8479883001883977</v>
      </c>
    </row>
    <row r="181" spans="1:27" x14ac:dyDescent="0.25">
      <c r="A181">
        <v>5320</v>
      </c>
      <c r="B181">
        <v>23210</v>
      </c>
      <c r="C181" s="1">
        <v>42758</v>
      </c>
      <c r="E181">
        <v>46</v>
      </c>
      <c r="F181" s="35"/>
      <c r="G181">
        <v>-0.6</v>
      </c>
      <c r="H181">
        <v>-3.3</v>
      </c>
      <c r="I181">
        <v>3.1</v>
      </c>
      <c r="J181">
        <v>1218.7</v>
      </c>
      <c r="K181">
        <v>158.69999999999999</v>
      </c>
      <c r="M181">
        <v>0</v>
      </c>
      <c r="N181">
        <v>0.9</v>
      </c>
      <c r="O181">
        <f t="shared" si="18"/>
        <v>-0.9</v>
      </c>
      <c r="Q181">
        <v>145</v>
      </c>
      <c r="R181">
        <v>1</v>
      </c>
      <c r="S181">
        <f t="shared" si="19"/>
        <v>0.9</v>
      </c>
      <c r="T181">
        <f t="shared" si="20"/>
        <v>-0.9</v>
      </c>
      <c r="U181" s="14">
        <f t="shared" si="23"/>
        <v>67.397283950617322</v>
      </c>
      <c r="W181">
        <v>806.6</v>
      </c>
      <c r="X181">
        <f t="shared" si="24"/>
        <v>86286.499999999942</v>
      </c>
      <c r="Y181">
        <f t="shared" si="25"/>
        <v>24078.000000000004</v>
      </c>
      <c r="Z181">
        <v>8.8871799439228525</v>
      </c>
    </row>
    <row r="182" spans="1:27" x14ac:dyDescent="0.25">
      <c r="A182">
        <v>5320</v>
      </c>
      <c r="B182">
        <v>23210</v>
      </c>
      <c r="C182" s="1">
        <v>42759</v>
      </c>
      <c r="E182">
        <v>47</v>
      </c>
      <c r="F182" s="35"/>
      <c r="G182">
        <v>-1.9</v>
      </c>
      <c r="H182">
        <v>-5.0999999999999996</v>
      </c>
      <c r="I182">
        <v>0.1</v>
      </c>
      <c r="J182">
        <v>1218.7</v>
      </c>
      <c r="K182">
        <v>158.69999999999999</v>
      </c>
      <c r="M182">
        <v>0</v>
      </c>
      <c r="N182">
        <v>0.3</v>
      </c>
      <c r="O182">
        <f t="shared" si="18"/>
        <v>-0.3</v>
      </c>
      <c r="Q182">
        <v>146</v>
      </c>
      <c r="R182">
        <v>1</v>
      </c>
      <c r="S182">
        <f t="shared" si="19"/>
        <v>0.3</v>
      </c>
      <c r="T182">
        <f t="shared" si="20"/>
        <v>-0.3</v>
      </c>
      <c r="U182" s="14">
        <f t="shared" si="23"/>
        <v>67.097283950617324</v>
      </c>
      <c r="W182">
        <v>498.2</v>
      </c>
      <c r="X182">
        <f t="shared" si="24"/>
        <v>86784.699999999939</v>
      </c>
      <c r="Y182">
        <f t="shared" si="25"/>
        <v>24576.200000000004</v>
      </c>
      <c r="Z182">
        <v>8.9272332054745736</v>
      </c>
    </row>
    <row r="183" spans="1:27" x14ac:dyDescent="0.25">
      <c r="A183">
        <v>5320</v>
      </c>
      <c r="B183">
        <v>23210</v>
      </c>
      <c r="C183" s="1">
        <v>42760</v>
      </c>
      <c r="E183">
        <v>48</v>
      </c>
      <c r="F183" s="35"/>
      <c r="G183">
        <v>-1.9</v>
      </c>
      <c r="H183">
        <v>-2.8</v>
      </c>
      <c r="I183">
        <v>-0.8</v>
      </c>
      <c r="J183">
        <v>1218.7</v>
      </c>
      <c r="K183">
        <v>158.69999999999999</v>
      </c>
      <c r="M183">
        <v>0</v>
      </c>
      <c r="N183">
        <v>0.4</v>
      </c>
      <c r="O183">
        <f t="shared" si="18"/>
        <v>-0.4</v>
      </c>
      <c r="Q183">
        <v>147</v>
      </c>
      <c r="R183">
        <v>1</v>
      </c>
      <c r="S183">
        <f t="shared" si="19"/>
        <v>0.4</v>
      </c>
      <c r="T183">
        <f t="shared" si="20"/>
        <v>-0.4</v>
      </c>
      <c r="U183" s="14">
        <f t="shared" si="23"/>
        <v>66.697283950617319</v>
      </c>
      <c r="W183">
        <v>141.4</v>
      </c>
      <c r="X183">
        <f t="shared" si="24"/>
        <v>86926.099999999933</v>
      </c>
      <c r="Y183">
        <f t="shared" si="25"/>
        <v>24717.600000000006</v>
      </c>
      <c r="Z183">
        <v>8.9681245693878129</v>
      </c>
    </row>
    <row r="184" spans="1:27" s="6" customFormat="1" ht="15.75" thickBot="1" x14ac:dyDescent="0.3">
      <c r="A184" s="6">
        <v>5320</v>
      </c>
      <c r="B184" s="6">
        <v>23210</v>
      </c>
      <c r="C184" s="7">
        <v>42761</v>
      </c>
      <c r="E184" s="6" t="s">
        <v>58</v>
      </c>
      <c r="F184" s="36"/>
      <c r="G184" s="6">
        <v>-1.4</v>
      </c>
      <c r="H184" s="6">
        <v>-6.7</v>
      </c>
      <c r="I184" s="6">
        <v>2.2999999999999998</v>
      </c>
      <c r="J184" s="6">
        <v>1218.7</v>
      </c>
      <c r="K184" s="6">
        <v>158.69999999999999</v>
      </c>
      <c r="M184" s="6">
        <v>0</v>
      </c>
      <c r="N184" s="6">
        <v>0.7</v>
      </c>
      <c r="O184" s="6">
        <f t="shared" si="18"/>
        <v>-0.7</v>
      </c>
      <c r="Q184" s="6">
        <v>148</v>
      </c>
      <c r="R184" s="6">
        <v>1</v>
      </c>
      <c r="S184" s="6">
        <f t="shared" si="19"/>
        <v>0.7</v>
      </c>
      <c r="T184" s="6">
        <f t="shared" si="20"/>
        <v>-0.7</v>
      </c>
      <c r="U184" s="26">
        <f t="shared" si="23"/>
        <v>65.997283950617316</v>
      </c>
      <c r="W184" s="6">
        <v>929.7</v>
      </c>
      <c r="X184" s="6">
        <f t="shared" si="24"/>
        <v>87855.79999999993</v>
      </c>
      <c r="Y184" s="6">
        <f t="shared" si="25"/>
        <v>25647.300000000007</v>
      </c>
      <c r="Z184" s="6">
        <v>9.0098306068969336</v>
      </c>
    </row>
    <row r="185" spans="1:27" x14ac:dyDescent="0.25">
      <c r="A185">
        <v>5320</v>
      </c>
      <c r="B185">
        <v>23210</v>
      </c>
      <c r="C185" s="1">
        <v>42762</v>
      </c>
      <c r="F185" s="37" t="s">
        <v>53</v>
      </c>
      <c r="G185">
        <v>5.2</v>
      </c>
      <c r="H185">
        <v>-0.7</v>
      </c>
      <c r="I185">
        <v>8</v>
      </c>
      <c r="J185">
        <f t="shared" si="21"/>
        <v>1223.9000000000001</v>
      </c>
      <c r="K185">
        <f>G185</f>
        <v>5.2</v>
      </c>
      <c r="L185" s="15" t="s">
        <v>36</v>
      </c>
      <c r="M185">
        <v>0</v>
      </c>
      <c r="N185">
        <v>0.7</v>
      </c>
      <c r="O185">
        <f t="shared" si="18"/>
        <v>-0.7</v>
      </c>
      <c r="Q185">
        <v>149</v>
      </c>
      <c r="R185">
        <f>1+((Q185-148)/58)*(1.15-1)</f>
        <v>1.0025862068965516</v>
      </c>
      <c r="S185">
        <f t="shared" si="19"/>
        <v>0.70181034482758609</v>
      </c>
      <c r="T185">
        <f t="shared" si="20"/>
        <v>-0.70181034482758609</v>
      </c>
      <c r="U185" s="14">
        <f t="shared" si="23"/>
        <v>65.295473605789724</v>
      </c>
      <c r="V185" s="16" t="s">
        <v>43</v>
      </c>
      <c r="W185">
        <v>419.8</v>
      </c>
      <c r="X185">
        <f t="shared" si="24"/>
        <v>88275.599999999933</v>
      </c>
      <c r="Y185">
        <f>W185</f>
        <v>419.8</v>
      </c>
      <c r="Z185">
        <v>9.052328010502837</v>
      </c>
      <c r="AA185" s="16" t="s">
        <v>48</v>
      </c>
    </row>
    <row r="186" spans="1:27" x14ac:dyDescent="0.25">
      <c r="A186">
        <v>5320</v>
      </c>
      <c r="B186">
        <v>23210</v>
      </c>
      <c r="C186" s="1">
        <v>42763</v>
      </c>
      <c r="F186" s="38"/>
      <c r="G186">
        <v>6.1</v>
      </c>
      <c r="H186">
        <v>4.5</v>
      </c>
      <c r="I186">
        <v>8.1999999999999993</v>
      </c>
      <c r="J186">
        <f t="shared" si="21"/>
        <v>1230</v>
      </c>
      <c r="K186">
        <f t="shared" si="22"/>
        <v>11.3</v>
      </c>
      <c r="L186" s="9">
        <v>440.8</v>
      </c>
      <c r="M186">
        <v>0.2</v>
      </c>
      <c r="N186">
        <v>0.9</v>
      </c>
      <c r="O186">
        <f t="shared" si="18"/>
        <v>-0.7</v>
      </c>
      <c r="Q186">
        <v>150</v>
      </c>
      <c r="R186">
        <f t="shared" ref="R186:R242" si="26">1+((Q186-148)/58)*(1.15-1)</f>
        <v>1.0051724137931035</v>
      </c>
      <c r="S186">
        <f t="shared" si="19"/>
        <v>0.90465517241379323</v>
      </c>
      <c r="T186">
        <f t="shared" si="20"/>
        <v>-0.70465517241379327</v>
      </c>
      <c r="U186" s="14">
        <f t="shared" si="23"/>
        <v>64.590818433375929</v>
      </c>
      <c r="V186">
        <v>0</v>
      </c>
      <c r="W186">
        <v>458.4</v>
      </c>
      <c r="X186">
        <f t="shared" si="24"/>
        <v>88733.999999999927</v>
      </c>
      <c r="Y186">
        <f t="shared" si="25"/>
        <v>878.2</v>
      </c>
      <c r="Z186">
        <v>9.0955936265001966</v>
      </c>
      <c r="AA186">
        <v>31067.200000000001</v>
      </c>
    </row>
    <row r="187" spans="1:27" x14ac:dyDescent="0.25">
      <c r="A187">
        <v>5320</v>
      </c>
      <c r="B187">
        <v>23210</v>
      </c>
      <c r="C187" s="1">
        <v>42764</v>
      </c>
      <c r="F187" s="38"/>
      <c r="G187">
        <v>6.4</v>
      </c>
      <c r="H187">
        <v>3.8</v>
      </c>
      <c r="I187">
        <v>8.5</v>
      </c>
      <c r="J187">
        <f t="shared" si="21"/>
        <v>1236.4000000000001</v>
      </c>
      <c r="K187">
        <f t="shared" si="22"/>
        <v>17.700000000000003</v>
      </c>
      <c r="L187" s="15" t="s">
        <v>37</v>
      </c>
      <c r="M187">
        <v>0</v>
      </c>
      <c r="N187">
        <v>0.5</v>
      </c>
      <c r="O187">
        <f t="shared" si="18"/>
        <v>-0.5</v>
      </c>
      <c r="Q187">
        <v>151</v>
      </c>
      <c r="R187">
        <f t="shared" si="26"/>
        <v>1.0077586206896552</v>
      </c>
      <c r="S187">
        <f t="shared" si="19"/>
        <v>0.50387931034482758</v>
      </c>
      <c r="T187">
        <f t="shared" si="20"/>
        <v>-0.50387931034482758</v>
      </c>
      <c r="U187" s="14">
        <f t="shared" si="23"/>
        <v>64.086939123031101</v>
      </c>
      <c r="V187" s="16" t="s">
        <v>44</v>
      </c>
      <c r="W187">
        <v>140.30000000000001</v>
      </c>
      <c r="X187">
        <f t="shared" si="24"/>
        <v>88874.29999999993</v>
      </c>
      <c r="Y187">
        <f t="shared" si="25"/>
        <v>1018.5</v>
      </c>
      <c r="Z187">
        <v>9.1396044854377205</v>
      </c>
      <c r="AA187" s="16" t="s">
        <v>49</v>
      </c>
    </row>
    <row r="188" spans="1:27" x14ac:dyDescent="0.25">
      <c r="A188">
        <v>5320</v>
      </c>
      <c r="B188">
        <v>23210</v>
      </c>
      <c r="C188" s="1">
        <v>42765</v>
      </c>
      <c r="F188" s="38"/>
      <c r="G188">
        <v>9.5</v>
      </c>
      <c r="H188">
        <v>7.8</v>
      </c>
      <c r="I188">
        <v>10.6</v>
      </c>
      <c r="J188">
        <f t="shared" si="21"/>
        <v>1245.9000000000001</v>
      </c>
      <c r="K188">
        <f t="shared" si="22"/>
        <v>27.200000000000003</v>
      </c>
      <c r="L188" s="9">
        <f>AVERAGE(G185:G242)</f>
        <v>7.5775862068965507</v>
      </c>
      <c r="M188">
        <v>3.3</v>
      </c>
      <c r="N188">
        <v>0.3</v>
      </c>
      <c r="O188">
        <f t="shared" si="18"/>
        <v>3</v>
      </c>
      <c r="Q188">
        <v>152</v>
      </c>
      <c r="R188">
        <f t="shared" si="26"/>
        <v>1.0103448275862068</v>
      </c>
      <c r="S188">
        <f t="shared" si="19"/>
        <v>0.30310344827586205</v>
      </c>
      <c r="T188">
        <f t="shared" si="20"/>
        <v>2.9968965517241379</v>
      </c>
      <c r="U188" s="14">
        <f t="shared" si="23"/>
        <v>67.083835674755235</v>
      </c>
      <c r="V188">
        <v>0</v>
      </c>
      <c r="W188">
        <v>128.19999999999999</v>
      </c>
      <c r="X188">
        <f t="shared" si="24"/>
        <v>89002.499999999927</v>
      </c>
      <c r="Y188">
        <f t="shared" si="25"/>
        <v>1146.7</v>
      </c>
      <c r="Z188">
        <v>9.1843378305056103</v>
      </c>
      <c r="AA188">
        <f>(AA186/100)/L186</f>
        <v>0.70479128856624318</v>
      </c>
    </row>
    <row r="189" spans="1:27" x14ac:dyDescent="0.25">
      <c r="A189">
        <v>5320</v>
      </c>
      <c r="B189">
        <v>23210</v>
      </c>
      <c r="C189" s="1">
        <v>42766</v>
      </c>
      <c r="F189" s="38"/>
      <c r="G189">
        <v>10.3</v>
      </c>
      <c r="H189">
        <v>9.8000000000000007</v>
      </c>
      <c r="I189">
        <v>11.5</v>
      </c>
      <c r="J189">
        <f t="shared" si="21"/>
        <v>1256.2</v>
      </c>
      <c r="K189">
        <f t="shared" si="22"/>
        <v>37.5</v>
      </c>
      <c r="L189" s="15" t="s">
        <v>38</v>
      </c>
      <c r="M189">
        <v>0.2</v>
      </c>
      <c r="N189">
        <v>0.3</v>
      </c>
      <c r="O189">
        <f t="shared" si="18"/>
        <v>-9.9999999999999978E-2</v>
      </c>
      <c r="Q189">
        <v>153</v>
      </c>
      <c r="R189">
        <f t="shared" si="26"/>
        <v>1.0129310344827587</v>
      </c>
      <c r="S189">
        <f t="shared" si="19"/>
        <v>0.30387931034482757</v>
      </c>
      <c r="T189">
        <f t="shared" si="20"/>
        <v>-0.10387931034482756</v>
      </c>
      <c r="U189" s="14">
        <f t="shared" si="23"/>
        <v>66.979956364410413</v>
      </c>
      <c r="V189" s="16" t="s">
        <v>45</v>
      </c>
      <c r="W189">
        <v>230.4</v>
      </c>
      <c r="X189">
        <f t="shared" si="24"/>
        <v>89232.899999999921</v>
      </c>
      <c r="Y189">
        <f t="shared" si="25"/>
        <v>1377.1000000000001</v>
      </c>
      <c r="Z189">
        <v>9.2297711438552792</v>
      </c>
      <c r="AA189" s="16" t="s">
        <v>50</v>
      </c>
    </row>
    <row r="190" spans="1:27" x14ac:dyDescent="0.25">
      <c r="A190">
        <v>5320</v>
      </c>
      <c r="B190">
        <v>23210</v>
      </c>
      <c r="C190" s="1">
        <v>42767</v>
      </c>
      <c r="F190" s="38"/>
      <c r="G190">
        <v>8.5</v>
      </c>
      <c r="H190">
        <v>5.5</v>
      </c>
      <c r="I190">
        <v>10.7</v>
      </c>
      <c r="J190">
        <f t="shared" si="21"/>
        <v>1264.7</v>
      </c>
      <c r="K190">
        <f t="shared" si="22"/>
        <v>46</v>
      </c>
      <c r="L190" s="10">
        <f>MIN(H185:H242)</f>
        <v>-4.2</v>
      </c>
      <c r="M190">
        <v>0</v>
      </c>
      <c r="N190">
        <v>0.2</v>
      </c>
      <c r="O190">
        <f t="shared" si="18"/>
        <v>-0.2</v>
      </c>
      <c r="Q190">
        <v>154</v>
      </c>
      <c r="R190">
        <f t="shared" si="26"/>
        <v>1.0155172413793103</v>
      </c>
      <c r="S190">
        <f t="shared" si="19"/>
        <v>0.20310344827586208</v>
      </c>
      <c r="T190">
        <f t="shared" si="20"/>
        <v>-0.20310344827586208</v>
      </c>
      <c r="U190" s="14">
        <f t="shared" si="23"/>
        <v>66.776852916134544</v>
      </c>
      <c r="V190" s="14">
        <f>MIN(U185:U242)</f>
        <v>64.086939123031101</v>
      </c>
      <c r="W190">
        <v>200.1</v>
      </c>
      <c r="X190">
        <f t="shared" si="24"/>
        <v>89432.999999999927</v>
      </c>
      <c r="Y190">
        <f t="shared" si="25"/>
        <v>1577.2</v>
      </c>
      <c r="Z190">
        <v>9.2758821708664332</v>
      </c>
      <c r="AA190">
        <v>49</v>
      </c>
    </row>
    <row r="191" spans="1:27" x14ac:dyDescent="0.25">
      <c r="A191">
        <v>5320</v>
      </c>
      <c r="B191">
        <v>23210</v>
      </c>
      <c r="C191" s="1">
        <v>42768</v>
      </c>
      <c r="F191" s="38"/>
      <c r="G191">
        <v>9.6</v>
      </c>
      <c r="H191">
        <v>7.7</v>
      </c>
      <c r="I191">
        <v>11</v>
      </c>
      <c r="J191">
        <f t="shared" si="21"/>
        <v>1274.3</v>
      </c>
      <c r="K191">
        <f t="shared" si="22"/>
        <v>55.6</v>
      </c>
      <c r="L191" s="15" t="s">
        <v>39</v>
      </c>
      <c r="M191">
        <v>1.8</v>
      </c>
      <c r="N191">
        <v>0.8</v>
      </c>
      <c r="O191">
        <f t="shared" si="18"/>
        <v>1</v>
      </c>
      <c r="Q191">
        <v>155</v>
      </c>
      <c r="R191">
        <f t="shared" si="26"/>
        <v>1.018103448275862</v>
      </c>
      <c r="S191">
        <f t="shared" si="19"/>
        <v>0.81448275862068964</v>
      </c>
      <c r="T191">
        <f t="shared" si="20"/>
        <v>0.9855172413793104</v>
      </c>
      <c r="U191" s="14">
        <f t="shared" si="23"/>
        <v>67.762370157513857</v>
      </c>
      <c r="V191" s="16" t="s">
        <v>46</v>
      </c>
      <c r="W191">
        <v>168.2</v>
      </c>
      <c r="X191">
        <f t="shared" si="24"/>
        <v>89601.199999999924</v>
      </c>
      <c r="Y191">
        <f t="shared" si="25"/>
        <v>1745.4</v>
      </c>
      <c r="Z191">
        <v>9.3226489423855465</v>
      </c>
    </row>
    <row r="192" spans="1:27" x14ac:dyDescent="0.25">
      <c r="A192">
        <v>5320</v>
      </c>
      <c r="B192">
        <v>23210</v>
      </c>
      <c r="C192" s="1">
        <v>42769</v>
      </c>
      <c r="F192" s="38"/>
      <c r="G192">
        <v>6.9</v>
      </c>
      <c r="H192">
        <v>5.8</v>
      </c>
      <c r="I192">
        <v>7.9</v>
      </c>
      <c r="J192">
        <f t="shared" si="21"/>
        <v>1281.2</v>
      </c>
      <c r="K192">
        <f t="shared" si="22"/>
        <v>62.5</v>
      </c>
      <c r="L192" s="9">
        <f>MAX(I185:I242)</f>
        <v>17.600000000000001</v>
      </c>
      <c r="M192">
        <v>7.9</v>
      </c>
      <c r="N192">
        <v>0.7</v>
      </c>
      <c r="O192">
        <f t="shared" si="18"/>
        <v>7.2</v>
      </c>
      <c r="Q192">
        <v>156</v>
      </c>
      <c r="R192">
        <f t="shared" si="26"/>
        <v>1.0206896551724138</v>
      </c>
      <c r="S192">
        <f t="shared" si="19"/>
        <v>0.71448275862068966</v>
      </c>
      <c r="T192">
        <f t="shared" si="20"/>
        <v>7.1855172413793102</v>
      </c>
      <c r="U192" s="14">
        <f t="shared" si="23"/>
        <v>74.947887398893172</v>
      </c>
      <c r="V192" s="14">
        <f>MAX(U185:U242)</f>
        <v>121.02469774372074</v>
      </c>
      <c r="W192">
        <v>195.2</v>
      </c>
      <c r="X192">
        <f t="shared" si="24"/>
        <v>89796.399999999921</v>
      </c>
      <c r="Y192">
        <f t="shared" si="25"/>
        <v>1940.6000000000001</v>
      </c>
      <c r="Z192">
        <v>9.3700497949679686</v>
      </c>
    </row>
    <row r="193" spans="1:28" x14ac:dyDescent="0.25">
      <c r="A193">
        <v>5320</v>
      </c>
      <c r="B193">
        <v>23210</v>
      </c>
      <c r="C193" s="1">
        <v>42770</v>
      </c>
      <c r="F193" s="38"/>
      <c r="G193">
        <v>6.4</v>
      </c>
      <c r="H193">
        <v>5.3</v>
      </c>
      <c r="I193">
        <v>7.2</v>
      </c>
      <c r="J193">
        <f t="shared" si="21"/>
        <v>1287.6000000000001</v>
      </c>
      <c r="K193">
        <f t="shared" si="22"/>
        <v>68.900000000000006</v>
      </c>
      <c r="L193" s="15" t="s">
        <v>40</v>
      </c>
      <c r="M193">
        <v>5.5</v>
      </c>
      <c r="N193">
        <v>0.7</v>
      </c>
      <c r="O193">
        <f t="shared" si="18"/>
        <v>4.8</v>
      </c>
      <c r="Q193">
        <v>157</v>
      </c>
      <c r="R193">
        <f t="shared" si="26"/>
        <v>1.0232758620689655</v>
      </c>
      <c r="S193">
        <f t="shared" si="19"/>
        <v>0.71629310344827579</v>
      </c>
      <c r="T193">
        <f t="shared" si="20"/>
        <v>4.783706896551724</v>
      </c>
      <c r="U193" s="14">
        <f t="shared" si="23"/>
        <v>79.731594295444893</v>
      </c>
      <c r="V193" s="16" t="s">
        <v>47</v>
      </c>
      <c r="W193">
        <v>244.6</v>
      </c>
      <c r="X193">
        <f t="shared" si="24"/>
        <v>90040.999999999927</v>
      </c>
      <c r="Y193">
        <f t="shared" si="25"/>
        <v>2185.2000000000003</v>
      </c>
      <c r="Z193">
        <v>9.4180633891629846</v>
      </c>
    </row>
    <row r="194" spans="1:28" x14ac:dyDescent="0.25">
      <c r="A194">
        <v>5320</v>
      </c>
      <c r="B194">
        <v>23210</v>
      </c>
      <c r="C194" s="1">
        <v>42771</v>
      </c>
      <c r="F194" s="38"/>
      <c r="G194">
        <v>7.5</v>
      </c>
      <c r="H194">
        <v>5.6</v>
      </c>
      <c r="I194">
        <v>10.199999999999999</v>
      </c>
      <c r="J194">
        <f t="shared" si="21"/>
        <v>1295.1000000000001</v>
      </c>
      <c r="K194">
        <f t="shared" si="22"/>
        <v>76.400000000000006</v>
      </c>
      <c r="L194" s="9">
        <v>0</v>
      </c>
      <c r="M194">
        <v>0.9</v>
      </c>
      <c r="N194">
        <v>1</v>
      </c>
      <c r="O194">
        <f t="shared" si="18"/>
        <v>-9.9999999999999978E-2</v>
      </c>
      <c r="Q194">
        <v>158</v>
      </c>
      <c r="R194">
        <f t="shared" si="26"/>
        <v>1.0258620689655171</v>
      </c>
      <c r="S194">
        <f t="shared" si="19"/>
        <v>1.0258620689655171</v>
      </c>
      <c r="T194">
        <f t="shared" si="20"/>
        <v>-0.1258620689655171</v>
      </c>
      <c r="U194" s="14">
        <f t="shared" si="23"/>
        <v>79.605732226479375</v>
      </c>
      <c r="V194" s="14">
        <f>AVERAGE(U185:U242)</f>
        <v>90.809715579630407</v>
      </c>
      <c r="W194">
        <v>308.89999999999998</v>
      </c>
      <c r="X194">
        <f t="shared" si="24"/>
        <v>90349.899999999921</v>
      </c>
      <c r="Y194">
        <f t="shared" si="25"/>
        <v>2494.1000000000004</v>
      </c>
      <c r="Z194">
        <v>9.4666687258873665</v>
      </c>
    </row>
    <row r="195" spans="1:28" x14ac:dyDescent="0.25">
      <c r="A195">
        <v>5320</v>
      </c>
      <c r="B195">
        <v>23210</v>
      </c>
      <c r="C195" s="1">
        <v>42772</v>
      </c>
      <c r="F195" s="38"/>
      <c r="G195">
        <v>5.6</v>
      </c>
      <c r="H195">
        <v>3.4</v>
      </c>
      <c r="I195">
        <v>7.5</v>
      </c>
      <c r="J195">
        <f t="shared" si="21"/>
        <v>1300.7</v>
      </c>
      <c r="K195">
        <f t="shared" si="22"/>
        <v>82</v>
      </c>
      <c r="L195" s="15" t="s">
        <v>41</v>
      </c>
      <c r="M195">
        <v>4.3</v>
      </c>
      <c r="N195">
        <v>0.7</v>
      </c>
      <c r="O195">
        <f t="shared" si="18"/>
        <v>3.5999999999999996</v>
      </c>
      <c r="Q195">
        <v>159</v>
      </c>
      <c r="R195">
        <f t="shared" si="26"/>
        <v>1.028448275862069</v>
      </c>
      <c r="S195">
        <f t="shared" si="19"/>
        <v>0.71991379310344827</v>
      </c>
      <c r="T195">
        <f t="shared" si="20"/>
        <v>3.5800862068965515</v>
      </c>
      <c r="U195" s="14">
        <f t="shared" si="23"/>
        <v>83.185818433375928</v>
      </c>
      <c r="W195">
        <v>779</v>
      </c>
      <c r="X195">
        <f t="shared" si="24"/>
        <v>91128.899999999921</v>
      </c>
      <c r="Y195">
        <f t="shared" si="25"/>
        <v>3273.1000000000004</v>
      </c>
      <c r="Z195">
        <v>9.515845160938504</v>
      </c>
    </row>
    <row r="196" spans="1:28" x14ac:dyDescent="0.25">
      <c r="A196">
        <v>5320</v>
      </c>
      <c r="B196">
        <v>23210</v>
      </c>
      <c r="C196" s="1">
        <v>42773</v>
      </c>
      <c r="F196" s="38"/>
      <c r="G196">
        <v>6.5</v>
      </c>
      <c r="H196">
        <v>4.8</v>
      </c>
      <c r="I196">
        <v>10.1</v>
      </c>
      <c r="J196">
        <f t="shared" si="21"/>
        <v>1307.2</v>
      </c>
      <c r="K196">
        <f t="shared" si="22"/>
        <v>88.5</v>
      </c>
      <c r="L196" s="9">
        <v>20</v>
      </c>
      <c r="M196" s="64">
        <v>0.1</v>
      </c>
      <c r="N196">
        <v>0.8</v>
      </c>
      <c r="O196">
        <f t="shared" si="18"/>
        <v>-0.70000000000000007</v>
      </c>
      <c r="Q196">
        <v>160</v>
      </c>
      <c r="R196">
        <f t="shared" si="26"/>
        <v>1.0310344827586206</v>
      </c>
      <c r="S196">
        <f t="shared" si="19"/>
        <v>0.82482758620689656</v>
      </c>
      <c r="T196">
        <f t="shared" si="20"/>
        <v>-0.72482758620689658</v>
      </c>
      <c r="U196" s="14">
        <f t="shared" si="23"/>
        <v>82.460990847169029</v>
      </c>
      <c r="V196">
        <f>(V194*100)/138.9</f>
        <v>65.377764996134204</v>
      </c>
      <c r="W196">
        <v>522.1</v>
      </c>
      <c r="X196">
        <f t="shared" si="24"/>
        <v>91650.999999999927</v>
      </c>
      <c r="Y196">
        <f t="shared" si="25"/>
        <v>3795.2000000000003</v>
      </c>
      <c r="Z196">
        <v>9.5655724177025743</v>
      </c>
      <c r="AB196" s="2" t="s">
        <v>64</v>
      </c>
    </row>
    <row r="197" spans="1:28" x14ac:dyDescent="0.25">
      <c r="A197">
        <v>5320</v>
      </c>
      <c r="B197">
        <v>23210</v>
      </c>
      <c r="C197" s="1">
        <v>42774</v>
      </c>
      <c r="F197" s="38"/>
      <c r="G197">
        <v>4.5999999999999996</v>
      </c>
      <c r="H197">
        <v>2.6</v>
      </c>
      <c r="I197">
        <v>7</v>
      </c>
      <c r="J197">
        <f t="shared" si="21"/>
        <v>1311.8</v>
      </c>
      <c r="K197">
        <f t="shared" si="22"/>
        <v>93.1</v>
      </c>
      <c r="L197" s="15" t="s">
        <v>42</v>
      </c>
      <c r="M197" s="64">
        <v>0</v>
      </c>
      <c r="N197">
        <v>0.5</v>
      </c>
      <c r="O197">
        <f t="shared" si="18"/>
        <v>-0.5</v>
      </c>
      <c r="Q197">
        <v>161</v>
      </c>
      <c r="R197">
        <f t="shared" si="26"/>
        <v>1.0336206896551725</v>
      </c>
      <c r="S197">
        <f t="shared" si="19"/>
        <v>0.51681034482758625</v>
      </c>
      <c r="T197">
        <f t="shared" si="20"/>
        <v>-0.51681034482758625</v>
      </c>
      <c r="U197" s="14">
        <f t="shared" si="23"/>
        <v>81.944180502341439</v>
      </c>
      <c r="W197">
        <v>194.3</v>
      </c>
      <c r="X197">
        <f t="shared" si="24"/>
        <v>91845.29999999993</v>
      </c>
      <c r="Y197">
        <f t="shared" si="25"/>
        <v>3989.5000000000005</v>
      </c>
      <c r="Z197">
        <v>9.6158305981172081</v>
      </c>
      <c r="AB197" s="14">
        <f>AVERAGE(U203:U216)</f>
        <v>75.832357842242885</v>
      </c>
    </row>
    <row r="198" spans="1:28" x14ac:dyDescent="0.25">
      <c r="A198">
        <v>5320</v>
      </c>
      <c r="B198">
        <v>23210</v>
      </c>
      <c r="C198" s="1">
        <v>42775</v>
      </c>
      <c r="F198" s="38"/>
      <c r="G198">
        <v>2.2000000000000002</v>
      </c>
      <c r="H198">
        <v>1.1000000000000001</v>
      </c>
      <c r="I198">
        <v>4</v>
      </c>
      <c r="J198">
        <f t="shared" si="21"/>
        <v>1314</v>
      </c>
      <c r="K198">
        <f t="shared" si="22"/>
        <v>95.3</v>
      </c>
      <c r="L198" s="9">
        <v>6</v>
      </c>
      <c r="M198" s="64">
        <v>0</v>
      </c>
      <c r="N198">
        <v>0.4</v>
      </c>
      <c r="O198">
        <f t="shared" ref="O198:O261" si="27">M198-N198</f>
        <v>-0.4</v>
      </c>
      <c r="Q198">
        <v>162</v>
      </c>
      <c r="R198">
        <f t="shared" si="26"/>
        <v>1.0362068965517242</v>
      </c>
      <c r="S198">
        <f t="shared" si="19"/>
        <v>0.41448275862068967</v>
      </c>
      <c r="T198">
        <f t="shared" si="20"/>
        <v>-0.41448275862068967</v>
      </c>
      <c r="U198" s="14">
        <f t="shared" si="23"/>
        <v>81.529697743720746</v>
      </c>
      <c r="W198">
        <v>315.89999999999998</v>
      </c>
      <c r="X198">
        <f t="shared" si="24"/>
        <v>92161.199999999924</v>
      </c>
      <c r="Y198">
        <f t="shared" si="25"/>
        <v>4305.4000000000005</v>
      </c>
      <c r="Z198">
        <v>9.6666001919510105</v>
      </c>
      <c r="AB198" s="2" t="s">
        <v>65</v>
      </c>
    </row>
    <row r="199" spans="1:28" x14ac:dyDescent="0.25">
      <c r="A199">
        <v>5320</v>
      </c>
      <c r="B199">
        <v>23210</v>
      </c>
      <c r="C199" s="1">
        <v>42776</v>
      </c>
      <c r="F199" s="38"/>
      <c r="G199">
        <v>-0.4</v>
      </c>
      <c r="H199">
        <v>-2.1</v>
      </c>
      <c r="I199">
        <v>1</v>
      </c>
      <c r="J199">
        <v>1314</v>
      </c>
      <c r="K199">
        <v>95.3</v>
      </c>
      <c r="M199" s="64">
        <v>0</v>
      </c>
      <c r="N199">
        <v>0.4</v>
      </c>
      <c r="O199">
        <f t="shared" si="27"/>
        <v>-0.4</v>
      </c>
      <c r="Q199">
        <v>163</v>
      </c>
      <c r="R199">
        <f t="shared" si="26"/>
        <v>1.0387931034482758</v>
      </c>
      <c r="S199">
        <f t="shared" si="19"/>
        <v>0.41551724137931034</v>
      </c>
      <c r="T199">
        <f t="shared" si="20"/>
        <v>-0.41551724137931034</v>
      </c>
      <c r="U199" s="14">
        <f t="shared" si="23"/>
        <v>81.114180502341441</v>
      </c>
      <c r="W199">
        <v>407.3</v>
      </c>
      <c r="X199">
        <f t="shared" si="24"/>
        <v>92568.499999999927</v>
      </c>
      <c r="Y199">
        <f t="shared" si="25"/>
        <v>4712.7000000000007</v>
      </c>
      <c r="Z199">
        <v>9.7178620844647856</v>
      </c>
      <c r="AB199">
        <v>4</v>
      </c>
    </row>
    <row r="200" spans="1:28" x14ac:dyDescent="0.25">
      <c r="A200">
        <v>5320</v>
      </c>
      <c r="B200">
        <v>23210</v>
      </c>
      <c r="C200" s="1">
        <v>42777</v>
      </c>
      <c r="F200" s="38"/>
      <c r="G200">
        <v>-0.9</v>
      </c>
      <c r="H200">
        <v>-4.2</v>
      </c>
      <c r="I200">
        <v>1</v>
      </c>
      <c r="J200">
        <v>1314</v>
      </c>
      <c r="K200">
        <v>95.3</v>
      </c>
      <c r="M200" s="64">
        <v>0</v>
      </c>
      <c r="N200">
        <v>0.4</v>
      </c>
      <c r="O200">
        <f t="shared" si="27"/>
        <v>-0.4</v>
      </c>
      <c r="Q200">
        <v>164</v>
      </c>
      <c r="R200">
        <f t="shared" si="26"/>
        <v>1.0413793103448277</v>
      </c>
      <c r="S200">
        <f t="shared" si="19"/>
        <v>0.41655172413793107</v>
      </c>
      <c r="T200">
        <f t="shared" si="20"/>
        <v>-0.41655172413793107</v>
      </c>
      <c r="U200" s="14">
        <f t="shared" si="23"/>
        <v>80.697628778203509</v>
      </c>
      <c r="W200">
        <v>656.7</v>
      </c>
      <c r="X200">
        <f t="shared" si="24"/>
        <v>93225.199999999924</v>
      </c>
      <c r="Y200">
        <f t="shared" si="25"/>
        <v>5369.4000000000005</v>
      </c>
      <c r="Z200">
        <v>9.7695975625210192</v>
      </c>
      <c r="AB200" s="2" t="s">
        <v>66</v>
      </c>
    </row>
    <row r="201" spans="1:28" x14ac:dyDescent="0.25">
      <c r="A201">
        <v>5320</v>
      </c>
      <c r="B201">
        <v>23210</v>
      </c>
      <c r="C201" s="1">
        <v>42778</v>
      </c>
      <c r="F201" s="38"/>
      <c r="G201">
        <v>2.8</v>
      </c>
      <c r="H201">
        <v>-0.7</v>
      </c>
      <c r="I201">
        <v>7.5</v>
      </c>
      <c r="J201">
        <f t="shared" si="21"/>
        <v>1316.8</v>
      </c>
      <c r="K201">
        <f t="shared" si="22"/>
        <v>98.1</v>
      </c>
      <c r="M201" s="64">
        <v>0.1</v>
      </c>
      <c r="N201">
        <v>0.8</v>
      </c>
      <c r="O201">
        <f t="shared" si="27"/>
        <v>-0.70000000000000007</v>
      </c>
      <c r="Q201">
        <v>165</v>
      </c>
      <c r="R201">
        <f t="shared" si="26"/>
        <v>1.0439655172413793</v>
      </c>
      <c r="S201">
        <f t="shared" si="19"/>
        <v>0.83517241379310347</v>
      </c>
      <c r="T201">
        <f t="shared" si="20"/>
        <v>-0.7351724137931035</v>
      </c>
      <c r="U201" s="14">
        <f t="shared" si="23"/>
        <v>79.9624563644104</v>
      </c>
      <c r="W201">
        <v>278.3</v>
      </c>
      <c r="X201">
        <f t="shared" si="24"/>
        <v>93503.499999999927</v>
      </c>
      <c r="Y201">
        <f t="shared" si="25"/>
        <v>5647.7000000000007</v>
      </c>
      <c r="Z201">
        <v>9.8217883192093787</v>
      </c>
      <c r="AB201">
        <v>6</v>
      </c>
    </row>
    <row r="202" spans="1:28" x14ac:dyDescent="0.25">
      <c r="A202">
        <v>5320</v>
      </c>
      <c r="B202">
        <v>23210</v>
      </c>
      <c r="C202" s="1">
        <v>42779</v>
      </c>
      <c r="F202" s="38"/>
      <c r="G202">
        <v>8.6</v>
      </c>
      <c r="H202">
        <v>5.6</v>
      </c>
      <c r="I202">
        <v>11.7</v>
      </c>
      <c r="J202">
        <f t="shared" si="21"/>
        <v>1325.3999999999999</v>
      </c>
      <c r="K202">
        <f t="shared" si="22"/>
        <v>106.69999999999999</v>
      </c>
      <c r="M202" s="64">
        <v>1.2</v>
      </c>
      <c r="N202">
        <v>1.4</v>
      </c>
      <c r="O202">
        <f t="shared" si="27"/>
        <v>-0.19999999999999996</v>
      </c>
      <c r="Q202">
        <v>166</v>
      </c>
      <c r="R202">
        <f t="shared" si="26"/>
        <v>1.046551724137931</v>
      </c>
      <c r="S202">
        <f t="shared" si="19"/>
        <v>1.4651724137931033</v>
      </c>
      <c r="T202">
        <f t="shared" si="20"/>
        <v>-0.2651724137931033</v>
      </c>
      <c r="U202" s="14">
        <f t="shared" si="23"/>
        <v>79.69728395061729</v>
      </c>
      <c r="W202">
        <v>742.3</v>
      </c>
      <c r="X202">
        <f t="shared" si="24"/>
        <v>94245.79999999993</v>
      </c>
      <c r="Y202">
        <f t="shared" si="25"/>
        <v>6390.0000000000009</v>
      </c>
      <c r="Z202">
        <v>9.8744164570566113</v>
      </c>
      <c r="AB202" s="2" t="s">
        <v>67</v>
      </c>
    </row>
    <row r="203" spans="1:28" x14ac:dyDescent="0.25">
      <c r="A203">
        <v>5320</v>
      </c>
      <c r="B203">
        <v>23210</v>
      </c>
      <c r="C203" s="1">
        <v>42780</v>
      </c>
      <c r="F203" s="38"/>
      <c r="G203">
        <v>10.4</v>
      </c>
      <c r="H203">
        <v>7.2</v>
      </c>
      <c r="I203">
        <v>12.1</v>
      </c>
      <c r="J203">
        <f t="shared" si="21"/>
        <v>1335.8</v>
      </c>
      <c r="K203">
        <f t="shared" si="22"/>
        <v>117.1</v>
      </c>
      <c r="M203" s="64">
        <v>0.2</v>
      </c>
      <c r="N203">
        <v>0.9</v>
      </c>
      <c r="O203">
        <f t="shared" si="27"/>
        <v>-0.7</v>
      </c>
      <c r="Q203">
        <v>167</v>
      </c>
      <c r="R203">
        <f t="shared" si="26"/>
        <v>1.0491379310344828</v>
      </c>
      <c r="S203">
        <f t="shared" si="19"/>
        <v>0.94422413793103455</v>
      </c>
      <c r="T203">
        <f t="shared" si="20"/>
        <v>-0.74422413793103459</v>
      </c>
      <c r="U203" s="65">
        <f t="shared" si="23"/>
        <v>78.953059812686263</v>
      </c>
      <c r="W203">
        <v>287.3</v>
      </c>
      <c r="X203">
        <f t="shared" si="24"/>
        <v>94533.099999999933</v>
      </c>
      <c r="Y203">
        <f t="shared" si="25"/>
        <v>6677.3000000000011</v>
      </c>
      <c r="Z203">
        <v>9.9274644898894113</v>
      </c>
      <c r="AB203">
        <v>0</v>
      </c>
    </row>
    <row r="204" spans="1:28" x14ac:dyDescent="0.25">
      <c r="A204">
        <v>5320</v>
      </c>
      <c r="B204">
        <v>23210</v>
      </c>
      <c r="C204" s="1">
        <v>42781</v>
      </c>
      <c r="F204" s="38"/>
      <c r="G204">
        <v>10.9</v>
      </c>
      <c r="H204">
        <v>8</v>
      </c>
      <c r="I204">
        <v>15.3</v>
      </c>
      <c r="J204">
        <f t="shared" si="21"/>
        <v>1346.7</v>
      </c>
      <c r="K204">
        <f t="shared" si="22"/>
        <v>128</v>
      </c>
      <c r="M204" s="64">
        <v>0</v>
      </c>
      <c r="N204">
        <v>1.5</v>
      </c>
      <c r="O204">
        <f t="shared" si="27"/>
        <v>-1.5</v>
      </c>
      <c r="Q204">
        <v>168</v>
      </c>
      <c r="R204">
        <f t="shared" si="26"/>
        <v>1.0517241379310345</v>
      </c>
      <c r="S204">
        <f t="shared" si="19"/>
        <v>1.5775862068965516</v>
      </c>
      <c r="T204">
        <f t="shared" si="20"/>
        <v>-1.5775862068965516</v>
      </c>
      <c r="U204" s="65">
        <f t="shared" si="23"/>
        <v>77.375473605789708</v>
      </c>
      <c r="W204">
        <v>833.5</v>
      </c>
      <c r="X204">
        <f t="shared" si="24"/>
        <v>95366.599999999933</v>
      </c>
      <c r="Y204">
        <f t="shared" si="25"/>
        <v>7510.8000000000011</v>
      </c>
      <c r="Z204">
        <v>9.9809153434186015</v>
      </c>
      <c r="AB204" s="2" t="s">
        <v>68</v>
      </c>
    </row>
    <row r="205" spans="1:28" x14ac:dyDescent="0.25">
      <c r="A205">
        <v>5320</v>
      </c>
      <c r="B205">
        <v>23210</v>
      </c>
      <c r="C205" s="1">
        <v>42782</v>
      </c>
      <c r="F205" s="38"/>
      <c r="G205">
        <v>8</v>
      </c>
      <c r="H205">
        <v>6.6</v>
      </c>
      <c r="I205">
        <v>10.3</v>
      </c>
      <c r="J205">
        <f t="shared" si="21"/>
        <v>1354.7</v>
      </c>
      <c r="K205">
        <f t="shared" si="22"/>
        <v>136</v>
      </c>
      <c r="M205" s="64">
        <v>1.9</v>
      </c>
      <c r="N205">
        <v>0.5</v>
      </c>
      <c r="O205">
        <f t="shared" si="27"/>
        <v>1.4</v>
      </c>
      <c r="Q205">
        <v>169</v>
      </c>
      <c r="R205">
        <f t="shared" si="26"/>
        <v>1.0543103448275861</v>
      </c>
      <c r="S205">
        <f t="shared" si="19"/>
        <v>0.52715517241379306</v>
      </c>
      <c r="T205">
        <f t="shared" si="20"/>
        <v>1.3728448275862069</v>
      </c>
      <c r="U205" s="65">
        <f t="shared" si="23"/>
        <v>78.748318433375914</v>
      </c>
      <c r="W205">
        <v>653.29999999999995</v>
      </c>
      <c r="X205">
        <f t="shared" si="24"/>
        <v>96019.899999999936</v>
      </c>
      <c r="Y205">
        <f t="shared" si="25"/>
        <v>8164.1000000000013</v>
      </c>
      <c r="Z205">
        <v>10.034752354612239</v>
      </c>
      <c r="AB205">
        <f>SUM(M207:M216)</f>
        <v>11.6</v>
      </c>
    </row>
    <row r="206" spans="1:28" s="58" customFormat="1" x14ac:dyDescent="0.25">
      <c r="A206" s="58">
        <v>5320</v>
      </c>
      <c r="B206" s="58">
        <v>23210</v>
      </c>
      <c r="C206" s="59">
        <v>42783</v>
      </c>
      <c r="D206" s="58" t="s">
        <v>60</v>
      </c>
      <c r="F206" s="38"/>
      <c r="G206" s="58">
        <v>4.0999999999999996</v>
      </c>
      <c r="H206" s="58">
        <v>1.1000000000000001</v>
      </c>
      <c r="I206" s="58">
        <v>6.2</v>
      </c>
      <c r="J206" s="58">
        <f t="shared" si="21"/>
        <v>1358.8</v>
      </c>
      <c r="K206" s="58">
        <f t="shared" si="22"/>
        <v>140.1</v>
      </c>
      <c r="M206" s="58">
        <v>0</v>
      </c>
      <c r="N206" s="58">
        <v>0.5</v>
      </c>
      <c r="O206" s="58">
        <f t="shared" si="27"/>
        <v>-0.5</v>
      </c>
      <c r="Q206" s="58">
        <v>170</v>
      </c>
      <c r="R206" s="58">
        <f t="shared" si="26"/>
        <v>1.056896551724138</v>
      </c>
      <c r="S206" s="58">
        <f t="shared" si="19"/>
        <v>0.52844827586206899</v>
      </c>
      <c r="T206" s="58">
        <f t="shared" si="20"/>
        <v>-0.52844827586206899</v>
      </c>
      <c r="U206" s="60">
        <f t="shared" si="23"/>
        <v>78.219870157513839</v>
      </c>
      <c r="W206" s="58">
        <v>409.5</v>
      </c>
      <c r="X206" s="58">
        <f t="shared" si="24"/>
        <v>96429.399999999936</v>
      </c>
      <c r="Y206" s="58">
        <f t="shared" si="25"/>
        <v>8573.6000000000022</v>
      </c>
      <c r="Z206" s="58">
        <v>10.088959269924423</v>
      </c>
    </row>
    <row r="207" spans="1:28" x14ac:dyDescent="0.25">
      <c r="A207">
        <v>5320</v>
      </c>
      <c r="B207">
        <v>23210</v>
      </c>
      <c r="C207" s="1">
        <v>42784</v>
      </c>
      <c r="F207" s="38"/>
      <c r="G207">
        <v>5.4</v>
      </c>
      <c r="H207">
        <v>0.1</v>
      </c>
      <c r="I207">
        <v>10</v>
      </c>
      <c r="J207">
        <f t="shared" si="21"/>
        <v>1364.2</v>
      </c>
      <c r="K207">
        <f t="shared" si="22"/>
        <v>145.5</v>
      </c>
      <c r="M207" s="64">
        <v>0</v>
      </c>
      <c r="N207">
        <v>1.3</v>
      </c>
      <c r="O207">
        <f t="shared" si="27"/>
        <v>-1.3</v>
      </c>
      <c r="Q207">
        <v>171</v>
      </c>
      <c r="R207">
        <f t="shared" si="26"/>
        <v>1.0594827586206896</v>
      </c>
      <c r="S207">
        <f t="shared" si="19"/>
        <v>1.3773275862068965</v>
      </c>
      <c r="T207">
        <f t="shared" si="20"/>
        <v>-1.3773275862068965</v>
      </c>
      <c r="U207" s="65">
        <f t="shared" si="23"/>
        <v>76.842542571306936</v>
      </c>
      <c r="W207">
        <v>1223.0999999999999</v>
      </c>
      <c r="X207">
        <f t="shared" si="24"/>
        <v>97652.499999999942</v>
      </c>
      <c r="Y207">
        <f t="shared" si="25"/>
        <v>9796.7000000000025</v>
      </c>
      <c r="Z207">
        <v>10.143520242445197</v>
      </c>
      <c r="AB207" s="2" t="s">
        <v>64</v>
      </c>
    </row>
    <row r="208" spans="1:28" x14ac:dyDescent="0.25">
      <c r="A208">
        <v>5320</v>
      </c>
      <c r="B208">
        <v>23210</v>
      </c>
      <c r="C208" s="1">
        <v>42785</v>
      </c>
      <c r="F208" s="38"/>
      <c r="G208">
        <v>4.7</v>
      </c>
      <c r="H208">
        <v>-1.9</v>
      </c>
      <c r="I208">
        <v>8.4</v>
      </c>
      <c r="J208">
        <f t="shared" si="21"/>
        <v>1368.9</v>
      </c>
      <c r="K208">
        <f t="shared" si="22"/>
        <v>150.19999999999999</v>
      </c>
      <c r="M208" s="64">
        <v>0.1</v>
      </c>
      <c r="N208">
        <v>0.7</v>
      </c>
      <c r="O208">
        <f t="shared" si="27"/>
        <v>-0.6</v>
      </c>
      <c r="Q208">
        <v>172</v>
      </c>
      <c r="R208">
        <f t="shared" si="26"/>
        <v>1.0620689655172413</v>
      </c>
      <c r="S208">
        <f t="shared" si="19"/>
        <v>0.74344827586206885</v>
      </c>
      <c r="T208">
        <f t="shared" si="20"/>
        <v>-0.64344827586206887</v>
      </c>
      <c r="U208" s="65">
        <f t="shared" si="23"/>
        <v>76.199094295444866</v>
      </c>
      <c r="W208">
        <v>949</v>
      </c>
      <c r="X208">
        <f t="shared" si="24"/>
        <v>98601.499999999942</v>
      </c>
      <c r="Y208">
        <f t="shared" si="25"/>
        <v>10745.700000000003</v>
      </c>
      <c r="Z208">
        <v>10.198419828035487</v>
      </c>
      <c r="AB208" s="14">
        <f>AVERAGE(U213:U226)</f>
        <v>95.898983458006455</v>
      </c>
    </row>
    <row r="209" spans="1:29" x14ac:dyDescent="0.25">
      <c r="A209">
        <v>5320</v>
      </c>
      <c r="B209">
        <v>23210</v>
      </c>
      <c r="C209" s="1">
        <v>42786</v>
      </c>
      <c r="F209" s="38"/>
      <c r="G209">
        <v>8</v>
      </c>
      <c r="H209">
        <v>4.8</v>
      </c>
      <c r="I209">
        <v>10.6</v>
      </c>
      <c r="J209">
        <f t="shared" si="21"/>
        <v>1376.9</v>
      </c>
      <c r="K209">
        <f t="shared" si="22"/>
        <v>158.19999999999999</v>
      </c>
      <c r="M209" s="64">
        <v>0.3</v>
      </c>
      <c r="N209">
        <v>0.2</v>
      </c>
      <c r="O209">
        <f t="shared" si="27"/>
        <v>9.9999999999999978E-2</v>
      </c>
      <c r="Q209">
        <v>173</v>
      </c>
      <c r="R209">
        <f t="shared" si="26"/>
        <v>1.0646551724137931</v>
      </c>
      <c r="S209">
        <f t="shared" si="19"/>
        <v>0.21293103448275863</v>
      </c>
      <c r="T209">
        <f t="shared" si="20"/>
        <v>8.7068965517241359E-2</v>
      </c>
      <c r="U209" s="65">
        <f t="shared" si="23"/>
        <v>76.286163260962113</v>
      </c>
      <c r="W209">
        <v>205.7</v>
      </c>
      <c r="X209">
        <f t="shared" si="24"/>
        <v>98807.199999999939</v>
      </c>
      <c r="Y209">
        <f t="shared" si="25"/>
        <v>10951.400000000003</v>
      </c>
      <c r="Z209">
        <v>10.253642980509255</v>
      </c>
      <c r="AB209" s="2" t="s">
        <v>65</v>
      </c>
    </row>
    <row r="210" spans="1:29" x14ac:dyDescent="0.25">
      <c r="A210">
        <v>5320</v>
      </c>
      <c r="B210">
        <v>23210</v>
      </c>
      <c r="C210" s="1">
        <v>42787</v>
      </c>
      <c r="F210" s="38"/>
      <c r="G210">
        <v>10.5</v>
      </c>
      <c r="H210">
        <v>9.9</v>
      </c>
      <c r="I210">
        <v>11.5</v>
      </c>
      <c r="J210">
        <f t="shared" si="21"/>
        <v>1387.4</v>
      </c>
      <c r="K210">
        <f t="shared" si="22"/>
        <v>168.7</v>
      </c>
      <c r="M210" s="64">
        <v>0</v>
      </c>
      <c r="N210">
        <v>0.6</v>
      </c>
      <c r="O210">
        <f t="shared" si="27"/>
        <v>-0.6</v>
      </c>
      <c r="Q210">
        <v>174</v>
      </c>
      <c r="R210">
        <f t="shared" si="26"/>
        <v>1.0672413793103448</v>
      </c>
      <c r="S210">
        <f t="shared" si="19"/>
        <v>0.64034482758620681</v>
      </c>
      <c r="T210">
        <f t="shared" si="20"/>
        <v>-0.64034482758620681</v>
      </c>
      <c r="U210" s="65">
        <f t="shared" si="23"/>
        <v>75.645818433375908</v>
      </c>
      <c r="W210">
        <v>229.4</v>
      </c>
      <c r="X210">
        <f t="shared" si="24"/>
        <v>99036.599999999933</v>
      </c>
      <c r="Y210">
        <f t="shared" si="25"/>
        <v>11180.800000000003</v>
      </c>
      <c r="Z210">
        <v>10.309175045923176</v>
      </c>
      <c r="AB210">
        <v>3</v>
      </c>
    </row>
    <row r="211" spans="1:29" x14ac:dyDescent="0.25">
      <c r="A211">
        <v>5320</v>
      </c>
      <c r="B211">
        <v>23210</v>
      </c>
      <c r="C211" s="1">
        <v>42788</v>
      </c>
      <c r="F211" s="38"/>
      <c r="G211">
        <v>9.3000000000000007</v>
      </c>
      <c r="H211">
        <v>8.1</v>
      </c>
      <c r="I211">
        <v>10.199999999999999</v>
      </c>
      <c r="J211">
        <f t="shared" si="21"/>
        <v>1396.7</v>
      </c>
      <c r="K211">
        <f t="shared" si="22"/>
        <v>178</v>
      </c>
      <c r="M211" s="64">
        <v>0</v>
      </c>
      <c r="N211">
        <v>1.1000000000000001</v>
      </c>
      <c r="O211">
        <f t="shared" si="27"/>
        <v>-1.1000000000000001</v>
      </c>
      <c r="Q211">
        <v>175</v>
      </c>
      <c r="R211">
        <f t="shared" si="26"/>
        <v>1.0698275862068964</v>
      </c>
      <c r="S211">
        <f t="shared" si="19"/>
        <v>1.1768103448275862</v>
      </c>
      <c r="T211">
        <f t="shared" si="20"/>
        <v>-1.1768103448275862</v>
      </c>
      <c r="U211" s="65">
        <f t="shared" si="23"/>
        <v>74.469008088548321</v>
      </c>
      <c r="W211">
        <v>196.3</v>
      </c>
      <c r="X211">
        <f t="shared" si="24"/>
        <v>99232.899999999936</v>
      </c>
      <c r="Y211">
        <f t="shared" si="25"/>
        <v>11377.100000000002</v>
      </c>
      <c r="Z211">
        <v>10.365001756032026</v>
      </c>
      <c r="AB211" s="2" t="s">
        <v>66</v>
      </c>
    </row>
    <row r="212" spans="1:29" x14ac:dyDescent="0.25">
      <c r="A212">
        <v>5320</v>
      </c>
      <c r="B212">
        <v>23210</v>
      </c>
      <c r="C212" s="1">
        <v>42789</v>
      </c>
      <c r="F212" s="38"/>
      <c r="G212">
        <v>8.4</v>
      </c>
      <c r="H212">
        <v>8.4</v>
      </c>
      <c r="I212">
        <v>10.5</v>
      </c>
      <c r="J212">
        <f t="shared" si="21"/>
        <v>1405.1000000000001</v>
      </c>
      <c r="K212">
        <f t="shared" si="22"/>
        <v>186.4</v>
      </c>
      <c r="M212" s="64">
        <v>1.1000000000000001</v>
      </c>
      <c r="N212">
        <v>1.5</v>
      </c>
      <c r="O212">
        <f t="shared" si="27"/>
        <v>-0.39999999999999991</v>
      </c>
      <c r="Q212">
        <v>176</v>
      </c>
      <c r="R212">
        <f t="shared" si="26"/>
        <v>1.0724137931034483</v>
      </c>
      <c r="S212">
        <f t="shared" si="19"/>
        <v>1.6086206896551725</v>
      </c>
      <c r="T212">
        <f t="shared" si="20"/>
        <v>-0.50862068965517238</v>
      </c>
      <c r="U212" s="65">
        <f t="shared" si="23"/>
        <v>73.960387398893147</v>
      </c>
      <c r="W212">
        <v>351</v>
      </c>
      <c r="X212">
        <f t="shared" si="24"/>
        <v>99583.899999999936</v>
      </c>
      <c r="Y212">
        <f t="shared" si="25"/>
        <v>11728.100000000002</v>
      </c>
      <c r="Z212">
        <v>10.421109220965855</v>
      </c>
      <c r="AB212">
        <v>2</v>
      </c>
    </row>
    <row r="213" spans="1:29" x14ac:dyDescent="0.25">
      <c r="A213">
        <v>5320</v>
      </c>
      <c r="B213">
        <v>23210</v>
      </c>
      <c r="C213" s="1">
        <v>42790</v>
      </c>
      <c r="F213" s="38"/>
      <c r="G213">
        <v>4.4000000000000004</v>
      </c>
      <c r="H213">
        <v>1.9</v>
      </c>
      <c r="I213">
        <v>8.4</v>
      </c>
      <c r="J213">
        <f t="shared" si="21"/>
        <v>1409.5000000000002</v>
      </c>
      <c r="K213">
        <f t="shared" si="22"/>
        <v>190.8</v>
      </c>
      <c r="M213" s="64">
        <v>0</v>
      </c>
      <c r="N213">
        <v>1</v>
      </c>
      <c r="O213">
        <f t="shared" si="27"/>
        <v>-1</v>
      </c>
      <c r="Q213">
        <v>177</v>
      </c>
      <c r="R213">
        <f t="shared" si="26"/>
        <v>1.075</v>
      </c>
      <c r="S213">
        <f t="shared" si="19"/>
        <v>1.075</v>
      </c>
      <c r="T213">
        <f t="shared" si="20"/>
        <v>-1.075</v>
      </c>
      <c r="U213" s="65">
        <f t="shared" si="23"/>
        <v>72.885387398893144</v>
      </c>
      <c r="W213">
        <v>704.7</v>
      </c>
      <c r="X213">
        <f t="shared" si="24"/>
        <v>100288.59999999993</v>
      </c>
      <c r="Y213">
        <f t="shared" si="25"/>
        <v>12432.800000000003</v>
      </c>
      <c r="Z213">
        <v>10.477483921182762</v>
      </c>
      <c r="AB213" s="2" t="s">
        <v>67</v>
      </c>
    </row>
    <row r="214" spans="1:29" x14ac:dyDescent="0.25">
      <c r="A214">
        <v>5320</v>
      </c>
      <c r="B214">
        <v>23210</v>
      </c>
      <c r="C214" s="1">
        <v>42791</v>
      </c>
      <c r="F214" s="38"/>
      <c r="G214">
        <v>4.2</v>
      </c>
      <c r="H214">
        <v>-1.8</v>
      </c>
      <c r="I214">
        <v>10</v>
      </c>
      <c r="J214">
        <f t="shared" si="21"/>
        <v>1413.7000000000003</v>
      </c>
      <c r="K214">
        <f t="shared" si="22"/>
        <v>195</v>
      </c>
      <c r="M214" s="64">
        <v>0</v>
      </c>
      <c r="N214">
        <v>1.5</v>
      </c>
      <c r="O214">
        <f t="shared" si="27"/>
        <v>-1.5</v>
      </c>
      <c r="Q214">
        <v>178</v>
      </c>
      <c r="R214">
        <f t="shared" si="26"/>
        <v>1.0775862068965516</v>
      </c>
      <c r="S214">
        <f t="shared" si="19"/>
        <v>1.6163793103448274</v>
      </c>
      <c r="T214">
        <f t="shared" si="20"/>
        <v>-1.6163793103448274</v>
      </c>
      <c r="U214" s="65">
        <f t="shared" si="23"/>
        <v>71.269008088548318</v>
      </c>
      <c r="W214">
        <v>1299.7</v>
      </c>
      <c r="X214">
        <f t="shared" si="24"/>
        <v>101588.29999999993</v>
      </c>
      <c r="Y214">
        <f t="shared" si="25"/>
        <v>13732.500000000004</v>
      </c>
      <c r="Z214">
        <v>10.534112698748672</v>
      </c>
      <c r="AB214">
        <v>0</v>
      </c>
    </row>
    <row r="215" spans="1:29" x14ac:dyDescent="0.25">
      <c r="A215">
        <v>5320</v>
      </c>
      <c r="B215">
        <v>23210</v>
      </c>
      <c r="C215" s="1">
        <v>42792</v>
      </c>
      <c r="F215" s="38"/>
      <c r="G215">
        <v>7.9</v>
      </c>
      <c r="H215">
        <v>1.9</v>
      </c>
      <c r="I215">
        <v>10.8</v>
      </c>
      <c r="J215">
        <f t="shared" si="21"/>
        <v>1421.6000000000004</v>
      </c>
      <c r="K215">
        <f t="shared" si="22"/>
        <v>202.9</v>
      </c>
      <c r="M215" s="64">
        <v>0</v>
      </c>
      <c r="N215">
        <v>0.3</v>
      </c>
      <c r="O215">
        <f t="shared" si="27"/>
        <v>-0.3</v>
      </c>
      <c r="Q215">
        <v>179</v>
      </c>
      <c r="R215">
        <f t="shared" si="26"/>
        <v>1.0801724137931035</v>
      </c>
      <c r="S215">
        <f t="shared" si="19"/>
        <v>0.32405172413793104</v>
      </c>
      <c r="T215">
        <f t="shared" si="20"/>
        <v>-0.32405172413793104</v>
      </c>
      <c r="U215" s="65">
        <f t="shared" si="23"/>
        <v>70.944956364410388</v>
      </c>
      <c r="W215">
        <v>171.9</v>
      </c>
      <c r="X215">
        <f t="shared" si="24"/>
        <v>101760.19999999992</v>
      </c>
      <c r="Y215">
        <f t="shared" si="25"/>
        <v>13904.400000000003</v>
      </c>
      <c r="Z215">
        <v>10.590982747993312</v>
      </c>
      <c r="AB215" s="2" t="s">
        <v>68</v>
      </c>
    </row>
    <row r="216" spans="1:29" s="58" customFormat="1" x14ac:dyDescent="0.25">
      <c r="A216" s="58">
        <v>5320</v>
      </c>
      <c r="B216" s="58">
        <v>23210</v>
      </c>
      <c r="C216" s="59">
        <v>42793</v>
      </c>
      <c r="D216" s="58" t="s">
        <v>61</v>
      </c>
      <c r="F216" s="38"/>
      <c r="G216" s="58">
        <v>8.5</v>
      </c>
      <c r="H216" s="58">
        <v>6.5</v>
      </c>
      <c r="I216" s="58">
        <v>10.8</v>
      </c>
      <c r="J216" s="58">
        <f t="shared" si="21"/>
        <v>1430.1000000000004</v>
      </c>
      <c r="K216" s="58">
        <f t="shared" si="22"/>
        <v>211.4</v>
      </c>
      <c r="M216" s="58">
        <v>10.1</v>
      </c>
      <c r="N216" s="58">
        <v>1.1000000000000001</v>
      </c>
      <c r="O216" s="58">
        <f t="shared" si="27"/>
        <v>9</v>
      </c>
      <c r="Q216" s="58">
        <v>180</v>
      </c>
      <c r="R216" s="58">
        <f t="shared" si="26"/>
        <v>1.0827586206896551</v>
      </c>
      <c r="S216" s="58">
        <f t="shared" si="19"/>
        <v>1.1910344827586208</v>
      </c>
      <c r="T216" s="58">
        <f t="shared" si="20"/>
        <v>8.9089655172413789</v>
      </c>
      <c r="U216" s="60">
        <f t="shared" si="23"/>
        <v>79.853921881651772</v>
      </c>
      <c r="W216" s="58">
        <v>237.4</v>
      </c>
      <c r="X216" s="58">
        <f t="shared" si="24"/>
        <v>101997.59999999992</v>
      </c>
      <c r="Y216" s="58">
        <f t="shared" si="25"/>
        <v>14141.800000000003</v>
      </c>
      <c r="Z216" s="58">
        <v>10.648081605589052</v>
      </c>
      <c r="AB216" s="58">
        <f>SUM(M217:M226)</f>
        <v>48.800000000000004</v>
      </c>
    </row>
    <row r="217" spans="1:29" x14ac:dyDescent="0.25">
      <c r="A217">
        <v>5320</v>
      </c>
      <c r="B217">
        <v>23210</v>
      </c>
      <c r="C217" s="1">
        <v>42794</v>
      </c>
      <c r="F217" s="38"/>
      <c r="G217">
        <v>5.7</v>
      </c>
      <c r="H217">
        <v>4.5999999999999996</v>
      </c>
      <c r="I217">
        <v>6.7</v>
      </c>
      <c r="J217">
        <f t="shared" si="21"/>
        <v>1435.8000000000004</v>
      </c>
      <c r="K217">
        <f t="shared" si="22"/>
        <v>217.1</v>
      </c>
      <c r="M217" s="64">
        <v>3.8</v>
      </c>
      <c r="N217">
        <v>1</v>
      </c>
      <c r="O217">
        <f t="shared" si="27"/>
        <v>2.8</v>
      </c>
      <c r="Q217">
        <v>181</v>
      </c>
      <c r="R217">
        <f t="shared" si="26"/>
        <v>1.0853448275862068</v>
      </c>
      <c r="S217">
        <f t="shared" si="19"/>
        <v>1.0853448275862068</v>
      </c>
      <c r="T217">
        <f t="shared" si="20"/>
        <v>2.7146551724137931</v>
      </c>
      <c r="U217" s="65">
        <f t="shared" si="23"/>
        <v>82.568577054065571</v>
      </c>
      <c r="W217">
        <v>273.89999999999998</v>
      </c>
      <c r="X217">
        <f t="shared" si="24"/>
        <v>102271.49999999991</v>
      </c>
      <c r="Y217">
        <f t="shared" si="25"/>
        <v>14415.700000000003</v>
      </c>
      <c r="Z217">
        <v>10.705397140096943</v>
      </c>
    </row>
    <row r="218" spans="1:29" x14ac:dyDescent="0.25">
      <c r="A218">
        <v>5320</v>
      </c>
      <c r="B218">
        <v>23210</v>
      </c>
      <c r="C218" s="1">
        <v>42795</v>
      </c>
      <c r="F218" s="38"/>
      <c r="G218">
        <v>8.3000000000000007</v>
      </c>
      <c r="H218">
        <v>5.8</v>
      </c>
      <c r="I218">
        <v>10.8</v>
      </c>
      <c r="J218">
        <f t="shared" si="21"/>
        <v>1444.1000000000004</v>
      </c>
      <c r="K218">
        <f t="shared" si="22"/>
        <v>225.4</v>
      </c>
      <c r="M218" s="64">
        <v>8.3000000000000007</v>
      </c>
      <c r="N218">
        <v>0.7</v>
      </c>
      <c r="O218">
        <f t="shared" si="27"/>
        <v>7.6000000000000005</v>
      </c>
      <c r="Q218">
        <v>182</v>
      </c>
      <c r="R218">
        <f t="shared" si="26"/>
        <v>1.0879310344827586</v>
      </c>
      <c r="S218">
        <f t="shared" si="19"/>
        <v>0.76155172413793104</v>
      </c>
      <c r="T218">
        <f t="shared" si="20"/>
        <v>7.5384482758620699</v>
      </c>
      <c r="U218" s="65">
        <f t="shared" si="23"/>
        <v>90.107025329927637</v>
      </c>
      <c r="W218">
        <v>297.2</v>
      </c>
      <c r="X218">
        <f t="shared" si="24"/>
        <v>102568.69999999991</v>
      </c>
      <c r="Y218">
        <f t="shared" si="25"/>
        <v>14712.900000000003</v>
      </c>
      <c r="Z218">
        <v>10.762917541021995</v>
      </c>
    </row>
    <row r="219" spans="1:29" x14ac:dyDescent="0.25">
      <c r="A219">
        <v>5320</v>
      </c>
      <c r="B219">
        <v>23210</v>
      </c>
      <c r="C219" s="1">
        <v>42796</v>
      </c>
      <c r="F219" s="38"/>
      <c r="G219">
        <v>6.8</v>
      </c>
      <c r="H219">
        <v>3.3</v>
      </c>
      <c r="I219">
        <v>10.3</v>
      </c>
      <c r="J219">
        <f t="shared" si="21"/>
        <v>1450.9000000000003</v>
      </c>
      <c r="K219">
        <f t="shared" si="22"/>
        <v>232.20000000000002</v>
      </c>
      <c r="M219" s="64">
        <v>0</v>
      </c>
      <c r="N219">
        <v>1.1000000000000001</v>
      </c>
      <c r="O219">
        <f t="shared" si="27"/>
        <v>-1.1000000000000001</v>
      </c>
      <c r="Q219">
        <v>183</v>
      </c>
      <c r="R219">
        <f t="shared" si="26"/>
        <v>1.0905172413793103</v>
      </c>
      <c r="S219">
        <f t="shared" si="19"/>
        <v>1.1995689655172415</v>
      </c>
      <c r="T219">
        <f t="shared" si="20"/>
        <v>-1.1995689655172415</v>
      </c>
      <c r="U219" s="65">
        <f t="shared" si="23"/>
        <v>88.907456364410393</v>
      </c>
      <c r="W219">
        <v>823.7</v>
      </c>
      <c r="X219">
        <f t="shared" si="24"/>
        <v>103392.39999999991</v>
      </c>
      <c r="Y219">
        <f t="shared" si="25"/>
        <v>15536.600000000004</v>
      </c>
      <c r="Z219">
        <v>10.82063130741725</v>
      </c>
      <c r="AC219" s="2" t="s">
        <v>64</v>
      </c>
    </row>
    <row r="220" spans="1:29" x14ac:dyDescent="0.25">
      <c r="A220">
        <v>5320</v>
      </c>
      <c r="B220">
        <v>23210</v>
      </c>
      <c r="C220" s="1">
        <v>42797</v>
      </c>
      <c r="F220" s="38"/>
      <c r="G220">
        <v>10.3</v>
      </c>
      <c r="H220">
        <v>6</v>
      </c>
      <c r="I220">
        <v>13.3</v>
      </c>
      <c r="J220">
        <f t="shared" si="21"/>
        <v>1461.2000000000003</v>
      </c>
      <c r="K220">
        <f t="shared" si="22"/>
        <v>242.50000000000003</v>
      </c>
      <c r="M220" s="64">
        <v>9.6</v>
      </c>
      <c r="N220">
        <v>1.6</v>
      </c>
      <c r="O220">
        <f t="shared" si="27"/>
        <v>8</v>
      </c>
      <c r="Q220">
        <v>184</v>
      </c>
      <c r="R220">
        <f t="shared" si="26"/>
        <v>1.0931034482758619</v>
      </c>
      <c r="S220">
        <f t="shared" si="19"/>
        <v>1.7489655172413792</v>
      </c>
      <c r="T220">
        <f t="shared" si="20"/>
        <v>7.8510344827586209</v>
      </c>
      <c r="U220" s="65">
        <f t="shared" si="23"/>
        <v>96.758490847169014</v>
      </c>
      <c r="W220">
        <v>1010</v>
      </c>
      <c r="X220">
        <f t="shared" si="24"/>
        <v>104402.39999999991</v>
      </c>
      <c r="Y220">
        <f t="shared" si="25"/>
        <v>16546.600000000006</v>
      </c>
      <c r="Z220">
        <v>10.878527236074037</v>
      </c>
      <c r="AC220" s="14">
        <f>(AB197*(45/177))+(AB208*(22/177))+(AB223*(81/177))+(AB234*(29/177))</f>
        <v>100.62515925328071</v>
      </c>
    </row>
    <row r="221" spans="1:29" x14ac:dyDescent="0.25">
      <c r="A221">
        <v>5320</v>
      </c>
      <c r="B221">
        <v>23210</v>
      </c>
      <c r="C221" s="1">
        <v>42798</v>
      </c>
      <c r="F221" s="38"/>
      <c r="G221">
        <v>7.6</v>
      </c>
      <c r="H221">
        <v>7</v>
      </c>
      <c r="I221">
        <v>8.6</v>
      </c>
      <c r="J221">
        <f t="shared" si="21"/>
        <v>1468.8000000000002</v>
      </c>
      <c r="K221">
        <f t="shared" si="22"/>
        <v>250.10000000000002</v>
      </c>
      <c r="M221" s="64">
        <v>5.3</v>
      </c>
      <c r="N221">
        <v>0.5</v>
      </c>
      <c r="O221">
        <f t="shared" si="27"/>
        <v>4.8</v>
      </c>
      <c r="Q221">
        <v>185</v>
      </c>
      <c r="R221">
        <f t="shared" si="26"/>
        <v>1.0956896551724138</v>
      </c>
      <c r="S221">
        <f t="shared" si="19"/>
        <v>0.5478448275862069</v>
      </c>
      <c r="T221">
        <f t="shared" si="20"/>
        <v>4.7521551724137927</v>
      </c>
      <c r="U221" s="65">
        <f t="shared" si="23"/>
        <v>101.51064601958281</v>
      </c>
      <c r="W221">
        <v>396</v>
      </c>
      <c r="X221">
        <f t="shared" si="24"/>
        <v>104798.39999999991</v>
      </c>
      <c r="Y221">
        <f t="shared" si="25"/>
        <v>16942.600000000006</v>
      </c>
      <c r="Z221">
        <v>10.936594409333525</v>
      </c>
      <c r="AC221" s="2" t="s">
        <v>65</v>
      </c>
    </row>
    <row r="222" spans="1:29" x14ac:dyDescent="0.25">
      <c r="A222">
        <v>5320</v>
      </c>
      <c r="B222">
        <v>23210</v>
      </c>
      <c r="C222" s="1">
        <v>42799</v>
      </c>
      <c r="F222" s="38"/>
      <c r="G222">
        <v>7.1</v>
      </c>
      <c r="H222">
        <v>5</v>
      </c>
      <c r="I222">
        <v>9.6999999999999993</v>
      </c>
      <c r="J222">
        <f t="shared" si="21"/>
        <v>1475.9</v>
      </c>
      <c r="K222">
        <f t="shared" si="22"/>
        <v>257.20000000000005</v>
      </c>
      <c r="M222" s="64">
        <v>10.6</v>
      </c>
      <c r="N222">
        <v>1.1000000000000001</v>
      </c>
      <c r="O222">
        <f t="shared" si="27"/>
        <v>9.5</v>
      </c>
      <c r="Q222">
        <v>186</v>
      </c>
      <c r="R222">
        <f t="shared" si="26"/>
        <v>1.0982758620689654</v>
      </c>
      <c r="S222">
        <f t="shared" si="19"/>
        <v>1.2081034482758621</v>
      </c>
      <c r="T222">
        <f t="shared" si="20"/>
        <v>9.3918965517241375</v>
      </c>
      <c r="U222" s="65">
        <f t="shared" si="23"/>
        <v>110.90254257130695</v>
      </c>
      <c r="W222">
        <v>333.8</v>
      </c>
      <c r="X222">
        <f t="shared" si="24"/>
        <v>105132.19999999991</v>
      </c>
      <c r="Y222">
        <f t="shared" si="25"/>
        <v>17276.400000000005</v>
      </c>
      <c r="Z222">
        <v>10.994822182552422</v>
      </c>
      <c r="AB222" s="2" t="s">
        <v>64</v>
      </c>
      <c r="AC222" s="29">
        <f>(AB199*(45/177))+(AB210*(22/177))+(AB225*(81/177))+(AB236*(29/177))</f>
        <v>4.0395480225988702</v>
      </c>
    </row>
    <row r="223" spans="1:29" x14ac:dyDescent="0.25">
      <c r="A223">
        <v>5320</v>
      </c>
      <c r="B223">
        <v>23210</v>
      </c>
      <c r="C223" s="1">
        <v>42800</v>
      </c>
      <c r="F223" s="38"/>
      <c r="G223">
        <v>6.8</v>
      </c>
      <c r="H223">
        <v>5.9</v>
      </c>
      <c r="I223">
        <v>8.1999999999999993</v>
      </c>
      <c r="J223">
        <f t="shared" si="21"/>
        <v>1482.7</v>
      </c>
      <c r="K223">
        <f t="shared" si="22"/>
        <v>264.00000000000006</v>
      </c>
      <c r="M223" s="64">
        <v>8.3000000000000007</v>
      </c>
      <c r="N223">
        <v>0.8</v>
      </c>
      <c r="O223">
        <f t="shared" si="27"/>
        <v>7.5000000000000009</v>
      </c>
      <c r="Q223">
        <v>187</v>
      </c>
      <c r="R223">
        <f t="shared" si="26"/>
        <v>1.1008620689655171</v>
      </c>
      <c r="S223">
        <f t="shared" si="19"/>
        <v>0.88068965517241371</v>
      </c>
      <c r="T223">
        <f t="shared" si="20"/>
        <v>7.4193103448275872</v>
      </c>
      <c r="U223" s="65">
        <f t="shared" si="23"/>
        <v>118.32185291613455</v>
      </c>
      <c r="W223">
        <v>289.2</v>
      </c>
      <c r="X223">
        <f t="shared" si="24"/>
        <v>105421.39999999991</v>
      </c>
      <c r="Y223">
        <f t="shared" si="25"/>
        <v>17565.600000000006</v>
      </c>
      <c r="Z223">
        <v>11.053200171253758</v>
      </c>
      <c r="AB223" s="14">
        <f>AVERAGE(U229:U242)</f>
        <v>112.51014109347443</v>
      </c>
      <c r="AC223" s="2" t="s">
        <v>66</v>
      </c>
    </row>
    <row r="224" spans="1:29" x14ac:dyDescent="0.25">
      <c r="A224">
        <v>5320</v>
      </c>
      <c r="B224">
        <v>23210</v>
      </c>
      <c r="C224" s="1">
        <v>42801</v>
      </c>
      <c r="F224" s="38"/>
      <c r="G224">
        <v>6.7</v>
      </c>
      <c r="H224">
        <v>5</v>
      </c>
      <c r="I224">
        <v>8.3000000000000007</v>
      </c>
      <c r="J224">
        <f t="shared" si="21"/>
        <v>1489.4</v>
      </c>
      <c r="K224">
        <f t="shared" si="22"/>
        <v>270.70000000000005</v>
      </c>
      <c r="M224" s="64">
        <v>2.5</v>
      </c>
      <c r="N224">
        <v>0.8</v>
      </c>
      <c r="O224">
        <f t="shared" si="27"/>
        <v>1.7</v>
      </c>
      <c r="Q224">
        <v>188</v>
      </c>
      <c r="R224">
        <f t="shared" si="26"/>
        <v>1.103448275862069</v>
      </c>
      <c r="S224">
        <f t="shared" si="19"/>
        <v>0.88275862068965516</v>
      </c>
      <c r="T224">
        <f t="shared" si="20"/>
        <v>1.6172413793103448</v>
      </c>
      <c r="U224" s="65">
        <f t="shared" si="23"/>
        <v>119.93909429544489</v>
      </c>
      <c r="W224">
        <v>241.5</v>
      </c>
      <c r="X224">
        <f t="shared" si="24"/>
        <v>105662.89999999991</v>
      </c>
      <c r="Y224">
        <f t="shared" si="25"/>
        <v>17807.100000000006</v>
      </c>
      <c r="Z224">
        <v>11.111718237991427</v>
      </c>
      <c r="AB224" s="2" t="s">
        <v>65</v>
      </c>
      <c r="AC224" s="29">
        <f>(AB201*(45/177))+(AB212*(22/177))+(AB227*(81/177))+(AB238*(29/177))</f>
        <v>5.0451977401129939</v>
      </c>
    </row>
    <row r="225" spans="1:29" x14ac:dyDescent="0.25">
      <c r="A225">
        <v>5320</v>
      </c>
      <c r="B225">
        <v>23210</v>
      </c>
      <c r="C225" s="1">
        <v>42802</v>
      </c>
      <c r="F225" s="38"/>
      <c r="G225">
        <v>10.1</v>
      </c>
      <c r="H225">
        <v>6.1</v>
      </c>
      <c r="I225">
        <v>12.4</v>
      </c>
      <c r="J225">
        <f t="shared" si="21"/>
        <v>1499.5</v>
      </c>
      <c r="K225">
        <f t="shared" si="22"/>
        <v>280.80000000000007</v>
      </c>
      <c r="M225" s="64">
        <v>0</v>
      </c>
      <c r="N225">
        <v>0.3</v>
      </c>
      <c r="O225">
        <f t="shared" si="27"/>
        <v>-0.3</v>
      </c>
      <c r="Q225">
        <v>189</v>
      </c>
      <c r="R225">
        <f t="shared" si="26"/>
        <v>1.1060344827586206</v>
      </c>
      <c r="S225">
        <f t="shared" si="19"/>
        <v>0.33181034482758615</v>
      </c>
      <c r="T225">
        <f t="shared" si="20"/>
        <v>-0.33181034482758615</v>
      </c>
      <c r="U225" s="65">
        <f t="shared" si="23"/>
        <v>119.6072839506173</v>
      </c>
      <c r="W225">
        <v>238.3</v>
      </c>
      <c r="X225">
        <f t="shared" si="24"/>
        <v>105901.19999999991</v>
      </c>
      <c r="Y225">
        <f t="shared" si="25"/>
        <v>18045.400000000005</v>
      </c>
      <c r="Z225">
        <v>11.170366478955442</v>
      </c>
      <c r="AB225">
        <v>4</v>
      </c>
      <c r="AC225" s="2" t="s">
        <v>67</v>
      </c>
    </row>
    <row r="226" spans="1:29" x14ac:dyDescent="0.25">
      <c r="A226">
        <v>5320</v>
      </c>
      <c r="B226">
        <v>23210</v>
      </c>
      <c r="C226" s="1">
        <v>42803</v>
      </c>
      <c r="F226" s="38"/>
      <c r="G226">
        <v>12.1</v>
      </c>
      <c r="H226">
        <v>10.4</v>
      </c>
      <c r="I226">
        <v>13.6</v>
      </c>
      <c r="J226">
        <f t="shared" si="21"/>
        <v>1511.6</v>
      </c>
      <c r="K226">
        <f t="shared" si="22"/>
        <v>292.90000000000009</v>
      </c>
      <c r="M226" s="64">
        <v>0.4</v>
      </c>
      <c r="N226">
        <v>0.9</v>
      </c>
      <c r="O226">
        <f t="shared" si="27"/>
        <v>-0.5</v>
      </c>
      <c r="Q226">
        <v>190</v>
      </c>
      <c r="R226">
        <f t="shared" si="26"/>
        <v>1.1086206896551722</v>
      </c>
      <c r="S226">
        <f t="shared" si="19"/>
        <v>0.99775862068965504</v>
      </c>
      <c r="T226">
        <f t="shared" si="20"/>
        <v>-0.59775862068965502</v>
      </c>
      <c r="U226" s="65">
        <f t="shared" si="23"/>
        <v>119.00952532992764</v>
      </c>
      <c r="W226">
        <v>327.9</v>
      </c>
      <c r="X226">
        <f t="shared" si="24"/>
        <v>106229.0999999999</v>
      </c>
      <c r="Y226">
        <f t="shared" si="25"/>
        <v>18373.300000000007</v>
      </c>
      <c r="Z226">
        <v>11.229135210342847</v>
      </c>
      <c r="AB226" s="2" t="s">
        <v>66</v>
      </c>
      <c r="AC226">
        <f>(AB203*(45/177))+(AB214*(22/177))+(AB229*(81/177))+(AB240*(29/177))</f>
        <v>0</v>
      </c>
    </row>
    <row r="227" spans="1:29" x14ac:dyDescent="0.25">
      <c r="A227">
        <v>5320</v>
      </c>
      <c r="B227">
        <v>23210</v>
      </c>
      <c r="C227" s="1">
        <v>42804</v>
      </c>
      <c r="F227" s="38"/>
      <c r="G227">
        <v>11</v>
      </c>
      <c r="H227">
        <v>10.7</v>
      </c>
      <c r="I227">
        <v>13.2</v>
      </c>
      <c r="J227">
        <f t="shared" si="21"/>
        <v>1522.6</v>
      </c>
      <c r="K227">
        <f t="shared" si="22"/>
        <v>303.90000000000009</v>
      </c>
      <c r="M227" s="64">
        <v>0.2</v>
      </c>
      <c r="N227">
        <v>0.9</v>
      </c>
      <c r="O227">
        <f t="shared" si="27"/>
        <v>-0.7</v>
      </c>
      <c r="Q227">
        <v>191</v>
      </c>
      <c r="R227">
        <f t="shared" si="26"/>
        <v>1.1112068965517241</v>
      </c>
      <c r="S227">
        <f t="shared" si="19"/>
        <v>1.0000862068965517</v>
      </c>
      <c r="T227">
        <f t="shared" si="20"/>
        <v>-0.80008620689655174</v>
      </c>
      <c r="U227" s="14">
        <f t="shared" si="23"/>
        <v>118.20943912303109</v>
      </c>
      <c r="W227">
        <v>481.7</v>
      </c>
      <c r="X227">
        <f t="shared" si="24"/>
        <v>106710.7999999999</v>
      </c>
      <c r="Y227">
        <f t="shared" si="25"/>
        <v>18855.000000000007</v>
      </c>
      <c r="Z227">
        <v>11.288014954517621</v>
      </c>
      <c r="AB227">
        <v>5</v>
      </c>
      <c r="AC227" s="2" t="s">
        <v>68</v>
      </c>
    </row>
    <row r="228" spans="1:29" x14ac:dyDescent="0.25">
      <c r="A228">
        <v>5320</v>
      </c>
      <c r="B228">
        <v>23210</v>
      </c>
      <c r="C228" s="1">
        <v>42805</v>
      </c>
      <c r="F228" s="38"/>
      <c r="G228">
        <v>9.8000000000000007</v>
      </c>
      <c r="H228">
        <v>3.4</v>
      </c>
      <c r="I228">
        <v>14.4</v>
      </c>
      <c r="J228">
        <f t="shared" si="21"/>
        <v>1532.3999999999999</v>
      </c>
      <c r="K228">
        <f t="shared" si="22"/>
        <v>313.7000000000001</v>
      </c>
      <c r="M228" s="64">
        <v>0</v>
      </c>
      <c r="N228">
        <v>1.2</v>
      </c>
      <c r="O228">
        <f t="shared" si="27"/>
        <v>-1.2</v>
      </c>
      <c r="Q228">
        <v>192</v>
      </c>
      <c r="R228">
        <f t="shared" si="26"/>
        <v>1.1137931034482758</v>
      </c>
      <c r="S228">
        <f t="shared" si="19"/>
        <v>1.3365517241379308</v>
      </c>
      <c r="T228">
        <f t="shared" si="20"/>
        <v>-1.3365517241379308</v>
      </c>
      <c r="U228" s="14">
        <f t="shared" si="23"/>
        <v>116.87288739889316</v>
      </c>
      <c r="W228">
        <v>1157.9000000000001</v>
      </c>
      <c r="X228">
        <f t="shared" si="24"/>
        <v>107868.6999999999</v>
      </c>
      <c r="Y228">
        <f t="shared" si="25"/>
        <v>20012.900000000009</v>
      </c>
      <c r="Z228">
        <v>11.346996425981104</v>
      </c>
      <c r="AB228" s="2" t="s">
        <v>67</v>
      </c>
      <c r="AC228" s="14">
        <f>(AB205*(45/177))+(AB216*(22/177))+(AB231*(81/177))+(AB242*(29/177))</f>
        <v>18.011299435028249</v>
      </c>
    </row>
    <row r="229" spans="1:29" x14ac:dyDescent="0.25">
      <c r="A229">
        <v>5320</v>
      </c>
      <c r="B229">
        <v>23210</v>
      </c>
      <c r="C229" s="1">
        <v>42806</v>
      </c>
      <c r="F229" s="38"/>
      <c r="G229">
        <v>10.9</v>
      </c>
      <c r="H229">
        <v>6.6</v>
      </c>
      <c r="I229">
        <v>15.3</v>
      </c>
      <c r="J229">
        <f t="shared" si="21"/>
        <v>1543.3</v>
      </c>
      <c r="K229">
        <f t="shared" si="22"/>
        <v>324.60000000000008</v>
      </c>
      <c r="M229" s="64">
        <v>0</v>
      </c>
      <c r="N229">
        <v>1</v>
      </c>
      <c r="O229">
        <f t="shared" si="27"/>
        <v>-1</v>
      </c>
      <c r="Q229">
        <v>193</v>
      </c>
      <c r="R229">
        <f t="shared" si="26"/>
        <v>1.1163793103448274</v>
      </c>
      <c r="S229">
        <f t="shared" si="19"/>
        <v>1.1163793103448274</v>
      </c>
      <c r="T229">
        <f t="shared" si="20"/>
        <v>-1.1163793103448274</v>
      </c>
      <c r="U229" s="65">
        <f t="shared" si="23"/>
        <v>115.75650808854833</v>
      </c>
      <c r="W229">
        <v>390.4</v>
      </c>
      <c r="X229">
        <f t="shared" si="24"/>
        <v>108259.09999999989</v>
      </c>
      <c r="Y229">
        <f t="shared" si="25"/>
        <v>20403.30000000001</v>
      </c>
      <c r="Z229">
        <v>11.406070517173081</v>
      </c>
      <c r="AB229">
        <v>0</v>
      </c>
    </row>
    <row r="230" spans="1:29" x14ac:dyDescent="0.25">
      <c r="A230">
        <v>5320</v>
      </c>
      <c r="B230">
        <v>23210</v>
      </c>
      <c r="C230" s="1">
        <v>42807</v>
      </c>
      <c r="F230" s="38"/>
      <c r="G230">
        <v>10.3</v>
      </c>
      <c r="H230">
        <v>6.8</v>
      </c>
      <c r="I230">
        <v>13.6</v>
      </c>
      <c r="J230">
        <f t="shared" si="21"/>
        <v>1553.6</v>
      </c>
      <c r="K230">
        <f t="shared" si="22"/>
        <v>334.90000000000009</v>
      </c>
      <c r="M230" s="64">
        <v>0</v>
      </c>
      <c r="N230">
        <v>1</v>
      </c>
      <c r="O230">
        <f t="shared" si="27"/>
        <v>-1</v>
      </c>
      <c r="Q230">
        <v>194</v>
      </c>
      <c r="R230">
        <f t="shared" si="26"/>
        <v>1.1189655172413793</v>
      </c>
      <c r="S230">
        <f t="shared" ref="S230:S293" si="28">R230*N230</f>
        <v>1.1189655172413793</v>
      </c>
      <c r="T230">
        <f t="shared" ref="T230:T293" si="29">M230-S230</f>
        <v>-1.1189655172413793</v>
      </c>
      <c r="U230" s="65">
        <f t="shared" si="23"/>
        <v>114.63754257130695</v>
      </c>
      <c r="W230">
        <v>762.2</v>
      </c>
      <c r="X230">
        <f t="shared" si="24"/>
        <v>109021.29999999989</v>
      </c>
      <c r="Y230">
        <f t="shared" si="25"/>
        <v>21165.500000000011</v>
      </c>
      <c r="Z230">
        <v>11.465228284122091</v>
      </c>
      <c r="AB230" s="2" t="s">
        <v>68</v>
      </c>
    </row>
    <row r="231" spans="1:29" x14ac:dyDescent="0.25">
      <c r="A231">
        <v>5320</v>
      </c>
      <c r="B231">
        <v>23210</v>
      </c>
      <c r="C231" s="1">
        <v>42808</v>
      </c>
      <c r="F231" s="38"/>
      <c r="G231">
        <v>9.1</v>
      </c>
      <c r="H231">
        <v>4</v>
      </c>
      <c r="I231">
        <v>13</v>
      </c>
      <c r="J231">
        <f t="shared" ref="J231:J294" si="30">J230+G231</f>
        <v>1562.6999999999998</v>
      </c>
      <c r="K231">
        <f t="shared" ref="K231:K293" si="31">K230+G231</f>
        <v>344.00000000000011</v>
      </c>
      <c r="M231" s="64">
        <v>0</v>
      </c>
      <c r="N231">
        <v>1.9</v>
      </c>
      <c r="O231">
        <f t="shared" si="27"/>
        <v>-1.9</v>
      </c>
      <c r="Q231">
        <v>195</v>
      </c>
      <c r="R231">
        <f t="shared" si="26"/>
        <v>1.1215517241379309</v>
      </c>
      <c r="S231">
        <f t="shared" si="28"/>
        <v>2.1309482758620688</v>
      </c>
      <c r="T231">
        <f t="shared" si="29"/>
        <v>-2.1309482758620688</v>
      </c>
      <c r="U231" s="65">
        <f t="shared" ref="U231:U294" si="32">MIN(U230+T231,138.9)</f>
        <v>112.50659429544488</v>
      </c>
      <c r="W231">
        <v>1652.8</v>
      </c>
      <c r="X231">
        <f t="shared" ref="X231:X294" si="33">X230+W231</f>
        <v>110674.09999999989</v>
      </c>
      <c r="Y231">
        <f t="shared" ref="Y231:Y293" si="34">Y230+W231</f>
        <v>22818.30000000001</v>
      </c>
      <c r="Z231">
        <v>11.524460931962292</v>
      </c>
      <c r="AB231">
        <f>SUM(M233:M242)</f>
        <v>18.8</v>
      </c>
    </row>
    <row r="232" spans="1:29" s="58" customFormat="1" x14ac:dyDescent="0.25">
      <c r="A232" s="58">
        <v>5320</v>
      </c>
      <c r="B232" s="58">
        <v>23210</v>
      </c>
      <c r="C232" s="59">
        <v>42809</v>
      </c>
      <c r="D232" s="58" t="s">
        <v>62</v>
      </c>
      <c r="F232" s="38"/>
      <c r="G232" s="58">
        <v>9.3000000000000007</v>
      </c>
      <c r="H232" s="58">
        <v>5.9</v>
      </c>
      <c r="I232" s="58">
        <v>12</v>
      </c>
      <c r="J232" s="58">
        <f t="shared" si="30"/>
        <v>1571.9999999999998</v>
      </c>
      <c r="K232" s="58">
        <f t="shared" si="31"/>
        <v>353.30000000000013</v>
      </c>
      <c r="M232" s="58">
        <v>0</v>
      </c>
      <c r="N232" s="58">
        <v>0.6</v>
      </c>
      <c r="O232" s="58">
        <f t="shared" si="27"/>
        <v>-0.6</v>
      </c>
      <c r="Q232" s="58">
        <v>196</v>
      </c>
      <c r="R232" s="58">
        <f t="shared" si="26"/>
        <v>1.1241379310344828</v>
      </c>
      <c r="S232" s="58">
        <f t="shared" si="28"/>
        <v>0.67448275862068963</v>
      </c>
      <c r="T232" s="58">
        <f t="shared" si="29"/>
        <v>-0.67448275862068963</v>
      </c>
      <c r="U232" s="60">
        <f t="shared" si="32"/>
        <v>111.8321115368242</v>
      </c>
      <c r="W232" s="58">
        <v>554.70000000000005</v>
      </c>
      <c r="X232" s="58">
        <f t="shared" si="33"/>
        <v>111228.79999999989</v>
      </c>
      <c r="Y232" s="58">
        <f t="shared" si="34"/>
        <v>23373.000000000011</v>
      </c>
      <c r="Z232" s="58">
        <v>11.583759800332889</v>
      </c>
    </row>
    <row r="233" spans="1:29" x14ac:dyDescent="0.25">
      <c r="A233">
        <v>5320</v>
      </c>
      <c r="B233">
        <v>23210</v>
      </c>
      <c r="C233" s="1">
        <v>42810</v>
      </c>
      <c r="F233" s="38"/>
      <c r="G233">
        <v>11.9</v>
      </c>
      <c r="H233">
        <v>5.0999999999999996</v>
      </c>
      <c r="I233">
        <v>17.600000000000001</v>
      </c>
      <c r="J233">
        <f t="shared" si="30"/>
        <v>1583.8999999999999</v>
      </c>
      <c r="K233">
        <f t="shared" si="31"/>
        <v>365.2000000000001</v>
      </c>
      <c r="M233" s="64">
        <v>0</v>
      </c>
      <c r="N233">
        <v>2.4</v>
      </c>
      <c r="O233">
        <f t="shared" si="27"/>
        <v>-2.4</v>
      </c>
      <c r="Q233">
        <v>197</v>
      </c>
      <c r="R233">
        <f t="shared" si="26"/>
        <v>1.1267241379310344</v>
      </c>
      <c r="S233">
        <f t="shared" si="28"/>
        <v>2.7041379310344826</v>
      </c>
      <c r="T233">
        <f t="shared" si="29"/>
        <v>-2.7041379310344826</v>
      </c>
      <c r="U233" s="65">
        <f t="shared" si="32"/>
        <v>109.12797360578972</v>
      </c>
      <c r="W233">
        <v>1652</v>
      </c>
      <c r="X233">
        <f t="shared" si="33"/>
        <v>112880.79999999989</v>
      </c>
      <c r="Y233">
        <f t="shared" si="34"/>
        <v>25025.000000000011</v>
      </c>
      <c r="Z233">
        <v>11.643116348675104</v>
      </c>
      <c r="AB233" s="2" t="s">
        <v>64</v>
      </c>
    </row>
    <row r="234" spans="1:29" x14ac:dyDescent="0.25">
      <c r="A234">
        <v>5320</v>
      </c>
      <c r="B234">
        <v>23210</v>
      </c>
      <c r="C234" s="1">
        <v>42811</v>
      </c>
      <c r="F234" s="38"/>
      <c r="G234">
        <v>7.9</v>
      </c>
      <c r="H234">
        <v>6.6</v>
      </c>
      <c r="I234">
        <v>10.5</v>
      </c>
      <c r="J234">
        <f t="shared" si="30"/>
        <v>1591.8</v>
      </c>
      <c r="K234">
        <f t="shared" si="31"/>
        <v>373.10000000000008</v>
      </c>
      <c r="M234" s="64">
        <v>0</v>
      </c>
      <c r="N234">
        <v>1</v>
      </c>
      <c r="O234">
        <f t="shared" si="27"/>
        <v>-1</v>
      </c>
      <c r="Q234">
        <v>198</v>
      </c>
      <c r="R234">
        <f t="shared" si="26"/>
        <v>1.1293103448275861</v>
      </c>
      <c r="S234">
        <f t="shared" si="28"/>
        <v>1.1293103448275861</v>
      </c>
      <c r="T234">
        <f t="shared" si="29"/>
        <v>-1.1293103448275861</v>
      </c>
      <c r="U234" s="65">
        <f t="shared" si="32"/>
        <v>107.99866326096213</v>
      </c>
      <c r="W234">
        <v>646.9</v>
      </c>
      <c r="X234">
        <f t="shared" si="33"/>
        <v>113527.69999999988</v>
      </c>
      <c r="Y234">
        <f t="shared" si="34"/>
        <v>25671.900000000012</v>
      </c>
      <c r="Z234">
        <v>11.702522141440607</v>
      </c>
      <c r="AB234" s="14">
        <f>AVERAGE(U239:U252)</f>
        <v>109.48613863042026</v>
      </c>
    </row>
    <row r="235" spans="1:29" x14ac:dyDescent="0.25">
      <c r="A235">
        <v>5320</v>
      </c>
      <c r="B235">
        <v>23210</v>
      </c>
      <c r="C235" s="1">
        <v>42812</v>
      </c>
      <c r="F235" s="38"/>
      <c r="G235">
        <v>8.9</v>
      </c>
      <c r="H235">
        <v>4.9000000000000004</v>
      </c>
      <c r="I235">
        <v>12</v>
      </c>
      <c r="J235">
        <f t="shared" si="30"/>
        <v>1600.7</v>
      </c>
      <c r="K235">
        <f t="shared" si="31"/>
        <v>382.00000000000006</v>
      </c>
      <c r="M235" s="64">
        <v>0</v>
      </c>
      <c r="N235">
        <v>0.6</v>
      </c>
      <c r="O235">
        <f t="shared" si="27"/>
        <v>-0.6</v>
      </c>
      <c r="Q235">
        <v>199</v>
      </c>
      <c r="R235">
        <f t="shared" si="26"/>
        <v>1.1318965517241379</v>
      </c>
      <c r="S235">
        <f t="shared" si="28"/>
        <v>0.67913793103448272</v>
      </c>
      <c r="T235">
        <f t="shared" si="29"/>
        <v>-0.67913793103448272</v>
      </c>
      <c r="U235" s="65">
        <f t="shared" si="32"/>
        <v>107.31952532992764</v>
      </c>
      <c r="W235">
        <v>256.60000000000002</v>
      </c>
      <c r="X235">
        <f t="shared" si="33"/>
        <v>113784.29999999989</v>
      </c>
      <c r="Y235">
        <f t="shared" si="34"/>
        <v>25928.500000000011</v>
      </c>
      <c r="Z235">
        <v>11.761968833224401</v>
      </c>
      <c r="AB235" s="2" t="s">
        <v>65</v>
      </c>
    </row>
    <row r="236" spans="1:29" x14ac:dyDescent="0.25">
      <c r="A236">
        <v>5320</v>
      </c>
      <c r="B236">
        <v>23210</v>
      </c>
      <c r="C236" s="1">
        <v>42813</v>
      </c>
      <c r="F236" s="38"/>
      <c r="G236">
        <v>10.4</v>
      </c>
      <c r="H236">
        <v>9.5</v>
      </c>
      <c r="I236">
        <v>11.7</v>
      </c>
      <c r="J236">
        <f t="shared" si="30"/>
        <v>1611.1000000000001</v>
      </c>
      <c r="K236">
        <f t="shared" si="31"/>
        <v>392.40000000000003</v>
      </c>
      <c r="M236" s="64">
        <v>0</v>
      </c>
      <c r="N236">
        <v>1</v>
      </c>
      <c r="O236">
        <f t="shared" si="27"/>
        <v>-1</v>
      </c>
      <c r="Q236">
        <v>200</v>
      </c>
      <c r="R236">
        <f t="shared" si="26"/>
        <v>1.1344827586206896</v>
      </c>
      <c r="S236">
        <f t="shared" si="28"/>
        <v>1.1344827586206896</v>
      </c>
      <c r="T236">
        <f t="shared" si="29"/>
        <v>-1.1344827586206896</v>
      </c>
      <c r="U236" s="65">
        <f t="shared" si="32"/>
        <v>106.18504257130695</v>
      </c>
      <c r="W236">
        <v>337.2</v>
      </c>
      <c r="X236">
        <f t="shared" si="33"/>
        <v>114121.49999999988</v>
      </c>
      <c r="Y236">
        <f t="shared" si="34"/>
        <v>26265.700000000012</v>
      </c>
      <c r="Z236">
        <v>11.821448153834485</v>
      </c>
      <c r="AB236">
        <v>5</v>
      </c>
    </row>
    <row r="237" spans="1:29" x14ac:dyDescent="0.25">
      <c r="A237">
        <v>5320</v>
      </c>
      <c r="B237">
        <v>23210</v>
      </c>
      <c r="C237" s="1">
        <v>42814</v>
      </c>
      <c r="F237" s="38"/>
      <c r="G237">
        <v>9.9</v>
      </c>
      <c r="H237">
        <v>8.5</v>
      </c>
      <c r="I237">
        <v>11.6</v>
      </c>
      <c r="J237">
        <f t="shared" si="30"/>
        <v>1621.0000000000002</v>
      </c>
      <c r="K237">
        <f t="shared" si="31"/>
        <v>402.3</v>
      </c>
      <c r="M237" s="64">
        <v>0.2</v>
      </c>
      <c r="N237">
        <v>1.5</v>
      </c>
      <c r="O237">
        <f t="shared" si="27"/>
        <v>-1.3</v>
      </c>
      <c r="Q237">
        <v>201</v>
      </c>
      <c r="R237">
        <f t="shared" si="26"/>
        <v>1.1370689655172412</v>
      </c>
      <c r="S237">
        <f t="shared" si="28"/>
        <v>1.7056034482758617</v>
      </c>
      <c r="T237">
        <f t="shared" si="29"/>
        <v>-1.5056034482758618</v>
      </c>
      <c r="U237" s="65">
        <f t="shared" si="32"/>
        <v>104.67943912303109</v>
      </c>
      <c r="W237">
        <v>261.10000000000002</v>
      </c>
      <c r="X237">
        <f t="shared" si="33"/>
        <v>114382.59999999989</v>
      </c>
      <c r="Y237">
        <f t="shared" si="34"/>
        <v>26526.80000000001</v>
      </c>
      <c r="Z237">
        <v>11.88095189330979</v>
      </c>
      <c r="AB237" s="2" t="s">
        <v>66</v>
      </c>
    </row>
    <row r="238" spans="1:29" x14ac:dyDescent="0.25">
      <c r="A238">
        <v>5320</v>
      </c>
      <c r="B238">
        <v>23210</v>
      </c>
      <c r="C238" s="1">
        <v>42815</v>
      </c>
      <c r="F238" s="38"/>
      <c r="G238">
        <v>7.5</v>
      </c>
      <c r="H238">
        <v>6.8</v>
      </c>
      <c r="I238">
        <v>8.6</v>
      </c>
      <c r="J238">
        <f t="shared" si="30"/>
        <v>1628.5000000000002</v>
      </c>
      <c r="K238">
        <f t="shared" si="31"/>
        <v>409.8</v>
      </c>
      <c r="M238" s="64">
        <v>2.2000000000000002</v>
      </c>
      <c r="N238">
        <v>0.8</v>
      </c>
      <c r="O238">
        <f t="shared" si="27"/>
        <v>1.4000000000000001</v>
      </c>
      <c r="Q238">
        <v>202</v>
      </c>
      <c r="R238">
        <f t="shared" si="26"/>
        <v>1.1396551724137931</v>
      </c>
      <c r="S238">
        <f t="shared" si="28"/>
        <v>0.91172413793103457</v>
      </c>
      <c r="T238">
        <f t="shared" si="29"/>
        <v>1.2882758620689656</v>
      </c>
      <c r="U238" s="65">
        <f t="shared" si="32"/>
        <v>105.96771498510006</v>
      </c>
      <c r="W238">
        <v>963.2</v>
      </c>
      <c r="X238">
        <f t="shared" si="33"/>
        <v>115345.79999999989</v>
      </c>
      <c r="Y238">
        <f t="shared" si="34"/>
        <v>27490.000000000011</v>
      </c>
      <c r="Z238">
        <v>11.940471886897461</v>
      </c>
      <c r="AB238">
        <v>6</v>
      </c>
    </row>
    <row r="239" spans="1:29" x14ac:dyDescent="0.25">
      <c r="A239">
        <v>5320</v>
      </c>
      <c r="B239">
        <v>23210</v>
      </c>
      <c r="C239" s="1">
        <v>42816</v>
      </c>
      <c r="F239" s="38"/>
      <c r="G239">
        <v>6.4</v>
      </c>
      <c r="H239">
        <v>3.2</v>
      </c>
      <c r="I239">
        <v>9.8000000000000007</v>
      </c>
      <c r="J239">
        <f t="shared" si="30"/>
        <v>1634.9000000000003</v>
      </c>
      <c r="K239">
        <f t="shared" si="31"/>
        <v>416.2</v>
      </c>
      <c r="M239" s="64">
        <v>15.2</v>
      </c>
      <c r="N239">
        <v>0.7</v>
      </c>
      <c r="O239">
        <f t="shared" si="27"/>
        <v>14.5</v>
      </c>
      <c r="Q239">
        <v>203</v>
      </c>
      <c r="R239">
        <f t="shared" si="26"/>
        <v>1.1422413793103448</v>
      </c>
      <c r="S239">
        <f t="shared" si="28"/>
        <v>0.79956896551724133</v>
      </c>
      <c r="T239">
        <f t="shared" si="29"/>
        <v>14.400431034482757</v>
      </c>
      <c r="U239" s="65">
        <f t="shared" si="32"/>
        <v>120.36814601958281</v>
      </c>
      <c r="W239">
        <v>438</v>
      </c>
      <c r="X239">
        <f t="shared" si="33"/>
        <v>115783.79999999989</v>
      </c>
      <c r="Y239">
        <f t="shared" si="34"/>
        <v>27928.000000000011</v>
      </c>
      <c r="Z239">
        <v>12</v>
      </c>
      <c r="AB239" s="2" t="s">
        <v>67</v>
      </c>
    </row>
    <row r="240" spans="1:29" x14ac:dyDescent="0.25">
      <c r="A240">
        <v>5320</v>
      </c>
      <c r="B240">
        <v>23210</v>
      </c>
      <c r="C240" s="1">
        <v>42817</v>
      </c>
      <c r="F240" s="38"/>
      <c r="G240">
        <v>6</v>
      </c>
      <c r="H240">
        <v>5.0999999999999996</v>
      </c>
      <c r="I240">
        <v>7.6</v>
      </c>
      <c r="J240">
        <f t="shared" si="30"/>
        <v>1640.9000000000003</v>
      </c>
      <c r="K240">
        <f t="shared" si="31"/>
        <v>422.2</v>
      </c>
      <c r="M240" s="64">
        <v>1</v>
      </c>
      <c r="N240">
        <v>0.3</v>
      </c>
      <c r="O240">
        <f t="shared" si="27"/>
        <v>0.7</v>
      </c>
      <c r="Q240">
        <v>204</v>
      </c>
      <c r="R240">
        <f t="shared" si="26"/>
        <v>1.1448275862068964</v>
      </c>
      <c r="S240">
        <f t="shared" si="28"/>
        <v>0.34344827586206889</v>
      </c>
      <c r="T240">
        <f t="shared" si="29"/>
        <v>0.65655172413793106</v>
      </c>
      <c r="U240" s="65">
        <f t="shared" si="32"/>
        <v>121.02469774372074</v>
      </c>
      <c r="W240">
        <v>370.7</v>
      </c>
      <c r="X240">
        <f t="shared" si="33"/>
        <v>116154.49999999988</v>
      </c>
      <c r="Y240">
        <f t="shared" si="34"/>
        <v>28298.700000000012</v>
      </c>
      <c r="Z240">
        <v>12.059528113102539</v>
      </c>
      <c r="AB240">
        <v>0</v>
      </c>
    </row>
    <row r="241" spans="1:28" x14ac:dyDescent="0.25">
      <c r="A241">
        <v>5320</v>
      </c>
      <c r="B241">
        <v>23210</v>
      </c>
      <c r="C241" s="1">
        <v>42818</v>
      </c>
      <c r="F241" s="38"/>
      <c r="G241">
        <v>7.8</v>
      </c>
      <c r="H241">
        <v>2.9</v>
      </c>
      <c r="I241">
        <v>11.4</v>
      </c>
      <c r="J241">
        <f t="shared" si="30"/>
        <v>1648.7000000000003</v>
      </c>
      <c r="K241">
        <f t="shared" si="31"/>
        <v>430</v>
      </c>
      <c r="M241" s="64">
        <v>0.2</v>
      </c>
      <c r="N241">
        <v>0.7</v>
      </c>
      <c r="O241">
        <f t="shared" si="27"/>
        <v>-0.49999999999999994</v>
      </c>
      <c r="Q241">
        <v>205</v>
      </c>
      <c r="R241">
        <f t="shared" si="26"/>
        <v>1.1474137931034483</v>
      </c>
      <c r="S241">
        <f t="shared" si="28"/>
        <v>0.8031896551724137</v>
      </c>
      <c r="T241">
        <f t="shared" si="29"/>
        <v>-0.60318965517241363</v>
      </c>
      <c r="U241" s="65">
        <f t="shared" si="32"/>
        <v>120.42150808854832</v>
      </c>
      <c r="W241">
        <v>869.6</v>
      </c>
      <c r="X241">
        <f t="shared" si="33"/>
        <v>117024.09999999989</v>
      </c>
      <c r="Y241">
        <f t="shared" si="34"/>
        <v>29168.30000000001</v>
      </c>
      <c r="Z241">
        <v>12.11904810669021</v>
      </c>
      <c r="AB241" s="2" t="s">
        <v>68</v>
      </c>
    </row>
    <row r="242" spans="1:28" s="61" customFormat="1" ht="15.75" thickBot="1" x14ac:dyDescent="0.3">
      <c r="A242" s="61">
        <v>5320</v>
      </c>
      <c r="B242" s="61">
        <v>23210</v>
      </c>
      <c r="C242" s="62">
        <v>42819</v>
      </c>
      <c r="D242" s="61" t="s">
        <v>63</v>
      </c>
      <c r="F242" s="39"/>
      <c r="G242" s="61">
        <v>10.8</v>
      </c>
      <c r="H242" s="61">
        <v>6.2</v>
      </c>
      <c r="I242" s="61">
        <v>14.3</v>
      </c>
      <c r="J242" s="61">
        <f t="shared" si="30"/>
        <v>1659.5000000000002</v>
      </c>
      <c r="K242" s="61">
        <f t="shared" si="31"/>
        <v>440.8</v>
      </c>
      <c r="M242" s="61">
        <v>0</v>
      </c>
      <c r="N242" s="61">
        <v>2.7</v>
      </c>
      <c r="O242" s="61">
        <f t="shared" si="27"/>
        <v>-2.7</v>
      </c>
      <c r="Q242" s="61">
        <v>206</v>
      </c>
      <c r="R242" s="61">
        <f t="shared" si="26"/>
        <v>1.1499999999999999</v>
      </c>
      <c r="S242" s="61">
        <f t="shared" si="28"/>
        <v>3.105</v>
      </c>
      <c r="T242" s="61">
        <f t="shared" si="29"/>
        <v>-3.105</v>
      </c>
      <c r="U242" s="63">
        <f t="shared" si="32"/>
        <v>117.31650808854832</v>
      </c>
      <c r="W242" s="61">
        <v>1898.9</v>
      </c>
      <c r="X242" s="61">
        <f t="shared" si="33"/>
        <v>118922.99999999988</v>
      </c>
      <c r="Y242" s="61">
        <f t="shared" si="34"/>
        <v>31067.200000000012</v>
      </c>
      <c r="Z242" s="61">
        <v>12.178551846165515</v>
      </c>
      <c r="AB242" s="61">
        <f>SUM(M243:M252)</f>
        <v>2.4000000000000004</v>
      </c>
    </row>
    <row r="243" spans="1:28" x14ac:dyDescent="0.25">
      <c r="A243">
        <v>5320</v>
      </c>
      <c r="B243">
        <v>23210</v>
      </c>
      <c r="C243" s="1">
        <v>42820</v>
      </c>
      <c r="D243" t="s">
        <v>9</v>
      </c>
      <c r="F243" s="40" t="s">
        <v>54</v>
      </c>
      <c r="G243">
        <v>10.1</v>
      </c>
      <c r="H243">
        <v>3.8</v>
      </c>
      <c r="I243">
        <v>14.7</v>
      </c>
      <c r="J243">
        <f t="shared" si="30"/>
        <v>1669.6000000000001</v>
      </c>
      <c r="K243">
        <v>10.1</v>
      </c>
      <c r="L243" s="17" t="s">
        <v>36</v>
      </c>
      <c r="M243" s="64">
        <v>0</v>
      </c>
      <c r="N243">
        <v>1.8</v>
      </c>
      <c r="O243">
        <f t="shared" si="27"/>
        <v>-1.8</v>
      </c>
      <c r="Q243">
        <v>207</v>
      </c>
      <c r="R243">
        <v>1.1499999999999999</v>
      </c>
      <c r="S243">
        <f t="shared" si="28"/>
        <v>2.0699999999999998</v>
      </c>
      <c r="T243">
        <f t="shared" si="29"/>
        <v>-2.0699999999999998</v>
      </c>
      <c r="U243" s="65">
        <f t="shared" si="32"/>
        <v>115.24650808854832</v>
      </c>
      <c r="V243" s="19" t="s">
        <v>43</v>
      </c>
      <c r="W243">
        <v>1336.6</v>
      </c>
      <c r="X243">
        <f t="shared" si="33"/>
        <v>120259.59999999989</v>
      </c>
      <c r="Y243">
        <f>W243</f>
        <v>1336.6</v>
      </c>
      <c r="Z243">
        <v>12.238031166775597</v>
      </c>
      <c r="AA243" s="19" t="s">
        <v>48</v>
      </c>
    </row>
    <row r="244" spans="1:28" x14ac:dyDescent="0.25">
      <c r="A244">
        <v>5320</v>
      </c>
      <c r="B244">
        <v>23210</v>
      </c>
      <c r="C244" s="1">
        <v>42821</v>
      </c>
      <c r="F244" s="41"/>
      <c r="G244">
        <v>11.5</v>
      </c>
      <c r="H244">
        <v>5.5</v>
      </c>
      <c r="I244">
        <v>17.8</v>
      </c>
      <c r="J244">
        <f t="shared" si="30"/>
        <v>1681.1000000000001</v>
      </c>
      <c r="K244">
        <f t="shared" si="31"/>
        <v>21.6</v>
      </c>
      <c r="L244" s="9">
        <v>242</v>
      </c>
      <c r="M244" s="64">
        <v>1.6</v>
      </c>
      <c r="N244">
        <v>3.2</v>
      </c>
      <c r="O244">
        <f t="shared" si="27"/>
        <v>-1.6</v>
      </c>
      <c r="Q244">
        <v>208</v>
      </c>
      <c r="R244">
        <v>1.1499999999999999</v>
      </c>
      <c r="S244">
        <f t="shared" si="28"/>
        <v>3.6799999999999997</v>
      </c>
      <c r="T244">
        <f t="shared" si="29"/>
        <v>-2.0799999999999996</v>
      </c>
      <c r="U244" s="65">
        <f t="shared" si="32"/>
        <v>113.16650808854833</v>
      </c>
      <c r="V244">
        <v>0</v>
      </c>
      <c r="W244">
        <v>2067.1</v>
      </c>
      <c r="X244">
        <f t="shared" si="33"/>
        <v>122326.6999999999</v>
      </c>
      <c r="Y244">
        <f t="shared" si="34"/>
        <v>3403.7</v>
      </c>
      <c r="Z244">
        <v>12.297477858559391</v>
      </c>
      <c r="AA244">
        <v>31710.9</v>
      </c>
    </row>
    <row r="245" spans="1:28" x14ac:dyDescent="0.25">
      <c r="A245">
        <v>5320</v>
      </c>
      <c r="B245">
        <v>23210</v>
      </c>
      <c r="C245" s="1">
        <v>42822</v>
      </c>
      <c r="F245" s="41"/>
      <c r="G245">
        <v>11.5</v>
      </c>
      <c r="H245">
        <v>6.9</v>
      </c>
      <c r="I245">
        <v>15.8</v>
      </c>
      <c r="J245">
        <f t="shared" si="30"/>
        <v>1692.6000000000001</v>
      </c>
      <c r="K245">
        <f t="shared" si="31"/>
        <v>33.1</v>
      </c>
      <c r="L245" s="17" t="s">
        <v>37</v>
      </c>
      <c r="M245" s="64">
        <v>0.3</v>
      </c>
      <c r="N245">
        <v>1.2</v>
      </c>
      <c r="O245">
        <f t="shared" si="27"/>
        <v>-0.89999999999999991</v>
      </c>
      <c r="Q245">
        <v>209</v>
      </c>
      <c r="R245">
        <v>1.1499999999999999</v>
      </c>
      <c r="S245">
        <f t="shared" si="28"/>
        <v>1.38</v>
      </c>
      <c r="T245">
        <f t="shared" si="29"/>
        <v>-1.0799999999999998</v>
      </c>
      <c r="U245" s="65">
        <f t="shared" si="32"/>
        <v>112.08650808854833</v>
      </c>
      <c r="V245" s="19" t="s">
        <v>44</v>
      </c>
      <c r="W245">
        <v>864.5</v>
      </c>
      <c r="X245">
        <f t="shared" si="33"/>
        <v>123191.1999999999</v>
      </c>
      <c r="Y245">
        <f t="shared" si="34"/>
        <v>4268.2</v>
      </c>
      <c r="Z245">
        <v>12.356883651324894</v>
      </c>
      <c r="AA245" s="19" t="s">
        <v>49</v>
      </c>
    </row>
    <row r="246" spans="1:28" x14ac:dyDescent="0.25">
      <c r="A246">
        <v>5320</v>
      </c>
      <c r="B246">
        <v>23210</v>
      </c>
      <c r="C246" s="1">
        <v>42823</v>
      </c>
      <c r="F246" s="41"/>
      <c r="G246">
        <v>12.4</v>
      </c>
      <c r="H246">
        <v>4.7</v>
      </c>
      <c r="I246">
        <v>19.2</v>
      </c>
      <c r="J246">
        <f t="shared" si="30"/>
        <v>1705.0000000000002</v>
      </c>
      <c r="K246">
        <f t="shared" si="31"/>
        <v>45.5</v>
      </c>
      <c r="L246" s="9">
        <f>AVERAGE(G243:G263)</f>
        <v>11.523809523809522</v>
      </c>
      <c r="M246" s="64">
        <v>0</v>
      </c>
      <c r="N246">
        <v>2.4</v>
      </c>
      <c r="O246">
        <f t="shared" si="27"/>
        <v>-2.4</v>
      </c>
      <c r="Q246">
        <v>210</v>
      </c>
      <c r="R246">
        <v>1.1499999999999999</v>
      </c>
      <c r="S246">
        <f t="shared" si="28"/>
        <v>2.76</v>
      </c>
      <c r="T246">
        <f t="shared" si="29"/>
        <v>-2.76</v>
      </c>
      <c r="U246" s="65">
        <f t="shared" si="32"/>
        <v>109.32650808854832</v>
      </c>
      <c r="V246">
        <v>0</v>
      </c>
      <c r="W246">
        <v>1566.4</v>
      </c>
      <c r="X246">
        <f t="shared" si="33"/>
        <v>124757.59999999989</v>
      </c>
      <c r="Y246">
        <f t="shared" si="34"/>
        <v>5834.6</v>
      </c>
      <c r="Z246">
        <v>12.416240199667111</v>
      </c>
      <c r="AA246" s="14">
        <f>(AA244/100)/L244</f>
        <v>1.3103677685950414</v>
      </c>
    </row>
    <row r="247" spans="1:28" x14ac:dyDescent="0.25">
      <c r="A247">
        <v>5320</v>
      </c>
      <c r="B247">
        <v>23210</v>
      </c>
      <c r="C247" s="1">
        <v>42824</v>
      </c>
      <c r="F247" s="41"/>
      <c r="G247">
        <v>15</v>
      </c>
      <c r="H247">
        <v>6.2</v>
      </c>
      <c r="I247">
        <v>22.5</v>
      </c>
      <c r="J247">
        <f t="shared" si="30"/>
        <v>1720.0000000000002</v>
      </c>
      <c r="K247">
        <f t="shared" si="31"/>
        <v>60.5</v>
      </c>
      <c r="L247" s="17" t="s">
        <v>38</v>
      </c>
      <c r="M247" s="64">
        <v>0</v>
      </c>
      <c r="N247">
        <v>3.2</v>
      </c>
      <c r="O247">
        <f t="shared" si="27"/>
        <v>-3.2</v>
      </c>
      <c r="Q247">
        <v>211</v>
      </c>
      <c r="R247">
        <v>1.1499999999999999</v>
      </c>
      <c r="S247">
        <f t="shared" si="28"/>
        <v>3.6799999999999997</v>
      </c>
      <c r="T247">
        <f t="shared" si="29"/>
        <v>-3.6799999999999997</v>
      </c>
      <c r="U247" s="65">
        <f t="shared" si="32"/>
        <v>105.64650808854833</v>
      </c>
      <c r="V247" s="19" t="s">
        <v>45</v>
      </c>
      <c r="W247">
        <v>1911.9</v>
      </c>
      <c r="X247">
        <f t="shared" si="33"/>
        <v>126669.49999999988</v>
      </c>
      <c r="Y247">
        <f t="shared" si="34"/>
        <v>7746.5</v>
      </c>
      <c r="Z247">
        <v>12.475539068037708</v>
      </c>
      <c r="AA247" s="19" t="s">
        <v>50</v>
      </c>
    </row>
    <row r="248" spans="1:28" x14ac:dyDescent="0.25">
      <c r="A248">
        <v>5320</v>
      </c>
      <c r="B248">
        <v>23210</v>
      </c>
      <c r="C248" s="1">
        <v>42825</v>
      </c>
      <c r="F248" s="41"/>
      <c r="G248">
        <v>13.7</v>
      </c>
      <c r="H248">
        <v>12.2</v>
      </c>
      <c r="I248">
        <v>16.3</v>
      </c>
      <c r="J248">
        <f t="shared" si="30"/>
        <v>1733.7000000000003</v>
      </c>
      <c r="K248">
        <f t="shared" si="31"/>
        <v>74.2</v>
      </c>
      <c r="L248" s="10">
        <f>MIN(H243:H263)</f>
        <v>2.7</v>
      </c>
      <c r="M248" s="64">
        <v>0.4</v>
      </c>
      <c r="N248">
        <v>2.4</v>
      </c>
      <c r="O248">
        <f t="shared" si="27"/>
        <v>-2</v>
      </c>
      <c r="Q248">
        <v>212</v>
      </c>
      <c r="R248">
        <v>1.1499999999999999</v>
      </c>
      <c r="S248">
        <f t="shared" si="28"/>
        <v>2.76</v>
      </c>
      <c r="T248">
        <f t="shared" si="29"/>
        <v>-2.36</v>
      </c>
      <c r="U248" s="65">
        <f t="shared" si="32"/>
        <v>103.28650808854833</v>
      </c>
      <c r="V248" s="14">
        <f>MIN(U243:U263)</f>
        <v>64.02650808854834</v>
      </c>
      <c r="W248">
        <v>777.4</v>
      </c>
      <c r="X248">
        <f t="shared" si="33"/>
        <v>127446.89999999988</v>
      </c>
      <c r="Y248">
        <f t="shared" si="34"/>
        <v>8523.9</v>
      </c>
      <c r="Z248">
        <v>12.534771715877909</v>
      </c>
      <c r="AA248">
        <v>5</v>
      </c>
    </row>
    <row r="249" spans="1:28" x14ac:dyDescent="0.25">
      <c r="A249">
        <v>5320</v>
      </c>
      <c r="B249">
        <v>23210</v>
      </c>
      <c r="C249" s="1">
        <v>42826</v>
      </c>
      <c r="F249" s="41"/>
      <c r="G249">
        <v>10.6</v>
      </c>
      <c r="H249">
        <v>7.6</v>
      </c>
      <c r="I249">
        <v>14.2</v>
      </c>
      <c r="J249">
        <f t="shared" si="30"/>
        <v>1744.3000000000002</v>
      </c>
      <c r="K249">
        <f t="shared" si="31"/>
        <v>84.8</v>
      </c>
      <c r="L249" s="17" t="s">
        <v>39</v>
      </c>
      <c r="M249" s="64">
        <v>0.1</v>
      </c>
      <c r="N249">
        <v>1</v>
      </c>
      <c r="O249">
        <f t="shared" si="27"/>
        <v>-0.9</v>
      </c>
      <c r="Q249">
        <v>213</v>
      </c>
      <c r="R249">
        <v>1.1499999999999999</v>
      </c>
      <c r="S249">
        <f t="shared" si="28"/>
        <v>1.1499999999999999</v>
      </c>
      <c r="T249">
        <f t="shared" si="29"/>
        <v>-1.0499999999999998</v>
      </c>
      <c r="U249" s="65">
        <f t="shared" si="32"/>
        <v>102.23650808854833</v>
      </c>
      <c r="V249" s="19" t="s">
        <v>46</v>
      </c>
      <c r="W249">
        <v>665.1</v>
      </c>
      <c r="X249">
        <f t="shared" si="33"/>
        <v>128111.99999999988</v>
      </c>
      <c r="Y249">
        <f t="shared" si="34"/>
        <v>9189</v>
      </c>
      <c r="Z249">
        <v>12.593929482826919</v>
      </c>
    </row>
    <row r="250" spans="1:28" x14ac:dyDescent="0.25">
      <c r="A250">
        <v>5320</v>
      </c>
      <c r="B250">
        <v>23210</v>
      </c>
      <c r="C250" s="1">
        <v>42827</v>
      </c>
      <c r="F250" s="41"/>
      <c r="G250">
        <v>11</v>
      </c>
      <c r="H250">
        <v>6.6</v>
      </c>
      <c r="I250">
        <v>15.2</v>
      </c>
      <c r="J250">
        <f t="shared" si="30"/>
        <v>1755.3000000000002</v>
      </c>
      <c r="K250">
        <f t="shared" si="31"/>
        <v>95.8</v>
      </c>
      <c r="L250" s="9">
        <f>MAX(I243:I263)</f>
        <v>23.8</v>
      </c>
      <c r="M250" s="64">
        <v>0</v>
      </c>
      <c r="N250">
        <v>1.8</v>
      </c>
      <c r="O250">
        <f t="shared" si="27"/>
        <v>-1.8</v>
      </c>
      <c r="Q250">
        <v>214</v>
      </c>
      <c r="R250">
        <v>1.1499999999999999</v>
      </c>
      <c r="S250">
        <f t="shared" si="28"/>
        <v>2.0699999999999998</v>
      </c>
      <c r="T250">
        <f t="shared" si="29"/>
        <v>-2.0699999999999998</v>
      </c>
      <c r="U250" s="65">
        <f t="shared" si="32"/>
        <v>100.16650808854834</v>
      </c>
      <c r="V250" s="14">
        <f>MAX(U243:U263)</f>
        <v>115.24650808854832</v>
      </c>
      <c r="W250">
        <v>1372.2</v>
      </c>
      <c r="X250">
        <f t="shared" si="33"/>
        <v>129484.19999999988</v>
      </c>
      <c r="Y250">
        <f t="shared" si="34"/>
        <v>10561.2</v>
      </c>
      <c r="Z250">
        <v>12.653003574018896</v>
      </c>
    </row>
    <row r="251" spans="1:28" x14ac:dyDescent="0.25">
      <c r="A251">
        <v>5320</v>
      </c>
      <c r="B251">
        <v>23210</v>
      </c>
      <c r="C251" s="1">
        <v>42828</v>
      </c>
      <c r="F251" s="41"/>
      <c r="G251">
        <v>12.3</v>
      </c>
      <c r="H251">
        <v>5.6</v>
      </c>
      <c r="I251">
        <v>18</v>
      </c>
      <c r="J251">
        <f t="shared" si="30"/>
        <v>1767.6000000000001</v>
      </c>
      <c r="K251">
        <f t="shared" si="31"/>
        <v>108.1</v>
      </c>
      <c r="L251" s="17" t="s">
        <v>40</v>
      </c>
      <c r="M251" s="64">
        <v>0</v>
      </c>
      <c r="N251">
        <v>2.7</v>
      </c>
      <c r="O251">
        <f t="shared" si="27"/>
        <v>-2.7</v>
      </c>
      <c r="Q251">
        <v>215</v>
      </c>
      <c r="R251">
        <v>1.1499999999999999</v>
      </c>
      <c r="S251">
        <f t="shared" si="28"/>
        <v>3.105</v>
      </c>
      <c r="T251">
        <f t="shared" si="29"/>
        <v>-3.105</v>
      </c>
      <c r="U251" s="65">
        <f t="shared" si="32"/>
        <v>97.061508088548337</v>
      </c>
      <c r="V251" s="19" t="s">
        <v>47</v>
      </c>
      <c r="W251">
        <v>1736.3</v>
      </c>
      <c r="X251">
        <f t="shared" si="33"/>
        <v>131220.49999999988</v>
      </c>
      <c r="Y251">
        <f t="shared" si="34"/>
        <v>12297.5</v>
      </c>
      <c r="Z251">
        <v>12.711985045482377</v>
      </c>
    </row>
    <row r="252" spans="1:28" x14ac:dyDescent="0.25">
      <c r="A252">
        <v>5320</v>
      </c>
      <c r="B252">
        <v>23210</v>
      </c>
      <c r="C252" s="1">
        <v>42829</v>
      </c>
      <c r="F252" s="41"/>
      <c r="G252">
        <v>10.6</v>
      </c>
      <c r="H252">
        <v>5.5</v>
      </c>
      <c r="I252">
        <v>15.5</v>
      </c>
      <c r="J252">
        <f t="shared" si="30"/>
        <v>1778.2</v>
      </c>
      <c r="K252">
        <f t="shared" si="31"/>
        <v>118.69999999999999</v>
      </c>
      <c r="L252" s="9">
        <v>0</v>
      </c>
      <c r="M252" s="64">
        <v>0</v>
      </c>
      <c r="N252">
        <v>1.4</v>
      </c>
      <c r="O252">
        <f t="shared" si="27"/>
        <v>-1.4</v>
      </c>
      <c r="Q252">
        <v>216</v>
      </c>
      <c r="R252">
        <v>1.1499999999999999</v>
      </c>
      <c r="S252">
        <f t="shared" si="28"/>
        <v>1.6099999999999999</v>
      </c>
      <c r="T252">
        <f t="shared" si="29"/>
        <v>-1.6099999999999999</v>
      </c>
      <c r="U252" s="65">
        <f t="shared" si="32"/>
        <v>95.451508088548337</v>
      </c>
      <c r="V252" s="14">
        <f>AVERAGE(U243:U263)</f>
        <v>90.260079517119749</v>
      </c>
      <c r="W252">
        <v>823.7</v>
      </c>
      <c r="X252">
        <f t="shared" si="33"/>
        <v>132044.1999999999</v>
      </c>
      <c r="Y252">
        <f t="shared" si="34"/>
        <v>13121.2</v>
      </c>
      <c r="Z252">
        <v>12.770864789657152</v>
      </c>
    </row>
    <row r="253" spans="1:28" x14ac:dyDescent="0.25">
      <c r="A253">
        <v>5320</v>
      </c>
      <c r="B253">
        <v>23210</v>
      </c>
      <c r="C253" s="1">
        <v>42830</v>
      </c>
      <c r="F253" s="41"/>
      <c r="G253">
        <v>10.9</v>
      </c>
      <c r="H253">
        <v>7.6</v>
      </c>
      <c r="I253">
        <v>14.6</v>
      </c>
      <c r="J253">
        <f t="shared" si="30"/>
        <v>1789.1000000000001</v>
      </c>
      <c r="K253">
        <f t="shared" si="31"/>
        <v>129.6</v>
      </c>
      <c r="L253" s="17" t="s">
        <v>41</v>
      </c>
      <c r="M253">
        <v>0</v>
      </c>
      <c r="N253">
        <v>2.1</v>
      </c>
      <c r="O253">
        <f t="shared" si="27"/>
        <v>-2.1</v>
      </c>
      <c r="Q253">
        <v>217</v>
      </c>
      <c r="R253">
        <v>1.1499999999999999</v>
      </c>
      <c r="S253">
        <f t="shared" si="28"/>
        <v>2.415</v>
      </c>
      <c r="T253">
        <f t="shared" si="29"/>
        <v>-2.415</v>
      </c>
      <c r="U253" s="14">
        <f t="shared" si="32"/>
        <v>93.036508088548331</v>
      </c>
      <c r="W253">
        <v>1390.6</v>
      </c>
      <c r="X253">
        <f t="shared" si="33"/>
        <v>133434.7999999999</v>
      </c>
      <c r="Y253">
        <f t="shared" si="34"/>
        <v>14511.800000000001</v>
      </c>
      <c r="Z253">
        <v>12.829633521044558</v>
      </c>
    </row>
    <row r="254" spans="1:28" x14ac:dyDescent="0.25">
      <c r="A254">
        <v>5320</v>
      </c>
      <c r="B254">
        <v>23210</v>
      </c>
      <c r="C254" s="1">
        <v>42831</v>
      </c>
      <c r="F254" s="41"/>
      <c r="G254">
        <v>8.6999999999999993</v>
      </c>
      <c r="H254">
        <v>3.8</v>
      </c>
      <c r="I254">
        <v>12.6</v>
      </c>
      <c r="J254">
        <f t="shared" si="30"/>
        <v>1797.8000000000002</v>
      </c>
      <c r="K254">
        <f t="shared" si="31"/>
        <v>138.29999999999998</v>
      </c>
      <c r="L254" s="9">
        <v>7</v>
      </c>
      <c r="M254">
        <v>0</v>
      </c>
      <c r="N254">
        <v>2.4</v>
      </c>
      <c r="O254">
        <f t="shared" si="27"/>
        <v>-2.4</v>
      </c>
      <c r="Q254">
        <v>218</v>
      </c>
      <c r="R254">
        <v>1.1499999999999999</v>
      </c>
      <c r="S254">
        <f t="shared" si="28"/>
        <v>2.76</v>
      </c>
      <c r="T254">
        <f t="shared" si="29"/>
        <v>-2.76</v>
      </c>
      <c r="U254" s="14">
        <f t="shared" si="32"/>
        <v>90.276508088548326</v>
      </c>
      <c r="V254">
        <f>(V252*100)/138.9</f>
        <v>64.982058687631209</v>
      </c>
      <c r="W254">
        <v>1698.7</v>
      </c>
      <c r="X254">
        <f t="shared" si="33"/>
        <v>135133.49999999991</v>
      </c>
      <c r="Y254">
        <f t="shared" si="34"/>
        <v>16210.500000000002</v>
      </c>
      <c r="Z254">
        <v>12.888281762008569</v>
      </c>
    </row>
    <row r="255" spans="1:28" x14ac:dyDescent="0.25">
      <c r="A255">
        <v>5320</v>
      </c>
      <c r="B255">
        <v>23210</v>
      </c>
      <c r="C255" s="1">
        <v>42832</v>
      </c>
      <c r="F255" s="41"/>
      <c r="G255">
        <v>10.1</v>
      </c>
      <c r="H255">
        <v>3</v>
      </c>
      <c r="I255">
        <v>16</v>
      </c>
      <c r="J255">
        <f t="shared" si="30"/>
        <v>1807.9</v>
      </c>
      <c r="K255">
        <f t="shared" si="31"/>
        <v>148.39999999999998</v>
      </c>
      <c r="L255" s="17" t="s">
        <v>42</v>
      </c>
      <c r="M255">
        <v>0</v>
      </c>
      <c r="N255">
        <v>3</v>
      </c>
      <c r="O255">
        <f t="shared" si="27"/>
        <v>-3</v>
      </c>
      <c r="Q255">
        <v>219</v>
      </c>
      <c r="R255">
        <v>1.1499999999999999</v>
      </c>
      <c r="S255">
        <f t="shared" si="28"/>
        <v>3.4499999999999997</v>
      </c>
      <c r="T255">
        <f t="shared" si="29"/>
        <v>-3.4499999999999997</v>
      </c>
      <c r="U255" s="14">
        <f t="shared" si="32"/>
        <v>86.826508088548323</v>
      </c>
      <c r="W255">
        <v>2156.1999999999998</v>
      </c>
      <c r="X255">
        <f t="shared" si="33"/>
        <v>137289.69999999992</v>
      </c>
      <c r="Y255">
        <f t="shared" si="34"/>
        <v>18366.7</v>
      </c>
      <c r="Z255">
        <v>12.94679982874624</v>
      </c>
    </row>
    <row r="256" spans="1:28" x14ac:dyDescent="0.25">
      <c r="A256">
        <v>5320</v>
      </c>
      <c r="B256">
        <v>23210</v>
      </c>
      <c r="C256" s="1">
        <v>42833</v>
      </c>
      <c r="F256" s="41"/>
      <c r="G256">
        <v>13.7</v>
      </c>
      <c r="H256">
        <v>6.2</v>
      </c>
      <c r="I256">
        <v>20.100000000000001</v>
      </c>
      <c r="J256">
        <f t="shared" si="30"/>
        <v>1821.6000000000001</v>
      </c>
      <c r="K256">
        <f t="shared" si="31"/>
        <v>162.09999999999997</v>
      </c>
      <c r="L256" s="18">
        <v>0</v>
      </c>
      <c r="M256">
        <v>0</v>
      </c>
      <c r="N256">
        <v>3.8</v>
      </c>
      <c r="O256">
        <f t="shared" si="27"/>
        <v>-3.8</v>
      </c>
      <c r="Q256">
        <v>220</v>
      </c>
      <c r="R256">
        <v>1.1499999999999999</v>
      </c>
      <c r="S256">
        <f t="shared" si="28"/>
        <v>4.3699999999999992</v>
      </c>
      <c r="T256">
        <f t="shared" si="29"/>
        <v>-4.3699999999999992</v>
      </c>
      <c r="U256" s="14">
        <f t="shared" si="32"/>
        <v>82.456508088548318</v>
      </c>
      <c r="W256">
        <v>2359.5</v>
      </c>
      <c r="X256">
        <f t="shared" si="33"/>
        <v>139649.19999999992</v>
      </c>
      <c r="Y256">
        <f t="shared" si="34"/>
        <v>20726.2</v>
      </c>
      <c r="Z256">
        <v>13.005177817447578</v>
      </c>
    </row>
    <row r="257" spans="1:27" x14ac:dyDescent="0.25">
      <c r="A257">
        <v>5320</v>
      </c>
      <c r="B257">
        <v>23210</v>
      </c>
      <c r="C257" s="1">
        <v>42834</v>
      </c>
      <c r="F257" s="41"/>
      <c r="G257">
        <v>16.2</v>
      </c>
      <c r="H257">
        <v>8.1</v>
      </c>
      <c r="I257">
        <v>23.8</v>
      </c>
      <c r="J257">
        <f t="shared" si="30"/>
        <v>1837.8000000000002</v>
      </c>
      <c r="K257">
        <f t="shared" si="31"/>
        <v>178.29999999999995</v>
      </c>
      <c r="M257">
        <v>0</v>
      </c>
      <c r="N257">
        <v>4.2</v>
      </c>
      <c r="O257">
        <f t="shared" si="27"/>
        <v>-4.2</v>
      </c>
      <c r="Q257">
        <v>221</v>
      </c>
      <c r="R257">
        <v>1.1499999999999999</v>
      </c>
      <c r="S257">
        <f t="shared" si="28"/>
        <v>4.83</v>
      </c>
      <c r="T257">
        <f t="shared" si="29"/>
        <v>-4.83</v>
      </c>
      <c r="U257" s="14">
        <f t="shared" si="32"/>
        <v>77.62650808854832</v>
      </c>
      <c r="W257">
        <v>2397.6</v>
      </c>
      <c r="X257">
        <f t="shared" si="33"/>
        <v>142046.79999999993</v>
      </c>
      <c r="Y257">
        <f t="shared" si="34"/>
        <v>23123.8</v>
      </c>
      <c r="Z257">
        <v>13.063405590666475</v>
      </c>
    </row>
    <row r="258" spans="1:27" x14ac:dyDescent="0.25">
      <c r="A258">
        <v>5320</v>
      </c>
      <c r="B258">
        <v>23210</v>
      </c>
      <c r="C258" s="1">
        <v>42835</v>
      </c>
      <c r="F258" s="41"/>
      <c r="G258">
        <v>11.5</v>
      </c>
      <c r="H258">
        <v>7.8</v>
      </c>
      <c r="I258">
        <v>15.9</v>
      </c>
      <c r="J258">
        <f t="shared" si="30"/>
        <v>1849.3000000000002</v>
      </c>
      <c r="K258">
        <f t="shared" si="31"/>
        <v>189.79999999999995</v>
      </c>
      <c r="M258">
        <v>0</v>
      </c>
      <c r="N258">
        <v>1.7</v>
      </c>
      <c r="O258">
        <f t="shared" si="27"/>
        <v>-1.7</v>
      </c>
      <c r="Q258">
        <v>222</v>
      </c>
      <c r="R258">
        <v>1.1499999999999999</v>
      </c>
      <c r="S258">
        <f t="shared" si="28"/>
        <v>1.9549999999999998</v>
      </c>
      <c r="T258">
        <f t="shared" si="29"/>
        <v>-1.9549999999999998</v>
      </c>
      <c r="U258" s="14">
        <f t="shared" si="32"/>
        <v>75.671508088548322</v>
      </c>
      <c r="W258">
        <v>1108.2</v>
      </c>
      <c r="X258">
        <f t="shared" si="33"/>
        <v>143154.99999999994</v>
      </c>
      <c r="Y258">
        <f t="shared" si="34"/>
        <v>24232</v>
      </c>
      <c r="Z258">
        <v>13.121472763925961</v>
      </c>
    </row>
    <row r="259" spans="1:27" x14ac:dyDescent="0.25">
      <c r="A259">
        <v>5320</v>
      </c>
      <c r="B259">
        <v>23210</v>
      </c>
      <c r="C259" s="1">
        <v>42836</v>
      </c>
      <c r="F259" s="41"/>
      <c r="G259">
        <v>9.4</v>
      </c>
      <c r="H259">
        <v>4.4000000000000004</v>
      </c>
      <c r="I259">
        <v>13.9</v>
      </c>
      <c r="J259">
        <f t="shared" si="30"/>
        <v>1858.7000000000003</v>
      </c>
      <c r="K259">
        <f t="shared" si="31"/>
        <v>199.19999999999996</v>
      </c>
      <c r="M259">
        <v>0</v>
      </c>
      <c r="N259">
        <v>3.1</v>
      </c>
      <c r="O259">
        <f t="shared" si="27"/>
        <v>-3.1</v>
      </c>
      <c r="Q259">
        <v>223</v>
      </c>
      <c r="R259">
        <v>1.1499999999999999</v>
      </c>
      <c r="S259">
        <f t="shared" si="28"/>
        <v>3.5649999999999999</v>
      </c>
      <c r="T259">
        <f t="shared" si="29"/>
        <v>-3.5649999999999999</v>
      </c>
      <c r="U259" s="14">
        <f t="shared" si="32"/>
        <v>72.106508088548324</v>
      </c>
      <c r="W259">
        <v>2180.5</v>
      </c>
      <c r="X259">
        <f t="shared" si="33"/>
        <v>145335.49999999994</v>
      </c>
      <c r="Y259">
        <f t="shared" si="34"/>
        <v>26412.5</v>
      </c>
      <c r="Z259">
        <v>13.17936869258275</v>
      </c>
    </row>
    <row r="260" spans="1:27" x14ac:dyDescent="0.25">
      <c r="A260">
        <v>5320</v>
      </c>
      <c r="B260">
        <v>23210</v>
      </c>
      <c r="C260" s="1">
        <v>42837</v>
      </c>
      <c r="F260" s="41"/>
      <c r="G260">
        <v>10.4</v>
      </c>
      <c r="H260">
        <v>2.9</v>
      </c>
      <c r="I260">
        <v>16.5</v>
      </c>
      <c r="J260">
        <f t="shared" si="30"/>
        <v>1869.1000000000004</v>
      </c>
      <c r="K260">
        <f t="shared" si="31"/>
        <v>209.59999999999997</v>
      </c>
      <c r="M260">
        <v>0</v>
      </c>
      <c r="N260">
        <v>3.3</v>
      </c>
      <c r="O260">
        <f t="shared" si="27"/>
        <v>-3.3</v>
      </c>
      <c r="Q260">
        <v>224</v>
      </c>
      <c r="R260">
        <v>1.1499999999999999</v>
      </c>
      <c r="S260">
        <f t="shared" si="28"/>
        <v>3.7949999999999995</v>
      </c>
      <c r="T260">
        <f t="shared" si="29"/>
        <v>-3.7949999999999995</v>
      </c>
      <c r="U260" s="14">
        <f t="shared" si="32"/>
        <v>68.311508088548322</v>
      </c>
      <c r="W260">
        <v>2429</v>
      </c>
      <c r="X260">
        <f t="shared" si="33"/>
        <v>147764.49999999994</v>
      </c>
      <c r="Y260">
        <f t="shared" si="34"/>
        <v>28841.5</v>
      </c>
      <c r="Z260">
        <v>13.237082458978003</v>
      </c>
    </row>
    <row r="261" spans="1:27" x14ac:dyDescent="0.25">
      <c r="A261">
        <v>5320</v>
      </c>
      <c r="B261">
        <v>23210</v>
      </c>
      <c r="C261" s="1">
        <v>42838</v>
      </c>
      <c r="F261" s="41"/>
      <c r="G261">
        <v>9.9</v>
      </c>
      <c r="H261">
        <v>2.7</v>
      </c>
      <c r="I261">
        <v>14.8</v>
      </c>
      <c r="J261">
        <f t="shared" si="30"/>
        <v>1879.0000000000005</v>
      </c>
      <c r="K261">
        <f t="shared" si="31"/>
        <v>219.49999999999997</v>
      </c>
      <c r="M261">
        <v>0</v>
      </c>
      <c r="N261">
        <v>1.5</v>
      </c>
      <c r="O261">
        <f t="shared" si="27"/>
        <v>-1.5</v>
      </c>
      <c r="Q261">
        <v>225</v>
      </c>
      <c r="R261">
        <v>1.1499999999999999</v>
      </c>
      <c r="S261">
        <f t="shared" si="28"/>
        <v>1.7249999999999999</v>
      </c>
      <c r="T261">
        <f t="shared" si="29"/>
        <v>-1.7249999999999999</v>
      </c>
      <c r="U261" s="14">
        <f t="shared" si="32"/>
        <v>66.586508088548328</v>
      </c>
      <c r="W261">
        <v>1392.9</v>
      </c>
      <c r="X261">
        <f t="shared" si="33"/>
        <v>149157.39999999994</v>
      </c>
      <c r="Y261">
        <f t="shared" si="34"/>
        <v>30234.400000000001</v>
      </c>
      <c r="Z261">
        <v>13.294602859903057</v>
      </c>
    </row>
    <row r="262" spans="1:27" x14ac:dyDescent="0.25">
      <c r="A262">
        <v>5320</v>
      </c>
      <c r="B262">
        <v>23210</v>
      </c>
      <c r="C262" s="1">
        <v>42839</v>
      </c>
      <c r="F262" s="41"/>
      <c r="G262">
        <v>11.9</v>
      </c>
      <c r="H262">
        <v>7.9</v>
      </c>
      <c r="I262">
        <v>15.6</v>
      </c>
      <c r="J262">
        <f t="shared" si="30"/>
        <v>1890.9000000000005</v>
      </c>
      <c r="K262">
        <f t="shared" si="31"/>
        <v>231.39999999999998</v>
      </c>
      <c r="M262">
        <v>0</v>
      </c>
      <c r="N262">
        <v>1.5</v>
      </c>
      <c r="O262">
        <f t="shared" ref="O262:O325" si="35">M262-N262</f>
        <v>-1.5</v>
      </c>
      <c r="Q262">
        <v>226</v>
      </c>
      <c r="R262">
        <v>1.1499999999999999</v>
      </c>
      <c r="S262">
        <f t="shared" si="28"/>
        <v>1.7249999999999999</v>
      </c>
      <c r="T262">
        <f t="shared" si="29"/>
        <v>-1.7249999999999999</v>
      </c>
      <c r="U262" s="14">
        <f t="shared" si="32"/>
        <v>64.861508088548334</v>
      </c>
      <c r="W262">
        <v>1081</v>
      </c>
      <c r="X262">
        <f t="shared" si="33"/>
        <v>150238.39999999994</v>
      </c>
      <c r="Y262">
        <f t="shared" si="34"/>
        <v>31315.4</v>
      </c>
      <c r="Z262">
        <v>13.351918394410948</v>
      </c>
    </row>
    <row r="263" spans="1:27" s="6" customFormat="1" ht="15.75" thickBot="1" x14ac:dyDescent="0.3">
      <c r="A263" s="6">
        <v>5320</v>
      </c>
      <c r="B263" s="6">
        <v>23210</v>
      </c>
      <c r="C263" s="7">
        <v>42840</v>
      </c>
      <c r="D263" s="6" t="s">
        <v>31</v>
      </c>
      <c r="F263" s="42"/>
      <c r="G263" s="6">
        <v>10.6</v>
      </c>
      <c r="H263" s="6">
        <v>7.7</v>
      </c>
      <c r="I263" s="6">
        <v>12.7</v>
      </c>
      <c r="J263" s="6">
        <f t="shared" si="30"/>
        <v>1901.5000000000005</v>
      </c>
      <c r="K263" s="6">
        <f t="shared" si="31"/>
        <v>241.99999999999997</v>
      </c>
      <c r="M263" s="6">
        <v>0.2</v>
      </c>
      <c r="N263" s="6">
        <v>0.9</v>
      </c>
      <c r="O263" s="6">
        <f t="shared" si="35"/>
        <v>-0.7</v>
      </c>
      <c r="Q263" s="6">
        <v>227</v>
      </c>
      <c r="R263" s="6">
        <v>1.1499999999999999</v>
      </c>
      <c r="S263" s="6">
        <f t="shared" si="28"/>
        <v>1.0349999999999999</v>
      </c>
      <c r="T263" s="6">
        <f t="shared" si="29"/>
        <v>-0.83499999999999996</v>
      </c>
      <c r="U263" s="26">
        <f t="shared" si="32"/>
        <v>64.02650808854834</v>
      </c>
      <c r="W263" s="6">
        <v>395.5</v>
      </c>
      <c r="X263" s="6">
        <f t="shared" si="33"/>
        <v>150633.89999999994</v>
      </c>
      <c r="Y263" s="6">
        <f t="shared" si="34"/>
        <v>31710.9</v>
      </c>
      <c r="Z263" s="6">
        <v>13.409017252006686</v>
      </c>
    </row>
    <row r="264" spans="1:27" x14ac:dyDescent="0.25">
      <c r="A264">
        <v>5320</v>
      </c>
      <c r="B264">
        <v>23210</v>
      </c>
      <c r="C264" s="1">
        <v>42841</v>
      </c>
      <c r="F264" s="43" t="s">
        <v>55</v>
      </c>
      <c r="G264">
        <v>9.9</v>
      </c>
      <c r="H264">
        <v>6.6</v>
      </c>
      <c r="I264">
        <v>13.4</v>
      </c>
      <c r="J264">
        <f t="shared" si="30"/>
        <v>1911.4000000000005</v>
      </c>
      <c r="K264">
        <f>G264</f>
        <v>9.9</v>
      </c>
      <c r="L264" s="20" t="s">
        <v>36</v>
      </c>
      <c r="M264">
        <v>0</v>
      </c>
      <c r="N264">
        <v>1.4</v>
      </c>
      <c r="O264">
        <f t="shared" si="35"/>
        <v>-1.4</v>
      </c>
      <c r="Q264">
        <v>228</v>
      </c>
      <c r="R264">
        <v>1.1499999999999999</v>
      </c>
      <c r="S264">
        <f t="shared" si="28"/>
        <v>1.6099999999999999</v>
      </c>
      <c r="T264">
        <f t="shared" si="29"/>
        <v>-1.6099999999999999</v>
      </c>
      <c r="U264" s="14">
        <f t="shared" si="32"/>
        <v>62.416508088548341</v>
      </c>
      <c r="V264" s="21" t="s">
        <v>43</v>
      </c>
      <c r="W264">
        <v>871.3</v>
      </c>
      <c r="X264">
        <f t="shared" si="33"/>
        <v>151505.19999999992</v>
      </c>
      <c r="Y264">
        <f>W264</f>
        <v>871.3</v>
      </c>
      <c r="Z264">
        <v>13.465887301251328</v>
      </c>
      <c r="AA264" s="21" t="s">
        <v>48</v>
      </c>
    </row>
    <row r="265" spans="1:27" x14ac:dyDescent="0.25">
      <c r="A265">
        <v>5320</v>
      </c>
      <c r="B265">
        <v>23210</v>
      </c>
      <c r="C265" s="1">
        <v>42842</v>
      </c>
      <c r="F265" s="44"/>
      <c r="G265">
        <v>9</v>
      </c>
      <c r="H265">
        <v>4</v>
      </c>
      <c r="I265">
        <v>13.9</v>
      </c>
      <c r="J265">
        <f t="shared" si="30"/>
        <v>1920.4000000000005</v>
      </c>
      <c r="K265">
        <f t="shared" si="31"/>
        <v>18.899999999999999</v>
      </c>
      <c r="L265" s="9">
        <v>309.3</v>
      </c>
      <c r="M265">
        <v>0</v>
      </c>
      <c r="N265">
        <v>1.8</v>
      </c>
      <c r="O265">
        <f t="shared" si="35"/>
        <v>-1.8</v>
      </c>
      <c r="Q265">
        <v>229</v>
      </c>
      <c r="R265">
        <v>1.1499999999999999</v>
      </c>
      <c r="S265">
        <f t="shared" si="28"/>
        <v>2.0699999999999998</v>
      </c>
      <c r="T265">
        <f t="shared" si="29"/>
        <v>-2.0699999999999998</v>
      </c>
      <c r="U265" s="14">
        <f t="shared" si="32"/>
        <v>60.34650808854834</v>
      </c>
      <c r="V265">
        <v>0</v>
      </c>
      <c r="W265">
        <v>1462.9</v>
      </c>
      <c r="X265">
        <f t="shared" si="33"/>
        <v>152968.09999999992</v>
      </c>
      <c r="Y265">
        <f t="shared" si="34"/>
        <v>2334.1999999999998</v>
      </c>
      <c r="Z265">
        <v>13.522516078817238</v>
      </c>
      <c r="AA265">
        <v>45873.3</v>
      </c>
    </row>
    <row r="266" spans="1:27" x14ac:dyDescent="0.25">
      <c r="A266">
        <v>5320</v>
      </c>
      <c r="B266">
        <v>23210</v>
      </c>
      <c r="C266" s="1">
        <v>42843</v>
      </c>
      <c r="F266" s="44"/>
      <c r="G266">
        <v>7.3</v>
      </c>
      <c r="H266">
        <v>3.1</v>
      </c>
      <c r="I266">
        <v>11.7</v>
      </c>
      <c r="J266">
        <f t="shared" si="30"/>
        <v>1927.7000000000005</v>
      </c>
      <c r="K266">
        <f t="shared" si="31"/>
        <v>26.2</v>
      </c>
      <c r="L266" s="20" t="s">
        <v>37</v>
      </c>
      <c r="M266">
        <v>0</v>
      </c>
      <c r="N266">
        <v>2.4</v>
      </c>
      <c r="O266">
        <f t="shared" si="35"/>
        <v>-2.4</v>
      </c>
      <c r="Q266">
        <v>230</v>
      </c>
      <c r="R266">
        <v>1.1499999999999999</v>
      </c>
      <c r="S266">
        <f t="shared" si="28"/>
        <v>2.76</v>
      </c>
      <c r="T266">
        <f t="shared" si="29"/>
        <v>-2.76</v>
      </c>
      <c r="U266" s="14">
        <f t="shared" si="32"/>
        <v>57.586508088548342</v>
      </c>
      <c r="V266" s="21" t="s">
        <v>44</v>
      </c>
      <c r="W266">
        <v>1753.1</v>
      </c>
      <c r="X266">
        <f t="shared" si="33"/>
        <v>154721.19999999992</v>
      </c>
      <c r="Y266">
        <f t="shared" si="34"/>
        <v>4087.2999999999997</v>
      </c>
      <c r="Z266">
        <v>13.578890779034143</v>
      </c>
      <c r="AA266" s="21" t="s">
        <v>49</v>
      </c>
    </row>
    <row r="267" spans="1:27" x14ac:dyDescent="0.25">
      <c r="A267">
        <v>5320</v>
      </c>
      <c r="B267">
        <v>23210</v>
      </c>
      <c r="C267" s="1">
        <v>42844</v>
      </c>
      <c r="F267" s="44"/>
      <c r="G267">
        <v>6.3</v>
      </c>
      <c r="H267">
        <v>2</v>
      </c>
      <c r="I267">
        <v>11.5</v>
      </c>
      <c r="J267">
        <f t="shared" si="30"/>
        <v>1934.0000000000005</v>
      </c>
      <c r="K267">
        <f t="shared" si="31"/>
        <v>32.5</v>
      </c>
      <c r="L267" s="9">
        <f>AVERAGE(G264:G293)</f>
        <v>10.31</v>
      </c>
      <c r="M267">
        <v>0</v>
      </c>
      <c r="N267">
        <v>3</v>
      </c>
      <c r="O267">
        <f t="shared" si="35"/>
        <v>-3</v>
      </c>
      <c r="Q267">
        <v>231</v>
      </c>
      <c r="R267">
        <v>1.1499999999999999</v>
      </c>
      <c r="S267">
        <f t="shared" si="28"/>
        <v>3.4499999999999997</v>
      </c>
      <c r="T267">
        <f t="shared" si="29"/>
        <v>-3.4499999999999997</v>
      </c>
      <c r="U267" s="14">
        <f t="shared" si="32"/>
        <v>54.136508088548339</v>
      </c>
      <c r="V267">
        <v>24</v>
      </c>
      <c r="W267">
        <v>1900.5</v>
      </c>
      <c r="X267">
        <f t="shared" si="33"/>
        <v>156621.69999999992</v>
      </c>
      <c r="Y267">
        <f t="shared" si="34"/>
        <v>5987.7999999999993</v>
      </c>
      <c r="Z267">
        <v>13.634998243967974</v>
      </c>
      <c r="AA267">
        <f>(AA265/100)/L265</f>
        <v>1.483132880698351</v>
      </c>
    </row>
    <row r="268" spans="1:27" x14ac:dyDescent="0.25">
      <c r="A268">
        <v>5320</v>
      </c>
      <c r="B268">
        <v>23210</v>
      </c>
      <c r="C268" s="1">
        <v>42845</v>
      </c>
      <c r="F268" s="44"/>
      <c r="G268">
        <v>6.2</v>
      </c>
      <c r="H268">
        <v>-0.2</v>
      </c>
      <c r="I268">
        <v>11.3</v>
      </c>
      <c r="J268">
        <f t="shared" si="30"/>
        <v>1940.2000000000005</v>
      </c>
      <c r="K268">
        <f t="shared" si="31"/>
        <v>38.700000000000003</v>
      </c>
      <c r="L268" s="20" t="s">
        <v>38</v>
      </c>
      <c r="M268">
        <v>0</v>
      </c>
      <c r="N268">
        <v>3.6</v>
      </c>
      <c r="O268">
        <f t="shared" si="35"/>
        <v>-3.6</v>
      </c>
      <c r="Q268">
        <v>232</v>
      </c>
      <c r="R268">
        <v>1.1499999999999999</v>
      </c>
      <c r="S268">
        <f t="shared" si="28"/>
        <v>4.1399999999999997</v>
      </c>
      <c r="T268">
        <f t="shared" si="29"/>
        <v>-4.1399999999999997</v>
      </c>
      <c r="U268" s="14">
        <f t="shared" si="32"/>
        <v>49.996508088548339</v>
      </c>
      <c r="V268" s="21" t="s">
        <v>45</v>
      </c>
      <c r="W268">
        <v>2697.7</v>
      </c>
      <c r="X268">
        <f t="shared" si="33"/>
        <v>159319.39999999994</v>
      </c>
      <c r="Y268">
        <f t="shared" si="34"/>
        <v>8685.5</v>
      </c>
      <c r="Z268">
        <v>13.690824954076822</v>
      </c>
      <c r="AA268" s="21" t="s">
        <v>50</v>
      </c>
    </row>
    <row r="269" spans="1:27" x14ac:dyDescent="0.25">
      <c r="A269">
        <v>5320</v>
      </c>
      <c r="B269">
        <v>23210</v>
      </c>
      <c r="C269" s="1">
        <v>42846</v>
      </c>
      <c r="F269" s="44"/>
      <c r="G269">
        <v>9.1</v>
      </c>
      <c r="H269">
        <v>2.6</v>
      </c>
      <c r="I269">
        <v>15.4</v>
      </c>
      <c r="J269">
        <f t="shared" si="30"/>
        <v>1949.3000000000004</v>
      </c>
      <c r="K269">
        <f t="shared" si="31"/>
        <v>47.800000000000004</v>
      </c>
      <c r="L269" s="10">
        <f>MIN(H264:H293)</f>
        <v>-0.2</v>
      </c>
      <c r="M269">
        <v>0</v>
      </c>
      <c r="N269">
        <v>4.2</v>
      </c>
      <c r="O269">
        <f t="shared" si="35"/>
        <v>-4.2</v>
      </c>
      <c r="Q269">
        <v>233</v>
      </c>
      <c r="R269">
        <v>1.1499999999999999</v>
      </c>
      <c r="S269">
        <f t="shared" si="28"/>
        <v>4.83</v>
      </c>
      <c r="T269">
        <f t="shared" si="29"/>
        <v>-4.83</v>
      </c>
      <c r="U269" s="14">
        <f t="shared" si="32"/>
        <v>45.166508088548341</v>
      </c>
      <c r="V269" s="14">
        <f>MIN(U264:U293)</f>
        <v>24.111508088548344</v>
      </c>
      <c r="W269">
        <v>2702.3</v>
      </c>
      <c r="X269">
        <f t="shared" si="33"/>
        <v>162021.69999999992</v>
      </c>
      <c r="Y269">
        <f t="shared" si="34"/>
        <v>11387.8</v>
      </c>
      <c r="Z269">
        <v>13.746357019490745</v>
      </c>
      <c r="AA269">
        <v>5</v>
      </c>
    </row>
    <row r="270" spans="1:27" x14ac:dyDescent="0.25">
      <c r="A270">
        <v>5320</v>
      </c>
      <c r="B270">
        <v>23210</v>
      </c>
      <c r="C270" s="1">
        <v>42847</v>
      </c>
      <c r="F270" s="44"/>
      <c r="G270">
        <v>10.5</v>
      </c>
      <c r="H270">
        <v>3</v>
      </c>
      <c r="I270">
        <v>16.8</v>
      </c>
      <c r="J270">
        <f t="shared" si="30"/>
        <v>1959.8000000000004</v>
      </c>
      <c r="K270">
        <f t="shared" si="31"/>
        <v>58.300000000000004</v>
      </c>
      <c r="L270" s="20" t="s">
        <v>39</v>
      </c>
      <c r="M270">
        <v>0</v>
      </c>
      <c r="N270">
        <v>2.4</v>
      </c>
      <c r="O270">
        <f t="shared" si="35"/>
        <v>-2.4</v>
      </c>
      <c r="Q270">
        <v>234</v>
      </c>
      <c r="R270">
        <v>1.1499999999999999</v>
      </c>
      <c r="S270">
        <f t="shared" si="28"/>
        <v>2.76</v>
      </c>
      <c r="T270">
        <f t="shared" si="29"/>
        <v>-2.76</v>
      </c>
      <c r="U270" s="14">
        <f t="shared" si="32"/>
        <v>42.406508088548343</v>
      </c>
      <c r="V270" s="21" t="s">
        <v>46</v>
      </c>
      <c r="W270">
        <v>1491</v>
      </c>
      <c r="X270">
        <f t="shared" si="33"/>
        <v>163512.69999999992</v>
      </c>
      <c r="Y270">
        <f t="shared" si="34"/>
        <v>12878.8</v>
      </c>
      <c r="Z270">
        <v>13.801580171964513</v>
      </c>
    </row>
    <row r="271" spans="1:27" x14ac:dyDescent="0.25">
      <c r="A271">
        <v>5320</v>
      </c>
      <c r="B271">
        <v>23210</v>
      </c>
      <c r="C271" s="1">
        <v>42848</v>
      </c>
      <c r="F271" s="44"/>
      <c r="G271">
        <v>9.6</v>
      </c>
      <c r="H271">
        <v>4.9000000000000004</v>
      </c>
      <c r="I271">
        <v>14.3</v>
      </c>
      <c r="J271">
        <f t="shared" si="30"/>
        <v>1969.4000000000003</v>
      </c>
      <c r="K271">
        <f t="shared" si="31"/>
        <v>67.900000000000006</v>
      </c>
      <c r="L271" s="9">
        <f>MAX(I264:I293)</f>
        <v>22.7</v>
      </c>
      <c r="M271">
        <v>0</v>
      </c>
      <c r="N271">
        <v>3.9</v>
      </c>
      <c r="O271">
        <f t="shared" si="35"/>
        <v>-3.9</v>
      </c>
      <c r="Q271">
        <v>235</v>
      </c>
      <c r="R271">
        <v>1.1499999999999999</v>
      </c>
      <c r="S271">
        <f t="shared" si="28"/>
        <v>4.4849999999999994</v>
      </c>
      <c r="T271">
        <f t="shared" si="29"/>
        <v>-4.4849999999999994</v>
      </c>
      <c r="U271" s="14">
        <f t="shared" si="32"/>
        <v>37.921508088548343</v>
      </c>
      <c r="V271" s="14">
        <f>MAX(U264:U293)</f>
        <v>62.416508088548341</v>
      </c>
      <c r="W271">
        <v>2681.7</v>
      </c>
      <c r="X271">
        <f t="shared" si="33"/>
        <v>166194.39999999994</v>
      </c>
      <c r="Y271">
        <f t="shared" si="34"/>
        <v>15560.5</v>
      </c>
      <c r="Z271">
        <v>13.856479757554803</v>
      </c>
    </row>
    <row r="272" spans="1:27" x14ac:dyDescent="0.25">
      <c r="A272">
        <v>5320</v>
      </c>
      <c r="B272">
        <v>23210</v>
      </c>
      <c r="C272" s="1">
        <v>42849</v>
      </c>
      <c r="F272" s="44"/>
      <c r="G272">
        <v>9.9</v>
      </c>
      <c r="H272">
        <v>3.8</v>
      </c>
      <c r="I272">
        <v>15.8</v>
      </c>
      <c r="J272">
        <f t="shared" si="30"/>
        <v>1979.3000000000004</v>
      </c>
      <c r="K272">
        <f t="shared" si="31"/>
        <v>77.800000000000011</v>
      </c>
      <c r="L272" s="20" t="s">
        <v>40</v>
      </c>
      <c r="M272">
        <v>0</v>
      </c>
      <c r="N272">
        <v>3.2</v>
      </c>
      <c r="O272">
        <f t="shared" si="35"/>
        <v>-3.2</v>
      </c>
      <c r="Q272">
        <v>236</v>
      </c>
      <c r="R272">
        <v>1.1499999999999999</v>
      </c>
      <c r="S272">
        <f t="shared" si="28"/>
        <v>3.6799999999999997</v>
      </c>
      <c r="T272">
        <f t="shared" si="29"/>
        <v>-3.6799999999999997</v>
      </c>
      <c r="U272" s="14">
        <f t="shared" si="32"/>
        <v>34.241508088548343</v>
      </c>
      <c r="V272" s="21" t="s">
        <v>47</v>
      </c>
      <c r="W272">
        <v>2227.1</v>
      </c>
      <c r="X272">
        <f t="shared" si="33"/>
        <v>168421.49999999994</v>
      </c>
      <c r="Y272">
        <f t="shared" si="34"/>
        <v>17787.599999999999</v>
      </c>
      <c r="Z272">
        <v>13.911040730075577</v>
      </c>
    </row>
    <row r="273" spans="1:26" x14ac:dyDescent="0.25">
      <c r="A273">
        <v>5320</v>
      </c>
      <c r="B273">
        <v>23210</v>
      </c>
      <c r="C273" s="1">
        <v>42850</v>
      </c>
      <c r="F273" s="44"/>
      <c r="G273">
        <v>6.3</v>
      </c>
      <c r="H273">
        <v>4.8</v>
      </c>
      <c r="I273">
        <v>7.4</v>
      </c>
      <c r="J273">
        <f t="shared" si="30"/>
        <v>1985.6000000000004</v>
      </c>
      <c r="K273">
        <f t="shared" si="31"/>
        <v>84.100000000000009</v>
      </c>
      <c r="L273" s="9">
        <v>0</v>
      </c>
      <c r="M273">
        <v>1.1000000000000001</v>
      </c>
      <c r="N273">
        <v>0.9</v>
      </c>
      <c r="O273">
        <f t="shared" si="35"/>
        <v>0.20000000000000007</v>
      </c>
      <c r="Q273">
        <v>237</v>
      </c>
      <c r="R273">
        <v>1.1499999999999999</v>
      </c>
      <c r="S273">
        <f t="shared" si="28"/>
        <v>1.0349999999999999</v>
      </c>
      <c r="T273">
        <f t="shared" si="29"/>
        <v>6.5000000000000169E-2</v>
      </c>
      <c r="U273" s="14">
        <f t="shared" si="32"/>
        <v>34.306508088548341</v>
      </c>
      <c r="V273" s="14">
        <f>AVERAGE(U264:U293)</f>
        <v>40.424008088548362</v>
      </c>
      <c r="W273">
        <v>789.4</v>
      </c>
      <c r="X273">
        <f t="shared" si="33"/>
        <v>169210.89999999994</v>
      </c>
      <c r="Y273">
        <f t="shared" si="34"/>
        <v>18577</v>
      </c>
      <c r="Z273">
        <v>13.965247645387761</v>
      </c>
    </row>
    <row r="274" spans="1:26" x14ac:dyDescent="0.25">
      <c r="A274">
        <v>5320</v>
      </c>
      <c r="B274">
        <v>23210</v>
      </c>
      <c r="C274" s="1">
        <v>42851</v>
      </c>
      <c r="F274" s="44"/>
      <c r="G274">
        <v>4.5999999999999996</v>
      </c>
      <c r="H274">
        <v>2.4</v>
      </c>
      <c r="I274">
        <v>9.3000000000000007</v>
      </c>
      <c r="J274">
        <f t="shared" si="30"/>
        <v>1990.2000000000003</v>
      </c>
      <c r="K274">
        <f t="shared" si="31"/>
        <v>88.7</v>
      </c>
      <c r="L274" s="20" t="s">
        <v>41</v>
      </c>
      <c r="M274">
        <v>0.3</v>
      </c>
      <c r="N274">
        <v>2.2000000000000002</v>
      </c>
      <c r="O274">
        <f t="shared" si="35"/>
        <v>-1.9000000000000001</v>
      </c>
      <c r="Q274">
        <v>238</v>
      </c>
      <c r="R274">
        <v>1.1499999999999999</v>
      </c>
      <c r="S274">
        <f t="shared" si="28"/>
        <v>2.5299999999999998</v>
      </c>
      <c r="T274">
        <f t="shared" si="29"/>
        <v>-2.23</v>
      </c>
      <c r="U274" s="14">
        <f t="shared" si="32"/>
        <v>32.076508088548344</v>
      </c>
      <c r="W274">
        <v>1560.6</v>
      </c>
      <c r="X274">
        <f t="shared" si="33"/>
        <v>170771.49999999994</v>
      </c>
      <c r="Y274">
        <f t="shared" si="34"/>
        <v>20137.599999999999</v>
      </c>
      <c r="Z274">
        <v>14.019084656581397</v>
      </c>
    </row>
    <row r="275" spans="1:26" x14ac:dyDescent="0.25">
      <c r="A275">
        <v>5320</v>
      </c>
      <c r="B275">
        <v>23210</v>
      </c>
      <c r="C275" s="1">
        <v>42852</v>
      </c>
      <c r="F275" s="44"/>
      <c r="G275">
        <v>5.6</v>
      </c>
      <c r="H275">
        <v>0.6</v>
      </c>
      <c r="I275">
        <v>10.1</v>
      </c>
      <c r="J275">
        <f t="shared" si="30"/>
        <v>1995.8000000000002</v>
      </c>
      <c r="K275">
        <f t="shared" si="31"/>
        <v>94.3</v>
      </c>
      <c r="L275" s="9">
        <v>12</v>
      </c>
      <c r="M275">
        <v>0</v>
      </c>
      <c r="N275">
        <v>2.2000000000000002</v>
      </c>
      <c r="O275">
        <f t="shared" si="35"/>
        <v>-2.2000000000000002</v>
      </c>
      <c r="Q275">
        <v>239</v>
      </c>
      <c r="R275">
        <v>1.1499999999999999</v>
      </c>
      <c r="S275">
        <f t="shared" si="28"/>
        <v>2.5299999999999998</v>
      </c>
      <c r="T275">
        <f t="shared" si="29"/>
        <v>-2.5299999999999998</v>
      </c>
      <c r="U275" s="14">
        <f t="shared" si="32"/>
        <v>29.546508088548343</v>
      </c>
      <c r="V275">
        <f>(V273*100)/138.9</f>
        <v>29.102957587147849</v>
      </c>
      <c r="W275">
        <v>1786.1</v>
      </c>
      <c r="X275">
        <f t="shared" si="33"/>
        <v>172557.59999999995</v>
      </c>
      <c r="Y275">
        <f t="shared" si="34"/>
        <v>21923.699999999997</v>
      </c>
      <c r="Z275">
        <v>14.072535510110587</v>
      </c>
    </row>
    <row r="276" spans="1:26" x14ac:dyDescent="0.25">
      <c r="A276">
        <v>5320</v>
      </c>
      <c r="B276">
        <v>23210</v>
      </c>
      <c r="C276" s="1">
        <v>42853</v>
      </c>
      <c r="F276" s="44"/>
      <c r="G276">
        <v>7.4</v>
      </c>
      <c r="H276">
        <v>2.7</v>
      </c>
      <c r="I276">
        <v>12.3</v>
      </c>
      <c r="J276">
        <f t="shared" si="30"/>
        <v>2003.2000000000003</v>
      </c>
      <c r="K276">
        <f t="shared" si="31"/>
        <v>101.7</v>
      </c>
      <c r="L276" s="20" t="s">
        <v>42</v>
      </c>
      <c r="M276">
        <v>0.2</v>
      </c>
      <c r="N276">
        <v>1.6</v>
      </c>
      <c r="O276">
        <f t="shared" si="35"/>
        <v>-1.4000000000000001</v>
      </c>
      <c r="Q276">
        <v>240</v>
      </c>
      <c r="R276">
        <v>1.1499999999999999</v>
      </c>
      <c r="S276">
        <f t="shared" si="28"/>
        <v>1.8399999999999999</v>
      </c>
      <c r="T276">
        <f t="shared" si="29"/>
        <v>-1.64</v>
      </c>
      <c r="U276" s="14">
        <f t="shared" si="32"/>
        <v>27.906508088548343</v>
      </c>
      <c r="W276">
        <v>1209</v>
      </c>
      <c r="X276">
        <f t="shared" si="33"/>
        <v>173766.59999999995</v>
      </c>
      <c r="Y276">
        <f t="shared" si="34"/>
        <v>23132.699999999997</v>
      </c>
      <c r="Z276">
        <v>14.125583542943389</v>
      </c>
    </row>
    <row r="277" spans="1:26" x14ac:dyDescent="0.25">
      <c r="A277">
        <v>5320</v>
      </c>
      <c r="B277">
        <v>23210</v>
      </c>
      <c r="C277" s="1">
        <v>42854</v>
      </c>
      <c r="F277" s="44"/>
      <c r="G277">
        <v>10</v>
      </c>
      <c r="H277">
        <v>2.8</v>
      </c>
      <c r="I277">
        <v>16.100000000000001</v>
      </c>
      <c r="J277">
        <f t="shared" si="30"/>
        <v>2013.2000000000003</v>
      </c>
      <c r="K277">
        <f t="shared" si="31"/>
        <v>111.7</v>
      </c>
      <c r="L277" s="18">
        <v>1</v>
      </c>
      <c r="M277">
        <v>0</v>
      </c>
      <c r="N277">
        <v>3.3</v>
      </c>
      <c r="O277">
        <f t="shared" si="35"/>
        <v>-3.3</v>
      </c>
      <c r="Q277">
        <v>241</v>
      </c>
      <c r="R277">
        <v>1.1499999999999999</v>
      </c>
      <c r="S277">
        <f t="shared" si="28"/>
        <v>3.7949999999999995</v>
      </c>
      <c r="T277">
        <f t="shared" si="29"/>
        <v>-3.7949999999999995</v>
      </c>
      <c r="U277" s="14">
        <f t="shared" si="32"/>
        <v>24.111508088548344</v>
      </c>
      <c r="W277">
        <v>1994.3</v>
      </c>
      <c r="X277">
        <f t="shared" si="33"/>
        <v>175760.89999999994</v>
      </c>
      <c r="Y277">
        <f t="shared" si="34"/>
        <v>25126.999999999996</v>
      </c>
      <c r="Z277">
        <v>14.17821168079062</v>
      </c>
    </row>
    <row r="278" spans="1:26" x14ac:dyDescent="0.25">
      <c r="A278">
        <v>5320</v>
      </c>
      <c r="B278">
        <v>23210</v>
      </c>
      <c r="C278" s="1">
        <v>42855</v>
      </c>
      <c r="F278" s="44"/>
      <c r="G278">
        <v>10</v>
      </c>
      <c r="H278">
        <v>6.8</v>
      </c>
      <c r="I278">
        <v>17.100000000000001</v>
      </c>
      <c r="J278">
        <f t="shared" si="30"/>
        <v>2023.2000000000003</v>
      </c>
      <c r="K278">
        <f t="shared" si="31"/>
        <v>121.7</v>
      </c>
      <c r="M278">
        <v>11.5</v>
      </c>
      <c r="N278">
        <v>2.6</v>
      </c>
      <c r="O278">
        <f t="shared" si="35"/>
        <v>8.9</v>
      </c>
      <c r="Q278">
        <v>242</v>
      </c>
      <c r="R278">
        <v>1.1499999999999999</v>
      </c>
      <c r="S278">
        <f t="shared" si="28"/>
        <v>2.9899999999999998</v>
      </c>
      <c r="T278">
        <f t="shared" si="29"/>
        <v>8.51</v>
      </c>
      <c r="U278" s="14">
        <f t="shared" si="32"/>
        <v>32.621508088548346</v>
      </c>
      <c r="W278">
        <v>951.3</v>
      </c>
      <c r="X278">
        <f t="shared" si="33"/>
        <v>176712.19999999992</v>
      </c>
      <c r="Y278">
        <f t="shared" si="34"/>
        <v>26078.299999999996</v>
      </c>
      <c r="Z278">
        <v>14.230402437478979</v>
      </c>
    </row>
    <row r="279" spans="1:26" x14ac:dyDescent="0.25">
      <c r="A279">
        <v>5320</v>
      </c>
      <c r="B279">
        <v>23210</v>
      </c>
      <c r="C279" s="1">
        <v>42856</v>
      </c>
      <c r="F279" s="44"/>
      <c r="G279">
        <v>9</v>
      </c>
      <c r="H279">
        <v>6.5</v>
      </c>
      <c r="I279">
        <v>10.8</v>
      </c>
      <c r="J279">
        <f t="shared" si="30"/>
        <v>2032.2000000000003</v>
      </c>
      <c r="K279">
        <f t="shared" si="31"/>
        <v>130.69999999999999</v>
      </c>
      <c r="M279">
        <v>2.6</v>
      </c>
      <c r="N279">
        <v>1.7</v>
      </c>
      <c r="O279">
        <f t="shared" si="35"/>
        <v>0.90000000000000013</v>
      </c>
      <c r="Q279">
        <v>243</v>
      </c>
      <c r="R279">
        <v>1.1499999999999999</v>
      </c>
      <c r="S279">
        <f t="shared" si="28"/>
        <v>1.9549999999999998</v>
      </c>
      <c r="T279">
        <f t="shared" si="29"/>
        <v>0.64500000000000024</v>
      </c>
      <c r="U279" s="14">
        <f t="shared" si="32"/>
        <v>33.266508088548349</v>
      </c>
      <c r="W279">
        <v>1263</v>
      </c>
      <c r="X279">
        <f t="shared" si="33"/>
        <v>177975.19999999992</v>
      </c>
      <c r="Y279">
        <f t="shared" si="34"/>
        <v>27341.299999999996</v>
      </c>
      <c r="Z279">
        <v>14.282137915535213</v>
      </c>
    </row>
    <row r="280" spans="1:26" x14ac:dyDescent="0.25">
      <c r="A280">
        <v>5320</v>
      </c>
      <c r="B280">
        <v>23210</v>
      </c>
      <c r="C280" s="1">
        <v>42857</v>
      </c>
      <c r="F280" s="44"/>
      <c r="G280">
        <v>10.9</v>
      </c>
      <c r="H280">
        <v>7.7</v>
      </c>
      <c r="I280">
        <v>14.3</v>
      </c>
      <c r="J280">
        <f t="shared" si="30"/>
        <v>2043.1000000000004</v>
      </c>
      <c r="K280">
        <f t="shared" si="31"/>
        <v>141.6</v>
      </c>
      <c r="M280">
        <v>0.4</v>
      </c>
      <c r="N280">
        <v>1.5</v>
      </c>
      <c r="O280">
        <f t="shared" si="35"/>
        <v>-1.1000000000000001</v>
      </c>
      <c r="Q280">
        <v>244</v>
      </c>
      <c r="R280">
        <v>1.1499999999999999</v>
      </c>
      <c r="S280">
        <f t="shared" si="28"/>
        <v>1.7249999999999999</v>
      </c>
      <c r="T280">
        <f t="shared" si="29"/>
        <v>-1.3249999999999997</v>
      </c>
      <c r="U280" s="14">
        <f t="shared" si="32"/>
        <v>31.94150808854835</v>
      </c>
      <c r="W280">
        <v>1097.5</v>
      </c>
      <c r="X280">
        <f t="shared" si="33"/>
        <v>179072.69999999992</v>
      </c>
      <c r="Y280">
        <f t="shared" si="34"/>
        <v>28438.799999999996</v>
      </c>
      <c r="Z280">
        <v>14.333399808048988</v>
      </c>
    </row>
    <row r="281" spans="1:26" x14ac:dyDescent="0.25">
      <c r="A281">
        <v>5320</v>
      </c>
      <c r="B281">
        <v>23210</v>
      </c>
      <c r="C281" s="1">
        <v>42858</v>
      </c>
      <c r="F281" s="44"/>
      <c r="G281">
        <v>9.6999999999999993</v>
      </c>
      <c r="H281">
        <v>8.5</v>
      </c>
      <c r="I281">
        <v>12.6</v>
      </c>
      <c r="J281">
        <f t="shared" si="30"/>
        <v>2052.8000000000002</v>
      </c>
      <c r="K281">
        <f t="shared" si="31"/>
        <v>151.29999999999998</v>
      </c>
      <c r="M281">
        <v>1.1000000000000001</v>
      </c>
      <c r="N281">
        <v>0.9</v>
      </c>
      <c r="O281">
        <f t="shared" si="35"/>
        <v>0.20000000000000007</v>
      </c>
      <c r="Q281">
        <v>245</v>
      </c>
      <c r="R281">
        <v>1.1499999999999999</v>
      </c>
      <c r="S281">
        <f t="shared" si="28"/>
        <v>1.0349999999999999</v>
      </c>
      <c r="T281">
        <f t="shared" si="29"/>
        <v>6.5000000000000169E-2</v>
      </c>
      <c r="U281" s="14">
        <f t="shared" si="32"/>
        <v>32.006508088548351</v>
      </c>
      <c r="W281">
        <v>847.2</v>
      </c>
      <c r="X281">
        <f t="shared" si="33"/>
        <v>179919.89999999994</v>
      </c>
      <c r="Y281">
        <f t="shared" si="34"/>
        <v>29285.999999999996</v>
      </c>
      <c r="Z281">
        <v>14.38416940188279</v>
      </c>
    </row>
    <row r="282" spans="1:26" x14ac:dyDescent="0.25">
      <c r="A282">
        <v>5320</v>
      </c>
      <c r="B282">
        <v>23210</v>
      </c>
      <c r="C282" s="1">
        <v>42859</v>
      </c>
      <c r="F282" s="44"/>
      <c r="G282">
        <v>11.3</v>
      </c>
      <c r="H282">
        <v>7.3</v>
      </c>
      <c r="I282">
        <v>15.1</v>
      </c>
      <c r="J282">
        <f t="shared" si="30"/>
        <v>2064.1000000000004</v>
      </c>
      <c r="K282">
        <f t="shared" si="31"/>
        <v>162.6</v>
      </c>
      <c r="M282">
        <v>0.2</v>
      </c>
      <c r="N282">
        <v>1.4</v>
      </c>
      <c r="O282">
        <f t="shared" si="35"/>
        <v>-1.2</v>
      </c>
      <c r="Q282">
        <v>246</v>
      </c>
      <c r="R282">
        <v>1.1499999999999999</v>
      </c>
      <c r="S282">
        <f t="shared" si="28"/>
        <v>1.6099999999999999</v>
      </c>
      <c r="T282">
        <f t="shared" si="29"/>
        <v>-1.41</v>
      </c>
      <c r="U282" s="14">
        <f t="shared" si="32"/>
        <v>30.596508088548351</v>
      </c>
      <c r="W282">
        <v>1005.2</v>
      </c>
      <c r="X282">
        <f t="shared" si="33"/>
        <v>180925.09999999995</v>
      </c>
      <c r="Y282">
        <f t="shared" si="34"/>
        <v>30291.199999999997</v>
      </c>
      <c r="Z282">
        <v>14.434427582297424</v>
      </c>
    </row>
    <row r="283" spans="1:26" x14ac:dyDescent="0.25">
      <c r="A283">
        <v>5320</v>
      </c>
      <c r="B283">
        <v>23210</v>
      </c>
      <c r="C283" s="1">
        <v>42860</v>
      </c>
      <c r="F283" s="44"/>
      <c r="G283">
        <v>13.3</v>
      </c>
      <c r="H283">
        <v>6.9</v>
      </c>
      <c r="I283">
        <v>18.3</v>
      </c>
      <c r="J283">
        <f t="shared" si="30"/>
        <v>2077.4000000000005</v>
      </c>
      <c r="K283">
        <f t="shared" si="31"/>
        <v>175.9</v>
      </c>
      <c r="M283">
        <v>13.3</v>
      </c>
      <c r="N283">
        <v>2.2000000000000002</v>
      </c>
      <c r="O283">
        <f t="shared" si="35"/>
        <v>11.100000000000001</v>
      </c>
      <c r="Q283">
        <v>247</v>
      </c>
      <c r="R283">
        <v>1.1499999999999999</v>
      </c>
      <c r="S283">
        <f t="shared" si="28"/>
        <v>2.5299999999999998</v>
      </c>
      <c r="T283">
        <f t="shared" si="29"/>
        <v>10.770000000000001</v>
      </c>
      <c r="U283" s="14">
        <f t="shared" si="32"/>
        <v>41.36650808854835</v>
      </c>
      <c r="W283">
        <v>1316.4</v>
      </c>
      <c r="X283">
        <f t="shared" si="33"/>
        <v>182241.49999999994</v>
      </c>
      <c r="Y283">
        <f t="shared" si="34"/>
        <v>31607.599999999999</v>
      </c>
      <c r="Z283">
        <v>14.484154839061496</v>
      </c>
    </row>
    <row r="284" spans="1:26" x14ac:dyDescent="0.25">
      <c r="A284">
        <v>5320</v>
      </c>
      <c r="B284">
        <v>23210</v>
      </c>
      <c r="C284" s="1">
        <v>42861</v>
      </c>
      <c r="F284" s="44"/>
      <c r="G284">
        <v>13</v>
      </c>
      <c r="H284">
        <v>11.4</v>
      </c>
      <c r="I284">
        <v>14.7</v>
      </c>
      <c r="J284">
        <f t="shared" si="30"/>
        <v>2090.4000000000005</v>
      </c>
      <c r="K284">
        <f t="shared" si="31"/>
        <v>188.9</v>
      </c>
      <c r="M284">
        <v>4.4000000000000004</v>
      </c>
      <c r="N284">
        <v>0.9</v>
      </c>
      <c r="O284">
        <f t="shared" si="35"/>
        <v>3.5000000000000004</v>
      </c>
      <c r="Q284">
        <v>248</v>
      </c>
      <c r="R284">
        <v>1.1499999999999999</v>
      </c>
      <c r="S284">
        <f t="shared" si="28"/>
        <v>1.0349999999999999</v>
      </c>
      <c r="T284">
        <f t="shared" si="29"/>
        <v>3.3650000000000002</v>
      </c>
      <c r="U284" s="14">
        <f t="shared" si="32"/>
        <v>44.731508088548352</v>
      </c>
      <c r="W284">
        <v>545.4</v>
      </c>
      <c r="X284">
        <f t="shared" si="33"/>
        <v>182786.89999999994</v>
      </c>
      <c r="Y284">
        <f t="shared" si="34"/>
        <v>32153</v>
      </c>
      <c r="Z284">
        <v>14.533331274112632</v>
      </c>
    </row>
    <row r="285" spans="1:26" x14ac:dyDescent="0.25">
      <c r="A285">
        <v>5320</v>
      </c>
      <c r="B285">
        <v>23210</v>
      </c>
      <c r="C285" s="1">
        <v>42862</v>
      </c>
      <c r="F285" s="44"/>
      <c r="G285">
        <v>12.4</v>
      </c>
      <c r="H285">
        <v>10.5</v>
      </c>
      <c r="I285">
        <v>15.4</v>
      </c>
      <c r="J285">
        <f t="shared" si="30"/>
        <v>2102.8000000000006</v>
      </c>
      <c r="K285">
        <f t="shared" si="31"/>
        <v>201.3</v>
      </c>
      <c r="M285">
        <v>0</v>
      </c>
      <c r="N285">
        <v>2.2999999999999998</v>
      </c>
      <c r="O285">
        <f t="shared" si="35"/>
        <v>-2.2999999999999998</v>
      </c>
      <c r="Q285">
        <v>249</v>
      </c>
      <c r="R285">
        <v>1.1499999999999999</v>
      </c>
      <c r="S285">
        <f t="shared" si="28"/>
        <v>2.6449999999999996</v>
      </c>
      <c r="T285">
        <f t="shared" si="29"/>
        <v>-2.6449999999999996</v>
      </c>
      <c r="U285" s="14">
        <f t="shared" si="32"/>
        <v>42.086508088548356</v>
      </c>
      <c r="W285">
        <v>1426.6</v>
      </c>
      <c r="X285">
        <f t="shared" si="33"/>
        <v>184213.49999999994</v>
      </c>
      <c r="Y285">
        <f t="shared" si="34"/>
        <v>33579.599999999999</v>
      </c>
      <c r="Z285">
        <v>14.581936610837015</v>
      </c>
    </row>
    <row r="286" spans="1:26" x14ac:dyDescent="0.25">
      <c r="A286">
        <v>5320</v>
      </c>
      <c r="B286">
        <v>23210</v>
      </c>
      <c r="C286" s="1">
        <v>42863</v>
      </c>
      <c r="F286" s="44"/>
      <c r="G286">
        <v>10.5</v>
      </c>
      <c r="H286">
        <v>6.3</v>
      </c>
      <c r="I286">
        <v>14.4</v>
      </c>
      <c r="J286">
        <f t="shared" si="30"/>
        <v>2113.3000000000006</v>
      </c>
      <c r="K286">
        <f t="shared" si="31"/>
        <v>211.8</v>
      </c>
      <c r="M286">
        <v>0</v>
      </c>
      <c r="N286">
        <v>1.2</v>
      </c>
      <c r="O286">
        <f t="shared" si="35"/>
        <v>-1.2</v>
      </c>
      <c r="Q286">
        <v>250</v>
      </c>
      <c r="R286">
        <v>1.1499999999999999</v>
      </c>
      <c r="S286">
        <f t="shared" si="28"/>
        <v>1.38</v>
      </c>
      <c r="T286">
        <f t="shared" si="29"/>
        <v>-1.38</v>
      </c>
      <c r="U286" s="14">
        <f t="shared" si="32"/>
        <v>40.706508088548354</v>
      </c>
      <c r="W286">
        <v>528.6</v>
      </c>
      <c r="X286">
        <f t="shared" si="33"/>
        <v>184742.09999999995</v>
      </c>
      <c r="Y286">
        <f t="shared" si="34"/>
        <v>34108.199999999997</v>
      </c>
      <c r="Z286">
        <v>14.629950205032031</v>
      </c>
    </row>
    <row r="287" spans="1:26" x14ac:dyDescent="0.25">
      <c r="A287">
        <v>5320</v>
      </c>
      <c r="B287">
        <v>23210</v>
      </c>
      <c r="C287" s="1">
        <v>42864</v>
      </c>
      <c r="F287" s="44"/>
      <c r="G287">
        <v>11.1</v>
      </c>
      <c r="H287">
        <v>7.6</v>
      </c>
      <c r="I287">
        <v>14.6</v>
      </c>
      <c r="J287">
        <f t="shared" si="30"/>
        <v>2124.4000000000005</v>
      </c>
      <c r="K287">
        <f t="shared" si="31"/>
        <v>222.9</v>
      </c>
      <c r="M287">
        <v>0</v>
      </c>
      <c r="N287">
        <v>2.7</v>
      </c>
      <c r="O287">
        <f t="shared" si="35"/>
        <v>-2.7</v>
      </c>
      <c r="Q287">
        <v>251</v>
      </c>
      <c r="R287">
        <v>1.1499999999999999</v>
      </c>
      <c r="S287">
        <f t="shared" si="28"/>
        <v>3.105</v>
      </c>
      <c r="T287">
        <f t="shared" si="29"/>
        <v>-3.105</v>
      </c>
      <c r="U287" s="14">
        <f t="shared" si="32"/>
        <v>37.601508088548357</v>
      </c>
      <c r="W287">
        <v>1445.1</v>
      </c>
      <c r="X287">
        <f t="shared" si="33"/>
        <v>186187.19999999995</v>
      </c>
      <c r="Y287">
        <f t="shared" si="34"/>
        <v>35553.299999999996</v>
      </c>
      <c r="Z287">
        <v>14.677351057614453</v>
      </c>
    </row>
    <row r="288" spans="1:26" x14ac:dyDescent="0.25">
      <c r="A288">
        <v>5320</v>
      </c>
      <c r="B288">
        <v>23210</v>
      </c>
      <c r="C288" s="1">
        <v>42865</v>
      </c>
      <c r="F288" s="44"/>
      <c r="G288">
        <v>14.2</v>
      </c>
      <c r="H288">
        <v>7.8</v>
      </c>
      <c r="I288">
        <v>20</v>
      </c>
      <c r="J288">
        <f t="shared" si="30"/>
        <v>2138.6000000000004</v>
      </c>
      <c r="K288">
        <f t="shared" si="31"/>
        <v>237.1</v>
      </c>
      <c r="M288">
        <v>0.1</v>
      </c>
      <c r="N288">
        <v>4.0999999999999996</v>
      </c>
      <c r="O288">
        <f t="shared" si="35"/>
        <v>-3.9999999999999996</v>
      </c>
      <c r="Q288">
        <v>252</v>
      </c>
      <c r="R288">
        <v>1.1499999999999999</v>
      </c>
      <c r="S288">
        <f t="shared" si="28"/>
        <v>4.714999999999999</v>
      </c>
      <c r="T288">
        <f t="shared" si="29"/>
        <v>-4.6149999999999993</v>
      </c>
      <c r="U288" s="14">
        <f t="shared" si="32"/>
        <v>32.986508088548355</v>
      </c>
      <c r="W288">
        <v>2524.8000000000002</v>
      </c>
      <c r="X288">
        <f t="shared" si="33"/>
        <v>188711.99999999994</v>
      </c>
      <c r="Y288">
        <f t="shared" si="34"/>
        <v>38078.1</v>
      </c>
      <c r="Z288">
        <v>14.724117829133567</v>
      </c>
    </row>
    <row r="289" spans="1:27" x14ac:dyDescent="0.25">
      <c r="A289">
        <v>5320</v>
      </c>
      <c r="B289">
        <v>23210</v>
      </c>
      <c r="C289" s="1">
        <v>42866</v>
      </c>
      <c r="F289" s="44"/>
      <c r="G289">
        <v>12.9</v>
      </c>
      <c r="H289">
        <v>12.3</v>
      </c>
      <c r="I289">
        <v>14.9</v>
      </c>
      <c r="J289">
        <f t="shared" si="30"/>
        <v>2151.5000000000005</v>
      </c>
      <c r="K289">
        <f t="shared" si="31"/>
        <v>250</v>
      </c>
      <c r="M289">
        <v>10.9</v>
      </c>
      <c r="N289">
        <v>1.5</v>
      </c>
      <c r="O289">
        <f t="shared" si="35"/>
        <v>9.4</v>
      </c>
      <c r="Q289">
        <v>253</v>
      </c>
      <c r="R289">
        <v>1.1499999999999999</v>
      </c>
      <c r="S289">
        <f t="shared" si="28"/>
        <v>1.7249999999999999</v>
      </c>
      <c r="T289">
        <f t="shared" si="29"/>
        <v>9.1750000000000007</v>
      </c>
      <c r="U289" s="14">
        <f t="shared" si="32"/>
        <v>42.161508088548359</v>
      </c>
      <c r="W289">
        <v>1089.5</v>
      </c>
      <c r="X289">
        <f t="shared" si="33"/>
        <v>189801.49999999994</v>
      </c>
      <c r="Y289">
        <f t="shared" si="34"/>
        <v>39167.599999999999</v>
      </c>
      <c r="Z289">
        <v>14.770228856144719</v>
      </c>
    </row>
    <row r="290" spans="1:27" x14ac:dyDescent="0.25">
      <c r="A290">
        <v>5320</v>
      </c>
      <c r="B290">
        <v>23210</v>
      </c>
      <c r="C290" s="1">
        <v>42867</v>
      </c>
      <c r="F290" s="44"/>
      <c r="G290">
        <v>14.1</v>
      </c>
      <c r="H290">
        <v>11</v>
      </c>
      <c r="I290">
        <v>18.8</v>
      </c>
      <c r="J290">
        <f t="shared" si="30"/>
        <v>2165.6000000000004</v>
      </c>
      <c r="K290">
        <f t="shared" si="31"/>
        <v>264.10000000000002</v>
      </c>
      <c r="M290">
        <v>9</v>
      </c>
      <c r="N290">
        <v>1.6</v>
      </c>
      <c r="O290">
        <f t="shared" si="35"/>
        <v>7.4</v>
      </c>
      <c r="Q290">
        <v>254</v>
      </c>
      <c r="R290">
        <v>1.1499999999999999</v>
      </c>
      <c r="S290">
        <f t="shared" si="28"/>
        <v>1.8399999999999999</v>
      </c>
      <c r="T290">
        <f t="shared" si="29"/>
        <v>7.16</v>
      </c>
      <c r="U290" s="14">
        <f t="shared" si="32"/>
        <v>49.321508088548356</v>
      </c>
      <c r="W290">
        <v>1156.8</v>
      </c>
      <c r="X290">
        <f t="shared" si="33"/>
        <v>190958.29999999993</v>
      </c>
      <c r="Y290">
        <f t="shared" si="34"/>
        <v>40324.400000000001</v>
      </c>
      <c r="Z290">
        <v>14.81566216949439</v>
      </c>
    </row>
    <row r="291" spans="1:27" x14ac:dyDescent="0.25">
      <c r="A291">
        <v>5320</v>
      </c>
      <c r="B291">
        <v>23210</v>
      </c>
      <c r="C291" s="1">
        <v>42868</v>
      </c>
      <c r="F291" s="44"/>
      <c r="G291">
        <v>14</v>
      </c>
      <c r="H291">
        <v>10.7</v>
      </c>
      <c r="I291">
        <v>17.8</v>
      </c>
      <c r="J291">
        <f t="shared" si="30"/>
        <v>2179.6000000000004</v>
      </c>
      <c r="K291">
        <f t="shared" si="31"/>
        <v>278.10000000000002</v>
      </c>
      <c r="M291">
        <v>0</v>
      </c>
      <c r="N291">
        <v>2.9</v>
      </c>
      <c r="O291">
        <f t="shared" si="35"/>
        <v>-2.9</v>
      </c>
      <c r="Q291">
        <v>255</v>
      </c>
      <c r="R291">
        <v>1.1499999999999999</v>
      </c>
      <c r="S291">
        <f t="shared" si="28"/>
        <v>3.3349999999999995</v>
      </c>
      <c r="T291">
        <f t="shared" si="29"/>
        <v>-3.3349999999999995</v>
      </c>
      <c r="U291" s="14">
        <f t="shared" si="32"/>
        <v>45.986508088548355</v>
      </c>
      <c r="W291">
        <v>1903.9</v>
      </c>
      <c r="X291">
        <f t="shared" si="33"/>
        <v>192862.19999999992</v>
      </c>
      <c r="Y291">
        <f t="shared" si="34"/>
        <v>42228.3</v>
      </c>
      <c r="Z291">
        <v>14.860395514562279</v>
      </c>
    </row>
    <row r="292" spans="1:27" x14ac:dyDescent="0.25">
      <c r="A292">
        <v>5320</v>
      </c>
      <c r="B292">
        <v>23210</v>
      </c>
      <c r="C292" s="1">
        <v>42869</v>
      </c>
      <c r="F292" s="44"/>
      <c r="G292">
        <v>14.2</v>
      </c>
      <c r="H292">
        <v>9.1999999999999993</v>
      </c>
      <c r="I292">
        <v>18.899999999999999</v>
      </c>
      <c r="J292">
        <f t="shared" si="30"/>
        <v>2193.8000000000002</v>
      </c>
      <c r="K292">
        <f t="shared" si="31"/>
        <v>292.3</v>
      </c>
      <c r="M292">
        <v>0.2</v>
      </c>
      <c r="N292">
        <v>2.5</v>
      </c>
      <c r="O292">
        <f t="shared" si="35"/>
        <v>-2.2999999999999998</v>
      </c>
      <c r="Q292">
        <v>256</v>
      </c>
      <c r="R292">
        <v>1.1499999999999999</v>
      </c>
      <c r="S292">
        <f t="shared" si="28"/>
        <v>2.875</v>
      </c>
      <c r="T292">
        <f t="shared" si="29"/>
        <v>-2.6749999999999998</v>
      </c>
      <c r="U292" s="14">
        <f t="shared" si="32"/>
        <v>43.311508088548358</v>
      </c>
      <c r="W292">
        <v>1602.1</v>
      </c>
      <c r="X292">
        <f t="shared" si="33"/>
        <v>194464.29999999993</v>
      </c>
      <c r="Y292">
        <f t="shared" si="34"/>
        <v>43830.400000000001</v>
      </c>
      <c r="Z292">
        <v>14.904406373499803</v>
      </c>
    </row>
    <row r="293" spans="1:27" s="6" customFormat="1" ht="15.75" thickBot="1" x14ac:dyDescent="0.3">
      <c r="A293" s="6">
        <v>5320</v>
      </c>
      <c r="B293" s="6">
        <v>23210</v>
      </c>
      <c r="C293" s="7">
        <v>42870</v>
      </c>
      <c r="D293" s="6">
        <v>300</v>
      </c>
      <c r="F293" s="45"/>
      <c r="G293" s="6">
        <v>17</v>
      </c>
      <c r="H293" s="6">
        <v>9.1</v>
      </c>
      <c r="I293" s="6">
        <v>22.7</v>
      </c>
      <c r="J293" s="6">
        <f t="shared" si="30"/>
        <v>2210.8000000000002</v>
      </c>
      <c r="K293" s="6">
        <f t="shared" si="31"/>
        <v>309.3</v>
      </c>
      <c r="M293" s="6">
        <v>0</v>
      </c>
      <c r="N293" s="6">
        <v>3</v>
      </c>
      <c r="O293" s="6">
        <f t="shared" si="35"/>
        <v>-3</v>
      </c>
      <c r="Q293" s="6">
        <v>257</v>
      </c>
      <c r="R293" s="6">
        <v>1.1499999999999999</v>
      </c>
      <c r="S293" s="6">
        <f t="shared" si="28"/>
        <v>3.4499999999999997</v>
      </c>
      <c r="T293" s="6">
        <f t="shared" si="29"/>
        <v>-3.4499999999999997</v>
      </c>
      <c r="U293" s="26">
        <f t="shared" si="32"/>
        <v>39.861508088548355</v>
      </c>
      <c r="W293" s="6">
        <v>2042.9</v>
      </c>
      <c r="X293" s="6">
        <f t="shared" si="33"/>
        <v>196507.19999999992</v>
      </c>
      <c r="Y293" s="6">
        <f t="shared" si="34"/>
        <v>45873.3</v>
      </c>
      <c r="Z293" s="6">
        <v>14.947671989497163</v>
      </c>
    </row>
    <row r="294" spans="1:27" x14ac:dyDescent="0.25">
      <c r="A294">
        <v>5320</v>
      </c>
      <c r="B294">
        <v>23210</v>
      </c>
      <c r="C294" s="1">
        <v>42871</v>
      </c>
      <c r="F294" s="46" t="s">
        <v>56</v>
      </c>
      <c r="G294">
        <v>20.100000000000001</v>
      </c>
      <c r="H294">
        <v>14.1</v>
      </c>
      <c r="I294">
        <v>25.6</v>
      </c>
      <c r="J294">
        <f t="shared" si="30"/>
        <v>2230.9</v>
      </c>
      <c r="K294">
        <f>G294</f>
        <v>20.100000000000001</v>
      </c>
      <c r="L294" s="22" t="s">
        <v>36</v>
      </c>
      <c r="M294">
        <v>0</v>
      </c>
      <c r="N294">
        <v>2.8</v>
      </c>
      <c r="O294">
        <f t="shared" si="35"/>
        <v>-2.8</v>
      </c>
      <c r="Q294">
        <v>258</v>
      </c>
      <c r="R294">
        <f>1.15+((Q294-257)/65)*(0.35-1.15)</f>
        <v>1.1376923076923076</v>
      </c>
      <c r="S294">
        <f t="shared" ref="S294:S357" si="36">R294*N294</f>
        <v>3.185538461538461</v>
      </c>
      <c r="T294">
        <f t="shared" ref="T294:T357" si="37">M294-S294</f>
        <v>-3.185538461538461</v>
      </c>
      <c r="U294" s="14">
        <f t="shared" si="32"/>
        <v>36.675969627009891</v>
      </c>
      <c r="V294" s="23" t="s">
        <v>43</v>
      </c>
      <c r="W294">
        <v>1533.4</v>
      </c>
      <c r="X294">
        <f t="shared" si="33"/>
        <v>198040.59999999992</v>
      </c>
      <c r="Y294">
        <f>W294</f>
        <v>1533.4</v>
      </c>
      <c r="Z294">
        <v>14.990169393103066</v>
      </c>
      <c r="AA294" s="23" t="s">
        <v>48</v>
      </c>
    </row>
    <row r="295" spans="1:27" x14ac:dyDescent="0.25">
      <c r="A295">
        <v>5320</v>
      </c>
      <c r="B295">
        <v>23210</v>
      </c>
      <c r="C295" s="1">
        <v>42872</v>
      </c>
      <c r="F295" s="47"/>
      <c r="G295">
        <v>19.5</v>
      </c>
      <c r="H295">
        <v>14.1</v>
      </c>
      <c r="I295">
        <v>27.1</v>
      </c>
      <c r="J295">
        <f t="shared" ref="J295:J358" si="38">J294+G295</f>
        <v>2250.4</v>
      </c>
      <c r="K295">
        <f t="shared" ref="K295:K358" si="39">K294+G295</f>
        <v>39.6</v>
      </c>
      <c r="L295" s="9">
        <v>311.3</v>
      </c>
      <c r="M295">
        <v>6.3</v>
      </c>
      <c r="N295">
        <v>3.5</v>
      </c>
      <c r="O295">
        <f t="shared" si="35"/>
        <v>2.8</v>
      </c>
      <c r="Q295">
        <v>259</v>
      </c>
      <c r="R295">
        <f t="shared" ref="R295:R358" si="40">1.15+((Q295-257)/65)*(0.35-1.15)</f>
        <v>1.1253846153846152</v>
      </c>
      <c r="S295">
        <f t="shared" si="36"/>
        <v>3.9388461538461534</v>
      </c>
      <c r="T295">
        <f t="shared" si="37"/>
        <v>2.3611538461538464</v>
      </c>
      <c r="U295" s="14">
        <f t="shared" ref="U295:U354" si="41">MIN(U294+T295,138.9)</f>
        <v>39.037123473163739</v>
      </c>
      <c r="V295">
        <v>0</v>
      </c>
      <c r="W295">
        <v>1748.7</v>
      </c>
      <c r="X295">
        <f t="shared" ref="X295:X358" si="42">X294+W295</f>
        <v>199789.29999999993</v>
      </c>
      <c r="Y295">
        <f t="shared" ref="Y295:Y358" si="43">Y294+W295</f>
        <v>3282.1000000000004</v>
      </c>
      <c r="Z295">
        <v>15.031875430612185</v>
      </c>
      <c r="AA295">
        <v>33164.6</v>
      </c>
    </row>
    <row r="296" spans="1:27" x14ac:dyDescent="0.25">
      <c r="A296">
        <v>5320</v>
      </c>
      <c r="B296">
        <v>23210</v>
      </c>
      <c r="C296" s="1">
        <v>42873</v>
      </c>
      <c r="F296" s="47"/>
      <c r="G296">
        <v>13.5</v>
      </c>
      <c r="H296">
        <v>11.4</v>
      </c>
      <c r="I296">
        <v>15.8</v>
      </c>
      <c r="J296">
        <f t="shared" si="38"/>
        <v>2263.9</v>
      </c>
      <c r="K296">
        <f t="shared" si="39"/>
        <v>53.1</v>
      </c>
      <c r="L296" s="22" t="s">
        <v>37</v>
      </c>
      <c r="M296">
        <v>24.2</v>
      </c>
      <c r="N296">
        <v>1</v>
      </c>
      <c r="O296">
        <f t="shared" si="35"/>
        <v>23.2</v>
      </c>
      <c r="Q296">
        <v>260</v>
      </c>
      <c r="R296">
        <f t="shared" si="40"/>
        <v>1.1130769230769231</v>
      </c>
      <c r="S296">
        <f t="shared" si="36"/>
        <v>1.1130769230769231</v>
      </c>
      <c r="T296">
        <f t="shared" si="37"/>
        <v>23.086923076923075</v>
      </c>
      <c r="U296" s="14">
        <f t="shared" si="41"/>
        <v>62.124046550086817</v>
      </c>
      <c r="V296" s="23" t="s">
        <v>44</v>
      </c>
      <c r="W296">
        <v>615.4</v>
      </c>
      <c r="X296">
        <f t="shared" si="42"/>
        <v>200404.69999999992</v>
      </c>
      <c r="Y296">
        <f t="shared" si="43"/>
        <v>3897.5000000000005</v>
      </c>
      <c r="Z296">
        <v>15.072766794525426</v>
      </c>
      <c r="AA296" s="23" t="s">
        <v>49</v>
      </c>
    </row>
    <row r="297" spans="1:27" x14ac:dyDescent="0.25">
      <c r="A297">
        <v>5320</v>
      </c>
      <c r="B297">
        <v>23210</v>
      </c>
      <c r="C297" s="1">
        <v>42874</v>
      </c>
      <c r="F297" s="47"/>
      <c r="G297">
        <v>10</v>
      </c>
      <c r="H297">
        <v>9.4</v>
      </c>
      <c r="I297">
        <v>11.2</v>
      </c>
      <c r="J297">
        <f t="shared" si="38"/>
        <v>2273.9</v>
      </c>
      <c r="K297">
        <f t="shared" si="39"/>
        <v>63.1</v>
      </c>
      <c r="L297" s="9">
        <f>AVERAGE(G294:G310)</f>
        <v>18.311764705882354</v>
      </c>
      <c r="M297">
        <v>4.5999999999999996</v>
      </c>
      <c r="N297">
        <v>1.2</v>
      </c>
      <c r="O297">
        <f t="shared" si="35"/>
        <v>3.3999999999999995</v>
      </c>
      <c r="Q297">
        <v>261</v>
      </c>
      <c r="R297">
        <f t="shared" si="40"/>
        <v>1.1007692307692307</v>
      </c>
      <c r="S297">
        <f t="shared" si="36"/>
        <v>1.3209230769230769</v>
      </c>
      <c r="T297">
        <f t="shared" si="37"/>
        <v>3.2790769230769228</v>
      </c>
      <c r="U297" s="14">
        <f t="shared" si="41"/>
        <v>65.403123473163745</v>
      </c>
      <c r="V297">
        <v>10</v>
      </c>
      <c r="W297">
        <v>1295.0999999999999</v>
      </c>
      <c r="X297">
        <f t="shared" si="42"/>
        <v>201699.79999999993</v>
      </c>
      <c r="Y297">
        <f t="shared" si="43"/>
        <v>5192.6000000000004</v>
      </c>
      <c r="Z297">
        <v>15.112820056077146</v>
      </c>
      <c r="AA297">
        <f>(AA295/100)/L295</f>
        <v>1.0653581753935109</v>
      </c>
    </row>
    <row r="298" spans="1:27" x14ac:dyDescent="0.25">
      <c r="A298">
        <v>5320</v>
      </c>
      <c r="B298">
        <v>23210</v>
      </c>
      <c r="C298" s="1">
        <v>42875</v>
      </c>
      <c r="F298" s="47"/>
      <c r="G298">
        <v>11.4</v>
      </c>
      <c r="H298">
        <v>7.1</v>
      </c>
      <c r="I298">
        <v>15.1</v>
      </c>
      <c r="J298">
        <f t="shared" si="38"/>
        <v>2285.3000000000002</v>
      </c>
      <c r="K298">
        <f t="shared" si="39"/>
        <v>74.5</v>
      </c>
      <c r="L298" s="22" t="s">
        <v>38</v>
      </c>
      <c r="M298">
        <v>1.4</v>
      </c>
      <c r="N298">
        <v>2.2999999999999998</v>
      </c>
      <c r="O298">
        <f t="shared" si="35"/>
        <v>-0.89999999999999991</v>
      </c>
      <c r="Q298">
        <v>262</v>
      </c>
      <c r="R298">
        <f t="shared" si="40"/>
        <v>1.0884615384615384</v>
      </c>
      <c r="S298">
        <f t="shared" si="36"/>
        <v>2.5034615384615382</v>
      </c>
      <c r="T298">
        <f t="shared" si="37"/>
        <v>-1.1034615384615383</v>
      </c>
      <c r="U298" s="14">
        <f t="shared" si="41"/>
        <v>64.2996619347022</v>
      </c>
      <c r="V298" s="23" t="s">
        <v>45</v>
      </c>
      <c r="W298">
        <v>1645.3</v>
      </c>
      <c r="X298">
        <f t="shared" si="42"/>
        <v>203345.09999999992</v>
      </c>
      <c r="Y298">
        <f t="shared" si="43"/>
        <v>6837.9000000000005</v>
      </c>
      <c r="Z298">
        <v>15.152011699811601</v>
      </c>
      <c r="AA298" s="23" t="s">
        <v>50</v>
      </c>
    </row>
    <row r="299" spans="1:27" x14ac:dyDescent="0.25">
      <c r="A299">
        <v>5320</v>
      </c>
      <c r="B299">
        <v>23210</v>
      </c>
      <c r="C299" s="1">
        <v>42876</v>
      </c>
      <c r="F299" s="47"/>
      <c r="G299">
        <v>14.7</v>
      </c>
      <c r="H299">
        <v>8.1</v>
      </c>
      <c r="I299">
        <v>20.2</v>
      </c>
      <c r="J299">
        <f t="shared" si="38"/>
        <v>2300</v>
      </c>
      <c r="K299">
        <f t="shared" si="39"/>
        <v>89.2</v>
      </c>
      <c r="L299" s="10">
        <f>MIN(H294:H310)</f>
        <v>7.1</v>
      </c>
      <c r="M299">
        <v>0</v>
      </c>
      <c r="N299">
        <v>3.2</v>
      </c>
      <c r="O299">
        <f t="shared" si="35"/>
        <v>-3.2</v>
      </c>
      <c r="Q299">
        <v>263</v>
      </c>
      <c r="R299">
        <f t="shared" si="40"/>
        <v>1.076153846153846</v>
      </c>
      <c r="S299">
        <f t="shared" si="36"/>
        <v>3.4436923076923076</v>
      </c>
      <c r="T299">
        <f t="shared" si="37"/>
        <v>-3.4436923076923076</v>
      </c>
      <c r="U299" s="14">
        <f t="shared" si="41"/>
        <v>60.855969627009891</v>
      </c>
      <c r="V299" s="14">
        <f>MIN(U294:U310)</f>
        <v>14.826661934702221</v>
      </c>
      <c r="W299">
        <v>2014.5</v>
      </c>
      <c r="X299">
        <f t="shared" si="42"/>
        <v>205359.59999999992</v>
      </c>
      <c r="Y299">
        <f t="shared" si="43"/>
        <v>8852.4000000000015</v>
      </c>
      <c r="Z299">
        <v>15.190318160178053</v>
      </c>
      <c r="AA299">
        <v>1</v>
      </c>
    </row>
    <row r="300" spans="1:27" x14ac:dyDescent="0.25">
      <c r="A300">
        <v>5320</v>
      </c>
      <c r="B300">
        <v>23210</v>
      </c>
      <c r="C300" s="1">
        <v>42877</v>
      </c>
      <c r="F300" s="47"/>
      <c r="G300">
        <v>18.100000000000001</v>
      </c>
      <c r="H300">
        <v>11.6</v>
      </c>
      <c r="I300">
        <v>24.9</v>
      </c>
      <c r="J300">
        <f t="shared" si="38"/>
        <v>2318.1</v>
      </c>
      <c r="K300">
        <f t="shared" si="39"/>
        <v>107.30000000000001</v>
      </c>
      <c r="L300" s="22" t="s">
        <v>39</v>
      </c>
      <c r="M300">
        <v>0</v>
      </c>
      <c r="N300">
        <v>3.8</v>
      </c>
      <c r="O300">
        <f t="shared" si="35"/>
        <v>-3.8</v>
      </c>
      <c r="Q300">
        <v>264</v>
      </c>
      <c r="R300">
        <f t="shared" si="40"/>
        <v>1.0638461538461537</v>
      </c>
      <c r="S300">
        <f t="shared" si="36"/>
        <v>4.0426153846153836</v>
      </c>
      <c r="T300">
        <f t="shared" si="37"/>
        <v>-4.0426153846153836</v>
      </c>
      <c r="U300" s="14">
        <f t="shared" si="41"/>
        <v>56.81335424239451</v>
      </c>
      <c r="V300" s="23" t="s">
        <v>46</v>
      </c>
      <c r="W300">
        <v>2285.3000000000002</v>
      </c>
      <c r="X300">
        <f t="shared" si="42"/>
        <v>207644.89999999991</v>
      </c>
      <c r="Y300">
        <f t="shared" si="43"/>
        <v>11137.7</v>
      </c>
      <c r="Z300">
        <v>15.227715860100401</v>
      </c>
    </row>
    <row r="301" spans="1:27" x14ac:dyDescent="0.25">
      <c r="A301">
        <v>5320</v>
      </c>
      <c r="B301">
        <v>23210</v>
      </c>
      <c r="C301" s="1">
        <v>42878</v>
      </c>
      <c r="F301" s="47"/>
      <c r="G301">
        <v>17.7</v>
      </c>
      <c r="H301">
        <v>13.3</v>
      </c>
      <c r="I301">
        <v>22</v>
      </c>
      <c r="J301">
        <f t="shared" si="38"/>
        <v>2335.7999999999997</v>
      </c>
      <c r="K301">
        <f t="shared" si="39"/>
        <v>125.00000000000001</v>
      </c>
      <c r="L301" s="9">
        <f>MAX(I294:I310)</f>
        <v>29.3</v>
      </c>
      <c r="M301">
        <v>0</v>
      </c>
      <c r="N301">
        <v>3.7</v>
      </c>
      <c r="O301">
        <f t="shared" si="35"/>
        <v>-3.7</v>
      </c>
      <c r="Q301">
        <v>265</v>
      </c>
      <c r="R301">
        <f t="shared" si="40"/>
        <v>1.0515384615384615</v>
      </c>
      <c r="S301">
        <f t="shared" si="36"/>
        <v>3.8906923076923077</v>
      </c>
      <c r="T301">
        <f t="shared" si="37"/>
        <v>-3.8906923076923077</v>
      </c>
      <c r="U301" s="14">
        <f t="shared" si="41"/>
        <v>52.922661934702205</v>
      </c>
      <c r="V301" s="14">
        <f>MAX(U294:U310)</f>
        <v>65.403123473163745</v>
      </c>
      <c r="W301">
        <v>2122.5</v>
      </c>
      <c r="X301">
        <f t="shared" si="42"/>
        <v>209767.39999999991</v>
      </c>
      <c r="Y301">
        <f t="shared" si="43"/>
        <v>13260.2</v>
      </c>
      <c r="Z301">
        <v>15.264181251462579</v>
      </c>
    </row>
    <row r="302" spans="1:27" x14ac:dyDescent="0.25">
      <c r="A302">
        <v>5320</v>
      </c>
      <c r="B302">
        <v>23210</v>
      </c>
      <c r="C302" s="1">
        <v>42879</v>
      </c>
      <c r="F302" s="47"/>
      <c r="G302">
        <v>18</v>
      </c>
      <c r="H302">
        <v>14.4</v>
      </c>
      <c r="I302">
        <v>21.6</v>
      </c>
      <c r="J302">
        <f t="shared" si="38"/>
        <v>2353.7999999999997</v>
      </c>
      <c r="K302">
        <f t="shared" si="39"/>
        <v>143</v>
      </c>
      <c r="L302" s="22" t="s">
        <v>40</v>
      </c>
      <c r="M302">
        <v>0</v>
      </c>
      <c r="N302">
        <v>2.6</v>
      </c>
      <c r="O302">
        <f t="shared" si="35"/>
        <v>-2.6</v>
      </c>
      <c r="Q302">
        <v>266</v>
      </c>
      <c r="R302">
        <f t="shared" si="40"/>
        <v>1.0392307692307692</v>
      </c>
      <c r="S302">
        <f t="shared" si="36"/>
        <v>2.702</v>
      </c>
      <c r="T302">
        <f t="shared" si="37"/>
        <v>-2.702</v>
      </c>
      <c r="U302" s="14">
        <f t="shared" si="41"/>
        <v>50.220661934702207</v>
      </c>
      <c r="V302" s="23" t="s">
        <v>47</v>
      </c>
      <c r="W302">
        <v>1552.2</v>
      </c>
      <c r="X302">
        <f t="shared" si="42"/>
        <v>211319.59999999992</v>
      </c>
      <c r="Y302">
        <f t="shared" si="43"/>
        <v>14812.400000000001</v>
      </c>
      <c r="Z302">
        <v>15.299690857435891</v>
      </c>
    </row>
    <row r="303" spans="1:27" x14ac:dyDescent="0.25">
      <c r="A303">
        <v>5320</v>
      </c>
      <c r="B303">
        <v>23210</v>
      </c>
      <c r="C303" s="1">
        <v>42880</v>
      </c>
      <c r="F303" s="47"/>
      <c r="G303">
        <v>20</v>
      </c>
      <c r="H303">
        <v>15.1</v>
      </c>
      <c r="I303">
        <v>24.8</v>
      </c>
      <c r="J303">
        <f t="shared" si="38"/>
        <v>2373.7999999999997</v>
      </c>
      <c r="K303">
        <f t="shared" si="39"/>
        <v>163</v>
      </c>
      <c r="L303" s="9">
        <v>7</v>
      </c>
      <c r="M303">
        <v>0</v>
      </c>
      <c r="N303">
        <v>6.3</v>
      </c>
      <c r="O303">
        <f t="shared" si="35"/>
        <v>-6.3</v>
      </c>
      <c r="Q303">
        <v>267</v>
      </c>
      <c r="R303">
        <f t="shared" si="40"/>
        <v>1.0269230769230768</v>
      </c>
      <c r="S303">
        <f t="shared" si="36"/>
        <v>6.4696153846153841</v>
      </c>
      <c r="T303">
        <f t="shared" si="37"/>
        <v>-6.4696153846153841</v>
      </c>
      <c r="U303" s="14">
        <f t="shared" si="41"/>
        <v>43.751046550086826</v>
      </c>
      <c r="V303" s="14">
        <f>AVERAGE(U294:U310)</f>
        <v>42.022132522937504</v>
      </c>
      <c r="W303">
        <v>3169</v>
      </c>
      <c r="X303">
        <f t="shared" si="42"/>
        <v>214488.59999999992</v>
      </c>
      <c r="Y303">
        <f t="shared" si="43"/>
        <v>17981.400000000001</v>
      </c>
      <c r="Z303">
        <v>15.334221316558514</v>
      </c>
    </row>
    <row r="304" spans="1:27" x14ac:dyDescent="0.25">
      <c r="A304">
        <v>5320</v>
      </c>
      <c r="B304">
        <v>23210</v>
      </c>
      <c r="C304" s="1">
        <v>42881</v>
      </c>
      <c r="F304" s="47"/>
      <c r="G304">
        <v>21.7</v>
      </c>
      <c r="H304">
        <v>15.6</v>
      </c>
      <c r="I304">
        <v>27.5</v>
      </c>
      <c r="J304">
        <f t="shared" si="38"/>
        <v>2395.4999999999995</v>
      </c>
      <c r="K304">
        <f t="shared" si="39"/>
        <v>184.7</v>
      </c>
      <c r="L304" s="22" t="s">
        <v>41</v>
      </c>
      <c r="M304">
        <v>0</v>
      </c>
      <c r="N304">
        <v>6.5</v>
      </c>
      <c r="O304">
        <f t="shared" si="35"/>
        <v>-6.5</v>
      </c>
      <c r="Q304">
        <v>268</v>
      </c>
      <c r="R304">
        <f t="shared" si="40"/>
        <v>1.0146153846153845</v>
      </c>
      <c r="S304">
        <f t="shared" si="36"/>
        <v>6.5949999999999989</v>
      </c>
      <c r="T304">
        <f t="shared" si="37"/>
        <v>-6.5949999999999989</v>
      </c>
      <c r="U304" s="14">
        <f t="shared" si="41"/>
        <v>37.156046550086828</v>
      </c>
      <c r="W304">
        <v>3186.9</v>
      </c>
      <c r="X304">
        <f t="shared" si="42"/>
        <v>217675.49999999991</v>
      </c>
      <c r="Y304">
        <f t="shared" si="43"/>
        <v>21168.300000000003</v>
      </c>
      <c r="Z304">
        <v>15.367749428461012</v>
      </c>
    </row>
    <row r="305" spans="1:27" x14ac:dyDescent="0.25">
      <c r="A305">
        <v>5320</v>
      </c>
      <c r="B305">
        <v>23210</v>
      </c>
      <c r="C305" s="1">
        <v>42882</v>
      </c>
      <c r="F305" s="47"/>
      <c r="G305">
        <v>23.5</v>
      </c>
      <c r="H305">
        <v>18.100000000000001</v>
      </c>
      <c r="I305">
        <v>27.4</v>
      </c>
      <c r="J305">
        <f t="shared" si="38"/>
        <v>2418.9999999999995</v>
      </c>
      <c r="K305">
        <f t="shared" si="39"/>
        <v>208.2</v>
      </c>
      <c r="L305" s="9">
        <v>0</v>
      </c>
      <c r="M305">
        <v>0</v>
      </c>
      <c r="N305">
        <v>4.0999999999999996</v>
      </c>
      <c r="O305">
        <f t="shared" si="35"/>
        <v>-4.0999999999999996</v>
      </c>
      <c r="Q305">
        <v>269</v>
      </c>
      <c r="R305">
        <f t="shared" si="40"/>
        <v>1.0023076923076921</v>
      </c>
      <c r="S305">
        <f t="shared" si="36"/>
        <v>4.1094615384615372</v>
      </c>
      <c r="T305">
        <f t="shared" si="37"/>
        <v>-4.1094615384615372</v>
      </c>
      <c r="U305" s="14">
        <f t="shared" si="41"/>
        <v>33.046585011625289</v>
      </c>
      <c r="V305">
        <f>(V303*100)/138.9</f>
        <v>30.253515135304173</v>
      </c>
      <c r="W305">
        <v>2127.5</v>
      </c>
      <c r="X305">
        <f t="shared" si="42"/>
        <v>219802.99999999991</v>
      </c>
      <c r="Y305">
        <f t="shared" si="43"/>
        <v>23295.800000000003</v>
      </c>
      <c r="Z305">
        <v>15.400252201115023</v>
      </c>
    </row>
    <row r="306" spans="1:27" x14ac:dyDescent="0.25">
      <c r="A306">
        <v>5320</v>
      </c>
      <c r="B306">
        <v>23210</v>
      </c>
      <c r="C306" s="1">
        <v>42883</v>
      </c>
      <c r="F306" s="47"/>
      <c r="G306">
        <v>24.2</v>
      </c>
      <c r="H306">
        <v>19.3</v>
      </c>
      <c r="I306">
        <v>29.3</v>
      </c>
      <c r="J306">
        <f t="shared" si="38"/>
        <v>2443.1999999999994</v>
      </c>
      <c r="K306">
        <f t="shared" si="39"/>
        <v>232.39999999999998</v>
      </c>
      <c r="L306" s="22" t="s">
        <v>42</v>
      </c>
      <c r="M306">
        <v>0</v>
      </c>
      <c r="N306">
        <v>4.0999999999999996</v>
      </c>
      <c r="O306">
        <f t="shared" si="35"/>
        <v>-4.0999999999999996</v>
      </c>
      <c r="Q306">
        <v>270</v>
      </c>
      <c r="R306">
        <f t="shared" si="40"/>
        <v>0.98999999999999988</v>
      </c>
      <c r="S306">
        <f t="shared" si="36"/>
        <v>4.0589999999999993</v>
      </c>
      <c r="T306">
        <f t="shared" si="37"/>
        <v>-4.0589999999999993</v>
      </c>
      <c r="U306" s="14">
        <f t="shared" si="41"/>
        <v>28.987585011625292</v>
      </c>
      <c r="W306">
        <v>2206.1</v>
      </c>
      <c r="X306">
        <f t="shared" si="42"/>
        <v>222009.09999999992</v>
      </c>
      <c r="Y306">
        <f t="shared" si="43"/>
        <v>25501.9</v>
      </c>
      <c r="Z306">
        <v>15.431706899465116</v>
      </c>
    </row>
    <row r="307" spans="1:27" x14ac:dyDescent="0.25">
      <c r="A307">
        <v>5320</v>
      </c>
      <c r="B307">
        <v>23210</v>
      </c>
      <c r="C307" s="1">
        <v>42884</v>
      </c>
      <c r="F307" s="47"/>
      <c r="G307">
        <v>21.3</v>
      </c>
      <c r="H307">
        <v>19.8</v>
      </c>
      <c r="I307">
        <v>25.5</v>
      </c>
      <c r="J307">
        <f t="shared" si="38"/>
        <v>2464.4999999999995</v>
      </c>
      <c r="K307">
        <f t="shared" si="39"/>
        <v>253.7</v>
      </c>
      <c r="L307" s="18">
        <v>0</v>
      </c>
      <c r="M307">
        <v>0</v>
      </c>
      <c r="N307">
        <v>3.4</v>
      </c>
      <c r="O307">
        <f t="shared" si="35"/>
        <v>-3.4</v>
      </c>
      <c r="Q307">
        <v>271</v>
      </c>
      <c r="R307">
        <f t="shared" si="40"/>
        <v>0.97769230769230764</v>
      </c>
      <c r="S307">
        <f t="shared" si="36"/>
        <v>3.324153846153846</v>
      </c>
      <c r="T307">
        <f t="shared" si="37"/>
        <v>-3.324153846153846</v>
      </c>
      <c r="U307" s="14">
        <f t="shared" si="41"/>
        <v>25.663431165471447</v>
      </c>
      <c r="W307">
        <v>1581.5</v>
      </c>
      <c r="X307">
        <f t="shared" si="42"/>
        <v>223590.59999999992</v>
      </c>
      <c r="Y307">
        <f t="shared" si="43"/>
        <v>27083.4</v>
      </c>
      <c r="Z307">
        <v>15.462091095286928</v>
      </c>
    </row>
    <row r="308" spans="1:27" x14ac:dyDescent="0.25">
      <c r="A308">
        <v>5320</v>
      </c>
      <c r="B308">
        <v>23210</v>
      </c>
      <c r="C308" s="1">
        <v>42885</v>
      </c>
      <c r="F308" s="47"/>
      <c r="G308">
        <v>18.5</v>
      </c>
      <c r="H308">
        <v>16.3</v>
      </c>
      <c r="I308">
        <v>21.6</v>
      </c>
      <c r="J308">
        <f t="shared" si="38"/>
        <v>2482.9999999999995</v>
      </c>
      <c r="K308">
        <f t="shared" si="39"/>
        <v>272.2</v>
      </c>
      <c r="M308">
        <v>0</v>
      </c>
      <c r="N308">
        <v>2.5</v>
      </c>
      <c r="O308">
        <f t="shared" si="35"/>
        <v>-2.5</v>
      </c>
      <c r="Q308">
        <v>272</v>
      </c>
      <c r="R308">
        <f t="shared" si="40"/>
        <v>0.96538461538461529</v>
      </c>
      <c r="S308">
        <f t="shared" si="36"/>
        <v>2.4134615384615383</v>
      </c>
      <c r="T308">
        <f t="shared" si="37"/>
        <v>-2.4134615384615383</v>
      </c>
      <c r="U308" s="14">
        <f t="shared" si="41"/>
        <v>23.249969627009911</v>
      </c>
      <c r="W308">
        <v>1197.8</v>
      </c>
      <c r="X308">
        <f t="shared" si="42"/>
        <v>224788.39999999991</v>
      </c>
      <c r="Y308">
        <f t="shared" si="43"/>
        <v>28281.200000000001</v>
      </c>
      <c r="Z308">
        <v>15.491382718097563</v>
      </c>
    </row>
    <row r="309" spans="1:27" x14ac:dyDescent="0.25">
      <c r="A309">
        <v>5320</v>
      </c>
      <c r="B309">
        <v>23210</v>
      </c>
      <c r="C309" s="1">
        <v>42886</v>
      </c>
      <c r="F309" s="47"/>
      <c r="G309">
        <v>18.100000000000001</v>
      </c>
      <c r="H309">
        <v>13</v>
      </c>
      <c r="I309">
        <v>21.7</v>
      </c>
      <c r="J309">
        <f t="shared" si="38"/>
        <v>2501.0999999999995</v>
      </c>
      <c r="K309">
        <f t="shared" si="39"/>
        <v>290.3</v>
      </c>
      <c r="M309">
        <v>0</v>
      </c>
      <c r="N309">
        <v>4.0999999999999996</v>
      </c>
      <c r="O309">
        <f t="shared" si="35"/>
        <v>-4.0999999999999996</v>
      </c>
      <c r="Q309">
        <v>273</v>
      </c>
      <c r="R309">
        <f t="shared" si="40"/>
        <v>0.95307692307692293</v>
      </c>
      <c r="S309">
        <f t="shared" si="36"/>
        <v>3.9076153846153838</v>
      </c>
      <c r="T309">
        <f t="shared" si="37"/>
        <v>-3.9076153846153838</v>
      </c>
      <c r="U309" s="14">
        <f t="shared" si="41"/>
        <v>19.342354242394528</v>
      </c>
      <c r="W309">
        <v>2469.9</v>
      </c>
      <c r="X309">
        <f t="shared" si="42"/>
        <v>227258.2999999999</v>
      </c>
      <c r="Y309">
        <f t="shared" si="43"/>
        <v>30751.100000000002</v>
      </c>
      <c r="Z309">
        <v>15.519560106927766</v>
      </c>
    </row>
    <row r="310" spans="1:27" s="6" customFormat="1" ht="15.75" thickBot="1" x14ac:dyDescent="0.3">
      <c r="A310" s="6">
        <v>5320</v>
      </c>
      <c r="B310" s="6">
        <v>23210</v>
      </c>
      <c r="C310" s="7">
        <v>42887</v>
      </c>
      <c r="D310" s="6">
        <v>600</v>
      </c>
      <c r="F310" s="48"/>
      <c r="G310" s="6">
        <v>21</v>
      </c>
      <c r="H310" s="6">
        <v>15.5</v>
      </c>
      <c r="I310" s="6">
        <v>26</v>
      </c>
      <c r="J310" s="6">
        <f t="shared" si="38"/>
        <v>2522.0999999999995</v>
      </c>
      <c r="K310" s="6">
        <f t="shared" si="39"/>
        <v>311.3</v>
      </c>
      <c r="M310" s="6">
        <v>0</v>
      </c>
      <c r="N310" s="6">
        <v>4.8</v>
      </c>
      <c r="O310" s="6">
        <f t="shared" si="35"/>
        <v>-4.8</v>
      </c>
      <c r="Q310" s="6">
        <v>274</v>
      </c>
      <c r="R310" s="6">
        <f t="shared" si="40"/>
        <v>0.94076923076923069</v>
      </c>
      <c r="S310" s="6">
        <f t="shared" si="36"/>
        <v>4.5156923076923068</v>
      </c>
      <c r="T310" s="6">
        <f t="shared" si="37"/>
        <v>-4.5156923076923068</v>
      </c>
      <c r="U310" s="26">
        <f t="shared" si="41"/>
        <v>14.826661934702221</v>
      </c>
      <c r="W310" s="6">
        <v>2413.5</v>
      </c>
      <c r="X310" s="6">
        <f t="shared" si="42"/>
        <v>229671.7999999999</v>
      </c>
      <c r="Y310" s="6">
        <f t="shared" si="43"/>
        <v>33164.600000000006</v>
      </c>
      <c r="Z310" s="6">
        <v>15.546602062749153</v>
      </c>
    </row>
    <row r="311" spans="1:27" x14ac:dyDescent="0.25">
      <c r="A311">
        <v>5320</v>
      </c>
      <c r="B311">
        <v>23210</v>
      </c>
      <c r="C311" s="1">
        <v>42888</v>
      </c>
      <c r="F311" s="49" t="s">
        <v>57</v>
      </c>
      <c r="G311">
        <v>21.9</v>
      </c>
      <c r="H311">
        <v>17.5</v>
      </c>
      <c r="I311">
        <v>27.7</v>
      </c>
      <c r="J311">
        <f t="shared" si="38"/>
        <v>2543.9999999999995</v>
      </c>
      <c r="K311">
        <f>G311</f>
        <v>21.9</v>
      </c>
      <c r="L311" s="24" t="s">
        <v>36</v>
      </c>
      <c r="M311">
        <v>1.1000000000000001</v>
      </c>
      <c r="N311">
        <v>4</v>
      </c>
      <c r="O311">
        <f t="shared" si="35"/>
        <v>-2.9</v>
      </c>
      <c r="Q311">
        <v>275</v>
      </c>
      <c r="R311">
        <f t="shared" si="40"/>
        <v>0.92846153846153834</v>
      </c>
      <c r="S311">
        <f t="shared" si="36"/>
        <v>3.7138461538461534</v>
      </c>
      <c r="T311">
        <f t="shared" si="37"/>
        <v>-2.6138461538461533</v>
      </c>
      <c r="U311" s="14">
        <f t="shared" si="41"/>
        <v>12.212815780856069</v>
      </c>
      <c r="V311" s="25" t="s">
        <v>43</v>
      </c>
      <c r="W311">
        <v>1974.7</v>
      </c>
      <c r="X311">
        <f t="shared" si="42"/>
        <v>231646.49999999991</v>
      </c>
      <c r="Y311">
        <f>W311</f>
        <v>1974.7</v>
      </c>
      <c r="Z311">
        <v>15.572487901334686</v>
      </c>
      <c r="AA311" s="25" t="s">
        <v>48</v>
      </c>
    </row>
    <row r="312" spans="1:27" x14ac:dyDescent="0.25">
      <c r="A312">
        <v>5320</v>
      </c>
      <c r="B312">
        <v>23210</v>
      </c>
      <c r="C312" s="1">
        <v>42889</v>
      </c>
      <c r="F312" s="50"/>
      <c r="G312">
        <v>15.6</v>
      </c>
      <c r="H312">
        <v>15</v>
      </c>
      <c r="I312">
        <v>18.600000000000001</v>
      </c>
      <c r="J312">
        <f t="shared" si="38"/>
        <v>2559.5999999999995</v>
      </c>
      <c r="K312">
        <f t="shared" si="39"/>
        <v>37.5</v>
      </c>
      <c r="L312" s="9">
        <v>404.9</v>
      </c>
      <c r="M312">
        <v>0.2</v>
      </c>
      <c r="N312">
        <v>1</v>
      </c>
      <c r="O312">
        <f t="shared" si="35"/>
        <v>-0.8</v>
      </c>
      <c r="Q312">
        <v>276</v>
      </c>
      <c r="R312">
        <f t="shared" si="40"/>
        <v>0.9161538461538461</v>
      </c>
      <c r="S312">
        <f t="shared" si="36"/>
        <v>0.9161538461538461</v>
      </c>
      <c r="T312">
        <f t="shared" si="37"/>
        <v>-0.71615384615384614</v>
      </c>
      <c r="U312" s="14">
        <f t="shared" si="41"/>
        <v>11.496661934702223</v>
      </c>
      <c r="V312">
        <v>10</v>
      </c>
      <c r="W312">
        <v>690.2</v>
      </c>
      <c r="X312">
        <f t="shared" si="42"/>
        <v>232336.69999999992</v>
      </c>
      <c r="Y312">
        <f t="shared" si="43"/>
        <v>2664.9</v>
      </c>
      <c r="Z312">
        <v>15.597197506316128</v>
      </c>
      <c r="AA312">
        <v>45183.6</v>
      </c>
    </row>
    <row r="313" spans="1:27" x14ac:dyDescent="0.25">
      <c r="A313">
        <v>5320</v>
      </c>
      <c r="B313">
        <v>23210</v>
      </c>
      <c r="C313" s="1">
        <v>42890</v>
      </c>
      <c r="F313" s="50"/>
      <c r="G313">
        <v>16</v>
      </c>
      <c r="H313">
        <v>10.8</v>
      </c>
      <c r="I313">
        <v>20.8</v>
      </c>
      <c r="J313">
        <f t="shared" si="38"/>
        <v>2575.5999999999995</v>
      </c>
      <c r="K313">
        <f t="shared" si="39"/>
        <v>53.5</v>
      </c>
      <c r="L313" s="24" t="s">
        <v>37</v>
      </c>
      <c r="M313">
        <v>0</v>
      </c>
      <c r="N313">
        <v>1.9</v>
      </c>
      <c r="O313">
        <f t="shared" si="35"/>
        <v>-1.9</v>
      </c>
      <c r="Q313">
        <v>277</v>
      </c>
      <c r="R313">
        <f t="shared" si="40"/>
        <v>0.90384615384615374</v>
      </c>
      <c r="S313">
        <f t="shared" si="36"/>
        <v>1.717307692307692</v>
      </c>
      <c r="T313">
        <f t="shared" si="37"/>
        <v>-1.717307692307692</v>
      </c>
      <c r="U313" s="14">
        <f t="shared" si="41"/>
        <v>9.7793542423945308</v>
      </c>
      <c r="V313" s="25" t="s">
        <v>44</v>
      </c>
      <c r="W313">
        <v>1285.0999999999999</v>
      </c>
      <c r="X313">
        <f t="shared" si="42"/>
        <v>233621.79999999993</v>
      </c>
      <c r="Y313">
        <f t="shared" si="43"/>
        <v>3950</v>
      </c>
      <c r="Z313">
        <v>15.620711382189379</v>
      </c>
      <c r="AA313" s="25" t="s">
        <v>49</v>
      </c>
    </row>
    <row r="314" spans="1:27" x14ac:dyDescent="0.25">
      <c r="A314">
        <v>5320</v>
      </c>
      <c r="B314">
        <v>23210</v>
      </c>
      <c r="C314" s="1">
        <v>42891</v>
      </c>
      <c r="F314" s="50"/>
      <c r="G314">
        <v>16.8</v>
      </c>
      <c r="H314">
        <v>12.5</v>
      </c>
      <c r="I314">
        <v>21.7</v>
      </c>
      <c r="J314">
        <f t="shared" si="38"/>
        <v>2592.3999999999996</v>
      </c>
      <c r="K314">
        <f t="shared" si="39"/>
        <v>70.3</v>
      </c>
      <c r="L314" s="9">
        <f>AVERAGE(G311:G330)</f>
        <v>20.245000000000001</v>
      </c>
      <c r="M314">
        <v>5.6</v>
      </c>
      <c r="N314">
        <v>4</v>
      </c>
      <c r="O314">
        <f t="shared" si="35"/>
        <v>1.5999999999999996</v>
      </c>
      <c r="Q314">
        <v>278</v>
      </c>
      <c r="R314">
        <f t="shared" si="40"/>
        <v>0.89153846153846139</v>
      </c>
      <c r="S314">
        <f t="shared" si="36"/>
        <v>3.5661538461538456</v>
      </c>
      <c r="T314">
        <f t="shared" si="37"/>
        <v>2.0338461538461541</v>
      </c>
      <c r="U314" s="14">
        <f t="shared" si="41"/>
        <v>11.813200396240685</v>
      </c>
      <c r="V314">
        <v>10</v>
      </c>
      <c r="W314">
        <v>1969.7</v>
      </c>
      <c r="X314">
        <f t="shared" si="42"/>
        <v>235591.49999999994</v>
      </c>
      <c r="Y314">
        <f t="shared" si="43"/>
        <v>5919.7</v>
      </c>
      <c r="Z314">
        <v>15.643010707006935</v>
      </c>
      <c r="AA314">
        <f>(AA312/100)/L312</f>
        <v>1.1159199802420352</v>
      </c>
    </row>
    <row r="315" spans="1:27" x14ac:dyDescent="0.25">
      <c r="A315">
        <v>5320</v>
      </c>
      <c r="B315">
        <v>23210</v>
      </c>
      <c r="C315" s="1">
        <v>42892</v>
      </c>
      <c r="F315" s="50"/>
      <c r="G315">
        <v>13.4</v>
      </c>
      <c r="H315">
        <v>11.1</v>
      </c>
      <c r="I315">
        <v>18.2</v>
      </c>
      <c r="J315">
        <f t="shared" si="38"/>
        <v>2605.7999999999997</v>
      </c>
      <c r="K315">
        <f t="shared" si="39"/>
        <v>83.7</v>
      </c>
      <c r="L315" s="24" t="s">
        <v>38</v>
      </c>
      <c r="M315">
        <v>1.4</v>
      </c>
      <c r="N315">
        <v>3.9</v>
      </c>
      <c r="O315">
        <f t="shared" si="35"/>
        <v>-2.5</v>
      </c>
      <c r="Q315">
        <v>279</v>
      </c>
      <c r="R315">
        <f t="shared" si="40"/>
        <v>0.87923076923076915</v>
      </c>
      <c r="S315">
        <f t="shared" si="36"/>
        <v>3.4289999999999994</v>
      </c>
      <c r="T315">
        <f t="shared" si="37"/>
        <v>-2.0289999999999995</v>
      </c>
      <c r="U315" s="14">
        <f t="shared" si="41"/>
        <v>9.7842003962406849</v>
      </c>
      <c r="V315" s="25" t="s">
        <v>45</v>
      </c>
      <c r="W315">
        <v>1707.3</v>
      </c>
      <c r="X315">
        <f t="shared" si="42"/>
        <v>237298.79999999993</v>
      </c>
      <c r="Y315">
        <f t="shared" si="43"/>
        <v>7627</v>
      </c>
      <c r="Z315">
        <v>15.664077384487205</v>
      </c>
      <c r="AA315" s="25" t="s">
        <v>50</v>
      </c>
    </row>
    <row r="316" spans="1:27" x14ac:dyDescent="0.25">
      <c r="A316">
        <v>5320</v>
      </c>
      <c r="B316">
        <v>23210</v>
      </c>
      <c r="C316" s="1">
        <v>42893</v>
      </c>
      <c r="F316" s="50"/>
      <c r="G316">
        <v>14.7</v>
      </c>
      <c r="H316">
        <v>8.9</v>
      </c>
      <c r="I316">
        <v>19.899999999999999</v>
      </c>
      <c r="J316">
        <f t="shared" si="38"/>
        <v>2620.4999999999995</v>
      </c>
      <c r="K316">
        <f t="shared" si="39"/>
        <v>98.4</v>
      </c>
      <c r="L316" s="10">
        <f>MIN(H311:H330)</f>
        <v>8.9</v>
      </c>
      <c r="M316">
        <v>0</v>
      </c>
      <c r="N316">
        <v>3.1</v>
      </c>
      <c r="O316">
        <f t="shared" si="35"/>
        <v>-3.1</v>
      </c>
      <c r="Q316">
        <v>280</v>
      </c>
      <c r="R316">
        <f t="shared" si="40"/>
        <v>0.86692307692307691</v>
      </c>
      <c r="S316">
        <f t="shared" si="36"/>
        <v>2.6874615384615383</v>
      </c>
      <c r="T316">
        <f t="shared" si="37"/>
        <v>-2.6874615384615383</v>
      </c>
      <c r="U316" s="14">
        <f t="shared" si="41"/>
        <v>7.0967388577791466</v>
      </c>
      <c r="V316">
        <v>0</v>
      </c>
      <c r="W316">
        <v>1604.5</v>
      </c>
      <c r="X316">
        <f t="shared" si="42"/>
        <v>238903.29999999993</v>
      </c>
      <c r="Y316">
        <f t="shared" si="43"/>
        <v>9231.5</v>
      </c>
      <c r="Z316">
        <v>15.68389409526243</v>
      </c>
      <c r="AA316">
        <v>1</v>
      </c>
    </row>
    <row r="317" spans="1:27" x14ac:dyDescent="0.25">
      <c r="A317">
        <v>5320</v>
      </c>
      <c r="B317">
        <v>23210</v>
      </c>
      <c r="C317" s="1">
        <v>42894</v>
      </c>
      <c r="F317" s="50"/>
      <c r="G317">
        <v>19.399999999999999</v>
      </c>
      <c r="H317">
        <v>11.3</v>
      </c>
      <c r="I317">
        <v>25.8</v>
      </c>
      <c r="J317">
        <f t="shared" si="38"/>
        <v>2639.8999999999996</v>
      </c>
      <c r="K317">
        <f t="shared" si="39"/>
        <v>117.80000000000001</v>
      </c>
      <c r="L317" s="24" t="s">
        <v>39</v>
      </c>
      <c r="M317">
        <v>11.9</v>
      </c>
      <c r="N317">
        <v>4.7</v>
      </c>
      <c r="O317">
        <f t="shared" si="35"/>
        <v>7.2</v>
      </c>
      <c r="Q317">
        <v>281</v>
      </c>
      <c r="R317">
        <f t="shared" si="40"/>
        <v>0.85461538461538455</v>
      </c>
      <c r="S317">
        <f t="shared" si="36"/>
        <v>4.0166923076923071</v>
      </c>
      <c r="T317">
        <f t="shared" si="37"/>
        <v>7.8833076923076932</v>
      </c>
      <c r="U317" s="14">
        <f t="shared" si="41"/>
        <v>14.98004655008684</v>
      </c>
      <c r="V317" s="25" t="s">
        <v>46</v>
      </c>
      <c r="W317">
        <v>2598.6999999999998</v>
      </c>
      <c r="X317">
        <f t="shared" si="42"/>
        <v>241501.99999999994</v>
      </c>
      <c r="Y317">
        <f t="shared" si="43"/>
        <v>11830.2</v>
      </c>
      <c r="Z317">
        <v>15.702444346981574</v>
      </c>
    </row>
    <row r="318" spans="1:27" x14ac:dyDescent="0.25">
      <c r="A318">
        <v>5320</v>
      </c>
      <c r="B318">
        <v>23210</v>
      </c>
      <c r="C318" s="1">
        <v>42895</v>
      </c>
      <c r="F318" s="50"/>
      <c r="G318">
        <v>18.3</v>
      </c>
      <c r="H318">
        <v>15.9</v>
      </c>
      <c r="I318">
        <v>22.1</v>
      </c>
      <c r="J318">
        <f t="shared" si="38"/>
        <v>2658.2</v>
      </c>
      <c r="K318">
        <f t="shared" si="39"/>
        <v>136.10000000000002</v>
      </c>
      <c r="L318" s="9">
        <f>MAX(I311:I330)</f>
        <v>35</v>
      </c>
      <c r="M318">
        <v>0</v>
      </c>
      <c r="N318">
        <v>2.9</v>
      </c>
      <c r="O318">
        <f t="shared" si="35"/>
        <v>-2.9</v>
      </c>
      <c r="Q318">
        <v>282</v>
      </c>
      <c r="R318">
        <f t="shared" si="40"/>
        <v>0.8423076923076922</v>
      </c>
      <c r="S318">
        <f t="shared" si="36"/>
        <v>2.4426923076923073</v>
      </c>
      <c r="T318">
        <f t="shared" si="37"/>
        <v>-2.4426923076923073</v>
      </c>
      <c r="U318" s="14">
        <f t="shared" si="41"/>
        <v>12.537354242394532</v>
      </c>
      <c r="V318" s="14">
        <f>MAX(U311:U330)</f>
        <v>14.98004655008684</v>
      </c>
      <c r="W318">
        <v>1442.2</v>
      </c>
      <c r="X318">
        <f t="shared" si="42"/>
        <v>242944.19999999995</v>
      </c>
      <c r="Y318">
        <f t="shared" si="43"/>
        <v>13272.400000000001</v>
      </c>
      <c r="Z318">
        <v>15.71971252298135</v>
      </c>
    </row>
    <row r="319" spans="1:27" x14ac:dyDescent="0.25">
      <c r="A319">
        <v>5320</v>
      </c>
      <c r="B319">
        <v>23210</v>
      </c>
      <c r="C319" s="1">
        <v>42896</v>
      </c>
      <c r="F319" s="50"/>
      <c r="G319">
        <v>19.7</v>
      </c>
      <c r="H319">
        <v>12.8</v>
      </c>
      <c r="I319">
        <v>26.6</v>
      </c>
      <c r="J319">
        <f t="shared" si="38"/>
        <v>2677.8999999999996</v>
      </c>
      <c r="K319">
        <f t="shared" si="39"/>
        <v>155.80000000000001</v>
      </c>
      <c r="L319" s="24" t="s">
        <v>40</v>
      </c>
      <c r="M319">
        <v>0</v>
      </c>
      <c r="N319">
        <v>6.2</v>
      </c>
      <c r="O319">
        <f t="shared" si="35"/>
        <v>-6.2</v>
      </c>
      <c r="Q319">
        <v>283</v>
      </c>
      <c r="R319">
        <f t="shared" si="40"/>
        <v>0.82999999999999985</v>
      </c>
      <c r="S319">
        <f t="shared" si="36"/>
        <v>5.145999999999999</v>
      </c>
      <c r="T319">
        <f t="shared" si="37"/>
        <v>-5.145999999999999</v>
      </c>
      <c r="U319" s="14">
        <f t="shared" si="41"/>
        <v>7.3913542423945326</v>
      </c>
      <c r="V319" s="25" t="s">
        <v>47</v>
      </c>
      <c r="W319">
        <v>3200.8</v>
      </c>
      <c r="X319">
        <f t="shared" si="42"/>
        <v>246144.99999999994</v>
      </c>
      <c r="Y319">
        <f t="shared" si="43"/>
        <v>16473.2</v>
      </c>
      <c r="Z319">
        <v>15.735683929237869</v>
      </c>
    </row>
    <row r="320" spans="1:27" x14ac:dyDescent="0.25">
      <c r="A320">
        <v>5320</v>
      </c>
      <c r="B320">
        <v>23210</v>
      </c>
      <c r="C320" s="1">
        <v>42897</v>
      </c>
      <c r="F320" s="50"/>
      <c r="G320">
        <v>21.6</v>
      </c>
      <c r="H320">
        <v>14.5</v>
      </c>
      <c r="I320">
        <v>28.6</v>
      </c>
      <c r="J320">
        <f t="shared" si="38"/>
        <v>2699.4999999999995</v>
      </c>
      <c r="K320">
        <f t="shared" si="39"/>
        <v>177.4</v>
      </c>
      <c r="L320" s="9">
        <v>11</v>
      </c>
      <c r="M320">
        <v>0</v>
      </c>
      <c r="N320">
        <v>4.8</v>
      </c>
      <c r="O320">
        <f t="shared" si="35"/>
        <v>-4.8</v>
      </c>
      <c r="Q320">
        <v>284</v>
      </c>
      <c r="R320">
        <f t="shared" si="40"/>
        <v>0.81769230769230761</v>
      </c>
      <c r="S320">
        <f t="shared" si="36"/>
        <v>3.9249230769230765</v>
      </c>
      <c r="T320">
        <f t="shared" si="37"/>
        <v>-3.9249230769230765</v>
      </c>
      <c r="U320" s="14">
        <f t="shared" si="41"/>
        <v>3.4664311654714561</v>
      </c>
      <c r="V320" s="14">
        <f>AVERAGE(U311:U330)</f>
        <v>5.0279078904280352</v>
      </c>
      <c r="W320">
        <v>2060.4</v>
      </c>
      <c r="X320">
        <f t="shared" si="42"/>
        <v>248205.39999999994</v>
      </c>
      <c r="Y320">
        <f t="shared" si="43"/>
        <v>18533.600000000002</v>
      </c>
      <c r="Z320">
        <v>15.750344839313708</v>
      </c>
    </row>
    <row r="321" spans="1:26" x14ac:dyDescent="0.25">
      <c r="A321">
        <v>5320</v>
      </c>
      <c r="B321">
        <v>23210</v>
      </c>
      <c r="C321" s="1">
        <v>42898</v>
      </c>
      <c r="F321" s="50"/>
      <c r="G321">
        <v>18</v>
      </c>
      <c r="H321">
        <v>14.6</v>
      </c>
      <c r="I321">
        <v>22.5</v>
      </c>
      <c r="J321">
        <f t="shared" si="38"/>
        <v>2717.4999999999995</v>
      </c>
      <c r="K321">
        <f t="shared" si="39"/>
        <v>195.4</v>
      </c>
      <c r="L321" s="24" t="s">
        <v>41</v>
      </c>
      <c r="M321">
        <v>0</v>
      </c>
      <c r="N321">
        <v>5.2</v>
      </c>
      <c r="O321">
        <f t="shared" si="35"/>
        <v>-5.2</v>
      </c>
      <c r="Q321">
        <v>285</v>
      </c>
      <c r="R321">
        <f t="shared" si="40"/>
        <v>0.80538461538461537</v>
      </c>
      <c r="S321">
        <f t="shared" si="36"/>
        <v>4.1879999999999997</v>
      </c>
      <c r="T321">
        <f t="shared" si="37"/>
        <v>-4.1879999999999997</v>
      </c>
      <c r="U321" s="14">
        <v>0</v>
      </c>
      <c r="W321">
        <v>2613.4</v>
      </c>
      <c r="X321">
        <f t="shared" si="42"/>
        <v>250818.79999999993</v>
      </c>
      <c r="Y321">
        <f t="shared" si="43"/>
        <v>21147.000000000004</v>
      </c>
      <c r="Z321">
        <v>15.763682537019886</v>
      </c>
    </row>
    <row r="322" spans="1:26" x14ac:dyDescent="0.25">
      <c r="A322">
        <v>5320</v>
      </c>
      <c r="B322">
        <v>23210</v>
      </c>
      <c r="C322" s="1">
        <v>42899</v>
      </c>
      <c r="F322" s="50"/>
      <c r="G322">
        <v>17.7</v>
      </c>
      <c r="H322">
        <v>12.5</v>
      </c>
      <c r="I322">
        <v>21.8</v>
      </c>
      <c r="J322">
        <f t="shared" si="38"/>
        <v>2735.1999999999994</v>
      </c>
      <c r="K322">
        <f t="shared" si="39"/>
        <v>213.1</v>
      </c>
      <c r="L322" s="9">
        <v>0</v>
      </c>
      <c r="M322">
        <v>0</v>
      </c>
      <c r="N322">
        <v>4</v>
      </c>
      <c r="O322">
        <f t="shared" si="35"/>
        <v>-4</v>
      </c>
      <c r="Q322">
        <v>286</v>
      </c>
      <c r="R322">
        <f t="shared" si="40"/>
        <v>0.79307692307692301</v>
      </c>
      <c r="S322">
        <f t="shared" si="36"/>
        <v>3.1723076923076921</v>
      </c>
      <c r="T322">
        <f t="shared" si="37"/>
        <v>-3.1723076923076921</v>
      </c>
      <c r="U322" s="14">
        <v>0</v>
      </c>
      <c r="V322">
        <f>(V320*100)/138.9</f>
        <v>3.6198040967804426</v>
      </c>
      <c r="W322">
        <v>2280.6</v>
      </c>
      <c r="X322">
        <f t="shared" si="42"/>
        <v>253099.39999999994</v>
      </c>
      <c r="Y322">
        <f t="shared" si="43"/>
        <v>23427.600000000002</v>
      </c>
      <c r="Z322">
        <v>15.775685356520258</v>
      </c>
    </row>
    <row r="323" spans="1:26" x14ac:dyDescent="0.25">
      <c r="A323">
        <v>5320</v>
      </c>
      <c r="B323">
        <v>23210</v>
      </c>
      <c r="C323" s="1">
        <v>42900</v>
      </c>
      <c r="F323" s="50"/>
      <c r="G323">
        <v>22.1</v>
      </c>
      <c r="H323">
        <v>16.2</v>
      </c>
      <c r="I323">
        <v>28.7</v>
      </c>
      <c r="J323">
        <f t="shared" si="38"/>
        <v>2757.2999999999993</v>
      </c>
      <c r="K323">
        <f t="shared" si="39"/>
        <v>235.2</v>
      </c>
      <c r="L323" s="24" t="s">
        <v>42</v>
      </c>
      <c r="M323">
        <v>0</v>
      </c>
      <c r="N323">
        <v>3</v>
      </c>
      <c r="O323">
        <f t="shared" si="35"/>
        <v>-3</v>
      </c>
      <c r="Q323">
        <v>287</v>
      </c>
      <c r="R323">
        <f t="shared" si="40"/>
        <v>0.78076923076923066</v>
      </c>
      <c r="S323">
        <f t="shared" si="36"/>
        <v>2.342307692307692</v>
      </c>
      <c r="T323">
        <f t="shared" si="37"/>
        <v>-2.342307692307692</v>
      </c>
      <c r="U323" s="14">
        <v>0</v>
      </c>
      <c r="W323">
        <v>1504</v>
      </c>
      <c r="X323">
        <f t="shared" si="42"/>
        <v>254603.39999999994</v>
      </c>
      <c r="Y323">
        <f t="shared" si="43"/>
        <v>24931.600000000002</v>
      </c>
      <c r="Z323">
        <v>15.786342719616405</v>
      </c>
    </row>
    <row r="324" spans="1:26" x14ac:dyDescent="0.25">
      <c r="A324">
        <v>5320</v>
      </c>
      <c r="B324">
        <v>23210</v>
      </c>
      <c r="C324" s="1">
        <v>42901</v>
      </c>
      <c r="F324" s="50"/>
      <c r="G324">
        <v>23.3</v>
      </c>
      <c r="H324">
        <v>18.899999999999999</v>
      </c>
      <c r="I324">
        <v>29</v>
      </c>
      <c r="J324">
        <f t="shared" si="38"/>
        <v>2780.5999999999995</v>
      </c>
      <c r="K324">
        <f t="shared" si="39"/>
        <v>258.5</v>
      </c>
      <c r="L324" s="18">
        <v>0</v>
      </c>
      <c r="M324">
        <v>0</v>
      </c>
      <c r="N324">
        <v>6.5</v>
      </c>
      <c r="O324">
        <f t="shared" si="35"/>
        <v>-6.5</v>
      </c>
      <c r="Q324">
        <v>288</v>
      </c>
      <c r="R324">
        <f t="shared" si="40"/>
        <v>0.76846153846153831</v>
      </c>
      <c r="S324">
        <f t="shared" si="36"/>
        <v>4.9949999999999992</v>
      </c>
      <c r="T324">
        <f t="shared" si="37"/>
        <v>-4.9949999999999992</v>
      </c>
      <c r="U324" s="14">
        <v>0</v>
      </c>
      <c r="W324">
        <v>3039</v>
      </c>
      <c r="X324">
        <f t="shared" si="42"/>
        <v>257642.39999999994</v>
      </c>
      <c r="Y324">
        <f t="shared" si="43"/>
        <v>27970.600000000002</v>
      </c>
      <c r="Z324">
        <v>15.795645169964704</v>
      </c>
    </row>
    <row r="325" spans="1:26" x14ac:dyDescent="0.25">
      <c r="A325">
        <v>5320</v>
      </c>
      <c r="B325">
        <v>23210</v>
      </c>
      <c r="C325" s="1">
        <v>42902</v>
      </c>
      <c r="F325" s="50"/>
      <c r="G325">
        <v>18.8</v>
      </c>
      <c r="H325">
        <v>14.6</v>
      </c>
      <c r="I325">
        <v>23.7</v>
      </c>
      <c r="J325">
        <f t="shared" si="38"/>
        <v>2799.3999999999996</v>
      </c>
      <c r="K325">
        <f t="shared" si="39"/>
        <v>277.3</v>
      </c>
      <c r="M325">
        <v>0</v>
      </c>
      <c r="N325">
        <v>5.4</v>
      </c>
      <c r="O325">
        <f t="shared" si="35"/>
        <v>-5.4</v>
      </c>
      <c r="Q325">
        <v>289</v>
      </c>
      <c r="R325">
        <f t="shared" si="40"/>
        <v>0.75615384615384607</v>
      </c>
      <c r="S325">
        <f t="shared" si="36"/>
        <v>4.0832307692307692</v>
      </c>
      <c r="T325">
        <f t="shared" si="37"/>
        <v>-4.0832307692307692</v>
      </c>
      <c r="U325" s="14">
        <v>0</v>
      </c>
      <c r="W325">
        <v>2637.2</v>
      </c>
      <c r="X325">
        <f t="shared" si="42"/>
        <v>260279.59999999995</v>
      </c>
      <c r="Y325">
        <f t="shared" si="43"/>
        <v>30607.800000000003</v>
      </c>
      <c r="Z325">
        <v>15.803584403993728</v>
      </c>
    </row>
    <row r="326" spans="1:26" x14ac:dyDescent="0.25">
      <c r="A326">
        <v>5320</v>
      </c>
      <c r="B326">
        <v>23210</v>
      </c>
      <c r="C326" s="1">
        <v>42903</v>
      </c>
      <c r="F326" s="50"/>
      <c r="G326">
        <v>20.6</v>
      </c>
      <c r="H326">
        <v>14</v>
      </c>
      <c r="I326">
        <v>26.1</v>
      </c>
      <c r="J326">
        <f t="shared" si="38"/>
        <v>2819.9999999999995</v>
      </c>
      <c r="K326">
        <f t="shared" si="39"/>
        <v>297.90000000000003</v>
      </c>
      <c r="M326">
        <v>0</v>
      </c>
      <c r="N326">
        <v>5.7</v>
      </c>
      <c r="O326">
        <f t="shared" ref="O326:O389" si="44">M326-N326</f>
        <v>-5.7</v>
      </c>
      <c r="Q326">
        <v>290</v>
      </c>
      <c r="R326">
        <f t="shared" si="40"/>
        <v>0.74384615384615382</v>
      </c>
      <c r="S326">
        <f t="shared" si="36"/>
        <v>4.2399230769230769</v>
      </c>
      <c r="T326">
        <f t="shared" si="37"/>
        <v>-4.2399230769230769</v>
      </c>
      <c r="U326" s="14">
        <v>0</v>
      </c>
      <c r="W326">
        <v>2784</v>
      </c>
      <c r="X326">
        <f t="shared" si="42"/>
        <v>263063.59999999998</v>
      </c>
      <c r="Y326">
        <f t="shared" si="43"/>
        <v>33391.800000000003</v>
      </c>
      <c r="Z326">
        <v>15.810153298309087</v>
      </c>
    </row>
    <row r="327" spans="1:26" x14ac:dyDescent="0.25">
      <c r="A327">
        <v>5320</v>
      </c>
      <c r="B327">
        <v>23210</v>
      </c>
      <c r="C327" s="1">
        <v>42904</v>
      </c>
      <c r="F327" s="50"/>
      <c r="G327">
        <v>23.4</v>
      </c>
      <c r="H327">
        <v>17.899999999999999</v>
      </c>
      <c r="I327">
        <v>28.7</v>
      </c>
      <c r="J327">
        <f t="shared" si="38"/>
        <v>2843.3999999999996</v>
      </c>
      <c r="K327">
        <f t="shared" si="39"/>
        <v>321.3</v>
      </c>
      <c r="M327">
        <v>0</v>
      </c>
      <c r="N327">
        <v>7.4</v>
      </c>
      <c r="O327">
        <f t="shared" si="44"/>
        <v>-7.4</v>
      </c>
      <c r="Q327">
        <v>291</v>
      </c>
      <c r="R327">
        <f t="shared" si="40"/>
        <v>0.73153846153846147</v>
      </c>
      <c r="S327">
        <f t="shared" si="36"/>
        <v>5.413384615384615</v>
      </c>
      <c r="T327">
        <f t="shared" si="37"/>
        <v>-5.413384615384615</v>
      </c>
      <c r="U327" s="14">
        <v>0</v>
      </c>
      <c r="W327">
        <v>3295</v>
      </c>
      <c r="X327">
        <f t="shared" si="42"/>
        <v>266358.59999999998</v>
      </c>
      <c r="Y327">
        <f t="shared" si="43"/>
        <v>36686.800000000003</v>
      </c>
      <c r="Z327">
        <v>15.815345933394498</v>
      </c>
    </row>
    <row r="328" spans="1:26" x14ac:dyDescent="0.25">
      <c r="A328">
        <v>5320</v>
      </c>
      <c r="B328">
        <v>23210</v>
      </c>
      <c r="C328" s="1">
        <v>42905</v>
      </c>
      <c r="F328" s="50"/>
      <c r="G328">
        <v>26.6</v>
      </c>
      <c r="H328">
        <v>19</v>
      </c>
      <c r="I328">
        <v>33.6</v>
      </c>
      <c r="J328">
        <f t="shared" si="38"/>
        <v>2869.9999999999995</v>
      </c>
      <c r="K328">
        <f t="shared" si="39"/>
        <v>347.90000000000003</v>
      </c>
      <c r="M328">
        <v>0</v>
      </c>
      <c r="N328">
        <v>7.9</v>
      </c>
      <c r="O328">
        <f t="shared" si="44"/>
        <v>-7.9</v>
      </c>
      <c r="Q328">
        <v>292</v>
      </c>
      <c r="R328">
        <f t="shared" si="40"/>
        <v>0.71923076923076912</v>
      </c>
      <c r="S328">
        <f t="shared" si="36"/>
        <v>5.6819230769230762</v>
      </c>
      <c r="T328">
        <f t="shared" si="37"/>
        <v>-5.6819230769230762</v>
      </c>
      <c r="U328" s="14">
        <v>0</v>
      </c>
      <c r="W328">
        <v>3222.9</v>
      </c>
      <c r="X328">
        <f t="shared" si="42"/>
        <v>269581.5</v>
      </c>
      <c r="Y328">
        <f t="shared" si="43"/>
        <v>39909.700000000004</v>
      </c>
      <c r="Z328">
        <v>15.81915761344176</v>
      </c>
    </row>
    <row r="329" spans="1:26" x14ac:dyDescent="0.25">
      <c r="A329">
        <v>5320</v>
      </c>
      <c r="B329">
        <v>23210</v>
      </c>
      <c r="C329" s="1">
        <v>42906</v>
      </c>
      <c r="F329" s="50"/>
      <c r="G329">
        <v>28.2</v>
      </c>
      <c r="H329">
        <v>23.2</v>
      </c>
      <c r="I329">
        <v>34.299999999999997</v>
      </c>
      <c r="J329">
        <f t="shared" si="38"/>
        <v>2898.1999999999994</v>
      </c>
      <c r="K329">
        <f t="shared" si="39"/>
        <v>376.1</v>
      </c>
      <c r="M329">
        <v>0</v>
      </c>
      <c r="N329">
        <v>6.2</v>
      </c>
      <c r="O329">
        <f t="shared" si="44"/>
        <v>-6.2</v>
      </c>
      <c r="Q329">
        <v>293</v>
      </c>
      <c r="R329">
        <f t="shared" si="40"/>
        <v>0.70692307692307677</v>
      </c>
      <c r="S329">
        <f t="shared" si="36"/>
        <v>4.3829230769230758</v>
      </c>
      <c r="T329">
        <f t="shared" si="37"/>
        <v>-4.3829230769230758</v>
      </c>
      <c r="U329" s="14">
        <v>0</v>
      </c>
      <c r="W329">
        <v>2568.6</v>
      </c>
      <c r="X329">
        <f t="shared" si="42"/>
        <v>272150.09999999998</v>
      </c>
      <c r="Y329">
        <f t="shared" si="43"/>
        <v>42478.3</v>
      </c>
      <c r="Z329">
        <v>15.821584882168255</v>
      </c>
    </row>
    <row r="330" spans="1:26" s="6" customFormat="1" ht="15.75" thickBot="1" x14ac:dyDescent="0.3">
      <c r="A330" s="6">
        <v>5320</v>
      </c>
      <c r="B330" s="6">
        <v>23210</v>
      </c>
      <c r="C330" s="7">
        <v>42907</v>
      </c>
      <c r="D330" s="6">
        <v>1000</v>
      </c>
      <c r="F330" s="51"/>
      <c r="G330" s="6">
        <v>28.8</v>
      </c>
      <c r="H330" s="6">
        <v>23.2</v>
      </c>
      <c r="I330" s="6">
        <v>35</v>
      </c>
      <c r="J330" s="6">
        <f t="shared" si="38"/>
        <v>2926.9999999999995</v>
      </c>
      <c r="K330" s="6">
        <f t="shared" si="39"/>
        <v>404.90000000000003</v>
      </c>
      <c r="M330" s="6">
        <v>0</v>
      </c>
      <c r="N330" s="6">
        <v>7.4</v>
      </c>
      <c r="O330" s="6">
        <f t="shared" si="44"/>
        <v>-7.4</v>
      </c>
      <c r="Q330" s="6">
        <v>294</v>
      </c>
      <c r="R330" s="6">
        <f t="shared" si="40"/>
        <v>0.69461538461538463</v>
      </c>
      <c r="S330" s="6">
        <f t="shared" si="36"/>
        <v>5.1401538461538463</v>
      </c>
      <c r="T330" s="6">
        <f t="shared" si="37"/>
        <v>-5.1401538461538463</v>
      </c>
      <c r="U330" s="26">
        <v>0</v>
      </c>
      <c r="W330" s="6">
        <v>2705.3</v>
      </c>
      <c r="X330" s="6">
        <f t="shared" si="42"/>
        <v>274855.39999999997</v>
      </c>
      <c r="Y330" s="6">
        <f t="shared" si="43"/>
        <v>45183.600000000006</v>
      </c>
      <c r="Z330" s="6">
        <v>15.822625534508308</v>
      </c>
    </row>
    <row r="331" spans="1:26" x14ac:dyDescent="0.25">
      <c r="A331">
        <v>5320</v>
      </c>
      <c r="B331">
        <v>23210</v>
      </c>
      <c r="C331" s="1">
        <v>42908</v>
      </c>
      <c r="G331">
        <v>26.6</v>
      </c>
      <c r="H331">
        <v>21.1</v>
      </c>
      <c r="I331">
        <v>33.200000000000003</v>
      </c>
      <c r="J331">
        <f t="shared" si="38"/>
        <v>2953.5999999999995</v>
      </c>
      <c r="K331">
        <f t="shared" si="39"/>
        <v>431.50000000000006</v>
      </c>
      <c r="M331">
        <v>0</v>
      </c>
      <c r="N331">
        <v>7.5</v>
      </c>
      <c r="O331">
        <f t="shared" si="44"/>
        <v>-7.5</v>
      </c>
      <c r="Q331">
        <v>295</v>
      </c>
      <c r="R331">
        <f t="shared" si="40"/>
        <v>0.68230769230769228</v>
      </c>
      <c r="S331">
        <f t="shared" si="36"/>
        <v>5.1173076923076923</v>
      </c>
      <c r="T331">
        <f t="shared" si="37"/>
        <v>-5.1173076923076923</v>
      </c>
      <c r="U331" s="14">
        <v>0</v>
      </c>
      <c r="W331">
        <v>2656.7</v>
      </c>
      <c r="X331">
        <f t="shared" si="42"/>
        <v>277512.09999999998</v>
      </c>
      <c r="Y331">
        <f t="shared" si="43"/>
        <v>47840.3</v>
      </c>
      <c r="Z331">
        <v>15.822278624093915</v>
      </c>
    </row>
    <row r="332" spans="1:26" x14ac:dyDescent="0.25">
      <c r="A332">
        <v>5320</v>
      </c>
      <c r="B332">
        <v>23210</v>
      </c>
      <c r="C332" s="1">
        <v>42909</v>
      </c>
      <c r="G332">
        <v>20.6</v>
      </c>
      <c r="H332">
        <v>18.5</v>
      </c>
      <c r="I332">
        <v>24.1</v>
      </c>
      <c r="J332">
        <f t="shared" si="38"/>
        <v>2974.1999999999994</v>
      </c>
      <c r="K332">
        <f t="shared" si="39"/>
        <v>452.10000000000008</v>
      </c>
      <c r="M332">
        <v>0</v>
      </c>
      <c r="N332">
        <v>3.9</v>
      </c>
      <c r="O332">
        <f t="shared" si="44"/>
        <v>-3.9</v>
      </c>
      <c r="Q332">
        <v>296</v>
      </c>
      <c r="R332">
        <f t="shared" si="40"/>
        <v>0.66999999999999993</v>
      </c>
      <c r="S332">
        <f t="shared" si="36"/>
        <v>2.6129999999999995</v>
      </c>
      <c r="T332">
        <f t="shared" si="37"/>
        <v>-2.6129999999999995</v>
      </c>
      <c r="U332" s="14">
        <v>0</v>
      </c>
      <c r="W332">
        <v>1408.4</v>
      </c>
      <c r="X332">
        <f t="shared" si="42"/>
        <v>278920.5</v>
      </c>
      <c r="Y332">
        <f t="shared" si="43"/>
        <v>49248.700000000004</v>
      </c>
      <c r="Z332">
        <v>15.820544466470492</v>
      </c>
    </row>
    <row r="333" spans="1:26" x14ac:dyDescent="0.25">
      <c r="A333">
        <v>5320</v>
      </c>
      <c r="B333">
        <v>23210</v>
      </c>
      <c r="C333" s="1">
        <v>42910</v>
      </c>
      <c r="G333">
        <v>19.8</v>
      </c>
      <c r="H333">
        <v>13</v>
      </c>
      <c r="I333">
        <v>24.9</v>
      </c>
      <c r="J333">
        <f t="shared" si="38"/>
        <v>2993.9999999999995</v>
      </c>
      <c r="K333">
        <f t="shared" si="39"/>
        <v>471.90000000000009</v>
      </c>
      <c r="M333">
        <v>0</v>
      </c>
      <c r="N333">
        <v>2.6</v>
      </c>
      <c r="O333">
        <f t="shared" si="44"/>
        <v>-2.6</v>
      </c>
      <c r="Q333">
        <v>297</v>
      </c>
      <c r="R333">
        <f t="shared" si="40"/>
        <v>0.65769230769230758</v>
      </c>
      <c r="S333">
        <f t="shared" si="36"/>
        <v>1.7099999999999997</v>
      </c>
      <c r="T333">
        <f t="shared" si="37"/>
        <v>-1.7099999999999997</v>
      </c>
      <c r="U333" s="14">
        <v>0</v>
      </c>
      <c r="W333">
        <v>1016.6</v>
      </c>
      <c r="X333">
        <f t="shared" si="42"/>
        <v>279937.09999999998</v>
      </c>
      <c r="Y333">
        <f t="shared" si="43"/>
        <v>50265.3</v>
      </c>
      <c r="Z333">
        <v>15.817424638024336</v>
      </c>
    </row>
    <row r="334" spans="1:26" x14ac:dyDescent="0.25">
      <c r="A334">
        <v>5320</v>
      </c>
      <c r="B334">
        <v>23210</v>
      </c>
      <c r="C334" s="1">
        <v>42911</v>
      </c>
      <c r="G334">
        <v>20.5</v>
      </c>
      <c r="H334">
        <v>16.3</v>
      </c>
      <c r="I334">
        <v>26.3</v>
      </c>
      <c r="J334">
        <f t="shared" si="38"/>
        <v>3014.4999999999995</v>
      </c>
      <c r="K334">
        <f t="shared" si="39"/>
        <v>492.40000000000009</v>
      </c>
      <c r="M334">
        <v>0</v>
      </c>
      <c r="N334">
        <v>2.9</v>
      </c>
      <c r="O334">
        <f t="shared" si="44"/>
        <v>-2.9</v>
      </c>
      <c r="Q334">
        <v>298</v>
      </c>
      <c r="R334">
        <f t="shared" si="40"/>
        <v>0.64538461538461533</v>
      </c>
      <c r="S334">
        <f t="shared" si="36"/>
        <v>1.8716153846153845</v>
      </c>
      <c r="T334">
        <f t="shared" si="37"/>
        <v>-1.8716153846153845</v>
      </c>
      <c r="U334" s="14">
        <v>0</v>
      </c>
      <c r="W334">
        <v>867.9</v>
      </c>
      <c r="X334">
        <f t="shared" si="42"/>
        <v>280805</v>
      </c>
      <c r="Y334">
        <f t="shared" si="43"/>
        <v>51133.200000000004</v>
      </c>
      <c r="Z334">
        <v>15.812921970629471</v>
      </c>
    </row>
    <row r="335" spans="1:26" x14ac:dyDescent="0.25">
      <c r="A335">
        <v>5320</v>
      </c>
      <c r="B335">
        <v>23210</v>
      </c>
      <c r="C335" s="1">
        <v>42912</v>
      </c>
      <c r="G335">
        <v>21.7</v>
      </c>
      <c r="H335">
        <v>15.4</v>
      </c>
      <c r="I335">
        <v>27.2</v>
      </c>
      <c r="J335">
        <f t="shared" si="38"/>
        <v>3036.1999999999994</v>
      </c>
      <c r="K335">
        <f t="shared" si="39"/>
        <v>514.10000000000014</v>
      </c>
      <c r="M335">
        <v>0</v>
      </c>
      <c r="N335">
        <v>3.6</v>
      </c>
      <c r="O335">
        <f t="shared" si="44"/>
        <v>-3.6</v>
      </c>
      <c r="Q335">
        <v>299</v>
      </c>
      <c r="R335">
        <f t="shared" si="40"/>
        <v>0.63307692307692298</v>
      </c>
      <c r="S335">
        <f t="shared" si="36"/>
        <v>2.2790769230769228</v>
      </c>
      <c r="T335">
        <f t="shared" si="37"/>
        <v>-2.2790769230769228</v>
      </c>
      <c r="U335" s="14">
        <v>0</v>
      </c>
      <c r="W335">
        <v>1871.9</v>
      </c>
      <c r="X335">
        <f t="shared" si="42"/>
        <v>282676.90000000002</v>
      </c>
      <c r="Y335">
        <f t="shared" si="43"/>
        <v>53005.100000000006</v>
      </c>
      <c r="Z335">
        <v>15.807040542052938</v>
      </c>
    </row>
    <row r="336" spans="1:26" x14ac:dyDescent="0.25">
      <c r="A336">
        <v>5320</v>
      </c>
      <c r="B336">
        <v>23210</v>
      </c>
      <c r="C336" s="1">
        <v>42913</v>
      </c>
      <c r="G336">
        <v>20.3</v>
      </c>
      <c r="H336">
        <v>18.100000000000001</v>
      </c>
      <c r="I336">
        <v>25.1</v>
      </c>
      <c r="J336">
        <f t="shared" si="38"/>
        <v>3056.4999999999995</v>
      </c>
      <c r="K336">
        <f t="shared" si="39"/>
        <v>534.40000000000009</v>
      </c>
      <c r="M336">
        <v>7.2</v>
      </c>
      <c r="N336">
        <v>2.5</v>
      </c>
      <c r="O336">
        <f t="shared" si="44"/>
        <v>4.7</v>
      </c>
      <c r="Q336">
        <v>300</v>
      </c>
      <c r="R336">
        <f t="shared" si="40"/>
        <v>0.62076923076923074</v>
      </c>
      <c r="S336">
        <f t="shared" si="36"/>
        <v>1.5519230769230767</v>
      </c>
      <c r="T336">
        <f t="shared" si="37"/>
        <v>5.648076923076923</v>
      </c>
      <c r="U336" s="14">
        <f>MIN(U335+T336,138.9)</f>
        <v>5.648076923076923</v>
      </c>
      <c r="W336">
        <v>1065</v>
      </c>
      <c r="X336">
        <f t="shared" si="42"/>
        <v>283741.90000000002</v>
      </c>
      <c r="Y336">
        <f t="shared" si="43"/>
        <v>54070.100000000006</v>
      </c>
      <c r="Z336">
        <v>15.799785662187944</v>
      </c>
    </row>
    <row r="337" spans="1:26" x14ac:dyDescent="0.25">
      <c r="A337">
        <v>5320</v>
      </c>
      <c r="B337">
        <v>23210</v>
      </c>
      <c r="C337" s="1">
        <v>42914</v>
      </c>
      <c r="G337">
        <v>18.5</v>
      </c>
      <c r="H337">
        <v>16.7</v>
      </c>
      <c r="I337">
        <v>21.2</v>
      </c>
      <c r="J337">
        <f t="shared" si="38"/>
        <v>3074.9999999999995</v>
      </c>
      <c r="K337">
        <f t="shared" si="39"/>
        <v>552.90000000000009</v>
      </c>
      <c r="M337">
        <v>8.4</v>
      </c>
      <c r="N337">
        <v>2</v>
      </c>
      <c r="O337">
        <f t="shared" si="44"/>
        <v>6.4</v>
      </c>
      <c r="Q337">
        <v>301</v>
      </c>
      <c r="R337">
        <f t="shared" si="40"/>
        <v>0.60846153846153839</v>
      </c>
      <c r="S337">
        <f t="shared" si="36"/>
        <v>1.2169230769230768</v>
      </c>
      <c r="T337">
        <f t="shared" si="37"/>
        <v>7.1830769230769231</v>
      </c>
      <c r="U337" s="14">
        <f t="shared" si="41"/>
        <v>12.831153846153846</v>
      </c>
      <c r="W337">
        <v>690.3</v>
      </c>
      <c r="X337">
        <f t="shared" si="42"/>
        <v>284432.2</v>
      </c>
      <c r="Y337">
        <f t="shared" si="43"/>
        <v>54760.400000000009</v>
      </c>
      <c r="Z337">
        <v>15.791163855214142</v>
      </c>
    </row>
    <row r="338" spans="1:26" x14ac:dyDescent="0.25">
      <c r="A338">
        <v>5320</v>
      </c>
      <c r="B338">
        <v>23210</v>
      </c>
      <c r="C338" s="1">
        <v>42915</v>
      </c>
      <c r="G338">
        <v>15.8</v>
      </c>
      <c r="H338">
        <v>13.4</v>
      </c>
      <c r="I338">
        <v>18.399999999999999</v>
      </c>
      <c r="J338">
        <f t="shared" si="38"/>
        <v>3090.7999999999997</v>
      </c>
      <c r="K338">
        <f t="shared" si="39"/>
        <v>568.70000000000005</v>
      </c>
      <c r="M338">
        <v>3.5</v>
      </c>
      <c r="N338">
        <v>2.8</v>
      </c>
      <c r="O338">
        <f t="shared" si="44"/>
        <v>0.70000000000000018</v>
      </c>
      <c r="Q338">
        <v>302</v>
      </c>
      <c r="R338">
        <f t="shared" si="40"/>
        <v>0.59615384615384615</v>
      </c>
      <c r="S338">
        <f t="shared" si="36"/>
        <v>1.6692307692307691</v>
      </c>
      <c r="T338">
        <f t="shared" si="37"/>
        <v>1.8307692307692309</v>
      </c>
      <c r="U338" s="14">
        <f t="shared" si="41"/>
        <v>14.661923076923078</v>
      </c>
      <c r="W338">
        <v>1681.4</v>
      </c>
      <c r="X338">
        <f t="shared" si="42"/>
        <v>286113.60000000003</v>
      </c>
      <c r="Y338">
        <f t="shared" si="43"/>
        <v>56441.80000000001</v>
      </c>
      <c r="Z338">
        <v>15.781182837812775</v>
      </c>
    </row>
    <row r="339" spans="1:26" x14ac:dyDescent="0.25">
      <c r="A339">
        <v>5320</v>
      </c>
      <c r="B339">
        <v>23210</v>
      </c>
      <c r="C339" s="1">
        <v>42916</v>
      </c>
      <c r="G339">
        <v>14.5</v>
      </c>
      <c r="H339">
        <v>13.8</v>
      </c>
      <c r="I339">
        <v>15.3</v>
      </c>
      <c r="J339">
        <f t="shared" si="38"/>
        <v>3105.2999999999997</v>
      </c>
      <c r="K339">
        <f t="shared" si="39"/>
        <v>583.20000000000005</v>
      </c>
      <c r="M339">
        <v>5.5</v>
      </c>
      <c r="N339">
        <v>1.8</v>
      </c>
      <c r="O339">
        <f t="shared" si="44"/>
        <v>3.7</v>
      </c>
      <c r="Q339">
        <v>303</v>
      </c>
      <c r="R339">
        <f t="shared" si="40"/>
        <v>0.58384615384615379</v>
      </c>
      <c r="S339">
        <f t="shared" si="36"/>
        <v>1.0509230769230768</v>
      </c>
      <c r="T339">
        <f t="shared" si="37"/>
        <v>4.4490769230769232</v>
      </c>
      <c r="U339" s="14">
        <f t="shared" si="41"/>
        <v>19.111000000000001</v>
      </c>
      <c r="W339">
        <v>1146.7</v>
      </c>
      <c r="X339">
        <f t="shared" si="42"/>
        <v>287260.30000000005</v>
      </c>
      <c r="Y339">
        <f t="shared" si="43"/>
        <v>57588.500000000007</v>
      </c>
      <c r="Z339">
        <v>15.769851493591256</v>
      </c>
    </row>
    <row r="340" spans="1:26" x14ac:dyDescent="0.25">
      <c r="A340">
        <v>5320</v>
      </c>
      <c r="B340">
        <v>23210</v>
      </c>
      <c r="C340" s="1">
        <v>42917</v>
      </c>
      <c r="G340">
        <v>15.3</v>
      </c>
      <c r="H340">
        <v>13.5</v>
      </c>
      <c r="I340">
        <v>17.7</v>
      </c>
      <c r="J340">
        <f t="shared" si="38"/>
        <v>3120.6</v>
      </c>
      <c r="K340">
        <f t="shared" si="39"/>
        <v>598.5</v>
      </c>
      <c r="M340">
        <v>2.6</v>
      </c>
      <c r="N340">
        <v>1.3</v>
      </c>
      <c r="O340">
        <f t="shared" si="44"/>
        <v>1.3</v>
      </c>
      <c r="Q340">
        <v>304</v>
      </c>
      <c r="R340">
        <f t="shared" si="40"/>
        <v>0.57153846153846155</v>
      </c>
      <c r="S340">
        <f t="shared" si="36"/>
        <v>0.74299999999999999</v>
      </c>
      <c r="T340">
        <f t="shared" si="37"/>
        <v>1.8570000000000002</v>
      </c>
      <c r="U340" s="14">
        <f t="shared" si="41"/>
        <v>20.968</v>
      </c>
      <c r="W340">
        <v>801.8</v>
      </c>
      <c r="X340">
        <f t="shared" si="42"/>
        <v>288062.10000000003</v>
      </c>
      <c r="Y340">
        <f t="shared" si="43"/>
        <v>58390.30000000001</v>
      </c>
      <c r="Z340">
        <v>15.757179843896731</v>
      </c>
    </row>
    <row r="341" spans="1:26" x14ac:dyDescent="0.25">
      <c r="A341">
        <v>5320</v>
      </c>
      <c r="B341">
        <v>23210</v>
      </c>
      <c r="C341" s="1">
        <v>42918</v>
      </c>
      <c r="G341">
        <v>15.7</v>
      </c>
      <c r="H341">
        <v>11.7</v>
      </c>
      <c r="I341">
        <v>21</v>
      </c>
      <c r="J341">
        <f t="shared" si="38"/>
        <v>3136.2999999999997</v>
      </c>
      <c r="K341">
        <f t="shared" si="39"/>
        <v>614.20000000000005</v>
      </c>
      <c r="M341">
        <v>0.4</v>
      </c>
      <c r="N341">
        <v>1.5</v>
      </c>
      <c r="O341">
        <f t="shared" si="44"/>
        <v>-1.1000000000000001</v>
      </c>
      <c r="Q341">
        <v>305</v>
      </c>
      <c r="R341">
        <f t="shared" si="40"/>
        <v>0.5592307692307692</v>
      </c>
      <c r="S341">
        <f t="shared" si="36"/>
        <v>0.8388461538461538</v>
      </c>
      <c r="T341">
        <f t="shared" si="37"/>
        <v>-0.43884615384615377</v>
      </c>
      <c r="U341" s="14">
        <f t="shared" si="41"/>
        <v>20.529153846153847</v>
      </c>
      <c r="W341">
        <v>802.5</v>
      </c>
      <c r="X341">
        <f t="shared" si="42"/>
        <v>288864.60000000003</v>
      </c>
      <c r="Y341">
        <f t="shared" si="43"/>
        <v>59192.80000000001</v>
      </c>
      <c r="Z341">
        <v>15.743179015221001</v>
      </c>
    </row>
    <row r="342" spans="1:26" x14ac:dyDescent="0.25">
      <c r="A342">
        <v>5320</v>
      </c>
      <c r="B342">
        <v>23210</v>
      </c>
      <c r="C342" s="1">
        <v>42919</v>
      </c>
      <c r="G342">
        <v>19.100000000000001</v>
      </c>
      <c r="H342">
        <v>13.7</v>
      </c>
      <c r="I342">
        <v>24.9</v>
      </c>
      <c r="J342">
        <f t="shared" si="38"/>
        <v>3155.3999999999996</v>
      </c>
      <c r="K342">
        <f t="shared" si="39"/>
        <v>633.30000000000007</v>
      </c>
      <c r="M342">
        <v>0</v>
      </c>
      <c r="N342">
        <v>2.2999999999999998</v>
      </c>
      <c r="O342">
        <f t="shared" si="44"/>
        <v>-2.2999999999999998</v>
      </c>
      <c r="Q342">
        <v>306</v>
      </c>
      <c r="R342">
        <f t="shared" si="40"/>
        <v>0.54692307692307685</v>
      </c>
      <c r="S342">
        <f t="shared" si="36"/>
        <v>1.2579230769230767</v>
      </c>
      <c r="T342">
        <f t="shared" si="37"/>
        <v>-1.2579230769230767</v>
      </c>
      <c r="U342" s="14">
        <f t="shared" si="41"/>
        <v>19.271230769230769</v>
      </c>
      <c r="W342">
        <v>899.6</v>
      </c>
      <c r="X342">
        <f t="shared" si="42"/>
        <v>289764.2</v>
      </c>
      <c r="Y342">
        <f t="shared" si="43"/>
        <v>60092.400000000009</v>
      </c>
      <c r="Z342">
        <v>15.727861203419444</v>
      </c>
    </row>
    <row r="343" spans="1:26" x14ac:dyDescent="0.25">
      <c r="A343">
        <v>5320</v>
      </c>
      <c r="B343">
        <v>23210</v>
      </c>
      <c r="C343" s="1">
        <v>42920</v>
      </c>
      <c r="G343">
        <v>22.1</v>
      </c>
      <c r="H343">
        <v>15.4</v>
      </c>
      <c r="I343">
        <v>28.9</v>
      </c>
      <c r="J343">
        <f t="shared" si="38"/>
        <v>3177.4999999999995</v>
      </c>
      <c r="K343">
        <f t="shared" si="39"/>
        <v>655.40000000000009</v>
      </c>
      <c r="M343">
        <v>0</v>
      </c>
      <c r="N343">
        <v>6.9</v>
      </c>
      <c r="O343">
        <f t="shared" si="44"/>
        <v>-6.9</v>
      </c>
      <c r="Q343">
        <v>307</v>
      </c>
      <c r="R343">
        <f t="shared" si="40"/>
        <v>0.53461538461538449</v>
      </c>
      <c r="S343">
        <f t="shared" si="36"/>
        <v>3.688846153846153</v>
      </c>
      <c r="T343">
        <f t="shared" si="37"/>
        <v>-3.688846153846153</v>
      </c>
      <c r="U343" s="14">
        <f t="shared" si="41"/>
        <v>15.582384615384616</v>
      </c>
      <c r="W343">
        <v>3285.8</v>
      </c>
      <c r="X343">
        <f t="shared" si="42"/>
        <v>293050</v>
      </c>
      <c r="Y343">
        <f t="shared" si="43"/>
        <v>63378.200000000012</v>
      </c>
      <c r="Z343">
        <v>15.711239634984441</v>
      </c>
    </row>
    <row r="344" spans="1:26" x14ac:dyDescent="0.25">
      <c r="A344">
        <v>5320</v>
      </c>
      <c r="B344">
        <v>23210</v>
      </c>
      <c r="C344" s="1">
        <v>42921</v>
      </c>
      <c r="G344">
        <v>26</v>
      </c>
      <c r="H344">
        <v>18</v>
      </c>
      <c r="I344">
        <v>32.5</v>
      </c>
      <c r="J344">
        <f t="shared" si="38"/>
        <v>3203.4999999999995</v>
      </c>
      <c r="K344">
        <f t="shared" si="39"/>
        <v>681.40000000000009</v>
      </c>
      <c r="M344">
        <v>0</v>
      </c>
      <c r="N344">
        <v>5.8</v>
      </c>
      <c r="O344">
        <f t="shared" si="44"/>
        <v>-5.8</v>
      </c>
      <c r="Q344">
        <v>308</v>
      </c>
      <c r="R344">
        <f t="shared" si="40"/>
        <v>0.52230769230769225</v>
      </c>
      <c r="S344">
        <f t="shared" si="36"/>
        <v>3.0293846153846151</v>
      </c>
      <c r="T344">
        <f t="shared" si="37"/>
        <v>-3.0293846153846151</v>
      </c>
      <c r="U344" s="14">
        <f t="shared" si="41"/>
        <v>12.553000000000001</v>
      </c>
      <c r="W344">
        <v>2251.8000000000002</v>
      </c>
      <c r="X344">
        <f t="shared" si="42"/>
        <v>295301.8</v>
      </c>
      <c r="Y344">
        <f t="shared" si="43"/>
        <v>65630.000000000015</v>
      </c>
      <c r="Z344">
        <v>15.693328525628708</v>
      </c>
    </row>
    <row r="345" spans="1:26" x14ac:dyDescent="0.25">
      <c r="A345">
        <v>5320</v>
      </c>
      <c r="B345">
        <v>23210</v>
      </c>
      <c r="C345" s="1">
        <v>42922</v>
      </c>
      <c r="G345">
        <v>26.4</v>
      </c>
      <c r="H345">
        <v>21.6</v>
      </c>
      <c r="I345">
        <v>31.7</v>
      </c>
      <c r="J345">
        <f t="shared" si="38"/>
        <v>3229.8999999999996</v>
      </c>
      <c r="K345">
        <f t="shared" si="39"/>
        <v>707.80000000000007</v>
      </c>
      <c r="M345">
        <v>0</v>
      </c>
      <c r="N345">
        <v>4</v>
      </c>
      <c r="O345">
        <f t="shared" si="44"/>
        <v>-4</v>
      </c>
      <c r="Q345">
        <v>309</v>
      </c>
      <c r="R345">
        <f t="shared" si="40"/>
        <v>0.5099999999999999</v>
      </c>
      <c r="S345">
        <f t="shared" si="36"/>
        <v>2.0399999999999996</v>
      </c>
      <c r="T345">
        <f t="shared" si="37"/>
        <v>-2.0399999999999996</v>
      </c>
      <c r="U345" s="14">
        <f t="shared" si="41"/>
        <v>10.513000000000002</v>
      </c>
      <c r="W345">
        <v>1302.5999999999999</v>
      </c>
      <c r="X345">
        <f t="shared" si="42"/>
        <v>296604.39999999997</v>
      </c>
      <c r="Y345">
        <f t="shared" si="43"/>
        <v>66932.60000000002</v>
      </c>
      <c r="Z345">
        <v>15.67414303644615</v>
      </c>
    </row>
    <row r="346" spans="1:26" x14ac:dyDescent="0.25">
      <c r="A346">
        <v>5320</v>
      </c>
      <c r="B346">
        <v>23210</v>
      </c>
      <c r="C346" s="1">
        <v>42923</v>
      </c>
      <c r="G346">
        <v>25.7</v>
      </c>
      <c r="H346">
        <v>19.3</v>
      </c>
      <c r="I346">
        <v>32.1</v>
      </c>
      <c r="J346">
        <f t="shared" si="38"/>
        <v>3255.5999999999995</v>
      </c>
      <c r="K346">
        <f t="shared" si="39"/>
        <v>733.50000000000011</v>
      </c>
      <c r="M346">
        <v>0</v>
      </c>
      <c r="N346">
        <v>6</v>
      </c>
      <c r="O346">
        <f t="shared" si="44"/>
        <v>-6</v>
      </c>
      <c r="Q346">
        <v>310</v>
      </c>
      <c r="R346">
        <f t="shared" si="40"/>
        <v>0.49769230769230766</v>
      </c>
      <c r="S346">
        <f t="shared" si="36"/>
        <v>2.9861538461538459</v>
      </c>
      <c r="T346">
        <f t="shared" si="37"/>
        <v>-2.9861538461538459</v>
      </c>
      <c r="U346" s="14">
        <f t="shared" si="41"/>
        <v>7.5268461538461562</v>
      </c>
      <c r="W346">
        <v>2493.9</v>
      </c>
      <c r="X346">
        <f t="shared" si="42"/>
        <v>299098.3</v>
      </c>
      <c r="Y346">
        <f t="shared" si="43"/>
        <v>69426.500000000015</v>
      </c>
      <c r="Z346">
        <v>15.653699227927069</v>
      </c>
    </row>
    <row r="347" spans="1:26" x14ac:dyDescent="0.25">
      <c r="A347">
        <v>5320</v>
      </c>
      <c r="B347">
        <v>23210</v>
      </c>
      <c r="C347" s="1">
        <v>42924</v>
      </c>
      <c r="G347">
        <v>24.7</v>
      </c>
      <c r="H347">
        <v>19</v>
      </c>
      <c r="I347">
        <v>30</v>
      </c>
      <c r="J347">
        <f t="shared" si="38"/>
        <v>3280.2999999999993</v>
      </c>
      <c r="K347">
        <f t="shared" si="39"/>
        <v>758.20000000000016</v>
      </c>
      <c r="M347">
        <v>0.9</v>
      </c>
      <c r="N347">
        <v>4.2</v>
      </c>
      <c r="O347">
        <f t="shared" si="44"/>
        <v>-3.3000000000000003</v>
      </c>
      <c r="Q347">
        <v>311</v>
      </c>
      <c r="R347">
        <f t="shared" si="40"/>
        <v>0.4853846153846153</v>
      </c>
      <c r="S347">
        <f t="shared" si="36"/>
        <v>2.0386153846153845</v>
      </c>
      <c r="T347">
        <f t="shared" si="37"/>
        <v>-1.1386153846153846</v>
      </c>
      <c r="U347" s="14">
        <f t="shared" si="41"/>
        <v>6.3882307692307716</v>
      </c>
      <c r="W347">
        <v>1379</v>
      </c>
      <c r="X347">
        <f t="shared" si="42"/>
        <v>300477.3</v>
      </c>
      <c r="Y347">
        <f t="shared" si="43"/>
        <v>70805.500000000015</v>
      </c>
      <c r="Z347">
        <v>15.632014012110968</v>
      </c>
    </row>
    <row r="348" spans="1:26" x14ac:dyDescent="0.25">
      <c r="A348">
        <v>5320</v>
      </c>
      <c r="B348">
        <v>23210</v>
      </c>
      <c r="C348" s="1">
        <v>42925</v>
      </c>
      <c r="G348">
        <v>21.7</v>
      </c>
      <c r="H348">
        <v>19.100000000000001</v>
      </c>
      <c r="I348">
        <v>25.6</v>
      </c>
      <c r="J348">
        <f t="shared" si="38"/>
        <v>3301.9999999999991</v>
      </c>
      <c r="K348">
        <f t="shared" si="39"/>
        <v>779.9000000000002</v>
      </c>
      <c r="M348">
        <v>5.2</v>
      </c>
      <c r="N348">
        <v>1.8</v>
      </c>
      <c r="O348">
        <f t="shared" si="44"/>
        <v>3.4000000000000004</v>
      </c>
      <c r="Q348">
        <v>312</v>
      </c>
      <c r="R348">
        <f t="shared" si="40"/>
        <v>0.47307692307692306</v>
      </c>
      <c r="S348">
        <f t="shared" si="36"/>
        <v>0.85153846153846158</v>
      </c>
      <c r="T348">
        <f t="shared" si="37"/>
        <v>4.3484615384615388</v>
      </c>
      <c r="U348" s="14">
        <f t="shared" si="41"/>
        <v>10.73669230769231</v>
      </c>
      <c r="W348">
        <v>557.70000000000005</v>
      </c>
      <c r="X348">
        <f t="shared" si="42"/>
        <v>301035</v>
      </c>
      <c r="Y348">
        <f t="shared" si="43"/>
        <v>71363.200000000012</v>
      </c>
      <c r="Z348">
        <v>15.609105103163657</v>
      </c>
    </row>
    <row r="349" spans="1:26" x14ac:dyDescent="0.25">
      <c r="A349">
        <v>5320</v>
      </c>
      <c r="B349">
        <v>23210</v>
      </c>
      <c r="C349" s="1">
        <v>42926</v>
      </c>
      <c r="G349">
        <v>18.8</v>
      </c>
      <c r="H349">
        <v>17</v>
      </c>
      <c r="I349">
        <v>21.5</v>
      </c>
      <c r="J349">
        <f t="shared" si="38"/>
        <v>3320.7999999999993</v>
      </c>
      <c r="K349">
        <f t="shared" si="39"/>
        <v>798.70000000000016</v>
      </c>
      <c r="M349">
        <v>0.1</v>
      </c>
      <c r="N349">
        <v>2</v>
      </c>
      <c r="O349">
        <f t="shared" si="44"/>
        <v>-1.9</v>
      </c>
      <c r="Q349">
        <v>313</v>
      </c>
      <c r="R349">
        <f t="shared" si="40"/>
        <v>0.46076923076923071</v>
      </c>
      <c r="S349">
        <f t="shared" si="36"/>
        <v>0.92153846153846142</v>
      </c>
      <c r="T349">
        <f t="shared" si="37"/>
        <v>-0.82153846153846144</v>
      </c>
      <c r="U349" s="14">
        <f t="shared" si="41"/>
        <v>9.9151538461538493</v>
      </c>
      <c r="W349">
        <v>899.7</v>
      </c>
      <c r="X349">
        <f t="shared" si="42"/>
        <v>301934.7</v>
      </c>
      <c r="Y349">
        <f t="shared" si="43"/>
        <v>72262.900000000009</v>
      </c>
      <c r="Z349">
        <v>15.584990966666096</v>
      </c>
    </row>
    <row r="350" spans="1:26" x14ac:dyDescent="0.25">
      <c r="A350">
        <v>5320</v>
      </c>
      <c r="B350">
        <v>23210</v>
      </c>
      <c r="C350" s="1">
        <v>42927</v>
      </c>
      <c r="G350">
        <v>19.600000000000001</v>
      </c>
      <c r="H350">
        <v>15.1</v>
      </c>
      <c r="I350">
        <v>23.4</v>
      </c>
      <c r="J350">
        <f t="shared" si="38"/>
        <v>3340.3999999999992</v>
      </c>
      <c r="K350">
        <f t="shared" si="39"/>
        <v>818.30000000000018</v>
      </c>
      <c r="M350">
        <v>0.1</v>
      </c>
      <c r="N350">
        <v>4.4000000000000004</v>
      </c>
      <c r="O350">
        <f t="shared" si="44"/>
        <v>-4.3000000000000007</v>
      </c>
      <c r="Q350">
        <v>314</v>
      </c>
      <c r="R350">
        <f t="shared" si="40"/>
        <v>0.44846153846153847</v>
      </c>
      <c r="S350">
        <f t="shared" si="36"/>
        <v>1.9732307692307693</v>
      </c>
      <c r="T350">
        <f t="shared" si="37"/>
        <v>-1.8732307692307693</v>
      </c>
      <c r="U350" s="14">
        <f t="shared" si="41"/>
        <v>8.0419230769230801</v>
      </c>
      <c r="W350">
        <v>1810.1</v>
      </c>
      <c r="X350">
        <f t="shared" si="42"/>
        <v>303744.8</v>
      </c>
      <c r="Y350">
        <f t="shared" si="43"/>
        <v>74073.000000000015</v>
      </c>
      <c r="Z350">
        <v>15.559690767900642</v>
      </c>
    </row>
    <row r="351" spans="1:26" x14ac:dyDescent="0.25">
      <c r="A351">
        <v>5320</v>
      </c>
      <c r="B351">
        <v>23210</v>
      </c>
      <c r="C351" s="1">
        <v>42928</v>
      </c>
      <c r="G351">
        <v>19.2</v>
      </c>
      <c r="H351">
        <v>17.5</v>
      </c>
      <c r="I351">
        <v>21.7</v>
      </c>
      <c r="J351">
        <f t="shared" si="38"/>
        <v>3359.599999999999</v>
      </c>
      <c r="K351">
        <f t="shared" si="39"/>
        <v>837.50000000000023</v>
      </c>
      <c r="M351">
        <v>0.1</v>
      </c>
      <c r="N351">
        <v>2.2999999999999998</v>
      </c>
      <c r="O351">
        <f t="shared" si="44"/>
        <v>-2.1999999999999997</v>
      </c>
      <c r="Q351">
        <v>315</v>
      </c>
      <c r="R351">
        <f t="shared" si="40"/>
        <v>0.43615384615384611</v>
      </c>
      <c r="S351">
        <f t="shared" si="36"/>
        <v>1.0031538461538461</v>
      </c>
      <c r="T351">
        <f t="shared" si="37"/>
        <v>-0.90315384615384608</v>
      </c>
      <c r="U351" s="14">
        <f t="shared" si="41"/>
        <v>7.1387692307692339</v>
      </c>
      <c r="W351">
        <v>517.5</v>
      </c>
      <c r="X351">
        <f t="shared" si="42"/>
        <v>304262.3</v>
      </c>
      <c r="Y351">
        <f t="shared" si="43"/>
        <v>74590.500000000015</v>
      </c>
      <c r="Z351">
        <v>15.533224319415808</v>
      </c>
    </row>
    <row r="352" spans="1:26" x14ac:dyDescent="0.25">
      <c r="A352">
        <v>5320</v>
      </c>
      <c r="B352">
        <v>23210</v>
      </c>
      <c r="C352" s="1">
        <v>42929</v>
      </c>
      <c r="G352">
        <v>20.6</v>
      </c>
      <c r="H352">
        <v>16.5</v>
      </c>
      <c r="I352">
        <v>24.8</v>
      </c>
      <c r="J352">
        <f t="shared" si="38"/>
        <v>3380.1999999999989</v>
      </c>
      <c r="K352">
        <f t="shared" si="39"/>
        <v>858.10000000000025</v>
      </c>
      <c r="M352">
        <v>0</v>
      </c>
      <c r="N352">
        <v>3.8</v>
      </c>
      <c r="O352">
        <f t="shared" si="44"/>
        <v>-3.8</v>
      </c>
      <c r="Q352">
        <v>316</v>
      </c>
      <c r="R352">
        <f t="shared" si="40"/>
        <v>0.42384615384615387</v>
      </c>
      <c r="S352">
        <f t="shared" si="36"/>
        <v>1.6106153846153846</v>
      </c>
      <c r="T352">
        <f t="shared" si="37"/>
        <v>-1.6106153846153846</v>
      </c>
      <c r="U352" s="14">
        <f t="shared" si="41"/>
        <v>5.5281538461538489</v>
      </c>
      <c r="W352">
        <v>1741.2</v>
      </c>
      <c r="X352">
        <f t="shared" si="42"/>
        <v>306003.5</v>
      </c>
      <c r="Y352">
        <f t="shared" si="43"/>
        <v>76331.700000000012</v>
      </c>
      <c r="Z352">
        <v>15.505612028144137</v>
      </c>
    </row>
    <row r="353" spans="1:26" x14ac:dyDescent="0.25">
      <c r="A353">
        <v>5320</v>
      </c>
      <c r="B353">
        <v>23210</v>
      </c>
      <c r="C353" s="1">
        <v>42930</v>
      </c>
      <c r="G353">
        <v>18.5</v>
      </c>
      <c r="H353">
        <v>14.2</v>
      </c>
      <c r="I353">
        <v>23</v>
      </c>
      <c r="J353">
        <f t="shared" si="38"/>
        <v>3398.6999999999989</v>
      </c>
      <c r="K353">
        <f t="shared" si="39"/>
        <v>876.60000000000025</v>
      </c>
      <c r="M353">
        <v>0</v>
      </c>
      <c r="N353">
        <v>3.7</v>
      </c>
      <c r="O353">
        <f t="shared" si="44"/>
        <v>-3.7</v>
      </c>
      <c r="Q353">
        <v>317</v>
      </c>
      <c r="R353">
        <f t="shared" si="40"/>
        <v>0.41153846153846152</v>
      </c>
      <c r="S353">
        <f t="shared" si="36"/>
        <v>1.5226923076923078</v>
      </c>
      <c r="T353">
        <f t="shared" si="37"/>
        <v>-1.5226923076923078</v>
      </c>
      <c r="U353" s="14">
        <f t="shared" si="41"/>
        <v>4.0054615384615406</v>
      </c>
      <c r="W353">
        <v>1642.6</v>
      </c>
      <c r="X353">
        <f t="shared" si="42"/>
        <v>307646.09999999998</v>
      </c>
      <c r="Y353">
        <f t="shared" si="43"/>
        <v>77974.300000000017</v>
      </c>
      <c r="Z353">
        <v>15.476874842338905</v>
      </c>
    </row>
    <row r="354" spans="1:26" x14ac:dyDescent="0.25">
      <c r="A354">
        <v>5320</v>
      </c>
      <c r="B354">
        <v>23210</v>
      </c>
      <c r="C354" s="1">
        <v>42931</v>
      </c>
      <c r="G354">
        <v>19.600000000000001</v>
      </c>
      <c r="H354">
        <v>13</v>
      </c>
      <c r="I354">
        <v>26.3</v>
      </c>
      <c r="J354">
        <f t="shared" si="38"/>
        <v>3418.2999999999988</v>
      </c>
      <c r="K354">
        <f t="shared" si="39"/>
        <v>896.20000000000027</v>
      </c>
      <c r="M354">
        <v>0</v>
      </c>
      <c r="N354">
        <v>5.6</v>
      </c>
      <c r="O354">
        <f t="shared" si="44"/>
        <v>-5.6</v>
      </c>
      <c r="Q354">
        <v>318</v>
      </c>
      <c r="R354">
        <f t="shared" si="40"/>
        <v>0.39923076923076917</v>
      </c>
      <c r="S354">
        <f t="shared" si="36"/>
        <v>2.235692307692307</v>
      </c>
      <c r="T354">
        <f t="shared" si="37"/>
        <v>-2.235692307692307</v>
      </c>
      <c r="U354" s="14">
        <f t="shared" si="41"/>
        <v>1.7697692307692336</v>
      </c>
      <c r="W354">
        <v>2777.6</v>
      </c>
      <c r="X354">
        <f t="shared" si="42"/>
        <v>310423.69999999995</v>
      </c>
      <c r="Y354">
        <f t="shared" si="43"/>
        <v>80751.900000000023</v>
      </c>
      <c r="Z354">
        <v>15.447034198584788</v>
      </c>
    </row>
    <row r="355" spans="1:26" x14ac:dyDescent="0.25">
      <c r="A355">
        <v>5320</v>
      </c>
      <c r="B355">
        <v>23210</v>
      </c>
      <c r="C355" s="1">
        <v>42932</v>
      </c>
      <c r="G355">
        <v>23.5</v>
      </c>
      <c r="H355">
        <v>15.2</v>
      </c>
      <c r="I355">
        <v>29.7</v>
      </c>
      <c r="J355">
        <f t="shared" si="38"/>
        <v>3441.7999999999988</v>
      </c>
      <c r="K355">
        <f t="shared" si="39"/>
        <v>919.70000000000027</v>
      </c>
      <c r="M355">
        <v>0</v>
      </c>
      <c r="N355">
        <v>6.6</v>
      </c>
      <c r="O355">
        <f t="shared" si="44"/>
        <v>-6.6</v>
      </c>
      <c r="Q355">
        <v>319</v>
      </c>
      <c r="R355">
        <f t="shared" si="40"/>
        <v>0.38692307692307681</v>
      </c>
      <c r="S355">
        <f t="shared" si="36"/>
        <v>2.553692307692307</v>
      </c>
      <c r="T355">
        <f t="shared" si="37"/>
        <v>-2.553692307692307</v>
      </c>
      <c r="U355" s="14">
        <v>0</v>
      </c>
      <c r="W355">
        <v>3009.7</v>
      </c>
      <c r="X355">
        <f t="shared" si="42"/>
        <v>313433.39999999997</v>
      </c>
      <c r="Y355">
        <f t="shared" si="43"/>
        <v>83761.60000000002</v>
      </c>
      <c r="Z355">
        <v>15.416111969125353</v>
      </c>
    </row>
    <row r="356" spans="1:26" x14ac:dyDescent="0.25">
      <c r="A356">
        <v>5320</v>
      </c>
      <c r="B356">
        <v>23210</v>
      </c>
      <c r="C356" s="1">
        <v>42933</v>
      </c>
      <c r="G356">
        <v>25</v>
      </c>
      <c r="H356">
        <v>18.399999999999999</v>
      </c>
      <c r="I356">
        <v>30.4</v>
      </c>
      <c r="J356">
        <f t="shared" si="38"/>
        <v>3466.7999999999988</v>
      </c>
      <c r="K356">
        <f t="shared" si="39"/>
        <v>944.70000000000027</v>
      </c>
      <c r="M356">
        <v>0</v>
      </c>
      <c r="N356">
        <v>6.1</v>
      </c>
      <c r="O356">
        <f t="shared" si="44"/>
        <v>-6.1</v>
      </c>
      <c r="Q356">
        <v>320</v>
      </c>
      <c r="R356">
        <f t="shared" si="40"/>
        <v>0.37461538461538457</v>
      </c>
      <c r="S356">
        <f t="shared" si="36"/>
        <v>2.2851538461538459</v>
      </c>
      <c r="T356">
        <f t="shared" si="37"/>
        <v>-2.2851538461538459</v>
      </c>
      <c r="U356" s="14">
        <v>0</v>
      </c>
      <c r="W356">
        <v>2382.6999999999998</v>
      </c>
      <c r="X356">
        <f t="shared" si="42"/>
        <v>315816.09999999998</v>
      </c>
      <c r="Y356">
        <f t="shared" si="43"/>
        <v>86144.300000000017</v>
      </c>
      <c r="Z356">
        <v>15.384130409736541</v>
      </c>
    </row>
    <row r="357" spans="1:26" x14ac:dyDescent="0.25">
      <c r="A357">
        <v>5320</v>
      </c>
      <c r="B357">
        <v>23210</v>
      </c>
      <c r="C357" s="1">
        <v>42934</v>
      </c>
      <c r="G357">
        <v>28.2</v>
      </c>
      <c r="H357">
        <v>20.9</v>
      </c>
      <c r="I357">
        <v>33.5</v>
      </c>
      <c r="J357">
        <f t="shared" si="38"/>
        <v>3494.9999999999986</v>
      </c>
      <c r="K357">
        <f t="shared" si="39"/>
        <v>972.90000000000032</v>
      </c>
      <c r="M357">
        <v>0</v>
      </c>
      <c r="N357">
        <v>6.8</v>
      </c>
      <c r="O357">
        <f t="shared" si="44"/>
        <v>-6.8</v>
      </c>
      <c r="Q357">
        <v>321</v>
      </c>
      <c r="R357">
        <f t="shared" si="40"/>
        <v>0.36230769230769222</v>
      </c>
      <c r="S357">
        <f t="shared" si="36"/>
        <v>2.4636923076923072</v>
      </c>
      <c r="T357">
        <f t="shared" si="37"/>
        <v>-2.4636923076923072</v>
      </c>
      <c r="U357" s="14">
        <v>0</v>
      </c>
      <c r="W357">
        <v>2199.6999999999998</v>
      </c>
      <c r="X357">
        <f t="shared" si="42"/>
        <v>318015.8</v>
      </c>
      <c r="Y357">
        <f t="shared" si="43"/>
        <v>88344.000000000015</v>
      </c>
      <c r="Z357">
        <v>15.35111210836056</v>
      </c>
    </row>
    <row r="358" spans="1:26" x14ac:dyDescent="0.25">
      <c r="A358">
        <v>5320</v>
      </c>
      <c r="B358">
        <v>23210</v>
      </c>
      <c r="C358" s="1">
        <v>42935</v>
      </c>
      <c r="D358" s="30" t="s">
        <v>34</v>
      </c>
      <c r="E358" s="30"/>
      <c r="F358" s="30"/>
      <c r="G358">
        <v>23.5</v>
      </c>
      <c r="H358">
        <v>23.4</v>
      </c>
      <c r="I358">
        <v>25.3</v>
      </c>
      <c r="J358">
        <f t="shared" si="38"/>
        <v>3518.4999999999986</v>
      </c>
      <c r="K358">
        <f t="shared" si="39"/>
        <v>996.40000000000032</v>
      </c>
      <c r="M358">
        <v>0.4</v>
      </c>
      <c r="N358">
        <v>4.5</v>
      </c>
      <c r="O358">
        <f t="shared" si="44"/>
        <v>-4.0999999999999996</v>
      </c>
      <c r="Q358">
        <v>322</v>
      </c>
      <c r="R358">
        <f t="shared" si="40"/>
        <v>0.35</v>
      </c>
      <c r="S358">
        <f t="shared" ref="S358" si="45">R358*N358</f>
        <v>1.575</v>
      </c>
      <c r="T358">
        <f t="shared" ref="T358" si="46">M358-S358</f>
        <v>-1.1749999999999998</v>
      </c>
      <c r="U358" s="14">
        <v>0</v>
      </c>
      <c r="W358">
        <v>1478.2</v>
      </c>
      <c r="X358">
        <f t="shared" si="42"/>
        <v>319494</v>
      </c>
      <c r="Y358">
        <f t="shared" si="43"/>
        <v>89822.200000000012</v>
      </c>
      <c r="Z358">
        <v>15.317079934698814</v>
      </c>
    </row>
    <row r="359" spans="1:26" x14ac:dyDescent="0.25">
      <c r="A359">
        <v>5320</v>
      </c>
      <c r="B359">
        <v>23210</v>
      </c>
      <c r="C359" s="1">
        <v>42936</v>
      </c>
      <c r="G359">
        <v>19</v>
      </c>
      <c r="H359">
        <v>18</v>
      </c>
      <c r="I359">
        <v>22</v>
      </c>
      <c r="J359">
        <f t="shared" ref="J359:J401" si="47">J358+G359</f>
        <v>3537.4999999999986</v>
      </c>
      <c r="K359">
        <f t="shared" ref="K359:K401" si="48">K358+G359</f>
        <v>1015.4000000000003</v>
      </c>
      <c r="M359">
        <v>0.2</v>
      </c>
      <c r="N359">
        <v>3.8</v>
      </c>
      <c r="O359">
        <f t="shared" si="44"/>
        <v>-3.5999999999999996</v>
      </c>
      <c r="W359">
        <v>707.9</v>
      </c>
      <c r="X359">
        <f t="shared" ref="X359:X401" si="49">X358+W359</f>
        <v>320201.90000000002</v>
      </c>
      <c r="Y359">
        <f t="shared" ref="Y359:Y401" si="50">Y358+W359</f>
        <v>90530.1</v>
      </c>
    </row>
    <row r="360" spans="1:26" x14ac:dyDescent="0.25">
      <c r="A360">
        <v>5320</v>
      </c>
      <c r="B360">
        <v>23210</v>
      </c>
      <c r="C360" s="1">
        <v>42937</v>
      </c>
      <c r="G360">
        <v>18.3</v>
      </c>
      <c r="H360">
        <v>12.1</v>
      </c>
      <c r="I360">
        <v>23.5</v>
      </c>
      <c r="J360">
        <f t="shared" si="47"/>
        <v>3555.7999999999988</v>
      </c>
      <c r="K360">
        <f t="shared" si="48"/>
        <v>1033.7000000000003</v>
      </c>
      <c r="M360">
        <v>2.4</v>
      </c>
      <c r="N360">
        <v>4.9000000000000004</v>
      </c>
      <c r="O360">
        <f t="shared" si="44"/>
        <v>-2.5000000000000004</v>
      </c>
      <c r="W360">
        <v>2197.4</v>
      </c>
      <c r="X360">
        <f t="shared" si="49"/>
        <v>322399.30000000005</v>
      </c>
      <c r="Y360">
        <f t="shared" si="50"/>
        <v>92727.5</v>
      </c>
    </row>
    <row r="361" spans="1:26" x14ac:dyDescent="0.25">
      <c r="A361">
        <v>5320</v>
      </c>
      <c r="B361">
        <v>23210</v>
      </c>
      <c r="C361" s="1">
        <v>42938</v>
      </c>
      <c r="G361">
        <v>17.2</v>
      </c>
      <c r="H361">
        <v>15.4</v>
      </c>
      <c r="I361">
        <v>20.9</v>
      </c>
      <c r="J361">
        <f t="shared" si="47"/>
        <v>3572.9999999999986</v>
      </c>
      <c r="K361">
        <f t="shared" si="48"/>
        <v>1050.9000000000003</v>
      </c>
      <c r="M361">
        <v>1.2</v>
      </c>
      <c r="N361">
        <v>2.1</v>
      </c>
      <c r="O361">
        <f t="shared" si="44"/>
        <v>-0.90000000000000013</v>
      </c>
      <c r="W361">
        <v>632.9</v>
      </c>
      <c r="X361">
        <f t="shared" si="49"/>
        <v>323032.20000000007</v>
      </c>
      <c r="Y361">
        <f t="shared" si="50"/>
        <v>93360.4</v>
      </c>
    </row>
    <row r="362" spans="1:26" x14ac:dyDescent="0.25">
      <c r="A362">
        <v>5320</v>
      </c>
      <c r="B362">
        <v>23210</v>
      </c>
      <c r="C362" s="1">
        <v>42939</v>
      </c>
      <c r="G362">
        <v>16.5</v>
      </c>
      <c r="H362">
        <v>13.9</v>
      </c>
      <c r="I362">
        <v>21.9</v>
      </c>
      <c r="J362">
        <f t="shared" si="47"/>
        <v>3589.4999999999986</v>
      </c>
      <c r="K362">
        <f t="shared" si="48"/>
        <v>1067.4000000000003</v>
      </c>
      <c r="M362">
        <v>32.799999999999997</v>
      </c>
      <c r="N362">
        <v>4</v>
      </c>
      <c r="O362">
        <f t="shared" si="44"/>
        <v>28.799999999999997</v>
      </c>
      <c r="W362">
        <v>1915.7</v>
      </c>
      <c r="X362">
        <f t="shared" si="49"/>
        <v>324947.90000000008</v>
      </c>
      <c r="Y362">
        <f t="shared" si="50"/>
        <v>95276.099999999991</v>
      </c>
    </row>
    <row r="363" spans="1:26" x14ac:dyDescent="0.25">
      <c r="A363">
        <v>5320</v>
      </c>
      <c r="B363">
        <v>23210</v>
      </c>
      <c r="C363" s="1">
        <v>42940</v>
      </c>
      <c r="G363">
        <v>16.2</v>
      </c>
      <c r="H363">
        <v>13.2</v>
      </c>
      <c r="I363">
        <v>18.100000000000001</v>
      </c>
      <c r="J363">
        <f t="shared" si="47"/>
        <v>3605.6999999999985</v>
      </c>
      <c r="K363">
        <f t="shared" si="48"/>
        <v>1083.6000000000004</v>
      </c>
      <c r="M363">
        <v>0.1</v>
      </c>
      <c r="N363">
        <v>1.2</v>
      </c>
      <c r="O363">
        <f t="shared" si="44"/>
        <v>-1.0999999999999999</v>
      </c>
      <c r="W363">
        <v>508.7</v>
      </c>
      <c r="X363">
        <f t="shared" si="49"/>
        <v>325456.60000000009</v>
      </c>
      <c r="Y363">
        <f t="shared" si="50"/>
        <v>95784.799999999988</v>
      </c>
    </row>
    <row r="364" spans="1:26" x14ac:dyDescent="0.25">
      <c r="A364">
        <v>5320</v>
      </c>
      <c r="B364">
        <v>23210</v>
      </c>
      <c r="C364" s="1">
        <v>42941</v>
      </c>
      <c r="G364">
        <v>18.100000000000001</v>
      </c>
      <c r="H364">
        <v>15.7</v>
      </c>
      <c r="I364">
        <v>22.4</v>
      </c>
      <c r="J364">
        <f t="shared" si="47"/>
        <v>3623.7999999999984</v>
      </c>
      <c r="K364">
        <f t="shared" si="48"/>
        <v>1101.7000000000003</v>
      </c>
      <c r="M364">
        <v>0</v>
      </c>
      <c r="N364">
        <v>2.8</v>
      </c>
      <c r="O364">
        <f t="shared" si="44"/>
        <v>-2.8</v>
      </c>
      <c r="W364">
        <v>1088</v>
      </c>
      <c r="X364">
        <f t="shared" si="49"/>
        <v>326544.60000000009</v>
      </c>
      <c r="Y364">
        <f t="shared" si="50"/>
        <v>96872.799999999988</v>
      </c>
    </row>
    <row r="365" spans="1:26" x14ac:dyDescent="0.25">
      <c r="A365">
        <v>5320</v>
      </c>
      <c r="B365">
        <v>23210</v>
      </c>
      <c r="C365" s="1">
        <v>42942</v>
      </c>
      <c r="G365">
        <v>16.899999999999999</v>
      </c>
      <c r="H365">
        <v>12.5</v>
      </c>
      <c r="I365">
        <v>19.399999999999999</v>
      </c>
      <c r="J365">
        <f t="shared" si="47"/>
        <v>3640.6999999999985</v>
      </c>
      <c r="K365">
        <f t="shared" si="48"/>
        <v>1118.6000000000004</v>
      </c>
      <c r="M365">
        <v>2.4</v>
      </c>
      <c r="N365">
        <v>1.2</v>
      </c>
      <c r="O365">
        <f t="shared" si="44"/>
        <v>1.2</v>
      </c>
      <c r="W365">
        <v>801.2</v>
      </c>
      <c r="X365">
        <f t="shared" si="49"/>
        <v>327345.8000000001</v>
      </c>
      <c r="Y365">
        <f t="shared" si="50"/>
        <v>97673.999999999985</v>
      </c>
    </row>
    <row r="366" spans="1:26" x14ac:dyDescent="0.25">
      <c r="A366">
        <v>5320</v>
      </c>
      <c r="B366">
        <v>23210</v>
      </c>
      <c r="C366" s="1">
        <v>42943</v>
      </c>
      <c r="G366">
        <v>18</v>
      </c>
      <c r="H366">
        <v>17</v>
      </c>
      <c r="I366">
        <v>20.6</v>
      </c>
      <c r="J366">
        <f t="shared" si="47"/>
        <v>3658.6999999999985</v>
      </c>
      <c r="K366">
        <f t="shared" si="48"/>
        <v>1136.6000000000004</v>
      </c>
      <c r="M366">
        <v>0.9</v>
      </c>
      <c r="N366">
        <v>1.7</v>
      </c>
      <c r="O366">
        <f t="shared" si="44"/>
        <v>-0.79999999999999993</v>
      </c>
      <c r="W366">
        <v>596.1</v>
      </c>
      <c r="X366">
        <f t="shared" si="49"/>
        <v>327941.90000000008</v>
      </c>
      <c r="Y366">
        <f t="shared" si="50"/>
        <v>98270.099999999991</v>
      </c>
    </row>
    <row r="367" spans="1:26" x14ac:dyDescent="0.25">
      <c r="A367">
        <v>5320</v>
      </c>
      <c r="B367">
        <v>23210</v>
      </c>
      <c r="C367" s="1">
        <v>42944</v>
      </c>
      <c r="G367">
        <v>18.3</v>
      </c>
      <c r="H367">
        <v>14.1</v>
      </c>
      <c r="I367">
        <v>22.7</v>
      </c>
      <c r="J367">
        <f t="shared" si="47"/>
        <v>3676.9999999999986</v>
      </c>
      <c r="K367">
        <f t="shared" si="48"/>
        <v>1154.9000000000003</v>
      </c>
      <c r="M367">
        <v>0</v>
      </c>
      <c r="N367">
        <v>3.5</v>
      </c>
      <c r="O367">
        <f t="shared" si="44"/>
        <v>-3.5</v>
      </c>
      <c r="W367">
        <v>1484.1</v>
      </c>
      <c r="X367">
        <f t="shared" si="49"/>
        <v>329426.00000000006</v>
      </c>
      <c r="Y367">
        <f t="shared" si="50"/>
        <v>99754.2</v>
      </c>
    </row>
    <row r="368" spans="1:26" x14ac:dyDescent="0.25">
      <c r="A368">
        <v>5320</v>
      </c>
      <c r="B368">
        <v>23210</v>
      </c>
      <c r="C368" s="1">
        <v>42945</v>
      </c>
      <c r="G368">
        <v>21.2</v>
      </c>
      <c r="H368">
        <v>15.2</v>
      </c>
      <c r="I368">
        <v>25.5</v>
      </c>
      <c r="J368">
        <f t="shared" si="47"/>
        <v>3698.1999999999985</v>
      </c>
      <c r="K368">
        <f t="shared" si="48"/>
        <v>1176.1000000000004</v>
      </c>
      <c r="M368">
        <v>0</v>
      </c>
      <c r="N368">
        <v>4.0999999999999996</v>
      </c>
      <c r="O368">
        <f t="shared" si="44"/>
        <v>-4.0999999999999996</v>
      </c>
      <c r="W368">
        <v>1789.3</v>
      </c>
      <c r="X368">
        <f t="shared" si="49"/>
        <v>331215.30000000005</v>
      </c>
      <c r="Y368">
        <f t="shared" si="50"/>
        <v>101543.5</v>
      </c>
    </row>
    <row r="369" spans="1:25" x14ac:dyDescent="0.25">
      <c r="A369">
        <v>5320</v>
      </c>
      <c r="B369">
        <v>23210</v>
      </c>
      <c r="C369" s="1">
        <v>42946</v>
      </c>
      <c r="G369">
        <v>20.8</v>
      </c>
      <c r="H369">
        <v>18.8</v>
      </c>
      <c r="I369">
        <v>24.1</v>
      </c>
      <c r="J369">
        <f t="shared" si="47"/>
        <v>3718.9999999999986</v>
      </c>
      <c r="K369">
        <f t="shared" si="48"/>
        <v>1196.9000000000003</v>
      </c>
      <c r="M369">
        <v>0</v>
      </c>
      <c r="N369">
        <v>5.6</v>
      </c>
      <c r="O369">
        <f t="shared" si="44"/>
        <v>-5.6</v>
      </c>
      <c r="W369">
        <v>2154.6</v>
      </c>
      <c r="X369">
        <f t="shared" si="49"/>
        <v>333369.90000000002</v>
      </c>
      <c r="Y369">
        <f t="shared" si="50"/>
        <v>103698.1</v>
      </c>
    </row>
    <row r="370" spans="1:25" x14ac:dyDescent="0.25">
      <c r="A370">
        <v>5320</v>
      </c>
      <c r="B370">
        <v>23210</v>
      </c>
      <c r="C370" s="1">
        <v>42947</v>
      </c>
      <c r="G370">
        <v>18.5</v>
      </c>
      <c r="H370">
        <v>14.2</v>
      </c>
      <c r="I370">
        <v>22.5</v>
      </c>
      <c r="J370">
        <f t="shared" si="47"/>
        <v>3737.4999999999986</v>
      </c>
      <c r="K370">
        <f t="shared" si="48"/>
        <v>1215.4000000000003</v>
      </c>
      <c r="M370">
        <v>0.6</v>
      </c>
      <c r="N370">
        <v>1.7</v>
      </c>
      <c r="O370">
        <f t="shared" si="44"/>
        <v>-1.1000000000000001</v>
      </c>
      <c r="W370">
        <v>1082.7</v>
      </c>
      <c r="X370">
        <f t="shared" si="49"/>
        <v>334452.60000000003</v>
      </c>
      <c r="Y370">
        <f t="shared" si="50"/>
        <v>104780.8</v>
      </c>
    </row>
    <row r="371" spans="1:25" x14ac:dyDescent="0.25">
      <c r="A371">
        <v>5320</v>
      </c>
      <c r="B371">
        <v>23210</v>
      </c>
      <c r="C371" s="1">
        <v>42948</v>
      </c>
      <c r="G371">
        <v>20.7</v>
      </c>
      <c r="H371">
        <v>15.4</v>
      </c>
      <c r="I371">
        <v>25.9</v>
      </c>
      <c r="J371">
        <f t="shared" si="47"/>
        <v>3758.1999999999985</v>
      </c>
      <c r="K371">
        <f t="shared" si="48"/>
        <v>1236.1000000000004</v>
      </c>
      <c r="M371">
        <v>0</v>
      </c>
      <c r="N371">
        <v>3</v>
      </c>
      <c r="O371">
        <f t="shared" si="44"/>
        <v>-3</v>
      </c>
      <c r="W371">
        <v>1327.5</v>
      </c>
      <c r="X371">
        <f t="shared" si="49"/>
        <v>335780.10000000003</v>
      </c>
      <c r="Y371">
        <f t="shared" si="50"/>
        <v>106108.3</v>
      </c>
    </row>
    <row r="372" spans="1:25" x14ac:dyDescent="0.25">
      <c r="A372">
        <v>5320</v>
      </c>
      <c r="B372">
        <v>23210</v>
      </c>
      <c r="C372" s="1">
        <v>42949</v>
      </c>
      <c r="G372">
        <v>21.9</v>
      </c>
      <c r="H372">
        <v>15.7</v>
      </c>
      <c r="I372">
        <v>27.7</v>
      </c>
      <c r="J372">
        <f t="shared" si="47"/>
        <v>3780.0999999999985</v>
      </c>
      <c r="K372">
        <f t="shared" si="48"/>
        <v>1258.0000000000005</v>
      </c>
      <c r="M372">
        <v>0</v>
      </c>
      <c r="N372">
        <v>5.3</v>
      </c>
      <c r="O372">
        <f t="shared" si="44"/>
        <v>-5.3</v>
      </c>
      <c r="W372">
        <v>2166.3000000000002</v>
      </c>
      <c r="X372">
        <f t="shared" si="49"/>
        <v>337946.4</v>
      </c>
      <c r="Y372">
        <f t="shared" si="50"/>
        <v>108274.6</v>
      </c>
    </row>
    <row r="373" spans="1:25" x14ac:dyDescent="0.25">
      <c r="A373">
        <v>5320</v>
      </c>
      <c r="B373">
        <v>23210</v>
      </c>
      <c r="C373" s="1">
        <v>42950</v>
      </c>
      <c r="G373">
        <v>22.3</v>
      </c>
      <c r="H373">
        <v>17</v>
      </c>
      <c r="I373">
        <v>26.3</v>
      </c>
      <c r="J373">
        <f t="shared" si="47"/>
        <v>3802.3999999999987</v>
      </c>
      <c r="K373">
        <f t="shared" si="48"/>
        <v>1280.3000000000004</v>
      </c>
      <c r="M373">
        <v>0.1</v>
      </c>
      <c r="N373">
        <v>4.9000000000000004</v>
      </c>
      <c r="O373">
        <f t="shared" si="44"/>
        <v>-4.8000000000000007</v>
      </c>
      <c r="W373">
        <v>1508</v>
      </c>
      <c r="X373">
        <f t="shared" si="49"/>
        <v>339454.4</v>
      </c>
      <c r="Y373">
        <f t="shared" si="50"/>
        <v>109782.6</v>
      </c>
    </row>
    <row r="374" spans="1:25" x14ac:dyDescent="0.25">
      <c r="A374">
        <v>5320</v>
      </c>
      <c r="B374">
        <v>23210</v>
      </c>
      <c r="C374" s="1">
        <v>42951</v>
      </c>
      <c r="G374">
        <v>21.4</v>
      </c>
      <c r="H374">
        <v>17.7</v>
      </c>
      <c r="I374">
        <v>24.8</v>
      </c>
      <c r="J374">
        <f t="shared" si="47"/>
        <v>3823.7999999999988</v>
      </c>
      <c r="K374">
        <f t="shared" si="48"/>
        <v>1301.7000000000005</v>
      </c>
      <c r="M374">
        <v>0</v>
      </c>
      <c r="N374">
        <v>2.9</v>
      </c>
      <c r="O374">
        <f t="shared" si="44"/>
        <v>-2.9</v>
      </c>
      <c r="W374">
        <v>564.70000000000005</v>
      </c>
      <c r="X374">
        <f t="shared" si="49"/>
        <v>340019.10000000003</v>
      </c>
      <c r="Y374">
        <f t="shared" si="50"/>
        <v>110347.3</v>
      </c>
    </row>
    <row r="375" spans="1:25" x14ac:dyDescent="0.25">
      <c r="A375">
        <v>5320</v>
      </c>
      <c r="B375">
        <v>23210</v>
      </c>
      <c r="C375" s="1">
        <v>42952</v>
      </c>
      <c r="G375">
        <v>19.2</v>
      </c>
      <c r="H375">
        <v>16.3</v>
      </c>
      <c r="I375">
        <v>22.3</v>
      </c>
      <c r="J375">
        <f t="shared" si="47"/>
        <v>3842.9999999999986</v>
      </c>
      <c r="K375">
        <f t="shared" si="48"/>
        <v>1320.9000000000005</v>
      </c>
      <c r="M375">
        <v>0</v>
      </c>
      <c r="N375">
        <v>3</v>
      </c>
      <c r="O375">
        <f t="shared" si="44"/>
        <v>-3</v>
      </c>
      <c r="W375">
        <v>879.1</v>
      </c>
      <c r="X375">
        <f t="shared" si="49"/>
        <v>340898.2</v>
      </c>
      <c r="Y375">
        <f t="shared" si="50"/>
        <v>111226.40000000001</v>
      </c>
    </row>
    <row r="376" spans="1:25" x14ac:dyDescent="0.25">
      <c r="A376">
        <v>5320</v>
      </c>
      <c r="B376">
        <v>23210</v>
      </c>
      <c r="C376" s="1">
        <v>42953</v>
      </c>
      <c r="G376">
        <v>17.3</v>
      </c>
      <c r="H376">
        <v>11.8</v>
      </c>
      <c r="I376">
        <v>23.2</v>
      </c>
      <c r="J376">
        <f t="shared" si="47"/>
        <v>3860.2999999999988</v>
      </c>
      <c r="K376">
        <f t="shared" si="48"/>
        <v>1338.2000000000005</v>
      </c>
      <c r="M376">
        <v>0</v>
      </c>
      <c r="N376">
        <v>4.2</v>
      </c>
      <c r="O376">
        <f t="shared" si="44"/>
        <v>-4.2</v>
      </c>
      <c r="W376">
        <v>2079.4</v>
      </c>
      <c r="X376">
        <f t="shared" si="49"/>
        <v>342977.60000000003</v>
      </c>
      <c r="Y376">
        <f t="shared" si="50"/>
        <v>113305.8</v>
      </c>
    </row>
    <row r="377" spans="1:25" x14ac:dyDescent="0.25">
      <c r="A377">
        <v>5320</v>
      </c>
      <c r="B377">
        <v>23210</v>
      </c>
      <c r="C377" s="1">
        <v>42954</v>
      </c>
      <c r="G377">
        <v>19.5</v>
      </c>
      <c r="H377">
        <v>12.7</v>
      </c>
      <c r="I377">
        <v>25</v>
      </c>
      <c r="J377">
        <f t="shared" si="47"/>
        <v>3879.7999999999988</v>
      </c>
      <c r="K377">
        <f t="shared" si="48"/>
        <v>1357.7000000000005</v>
      </c>
      <c r="M377">
        <v>2.2000000000000002</v>
      </c>
      <c r="N377">
        <v>4.5999999999999996</v>
      </c>
      <c r="O377">
        <f t="shared" si="44"/>
        <v>-2.3999999999999995</v>
      </c>
      <c r="W377">
        <v>2067.9</v>
      </c>
      <c r="X377">
        <f t="shared" si="49"/>
        <v>345045.50000000006</v>
      </c>
      <c r="Y377">
        <f t="shared" si="50"/>
        <v>115373.7</v>
      </c>
    </row>
    <row r="378" spans="1:25" x14ac:dyDescent="0.25">
      <c r="A378">
        <v>5320</v>
      </c>
      <c r="B378">
        <v>23210</v>
      </c>
      <c r="C378" s="1">
        <v>42955</v>
      </c>
      <c r="G378">
        <v>15.8</v>
      </c>
      <c r="H378">
        <v>14.9</v>
      </c>
      <c r="I378">
        <v>17.5</v>
      </c>
      <c r="J378">
        <f t="shared" si="47"/>
        <v>3895.599999999999</v>
      </c>
      <c r="K378">
        <f t="shared" si="48"/>
        <v>1373.5000000000005</v>
      </c>
      <c r="M378">
        <v>2.8</v>
      </c>
      <c r="N378">
        <v>1.7</v>
      </c>
      <c r="O378">
        <f t="shared" si="44"/>
        <v>1.0999999999999999</v>
      </c>
      <c r="W378">
        <v>738.5</v>
      </c>
      <c r="X378">
        <f t="shared" si="49"/>
        <v>345784.00000000006</v>
      </c>
      <c r="Y378">
        <f t="shared" si="50"/>
        <v>116112.2</v>
      </c>
    </row>
    <row r="379" spans="1:25" x14ac:dyDescent="0.25">
      <c r="A379">
        <v>5320</v>
      </c>
      <c r="B379">
        <v>23210</v>
      </c>
      <c r="C379" s="1">
        <v>42956</v>
      </c>
      <c r="G379">
        <v>13</v>
      </c>
      <c r="H379">
        <v>12.2</v>
      </c>
      <c r="I379">
        <v>13.5</v>
      </c>
      <c r="J379">
        <f t="shared" si="47"/>
        <v>3908.599999999999</v>
      </c>
      <c r="K379">
        <f t="shared" si="48"/>
        <v>1386.5000000000005</v>
      </c>
      <c r="M379">
        <v>12</v>
      </c>
      <c r="N379">
        <v>0.9</v>
      </c>
      <c r="O379">
        <f t="shared" si="44"/>
        <v>11.1</v>
      </c>
      <c r="W379">
        <v>780.6</v>
      </c>
      <c r="X379">
        <f t="shared" si="49"/>
        <v>346564.60000000003</v>
      </c>
      <c r="Y379">
        <f t="shared" si="50"/>
        <v>116892.8</v>
      </c>
    </row>
    <row r="380" spans="1:25" x14ac:dyDescent="0.25">
      <c r="A380">
        <v>5320</v>
      </c>
      <c r="B380">
        <v>23210</v>
      </c>
      <c r="C380" s="1">
        <v>42957</v>
      </c>
      <c r="G380">
        <v>14.1</v>
      </c>
      <c r="H380">
        <v>12.5</v>
      </c>
      <c r="I380">
        <v>16</v>
      </c>
      <c r="J380">
        <f t="shared" si="47"/>
        <v>3922.6999999999989</v>
      </c>
      <c r="K380">
        <f t="shared" si="48"/>
        <v>1400.6000000000004</v>
      </c>
      <c r="M380">
        <v>9.5</v>
      </c>
      <c r="N380">
        <v>1.4</v>
      </c>
      <c r="O380">
        <f t="shared" si="44"/>
        <v>8.1</v>
      </c>
      <c r="W380">
        <v>851.8</v>
      </c>
      <c r="X380">
        <f t="shared" si="49"/>
        <v>347416.4</v>
      </c>
      <c r="Y380">
        <f t="shared" si="50"/>
        <v>117744.6</v>
      </c>
    </row>
    <row r="381" spans="1:25" x14ac:dyDescent="0.25">
      <c r="A381">
        <v>5320</v>
      </c>
      <c r="B381">
        <v>23210</v>
      </c>
      <c r="C381" s="1">
        <v>42958</v>
      </c>
      <c r="G381">
        <v>16.100000000000001</v>
      </c>
      <c r="H381">
        <v>13.6</v>
      </c>
      <c r="I381">
        <v>19.7</v>
      </c>
      <c r="J381">
        <f t="shared" si="47"/>
        <v>3938.7999999999988</v>
      </c>
      <c r="K381">
        <f t="shared" si="48"/>
        <v>1416.7000000000003</v>
      </c>
      <c r="M381">
        <v>1.5</v>
      </c>
      <c r="N381">
        <v>2.2999999999999998</v>
      </c>
      <c r="O381">
        <f t="shared" si="44"/>
        <v>-0.79999999999999982</v>
      </c>
      <c r="W381">
        <v>1226.9000000000001</v>
      </c>
      <c r="X381">
        <f t="shared" si="49"/>
        <v>348643.30000000005</v>
      </c>
      <c r="Y381">
        <f t="shared" si="50"/>
        <v>118971.5</v>
      </c>
    </row>
    <row r="382" spans="1:25" x14ac:dyDescent="0.25">
      <c r="A382">
        <v>5320</v>
      </c>
      <c r="B382">
        <v>23210</v>
      </c>
      <c r="C382" s="1">
        <v>42959</v>
      </c>
      <c r="G382">
        <v>16.7</v>
      </c>
      <c r="H382">
        <v>12.2</v>
      </c>
      <c r="I382">
        <v>19.100000000000001</v>
      </c>
      <c r="J382">
        <f t="shared" si="47"/>
        <v>3955.4999999999986</v>
      </c>
      <c r="K382">
        <f t="shared" si="48"/>
        <v>1433.4000000000003</v>
      </c>
      <c r="M382">
        <v>3.3</v>
      </c>
      <c r="N382">
        <v>0.9</v>
      </c>
      <c r="O382">
        <f t="shared" si="44"/>
        <v>2.4</v>
      </c>
      <c r="W382">
        <v>501.6</v>
      </c>
      <c r="X382">
        <f t="shared" si="49"/>
        <v>349144.9</v>
      </c>
      <c r="Y382">
        <f t="shared" si="50"/>
        <v>119473.1</v>
      </c>
    </row>
    <row r="383" spans="1:25" x14ac:dyDescent="0.25">
      <c r="A383">
        <v>5320</v>
      </c>
      <c r="B383">
        <v>23210</v>
      </c>
      <c r="C383" s="1">
        <v>42960</v>
      </c>
      <c r="G383">
        <v>17.600000000000001</v>
      </c>
      <c r="H383">
        <v>14.4</v>
      </c>
      <c r="I383">
        <v>21.6</v>
      </c>
      <c r="J383">
        <f t="shared" si="47"/>
        <v>3973.0999999999985</v>
      </c>
      <c r="K383">
        <f t="shared" si="48"/>
        <v>1451.0000000000002</v>
      </c>
      <c r="M383">
        <v>0</v>
      </c>
      <c r="N383">
        <v>2.2000000000000002</v>
      </c>
      <c r="O383">
        <f t="shared" si="44"/>
        <v>-2.2000000000000002</v>
      </c>
      <c r="W383">
        <v>943.2</v>
      </c>
      <c r="X383">
        <f t="shared" si="49"/>
        <v>350088.10000000003</v>
      </c>
      <c r="Y383">
        <f t="shared" si="50"/>
        <v>120416.3</v>
      </c>
    </row>
    <row r="384" spans="1:25" x14ac:dyDescent="0.25">
      <c r="A384">
        <v>5320</v>
      </c>
      <c r="B384">
        <v>23210</v>
      </c>
      <c r="C384" s="1">
        <v>42961</v>
      </c>
      <c r="G384">
        <v>21.5</v>
      </c>
      <c r="H384">
        <v>14.3</v>
      </c>
      <c r="I384">
        <v>26.9</v>
      </c>
      <c r="J384">
        <f t="shared" si="47"/>
        <v>3994.5999999999985</v>
      </c>
      <c r="K384">
        <f t="shared" si="48"/>
        <v>1472.5000000000002</v>
      </c>
      <c r="M384">
        <v>0</v>
      </c>
      <c r="N384">
        <v>2.8</v>
      </c>
      <c r="O384">
        <f t="shared" si="44"/>
        <v>-2.8</v>
      </c>
      <c r="W384">
        <v>1421.5</v>
      </c>
      <c r="X384">
        <f t="shared" si="49"/>
        <v>351509.60000000003</v>
      </c>
      <c r="Y384">
        <f t="shared" si="50"/>
        <v>121837.8</v>
      </c>
    </row>
    <row r="385" spans="1:25" x14ac:dyDescent="0.25">
      <c r="A385">
        <v>5320</v>
      </c>
      <c r="B385">
        <v>23210</v>
      </c>
      <c r="C385" s="1">
        <v>42962</v>
      </c>
      <c r="G385">
        <v>22</v>
      </c>
      <c r="H385">
        <v>20.9</v>
      </c>
      <c r="I385">
        <v>23.8</v>
      </c>
      <c r="J385">
        <f t="shared" si="47"/>
        <v>4016.5999999999985</v>
      </c>
      <c r="K385">
        <f t="shared" si="48"/>
        <v>1494.5000000000002</v>
      </c>
      <c r="M385">
        <v>5</v>
      </c>
      <c r="N385">
        <v>3.3</v>
      </c>
      <c r="O385">
        <f t="shared" si="44"/>
        <v>1.7000000000000002</v>
      </c>
      <c r="W385">
        <v>1582.4</v>
      </c>
      <c r="X385">
        <f t="shared" si="49"/>
        <v>353092.00000000006</v>
      </c>
      <c r="Y385">
        <f t="shared" si="50"/>
        <v>123420.2</v>
      </c>
    </row>
    <row r="386" spans="1:25" x14ac:dyDescent="0.25">
      <c r="A386">
        <v>5320</v>
      </c>
      <c r="B386">
        <v>23210</v>
      </c>
      <c r="C386" s="1">
        <v>42963</v>
      </c>
      <c r="G386">
        <v>19.600000000000001</v>
      </c>
      <c r="H386">
        <v>15.9</v>
      </c>
      <c r="I386">
        <v>23.3</v>
      </c>
      <c r="J386">
        <f t="shared" si="47"/>
        <v>4036.1999999999985</v>
      </c>
      <c r="K386">
        <f t="shared" si="48"/>
        <v>1514.1000000000001</v>
      </c>
      <c r="M386">
        <v>0</v>
      </c>
      <c r="N386">
        <v>2</v>
      </c>
      <c r="O386">
        <f t="shared" si="44"/>
        <v>-2</v>
      </c>
      <c r="W386">
        <v>975.2</v>
      </c>
      <c r="X386">
        <f t="shared" si="49"/>
        <v>354067.20000000007</v>
      </c>
      <c r="Y386">
        <f t="shared" si="50"/>
        <v>124395.4</v>
      </c>
    </row>
    <row r="387" spans="1:25" x14ac:dyDescent="0.25">
      <c r="A387">
        <v>5320</v>
      </c>
      <c r="B387">
        <v>23210</v>
      </c>
      <c r="C387" s="1">
        <v>42964</v>
      </c>
      <c r="G387">
        <v>20.2</v>
      </c>
      <c r="H387">
        <v>16.7</v>
      </c>
      <c r="I387">
        <v>23</v>
      </c>
      <c r="J387">
        <f t="shared" si="47"/>
        <v>4056.3999999999983</v>
      </c>
      <c r="K387">
        <f t="shared" si="48"/>
        <v>1534.3000000000002</v>
      </c>
      <c r="M387">
        <v>11.6</v>
      </c>
      <c r="N387">
        <v>1.8</v>
      </c>
      <c r="O387">
        <f t="shared" si="44"/>
        <v>9.7999999999999989</v>
      </c>
      <c r="W387">
        <v>923.2</v>
      </c>
      <c r="X387">
        <f t="shared" si="49"/>
        <v>354990.40000000008</v>
      </c>
      <c r="Y387">
        <f t="shared" si="50"/>
        <v>125318.59999999999</v>
      </c>
    </row>
    <row r="388" spans="1:25" x14ac:dyDescent="0.25">
      <c r="A388">
        <v>5320</v>
      </c>
      <c r="B388">
        <v>23210</v>
      </c>
      <c r="C388" s="1">
        <v>42965</v>
      </c>
      <c r="G388">
        <v>18.2</v>
      </c>
      <c r="H388">
        <v>18.3</v>
      </c>
      <c r="I388">
        <v>20.9</v>
      </c>
      <c r="J388">
        <f t="shared" si="47"/>
        <v>4074.5999999999981</v>
      </c>
      <c r="K388">
        <f t="shared" si="48"/>
        <v>1552.5000000000002</v>
      </c>
      <c r="M388">
        <v>5.2</v>
      </c>
      <c r="N388">
        <v>1.7</v>
      </c>
      <c r="O388">
        <f t="shared" si="44"/>
        <v>3.5</v>
      </c>
      <c r="W388">
        <v>590.5</v>
      </c>
      <c r="X388">
        <f t="shared" si="49"/>
        <v>355580.90000000008</v>
      </c>
      <c r="Y388">
        <f t="shared" si="50"/>
        <v>125909.09999999999</v>
      </c>
    </row>
    <row r="389" spans="1:25" x14ac:dyDescent="0.25">
      <c r="A389">
        <v>5320</v>
      </c>
      <c r="B389">
        <v>23210</v>
      </c>
      <c r="C389" s="1">
        <v>42966</v>
      </c>
      <c r="G389">
        <v>15.6</v>
      </c>
      <c r="H389">
        <v>10.6</v>
      </c>
      <c r="I389">
        <v>19.7</v>
      </c>
      <c r="J389">
        <f t="shared" si="47"/>
        <v>4090.199999999998</v>
      </c>
      <c r="K389">
        <f t="shared" si="48"/>
        <v>1568.1000000000001</v>
      </c>
      <c r="M389">
        <v>0</v>
      </c>
      <c r="N389">
        <v>3</v>
      </c>
      <c r="O389">
        <f t="shared" si="44"/>
        <v>-3</v>
      </c>
      <c r="W389">
        <v>1791.6</v>
      </c>
      <c r="X389">
        <f t="shared" si="49"/>
        <v>357372.50000000006</v>
      </c>
      <c r="Y389">
        <f t="shared" si="50"/>
        <v>127700.7</v>
      </c>
    </row>
    <row r="390" spans="1:25" x14ac:dyDescent="0.25">
      <c r="A390">
        <v>5320</v>
      </c>
      <c r="B390">
        <v>23210</v>
      </c>
      <c r="C390" s="1">
        <v>42967</v>
      </c>
      <c r="G390">
        <v>17.399999999999999</v>
      </c>
      <c r="H390">
        <v>12</v>
      </c>
      <c r="I390">
        <v>21.4</v>
      </c>
      <c r="J390">
        <f t="shared" si="47"/>
        <v>4107.5999999999976</v>
      </c>
      <c r="K390">
        <f t="shared" si="48"/>
        <v>1585.5000000000002</v>
      </c>
      <c r="M390">
        <v>0</v>
      </c>
      <c r="N390">
        <v>3</v>
      </c>
      <c r="O390">
        <f t="shared" ref="O390:O401" si="51">M390-N390</f>
        <v>-3</v>
      </c>
      <c r="W390">
        <v>1652.6</v>
      </c>
      <c r="X390">
        <f t="shared" si="49"/>
        <v>359025.10000000003</v>
      </c>
      <c r="Y390">
        <f t="shared" si="50"/>
        <v>129353.3</v>
      </c>
    </row>
    <row r="391" spans="1:25" x14ac:dyDescent="0.25">
      <c r="A391">
        <v>5320</v>
      </c>
      <c r="B391">
        <v>23210</v>
      </c>
      <c r="C391" s="1">
        <v>42968</v>
      </c>
      <c r="G391">
        <v>21.3</v>
      </c>
      <c r="H391">
        <v>16.100000000000001</v>
      </c>
      <c r="I391">
        <v>26</v>
      </c>
      <c r="J391">
        <f t="shared" si="47"/>
        <v>4128.8999999999978</v>
      </c>
      <c r="K391">
        <f t="shared" si="48"/>
        <v>1606.8000000000002</v>
      </c>
      <c r="M391">
        <v>0</v>
      </c>
      <c r="N391">
        <v>2.9</v>
      </c>
      <c r="O391">
        <f t="shared" si="51"/>
        <v>-2.9</v>
      </c>
      <c r="W391">
        <v>1279.5999999999999</v>
      </c>
      <c r="X391">
        <f t="shared" si="49"/>
        <v>360304.7</v>
      </c>
      <c r="Y391">
        <f t="shared" si="50"/>
        <v>130632.90000000001</v>
      </c>
    </row>
    <row r="392" spans="1:25" x14ac:dyDescent="0.25">
      <c r="A392">
        <v>5320</v>
      </c>
      <c r="B392">
        <v>23210</v>
      </c>
      <c r="C392" s="1">
        <v>42969</v>
      </c>
      <c r="G392">
        <v>22.9</v>
      </c>
      <c r="H392">
        <v>16.600000000000001</v>
      </c>
      <c r="I392">
        <v>28.4</v>
      </c>
      <c r="J392">
        <f t="shared" si="47"/>
        <v>4151.7999999999975</v>
      </c>
      <c r="K392">
        <f t="shared" si="48"/>
        <v>1629.7000000000003</v>
      </c>
      <c r="M392">
        <v>0</v>
      </c>
      <c r="N392">
        <v>3.9</v>
      </c>
      <c r="O392">
        <f t="shared" si="51"/>
        <v>-3.9</v>
      </c>
      <c r="W392">
        <v>1658.2</v>
      </c>
      <c r="X392">
        <f t="shared" si="49"/>
        <v>361962.9</v>
      </c>
      <c r="Y392">
        <f t="shared" si="50"/>
        <v>132291.1</v>
      </c>
    </row>
    <row r="393" spans="1:25" x14ac:dyDescent="0.25">
      <c r="A393">
        <v>5320</v>
      </c>
      <c r="B393">
        <v>23210</v>
      </c>
      <c r="C393" s="1">
        <v>42970</v>
      </c>
      <c r="G393">
        <v>20.100000000000001</v>
      </c>
      <c r="H393">
        <v>18.399999999999999</v>
      </c>
      <c r="I393">
        <v>23.3</v>
      </c>
      <c r="J393">
        <f t="shared" si="47"/>
        <v>4171.8999999999978</v>
      </c>
      <c r="K393">
        <f t="shared" si="48"/>
        <v>1649.8000000000002</v>
      </c>
      <c r="M393">
        <v>0</v>
      </c>
      <c r="N393">
        <v>1.9</v>
      </c>
      <c r="O393">
        <f t="shared" si="51"/>
        <v>-1.9</v>
      </c>
      <c r="W393">
        <v>746.1</v>
      </c>
      <c r="X393">
        <f t="shared" si="49"/>
        <v>362709</v>
      </c>
      <c r="Y393">
        <f t="shared" si="50"/>
        <v>133037.20000000001</v>
      </c>
    </row>
    <row r="394" spans="1:25" x14ac:dyDescent="0.25">
      <c r="A394">
        <v>5320</v>
      </c>
      <c r="B394">
        <v>23210</v>
      </c>
      <c r="C394" s="1">
        <v>42971</v>
      </c>
      <c r="G394">
        <v>20.6</v>
      </c>
      <c r="H394">
        <v>15.6</v>
      </c>
      <c r="I394">
        <v>24.3</v>
      </c>
      <c r="J394">
        <f t="shared" si="47"/>
        <v>4192.4999999999982</v>
      </c>
      <c r="K394">
        <f t="shared" si="48"/>
        <v>1670.4</v>
      </c>
      <c r="M394">
        <v>0</v>
      </c>
      <c r="N394">
        <v>2.9</v>
      </c>
      <c r="O394">
        <f t="shared" si="51"/>
        <v>-2.9</v>
      </c>
      <c r="W394">
        <v>1393.1</v>
      </c>
      <c r="X394">
        <f t="shared" si="49"/>
        <v>364102.1</v>
      </c>
      <c r="Y394">
        <f t="shared" si="50"/>
        <v>134430.30000000002</v>
      </c>
    </row>
    <row r="395" spans="1:25" x14ac:dyDescent="0.25">
      <c r="A395">
        <v>5320</v>
      </c>
      <c r="B395">
        <v>23210</v>
      </c>
      <c r="C395" s="1">
        <v>42972</v>
      </c>
      <c r="G395">
        <v>21.1</v>
      </c>
      <c r="H395">
        <v>17.7</v>
      </c>
      <c r="I395">
        <v>24.6</v>
      </c>
      <c r="J395">
        <f t="shared" si="47"/>
        <v>4213.5999999999985</v>
      </c>
      <c r="K395">
        <f t="shared" si="48"/>
        <v>1691.5</v>
      </c>
      <c r="M395">
        <v>4.8</v>
      </c>
      <c r="N395">
        <v>2.4</v>
      </c>
      <c r="O395">
        <f t="shared" si="51"/>
        <v>2.4</v>
      </c>
      <c r="W395">
        <v>1178</v>
      </c>
      <c r="X395">
        <f t="shared" si="49"/>
        <v>365280.1</v>
      </c>
      <c r="Y395">
        <f t="shared" si="50"/>
        <v>135608.30000000002</v>
      </c>
    </row>
    <row r="396" spans="1:25" x14ac:dyDescent="0.25">
      <c r="A396">
        <v>5320</v>
      </c>
      <c r="B396">
        <v>23210</v>
      </c>
      <c r="C396" s="1">
        <v>42973</v>
      </c>
      <c r="G396">
        <v>21.9</v>
      </c>
      <c r="H396">
        <v>15.1</v>
      </c>
      <c r="I396">
        <v>27.3</v>
      </c>
      <c r="J396">
        <f t="shared" si="47"/>
        <v>4235.4999999999982</v>
      </c>
      <c r="K396">
        <f t="shared" si="48"/>
        <v>1713.4</v>
      </c>
      <c r="M396">
        <v>0</v>
      </c>
      <c r="N396">
        <v>3.4</v>
      </c>
      <c r="O396">
        <f t="shared" si="51"/>
        <v>-3.4</v>
      </c>
      <c r="W396">
        <v>1876.4</v>
      </c>
      <c r="X396">
        <f t="shared" si="49"/>
        <v>367156.5</v>
      </c>
      <c r="Y396">
        <f t="shared" si="50"/>
        <v>137484.70000000001</v>
      </c>
    </row>
    <row r="397" spans="1:25" x14ac:dyDescent="0.25">
      <c r="A397">
        <v>5320</v>
      </c>
      <c r="B397">
        <v>23210</v>
      </c>
      <c r="C397" s="1">
        <v>42974</v>
      </c>
      <c r="G397">
        <v>24.4</v>
      </c>
      <c r="H397">
        <v>19</v>
      </c>
      <c r="I397">
        <v>29.5</v>
      </c>
      <c r="J397">
        <f t="shared" si="47"/>
        <v>4259.8999999999978</v>
      </c>
      <c r="K397">
        <f t="shared" si="48"/>
        <v>1737.8000000000002</v>
      </c>
      <c r="M397">
        <v>0</v>
      </c>
      <c r="N397">
        <v>4</v>
      </c>
      <c r="O397">
        <f t="shared" si="51"/>
        <v>-4</v>
      </c>
      <c r="W397">
        <v>1850.5</v>
      </c>
      <c r="X397">
        <f t="shared" si="49"/>
        <v>369007</v>
      </c>
      <c r="Y397">
        <f t="shared" si="50"/>
        <v>139335.20000000001</v>
      </c>
    </row>
    <row r="398" spans="1:25" x14ac:dyDescent="0.25">
      <c r="A398">
        <v>5320</v>
      </c>
      <c r="B398">
        <v>23210</v>
      </c>
      <c r="C398" s="1">
        <v>42975</v>
      </c>
      <c r="G398">
        <v>25</v>
      </c>
      <c r="H398">
        <v>19.2</v>
      </c>
      <c r="I398">
        <v>30.2</v>
      </c>
      <c r="J398">
        <f t="shared" si="47"/>
        <v>4284.8999999999978</v>
      </c>
      <c r="K398">
        <f t="shared" si="48"/>
        <v>1762.8000000000002</v>
      </c>
      <c r="M398">
        <v>0</v>
      </c>
      <c r="N398">
        <v>3.2</v>
      </c>
      <c r="O398">
        <f t="shared" si="51"/>
        <v>-3.2</v>
      </c>
      <c r="W398">
        <v>1170.3</v>
      </c>
      <c r="X398">
        <f t="shared" si="49"/>
        <v>370177.3</v>
      </c>
      <c r="Y398">
        <f t="shared" si="50"/>
        <v>140505.5</v>
      </c>
    </row>
    <row r="399" spans="1:25" x14ac:dyDescent="0.25">
      <c r="A399">
        <v>5320</v>
      </c>
      <c r="B399">
        <v>23210</v>
      </c>
      <c r="C399" s="1">
        <v>42976</v>
      </c>
      <c r="G399">
        <v>26.4</v>
      </c>
      <c r="H399">
        <v>19.3</v>
      </c>
      <c r="I399">
        <v>33.1</v>
      </c>
      <c r="J399">
        <f t="shared" si="47"/>
        <v>4311.2999999999975</v>
      </c>
      <c r="K399">
        <f t="shared" si="48"/>
        <v>1789.2000000000003</v>
      </c>
      <c r="M399">
        <v>0</v>
      </c>
      <c r="N399">
        <v>5</v>
      </c>
      <c r="O399">
        <f t="shared" si="51"/>
        <v>-5</v>
      </c>
      <c r="W399">
        <v>1821.8</v>
      </c>
      <c r="X399">
        <f t="shared" si="49"/>
        <v>371999.1</v>
      </c>
      <c r="Y399">
        <f t="shared" si="50"/>
        <v>142327.29999999999</v>
      </c>
    </row>
    <row r="400" spans="1:25" x14ac:dyDescent="0.25">
      <c r="A400">
        <v>5320</v>
      </c>
      <c r="B400">
        <v>23210</v>
      </c>
      <c r="C400" s="1">
        <v>42977</v>
      </c>
      <c r="G400">
        <v>18.2</v>
      </c>
      <c r="H400">
        <v>16.2</v>
      </c>
      <c r="I400">
        <v>22.1</v>
      </c>
      <c r="J400">
        <f t="shared" si="47"/>
        <v>4329.4999999999973</v>
      </c>
      <c r="K400">
        <f t="shared" si="48"/>
        <v>1807.4000000000003</v>
      </c>
      <c r="M400">
        <v>5.3</v>
      </c>
      <c r="N400">
        <v>1.6</v>
      </c>
      <c r="O400">
        <f t="shared" si="51"/>
        <v>3.6999999999999997</v>
      </c>
      <c r="W400">
        <v>652.9</v>
      </c>
      <c r="X400">
        <f t="shared" si="49"/>
        <v>372652</v>
      </c>
      <c r="Y400">
        <f t="shared" si="50"/>
        <v>142980.19999999998</v>
      </c>
    </row>
    <row r="401" spans="1:25" x14ac:dyDescent="0.25">
      <c r="A401">
        <v>5320</v>
      </c>
      <c r="B401">
        <v>23210</v>
      </c>
      <c r="C401" s="1">
        <v>42978</v>
      </c>
      <c r="G401">
        <v>15.3</v>
      </c>
      <c r="H401">
        <v>9.6</v>
      </c>
      <c r="I401">
        <v>19.399999999999999</v>
      </c>
      <c r="J401">
        <f t="shared" si="47"/>
        <v>4344.7999999999975</v>
      </c>
      <c r="K401">
        <f t="shared" si="48"/>
        <v>1822.7000000000003</v>
      </c>
      <c r="M401">
        <v>0</v>
      </c>
      <c r="N401">
        <v>2.8</v>
      </c>
      <c r="O401">
        <f t="shared" si="51"/>
        <v>-2.8</v>
      </c>
      <c r="W401">
        <v>1702.2</v>
      </c>
      <c r="X401">
        <f t="shared" si="49"/>
        <v>374354.2</v>
      </c>
      <c r="Y401">
        <f t="shared" si="50"/>
        <v>144682.4</v>
      </c>
    </row>
  </sheetData>
  <mergeCells count="12">
    <mergeCell ref="G2:L2"/>
    <mergeCell ref="M2:V2"/>
    <mergeCell ref="W2:AA2"/>
    <mergeCell ref="D358:F358"/>
    <mergeCell ref="D37:F37"/>
    <mergeCell ref="F38:F124"/>
    <mergeCell ref="F125:F184"/>
    <mergeCell ref="F185:F242"/>
    <mergeCell ref="F243:F263"/>
    <mergeCell ref="F264:F293"/>
    <mergeCell ref="F294:F310"/>
    <mergeCell ref="F311:F330"/>
  </mergeCells>
  <conditionalFormatting sqref="G3:I1048576 G2">
    <cfRule type="cellIs" dxfId="49" priority="21" operator="greaterThanOrEqual">
      <formula>25</formula>
    </cfRule>
    <cfRule type="cellIs" dxfId="48" priority="24" operator="between">
      <formula>5</formula>
      <formula>0</formula>
    </cfRule>
    <cfRule type="cellIs" dxfId="47" priority="25" operator="lessThan">
      <formula>0</formula>
    </cfRule>
  </conditionalFormatting>
  <conditionalFormatting sqref="O3:O1048576">
    <cfRule type="cellIs" dxfId="46" priority="23" operator="lessThan">
      <formula>0</formula>
    </cfRule>
  </conditionalFormatting>
  <conditionalFormatting sqref="W1:W1048576">
    <cfRule type="cellIs" dxfId="45" priority="22" operator="lessThan">
      <formula>900</formula>
    </cfRule>
  </conditionalFormatting>
  <conditionalFormatting sqref="T1:T1048576">
    <cfRule type="cellIs" dxfId="44" priority="20" operator="lessThan">
      <formula>0</formula>
    </cfRule>
  </conditionalFormatting>
  <conditionalFormatting sqref="U1:U1048576">
    <cfRule type="cellIs" dxfId="43" priority="18" operator="equal">
      <formula>0</formula>
    </cfRule>
    <cfRule type="cellIs" dxfId="42" priority="19" operator="lessThanOrEqual">
      <formula>46.3</formula>
    </cfRule>
  </conditionalFormatting>
  <conditionalFormatting sqref="L38 L46 L50 L48">
    <cfRule type="cellIs" dxfId="41" priority="16" operator="lessThanOrEqual">
      <formula>0</formula>
    </cfRule>
    <cfRule type="cellIs" dxfId="40" priority="17" operator="lessThanOrEqual">
      <formula>5</formula>
    </cfRule>
  </conditionalFormatting>
  <conditionalFormatting sqref="V38">
    <cfRule type="cellIs" dxfId="39" priority="14" operator="equal">
      <formula>0</formula>
    </cfRule>
    <cfRule type="cellIs" dxfId="38" priority="15" operator="lessThanOrEqual">
      <formula>63.2</formula>
    </cfRule>
  </conditionalFormatting>
  <conditionalFormatting sqref="L126 L134 L138 L136">
    <cfRule type="cellIs" dxfId="37" priority="12" operator="lessThanOrEqual">
      <formula>0</formula>
    </cfRule>
    <cfRule type="cellIs" dxfId="36" priority="13" operator="lessThanOrEqual">
      <formula>5</formula>
    </cfRule>
  </conditionalFormatting>
  <conditionalFormatting sqref="L186 L194 L198 L196">
    <cfRule type="cellIs" dxfId="35" priority="10" operator="lessThanOrEqual">
      <formula>0</formula>
    </cfRule>
    <cfRule type="cellIs" dxfId="34" priority="11" operator="lessThanOrEqual">
      <formula>5</formula>
    </cfRule>
  </conditionalFormatting>
  <conditionalFormatting sqref="L244 L256 L254 L252">
    <cfRule type="cellIs" dxfId="33" priority="8" operator="lessThanOrEqual">
      <formula>0</formula>
    </cfRule>
    <cfRule type="cellIs" dxfId="32" priority="9" operator="lessThanOrEqual">
      <formula>5</formula>
    </cfRule>
  </conditionalFormatting>
  <conditionalFormatting sqref="L265 L273 L275 L277">
    <cfRule type="cellIs" dxfId="31" priority="6" operator="lessThanOrEqual">
      <formula>0</formula>
    </cfRule>
    <cfRule type="cellIs" dxfId="30" priority="7" operator="lessThanOrEqual">
      <formula>5</formula>
    </cfRule>
  </conditionalFormatting>
  <conditionalFormatting sqref="L295 L305">
    <cfRule type="cellIs" dxfId="29" priority="4" operator="lessThanOrEqual">
      <formula>0</formula>
    </cfRule>
    <cfRule type="cellIs" dxfId="28" priority="5" operator="lessThanOrEqual">
      <formula>5</formula>
    </cfRule>
  </conditionalFormatting>
  <conditionalFormatting sqref="L312 L322">
    <cfRule type="cellIs" dxfId="27" priority="2" operator="lessThanOrEqual">
      <formula>0</formula>
    </cfRule>
    <cfRule type="cellIs" dxfId="26" priority="3" operator="lessThanOrEqual">
      <formula>5</formula>
    </cfRule>
  </conditionalFormatting>
  <conditionalFormatting sqref="Z37:Z358">
    <cfRule type="cellIs" dxfId="25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zoomScale="80" zoomScaleNormal="80" workbookViewId="0">
      <pane xSplit="6" ySplit="3" topLeftCell="I187" activePane="bottomRight" state="frozen"/>
      <selection pane="topRight" activeCell="G1" sqref="G1"/>
      <selection pane="bottomLeft" activeCell="A4" sqref="A4"/>
      <selection pane="bottomRight" activeCell="AD226" sqref="AD226"/>
    </sheetView>
  </sheetViews>
  <sheetFormatPr baseColWidth="10" defaultRowHeight="15" x14ac:dyDescent="0.25"/>
  <sheetData>
    <row r="1" spans="1:27" s="2" customFormat="1" x14ac:dyDescent="0.25">
      <c r="M1" s="2" t="s">
        <v>29</v>
      </c>
      <c r="N1" s="2">
        <v>138.9</v>
      </c>
      <c r="O1" s="3" t="s">
        <v>30</v>
      </c>
      <c r="P1" s="2">
        <f>N1/3</f>
        <v>46.300000000000004</v>
      </c>
    </row>
    <row r="2" spans="1:27" s="2" customFormat="1" x14ac:dyDescent="0.25">
      <c r="G2" s="52" t="s">
        <v>26</v>
      </c>
      <c r="H2" s="52"/>
      <c r="I2" s="52"/>
      <c r="J2" s="52"/>
      <c r="K2" s="52"/>
      <c r="L2" s="52"/>
      <c r="M2" s="52" t="s">
        <v>27</v>
      </c>
      <c r="N2" s="52"/>
      <c r="O2" s="52"/>
      <c r="P2" s="52"/>
      <c r="Q2" s="52"/>
      <c r="R2" s="52"/>
      <c r="S2" s="52"/>
      <c r="T2" s="52"/>
      <c r="U2" s="52"/>
      <c r="V2" s="52"/>
      <c r="W2" s="52" t="s">
        <v>28</v>
      </c>
      <c r="X2" s="52"/>
      <c r="Y2" s="52"/>
      <c r="Z2" s="52"/>
      <c r="AA2" s="52"/>
    </row>
    <row r="3" spans="1:27" s="2" customFormat="1" x14ac:dyDescent="0.2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4</v>
      </c>
      <c r="H3" s="2" t="s">
        <v>7</v>
      </c>
      <c r="I3" s="2" t="s">
        <v>8</v>
      </c>
      <c r="J3" s="2" t="s">
        <v>12</v>
      </c>
      <c r="K3" s="2" t="s">
        <v>13</v>
      </c>
      <c r="L3" s="2" t="s">
        <v>14</v>
      </c>
      <c r="M3" s="2" t="s">
        <v>3</v>
      </c>
      <c r="N3" s="2" t="s">
        <v>6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14</v>
      </c>
      <c r="W3" s="2" t="s">
        <v>5</v>
      </c>
      <c r="X3" s="2" t="s">
        <v>22</v>
      </c>
      <c r="Y3" s="2" t="s">
        <v>23</v>
      </c>
      <c r="Z3" s="2" t="s">
        <v>24</v>
      </c>
      <c r="AA3" s="2" t="s">
        <v>25</v>
      </c>
    </row>
    <row r="4" spans="1:27" x14ac:dyDescent="0.25">
      <c r="A4">
        <v>5320</v>
      </c>
      <c r="B4">
        <v>23210</v>
      </c>
      <c r="C4" s="1">
        <v>42582</v>
      </c>
      <c r="G4">
        <v>20.2</v>
      </c>
      <c r="H4">
        <v>15.7</v>
      </c>
      <c r="I4">
        <v>25.1</v>
      </c>
      <c r="M4">
        <v>0</v>
      </c>
      <c r="N4">
        <v>4.0999999999999996</v>
      </c>
      <c r="O4">
        <f>M4-N4</f>
        <v>-4.0999999999999996</v>
      </c>
      <c r="P4">
        <v>0</v>
      </c>
      <c r="W4">
        <v>1786.2</v>
      </c>
    </row>
    <row r="5" spans="1:27" x14ac:dyDescent="0.25">
      <c r="A5">
        <v>5320</v>
      </c>
      <c r="B5">
        <v>23210</v>
      </c>
      <c r="C5" s="1">
        <v>42583</v>
      </c>
      <c r="G5">
        <v>19.5</v>
      </c>
      <c r="H5">
        <v>14.4</v>
      </c>
      <c r="I5">
        <v>23.7</v>
      </c>
      <c r="M5">
        <v>0</v>
      </c>
      <c r="N5">
        <v>4.3</v>
      </c>
      <c r="O5">
        <f t="shared" ref="O5:O68" si="0">M5-N5</f>
        <v>-4.3</v>
      </c>
      <c r="P5">
        <v>0</v>
      </c>
      <c r="W5">
        <v>1923</v>
      </c>
    </row>
    <row r="6" spans="1:27" x14ac:dyDescent="0.25">
      <c r="A6">
        <v>5320</v>
      </c>
      <c r="B6">
        <v>23210</v>
      </c>
      <c r="C6" s="1">
        <v>42584</v>
      </c>
      <c r="G6">
        <v>20.399999999999999</v>
      </c>
      <c r="H6">
        <v>17.399999999999999</v>
      </c>
      <c r="I6">
        <v>24.1</v>
      </c>
      <c r="M6">
        <v>0</v>
      </c>
      <c r="N6">
        <v>3.2</v>
      </c>
      <c r="O6">
        <f t="shared" si="0"/>
        <v>-3.2</v>
      </c>
      <c r="P6">
        <v>0</v>
      </c>
      <c r="W6">
        <v>881.4</v>
      </c>
    </row>
    <row r="7" spans="1:27" x14ac:dyDescent="0.25">
      <c r="A7">
        <v>5320</v>
      </c>
      <c r="B7">
        <v>23210</v>
      </c>
      <c r="C7" s="1">
        <v>42585</v>
      </c>
      <c r="G7">
        <v>20.9</v>
      </c>
      <c r="H7">
        <v>16.8</v>
      </c>
      <c r="I7">
        <v>26.3</v>
      </c>
      <c r="M7">
        <v>0</v>
      </c>
      <c r="N7">
        <v>4.5</v>
      </c>
      <c r="O7">
        <f t="shared" si="0"/>
        <v>-4.5</v>
      </c>
      <c r="P7">
        <v>0</v>
      </c>
      <c r="W7">
        <v>1674.1</v>
      </c>
    </row>
    <row r="8" spans="1:27" x14ac:dyDescent="0.25">
      <c r="A8">
        <v>5320</v>
      </c>
      <c r="B8">
        <v>23210</v>
      </c>
      <c r="C8" s="1">
        <v>42586</v>
      </c>
      <c r="G8">
        <v>17.2</v>
      </c>
      <c r="H8">
        <v>17</v>
      </c>
      <c r="I8">
        <v>18.899999999999999</v>
      </c>
      <c r="M8">
        <v>5.4</v>
      </c>
      <c r="N8">
        <v>2</v>
      </c>
      <c r="O8">
        <f t="shared" si="0"/>
        <v>3.4000000000000004</v>
      </c>
      <c r="P8">
        <v>3.4</v>
      </c>
      <c r="W8">
        <v>1490.6</v>
      </c>
    </row>
    <row r="9" spans="1:27" x14ac:dyDescent="0.25">
      <c r="A9">
        <v>5320</v>
      </c>
      <c r="B9">
        <v>23210</v>
      </c>
      <c r="C9" s="1">
        <v>42587</v>
      </c>
      <c r="G9">
        <v>17.100000000000001</v>
      </c>
      <c r="H9">
        <v>12.8</v>
      </c>
      <c r="I9">
        <v>22.1</v>
      </c>
      <c r="M9">
        <v>0</v>
      </c>
      <c r="N9">
        <v>2.9</v>
      </c>
      <c r="O9">
        <f t="shared" si="0"/>
        <v>-2.9</v>
      </c>
      <c r="P9">
        <f>P8+O9</f>
        <v>0.5</v>
      </c>
      <c r="W9">
        <v>1362.4</v>
      </c>
    </row>
    <row r="10" spans="1:27" x14ac:dyDescent="0.25">
      <c r="A10">
        <v>5320</v>
      </c>
      <c r="B10">
        <v>23210</v>
      </c>
      <c r="C10" s="1">
        <v>42588</v>
      </c>
      <c r="G10">
        <v>18</v>
      </c>
      <c r="H10">
        <v>10.8</v>
      </c>
      <c r="I10">
        <v>24.4</v>
      </c>
      <c r="M10">
        <v>0</v>
      </c>
      <c r="N10">
        <v>3.9</v>
      </c>
      <c r="O10">
        <f t="shared" si="0"/>
        <v>-3.9</v>
      </c>
      <c r="P10">
        <v>0</v>
      </c>
      <c r="W10">
        <v>2003.1</v>
      </c>
    </row>
    <row r="11" spans="1:27" x14ac:dyDescent="0.25">
      <c r="A11">
        <v>5320</v>
      </c>
      <c r="B11">
        <v>23210</v>
      </c>
      <c r="C11" s="1">
        <v>42589</v>
      </c>
      <c r="G11">
        <v>21.5</v>
      </c>
      <c r="H11">
        <v>13.7</v>
      </c>
      <c r="I11">
        <v>27.9</v>
      </c>
      <c r="M11">
        <v>0</v>
      </c>
      <c r="N11">
        <v>5.7</v>
      </c>
      <c r="O11">
        <f t="shared" si="0"/>
        <v>-5.7</v>
      </c>
      <c r="P11">
        <v>0</v>
      </c>
      <c r="W11">
        <v>2790.4</v>
      </c>
    </row>
    <row r="12" spans="1:27" x14ac:dyDescent="0.25">
      <c r="A12">
        <v>5320</v>
      </c>
      <c r="B12">
        <v>23210</v>
      </c>
      <c r="C12" s="1">
        <v>42590</v>
      </c>
      <c r="G12">
        <v>19.600000000000001</v>
      </c>
      <c r="H12">
        <v>17.399999999999999</v>
      </c>
      <c r="I12">
        <v>23</v>
      </c>
      <c r="M12">
        <v>0</v>
      </c>
      <c r="N12">
        <v>3.8</v>
      </c>
      <c r="O12">
        <f t="shared" si="0"/>
        <v>-3.8</v>
      </c>
      <c r="P12">
        <v>0</v>
      </c>
      <c r="W12">
        <v>1425</v>
      </c>
    </row>
    <row r="13" spans="1:27" x14ac:dyDescent="0.25">
      <c r="A13">
        <v>5320</v>
      </c>
      <c r="B13">
        <v>23210</v>
      </c>
      <c r="C13" s="1">
        <v>42591</v>
      </c>
      <c r="G13">
        <v>17</v>
      </c>
      <c r="H13">
        <v>12.3</v>
      </c>
      <c r="I13">
        <v>21.4</v>
      </c>
      <c r="M13">
        <v>0</v>
      </c>
      <c r="N13">
        <v>2.9</v>
      </c>
      <c r="O13">
        <f t="shared" si="0"/>
        <v>-2.9</v>
      </c>
      <c r="P13">
        <v>0</v>
      </c>
      <c r="W13">
        <v>1241.2</v>
      </c>
    </row>
    <row r="14" spans="1:27" x14ac:dyDescent="0.25">
      <c r="A14">
        <v>5320</v>
      </c>
      <c r="B14">
        <v>23210</v>
      </c>
      <c r="C14" s="1">
        <v>42592</v>
      </c>
      <c r="G14">
        <v>14.1</v>
      </c>
      <c r="H14">
        <v>9.4</v>
      </c>
      <c r="I14">
        <v>19.399999999999999</v>
      </c>
      <c r="M14">
        <v>0</v>
      </c>
      <c r="N14">
        <v>2.5</v>
      </c>
      <c r="O14">
        <f t="shared" si="0"/>
        <v>-2.5</v>
      </c>
      <c r="P14">
        <v>0</v>
      </c>
      <c r="W14">
        <v>1279.5999999999999</v>
      </c>
    </row>
    <row r="15" spans="1:27" x14ac:dyDescent="0.25">
      <c r="A15">
        <v>5320</v>
      </c>
      <c r="B15">
        <v>23210</v>
      </c>
      <c r="C15" s="1">
        <v>42593</v>
      </c>
      <c r="G15">
        <v>15.3</v>
      </c>
      <c r="H15">
        <v>7.8</v>
      </c>
      <c r="I15">
        <v>22</v>
      </c>
      <c r="M15">
        <v>0</v>
      </c>
      <c r="N15">
        <v>3.1</v>
      </c>
      <c r="O15">
        <f t="shared" si="0"/>
        <v>-3.1</v>
      </c>
      <c r="P15">
        <v>0</v>
      </c>
      <c r="W15">
        <v>1613.5</v>
      </c>
    </row>
    <row r="16" spans="1:27" x14ac:dyDescent="0.25">
      <c r="A16">
        <v>5320</v>
      </c>
      <c r="B16">
        <v>23210</v>
      </c>
      <c r="C16" s="1">
        <v>42594</v>
      </c>
      <c r="G16">
        <v>19</v>
      </c>
      <c r="H16">
        <v>11.5</v>
      </c>
      <c r="I16">
        <v>26.6</v>
      </c>
      <c r="M16">
        <v>0</v>
      </c>
      <c r="N16">
        <v>5.6</v>
      </c>
      <c r="O16">
        <f t="shared" si="0"/>
        <v>-5.6</v>
      </c>
      <c r="P16">
        <v>0</v>
      </c>
      <c r="W16">
        <v>2760.5</v>
      </c>
    </row>
    <row r="17" spans="1:23" x14ac:dyDescent="0.25">
      <c r="A17">
        <v>5320</v>
      </c>
      <c r="B17">
        <v>23210</v>
      </c>
      <c r="C17" s="1">
        <v>42595</v>
      </c>
      <c r="G17">
        <v>21.5</v>
      </c>
      <c r="H17">
        <v>12.8</v>
      </c>
      <c r="I17">
        <v>28.8</v>
      </c>
      <c r="M17">
        <v>0</v>
      </c>
      <c r="N17">
        <v>5.8</v>
      </c>
      <c r="O17">
        <f t="shared" si="0"/>
        <v>-5.8</v>
      </c>
      <c r="P17">
        <v>0</v>
      </c>
      <c r="W17">
        <v>2682.2</v>
      </c>
    </row>
    <row r="18" spans="1:23" x14ac:dyDescent="0.25">
      <c r="A18">
        <v>5320</v>
      </c>
      <c r="B18">
        <v>23210</v>
      </c>
      <c r="C18" s="1">
        <v>42596</v>
      </c>
      <c r="G18">
        <v>22.6</v>
      </c>
      <c r="H18">
        <v>15.3</v>
      </c>
      <c r="I18">
        <v>28.5</v>
      </c>
      <c r="M18">
        <v>0</v>
      </c>
      <c r="N18">
        <v>5.8</v>
      </c>
      <c r="O18">
        <f t="shared" si="0"/>
        <v>-5.8</v>
      </c>
      <c r="P18">
        <v>0</v>
      </c>
      <c r="W18">
        <v>2267.1999999999998</v>
      </c>
    </row>
    <row r="19" spans="1:23" x14ac:dyDescent="0.25">
      <c r="A19">
        <v>5320</v>
      </c>
      <c r="B19">
        <v>23210</v>
      </c>
      <c r="C19" s="1">
        <v>42597</v>
      </c>
      <c r="G19">
        <v>22.6</v>
      </c>
      <c r="H19">
        <v>15.7</v>
      </c>
      <c r="I19">
        <v>28.4</v>
      </c>
      <c r="M19">
        <v>0</v>
      </c>
      <c r="N19">
        <v>6.3</v>
      </c>
      <c r="O19">
        <f t="shared" si="0"/>
        <v>-6.3</v>
      </c>
      <c r="P19">
        <v>0</v>
      </c>
      <c r="W19">
        <v>2714.8</v>
      </c>
    </row>
    <row r="20" spans="1:23" x14ac:dyDescent="0.25">
      <c r="A20">
        <v>5320</v>
      </c>
      <c r="B20">
        <v>23210</v>
      </c>
      <c r="C20" s="1">
        <v>42598</v>
      </c>
      <c r="G20">
        <v>23.1</v>
      </c>
      <c r="H20">
        <v>15.8</v>
      </c>
      <c r="I20">
        <v>29.6</v>
      </c>
      <c r="M20">
        <v>0</v>
      </c>
      <c r="N20">
        <v>6.2</v>
      </c>
      <c r="O20">
        <f t="shared" si="0"/>
        <v>-6.2</v>
      </c>
      <c r="P20">
        <v>0</v>
      </c>
      <c r="W20">
        <v>2741.7</v>
      </c>
    </row>
    <row r="21" spans="1:23" x14ac:dyDescent="0.25">
      <c r="A21">
        <v>5320</v>
      </c>
      <c r="B21">
        <v>23210</v>
      </c>
      <c r="C21" s="1">
        <v>42599</v>
      </c>
      <c r="G21">
        <v>23.7</v>
      </c>
      <c r="H21">
        <v>15.1</v>
      </c>
      <c r="I21">
        <v>31</v>
      </c>
      <c r="M21">
        <v>3.5</v>
      </c>
      <c r="N21">
        <v>5.3</v>
      </c>
      <c r="O21">
        <f t="shared" si="0"/>
        <v>-1.7999999999999998</v>
      </c>
      <c r="P21">
        <v>0</v>
      </c>
      <c r="W21">
        <v>2259.1999999999998</v>
      </c>
    </row>
    <row r="22" spans="1:23" x14ac:dyDescent="0.25">
      <c r="A22">
        <v>5320</v>
      </c>
      <c r="B22">
        <v>23210</v>
      </c>
      <c r="C22" s="1">
        <v>42600</v>
      </c>
      <c r="G22">
        <v>19.600000000000001</v>
      </c>
      <c r="H22">
        <v>18.600000000000001</v>
      </c>
      <c r="I22">
        <v>22.2</v>
      </c>
      <c r="M22">
        <v>1.2</v>
      </c>
      <c r="N22">
        <v>2.1</v>
      </c>
      <c r="O22">
        <f t="shared" si="0"/>
        <v>-0.90000000000000013</v>
      </c>
      <c r="P22">
        <v>0</v>
      </c>
      <c r="W22">
        <v>586.20000000000005</v>
      </c>
    </row>
    <row r="23" spans="1:23" x14ac:dyDescent="0.25">
      <c r="A23">
        <v>5320</v>
      </c>
      <c r="B23">
        <v>23210</v>
      </c>
      <c r="C23" s="1">
        <v>42601</v>
      </c>
      <c r="G23">
        <v>16.600000000000001</v>
      </c>
      <c r="H23">
        <v>13.3</v>
      </c>
      <c r="I23">
        <v>20.7</v>
      </c>
      <c r="M23">
        <v>1.2</v>
      </c>
      <c r="N23">
        <v>1.9</v>
      </c>
      <c r="O23">
        <f t="shared" si="0"/>
        <v>-0.7</v>
      </c>
      <c r="P23">
        <v>0</v>
      </c>
      <c r="W23">
        <v>1158.5</v>
      </c>
    </row>
    <row r="24" spans="1:23" x14ac:dyDescent="0.25">
      <c r="A24">
        <v>5320</v>
      </c>
      <c r="B24">
        <v>23210</v>
      </c>
      <c r="C24" s="1">
        <v>42602</v>
      </c>
      <c r="G24">
        <v>18.5</v>
      </c>
      <c r="H24">
        <v>14.5</v>
      </c>
      <c r="I24">
        <v>23.5</v>
      </c>
      <c r="M24">
        <v>0</v>
      </c>
      <c r="N24">
        <v>4.0999999999999996</v>
      </c>
      <c r="O24">
        <f t="shared" si="0"/>
        <v>-4.0999999999999996</v>
      </c>
      <c r="P24">
        <v>0</v>
      </c>
      <c r="W24">
        <v>1328.6</v>
      </c>
    </row>
    <row r="25" spans="1:23" x14ac:dyDescent="0.25">
      <c r="A25">
        <v>5320</v>
      </c>
      <c r="B25">
        <v>23210</v>
      </c>
      <c r="C25" s="1">
        <v>42603</v>
      </c>
      <c r="G25">
        <v>17.100000000000001</v>
      </c>
      <c r="H25">
        <v>12.3</v>
      </c>
      <c r="I25">
        <v>21.7</v>
      </c>
      <c r="M25">
        <v>0</v>
      </c>
      <c r="N25">
        <v>3.5</v>
      </c>
      <c r="O25">
        <f t="shared" si="0"/>
        <v>-3.5</v>
      </c>
      <c r="P25">
        <v>0</v>
      </c>
      <c r="W25">
        <v>1228.8</v>
      </c>
    </row>
    <row r="26" spans="1:23" x14ac:dyDescent="0.25">
      <c r="A26">
        <v>5320</v>
      </c>
      <c r="B26">
        <v>23210</v>
      </c>
      <c r="C26" s="1">
        <v>42604</v>
      </c>
      <c r="G26">
        <v>20.3</v>
      </c>
      <c r="H26">
        <v>12</v>
      </c>
      <c r="I26">
        <v>26.9</v>
      </c>
      <c r="M26">
        <v>0</v>
      </c>
      <c r="N26">
        <v>5.2</v>
      </c>
      <c r="O26">
        <f t="shared" si="0"/>
        <v>-5.2</v>
      </c>
      <c r="P26">
        <v>0</v>
      </c>
      <c r="W26">
        <v>2494.3000000000002</v>
      </c>
    </row>
    <row r="27" spans="1:23" x14ac:dyDescent="0.25">
      <c r="A27">
        <v>5320</v>
      </c>
      <c r="B27">
        <v>23210</v>
      </c>
      <c r="C27" s="1">
        <v>42605</v>
      </c>
      <c r="G27">
        <v>24.3</v>
      </c>
      <c r="H27">
        <v>16.7</v>
      </c>
      <c r="I27">
        <v>32.1</v>
      </c>
      <c r="M27">
        <v>0</v>
      </c>
      <c r="N27">
        <v>7.1</v>
      </c>
      <c r="O27">
        <f t="shared" si="0"/>
        <v>-7.1</v>
      </c>
      <c r="P27">
        <v>0</v>
      </c>
      <c r="W27">
        <v>2574.1999999999998</v>
      </c>
    </row>
    <row r="28" spans="1:23" x14ac:dyDescent="0.25">
      <c r="A28">
        <v>5320</v>
      </c>
      <c r="B28">
        <v>23210</v>
      </c>
      <c r="C28" s="1">
        <v>42606</v>
      </c>
      <c r="G28">
        <v>26.7</v>
      </c>
      <c r="H28">
        <v>18.100000000000001</v>
      </c>
      <c r="I28">
        <v>34.799999999999997</v>
      </c>
      <c r="M28">
        <v>0</v>
      </c>
      <c r="N28">
        <v>6.4</v>
      </c>
      <c r="O28">
        <f t="shared" si="0"/>
        <v>-6.4</v>
      </c>
      <c r="P28">
        <v>0</v>
      </c>
      <c r="W28">
        <v>2555.4</v>
      </c>
    </row>
    <row r="29" spans="1:23" x14ac:dyDescent="0.25">
      <c r="A29">
        <v>5320</v>
      </c>
      <c r="B29">
        <v>23210</v>
      </c>
      <c r="C29" s="1">
        <v>42607</v>
      </c>
      <c r="G29">
        <v>25.6</v>
      </c>
      <c r="H29">
        <v>17.399999999999999</v>
      </c>
      <c r="I29">
        <v>33.5</v>
      </c>
      <c r="M29">
        <v>0</v>
      </c>
      <c r="N29">
        <v>6.1</v>
      </c>
      <c r="O29">
        <f t="shared" si="0"/>
        <v>-6.1</v>
      </c>
      <c r="P29">
        <v>0</v>
      </c>
      <c r="W29">
        <v>2481.1999999999998</v>
      </c>
    </row>
    <row r="30" spans="1:23" x14ac:dyDescent="0.25">
      <c r="A30">
        <v>5320</v>
      </c>
      <c r="B30">
        <v>23210</v>
      </c>
      <c r="C30" s="1">
        <v>42608</v>
      </c>
      <c r="G30">
        <v>25.8</v>
      </c>
      <c r="H30">
        <v>18.899999999999999</v>
      </c>
      <c r="I30">
        <v>33.200000000000003</v>
      </c>
      <c r="M30">
        <v>0</v>
      </c>
      <c r="N30">
        <v>4.9000000000000004</v>
      </c>
      <c r="O30">
        <f t="shared" si="0"/>
        <v>-4.9000000000000004</v>
      </c>
      <c r="P30">
        <v>0</v>
      </c>
      <c r="W30">
        <v>2067</v>
      </c>
    </row>
    <row r="31" spans="1:23" x14ac:dyDescent="0.25">
      <c r="A31">
        <v>5320</v>
      </c>
      <c r="B31">
        <v>23210</v>
      </c>
      <c r="C31" s="1">
        <v>42609</v>
      </c>
      <c r="G31">
        <v>25.1</v>
      </c>
      <c r="H31">
        <v>16.399999999999999</v>
      </c>
      <c r="I31">
        <v>32.700000000000003</v>
      </c>
      <c r="M31">
        <v>0</v>
      </c>
      <c r="N31">
        <v>5.7</v>
      </c>
      <c r="O31">
        <f t="shared" si="0"/>
        <v>-5.7</v>
      </c>
      <c r="P31">
        <v>0</v>
      </c>
      <c r="W31">
        <v>2346.3000000000002</v>
      </c>
    </row>
    <row r="32" spans="1:23" x14ac:dyDescent="0.25">
      <c r="A32">
        <v>5320</v>
      </c>
      <c r="B32">
        <v>23210</v>
      </c>
      <c r="C32" s="1">
        <v>42610</v>
      </c>
      <c r="G32">
        <v>21.4</v>
      </c>
      <c r="H32">
        <v>17.100000000000001</v>
      </c>
      <c r="I32">
        <v>24.6</v>
      </c>
      <c r="M32">
        <v>0</v>
      </c>
      <c r="N32">
        <v>3.5</v>
      </c>
      <c r="O32">
        <f t="shared" si="0"/>
        <v>-3.5</v>
      </c>
      <c r="P32">
        <v>0</v>
      </c>
      <c r="W32">
        <v>1308.5999999999999</v>
      </c>
    </row>
    <row r="33" spans="1:27" x14ac:dyDescent="0.25">
      <c r="A33">
        <v>5320</v>
      </c>
      <c r="B33">
        <v>23210</v>
      </c>
      <c r="C33" s="1">
        <v>42611</v>
      </c>
      <c r="G33">
        <v>19.600000000000001</v>
      </c>
      <c r="H33">
        <v>17.600000000000001</v>
      </c>
      <c r="I33">
        <v>21.9</v>
      </c>
      <c r="M33">
        <v>0.2</v>
      </c>
      <c r="N33">
        <v>2.9</v>
      </c>
      <c r="O33">
        <f t="shared" si="0"/>
        <v>-2.6999999999999997</v>
      </c>
      <c r="P33">
        <v>0</v>
      </c>
      <c r="W33">
        <v>1363.1</v>
      </c>
    </row>
    <row r="34" spans="1:27" x14ac:dyDescent="0.25">
      <c r="A34">
        <v>5320</v>
      </c>
      <c r="B34">
        <v>23210</v>
      </c>
      <c r="C34" s="1">
        <v>42612</v>
      </c>
      <c r="G34">
        <v>20.2</v>
      </c>
      <c r="H34">
        <v>14.3</v>
      </c>
      <c r="I34">
        <v>25.5</v>
      </c>
      <c r="M34">
        <v>0</v>
      </c>
      <c r="N34">
        <v>4.0999999999999996</v>
      </c>
      <c r="O34">
        <f t="shared" si="0"/>
        <v>-4.0999999999999996</v>
      </c>
      <c r="P34">
        <v>0</v>
      </c>
      <c r="W34">
        <v>1917</v>
      </c>
    </row>
    <row r="35" spans="1:27" x14ac:dyDescent="0.25">
      <c r="A35">
        <v>5320</v>
      </c>
      <c r="B35">
        <v>23210</v>
      </c>
      <c r="C35" s="1">
        <v>42613</v>
      </c>
      <c r="G35">
        <v>21</v>
      </c>
      <c r="H35">
        <v>13.6</v>
      </c>
      <c r="I35">
        <v>27</v>
      </c>
      <c r="M35">
        <v>0</v>
      </c>
      <c r="N35">
        <v>3.2</v>
      </c>
      <c r="O35">
        <f t="shared" si="0"/>
        <v>-3.2</v>
      </c>
      <c r="P35">
        <v>0</v>
      </c>
      <c r="W35">
        <v>1228.7</v>
      </c>
    </row>
    <row r="36" spans="1:27" s="4" customFormat="1" x14ac:dyDescent="0.25">
      <c r="C36" s="5"/>
    </row>
    <row r="37" spans="1:27" x14ac:dyDescent="0.25">
      <c r="A37">
        <v>5320</v>
      </c>
      <c r="B37">
        <v>23210</v>
      </c>
      <c r="C37" s="1">
        <v>42614</v>
      </c>
      <c r="D37" s="31" t="s">
        <v>32</v>
      </c>
      <c r="E37" s="31"/>
      <c r="F37" s="31"/>
      <c r="G37">
        <v>20.8</v>
      </c>
      <c r="H37">
        <v>13.3</v>
      </c>
      <c r="I37">
        <v>26.7</v>
      </c>
      <c r="J37">
        <f>G37</f>
        <v>20.8</v>
      </c>
      <c r="K37">
        <f>J37</f>
        <v>20.8</v>
      </c>
      <c r="L37" s="8" t="s">
        <v>36</v>
      </c>
      <c r="M37">
        <v>0</v>
      </c>
      <c r="N37">
        <v>3.5</v>
      </c>
      <c r="O37">
        <f t="shared" si="0"/>
        <v>-3.5</v>
      </c>
      <c r="Q37">
        <v>1</v>
      </c>
      <c r="R37">
        <v>0.35</v>
      </c>
      <c r="S37">
        <f>R37*N37</f>
        <v>1.2249999999999999</v>
      </c>
      <c r="T37">
        <f>M37-S37</f>
        <v>-1.2249999999999999</v>
      </c>
      <c r="U37" s="14">
        <v>0</v>
      </c>
      <c r="V37" s="11" t="s">
        <v>43</v>
      </c>
      <c r="W37">
        <v>1697.6</v>
      </c>
      <c r="X37">
        <f>W37</f>
        <v>1697.6</v>
      </c>
      <c r="Y37">
        <f>W37</f>
        <v>1697.6</v>
      </c>
      <c r="Z37">
        <v>13.092459911331661</v>
      </c>
      <c r="AA37" s="11" t="s">
        <v>48</v>
      </c>
    </row>
    <row r="38" spans="1:27" x14ac:dyDescent="0.25">
      <c r="A38">
        <v>5320</v>
      </c>
      <c r="B38">
        <v>23210</v>
      </c>
      <c r="C38" s="1">
        <v>42615</v>
      </c>
      <c r="F38" s="32" t="s">
        <v>52</v>
      </c>
      <c r="G38">
        <v>21.6</v>
      </c>
      <c r="H38">
        <v>13.4</v>
      </c>
      <c r="I38">
        <v>29.4</v>
      </c>
      <c r="J38">
        <f>J37+G38</f>
        <v>42.400000000000006</v>
      </c>
      <c r="K38">
        <f>K37+G38</f>
        <v>42.400000000000006</v>
      </c>
      <c r="L38" s="9">
        <v>1060</v>
      </c>
      <c r="M38">
        <v>0</v>
      </c>
      <c r="N38">
        <v>3.5</v>
      </c>
      <c r="O38">
        <f t="shared" si="0"/>
        <v>-3.5</v>
      </c>
      <c r="Q38">
        <v>2</v>
      </c>
      <c r="R38">
        <v>0.35</v>
      </c>
      <c r="S38">
        <f t="shared" ref="S38:S101" si="1">R38*N38</f>
        <v>1.2249999999999999</v>
      </c>
      <c r="T38">
        <f t="shared" ref="T38:T101" si="2">M38-S38</f>
        <v>-1.2249999999999999</v>
      </c>
      <c r="U38" s="14">
        <v>0</v>
      </c>
      <c r="V38">
        <v>12</v>
      </c>
      <c r="W38">
        <v>1522.4</v>
      </c>
      <c r="X38">
        <f>X37+W38</f>
        <v>3220</v>
      </c>
      <c r="Y38">
        <f>Y37+W38</f>
        <v>3220</v>
      </c>
      <c r="Z38">
        <v>13.034311124077094</v>
      </c>
      <c r="AA38">
        <v>62208.5</v>
      </c>
    </row>
    <row r="39" spans="1:27" x14ac:dyDescent="0.25">
      <c r="A39">
        <v>5320</v>
      </c>
      <c r="B39">
        <v>23210</v>
      </c>
      <c r="C39" s="1">
        <v>42616</v>
      </c>
      <c r="F39" s="32"/>
      <c r="G39">
        <v>21</v>
      </c>
      <c r="H39">
        <v>12.6</v>
      </c>
      <c r="I39">
        <v>27.1</v>
      </c>
      <c r="J39">
        <f t="shared" ref="J39:J102" si="3">J38+G39</f>
        <v>63.400000000000006</v>
      </c>
      <c r="K39">
        <f t="shared" ref="K39:K102" si="4">K38+G39</f>
        <v>63.400000000000006</v>
      </c>
      <c r="L39" s="8" t="s">
        <v>37</v>
      </c>
      <c r="M39">
        <v>0</v>
      </c>
      <c r="N39">
        <v>3.5</v>
      </c>
      <c r="O39">
        <f t="shared" si="0"/>
        <v>-3.5</v>
      </c>
      <c r="Q39">
        <v>3</v>
      </c>
      <c r="R39">
        <v>0.35</v>
      </c>
      <c r="S39">
        <f t="shared" si="1"/>
        <v>1.2249999999999999</v>
      </c>
      <c r="T39">
        <f t="shared" si="2"/>
        <v>-1.2249999999999999</v>
      </c>
      <c r="U39" s="14">
        <v>0</v>
      </c>
      <c r="V39" s="11" t="s">
        <v>44</v>
      </c>
      <c r="W39">
        <v>1668.1</v>
      </c>
      <c r="X39">
        <f t="shared" ref="X39:X102" si="5">X38+W39</f>
        <v>4888.1000000000004</v>
      </c>
      <c r="Y39">
        <f t="shared" ref="Y39:Y102" si="6">Y38+W39</f>
        <v>4888.1000000000004</v>
      </c>
      <c r="Z39">
        <v>12.976006960807814</v>
      </c>
      <c r="AA39" s="11" t="s">
        <v>49</v>
      </c>
    </row>
    <row r="40" spans="1:27" x14ac:dyDescent="0.25">
      <c r="A40">
        <v>5320</v>
      </c>
      <c r="B40">
        <v>23210</v>
      </c>
      <c r="C40" s="1">
        <v>42617</v>
      </c>
      <c r="F40" s="32"/>
      <c r="G40">
        <v>20.3</v>
      </c>
      <c r="H40">
        <v>17.3</v>
      </c>
      <c r="I40">
        <v>23.2</v>
      </c>
      <c r="J40">
        <f t="shared" si="3"/>
        <v>83.7</v>
      </c>
      <c r="K40">
        <f t="shared" si="4"/>
        <v>83.7</v>
      </c>
      <c r="L40" s="9">
        <f>AVERAGE(G37:G124)</f>
        <v>12.045454545454543</v>
      </c>
      <c r="M40">
        <v>0.6</v>
      </c>
      <c r="N40">
        <v>1.7</v>
      </c>
      <c r="O40">
        <f t="shared" si="0"/>
        <v>-1.1000000000000001</v>
      </c>
      <c r="Q40">
        <v>4</v>
      </c>
      <c r="R40">
        <v>0.35</v>
      </c>
      <c r="S40">
        <f t="shared" si="1"/>
        <v>0.59499999999999997</v>
      </c>
      <c r="T40">
        <f t="shared" si="2"/>
        <v>5.0000000000000044E-3</v>
      </c>
      <c r="U40" s="14">
        <f t="shared" ref="U40:U103" si="7">MIN(U39+T40,138.9)</f>
        <v>5.0000000000000044E-3</v>
      </c>
      <c r="V40">
        <v>66</v>
      </c>
      <c r="W40">
        <v>870</v>
      </c>
      <c r="X40">
        <f t="shared" si="5"/>
        <v>5758.1</v>
      </c>
      <c r="Y40">
        <f t="shared" si="6"/>
        <v>5758.1</v>
      </c>
      <c r="Z40">
        <v>12.917557680826606</v>
      </c>
      <c r="AA40">
        <f>(AA38/100)/L38</f>
        <v>0.58687264150943397</v>
      </c>
    </row>
    <row r="41" spans="1:27" x14ac:dyDescent="0.25">
      <c r="A41">
        <v>5320</v>
      </c>
      <c r="B41">
        <v>23210</v>
      </c>
      <c r="C41" s="1">
        <v>42618</v>
      </c>
      <c r="F41" s="32"/>
      <c r="G41">
        <v>21.2</v>
      </c>
      <c r="H41">
        <v>19.2</v>
      </c>
      <c r="I41">
        <v>23.7</v>
      </c>
      <c r="J41">
        <f t="shared" si="3"/>
        <v>104.9</v>
      </c>
      <c r="K41">
        <f t="shared" si="4"/>
        <v>104.9</v>
      </c>
      <c r="L41" s="8" t="s">
        <v>38</v>
      </c>
      <c r="M41">
        <v>0</v>
      </c>
      <c r="N41">
        <v>1.6</v>
      </c>
      <c r="O41">
        <f t="shared" si="0"/>
        <v>-1.6</v>
      </c>
      <c r="Q41">
        <v>5</v>
      </c>
      <c r="R41">
        <v>0.35</v>
      </c>
      <c r="S41">
        <f t="shared" si="1"/>
        <v>0.55999999999999994</v>
      </c>
      <c r="T41">
        <f t="shared" si="2"/>
        <v>-0.55999999999999994</v>
      </c>
      <c r="U41" s="14">
        <v>0</v>
      </c>
      <c r="V41" s="11" t="s">
        <v>45</v>
      </c>
      <c r="W41">
        <v>486.5</v>
      </c>
      <c r="X41">
        <f t="shared" si="5"/>
        <v>6244.6</v>
      </c>
      <c r="Y41">
        <f t="shared" si="6"/>
        <v>6244.6</v>
      </c>
      <c r="Z41">
        <v>12.85897330307197</v>
      </c>
      <c r="AA41" s="11" t="s">
        <v>50</v>
      </c>
    </row>
    <row r="42" spans="1:27" x14ac:dyDescent="0.25">
      <c r="A42">
        <v>5320</v>
      </c>
      <c r="B42">
        <v>23210</v>
      </c>
      <c r="C42" s="1">
        <v>42619</v>
      </c>
      <c r="F42" s="32"/>
      <c r="G42">
        <v>20.100000000000001</v>
      </c>
      <c r="H42">
        <v>15.9</v>
      </c>
      <c r="I42">
        <v>23.3</v>
      </c>
      <c r="J42">
        <f t="shared" si="3"/>
        <v>125</v>
      </c>
      <c r="K42">
        <f t="shared" si="4"/>
        <v>125</v>
      </c>
      <c r="L42" s="10">
        <f>MIN(H37:H124)</f>
        <v>-0.2</v>
      </c>
      <c r="M42">
        <v>0.1</v>
      </c>
      <c r="N42">
        <v>2</v>
      </c>
      <c r="O42">
        <f t="shared" si="0"/>
        <v>-1.9</v>
      </c>
      <c r="Q42">
        <v>6</v>
      </c>
      <c r="R42">
        <v>0.35</v>
      </c>
      <c r="S42">
        <f t="shared" si="1"/>
        <v>0.7</v>
      </c>
      <c r="T42">
        <f t="shared" si="2"/>
        <v>-0.6</v>
      </c>
      <c r="U42" s="14">
        <v>0</v>
      </c>
      <c r="V42">
        <v>0</v>
      </c>
      <c r="W42">
        <v>835</v>
      </c>
      <c r="X42">
        <f t="shared" si="5"/>
        <v>7079.6</v>
      </c>
      <c r="Y42">
        <f t="shared" si="6"/>
        <v>7079.6</v>
      </c>
      <c r="Z42">
        <v>12.800263619633025</v>
      </c>
      <c r="AA42">
        <v>58</v>
      </c>
    </row>
    <row r="43" spans="1:27" x14ac:dyDescent="0.25">
      <c r="A43">
        <v>5320</v>
      </c>
      <c r="B43">
        <v>23210</v>
      </c>
      <c r="C43" s="1">
        <v>42620</v>
      </c>
      <c r="D43" t="s">
        <v>33</v>
      </c>
      <c r="F43" s="32"/>
      <c r="G43">
        <v>20.6</v>
      </c>
      <c r="H43">
        <v>14.4</v>
      </c>
      <c r="I43">
        <v>26.6</v>
      </c>
      <c r="J43">
        <f t="shared" si="3"/>
        <v>145.6</v>
      </c>
      <c r="K43">
        <f t="shared" si="4"/>
        <v>145.6</v>
      </c>
      <c r="L43" s="8" t="s">
        <v>39</v>
      </c>
      <c r="M43">
        <v>0</v>
      </c>
      <c r="N43">
        <v>4.5999999999999996</v>
      </c>
      <c r="O43">
        <f t="shared" si="0"/>
        <v>-4.5999999999999996</v>
      </c>
      <c r="Q43">
        <v>7</v>
      </c>
      <c r="R43">
        <v>0.35</v>
      </c>
      <c r="S43">
        <f t="shared" si="1"/>
        <v>1.6099999999999999</v>
      </c>
      <c r="T43">
        <f t="shared" si="2"/>
        <v>-1.6099999999999999</v>
      </c>
      <c r="U43" s="14">
        <v>0</v>
      </c>
      <c r="V43" s="11" t="s">
        <v>46</v>
      </c>
      <c r="W43">
        <v>1893.8</v>
      </c>
      <c r="X43">
        <f t="shared" si="5"/>
        <v>8973.4</v>
      </c>
      <c r="Y43">
        <f t="shared" si="6"/>
        <v>8973.4</v>
      </c>
      <c r="Z43">
        <v>12.741438209486914</v>
      </c>
    </row>
    <row r="44" spans="1:27" x14ac:dyDescent="0.25">
      <c r="A44">
        <v>5320</v>
      </c>
      <c r="B44">
        <v>23210</v>
      </c>
      <c r="C44" s="1">
        <v>42621</v>
      </c>
      <c r="F44" s="32"/>
      <c r="G44">
        <v>18.7</v>
      </c>
      <c r="H44">
        <v>14.8</v>
      </c>
      <c r="I44">
        <v>22.9</v>
      </c>
      <c r="J44">
        <f t="shared" si="3"/>
        <v>164.29999999999998</v>
      </c>
      <c r="K44">
        <f t="shared" si="4"/>
        <v>164.29999999999998</v>
      </c>
      <c r="L44" s="9">
        <f>MAX(I37:I124)</f>
        <v>30.9</v>
      </c>
      <c r="M44">
        <v>0</v>
      </c>
      <c r="N44">
        <v>2.6</v>
      </c>
      <c r="O44">
        <f t="shared" si="0"/>
        <v>-2.6</v>
      </c>
      <c r="Q44">
        <v>8</v>
      </c>
      <c r="R44">
        <f>0.35+((Q44-7)/81)*(1-0.35)</f>
        <v>0.35802469135802467</v>
      </c>
      <c r="S44">
        <f t="shared" si="1"/>
        <v>0.93086419753086413</v>
      </c>
      <c r="T44">
        <f t="shared" si="2"/>
        <v>-0.93086419753086413</v>
      </c>
      <c r="U44" s="14">
        <v>0</v>
      </c>
      <c r="V44" s="14">
        <f>MAX(U37:U124)</f>
        <v>57.262777777777778</v>
      </c>
      <c r="W44">
        <v>772.9</v>
      </c>
      <c r="X44">
        <f t="shared" si="5"/>
        <v>9746.2999999999993</v>
      </c>
      <c r="Y44">
        <f t="shared" si="6"/>
        <v>9746.2999999999993</v>
      </c>
      <c r="Z44">
        <v>12.682506452436247</v>
      </c>
    </row>
    <row r="45" spans="1:27" x14ac:dyDescent="0.25">
      <c r="A45">
        <v>5320</v>
      </c>
      <c r="B45">
        <v>23210</v>
      </c>
      <c r="C45" s="1">
        <v>42622</v>
      </c>
      <c r="F45" s="32"/>
      <c r="G45">
        <v>17.100000000000001</v>
      </c>
      <c r="H45">
        <v>9.6999999999999993</v>
      </c>
      <c r="I45">
        <v>24.3</v>
      </c>
      <c r="J45">
        <f t="shared" si="3"/>
        <v>181.39999999999998</v>
      </c>
      <c r="K45">
        <f t="shared" si="4"/>
        <v>181.39999999999998</v>
      </c>
      <c r="L45" s="8" t="s">
        <v>40</v>
      </c>
      <c r="M45">
        <v>0</v>
      </c>
      <c r="N45">
        <v>3.2</v>
      </c>
      <c r="O45">
        <f t="shared" si="0"/>
        <v>-3.2</v>
      </c>
      <c r="Q45">
        <v>9</v>
      </c>
      <c r="R45">
        <f t="shared" ref="R45:R108" si="8">0.35+((Q45-7)/81)*(1-0.35)</f>
        <v>0.36604938271604937</v>
      </c>
      <c r="S45">
        <f t="shared" si="1"/>
        <v>1.171358024691358</v>
      </c>
      <c r="T45">
        <f t="shared" si="2"/>
        <v>-1.171358024691358</v>
      </c>
      <c r="U45" s="14">
        <v>0</v>
      </c>
      <c r="V45" s="11" t="s">
        <v>47</v>
      </c>
      <c r="W45">
        <v>1618.9</v>
      </c>
      <c r="X45">
        <f t="shared" si="5"/>
        <v>11365.199999999999</v>
      </c>
      <c r="Y45">
        <f t="shared" si="6"/>
        <v>11365.199999999999</v>
      </c>
      <c r="Z45">
        <v>12.623477543225754</v>
      </c>
    </row>
    <row r="46" spans="1:27" x14ac:dyDescent="0.25">
      <c r="A46">
        <v>5320</v>
      </c>
      <c r="B46">
        <v>23210</v>
      </c>
      <c r="C46" s="1">
        <v>42623</v>
      </c>
      <c r="F46" s="32"/>
      <c r="G46">
        <v>17.8</v>
      </c>
      <c r="H46">
        <v>9.3000000000000007</v>
      </c>
      <c r="I46">
        <v>24.1</v>
      </c>
      <c r="J46">
        <f t="shared" si="3"/>
        <v>199.2</v>
      </c>
      <c r="K46">
        <f t="shared" si="4"/>
        <v>199.2</v>
      </c>
      <c r="L46" s="9">
        <v>7</v>
      </c>
      <c r="M46">
        <v>0</v>
      </c>
      <c r="N46">
        <v>3.1</v>
      </c>
      <c r="O46">
        <f t="shared" si="0"/>
        <v>-3.1</v>
      </c>
      <c r="Q46">
        <v>10</v>
      </c>
      <c r="R46">
        <f t="shared" si="8"/>
        <v>0.37407407407407406</v>
      </c>
      <c r="S46">
        <f t="shared" si="1"/>
        <v>1.1596296296296296</v>
      </c>
      <c r="T46">
        <f t="shared" si="2"/>
        <v>-1.1596296296296296</v>
      </c>
      <c r="U46" s="14">
        <v>0</v>
      </c>
      <c r="V46" s="14">
        <f>AVERAGE(U37:U124)</f>
        <v>16.801593013468015</v>
      </c>
      <c r="W46">
        <v>1616.6</v>
      </c>
      <c r="X46">
        <f t="shared" si="5"/>
        <v>12981.8</v>
      </c>
      <c r="Y46">
        <f t="shared" si="6"/>
        <v>12981.8</v>
      </c>
      <c r="Z46">
        <v>12.564360505818829</v>
      </c>
    </row>
    <row r="47" spans="1:27" x14ac:dyDescent="0.25">
      <c r="A47">
        <v>5320</v>
      </c>
      <c r="B47">
        <v>23210</v>
      </c>
      <c r="C47" s="1">
        <v>42624</v>
      </c>
      <c r="F47" s="32"/>
      <c r="G47">
        <v>20.2</v>
      </c>
      <c r="H47">
        <v>17.600000000000001</v>
      </c>
      <c r="I47">
        <v>23.2</v>
      </c>
      <c r="J47">
        <f t="shared" si="3"/>
        <v>219.39999999999998</v>
      </c>
      <c r="K47">
        <f t="shared" si="4"/>
        <v>219.39999999999998</v>
      </c>
      <c r="L47" s="8" t="s">
        <v>41</v>
      </c>
      <c r="M47">
        <v>0</v>
      </c>
      <c r="N47">
        <v>1.4</v>
      </c>
      <c r="O47">
        <f t="shared" si="0"/>
        <v>-1.4</v>
      </c>
      <c r="Q47">
        <v>11</v>
      </c>
      <c r="R47">
        <f t="shared" si="8"/>
        <v>0.38209876543209875</v>
      </c>
      <c r="S47">
        <f t="shared" si="1"/>
        <v>0.53493827160493823</v>
      </c>
      <c r="T47">
        <f t="shared" si="2"/>
        <v>-0.53493827160493823</v>
      </c>
      <c r="U47" s="14">
        <v>0</v>
      </c>
      <c r="W47">
        <v>490.2</v>
      </c>
      <c r="X47">
        <f t="shared" si="5"/>
        <v>13472</v>
      </c>
      <c r="Y47">
        <f t="shared" si="6"/>
        <v>13472</v>
      </c>
      <c r="Z47">
        <v>12.50516420781603</v>
      </c>
    </row>
    <row r="48" spans="1:27" x14ac:dyDescent="0.25">
      <c r="A48">
        <v>5320</v>
      </c>
      <c r="B48">
        <v>23210</v>
      </c>
      <c r="C48" s="1">
        <v>42625</v>
      </c>
      <c r="F48" s="32"/>
      <c r="G48">
        <v>21.8</v>
      </c>
      <c r="H48">
        <v>14.5</v>
      </c>
      <c r="I48">
        <v>29.8</v>
      </c>
      <c r="J48">
        <f t="shared" si="3"/>
        <v>241.2</v>
      </c>
      <c r="K48">
        <f t="shared" si="4"/>
        <v>241.2</v>
      </c>
      <c r="L48" s="9">
        <v>20</v>
      </c>
      <c r="M48">
        <v>0.4</v>
      </c>
      <c r="N48">
        <v>2.6</v>
      </c>
      <c r="O48">
        <f t="shared" si="0"/>
        <v>-2.2000000000000002</v>
      </c>
      <c r="Q48">
        <v>12</v>
      </c>
      <c r="R48">
        <f t="shared" si="8"/>
        <v>0.39012345679012345</v>
      </c>
      <c r="S48">
        <f t="shared" si="1"/>
        <v>1.0143209876543211</v>
      </c>
      <c r="T48">
        <f t="shared" si="2"/>
        <v>-0.61432098765432108</v>
      </c>
      <c r="U48" s="14">
        <v>0</v>
      </c>
      <c r="V48">
        <f>(V46*100)/138.9</f>
        <v>12.096179275354942</v>
      </c>
      <c r="W48">
        <v>1131.3</v>
      </c>
      <c r="X48">
        <f t="shared" si="5"/>
        <v>14603.3</v>
      </c>
      <c r="Y48">
        <f t="shared" si="6"/>
        <v>14603.3</v>
      </c>
      <c r="Z48">
        <v>12.445897374998864</v>
      </c>
    </row>
    <row r="49" spans="1:26" x14ac:dyDescent="0.25">
      <c r="A49">
        <v>5320</v>
      </c>
      <c r="B49">
        <v>23210</v>
      </c>
      <c r="C49" s="1">
        <v>42626</v>
      </c>
      <c r="F49" s="32"/>
      <c r="G49">
        <v>23.7</v>
      </c>
      <c r="H49">
        <v>17.2</v>
      </c>
      <c r="I49">
        <v>30.9</v>
      </c>
      <c r="J49">
        <f t="shared" si="3"/>
        <v>264.89999999999998</v>
      </c>
      <c r="K49">
        <f t="shared" si="4"/>
        <v>264.89999999999998</v>
      </c>
      <c r="L49" s="8" t="s">
        <v>42</v>
      </c>
      <c r="M49">
        <v>0</v>
      </c>
      <c r="N49">
        <v>4.4000000000000004</v>
      </c>
      <c r="O49">
        <f t="shared" si="0"/>
        <v>-4.4000000000000004</v>
      </c>
      <c r="Q49">
        <v>13</v>
      </c>
      <c r="R49">
        <f t="shared" si="8"/>
        <v>0.39814814814814814</v>
      </c>
      <c r="S49">
        <f t="shared" si="1"/>
        <v>1.751851851851852</v>
      </c>
      <c r="T49">
        <f t="shared" si="2"/>
        <v>-1.751851851851852</v>
      </c>
      <c r="U49" s="14">
        <v>0</v>
      </c>
      <c r="W49">
        <v>1636.7</v>
      </c>
      <c r="X49">
        <f t="shared" si="5"/>
        <v>16240</v>
      </c>
      <c r="Y49">
        <f t="shared" si="6"/>
        <v>16240</v>
      </c>
      <c r="Z49">
        <v>12.386568605983387</v>
      </c>
    </row>
    <row r="50" spans="1:26" x14ac:dyDescent="0.25">
      <c r="A50">
        <v>5320</v>
      </c>
      <c r="B50">
        <v>23210</v>
      </c>
      <c r="C50" s="1">
        <v>42627</v>
      </c>
      <c r="F50" s="32"/>
      <c r="G50">
        <v>17.3</v>
      </c>
      <c r="H50">
        <v>14.3</v>
      </c>
      <c r="I50">
        <v>20.6</v>
      </c>
      <c r="J50">
        <f t="shared" si="3"/>
        <v>282.2</v>
      </c>
      <c r="K50">
        <f t="shared" si="4"/>
        <v>282.2</v>
      </c>
      <c r="L50" s="9">
        <v>1</v>
      </c>
      <c r="M50">
        <v>7.9</v>
      </c>
      <c r="N50">
        <v>1.9</v>
      </c>
      <c r="O50">
        <f t="shared" si="0"/>
        <v>6</v>
      </c>
      <c r="Q50">
        <v>14</v>
      </c>
      <c r="R50">
        <f t="shared" si="8"/>
        <v>0.40617283950617283</v>
      </c>
      <c r="S50">
        <f t="shared" si="1"/>
        <v>0.7717283950617283</v>
      </c>
      <c r="T50">
        <f t="shared" si="2"/>
        <v>7.1282716049382717</v>
      </c>
      <c r="U50" s="14">
        <f t="shared" si="7"/>
        <v>7.1282716049382717</v>
      </c>
      <c r="W50">
        <v>1043.8</v>
      </c>
      <c r="X50">
        <f t="shared" si="5"/>
        <v>17283.8</v>
      </c>
      <c r="Y50">
        <f t="shared" si="6"/>
        <v>17283.8</v>
      </c>
      <c r="Z50">
        <v>12.327186386969192</v>
      </c>
    </row>
    <row r="51" spans="1:26" x14ac:dyDescent="0.25">
      <c r="A51">
        <v>5320</v>
      </c>
      <c r="B51">
        <v>23210</v>
      </c>
      <c r="C51" s="1">
        <v>42628</v>
      </c>
      <c r="F51" s="32"/>
      <c r="G51">
        <v>15.9</v>
      </c>
      <c r="H51">
        <v>15.4</v>
      </c>
      <c r="I51">
        <v>16.899999999999999</v>
      </c>
      <c r="J51">
        <f t="shared" si="3"/>
        <v>298.09999999999997</v>
      </c>
      <c r="K51">
        <f t="shared" si="4"/>
        <v>298.09999999999997</v>
      </c>
      <c r="M51">
        <v>1.5</v>
      </c>
      <c r="N51">
        <v>1.1000000000000001</v>
      </c>
      <c r="O51">
        <f t="shared" si="0"/>
        <v>0.39999999999999991</v>
      </c>
      <c r="Q51">
        <v>15</v>
      </c>
      <c r="R51">
        <f t="shared" si="8"/>
        <v>0.41419753086419753</v>
      </c>
      <c r="S51">
        <f t="shared" si="1"/>
        <v>0.45561728395061729</v>
      </c>
      <c r="T51">
        <f t="shared" si="2"/>
        <v>1.0443827160493826</v>
      </c>
      <c r="U51" s="14">
        <f t="shared" si="7"/>
        <v>8.1726543209876539</v>
      </c>
      <c r="W51">
        <v>592.79999999999995</v>
      </c>
      <c r="X51">
        <f t="shared" si="5"/>
        <v>17876.599999999999</v>
      </c>
      <c r="Y51">
        <f t="shared" si="6"/>
        <v>17876.599999999999</v>
      </c>
      <c r="Z51">
        <v>12.267759106570322</v>
      </c>
    </row>
    <row r="52" spans="1:26" x14ac:dyDescent="0.25">
      <c r="A52">
        <v>5320</v>
      </c>
      <c r="B52">
        <v>23210</v>
      </c>
      <c r="C52" s="1">
        <v>42629</v>
      </c>
      <c r="F52" s="32"/>
      <c r="G52">
        <v>13.4</v>
      </c>
      <c r="H52">
        <v>11.4</v>
      </c>
      <c r="I52">
        <v>15.5</v>
      </c>
      <c r="J52">
        <f t="shared" si="3"/>
        <v>311.49999999999994</v>
      </c>
      <c r="K52">
        <f t="shared" si="4"/>
        <v>311.49999999999994</v>
      </c>
      <c r="M52">
        <v>5.8</v>
      </c>
      <c r="N52">
        <v>0.9</v>
      </c>
      <c r="O52">
        <f t="shared" si="0"/>
        <v>4.8999999999999995</v>
      </c>
      <c r="Q52">
        <v>16</v>
      </c>
      <c r="R52">
        <f t="shared" si="8"/>
        <v>0.42222222222222217</v>
      </c>
      <c r="S52">
        <f t="shared" si="1"/>
        <v>0.37999999999999995</v>
      </c>
      <c r="T52">
        <f t="shared" si="2"/>
        <v>5.42</v>
      </c>
      <c r="U52" s="14">
        <f t="shared" si="7"/>
        <v>13.592654320987654</v>
      </c>
      <c r="W52">
        <v>499.2</v>
      </c>
      <c r="X52">
        <f t="shared" si="5"/>
        <v>18375.8</v>
      </c>
      <c r="Y52">
        <f t="shared" si="6"/>
        <v>18375.8</v>
      </c>
      <c r="Z52">
        <v>12.208295070715486</v>
      </c>
    </row>
    <row r="53" spans="1:26" x14ac:dyDescent="0.25">
      <c r="A53">
        <v>5320</v>
      </c>
      <c r="B53">
        <v>23210</v>
      </c>
      <c r="C53" s="1">
        <v>42630</v>
      </c>
      <c r="F53" s="32"/>
      <c r="G53">
        <v>13.8</v>
      </c>
      <c r="H53">
        <v>10.9</v>
      </c>
      <c r="I53">
        <v>16.899999999999999</v>
      </c>
      <c r="J53">
        <f t="shared" si="3"/>
        <v>325.29999999999995</v>
      </c>
      <c r="K53">
        <f t="shared" si="4"/>
        <v>325.29999999999995</v>
      </c>
      <c r="M53">
        <v>0.8</v>
      </c>
      <c r="N53">
        <v>1.7</v>
      </c>
      <c r="O53">
        <f t="shared" si="0"/>
        <v>-0.89999999999999991</v>
      </c>
      <c r="Q53">
        <v>17</v>
      </c>
      <c r="R53">
        <f t="shared" si="8"/>
        <v>0.43024691358024691</v>
      </c>
      <c r="S53">
        <f t="shared" si="1"/>
        <v>0.73141975308641971</v>
      </c>
      <c r="T53">
        <f t="shared" si="2"/>
        <v>6.8580246913580334E-2</v>
      </c>
      <c r="U53" s="14">
        <f t="shared" si="7"/>
        <v>13.661234567901234</v>
      </c>
      <c r="W53">
        <v>915.5</v>
      </c>
      <c r="X53">
        <f t="shared" si="5"/>
        <v>19291.3</v>
      </c>
      <c r="Y53">
        <f t="shared" si="6"/>
        <v>19291.3</v>
      </c>
      <c r="Z53">
        <v>12.148802517605674</v>
      </c>
    </row>
    <row r="54" spans="1:26" x14ac:dyDescent="0.25">
      <c r="A54">
        <v>5320</v>
      </c>
      <c r="B54">
        <v>23210</v>
      </c>
      <c r="C54" s="1">
        <v>42631</v>
      </c>
      <c r="F54" s="32"/>
      <c r="G54">
        <v>15.7</v>
      </c>
      <c r="H54">
        <v>13.1</v>
      </c>
      <c r="I54">
        <v>18.8</v>
      </c>
      <c r="J54">
        <f t="shared" si="3"/>
        <v>340.99999999999994</v>
      </c>
      <c r="K54">
        <f t="shared" si="4"/>
        <v>340.99999999999994</v>
      </c>
      <c r="M54">
        <v>0.2</v>
      </c>
      <c r="N54">
        <v>0.9</v>
      </c>
      <c r="O54">
        <f t="shared" si="0"/>
        <v>-0.7</v>
      </c>
      <c r="Q54">
        <v>18</v>
      </c>
      <c r="R54">
        <f t="shared" si="8"/>
        <v>0.43827160493827155</v>
      </c>
      <c r="S54">
        <f t="shared" si="1"/>
        <v>0.39444444444444443</v>
      </c>
      <c r="T54">
        <f t="shared" si="2"/>
        <v>-0.19444444444444442</v>
      </c>
      <c r="U54" s="14">
        <f t="shared" si="7"/>
        <v>13.466790123456789</v>
      </c>
      <c r="W54">
        <v>379.1</v>
      </c>
      <c r="X54">
        <f t="shared" si="5"/>
        <v>19670.399999999998</v>
      </c>
      <c r="Y54">
        <f t="shared" si="6"/>
        <v>19670.399999999998</v>
      </c>
      <c r="Z54">
        <v>12.089289632717872</v>
      </c>
    </row>
    <row r="55" spans="1:26" x14ac:dyDescent="0.25">
      <c r="A55">
        <v>5320</v>
      </c>
      <c r="B55">
        <v>23210</v>
      </c>
      <c r="C55" s="1">
        <v>42632</v>
      </c>
      <c r="F55" s="32"/>
      <c r="G55">
        <v>15.8</v>
      </c>
      <c r="H55">
        <v>12.4</v>
      </c>
      <c r="I55">
        <v>19.5</v>
      </c>
      <c r="J55">
        <f t="shared" si="3"/>
        <v>356.79999999999995</v>
      </c>
      <c r="K55">
        <f t="shared" si="4"/>
        <v>356.79999999999995</v>
      </c>
      <c r="M55">
        <v>0</v>
      </c>
      <c r="N55">
        <v>1.6</v>
      </c>
      <c r="O55">
        <f t="shared" si="0"/>
        <v>-1.6</v>
      </c>
      <c r="Q55">
        <v>19</v>
      </c>
      <c r="R55">
        <f t="shared" si="8"/>
        <v>0.4462962962962963</v>
      </c>
      <c r="S55">
        <f t="shared" si="1"/>
        <v>0.71407407407407408</v>
      </c>
      <c r="T55">
        <f t="shared" si="2"/>
        <v>-0.71407407407407408</v>
      </c>
      <c r="U55" s="14">
        <f t="shared" si="7"/>
        <v>12.752716049382716</v>
      </c>
      <c r="W55">
        <v>1015.7</v>
      </c>
      <c r="X55">
        <f t="shared" si="5"/>
        <v>20686.099999999999</v>
      </c>
      <c r="Y55">
        <f t="shared" si="6"/>
        <v>20686.099999999999</v>
      </c>
      <c r="Z55">
        <v>12.029764563844175</v>
      </c>
    </row>
    <row r="56" spans="1:26" x14ac:dyDescent="0.25">
      <c r="A56">
        <v>5320</v>
      </c>
      <c r="B56">
        <v>23210</v>
      </c>
      <c r="C56" s="1">
        <v>42633</v>
      </c>
      <c r="F56" s="32"/>
      <c r="G56">
        <v>14.9</v>
      </c>
      <c r="H56">
        <v>12.4</v>
      </c>
      <c r="I56">
        <v>18.8</v>
      </c>
      <c r="J56">
        <f t="shared" si="3"/>
        <v>371.69999999999993</v>
      </c>
      <c r="K56">
        <f t="shared" si="4"/>
        <v>371.69999999999993</v>
      </c>
      <c r="M56">
        <v>1</v>
      </c>
      <c r="N56">
        <v>1.6</v>
      </c>
      <c r="O56">
        <f t="shared" si="0"/>
        <v>-0.60000000000000009</v>
      </c>
      <c r="Q56">
        <v>20</v>
      </c>
      <c r="R56">
        <f t="shared" si="8"/>
        <v>0.45432098765432094</v>
      </c>
      <c r="S56">
        <f t="shared" si="1"/>
        <v>0.72691358024691355</v>
      </c>
      <c r="T56">
        <f t="shared" si="2"/>
        <v>0.27308641975308645</v>
      </c>
      <c r="U56" s="14">
        <f t="shared" si="7"/>
        <v>13.025802469135803</v>
      </c>
      <c r="W56">
        <v>952.8</v>
      </c>
      <c r="X56">
        <f t="shared" si="5"/>
        <v>21638.899999999998</v>
      </c>
      <c r="Y56">
        <f t="shared" si="6"/>
        <v>21638.899999999998</v>
      </c>
      <c r="Z56">
        <v>11.970235436155825</v>
      </c>
    </row>
    <row r="57" spans="1:26" x14ac:dyDescent="0.25">
      <c r="A57">
        <v>5320</v>
      </c>
      <c r="B57">
        <v>23210</v>
      </c>
      <c r="C57" s="1">
        <v>42634</v>
      </c>
      <c r="F57" s="32"/>
      <c r="G57">
        <v>13.9</v>
      </c>
      <c r="H57">
        <v>7</v>
      </c>
      <c r="I57">
        <v>20.5</v>
      </c>
      <c r="J57">
        <f t="shared" si="3"/>
        <v>385.59999999999991</v>
      </c>
      <c r="K57">
        <f t="shared" si="4"/>
        <v>385.59999999999991</v>
      </c>
      <c r="M57">
        <v>0</v>
      </c>
      <c r="N57">
        <v>2.5</v>
      </c>
      <c r="O57">
        <f t="shared" si="0"/>
        <v>-2.5</v>
      </c>
      <c r="Q57">
        <v>21</v>
      </c>
      <c r="R57">
        <f t="shared" si="8"/>
        <v>0.46234567901234563</v>
      </c>
      <c r="S57">
        <f t="shared" si="1"/>
        <v>1.1558641975308641</v>
      </c>
      <c r="T57">
        <f t="shared" si="2"/>
        <v>-1.1558641975308641</v>
      </c>
      <c r="U57" s="14">
        <f t="shared" si="7"/>
        <v>11.869938271604939</v>
      </c>
      <c r="W57">
        <v>1567.6</v>
      </c>
      <c r="X57">
        <f t="shared" si="5"/>
        <v>23206.499999999996</v>
      </c>
      <c r="Y57">
        <f t="shared" si="6"/>
        <v>23206.499999999996</v>
      </c>
      <c r="Z57">
        <v>11.910710367282128</v>
      </c>
    </row>
    <row r="58" spans="1:26" x14ac:dyDescent="0.25">
      <c r="A58">
        <v>5320</v>
      </c>
      <c r="B58">
        <v>23210</v>
      </c>
      <c r="C58" s="1">
        <v>42635</v>
      </c>
      <c r="F58" s="32"/>
      <c r="G58">
        <v>15.9</v>
      </c>
      <c r="H58">
        <v>9.1</v>
      </c>
      <c r="I58">
        <v>22.7</v>
      </c>
      <c r="J58">
        <f t="shared" si="3"/>
        <v>401.49999999999989</v>
      </c>
      <c r="K58">
        <f t="shared" si="4"/>
        <v>401.49999999999989</v>
      </c>
      <c r="M58">
        <v>0</v>
      </c>
      <c r="N58">
        <v>2.2000000000000002</v>
      </c>
      <c r="O58">
        <f t="shared" si="0"/>
        <v>-2.2000000000000002</v>
      </c>
      <c r="Q58">
        <v>22</v>
      </c>
      <c r="R58">
        <f t="shared" si="8"/>
        <v>0.47037037037037033</v>
      </c>
      <c r="S58">
        <f t="shared" si="1"/>
        <v>1.0348148148148149</v>
      </c>
      <c r="T58">
        <f t="shared" si="2"/>
        <v>-1.0348148148148149</v>
      </c>
      <c r="U58" s="14">
        <f t="shared" si="7"/>
        <v>10.835123456790123</v>
      </c>
      <c r="W58">
        <v>1297.4000000000001</v>
      </c>
      <c r="X58">
        <f t="shared" si="5"/>
        <v>24503.899999999998</v>
      </c>
      <c r="Y58">
        <f t="shared" si="6"/>
        <v>24503.899999999998</v>
      </c>
      <c r="Z58">
        <v>11.85119748239433</v>
      </c>
    </row>
    <row r="59" spans="1:26" x14ac:dyDescent="0.25">
      <c r="A59">
        <v>5320</v>
      </c>
      <c r="B59">
        <v>23210</v>
      </c>
      <c r="C59" s="1">
        <v>42636</v>
      </c>
      <c r="F59" s="32"/>
      <c r="G59">
        <v>16.7</v>
      </c>
      <c r="H59">
        <v>11</v>
      </c>
      <c r="I59">
        <v>23.6</v>
      </c>
      <c r="J59">
        <f t="shared" si="3"/>
        <v>418.19999999999987</v>
      </c>
      <c r="K59">
        <f t="shared" si="4"/>
        <v>418.19999999999987</v>
      </c>
      <c r="M59">
        <v>0</v>
      </c>
      <c r="N59">
        <v>2.6</v>
      </c>
      <c r="O59">
        <f t="shared" si="0"/>
        <v>-2.6</v>
      </c>
      <c r="Q59">
        <v>23</v>
      </c>
      <c r="R59">
        <f t="shared" si="8"/>
        <v>0.47839506172839508</v>
      </c>
      <c r="S59">
        <f t="shared" si="1"/>
        <v>1.2438271604938271</v>
      </c>
      <c r="T59">
        <f t="shared" si="2"/>
        <v>-1.2438271604938271</v>
      </c>
      <c r="U59" s="14">
        <f t="shared" si="7"/>
        <v>9.5912962962962958</v>
      </c>
      <c r="W59">
        <v>1393.8</v>
      </c>
      <c r="X59">
        <f t="shared" si="5"/>
        <v>25897.699999999997</v>
      </c>
      <c r="Y59">
        <f t="shared" si="6"/>
        <v>25897.699999999997</v>
      </c>
      <c r="Z59">
        <v>11.791704929284512</v>
      </c>
    </row>
    <row r="60" spans="1:26" x14ac:dyDescent="0.25">
      <c r="A60">
        <v>5320</v>
      </c>
      <c r="B60">
        <v>23210</v>
      </c>
      <c r="C60" s="1">
        <v>42637</v>
      </c>
      <c r="F60" s="32"/>
      <c r="G60">
        <v>16.7</v>
      </c>
      <c r="H60">
        <v>9.5</v>
      </c>
      <c r="I60">
        <v>25.1</v>
      </c>
      <c r="J60">
        <f t="shared" si="3"/>
        <v>434.89999999999986</v>
      </c>
      <c r="K60">
        <f t="shared" si="4"/>
        <v>434.89999999999986</v>
      </c>
      <c r="M60">
        <v>0</v>
      </c>
      <c r="N60">
        <v>3.6</v>
      </c>
      <c r="O60">
        <f t="shared" si="0"/>
        <v>-3.6</v>
      </c>
      <c r="Q60">
        <v>24</v>
      </c>
      <c r="R60">
        <f t="shared" si="8"/>
        <v>0.48641975308641971</v>
      </c>
      <c r="S60">
        <f t="shared" si="1"/>
        <v>1.7511111111111111</v>
      </c>
      <c r="T60">
        <f t="shared" si="2"/>
        <v>-1.7511111111111111</v>
      </c>
      <c r="U60" s="14">
        <f t="shared" si="7"/>
        <v>7.8401851851851845</v>
      </c>
      <c r="W60">
        <v>1557.7</v>
      </c>
      <c r="X60">
        <f t="shared" si="5"/>
        <v>27455.399999999998</v>
      </c>
      <c r="Y60">
        <f t="shared" si="6"/>
        <v>27455.399999999998</v>
      </c>
      <c r="Z60">
        <v>11.732240893429678</v>
      </c>
    </row>
    <row r="61" spans="1:26" x14ac:dyDescent="0.25">
      <c r="A61">
        <v>5320</v>
      </c>
      <c r="B61">
        <v>23210</v>
      </c>
      <c r="C61" s="1">
        <v>42638</v>
      </c>
      <c r="F61" s="32"/>
      <c r="G61">
        <v>14.7</v>
      </c>
      <c r="H61">
        <v>13.2</v>
      </c>
      <c r="I61">
        <v>18.8</v>
      </c>
      <c r="J61">
        <f t="shared" si="3"/>
        <v>449.59999999999985</v>
      </c>
      <c r="K61">
        <f t="shared" si="4"/>
        <v>449.59999999999985</v>
      </c>
      <c r="M61">
        <v>0.5</v>
      </c>
      <c r="N61">
        <v>2.2999999999999998</v>
      </c>
      <c r="O61">
        <f t="shared" si="0"/>
        <v>-1.7999999999999998</v>
      </c>
      <c r="Q61">
        <v>25</v>
      </c>
      <c r="R61">
        <f t="shared" si="8"/>
        <v>0.49444444444444441</v>
      </c>
      <c r="S61">
        <f t="shared" si="1"/>
        <v>1.1372222222222221</v>
      </c>
      <c r="T61">
        <f t="shared" si="2"/>
        <v>-0.63722222222222213</v>
      </c>
      <c r="U61" s="14">
        <f t="shared" si="7"/>
        <v>7.2029629629629621</v>
      </c>
      <c r="W61">
        <v>1090.2</v>
      </c>
      <c r="X61">
        <f t="shared" si="5"/>
        <v>28545.599999999999</v>
      </c>
      <c r="Y61">
        <f t="shared" si="6"/>
        <v>28545.599999999999</v>
      </c>
      <c r="Z61">
        <v>11.672813613030808</v>
      </c>
    </row>
    <row r="62" spans="1:26" x14ac:dyDescent="0.25">
      <c r="A62">
        <v>5320</v>
      </c>
      <c r="B62">
        <v>23210</v>
      </c>
      <c r="C62" s="1">
        <v>42639</v>
      </c>
      <c r="F62" s="32"/>
      <c r="G62">
        <v>13.8</v>
      </c>
      <c r="H62">
        <v>7.3</v>
      </c>
      <c r="I62">
        <v>21.1</v>
      </c>
      <c r="J62">
        <f t="shared" si="3"/>
        <v>463.39999999999986</v>
      </c>
      <c r="K62">
        <f t="shared" si="4"/>
        <v>463.39999999999986</v>
      </c>
      <c r="M62">
        <v>0</v>
      </c>
      <c r="N62">
        <v>1.7</v>
      </c>
      <c r="O62">
        <f t="shared" si="0"/>
        <v>-1.7</v>
      </c>
      <c r="Q62">
        <v>26</v>
      </c>
      <c r="R62">
        <f t="shared" si="8"/>
        <v>0.5024691358024691</v>
      </c>
      <c r="S62">
        <f t="shared" si="1"/>
        <v>0.85419753086419747</v>
      </c>
      <c r="T62">
        <f t="shared" si="2"/>
        <v>-0.85419753086419747</v>
      </c>
      <c r="U62" s="14">
        <f t="shared" si="7"/>
        <v>6.348765432098765</v>
      </c>
      <c r="W62">
        <v>922.7</v>
      </c>
      <c r="X62">
        <f t="shared" si="5"/>
        <v>29468.3</v>
      </c>
      <c r="Y62">
        <f t="shared" si="6"/>
        <v>29468.3</v>
      </c>
      <c r="Z62">
        <v>11.613431394016612</v>
      </c>
    </row>
    <row r="63" spans="1:26" x14ac:dyDescent="0.25">
      <c r="A63">
        <v>5320</v>
      </c>
      <c r="B63">
        <v>23210</v>
      </c>
      <c r="C63" s="1">
        <v>42640</v>
      </c>
      <c r="F63" s="32"/>
      <c r="G63">
        <v>16.3</v>
      </c>
      <c r="H63">
        <v>9.5</v>
      </c>
      <c r="I63">
        <v>23</v>
      </c>
      <c r="J63">
        <f t="shared" si="3"/>
        <v>479.69999999999987</v>
      </c>
      <c r="K63">
        <f t="shared" si="4"/>
        <v>479.69999999999987</v>
      </c>
      <c r="M63">
        <v>0</v>
      </c>
      <c r="N63">
        <v>2.2999999999999998</v>
      </c>
      <c r="O63">
        <f t="shared" si="0"/>
        <v>-2.2999999999999998</v>
      </c>
      <c r="Q63">
        <v>27</v>
      </c>
      <c r="R63">
        <f t="shared" si="8"/>
        <v>0.51049382716049374</v>
      </c>
      <c r="S63">
        <f t="shared" si="1"/>
        <v>1.1741358024691355</v>
      </c>
      <c r="T63">
        <f t="shared" si="2"/>
        <v>-1.1741358024691355</v>
      </c>
      <c r="U63" s="14">
        <f t="shared" si="7"/>
        <v>5.1746296296296297</v>
      </c>
      <c r="W63">
        <v>966.2</v>
      </c>
      <c r="X63">
        <f t="shared" si="5"/>
        <v>30434.5</v>
      </c>
      <c r="Y63">
        <f t="shared" si="6"/>
        <v>30434.5</v>
      </c>
      <c r="Z63">
        <v>11.554102625001134</v>
      </c>
    </row>
    <row r="64" spans="1:26" x14ac:dyDescent="0.25">
      <c r="A64">
        <v>5320</v>
      </c>
      <c r="B64">
        <v>23210</v>
      </c>
      <c r="C64" s="1">
        <v>42641</v>
      </c>
      <c r="F64" s="32"/>
      <c r="G64">
        <v>15.8</v>
      </c>
      <c r="H64">
        <v>10.8</v>
      </c>
      <c r="I64">
        <v>21.3</v>
      </c>
      <c r="J64">
        <f t="shared" si="3"/>
        <v>495.49999999999989</v>
      </c>
      <c r="K64">
        <f t="shared" si="4"/>
        <v>495.49999999999989</v>
      </c>
      <c r="M64">
        <v>0.1</v>
      </c>
      <c r="N64">
        <v>1.2</v>
      </c>
      <c r="O64">
        <f t="shared" si="0"/>
        <v>-1.0999999999999999</v>
      </c>
      <c r="Q64">
        <v>28</v>
      </c>
      <c r="R64">
        <f t="shared" si="8"/>
        <v>0.51851851851851849</v>
      </c>
      <c r="S64">
        <f t="shared" si="1"/>
        <v>0.62222222222222212</v>
      </c>
      <c r="T64">
        <f t="shared" si="2"/>
        <v>-0.52222222222222214</v>
      </c>
      <c r="U64" s="14">
        <f t="shared" si="7"/>
        <v>4.6524074074074075</v>
      </c>
      <c r="W64">
        <v>511</v>
      </c>
      <c r="X64">
        <f t="shared" si="5"/>
        <v>30945.5</v>
      </c>
      <c r="Y64">
        <f t="shared" si="6"/>
        <v>30945.5</v>
      </c>
      <c r="Z64">
        <v>11.494835792183968</v>
      </c>
    </row>
    <row r="65" spans="1:26" x14ac:dyDescent="0.25">
      <c r="A65">
        <v>5320</v>
      </c>
      <c r="B65">
        <v>23210</v>
      </c>
      <c r="C65" s="1">
        <v>42642</v>
      </c>
      <c r="F65" s="32"/>
      <c r="G65">
        <v>17.399999999999999</v>
      </c>
      <c r="H65">
        <v>11.4</v>
      </c>
      <c r="I65">
        <v>23.3</v>
      </c>
      <c r="J65">
        <f t="shared" si="3"/>
        <v>512.89999999999986</v>
      </c>
      <c r="K65">
        <f t="shared" si="4"/>
        <v>512.89999999999986</v>
      </c>
      <c r="M65">
        <v>0.3</v>
      </c>
      <c r="N65">
        <v>2.2000000000000002</v>
      </c>
      <c r="O65">
        <f t="shared" si="0"/>
        <v>-1.9000000000000001</v>
      </c>
      <c r="Q65">
        <v>29</v>
      </c>
      <c r="R65">
        <f t="shared" si="8"/>
        <v>0.52654320987654324</v>
      </c>
      <c r="S65">
        <f t="shared" si="1"/>
        <v>1.1583950617283951</v>
      </c>
      <c r="T65">
        <f t="shared" si="2"/>
        <v>-0.85839506172839508</v>
      </c>
      <c r="U65" s="14">
        <f t="shared" si="7"/>
        <v>3.7940123456790125</v>
      </c>
      <c r="W65">
        <v>846.9</v>
      </c>
      <c r="X65">
        <f t="shared" si="5"/>
        <v>31792.400000000001</v>
      </c>
      <c r="Y65">
        <f t="shared" si="6"/>
        <v>31792.400000000001</v>
      </c>
      <c r="Z65">
        <v>11.435639494181173</v>
      </c>
    </row>
    <row r="66" spans="1:26" x14ac:dyDescent="0.25">
      <c r="A66">
        <v>5320</v>
      </c>
      <c r="B66">
        <v>23210</v>
      </c>
      <c r="C66" s="1">
        <v>42643</v>
      </c>
      <c r="F66" s="32"/>
      <c r="G66">
        <v>14.6</v>
      </c>
      <c r="H66">
        <v>13.3</v>
      </c>
      <c r="I66">
        <v>16.899999999999999</v>
      </c>
      <c r="J66">
        <f t="shared" si="3"/>
        <v>527.49999999999989</v>
      </c>
      <c r="K66">
        <f t="shared" si="4"/>
        <v>527.49999999999989</v>
      </c>
      <c r="M66">
        <v>17.7</v>
      </c>
      <c r="N66">
        <v>0.8</v>
      </c>
      <c r="O66">
        <f t="shared" si="0"/>
        <v>16.899999999999999</v>
      </c>
      <c r="Q66">
        <v>30</v>
      </c>
      <c r="R66">
        <f t="shared" si="8"/>
        <v>0.53456790123456788</v>
      </c>
      <c r="S66">
        <f t="shared" si="1"/>
        <v>0.42765432098765432</v>
      </c>
      <c r="T66">
        <f t="shared" si="2"/>
        <v>17.272345679012346</v>
      </c>
      <c r="U66" s="14">
        <f t="shared" si="7"/>
        <v>21.066358024691358</v>
      </c>
      <c r="W66">
        <v>528.70000000000005</v>
      </c>
      <c r="X66">
        <f t="shared" si="5"/>
        <v>32321.100000000002</v>
      </c>
      <c r="Y66">
        <f t="shared" si="6"/>
        <v>32321.100000000002</v>
      </c>
      <c r="Z66">
        <v>11.376522456774246</v>
      </c>
    </row>
    <row r="67" spans="1:26" x14ac:dyDescent="0.25">
      <c r="A67">
        <v>5320</v>
      </c>
      <c r="B67">
        <v>23210</v>
      </c>
      <c r="C67" s="1">
        <v>42644</v>
      </c>
      <c r="F67" s="32"/>
      <c r="G67">
        <v>13.6</v>
      </c>
      <c r="H67">
        <v>12.3</v>
      </c>
      <c r="I67">
        <v>17.399999999999999</v>
      </c>
      <c r="J67">
        <f t="shared" si="3"/>
        <v>541.09999999999991</v>
      </c>
      <c r="K67">
        <f t="shared" si="4"/>
        <v>541.09999999999991</v>
      </c>
      <c r="M67">
        <v>1.3</v>
      </c>
      <c r="N67">
        <v>2</v>
      </c>
      <c r="O67">
        <f t="shared" si="0"/>
        <v>-0.7</v>
      </c>
      <c r="Q67">
        <v>31</v>
      </c>
      <c r="R67">
        <f t="shared" si="8"/>
        <v>0.54259259259259252</v>
      </c>
      <c r="S67">
        <f t="shared" si="1"/>
        <v>1.085185185185185</v>
      </c>
      <c r="T67">
        <f t="shared" si="2"/>
        <v>0.21481481481481501</v>
      </c>
      <c r="U67" s="14">
        <f t="shared" si="7"/>
        <v>21.281172839506173</v>
      </c>
      <c r="W67">
        <v>801.5</v>
      </c>
      <c r="X67">
        <f t="shared" si="5"/>
        <v>33122.600000000006</v>
      </c>
      <c r="Y67">
        <f t="shared" si="6"/>
        <v>33122.600000000006</v>
      </c>
      <c r="Z67">
        <v>11.317493547563753</v>
      </c>
    </row>
    <row r="68" spans="1:26" x14ac:dyDescent="0.25">
      <c r="A68">
        <v>5320</v>
      </c>
      <c r="B68">
        <v>23210</v>
      </c>
      <c r="C68" s="1">
        <v>42645</v>
      </c>
      <c r="F68" s="32"/>
      <c r="G68">
        <v>10.7</v>
      </c>
      <c r="H68">
        <v>6.4</v>
      </c>
      <c r="I68">
        <v>16.100000000000001</v>
      </c>
      <c r="J68">
        <f t="shared" si="3"/>
        <v>551.79999999999995</v>
      </c>
      <c r="K68">
        <f t="shared" si="4"/>
        <v>551.79999999999995</v>
      </c>
      <c r="M68">
        <v>0</v>
      </c>
      <c r="N68">
        <v>1.5</v>
      </c>
      <c r="O68">
        <f t="shared" si="0"/>
        <v>-1.5</v>
      </c>
      <c r="Q68">
        <v>32</v>
      </c>
      <c r="R68">
        <f t="shared" si="8"/>
        <v>0.55061728395061726</v>
      </c>
      <c r="S68">
        <f t="shared" si="1"/>
        <v>0.82592592592592595</v>
      </c>
      <c r="T68">
        <f t="shared" si="2"/>
        <v>-0.82592592592592595</v>
      </c>
      <c r="U68" s="14">
        <f t="shared" si="7"/>
        <v>20.455246913580247</v>
      </c>
      <c r="W68">
        <v>930</v>
      </c>
      <c r="X68">
        <f t="shared" si="5"/>
        <v>34052.600000000006</v>
      </c>
      <c r="Y68">
        <f t="shared" si="6"/>
        <v>34052.600000000006</v>
      </c>
      <c r="Z68">
        <v>11.258561790513085</v>
      </c>
    </row>
    <row r="69" spans="1:26" x14ac:dyDescent="0.25">
      <c r="A69">
        <v>5320</v>
      </c>
      <c r="B69">
        <v>23210</v>
      </c>
      <c r="C69" s="1">
        <v>42646</v>
      </c>
      <c r="F69" s="32"/>
      <c r="G69">
        <v>11</v>
      </c>
      <c r="H69">
        <v>4.7</v>
      </c>
      <c r="I69">
        <v>17.3</v>
      </c>
      <c r="J69">
        <f t="shared" si="3"/>
        <v>562.79999999999995</v>
      </c>
      <c r="K69">
        <f t="shared" si="4"/>
        <v>562.79999999999995</v>
      </c>
      <c r="M69">
        <v>0</v>
      </c>
      <c r="N69">
        <v>2.4</v>
      </c>
      <c r="O69">
        <f t="shared" ref="O69:O132" si="9">M69-N69</f>
        <v>-2.4</v>
      </c>
      <c r="Q69">
        <v>33</v>
      </c>
      <c r="R69">
        <f t="shared" si="8"/>
        <v>0.55864197530864201</v>
      </c>
      <c r="S69">
        <f t="shared" si="1"/>
        <v>1.3407407407407408</v>
      </c>
      <c r="T69">
        <f t="shared" si="2"/>
        <v>-1.3407407407407408</v>
      </c>
      <c r="U69" s="14">
        <f t="shared" si="7"/>
        <v>19.114506172839505</v>
      </c>
      <c r="W69">
        <v>1543.5</v>
      </c>
      <c r="X69">
        <f t="shared" si="5"/>
        <v>35596.100000000006</v>
      </c>
      <c r="Y69">
        <f t="shared" si="6"/>
        <v>35596.100000000006</v>
      </c>
      <c r="Z69">
        <v>11.199736380366977</v>
      </c>
    </row>
    <row r="70" spans="1:26" x14ac:dyDescent="0.25">
      <c r="A70">
        <v>5320</v>
      </c>
      <c r="B70">
        <v>23210</v>
      </c>
      <c r="C70" s="1">
        <v>42647</v>
      </c>
      <c r="F70" s="32"/>
      <c r="G70">
        <v>12.9</v>
      </c>
      <c r="H70">
        <v>8.1999999999999993</v>
      </c>
      <c r="I70">
        <v>18.7</v>
      </c>
      <c r="J70">
        <f t="shared" si="3"/>
        <v>575.69999999999993</v>
      </c>
      <c r="K70">
        <f t="shared" si="4"/>
        <v>575.69999999999993</v>
      </c>
      <c r="M70">
        <v>0</v>
      </c>
      <c r="N70">
        <v>3.1</v>
      </c>
      <c r="O70">
        <f t="shared" si="9"/>
        <v>-3.1</v>
      </c>
      <c r="Q70">
        <v>34</v>
      </c>
      <c r="R70">
        <f t="shared" si="8"/>
        <v>0.56666666666666665</v>
      </c>
      <c r="S70">
        <f t="shared" si="1"/>
        <v>1.7566666666666666</v>
      </c>
      <c r="T70">
        <f t="shared" si="2"/>
        <v>-1.7566666666666666</v>
      </c>
      <c r="U70" s="14">
        <f t="shared" si="7"/>
        <v>17.357839506172837</v>
      </c>
      <c r="W70">
        <v>1506.9</v>
      </c>
      <c r="X70">
        <f t="shared" si="5"/>
        <v>37103.000000000007</v>
      </c>
      <c r="Y70">
        <f t="shared" si="6"/>
        <v>37103.000000000007</v>
      </c>
      <c r="Z70">
        <v>11.14102669692803</v>
      </c>
    </row>
    <row r="71" spans="1:26" x14ac:dyDescent="0.25">
      <c r="A71">
        <v>5320</v>
      </c>
      <c r="B71">
        <v>23210</v>
      </c>
      <c r="C71" s="1">
        <v>42648</v>
      </c>
      <c r="F71" s="32"/>
      <c r="G71">
        <v>11.6</v>
      </c>
      <c r="H71">
        <v>8.5</v>
      </c>
      <c r="I71">
        <v>16.600000000000001</v>
      </c>
      <c r="J71">
        <f t="shared" si="3"/>
        <v>587.29999999999995</v>
      </c>
      <c r="K71">
        <f t="shared" si="4"/>
        <v>587.29999999999995</v>
      </c>
      <c r="M71">
        <v>0</v>
      </c>
      <c r="N71">
        <v>2.8</v>
      </c>
      <c r="O71">
        <f t="shared" si="9"/>
        <v>-2.8</v>
      </c>
      <c r="Q71">
        <v>35</v>
      </c>
      <c r="R71">
        <f t="shared" si="8"/>
        <v>0.57469135802469129</v>
      </c>
      <c r="S71">
        <f t="shared" si="1"/>
        <v>1.6091358024691356</v>
      </c>
      <c r="T71">
        <f t="shared" si="2"/>
        <v>-1.6091358024691356</v>
      </c>
      <c r="U71" s="14">
        <f t="shared" si="7"/>
        <v>15.748703703703702</v>
      </c>
      <c r="W71">
        <v>1416.5</v>
      </c>
      <c r="X71">
        <f t="shared" si="5"/>
        <v>38519.500000000007</v>
      </c>
      <c r="Y71">
        <f t="shared" si="6"/>
        <v>38519.500000000007</v>
      </c>
      <c r="Z71">
        <v>11.082442319173392</v>
      </c>
    </row>
    <row r="72" spans="1:26" x14ac:dyDescent="0.25">
      <c r="A72">
        <v>5320</v>
      </c>
      <c r="B72">
        <v>23210</v>
      </c>
      <c r="C72" s="1">
        <v>42649</v>
      </c>
      <c r="F72" s="32"/>
      <c r="G72">
        <v>9.4</v>
      </c>
      <c r="H72">
        <v>4.7</v>
      </c>
      <c r="I72">
        <v>13.9</v>
      </c>
      <c r="J72">
        <f t="shared" si="3"/>
        <v>596.69999999999993</v>
      </c>
      <c r="K72">
        <f t="shared" si="4"/>
        <v>596.69999999999993</v>
      </c>
      <c r="M72">
        <v>0</v>
      </c>
      <c r="N72">
        <v>2.6</v>
      </c>
      <c r="O72">
        <f t="shared" si="9"/>
        <v>-2.6</v>
      </c>
      <c r="Q72">
        <v>36</v>
      </c>
      <c r="R72">
        <f t="shared" si="8"/>
        <v>0.58271604938271604</v>
      </c>
      <c r="S72">
        <f t="shared" si="1"/>
        <v>1.5150617283950618</v>
      </c>
      <c r="T72">
        <f t="shared" si="2"/>
        <v>-1.5150617283950618</v>
      </c>
      <c r="U72" s="14">
        <f t="shared" si="7"/>
        <v>14.23364197530864</v>
      </c>
      <c r="W72">
        <v>1605.6</v>
      </c>
      <c r="X72">
        <f t="shared" si="5"/>
        <v>40125.100000000006</v>
      </c>
      <c r="Y72">
        <f t="shared" si="6"/>
        <v>40125.100000000006</v>
      </c>
      <c r="Z72">
        <v>11.023993039192186</v>
      </c>
    </row>
    <row r="73" spans="1:26" x14ac:dyDescent="0.25">
      <c r="A73">
        <v>5320</v>
      </c>
      <c r="B73">
        <v>23210</v>
      </c>
      <c r="C73" s="1">
        <v>42650</v>
      </c>
      <c r="F73" s="32"/>
      <c r="G73">
        <v>10.199999999999999</v>
      </c>
      <c r="H73">
        <v>6</v>
      </c>
      <c r="I73">
        <v>12.9</v>
      </c>
      <c r="J73">
        <f t="shared" si="3"/>
        <v>606.9</v>
      </c>
      <c r="K73">
        <f t="shared" si="4"/>
        <v>606.9</v>
      </c>
      <c r="M73">
        <v>0</v>
      </c>
      <c r="N73">
        <v>1</v>
      </c>
      <c r="O73">
        <f t="shared" si="9"/>
        <v>-1</v>
      </c>
      <c r="Q73">
        <v>37</v>
      </c>
      <c r="R73">
        <f t="shared" si="8"/>
        <v>0.59074074074074068</v>
      </c>
      <c r="S73">
        <f t="shared" si="1"/>
        <v>0.59074074074074068</v>
      </c>
      <c r="T73">
        <f t="shared" si="2"/>
        <v>-0.59074074074074068</v>
      </c>
      <c r="U73" s="14">
        <f t="shared" si="7"/>
        <v>13.642901234567899</v>
      </c>
      <c r="W73">
        <v>483.5</v>
      </c>
      <c r="X73">
        <f t="shared" si="5"/>
        <v>40608.600000000006</v>
      </c>
      <c r="Y73">
        <f t="shared" si="6"/>
        <v>40608.600000000006</v>
      </c>
      <c r="Z73">
        <v>10.965688875922906</v>
      </c>
    </row>
    <row r="74" spans="1:26" x14ac:dyDescent="0.25">
      <c r="A74">
        <v>5320</v>
      </c>
      <c r="B74">
        <v>23210</v>
      </c>
      <c r="C74" s="1">
        <v>42651</v>
      </c>
      <c r="F74" s="32"/>
      <c r="G74">
        <v>12</v>
      </c>
      <c r="H74">
        <v>10.7</v>
      </c>
      <c r="I74">
        <v>14.9</v>
      </c>
      <c r="J74">
        <f t="shared" si="3"/>
        <v>618.9</v>
      </c>
      <c r="K74">
        <f t="shared" si="4"/>
        <v>618.9</v>
      </c>
      <c r="M74">
        <v>0</v>
      </c>
      <c r="N74">
        <v>1.4</v>
      </c>
      <c r="O74">
        <f t="shared" si="9"/>
        <v>-1.4</v>
      </c>
      <c r="Q74">
        <v>38</v>
      </c>
      <c r="R74">
        <f t="shared" si="8"/>
        <v>0.59876543209876543</v>
      </c>
      <c r="S74">
        <f t="shared" si="1"/>
        <v>0.83827160493827158</v>
      </c>
      <c r="T74">
        <f t="shared" si="2"/>
        <v>-0.83827160493827158</v>
      </c>
      <c r="U74" s="14">
        <f t="shared" si="7"/>
        <v>12.804629629629629</v>
      </c>
      <c r="W74">
        <v>392.3</v>
      </c>
      <c r="X74">
        <f t="shared" si="5"/>
        <v>41000.900000000009</v>
      </c>
      <c r="Y74">
        <f t="shared" si="6"/>
        <v>41000.900000000009</v>
      </c>
      <c r="Z74">
        <v>10.907540088668341</v>
      </c>
    </row>
    <row r="75" spans="1:26" x14ac:dyDescent="0.25">
      <c r="A75">
        <v>5320</v>
      </c>
      <c r="B75">
        <v>23210</v>
      </c>
      <c r="C75" s="1">
        <v>42652</v>
      </c>
      <c r="F75" s="32"/>
      <c r="G75">
        <v>10.5</v>
      </c>
      <c r="H75">
        <v>7.5</v>
      </c>
      <c r="I75">
        <v>15.4</v>
      </c>
      <c r="J75">
        <f t="shared" si="3"/>
        <v>629.4</v>
      </c>
      <c r="K75">
        <f t="shared" si="4"/>
        <v>629.4</v>
      </c>
      <c r="M75">
        <v>0</v>
      </c>
      <c r="N75">
        <v>2</v>
      </c>
      <c r="O75">
        <f t="shared" si="9"/>
        <v>-2</v>
      </c>
      <c r="Q75">
        <v>39</v>
      </c>
      <c r="R75">
        <f t="shared" si="8"/>
        <v>0.60679012345679006</v>
      </c>
      <c r="S75">
        <f t="shared" si="1"/>
        <v>1.2135802469135801</v>
      </c>
      <c r="T75">
        <f t="shared" si="2"/>
        <v>-1.2135802469135801</v>
      </c>
      <c r="U75" s="14">
        <f t="shared" si="7"/>
        <v>11.591049382716049</v>
      </c>
      <c r="W75">
        <v>908.1</v>
      </c>
      <c r="X75">
        <f t="shared" si="5"/>
        <v>41909.000000000007</v>
      </c>
      <c r="Y75">
        <f t="shared" si="6"/>
        <v>41909.000000000007</v>
      </c>
      <c r="Z75">
        <v>10.849557190363928</v>
      </c>
    </row>
    <row r="76" spans="1:26" x14ac:dyDescent="0.25">
      <c r="A76">
        <v>5320</v>
      </c>
      <c r="B76">
        <v>23210</v>
      </c>
      <c r="C76" s="1">
        <v>42653</v>
      </c>
      <c r="F76" s="32"/>
      <c r="G76">
        <v>8.6999999999999993</v>
      </c>
      <c r="H76">
        <v>2.7</v>
      </c>
      <c r="I76">
        <v>14.5</v>
      </c>
      <c r="J76">
        <f t="shared" si="3"/>
        <v>638.1</v>
      </c>
      <c r="K76">
        <f t="shared" si="4"/>
        <v>638.1</v>
      </c>
      <c r="M76">
        <v>0.1</v>
      </c>
      <c r="N76">
        <v>1.3</v>
      </c>
      <c r="O76">
        <f t="shared" si="9"/>
        <v>-1.2</v>
      </c>
      <c r="Q76">
        <v>40</v>
      </c>
      <c r="R76">
        <f t="shared" si="8"/>
        <v>0.61481481481481481</v>
      </c>
      <c r="S76">
        <f t="shared" si="1"/>
        <v>0.79925925925925934</v>
      </c>
      <c r="T76">
        <f t="shared" si="2"/>
        <v>-0.69925925925925936</v>
      </c>
      <c r="U76" s="14">
        <f t="shared" si="7"/>
        <v>10.89179012345679</v>
      </c>
      <c r="W76">
        <v>816.5</v>
      </c>
      <c r="X76">
        <f t="shared" si="5"/>
        <v>42725.500000000007</v>
      </c>
      <c r="Y76">
        <f t="shared" si="6"/>
        <v>42725.500000000007</v>
      </c>
      <c r="Z76">
        <v>10.791750960573564</v>
      </c>
    </row>
    <row r="77" spans="1:26" x14ac:dyDescent="0.25">
      <c r="A77">
        <v>5320</v>
      </c>
      <c r="B77">
        <v>23210</v>
      </c>
      <c r="C77" s="1">
        <v>42654</v>
      </c>
      <c r="F77" s="32"/>
      <c r="G77">
        <v>7.8</v>
      </c>
      <c r="H77">
        <v>3.6</v>
      </c>
      <c r="I77">
        <v>12.4</v>
      </c>
      <c r="J77">
        <f t="shared" si="3"/>
        <v>645.9</v>
      </c>
      <c r="K77">
        <f t="shared" si="4"/>
        <v>645.9</v>
      </c>
      <c r="M77">
        <v>0</v>
      </c>
      <c r="N77">
        <v>1.3</v>
      </c>
      <c r="O77">
        <f t="shared" si="9"/>
        <v>-1.3</v>
      </c>
      <c r="Q77">
        <v>41</v>
      </c>
      <c r="R77">
        <f t="shared" si="8"/>
        <v>0.62283950617283945</v>
      </c>
      <c r="S77">
        <f t="shared" si="1"/>
        <v>0.80969135802469128</v>
      </c>
      <c r="T77">
        <f t="shared" si="2"/>
        <v>-0.80969135802469128</v>
      </c>
      <c r="U77" s="14">
        <f t="shared" si="7"/>
        <v>10.082098765432098</v>
      </c>
      <c r="W77">
        <v>934.2</v>
      </c>
      <c r="X77">
        <f t="shared" si="5"/>
        <v>43659.700000000004</v>
      </c>
      <c r="Y77">
        <f t="shared" si="6"/>
        <v>43659.700000000004</v>
      </c>
      <c r="Z77">
        <v>10.73413245818508</v>
      </c>
    </row>
    <row r="78" spans="1:26" x14ac:dyDescent="0.25">
      <c r="A78">
        <v>5320</v>
      </c>
      <c r="B78">
        <v>23210</v>
      </c>
      <c r="C78" s="1">
        <v>42655</v>
      </c>
      <c r="F78" s="32"/>
      <c r="G78">
        <v>8.5</v>
      </c>
      <c r="H78">
        <v>3.4</v>
      </c>
      <c r="I78">
        <v>13.9</v>
      </c>
      <c r="J78">
        <f t="shared" si="3"/>
        <v>654.4</v>
      </c>
      <c r="K78">
        <f t="shared" si="4"/>
        <v>654.4</v>
      </c>
      <c r="M78">
        <v>0</v>
      </c>
      <c r="N78">
        <v>1.9</v>
      </c>
      <c r="O78">
        <f t="shared" si="9"/>
        <v>-1.9</v>
      </c>
      <c r="Q78">
        <v>42</v>
      </c>
      <c r="R78">
        <f t="shared" si="8"/>
        <v>0.6308641975308642</v>
      </c>
      <c r="S78">
        <f t="shared" si="1"/>
        <v>1.1986419753086419</v>
      </c>
      <c r="T78">
        <f t="shared" si="2"/>
        <v>-1.1986419753086419</v>
      </c>
      <c r="U78" s="14">
        <f t="shared" si="7"/>
        <v>8.8834567901234571</v>
      </c>
      <c r="W78">
        <v>1083.4000000000001</v>
      </c>
      <c r="X78">
        <f t="shared" si="5"/>
        <v>44743.100000000006</v>
      </c>
      <c r="Y78">
        <f t="shared" si="6"/>
        <v>44743.100000000006</v>
      </c>
      <c r="Z78">
        <v>10.676713033775604</v>
      </c>
    </row>
    <row r="79" spans="1:26" x14ac:dyDescent="0.25">
      <c r="A79">
        <v>5320</v>
      </c>
      <c r="B79">
        <v>23210</v>
      </c>
      <c r="C79" s="1">
        <v>42656</v>
      </c>
      <c r="F79" s="32"/>
      <c r="G79">
        <v>7.7</v>
      </c>
      <c r="H79">
        <v>4.4000000000000004</v>
      </c>
      <c r="I79">
        <v>9.5</v>
      </c>
      <c r="J79">
        <f t="shared" si="3"/>
        <v>662.1</v>
      </c>
      <c r="K79">
        <f t="shared" si="4"/>
        <v>662.1</v>
      </c>
      <c r="M79">
        <v>1.4</v>
      </c>
      <c r="N79">
        <v>0.3</v>
      </c>
      <c r="O79">
        <f t="shared" si="9"/>
        <v>1.0999999999999999</v>
      </c>
      <c r="Q79">
        <v>43</v>
      </c>
      <c r="R79">
        <f t="shared" si="8"/>
        <v>0.63888888888888884</v>
      </c>
      <c r="S79">
        <f t="shared" si="1"/>
        <v>0.19166666666666665</v>
      </c>
      <c r="T79">
        <f t="shared" si="2"/>
        <v>1.2083333333333333</v>
      </c>
      <c r="U79" s="14">
        <f t="shared" si="7"/>
        <v>10.091790123456791</v>
      </c>
      <c r="W79">
        <v>244.4</v>
      </c>
      <c r="X79">
        <f t="shared" si="5"/>
        <v>44987.500000000007</v>
      </c>
      <c r="Y79">
        <f t="shared" si="6"/>
        <v>44987.500000000007</v>
      </c>
      <c r="Z79">
        <v>10.619504341614908</v>
      </c>
    </row>
    <row r="80" spans="1:26" x14ac:dyDescent="0.25">
      <c r="A80">
        <v>5320</v>
      </c>
      <c r="B80">
        <v>23210</v>
      </c>
      <c r="C80" s="1">
        <v>42657</v>
      </c>
      <c r="F80" s="32"/>
      <c r="G80">
        <v>10.1</v>
      </c>
      <c r="H80">
        <v>9.1999999999999993</v>
      </c>
      <c r="I80">
        <v>11.6</v>
      </c>
      <c r="J80">
        <f t="shared" si="3"/>
        <v>672.2</v>
      </c>
      <c r="K80">
        <f t="shared" si="4"/>
        <v>672.2</v>
      </c>
      <c r="M80">
        <v>0</v>
      </c>
      <c r="N80">
        <v>0.6</v>
      </c>
      <c r="O80">
        <f t="shared" si="9"/>
        <v>-0.6</v>
      </c>
      <c r="Q80">
        <v>44</v>
      </c>
      <c r="R80">
        <f t="shared" si="8"/>
        <v>0.64691358024691348</v>
      </c>
      <c r="S80">
        <f t="shared" si="1"/>
        <v>0.38814814814814808</v>
      </c>
      <c r="T80">
        <f t="shared" si="2"/>
        <v>-0.38814814814814808</v>
      </c>
      <c r="U80" s="14">
        <f t="shared" si="7"/>
        <v>9.7036419753086438</v>
      </c>
      <c r="W80">
        <v>322.2</v>
      </c>
      <c r="X80">
        <f t="shared" si="5"/>
        <v>45309.700000000004</v>
      </c>
      <c r="Y80">
        <f t="shared" si="6"/>
        <v>45309.700000000004</v>
      </c>
      <c r="Z80">
        <v>10.562518351272772</v>
      </c>
    </row>
    <row r="81" spans="1:26" x14ac:dyDescent="0.25">
      <c r="A81">
        <v>5320</v>
      </c>
      <c r="B81">
        <v>23210</v>
      </c>
      <c r="C81" s="1">
        <v>42658</v>
      </c>
      <c r="F81" s="32"/>
      <c r="G81">
        <v>11.8</v>
      </c>
      <c r="H81">
        <v>6.8</v>
      </c>
      <c r="I81">
        <v>17.7</v>
      </c>
      <c r="J81">
        <f t="shared" si="3"/>
        <v>684</v>
      </c>
      <c r="K81">
        <f t="shared" si="4"/>
        <v>684</v>
      </c>
      <c r="M81">
        <v>0</v>
      </c>
      <c r="N81">
        <v>1.7</v>
      </c>
      <c r="O81">
        <f t="shared" si="9"/>
        <v>-1.7</v>
      </c>
      <c r="Q81">
        <v>45</v>
      </c>
      <c r="R81">
        <f t="shared" si="8"/>
        <v>0.65493827160493823</v>
      </c>
      <c r="S81">
        <f t="shared" si="1"/>
        <v>1.113395061728395</v>
      </c>
      <c r="T81">
        <f t="shared" si="2"/>
        <v>-1.113395061728395</v>
      </c>
      <c r="U81" s="14">
        <f t="shared" si="7"/>
        <v>8.5902469135802484</v>
      </c>
      <c r="W81">
        <v>750.1</v>
      </c>
      <c r="X81">
        <f t="shared" si="5"/>
        <v>46059.8</v>
      </c>
      <c r="Y81">
        <f t="shared" si="6"/>
        <v>46059.8</v>
      </c>
      <c r="Z81">
        <v>10.50576735879411</v>
      </c>
    </row>
    <row r="82" spans="1:26" x14ac:dyDescent="0.25">
      <c r="A82">
        <v>5320</v>
      </c>
      <c r="B82">
        <v>23210</v>
      </c>
      <c r="C82" s="1">
        <v>42659</v>
      </c>
      <c r="F82" s="32"/>
      <c r="G82">
        <v>13.6</v>
      </c>
      <c r="H82">
        <v>7.6</v>
      </c>
      <c r="I82">
        <v>19.899999999999999</v>
      </c>
      <c r="J82">
        <f t="shared" si="3"/>
        <v>697.6</v>
      </c>
      <c r="K82">
        <f t="shared" si="4"/>
        <v>697.6</v>
      </c>
      <c r="M82">
        <v>0.6</v>
      </c>
      <c r="N82">
        <v>1.7</v>
      </c>
      <c r="O82">
        <f t="shared" si="9"/>
        <v>-1.1000000000000001</v>
      </c>
      <c r="Q82">
        <v>46</v>
      </c>
      <c r="R82">
        <f t="shared" si="8"/>
        <v>0.66296296296296298</v>
      </c>
      <c r="S82">
        <f t="shared" si="1"/>
        <v>1.1270370370370371</v>
      </c>
      <c r="T82">
        <f t="shared" si="2"/>
        <v>-0.52703703703703708</v>
      </c>
      <c r="U82" s="14">
        <f t="shared" si="7"/>
        <v>8.0632098765432119</v>
      </c>
      <c r="W82">
        <v>862.8</v>
      </c>
      <c r="X82">
        <f t="shared" si="5"/>
        <v>46922.600000000006</v>
      </c>
      <c r="Y82">
        <f t="shared" si="6"/>
        <v>46922.600000000006</v>
      </c>
      <c r="Z82">
        <v>10.449263997403417</v>
      </c>
    </row>
    <row r="83" spans="1:26" x14ac:dyDescent="0.25">
      <c r="A83">
        <v>5320</v>
      </c>
      <c r="B83">
        <v>23210</v>
      </c>
      <c r="C83" s="1">
        <v>42660</v>
      </c>
      <c r="F83" s="32"/>
      <c r="G83">
        <v>12.2</v>
      </c>
      <c r="H83">
        <v>9.1</v>
      </c>
      <c r="I83">
        <v>18.5</v>
      </c>
      <c r="J83">
        <f t="shared" si="3"/>
        <v>709.80000000000007</v>
      </c>
      <c r="K83">
        <f t="shared" si="4"/>
        <v>709.80000000000007</v>
      </c>
      <c r="M83">
        <v>0.6</v>
      </c>
      <c r="N83">
        <v>1.1000000000000001</v>
      </c>
      <c r="O83">
        <f t="shared" si="9"/>
        <v>-0.50000000000000011</v>
      </c>
      <c r="Q83">
        <v>47</v>
      </c>
      <c r="R83">
        <f t="shared" si="8"/>
        <v>0.67098765432098761</v>
      </c>
      <c r="S83">
        <f t="shared" si="1"/>
        <v>0.73808641975308642</v>
      </c>
      <c r="T83">
        <f t="shared" si="2"/>
        <v>-0.13808641975308644</v>
      </c>
      <c r="U83" s="14">
        <f t="shared" si="7"/>
        <v>7.925123456790125</v>
      </c>
      <c r="W83">
        <v>485.8</v>
      </c>
      <c r="X83">
        <f t="shared" si="5"/>
        <v>47408.400000000009</v>
      </c>
      <c r="Y83">
        <f t="shared" si="6"/>
        <v>47408.400000000009</v>
      </c>
      <c r="Z83">
        <v>10.393021247697723</v>
      </c>
    </row>
    <row r="84" spans="1:26" x14ac:dyDescent="0.25">
      <c r="A84">
        <v>5320</v>
      </c>
      <c r="B84">
        <v>23210</v>
      </c>
      <c r="C84" s="1">
        <v>42661</v>
      </c>
      <c r="F84" s="32"/>
      <c r="G84">
        <v>10.4</v>
      </c>
      <c r="H84">
        <v>4.0999999999999996</v>
      </c>
      <c r="I84">
        <v>15.6</v>
      </c>
      <c r="J84">
        <f t="shared" si="3"/>
        <v>720.2</v>
      </c>
      <c r="K84">
        <f t="shared" si="4"/>
        <v>720.2</v>
      </c>
      <c r="M84">
        <v>1</v>
      </c>
      <c r="N84">
        <v>0.9</v>
      </c>
      <c r="O84">
        <f t="shared" si="9"/>
        <v>9.9999999999999978E-2</v>
      </c>
      <c r="Q84">
        <v>48</v>
      </c>
      <c r="R84">
        <f t="shared" si="8"/>
        <v>0.67901234567901236</v>
      </c>
      <c r="S84">
        <f t="shared" si="1"/>
        <v>0.61111111111111116</v>
      </c>
      <c r="T84">
        <f t="shared" si="2"/>
        <v>0.38888888888888884</v>
      </c>
      <c r="U84" s="14">
        <f t="shared" si="7"/>
        <v>8.3140123456790143</v>
      </c>
      <c r="W84">
        <v>607.29999999999995</v>
      </c>
      <c r="X84">
        <f t="shared" si="5"/>
        <v>48015.700000000012</v>
      </c>
      <c r="Y84">
        <f t="shared" si="6"/>
        <v>48015.700000000012</v>
      </c>
      <c r="Z84">
        <v>10.337052447284885</v>
      </c>
    </row>
    <row r="85" spans="1:26" x14ac:dyDescent="0.25">
      <c r="A85">
        <v>5320</v>
      </c>
      <c r="B85">
        <v>23210</v>
      </c>
      <c r="C85" s="1">
        <v>42662</v>
      </c>
      <c r="F85" s="32"/>
      <c r="G85">
        <v>9.9</v>
      </c>
      <c r="H85">
        <v>6.5</v>
      </c>
      <c r="I85">
        <v>14</v>
      </c>
      <c r="J85">
        <f t="shared" si="3"/>
        <v>730.1</v>
      </c>
      <c r="K85">
        <f t="shared" si="4"/>
        <v>730.1</v>
      </c>
      <c r="M85">
        <v>0.1</v>
      </c>
      <c r="N85">
        <v>1.2</v>
      </c>
      <c r="O85">
        <f t="shared" si="9"/>
        <v>-1.0999999999999999</v>
      </c>
      <c r="Q85">
        <v>49</v>
      </c>
      <c r="R85">
        <f t="shared" si="8"/>
        <v>0.687037037037037</v>
      </c>
      <c r="S85">
        <f t="shared" si="1"/>
        <v>0.82444444444444442</v>
      </c>
      <c r="T85">
        <f t="shared" si="2"/>
        <v>-0.72444444444444445</v>
      </c>
      <c r="U85" s="14">
        <f t="shared" si="7"/>
        <v>7.5895679012345703</v>
      </c>
      <c r="W85">
        <v>669.2</v>
      </c>
      <c r="X85">
        <f t="shared" si="5"/>
        <v>48684.900000000009</v>
      </c>
      <c r="Y85">
        <f t="shared" si="6"/>
        <v>48684.900000000009</v>
      </c>
      <c r="Z85">
        <v>10.281371299821677</v>
      </c>
    </row>
    <row r="86" spans="1:26" x14ac:dyDescent="0.25">
      <c r="A86">
        <v>5320</v>
      </c>
      <c r="B86">
        <v>23210</v>
      </c>
      <c r="C86" s="1">
        <v>42663</v>
      </c>
      <c r="F86" s="32"/>
      <c r="G86">
        <v>10.5</v>
      </c>
      <c r="H86">
        <v>7.6</v>
      </c>
      <c r="I86">
        <v>13.6</v>
      </c>
      <c r="J86">
        <f t="shared" si="3"/>
        <v>740.6</v>
      </c>
      <c r="K86">
        <f t="shared" si="4"/>
        <v>740.6</v>
      </c>
      <c r="M86">
        <v>0</v>
      </c>
      <c r="N86">
        <v>1.1000000000000001</v>
      </c>
      <c r="O86">
        <f t="shared" si="9"/>
        <v>-1.1000000000000001</v>
      </c>
      <c r="Q86">
        <v>50</v>
      </c>
      <c r="R86">
        <f t="shared" si="8"/>
        <v>0.69506172839506175</v>
      </c>
      <c r="S86">
        <f t="shared" si="1"/>
        <v>0.76456790123456797</v>
      </c>
      <c r="T86">
        <f t="shared" si="2"/>
        <v>-0.76456790123456797</v>
      </c>
      <c r="U86" s="14">
        <f t="shared" si="7"/>
        <v>6.825000000000002</v>
      </c>
      <c r="W86">
        <v>569.70000000000005</v>
      </c>
      <c r="X86">
        <f t="shared" si="5"/>
        <v>49254.600000000006</v>
      </c>
      <c r="Y86">
        <f t="shared" si="6"/>
        <v>49254.600000000006</v>
      </c>
      <c r="Z86">
        <v>10.225991883403822</v>
      </c>
    </row>
    <row r="87" spans="1:26" x14ac:dyDescent="0.25">
      <c r="A87">
        <v>5320</v>
      </c>
      <c r="B87">
        <v>23210</v>
      </c>
      <c r="C87" s="1">
        <v>42664</v>
      </c>
      <c r="F87" s="32"/>
      <c r="G87">
        <v>9.9</v>
      </c>
      <c r="H87">
        <v>7</v>
      </c>
      <c r="I87">
        <v>13.3</v>
      </c>
      <c r="J87">
        <f t="shared" si="3"/>
        <v>750.5</v>
      </c>
      <c r="K87">
        <f t="shared" si="4"/>
        <v>750.5</v>
      </c>
      <c r="M87">
        <v>0</v>
      </c>
      <c r="N87">
        <v>0.7</v>
      </c>
      <c r="O87">
        <f t="shared" si="9"/>
        <v>-0.7</v>
      </c>
      <c r="Q87">
        <v>51</v>
      </c>
      <c r="R87">
        <f t="shared" si="8"/>
        <v>0.70308641975308639</v>
      </c>
      <c r="S87">
        <f t="shared" si="1"/>
        <v>0.49216049382716043</v>
      </c>
      <c r="T87">
        <f t="shared" si="2"/>
        <v>-0.49216049382716043</v>
      </c>
      <c r="U87" s="14">
        <f t="shared" si="7"/>
        <v>6.3328395061728413</v>
      </c>
      <c r="W87">
        <v>532.5</v>
      </c>
      <c r="X87">
        <f t="shared" si="5"/>
        <v>49787.100000000006</v>
      </c>
      <c r="Y87">
        <f t="shared" si="6"/>
        <v>49787.100000000006</v>
      </c>
      <c r="Z87">
        <v>10.1709286582576</v>
      </c>
    </row>
    <row r="88" spans="1:26" x14ac:dyDescent="0.25">
      <c r="A88">
        <v>5320</v>
      </c>
      <c r="B88">
        <v>23210</v>
      </c>
      <c r="C88" s="1">
        <v>42665</v>
      </c>
      <c r="F88" s="32"/>
      <c r="G88">
        <v>7.6</v>
      </c>
      <c r="H88">
        <v>3.1</v>
      </c>
      <c r="I88">
        <v>11.4</v>
      </c>
      <c r="J88">
        <f t="shared" si="3"/>
        <v>758.1</v>
      </c>
      <c r="K88">
        <f t="shared" si="4"/>
        <v>758.1</v>
      </c>
      <c r="M88">
        <v>0</v>
      </c>
      <c r="N88">
        <v>0.4</v>
      </c>
      <c r="O88">
        <f t="shared" si="9"/>
        <v>-0.4</v>
      </c>
      <c r="Q88">
        <v>52</v>
      </c>
      <c r="R88">
        <f t="shared" si="8"/>
        <v>0.71111111111111114</v>
      </c>
      <c r="S88">
        <f t="shared" si="1"/>
        <v>0.28444444444444444</v>
      </c>
      <c r="T88">
        <f t="shared" si="2"/>
        <v>-0.28444444444444444</v>
      </c>
      <c r="U88" s="14">
        <f t="shared" si="7"/>
        <v>6.0483950617283968</v>
      </c>
      <c r="W88">
        <v>487.4</v>
      </c>
      <c r="X88">
        <f t="shared" si="5"/>
        <v>50274.500000000007</v>
      </c>
      <c r="Y88">
        <f t="shared" si="6"/>
        <v>50274.500000000007</v>
      </c>
      <c r="Z88">
        <v>10.116196473680416</v>
      </c>
    </row>
    <row r="89" spans="1:26" x14ac:dyDescent="0.25">
      <c r="A89">
        <v>5320</v>
      </c>
      <c r="B89">
        <v>23210</v>
      </c>
      <c r="C89" s="1">
        <v>42666</v>
      </c>
      <c r="F89" s="32"/>
      <c r="G89">
        <v>7.8</v>
      </c>
      <c r="H89">
        <v>4.3</v>
      </c>
      <c r="I89">
        <v>10.4</v>
      </c>
      <c r="J89">
        <f t="shared" si="3"/>
        <v>765.9</v>
      </c>
      <c r="K89">
        <f t="shared" si="4"/>
        <v>765.9</v>
      </c>
      <c r="M89">
        <v>4.8</v>
      </c>
      <c r="N89">
        <v>0.4</v>
      </c>
      <c r="O89">
        <f t="shared" si="9"/>
        <v>4.3999999999999995</v>
      </c>
      <c r="Q89">
        <v>53</v>
      </c>
      <c r="R89">
        <f t="shared" si="8"/>
        <v>0.71913580246913578</v>
      </c>
      <c r="S89">
        <f t="shared" si="1"/>
        <v>0.28765432098765431</v>
      </c>
      <c r="T89">
        <f t="shared" si="2"/>
        <v>4.5123456790123457</v>
      </c>
      <c r="U89" s="14">
        <f t="shared" si="7"/>
        <v>10.560740740740743</v>
      </c>
      <c r="W89">
        <v>225.9</v>
      </c>
      <c r="X89">
        <f t="shared" si="5"/>
        <v>50500.400000000009</v>
      </c>
      <c r="Y89">
        <f t="shared" si="6"/>
        <v>50500.400000000009</v>
      </c>
      <c r="Z89">
        <v>10.061810574175423</v>
      </c>
    </row>
    <row r="90" spans="1:26" x14ac:dyDescent="0.25">
      <c r="A90">
        <v>5320</v>
      </c>
      <c r="B90">
        <v>23210</v>
      </c>
      <c r="C90" s="1">
        <v>42667</v>
      </c>
      <c r="F90" s="32"/>
      <c r="G90">
        <v>12</v>
      </c>
      <c r="H90">
        <v>8.1</v>
      </c>
      <c r="I90">
        <v>13.4</v>
      </c>
      <c r="J90">
        <f t="shared" si="3"/>
        <v>777.9</v>
      </c>
      <c r="K90">
        <f t="shared" si="4"/>
        <v>777.9</v>
      </c>
      <c r="M90">
        <v>1.5</v>
      </c>
      <c r="N90">
        <v>0</v>
      </c>
      <c r="O90">
        <f t="shared" si="9"/>
        <v>1.5</v>
      </c>
      <c r="Q90">
        <v>54</v>
      </c>
      <c r="R90">
        <f t="shared" si="8"/>
        <v>0.72716049382716053</v>
      </c>
      <c r="S90">
        <f t="shared" si="1"/>
        <v>0</v>
      </c>
      <c r="T90">
        <f t="shared" si="2"/>
        <v>1.5</v>
      </c>
      <c r="U90" s="14">
        <f t="shared" si="7"/>
        <v>12.060740740740743</v>
      </c>
      <c r="W90">
        <v>249</v>
      </c>
      <c r="X90">
        <f t="shared" si="5"/>
        <v>50749.400000000009</v>
      </c>
      <c r="Y90">
        <f t="shared" si="6"/>
        <v>50749.400000000009</v>
      </c>
      <c r="Z90">
        <v>10.007786604723023</v>
      </c>
    </row>
    <row r="91" spans="1:26" x14ac:dyDescent="0.25">
      <c r="A91">
        <v>5320</v>
      </c>
      <c r="B91">
        <v>23210</v>
      </c>
      <c r="C91" s="1">
        <v>42668</v>
      </c>
      <c r="F91" s="32"/>
      <c r="G91">
        <v>12.6</v>
      </c>
      <c r="H91">
        <v>11.9</v>
      </c>
      <c r="I91">
        <v>14</v>
      </c>
      <c r="J91">
        <f t="shared" si="3"/>
        <v>790.5</v>
      </c>
      <c r="K91">
        <f t="shared" si="4"/>
        <v>790.5</v>
      </c>
      <c r="M91">
        <v>0</v>
      </c>
      <c r="N91">
        <v>0.3</v>
      </c>
      <c r="O91">
        <f t="shared" si="9"/>
        <v>-0.3</v>
      </c>
      <c r="Q91">
        <v>55</v>
      </c>
      <c r="R91">
        <f t="shared" si="8"/>
        <v>0.73518518518518516</v>
      </c>
      <c r="S91">
        <f t="shared" si="1"/>
        <v>0.22055555555555553</v>
      </c>
      <c r="T91">
        <f t="shared" si="2"/>
        <v>-0.22055555555555553</v>
      </c>
      <c r="U91" s="14">
        <f t="shared" si="7"/>
        <v>11.840185185185186</v>
      </c>
      <c r="W91">
        <v>299.89999999999998</v>
      </c>
      <c r="X91">
        <f t="shared" si="5"/>
        <v>51049.30000000001</v>
      </c>
      <c r="Y91">
        <f t="shared" si="6"/>
        <v>51049.30000000001</v>
      </c>
      <c r="Z91">
        <v>9.9541406151299654</v>
      </c>
    </row>
    <row r="92" spans="1:26" x14ac:dyDescent="0.25">
      <c r="A92">
        <v>5320</v>
      </c>
      <c r="B92">
        <v>23210</v>
      </c>
      <c r="C92" s="1">
        <v>42669</v>
      </c>
      <c r="F92" s="32"/>
      <c r="G92">
        <v>10.199999999999999</v>
      </c>
      <c r="H92">
        <v>10.1</v>
      </c>
      <c r="I92">
        <v>12.9</v>
      </c>
      <c r="J92">
        <f t="shared" si="3"/>
        <v>800.7</v>
      </c>
      <c r="K92">
        <f t="shared" si="4"/>
        <v>800.7</v>
      </c>
      <c r="M92">
        <v>0.2</v>
      </c>
      <c r="N92">
        <v>0.7</v>
      </c>
      <c r="O92">
        <f t="shared" si="9"/>
        <v>-0.49999999999999994</v>
      </c>
      <c r="Q92">
        <v>56</v>
      </c>
      <c r="R92">
        <f t="shared" si="8"/>
        <v>0.7432098765432098</v>
      </c>
      <c r="S92">
        <f t="shared" si="1"/>
        <v>0.52024691358024688</v>
      </c>
      <c r="T92">
        <f t="shared" si="2"/>
        <v>-0.32024691358024687</v>
      </c>
      <c r="U92" s="14">
        <f t="shared" si="7"/>
        <v>11.519938271604939</v>
      </c>
      <c r="W92">
        <v>267.89999999999998</v>
      </c>
      <c r="X92">
        <f t="shared" si="5"/>
        <v>51317.200000000012</v>
      </c>
      <c r="Y92">
        <f t="shared" si="6"/>
        <v>51317.200000000012</v>
      </c>
      <c r="Z92">
        <v>9.9008890633948266</v>
      </c>
    </row>
    <row r="93" spans="1:26" x14ac:dyDescent="0.25">
      <c r="A93">
        <v>5320</v>
      </c>
      <c r="B93">
        <v>23210</v>
      </c>
      <c r="C93" s="1">
        <v>42670</v>
      </c>
      <c r="F93" s="32"/>
      <c r="G93">
        <v>8.1999999999999993</v>
      </c>
      <c r="H93">
        <v>4.3</v>
      </c>
      <c r="I93">
        <v>10.6</v>
      </c>
      <c r="J93">
        <f t="shared" si="3"/>
        <v>808.90000000000009</v>
      </c>
      <c r="K93">
        <f t="shared" si="4"/>
        <v>808.90000000000009</v>
      </c>
      <c r="M93">
        <v>0.1</v>
      </c>
      <c r="N93">
        <v>0.6</v>
      </c>
      <c r="O93">
        <f t="shared" si="9"/>
        <v>-0.5</v>
      </c>
      <c r="Q93">
        <v>57</v>
      </c>
      <c r="R93">
        <f t="shared" si="8"/>
        <v>0.75123456790123455</v>
      </c>
      <c r="S93">
        <f t="shared" si="1"/>
        <v>0.45074074074074072</v>
      </c>
      <c r="T93">
        <f t="shared" si="2"/>
        <v>-0.35074074074074069</v>
      </c>
      <c r="U93" s="14">
        <f t="shared" si="7"/>
        <v>11.169197530864199</v>
      </c>
      <c r="W93">
        <v>501.6</v>
      </c>
      <c r="X93">
        <f t="shared" si="5"/>
        <v>51818.80000000001</v>
      </c>
      <c r="Y93">
        <f t="shared" si="6"/>
        <v>51818.80000000001</v>
      </c>
      <c r="Z93">
        <v>9.8480488180267329</v>
      </c>
    </row>
    <row r="94" spans="1:26" x14ac:dyDescent="0.25">
      <c r="A94">
        <v>5320</v>
      </c>
      <c r="B94">
        <v>23210</v>
      </c>
      <c r="C94" s="1">
        <v>42671</v>
      </c>
      <c r="F94" s="32"/>
      <c r="G94">
        <v>8.1</v>
      </c>
      <c r="H94">
        <v>4.7</v>
      </c>
      <c r="I94">
        <v>10.8</v>
      </c>
      <c r="J94">
        <f t="shared" si="3"/>
        <v>817.00000000000011</v>
      </c>
      <c r="K94">
        <f t="shared" si="4"/>
        <v>817.00000000000011</v>
      </c>
      <c r="M94">
        <v>0.1</v>
      </c>
      <c r="N94">
        <v>0.7</v>
      </c>
      <c r="O94">
        <f t="shared" si="9"/>
        <v>-0.6</v>
      </c>
      <c r="Q94">
        <v>58</v>
      </c>
      <c r="R94">
        <f t="shared" si="8"/>
        <v>0.7592592592592593</v>
      </c>
      <c r="S94">
        <f t="shared" si="1"/>
        <v>0.53148148148148144</v>
      </c>
      <c r="T94">
        <f t="shared" si="2"/>
        <v>-0.43148148148148147</v>
      </c>
      <c r="U94" s="14">
        <f t="shared" si="7"/>
        <v>10.737716049382717</v>
      </c>
      <c r="W94">
        <v>469.9</v>
      </c>
      <c r="X94">
        <f t="shared" si="5"/>
        <v>52288.700000000012</v>
      </c>
      <c r="Y94">
        <f t="shared" si="6"/>
        <v>52288.700000000012</v>
      </c>
      <c r="Z94">
        <v>9.7956371592526832</v>
      </c>
    </row>
    <row r="95" spans="1:26" x14ac:dyDescent="0.25">
      <c r="A95">
        <v>5320</v>
      </c>
      <c r="B95">
        <v>23210</v>
      </c>
      <c r="C95" s="1">
        <v>42672</v>
      </c>
      <c r="F95" s="32"/>
      <c r="G95">
        <v>9.1</v>
      </c>
      <c r="H95">
        <v>5.8</v>
      </c>
      <c r="I95">
        <v>11.3</v>
      </c>
      <c r="J95">
        <f t="shared" si="3"/>
        <v>826.10000000000014</v>
      </c>
      <c r="K95">
        <f t="shared" si="4"/>
        <v>826.10000000000014</v>
      </c>
      <c r="M95">
        <v>0.1</v>
      </c>
      <c r="N95">
        <v>0.5</v>
      </c>
      <c r="O95">
        <f t="shared" si="9"/>
        <v>-0.4</v>
      </c>
      <c r="Q95">
        <v>59</v>
      </c>
      <c r="R95">
        <f t="shared" si="8"/>
        <v>0.76728395061728394</v>
      </c>
      <c r="S95">
        <f t="shared" si="1"/>
        <v>0.38364197530864197</v>
      </c>
      <c r="T95">
        <f t="shared" si="2"/>
        <v>-0.28364197530864199</v>
      </c>
      <c r="U95" s="14">
        <f t="shared" si="7"/>
        <v>10.454074074074075</v>
      </c>
      <c r="W95">
        <v>244.3</v>
      </c>
      <c r="X95">
        <f t="shared" si="5"/>
        <v>52533.000000000015</v>
      </c>
      <c r="Y95">
        <f t="shared" si="6"/>
        <v>52533.000000000015</v>
      </c>
      <c r="Z95">
        <v>9.7436717790473022</v>
      </c>
    </row>
    <row r="96" spans="1:26" x14ac:dyDescent="0.25">
      <c r="A96">
        <v>5320</v>
      </c>
      <c r="B96">
        <v>23210</v>
      </c>
      <c r="C96" s="1">
        <v>42673</v>
      </c>
      <c r="F96" s="32"/>
      <c r="G96">
        <v>10.8</v>
      </c>
      <c r="H96">
        <v>6.9</v>
      </c>
      <c r="I96">
        <v>14.7</v>
      </c>
      <c r="J96">
        <f t="shared" si="3"/>
        <v>836.90000000000009</v>
      </c>
      <c r="K96">
        <f t="shared" si="4"/>
        <v>836.90000000000009</v>
      </c>
      <c r="M96">
        <v>0</v>
      </c>
      <c r="N96">
        <v>1.5</v>
      </c>
      <c r="O96">
        <f t="shared" si="9"/>
        <v>-1.5</v>
      </c>
      <c r="Q96">
        <v>60</v>
      </c>
      <c r="R96">
        <f t="shared" si="8"/>
        <v>0.77530864197530858</v>
      </c>
      <c r="S96">
        <f t="shared" si="1"/>
        <v>1.162962962962963</v>
      </c>
      <c r="T96">
        <f t="shared" si="2"/>
        <v>-1.162962962962963</v>
      </c>
      <c r="U96" s="14">
        <f t="shared" si="7"/>
        <v>9.2911111111111122</v>
      </c>
      <c r="W96">
        <v>1058.2</v>
      </c>
      <c r="X96">
        <f t="shared" si="5"/>
        <v>53591.200000000012</v>
      </c>
      <c r="Y96">
        <f t="shared" si="6"/>
        <v>53591.200000000012</v>
      </c>
      <c r="Z96">
        <v>9.6921707799178201</v>
      </c>
    </row>
    <row r="97" spans="1:26" x14ac:dyDescent="0.25">
      <c r="A97">
        <v>5320</v>
      </c>
      <c r="B97">
        <v>23210</v>
      </c>
      <c r="C97" s="1">
        <v>42674</v>
      </c>
      <c r="F97" s="32"/>
      <c r="G97">
        <v>10.5</v>
      </c>
      <c r="H97">
        <v>6.3</v>
      </c>
      <c r="I97">
        <v>16.100000000000001</v>
      </c>
      <c r="J97">
        <f t="shared" si="3"/>
        <v>847.40000000000009</v>
      </c>
      <c r="K97">
        <f t="shared" si="4"/>
        <v>847.40000000000009</v>
      </c>
      <c r="M97">
        <v>0.1</v>
      </c>
      <c r="N97">
        <v>1.8</v>
      </c>
      <c r="O97">
        <f t="shared" si="9"/>
        <v>-1.7</v>
      </c>
      <c r="Q97">
        <v>61</v>
      </c>
      <c r="R97">
        <f t="shared" si="8"/>
        <v>0.78333333333333333</v>
      </c>
      <c r="S97">
        <f t="shared" si="1"/>
        <v>1.41</v>
      </c>
      <c r="T97">
        <f t="shared" si="2"/>
        <v>-1.3099999999999998</v>
      </c>
      <c r="U97" s="14">
        <f t="shared" si="7"/>
        <v>7.9811111111111126</v>
      </c>
      <c r="W97">
        <v>1102.5</v>
      </c>
      <c r="X97">
        <f t="shared" si="5"/>
        <v>54693.700000000012</v>
      </c>
      <c r="Y97">
        <f t="shared" si="6"/>
        <v>54693.700000000012</v>
      </c>
      <c r="Z97">
        <v>9.6411526723762702</v>
      </c>
    </row>
    <row r="98" spans="1:26" x14ac:dyDescent="0.25">
      <c r="A98">
        <v>5320</v>
      </c>
      <c r="B98">
        <v>23210</v>
      </c>
      <c r="C98" s="1">
        <v>42675</v>
      </c>
      <c r="F98" s="32"/>
      <c r="G98">
        <v>6.5</v>
      </c>
      <c r="H98">
        <v>4.5</v>
      </c>
      <c r="I98">
        <v>8.6</v>
      </c>
      <c r="J98">
        <f t="shared" si="3"/>
        <v>853.90000000000009</v>
      </c>
      <c r="K98">
        <f t="shared" si="4"/>
        <v>853.90000000000009</v>
      </c>
      <c r="M98">
        <v>0.2</v>
      </c>
      <c r="N98">
        <v>0.5</v>
      </c>
      <c r="O98">
        <f t="shared" si="9"/>
        <v>-0.3</v>
      </c>
      <c r="Q98">
        <v>62</v>
      </c>
      <c r="R98">
        <f t="shared" si="8"/>
        <v>0.79135802469135808</v>
      </c>
      <c r="S98">
        <f t="shared" si="1"/>
        <v>0.39567901234567904</v>
      </c>
      <c r="T98">
        <f t="shared" si="2"/>
        <v>-0.19567901234567903</v>
      </c>
      <c r="U98" s="14">
        <f t="shared" si="7"/>
        <v>7.7854320987654333</v>
      </c>
      <c r="W98">
        <v>355.7</v>
      </c>
      <c r="X98">
        <f t="shared" si="5"/>
        <v>55049.400000000009</v>
      </c>
      <c r="Y98">
        <f t="shared" si="6"/>
        <v>55049.400000000009</v>
      </c>
      <c r="Z98">
        <v>9.5906363710303424</v>
      </c>
    </row>
    <row r="99" spans="1:26" x14ac:dyDescent="0.25">
      <c r="A99">
        <v>5320</v>
      </c>
      <c r="B99">
        <v>23210</v>
      </c>
      <c r="C99" s="1">
        <v>42676</v>
      </c>
      <c r="F99" s="32"/>
      <c r="G99">
        <v>7.3</v>
      </c>
      <c r="H99">
        <v>3.8</v>
      </c>
      <c r="I99">
        <v>10.8</v>
      </c>
      <c r="J99">
        <f t="shared" si="3"/>
        <v>861.2</v>
      </c>
      <c r="K99">
        <f t="shared" si="4"/>
        <v>861.2</v>
      </c>
      <c r="M99">
        <v>0</v>
      </c>
      <c r="N99">
        <v>0.2</v>
      </c>
      <c r="O99">
        <f t="shared" si="9"/>
        <v>-0.2</v>
      </c>
      <c r="Q99">
        <v>63</v>
      </c>
      <c r="R99">
        <f t="shared" si="8"/>
        <v>0.79938271604938271</v>
      </c>
      <c r="S99">
        <f t="shared" si="1"/>
        <v>0.15987654320987654</v>
      </c>
      <c r="T99">
        <f t="shared" si="2"/>
        <v>-0.15987654320987654</v>
      </c>
      <c r="U99" s="14">
        <f t="shared" si="7"/>
        <v>7.6255555555555565</v>
      </c>
      <c r="W99">
        <v>272</v>
      </c>
      <c r="X99">
        <f t="shared" si="5"/>
        <v>55321.400000000009</v>
      </c>
      <c r="Y99">
        <f t="shared" si="6"/>
        <v>55321.400000000009</v>
      </c>
      <c r="Z99">
        <v>9.5406411892244272</v>
      </c>
    </row>
    <row r="100" spans="1:26" x14ac:dyDescent="0.25">
      <c r="A100">
        <v>5320</v>
      </c>
      <c r="B100">
        <v>23210</v>
      </c>
      <c r="C100" s="1">
        <v>42677</v>
      </c>
      <c r="F100" s="32"/>
      <c r="G100">
        <v>5.2</v>
      </c>
      <c r="H100">
        <v>0.9</v>
      </c>
      <c r="I100">
        <v>10.1</v>
      </c>
      <c r="J100">
        <f t="shared" si="3"/>
        <v>866.40000000000009</v>
      </c>
      <c r="K100">
        <f t="shared" si="4"/>
        <v>866.40000000000009</v>
      </c>
      <c r="M100">
        <v>0</v>
      </c>
      <c r="N100">
        <v>1.2</v>
      </c>
      <c r="O100">
        <f t="shared" si="9"/>
        <v>-1.2</v>
      </c>
      <c r="Q100">
        <v>64</v>
      </c>
      <c r="R100">
        <f t="shared" si="8"/>
        <v>0.80740740740740735</v>
      </c>
      <c r="S100">
        <f t="shared" si="1"/>
        <v>0.9688888888888888</v>
      </c>
      <c r="T100">
        <f t="shared" si="2"/>
        <v>-0.9688888888888888</v>
      </c>
      <c r="U100" s="14">
        <f t="shared" si="7"/>
        <v>6.6566666666666681</v>
      </c>
      <c r="W100">
        <v>991.3</v>
      </c>
      <c r="X100">
        <f t="shared" si="5"/>
        <v>56312.700000000012</v>
      </c>
      <c r="Y100">
        <f t="shared" si="6"/>
        <v>56312.700000000012</v>
      </c>
      <c r="Z100">
        <v>9.4911868321626613</v>
      </c>
    </row>
    <row r="101" spans="1:26" x14ac:dyDescent="0.25">
      <c r="A101">
        <v>5320</v>
      </c>
      <c r="B101">
        <v>23210</v>
      </c>
      <c r="C101" s="1">
        <v>42678</v>
      </c>
      <c r="F101" s="32"/>
      <c r="G101">
        <v>7.2</v>
      </c>
      <c r="H101">
        <v>1.3</v>
      </c>
      <c r="I101">
        <v>11</v>
      </c>
      <c r="J101">
        <f t="shared" si="3"/>
        <v>873.60000000000014</v>
      </c>
      <c r="K101">
        <f t="shared" si="4"/>
        <v>873.60000000000014</v>
      </c>
      <c r="M101">
        <v>7.8</v>
      </c>
      <c r="N101">
        <v>0.4</v>
      </c>
      <c r="O101">
        <f t="shared" si="9"/>
        <v>7.3999999999999995</v>
      </c>
      <c r="Q101">
        <v>65</v>
      </c>
      <c r="R101">
        <f t="shared" si="8"/>
        <v>0.81543209876543199</v>
      </c>
      <c r="S101">
        <f t="shared" si="1"/>
        <v>0.32617283950617282</v>
      </c>
      <c r="T101">
        <f t="shared" si="2"/>
        <v>7.4738271604938271</v>
      </c>
      <c r="U101" s="14">
        <f t="shared" si="7"/>
        <v>14.130493827160496</v>
      </c>
      <c r="W101">
        <v>262.7</v>
      </c>
      <c r="X101">
        <f t="shared" si="5"/>
        <v>56575.400000000009</v>
      </c>
      <c r="Y101">
        <f t="shared" si="6"/>
        <v>56575.400000000009</v>
      </c>
      <c r="Z101">
        <v>9.4422933884467799</v>
      </c>
    </row>
    <row r="102" spans="1:26" x14ac:dyDescent="0.25">
      <c r="A102">
        <v>5320</v>
      </c>
      <c r="B102">
        <v>23210</v>
      </c>
      <c r="C102" s="1">
        <v>42679</v>
      </c>
      <c r="F102" s="32"/>
      <c r="G102">
        <v>7.8</v>
      </c>
      <c r="H102">
        <v>6.6</v>
      </c>
      <c r="I102">
        <v>10.1</v>
      </c>
      <c r="J102">
        <f t="shared" si="3"/>
        <v>881.40000000000009</v>
      </c>
      <c r="K102">
        <f t="shared" si="4"/>
        <v>881.40000000000009</v>
      </c>
      <c r="M102">
        <v>0.5</v>
      </c>
      <c r="N102">
        <v>0.7</v>
      </c>
      <c r="O102">
        <f t="shared" si="9"/>
        <v>-0.19999999999999996</v>
      </c>
      <c r="Q102">
        <v>66</v>
      </c>
      <c r="R102">
        <f t="shared" si="8"/>
        <v>0.82345679012345685</v>
      </c>
      <c r="S102">
        <f t="shared" ref="S102:S165" si="10">R102*N102</f>
        <v>0.57641975308641979</v>
      </c>
      <c r="T102">
        <f t="shared" ref="T102:T165" si="11">M102-S102</f>
        <v>-7.6419753086419795E-2</v>
      </c>
      <c r="U102" s="14">
        <f t="shared" si="7"/>
        <v>14.054074074074077</v>
      </c>
      <c r="W102">
        <v>400.7</v>
      </c>
      <c r="X102">
        <f t="shared" si="5"/>
        <v>56976.100000000006</v>
      </c>
      <c r="Y102">
        <f t="shared" si="6"/>
        <v>56976.100000000006</v>
      </c>
      <c r="Z102">
        <v>9.3939813199629949</v>
      </c>
    </row>
    <row r="103" spans="1:26" x14ac:dyDescent="0.25">
      <c r="A103">
        <v>5320</v>
      </c>
      <c r="B103">
        <v>23210</v>
      </c>
      <c r="C103" s="1">
        <v>42680</v>
      </c>
      <c r="F103" s="32"/>
      <c r="G103">
        <v>3.9</v>
      </c>
      <c r="H103">
        <v>3.5</v>
      </c>
      <c r="I103">
        <v>6.6</v>
      </c>
      <c r="J103">
        <f t="shared" ref="J103:J166" si="12">J102+G103</f>
        <v>885.30000000000007</v>
      </c>
      <c r="K103">
        <f t="shared" ref="K103:K166" si="13">K102+G103</f>
        <v>885.30000000000007</v>
      </c>
      <c r="M103">
        <v>1.1000000000000001</v>
      </c>
      <c r="N103">
        <v>0.5</v>
      </c>
      <c r="O103">
        <f t="shared" si="9"/>
        <v>0.60000000000000009</v>
      </c>
      <c r="Q103">
        <v>67</v>
      </c>
      <c r="R103">
        <f t="shared" si="8"/>
        <v>0.83148148148148149</v>
      </c>
      <c r="S103">
        <f t="shared" si="10"/>
        <v>0.41574074074074074</v>
      </c>
      <c r="T103">
        <f t="shared" si="11"/>
        <v>0.68425925925925934</v>
      </c>
      <c r="U103" s="14">
        <f t="shared" si="7"/>
        <v>14.738333333333337</v>
      </c>
      <c r="W103">
        <v>452.4</v>
      </c>
      <c r="X103">
        <f t="shared" ref="X103:X166" si="14">X102+W103</f>
        <v>57428.500000000007</v>
      </c>
      <c r="Y103">
        <f t="shared" ref="Y103:Y166" si="15">Y102+W103</f>
        <v>57428.500000000007</v>
      </c>
      <c r="Z103">
        <v>9.3462714500542123</v>
      </c>
    </row>
    <row r="104" spans="1:26" x14ac:dyDescent="0.25">
      <c r="A104">
        <v>5320</v>
      </c>
      <c r="B104">
        <v>23210</v>
      </c>
      <c r="C104" s="1">
        <v>42681</v>
      </c>
      <c r="F104" s="32"/>
      <c r="G104">
        <v>3.3</v>
      </c>
      <c r="H104">
        <v>-0.2</v>
      </c>
      <c r="I104">
        <v>6</v>
      </c>
      <c r="J104">
        <f t="shared" si="12"/>
        <v>888.6</v>
      </c>
      <c r="K104">
        <f t="shared" si="13"/>
        <v>888.6</v>
      </c>
      <c r="M104">
        <v>5.0999999999999996</v>
      </c>
      <c r="N104">
        <v>0.2</v>
      </c>
      <c r="O104">
        <f t="shared" si="9"/>
        <v>4.8999999999999995</v>
      </c>
      <c r="Q104">
        <v>68</v>
      </c>
      <c r="R104">
        <f t="shared" si="8"/>
        <v>0.83950617283950613</v>
      </c>
      <c r="S104">
        <f t="shared" si="10"/>
        <v>0.16790123456790124</v>
      </c>
      <c r="T104">
        <f t="shared" si="11"/>
        <v>4.932098765432098</v>
      </c>
      <c r="U104" s="14">
        <f t="shared" ref="U104:U167" si="16">MIN(U103+T104,138.9)</f>
        <v>19.670432098765435</v>
      </c>
      <c r="W104">
        <v>196.8</v>
      </c>
      <c r="X104">
        <f t="shared" si="14"/>
        <v>57625.30000000001</v>
      </c>
      <c r="Y104">
        <f t="shared" si="15"/>
        <v>57625.30000000001</v>
      </c>
      <c r="Z104">
        <v>9.2991849499165635</v>
      </c>
    </row>
    <row r="105" spans="1:26" x14ac:dyDescent="0.25">
      <c r="A105">
        <v>5320</v>
      </c>
      <c r="B105">
        <v>23210</v>
      </c>
      <c r="C105" s="1">
        <v>42682</v>
      </c>
      <c r="F105" s="32"/>
      <c r="G105">
        <v>4.9000000000000004</v>
      </c>
      <c r="H105">
        <v>2.8</v>
      </c>
      <c r="I105">
        <v>6.5</v>
      </c>
      <c r="J105">
        <f t="shared" si="12"/>
        <v>893.5</v>
      </c>
      <c r="K105">
        <f t="shared" si="13"/>
        <v>893.5</v>
      </c>
      <c r="M105">
        <v>8.4</v>
      </c>
      <c r="N105">
        <v>0.4</v>
      </c>
      <c r="O105">
        <f t="shared" si="9"/>
        <v>8</v>
      </c>
      <c r="Q105">
        <v>69</v>
      </c>
      <c r="R105">
        <f t="shared" si="8"/>
        <v>0.84753086419753076</v>
      </c>
      <c r="S105">
        <f t="shared" si="10"/>
        <v>0.33901234567901234</v>
      </c>
      <c r="T105">
        <f t="shared" si="11"/>
        <v>8.0609876543209875</v>
      </c>
      <c r="U105" s="14">
        <f t="shared" si="16"/>
        <v>27.731419753086421</v>
      </c>
      <c r="W105">
        <v>449.5</v>
      </c>
      <c r="X105">
        <f t="shared" si="14"/>
        <v>58074.80000000001</v>
      </c>
      <c r="Y105">
        <f t="shared" si="15"/>
        <v>58074.80000000001</v>
      </c>
      <c r="Z105">
        <v>9.2527433231627665</v>
      </c>
    </row>
    <row r="106" spans="1:26" x14ac:dyDescent="0.25">
      <c r="A106">
        <v>5320</v>
      </c>
      <c r="B106">
        <v>23210</v>
      </c>
      <c r="C106" s="1">
        <v>42683</v>
      </c>
      <c r="F106" s="32"/>
      <c r="G106">
        <v>7.9</v>
      </c>
      <c r="H106">
        <v>5.5</v>
      </c>
      <c r="I106">
        <v>10.4</v>
      </c>
      <c r="J106">
        <f t="shared" si="12"/>
        <v>901.4</v>
      </c>
      <c r="K106">
        <f t="shared" si="13"/>
        <v>901.4</v>
      </c>
      <c r="M106">
        <v>1</v>
      </c>
      <c r="N106">
        <v>0.9</v>
      </c>
      <c r="O106">
        <f t="shared" si="9"/>
        <v>9.9999999999999978E-2</v>
      </c>
      <c r="Q106">
        <v>70</v>
      </c>
      <c r="R106">
        <f t="shared" si="8"/>
        <v>0.85555555555555551</v>
      </c>
      <c r="S106">
        <f t="shared" si="10"/>
        <v>0.77</v>
      </c>
      <c r="T106">
        <f t="shared" si="11"/>
        <v>0.22999999999999998</v>
      </c>
      <c r="U106" s="14">
        <f t="shared" si="16"/>
        <v>27.961419753086421</v>
      </c>
      <c r="W106">
        <v>213.8</v>
      </c>
      <c r="X106">
        <f t="shared" si="14"/>
        <v>58288.600000000013</v>
      </c>
      <c r="Y106">
        <f t="shared" si="15"/>
        <v>58288.600000000013</v>
      </c>
      <c r="Z106">
        <v>9.2069683884988454</v>
      </c>
    </row>
    <row r="107" spans="1:26" x14ac:dyDescent="0.25">
      <c r="A107">
        <v>5320</v>
      </c>
      <c r="B107">
        <v>23210</v>
      </c>
      <c r="C107" s="1">
        <v>42684</v>
      </c>
      <c r="F107" s="32"/>
      <c r="G107">
        <v>9.1999999999999993</v>
      </c>
      <c r="H107">
        <v>7.9</v>
      </c>
      <c r="I107">
        <v>10.5</v>
      </c>
      <c r="J107">
        <f t="shared" si="12"/>
        <v>910.6</v>
      </c>
      <c r="K107">
        <f t="shared" si="13"/>
        <v>910.6</v>
      </c>
      <c r="M107">
        <v>2.4</v>
      </c>
      <c r="N107">
        <v>0.7</v>
      </c>
      <c r="O107">
        <f t="shared" si="9"/>
        <v>1.7</v>
      </c>
      <c r="Q107">
        <v>71</v>
      </c>
      <c r="R107">
        <f t="shared" si="8"/>
        <v>0.86358024691358026</v>
      </c>
      <c r="S107">
        <f t="shared" si="10"/>
        <v>0.60450617283950614</v>
      </c>
      <c r="T107">
        <f t="shared" si="11"/>
        <v>1.7954938271604939</v>
      </c>
      <c r="U107" s="14">
        <f t="shared" si="16"/>
        <v>29.756913580246916</v>
      </c>
      <c r="W107">
        <v>160.1</v>
      </c>
      <c r="X107">
        <f t="shared" si="14"/>
        <v>58448.700000000012</v>
      </c>
      <c r="Y107">
        <f t="shared" si="15"/>
        <v>58448.700000000012</v>
      </c>
      <c r="Z107">
        <v>9.1618822604659123</v>
      </c>
    </row>
    <row r="108" spans="1:26" x14ac:dyDescent="0.25">
      <c r="A108">
        <v>5320</v>
      </c>
      <c r="B108">
        <v>23210</v>
      </c>
      <c r="C108" s="1">
        <v>42685</v>
      </c>
      <c r="F108" s="32"/>
      <c r="G108">
        <v>5.6</v>
      </c>
      <c r="H108">
        <v>3.6</v>
      </c>
      <c r="I108">
        <v>8.9</v>
      </c>
      <c r="J108">
        <f t="shared" si="12"/>
        <v>916.2</v>
      </c>
      <c r="K108">
        <f t="shared" si="13"/>
        <v>916.2</v>
      </c>
      <c r="M108">
        <v>0</v>
      </c>
      <c r="N108">
        <v>0.7</v>
      </c>
      <c r="O108">
        <f t="shared" si="9"/>
        <v>-0.7</v>
      </c>
      <c r="Q108">
        <v>72</v>
      </c>
      <c r="R108">
        <f t="shared" si="8"/>
        <v>0.8716049382716049</v>
      </c>
      <c r="S108">
        <f t="shared" si="10"/>
        <v>0.61012345679012336</v>
      </c>
      <c r="T108">
        <f t="shared" si="11"/>
        <v>-0.61012345679012336</v>
      </c>
      <c r="U108" s="14">
        <f t="shared" si="16"/>
        <v>29.146790123456793</v>
      </c>
      <c r="W108">
        <v>295.8</v>
      </c>
      <c r="X108">
        <f t="shared" si="14"/>
        <v>58744.500000000015</v>
      </c>
      <c r="Y108">
        <f t="shared" si="15"/>
        <v>58744.500000000015</v>
      </c>
      <c r="Z108">
        <v>9.1175073282043382</v>
      </c>
    </row>
    <row r="109" spans="1:26" x14ac:dyDescent="0.25">
      <c r="A109">
        <v>5320</v>
      </c>
      <c r="B109">
        <v>23210</v>
      </c>
      <c r="C109" s="1">
        <v>42686</v>
      </c>
      <c r="F109" s="32"/>
      <c r="G109">
        <v>4.9000000000000004</v>
      </c>
      <c r="H109">
        <v>0.1</v>
      </c>
      <c r="I109">
        <v>10</v>
      </c>
      <c r="J109">
        <f t="shared" si="12"/>
        <v>921.1</v>
      </c>
      <c r="K109">
        <f t="shared" si="13"/>
        <v>921.1</v>
      </c>
      <c r="M109">
        <v>6</v>
      </c>
      <c r="N109">
        <v>0.3</v>
      </c>
      <c r="O109">
        <f t="shared" si="9"/>
        <v>5.7</v>
      </c>
      <c r="Q109">
        <v>73</v>
      </c>
      <c r="R109">
        <f t="shared" ref="R109:R124" si="17">0.35+((Q109-7)/81)*(1-0.35)</f>
        <v>0.87962962962962965</v>
      </c>
      <c r="S109">
        <f t="shared" si="10"/>
        <v>0.2638888888888889</v>
      </c>
      <c r="T109">
        <f t="shared" si="11"/>
        <v>5.7361111111111107</v>
      </c>
      <c r="U109" s="14">
        <f t="shared" si="16"/>
        <v>34.882901234567903</v>
      </c>
      <c r="W109">
        <v>163.4</v>
      </c>
      <c r="X109">
        <f t="shared" si="14"/>
        <v>58907.900000000016</v>
      </c>
      <c r="Y109">
        <f t="shared" si="15"/>
        <v>58907.900000000016</v>
      </c>
      <c r="Z109">
        <v>9.0738662322045265</v>
      </c>
    </row>
    <row r="110" spans="1:26" x14ac:dyDescent="0.25">
      <c r="A110">
        <v>5320</v>
      </c>
      <c r="B110">
        <v>23210</v>
      </c>
      <c r="C110" s="1">
        <v>42687</v>
      </c>
      <c r="E110" t="s">
        <v>59</v>
      </c>
      <c r="F110" s="32"/>
      <c r="G110">
        <v>9.3000000000000007</v>
      </c>
      <c r="H110">
        <v>7.4</v>
      </c>
      <c r="I110">
        <v>10.6</v>
      </c>
      <c r="J110">
        <f t="shared" si="12"/>
        <v>930.4</v>
      </c>
      <c r="K110">
        <f t="shared" si="13"/>
        <v>930.4</v>
      </c>
      <c r="M110">
        <v>0.1</v>
      </c>
      <c r="N110">
        <v>0.3</v>
      </c>
      <c r="O110">
        <f t="shared" si="9"/>
        <v>-0.19999999999999998</v>
      </c>
      <c r="Q110">
        <v>74</v>
      </c>
      <c r="R110">
        <f t="shared" si="17"/>
        <v>0.88765432098765429</v>
      </c>
      <c r="S110">
        <f t="shared" si="10"/>
        <v>0.26629629629629625</v>
      </c>
      <c r="T110">
        <f t="shared" si="11"/>
        <v>-0.16629629629629625</v>
      </c>
      <c r="U110" s="14">
        <f t="shared" si="16"/>
        <v>34.716604938271608</v>
      </c>
      <c r="W110">
        <v>171.2</v>
      </c>
      <c r="X110">
        <f t="shared" si="14"/>
        <v>59079.100000000013</v>
      </c>
      <c r="Y110">
        <f t="shared" si="15"/>
        <v>59079.100000000013</v>
      </c>
      <c r="Z110">
        <v>9.0309818390159844</v>
      </c>
    </row>
    <row r="111" spans="1:26" x14ac:dyDescent="0.25">
      <c r="A111">
        <v>5320</v>
      </c>
      <c r="B111">
        <v>23210</v>
      </c>
      <c r="C111" s="1">
        <v>42688</v>
      </c>
      <c r="F111" s="32"/>
      <c r="G111">
        <v>7.3</v>
      </c>
      <c r="H111">
        <v>6.3</v>
      </c>
      <c r="I111">
        <v>8.1999999999999993</v>
      </c>
      <c r="J111">
        <f t="shared" si="12"/>
        <v>937.69999999999993</v>
      </c>
      <c r="K111">
        <f t="shared" si="13"/>
        <v>937.69999999999993</v>
      </c>
      <c r="M111">
        <v>0</v>
      </c>
      <c r="N111">
        <v>0.4</v>
      </c>
      <c r="O111">
        <f t="shared" si="9"/>
        <v>-0.4</v>
      </c>
      <c r="Q111">
        <v>75</v>
      </c>
      <c r="R111">
        <f t="shared" si="17"/>
        <v>0.89567901234567893</v>
      </c>
      <c r="S111">
        <f t="shared" si="10"/>
        <v>0.35827160493827159</v>
      </c>
      <c r="T111">
        <f t="shared" si="11"/>
        <v>-0.35827160493827159</v>
      </c>
      <c r="U111" s="14">
        <f t="shared" si="16"/>
        <v>34.358333333333334</v>
      </c>
      <c r="W111">
        <v>131.80000000000001</v>
      </c>
      <c r="X111">
        <f t="shared" si="14"/>
        <v>59210.900000000016</v>
      </c>
      <c r="Y111">
        <f t="shared" si="15"/>
        <v>59210.900000000016</v>
      </c>
      <c r="Z111">
        <v>8.9888772138950088</v>
      </c>
    </row>
    <row r="112" spans="1:26" x14ac:dyDescent="0.25">
      <c r="A112">
        <v>5320</v>
      </c>
      <c r="B112">
        <v>23210</v>
      </c>
      <c r="C112" s="1">
        <v>42689</v>
      </c>
      <c r="F112" s="32"/>
      <c r="G112">
        <v>9.5</v>
      </c>
      <c r="H112">
        <v>6.9</v>
      </c>
      <c r="I112">
        <v>11.2</v>
      </c>
      <c r="J112">
        <f t="shared" si="12"/>
        <v>947.19999999999993</v>
      </c>
      <c r="K112">
        <f t="shared" si="13"/>
        <v>947.19999999999993</v>
      </c>
      <c r="M112">
        <v>4</v>
      </c>
      <c r="N112">
        <v>0.3</v>
      </c>
      <c r="O112">
        <f t="shared" si="9"/>
        <v>3.7</v>
      </c>
      <c r="Q112">
        <v>76</v>
      </c>
      <c r="R112">
        <f t="shared" si="17"/>
        <v>0.90370370370370368</v>
      </c>
      <c r="S112">
        <f t="shared" si="10"/>
        <v>0.27111111111111108</v>
      </c>
      <c r="T112">
        <f t="shared" si="11"/>
        <v>3.7288888888888891</v>
      </c>
      <c r="U112" s="14">
        <f t="shared" si="16"/>
        <v>38.087222222222223</v>
      </c>
      <c r="W112">
        <v>165.9</v>
      </c>
      <c r="X112">
        <f t="shared" si="14"/>
        <v>59376.800000000017</v>
      </c>
      <c r="Y112">
        <f t="shared" si="15"/>
        <v>59376.800000000017</v>
      </c>
      <c r="Z112">
        <v>8.9475755913807937</v>
      </c>
    </row>
    <row r="113" spans="1:27" x14ac:dyDescent="0.25">
      <c r="A113">
        <v>5320</v>
      </c>
      <c r="B113">
        <v>23210</v>
      </c>
      <c r="C113" s="1">
        <v>42690</v>
      </c>
      <c r="F113" s="32"/>
      <c r="G113">
        <v>10.9</v>
      </c>
      <c r="H113">
        <v>10.5</v>
      </c>
      <c r="I113">
        <v>11.3</v>
      </c>
      <c r="J113">
        <f t="shared" si="12"/>
        <v>958.09999999999991</v>
      </c>
      <c r="K113">
        <f t="shared" si="13"/>
        <v>958.09999999999991</v>
      </c>
      <c r="M113">
        <v>4.3</v>
      </c>
      <c r="N113">
        <v>0.4</v>
      </c>
      <c r="O113">
        <f t="shared" si="9"/>
        <v>3.9</v>
      </c>
      <c r="Q113">
        <v>77</v>
      </c>
      <c r="R113">
        <f t="shared" si="17"/>
        <v>0.91172839506172831</v>
      </c>
      <c r="S113">
        <f t="shared" si="10"/>
        <v>0.36469135802469133</v>
      </c>
      <c r="T113">
        <f t="shared" si="11"/>
        <v>3.9353086419753085</v>
      </c>
      <c r="U113" s="14">
        <f t="shared" si="16"/>
        <v>42.022530864197535</v>
      </c>
      <c r="W113">
        <v>120.1</v>
      </c>
      <c r="X113">
        <f t="shared" si="14"/>
        <v>59496.900000000016</v>
      </c>
      <c r="Y113">
        <f t="shared" si="15"/>
        <v>59496.900000000016</v>
      </c>
      <c r="Z113">
        <v>8.9071003438002521</v>
      </c>
    </row>
    <row r="114" spans="1:27" x14ac:dyDescent="0.25">
      <c r="A114">
        <v>5320</v>
      </c>
      <c r="B114">
        <v>23210</v>
      </c>
      <c r="C114" s="1">
        <v>42691</v>
      </c>
      <c r="F114" s="32"/>
      <c r="G114">
        <v>11.9</v>
      </c>
      <c r="H114">
        <v>10.8</v>
      </c>
      <c r="I114">
        <v>13</v>
      </c>
      <c r="J114">
        <f t="shared" si="12"/>
        <v>969.99999999999989</v>
      </c>
      <c r="K114">
        <f t="shared" si="13"/>
        <v>969.99999999999989</v>
      </c>
      <c r="M114">
        <v>3.7</v>
      </c>
      <c r="N114">
        <v>0.9</v>
      </c>
      <c r="O114">
        <f t="shared" si="9"/>
        <v>2.8000000000000003</v>
      </c>
      <c r="Q114">
        <v>78</v>
      </c>
      <c r="R114">
        <f t="shared" si="17"/>
        <v>0.91975308641975306</v>
      </c>
      <c r="S114">
        <f t="shared" si="10"/>
        <v>0.82777777777777772</v>
      </c>
      <c r="T114">
        <f t="shared" si="11"/>
        <v>2.8722222222222227</v>
      </c>
      <c r="U114" s="14">
        <f t="shared" si="16"/>
        <v>44.894753086419755</v>
      </c>
      <c r="W114">
        <v>233.8</v>
      </c>
      <c r="X114">
        <f t="shared" si="14"/>
        <v>59730.700000000019</v>
      </c>
      <c r="Y114">
        <f t="shared" si="15"/>
        <v>59730.700000000019</v>
      </c>
      <c r="Z114">
        <v>8.8674749477131751</v>
      </c>
    </row>
    <row r="115" spans="1:27" x14ac:dyDescent="0.25">
      <c r="A115">
        <v>5320</v>
      </c>
      <c r="B115">
        <v>23210</v>
      </c>
      <c r="C115" s="1">
        <v>42692</v>
      </c>
      <c r="F115" s="32"/>
      <c r="G115">
        <v>7.5</v>
      </c>
      <c r="H115">
        <v>5.8</v>
      </c>
      <c r="I115">
        <v>8.4</v>
      </c>
      <c r="J115">
        <f t="shared" si="12"/>
        <v>977.49999999999989</v>
      </c>
      <c r="K115">
        <f t="shared" si="13"/>
        <v>977.49999999999989</v>
      </c>
      <c r="M115">
        <v>2.2999999999999998</v>
      </c>
      <c r="N115">
        <v>0.7</v>
      </c>
      <c r="O115">
        <f t="shared" si="9"/>
        <v>1.5999999999999999</v>
      </c>
      <c r="Q115">
        <v>79</v>
      </c>
      <c r="R115">
        <f t="shared" si="17"/>
        <v>0.9277777777777777</v>
      </c>
      <c r="S115">
        <f t="shared" si="10"/>
        <v>0.64944444444444438</v>
      </c>
      <c r="T115">
        <f t="shared" si="11"/>
        <v>1.6505555555555556</v>
      </c>
      <c r="U115" s="14">
        <f t="shared" si="16"/>
        <v>46.545308641975311</v>
      </c>
      <c r="W115">
        <v>130.9</v>
      </c>
      <c r="X115">
        <f t="shared" si="14"/>
        <v>59861.60000000002</v>
      </c>
      <c r="Y115">
        <f t="shared" si="15"/>
        <v>59861.60000000002</v>
      </c>
      <c r="Z115">
        <v>8.8287229483217917</v>
      </c>
    </row>
    <row r="116" spans="1:27" x14ac:dyDescent="0.25">
      <c r="A116">
        <v>5320</v>
      </c>
      <c r="B116">
        <v>23210</v>
      </c>
      <c r="C116" s="1">
        <v>42693</v>
      </c>
      <c r="F116" s="32"/>
      <c r="G116">
        <v>7.1</v>
      </c>
      <c r="H116">
        <v>4.3</v>
      </c>
      <c r="I116">
        <v>10.7</v>
      </c>
      <c r="J116">
        <f t="shared" si="12"/>
        <v>984.59999999999991</v>
      </c>
      <c r="K116">
        <f t="shared" si="13"/>
        <v>984.59999999999991</v>
      </c>
      <c r="M116">
        <v>1.6</v>
      </c>
      <c r="N116">
        <v>1.3</v>
      </c>
      <c r="O116">
        <f t="shared" si="9"/>
        <v>0.30000000000000004</v>
      </c>
      <c r="Q116">
        <v>80</v>
      </c>
      <c r="R116">
        <f t="shared" si="17"/>
        <v>0.93580246913580245</v>
      </c>
      <c r="S116">
        <f t="shared" si="10"/>
        <v>1.2165432098765432</v>
      </c>
      <c r="T116">
        <f t="shared" si="11"/>
        <v>0.3834567901234569</v>
      </c>
      <c r="U116" s="14">
        <f t="shared" si="16"/>
        <v>46.928765432098764</v>
      </c>
      <c r="W116">
        <v>656.9</v>
      </c>
      <c r="X116">
        <f t="shared" si="14"/>
        <v>60518.500000000022</v>
      </c>
      <c r="Y116">
        <f t="shared" si="15"/>
        <v>60518.500000000022</v>
      </c>
      <c r="Z116">
        <v>8.79086792188202</v>
      </c>
    </row>
    <row r="117" spans="1:27" x14ac:dyDescent="0.25">
      <c r="A117">
        <v>5320</v>
      </c>
      <c r="B117">
        <v>23210</v>
      </c>
      <c r="C117" s="1">
        <v>42694</v>
      </c>
      <c r="F117" s="32"/>
      <c r="G117">
        <v>11.5</v>
      </c>
      <c r="H117">
        <v>7.9</v>
      </c>
      <c r="I117">
        <v>13.1</v>
      </c>
      <c r="J117">
        <f t="shared" si="12"/>
        <v>996.09999999999991</v>
      </c>
      <c r="K117">
        <f t="shared" si="13"/>
        <v>996.09999999999991</v>
      </c>
      <c r="M117">
        <v>3.2</v>
      </c>
      <c r="N117">
        <v>0.8</v>
      </c>
      <c r="O117">
        <f t="shared" si="9"/>
        <v>2.4000000000000004</v>
      </c>
      <c r="Q117">
        <v>81</v>
      </c>
      <c r="R117">
        <f t="shared" si="17"/>
        <v>0.94382716049382709</v>
      </c>
      <c r="S117">
        <f t="shared" si="10"/>
        <v>0.75506172839506169</v>
      </c>
      <c r="T117">
        <f t="shared" si="11"/>
        <v>2.4449382716049386</v>
      </c>
      <c r="U117" s="14">
        <f t="shared" si="16"/>
        <v>49.373703703703704</v>
      </c>
      <c r="W117">
        <v>169.7</v>
      </c>
      <c r="X117">
        <f t="shared" si="14"/>
        <v>60688.200000000019</v>
      </c>
      <c r="Y117">
        <f t="shared" si="15"/>
        <v>60688.200000000019</v>
      </c>
      <c r="Z117">
        <v>8.7539334361676513</v>
      </c>
    </row>
    <row r="118" spans="1:27" x14ac:dyDescent="0.25">
      <c r="A118">
        <v>5320</v>
      </c>
      <c r="B118">
        <v>23210</v>
      </c>
      <c r="C118" s="1">
        <v>42695</v>
      </c>
      <c r="F118" s="32"/>
      <c r="G118">
        <v>11.3</v>
      </c>
      <c r="H118">
        <v>10.5</v>
      </c>
      <c r="I118">
        <v>11.9</v>
      </c>
      <c r="J118">
        <f t="shared" si="12"/>
        <v>1007.3999999999999</v>
      </c>
      <c r="K118">
        <f t="shared" si="13"/>
        <v>1007.3999999999999</v>
      </c>
      <c r="M118">
        <v>0.7</v>
      </c>
      <c r="N118">
        <v>1</v>
      </c>
      <c r="O118">
        <f t="shared" si="9"/>
        <v>-0.30000000000000004</v>
      </c>
      <c r="Q118">
        <v>82</v>
      </c>
      <c r="R118">
        <f t="shared" si="17"/>
        <v>0.95185185185185184</v>
      </c>
      <c r="S118">
        <f t="shared" si="10"/>
        <v>0.95185185185185184</v>
      </c>
      <c r="T118">
        <f t="shared" si="11"/>
        <v>-0.25185185185185188</v>
      </c>
      <c r="U118" s="14">
        <f t="shared" si="16"/>
        <v>49.121851851851851</v>
      </c>
      <c r="W118">
        <v>221.6</v>
      </c>
      <c r="X118">
        <f t="shared" si="14"/>
        <v>60909.800000000017</v>
      </c>
      <c r="Y118">
        <f t="shared" si="15"/>
        <v>60909.800000000017</v>
      </c>
      <c r="Z118">
        <v>8.7179430090537888</v>
      </c>
    </row>
    <row r="119" spans="1:27" x14ac:dyDescent="0.25">
      <c r="A119">
        <v>5320</v>
      </c>
      <c r="B119">
        <v>23210</v>
      </c>
      <c r="C119" s="1">
        <v>42696</v>
      </c>
      <c r="F119" s="32"/>
      <c r="G119">
        <v>9.4</v>
      </c>
      <c r="H119">
        <v>8</v>
      </c>
      <c r="I119">
        <v>11.4</v>
      </c>
      <c r="J119">
        <f t="shared" si="12"/>
        <v>1016.7999999999998</v>
      </c>
      <c r="K119">
        <f t="shared" si="13"/>
        <v>1016.7999999999998</v>
      </c>
      <c r="M119">
        <v>8.8000000000000007</v>
      </c>
      <c r="N119">
        <v>0.7</v>
      </c>
      <c r="O119">
        <f t="shared" si="9"/>
        <v>8.1000000000000014</v>
      </c>
      <c r="Q119">
        <v>83</v>
      </c>
      <c r="R119">
        <f t="shared" si="17"/>
        <v>0.95987654320987648</v>
      </c>
      <c r="S119">
        <f t="shared" si="10"/>
        <v>0.6719135802469135</v>
      </c>
      <c r="T119">
        <f t="shared" si="11"/>
        <v>8.1280864197530871</v>
      </c>
      <c r="U119" s="14">
        <f t="shared" si="16"/>
        <v>57.24993827160494</v>
      </c>
      <c r="W119">
        <v>304.60000000000002</v>
      </c>
      <c r="X119">
        <f t="shared" si="14"/>
        <v>61214.400000000016</v>
      </c>
      <c r="Y119">
        <f t="shared" si="15"/>
        <v>61214.400000000016</v>
      </c>
      <c r="Z119">
        <v>8.6829200653011878</v>
      </c>
    </row>
    <row r="120" spans="1:27" x14ac:dyDescent="0.25">
      <c r="A120">
        <v>5320</v>
      </c>
      <c r="B120">
        <v>23210</v>
      </c>
      <c r="C120" s="1">
        <v>42697</v>
      </c>
      <c r="F120" s="32"/>
      <c r="G120">
        <v>10.7</v>
      </c>
      <c r="H120">
        <v>8.1999999999999993</v>
      </c>
      <c r="I120">
        <v>13.2</v>
      </c>
      <c r="J120">
        <f t="shared" si="12"/>
        <v>1027.4999999999998</v>
      </c>
      <c r="K120">
        <f t="shared" si="13"/>
        <v>1027.4999999999998</v>
      </c>
      <c r="M120">
        <v>0.4</v>
      </c>
      <c r="N120">
        <v>0.4</v>
      </c>
      <c r="O120">
        <f t="shared" si="9"/>
        <v>0</v>
      </c>
      <c r="Q120">
        <v>84</v>
      </c>
      <c r="R120">
        <f t="shared" si="17"/>
        <v>0.96790123456790123</v>
      </c>
      <c r="S120">
        <f t="shared" si="10"/>
        <v>0.3871604938271605</v>
      </c>
      <c r="T120">
        <f t="shared" si="11"/>
        <v>1.2839506172839521E-2</v>
      </c>
      <c r="U120" s="14">
        <f t="shared" si="16"/>
        <v>57.262777777777778</v>
      </c>
      <c r="W120">
        <v>189.7</v>
      </c>
      <c r="X120">
        <f t="shared" si="14"/>
        <v>61404.100000000013</v>
      </c>
      <c r="Y120">
        <f t="shared" si="15"/>
        <v>61404.100000000013</v>
      </c>
      <c r="Z120">
        <v>8.6488878916394363</v>
      </c>
    </row>
    <row r="121" spans="1:27" x14ac:dyDescent="0.25">
      <c r="A121">
        <v>5320</v>
      </c>
      <c r="B121">
        <v>23210</v>
      </c>
      <c r="C121" s="1">
        <v>42698</v>
      </c>
      <c r="F121" s="32"/>
      <c r="G121">
        <v>10.199999999999999</v>
      </c>
      <c r="H121">
        <v>9.8000000000000007</v>
      </c>
      <c r="I121">
        <v>11.1</v>
      </c>
      <c r="J121">
        <f t="shared" si="12"/>
        <v>1037.6999999999998</v>
      </c>
      <c r="K121">
        <f t="shared" si="13"/>
        <v>1037.6999999999998</v>
      </c>
      <c r="M121">
        <v>0</v>
      </c>
      <c r="N121">
        <v>0.8</v>
      </c>
      <c r="O121">
        <f t="shared" si="9"/>
        <v>-0.8</v>
      </c>
      <c r="Q121">
        <v>85</v>
      </c>
      <c r="R121">
        <f t="shared" si="17"/>
        <v>0.97592592592592586</v>
      </c>
      <c r="S121">
        <f t="shared" si="10"/>
        <v>0.78074074074074074</v>
      </c>
      <c r="T121">
        <f t="shared" si="11"/>
        <v>-0.78074074074074074</v>
      </c>
      <c r="U121" s="14">
        <f t="shared" si="16"/>
        <v>56.482037037037038</v>
      </c>
      <c r="W121">
        <v>139.5</v>
      </c>
      <c r="X121">
        <f t="shared" si="14"/>
        <v>61543.600000000013</v>
      </c>
      <c r="Y121">
        <f t="shared" si="15"/>
        <v>61543.600000000013</v>
      </c>
      <c r="Z121">
        <v>8.6158695902634577</v>
      </c>
    </row>
    <row r="122" spans="1:27" x14ac:dyDescent="0.25">
      <c r="A122">
        <v>5320</v>
      </c>
      <c r="B122">
        <v>23210</v>
      </c>
      <c r="C122" s="1">
        <v>42699</v>
      </c>
      <c r="F122" s="32"/>
      <c r="G122">
        <v>8.5</v>
      </c>
      <c r="H122">
        <v>8.5</v>
      </c>
      <c r="I122">
        <v>9.1</v>
      </c>
      <c r="J122">
        <f t="shared" si="12"/>
        <v>1046.1999999999998</v>
      </c>
      <c r="K122">
        <f t="shared" si="13"/>
        <v>1046.1999999999998</v>
      </c>
      <c r="M122">
        <v>0</v>
      </c>
      <c r="N122">
        <v>0.8</v>
      </c>
      <c r="O122">
        <f t="shared" si="9"/>
        <v>-0.8</v>
      </c>
      <c r="Q122">
        <v>86</v>
      </c>
      <c r="R122">
        <f t="shared" si="17"/>
        <v>0.98395061728395061</v>
      </c>
      <c r="S122">
        <f t="shared" si="10"/>
        <v>0.78716049382716058</v>
      </c>
      <c r="T122">
        <f t="shared" si="11"/>
        <v>-0.78716049382716058</v>
      </c>
      <c r="U122" s="14">
        <f t="shared" si="16"/>
        <v>55.69487654320988</v>
      </c>
      <c r="W122">
        <v>106.7</v>
      </c>
      <c r="X122">
        <f t="shared" si="14"/>
        <v>61650.30000000001</v>
      </c>
      <c r="Y122">
        <f t="shared" si="15"/>
        <v>61650.30000000001</v>
      </c>
      <c r="Z122">
        <v>8.5838880308746468</v>
      </c>
    </row>
    <row r="123" spans="1:27" x14ac:dyDescent="0.25">
      <c r="A123">
        <v>5320</v>
      </c>
      <c r="B123">
        <v>23210</v>
      </c>
      <c r="C123" s="1">
        <v>42700</v>
      </c>
      <c r="F123" s="32"/>
      <c r="G123">
        <v>7.3</v>
      </c>
      <c r="H123">
        <v>6.7</v>
      </c>
      <c r="I123">
        <v>8.5</v>
      </c>
      <c r="J123">
        <f t="shared" si="12"/>
        <v>1053.4999999999998</v>
      </c>
      <c r="K123">
        <f t="shared" si="13"/>
        <v>1053.4999999999998</v>
      </c>
      <c r="M123">
        <v>0.1</v>
      </c>
      <c r="N123">
        <v>0.3</v>
      </c>
      <c r="O123">
        <f t="shared" si="9"/>
        <v>-0.19999999999999998</v>
      </c>
      <c r="Q123">
        <v>87</v>
      </c>
      <c r="R123">
        <f t="shared" si="17"/>
        <v>0.99197530864197525</v>
      </c>
      <c r="S123">
        <f t="shared" si="10"/>
        <v>0.29759259259259258</v>
      </c>
      <c r="T123">
        <f t="shared" si="11"/>
        <v>-0.19759259259259257</v>
      </c>
      <c r="U123" s="14">
        <f t="shared" si="16"/>
        <v>55.497283950617287</v>
      </c>
      <c r="W123">
        <v>223</v>
      </c>
      <c r="X123">
        <f t="shared" si="14"/>
        <v>61873.30000000001</v>
      </c>
      <c r="Y123">
        <f t="shared" si="15"/>
        <v>61873.30000000001</v>
      </c>
      <c r="Z123">
        <v>8.5529658014152101</v>
      </c>
    </row>
    <row r="124" spans="1:27" s="6" customFormat="1" ht="15.75" thickBot="1" x14ac:dyDescent="0.3">
      <c r="A124" s="6">
        <v>5320</v>
      </c>
      <c r="B124" s="6">
        <v>23210</v>
      </c>
      <c r="C124" s="7">
        <v>42701</v>
      </c>
      <c r="F124" s="33"/>
      <c r="G124" s="6">
        <v>6.5</v>
      </c>
      <c r="H124" s="6">
        <v>5.6</v>
      </c>
      <c r="I124" s="6">
        <v>8.3000000000000007</v>
      </c>
      <c r="J124" s="6">
        <f t="shared" si="12"/>
        <v>1059.9999999999998</v>
      </c>
      <c r="K124" s="6">
        <f t="shared" si="13"/>
        <v>1059.9999999999998</v>
      </c>
      <c r="M124" s="6">
        <v>0</v>
      </c>
      <c r="N124" s="6">
        <v>0.7</v>
      </c>
      <c r="O124" s="6">
        <f t="shared" si="9"/>
        <v>-0.7</v>
      </c>
      <c r="Q124" s="6">
        <v>88</v>
      </c>
      <c r="R124" s="6">
        <f t="shared" si="17"/>
        <v>1</v>
      </c>
      <c r="S124" s="6">
        <f t="shared" si="10"/>
        <v>0.7</v>
      </c>
      <c r="T124" s="6">
        <f t="shared" si="11"/>
        <v>-0.7</v>
      </c>
      <c r="U124" s="26">
        <f t="shared" si="16"/>
        <v>54.797283950617285</v>
      </c>
      <c r="W124" s="6">
        <v>335.2</v>
      </c>
      <c r="X124" s="6">
        <f t="shared" si="14"/>
        <v>62208.500000000007</v>
      </c>
      <c r="Y124" s="6">
        <f t="shared" si="15"/>
        <v>62208.500000000007</v>
      </c>
      <c r="Z124" s="6">
        <v>8.5231251576610934</v>
      </c>
    </row>
    <row r="125" spans="1:27" x14ac:dyDescent="0.25">
      <c r="A125">
        <v>5320</v>
      </c>
      <c r="B125">
        <v>23210</v>
      </c>
      <c r="C125" s="1">
        <v>42702</v>
      </c>
      <c r="E125">
        <v>1</v>
      </c>
      <c r="F125" s="34" t="s">
        <v>35</v>
      </c>
      <c r="G125">
        <v>3.5</v>
      </c>
      <c r="H125">
        <v>2.5</v>
      </c>
      <c r="I125">
        <v>6.6</v>
      </c>
      <c r="J125">
        <f t="shared" si="12"/>
        <v>1063.4999999999998</v>
      </c>
      <c r="K125">
        <f>G125</f>
        <v>3.5</v>
      </c>
      <c r="L125" s="12" t="s">
        <v>36</v>
      </c>
      <c r="M125">
        <v>0</v>
      </c>
      <c r="N125">
        <v>1.6</v>
      </c>
      <c r="O125">
        <f t="shared" si="9"/>
        <v>-1.6</v>
      </c>
      <c r="Q125">
        <v>89</v>
      </c>
      <c r="R125">
        <v>1</v>
      </c>
      <c r="S125">
        <f t="shared" si="10"/>
        <v>1.6</v>
      </c>
      <c r="T125">
        <f t="shared" si="11"/>
        <v>-1.6</v>
      </c>
      <c r="U125" s="14">
        <f t="shared" si="16"/>
        <v>53.197283950617283</v>
      </c>
      <c r="V125" s="13" t="s">
        <v>43</v>
      </c>
      <c r="W125">
        <v>774.1</v>
      </c>
      <c r="X125">
        <f t="shared" si="14"/>
        <v>62982.600000000006</v>
      </c>
      <c r="Y125">
        <f>W125</f>
        <v>774.1</v>
      </c>
      <c r="Z125">
        <v>8.4943879718558613</v>
      </c>
      <c r="AA125" s="13" t="s">
        <v>48</v>
      </c>
    </row>
    <row r="126" spans="1:27" x14ac:dyDescent="0.25">
      <c r="A126">
        <v>5320</v>
      </c>
      <c r="B126">
        <v>23210</v>
      </c>
      <c r="C126" s="1">
        <v>42703</v>
      </c>
      <c r="E126">
        <v>2</v>
      </c>
      <c r="F126" s="35"/>
      <c r="G126">
        <v>0</v>
      </c>
      <c r="H126">
        <v>-1.9</v>
      </c>
      <c r="I126">
        <v>2.5</v>
      </c>
      <c r="J126">
        <f t="shared" si="12"/>
        <v>1063.4999999999998</v>
      </c>
      <c r="K126">
        <f t="shared" si="13"/>
        <v>3.5</v>
      </c>
      <c r="L126" s="9">
        <v>158.69999999999999</v>
      </c>
      <c r="M126">
        <v>0</v>
      </c>
      <c r="N126">
        <v>1</v>
      </c>
      <c r="O126">
        <f t="shared" si="9"/>
        <v>-1</v>
      </c>
      <c r="Q126">
        <v>90</v>
      </c>
      <c r="R126">
        <v>1</v>
      </c>
      <c r="S126">
        <f t="shared" si="10"/>
        <v>1</v>
      </c>
      <c r="T126">
        <f t="shared" si="11"/>
        <v>-1</v>
      </c>
      <c r="U126" s="14">
        <f t="shared" si="16"/>
        <v>52.197283950617283</v>
      </c>
      <c r="V126">
        <v>0</v>
      </c>
      <c r="W126">
        <v>790.2</v>
      </c>
      <c r="X126">
        <f t="shared" si="14"/>
        <v>63772.800000000003</v>
      </c>
      <c r="Y126">
        <f t="shared" si="15"/>
        <v>1564.3000000000002</v>
      </c>
      <c r="Z126">
        <v>8.4667756805841918</v>
      </c>
      <c r="AA126">
        <v>25647.3</v>
      </c>
    </row>
    <row r="127" spans="1:27" x14ac:dyDescent="0.25">
      <c r="A127">
        <v>5320</v>
      </c>
      <c r="B127">
        <v>23210</v>
      </c>
      <c r="C127" s="1">
        <v>42704</v>
      </c>
      <c r="E127">
        <v>3</v>
      </c>
      <c r="F127" s="35"/>
      <c r="G127">
        <v>1</v>
      </c>
      <c r="H127">
        <v>-2.7</v>
      </c>
      <c r="I127">
        <v>5.6</v>
      </c>
      <c r="J127">
        <f t="shared" si="12"/>
        <v>1064.4999999999998</v>
      </c>
      <c r="K127">
        <f t="shared" si="13"/>
        <v>4.5</v>
      </c>
      <c r="L127" s="12" t="s">
        <v>37</v>
      </c>
      <c r="M127">
        <v>0</v>
      </c>
      <c r="N127">
        <v>0.8</v>
      </c>
      <c r="O127">
        <f t="shared" si="9"/>
        <v>-0.8</v>
      </c>
      <c r="Q127">
        <v>91</v>
      </c>
      <c r="R127">
        <v>1</v>
      </c>
      <c r="S127">
        <f t="shared" si="10"/>
        <v>0.8</v>
      </c>
      <c r="T127">
        <f t="shared" si="11"/>
        <v>-0.8</v>
      </c>
      <c r="U127" s="14">
        <f t="shared" si="16"/>
        <v>51.397283950617286</v>
      </c>
      <c r="V127" s="13" t="s">
        <v>44</v>
      </c>
      <c r="W127">
        <v>774.4</v>
      </c>
      <c r="X127">
        <f t="shared" si="14"/>
        <v>64547.200000000004</v>
      </c>
      <c r="Y127">
        <f t="shared" si="15"/>
        <v>2338.7000000000003</v>
      </c>
      <c r="Z127">
        <v>8.4403092320993593</v>
      </c>
      <c r="AA127" s="13" t="s">
        <v>49</v>
      </c>
    </row>
    <row r="128" spans="1:27" x14ac:dyDescent="0.25">
      <c r="A128">
        <v>5320</v>
      </c>
      <c r="B128">
        <v>23210</v>
      </c>
      <c r="C128" s="1">
        <v>42705</v>
      </c>
      <c r="E128">
        <v>4</v>
      </c>
      <c r="F128" s="35"/>
      <c r="G128">
        <v>0.8</v>
      </c>
      <c r="H128">
        <v>-2</v>
      </c>
      <c r="I128">
        <v>5.2</v>
      </c>
      <c r="J128">
        <f t="shared" si="12"/>
        <v>1065.2999999999997</v>
      </c>
      <c r="K128">
        <f t="shared" si="13"/>
        <v>5.3</v>
      </c>
      <c r="L128" s="9">
        <f>AVERAGE(G125:G184)</f>
        <v>2.0433333333333334</v>
      </c>
      <c r="M128">
        <v>0</v>
      </c>
      <c r="N128">
        <v>0.8</v>
      </c>
      <c r="O128">
        <f t="shared" si="9"/>
        <v>-0.8</v>
      </c>
      <c r="Q128">
        <v>92</v>
      </c>
      <c r="R128">
        <v>1</v>
      </c>
      <c r="S128">
        <f t="shared" si="10"/>
        <v>0.8</v>
      </c>
      <c r="T128">
        <f t="shared" si="11"/>
        <v>-0.8</v>
      </c>
      <c r="U128" s="14">
        <f t="shared" si="16"/>
        <v>50.597283950617289</v>
      </c>
      <c r="V128">
        <v>13</v>
      </c>
      <c r="W128">
        <v>760.7</v>
      </c>
      <c r="X128">
        <f t="shared" si="14"/>
        <v>65307.9</v>
      </c>
      <c r="Y128">
        <f t="shared" si="15"/>
        <v>3099.4000000000005</v>
      </c>
      <c r="Z128">
        <v>8.4150090333339023</v>
      </c>
      <c r="AA128">
        <f>(AA126/100)/L126</f>
        <v>1.6160869565217393</v>
      </c>
    </row>
    <row r="129" spans="1:27" x14ac:dyDescent="0.25">
      <c r="A129">
        <v>5320</v>
      </c>
      <c r="B129">
        <v>23210</v>
      </c>
      <c r="C129" s="1">
        <v>42706</v>
      </c>
      <c r="E129">
        <v>5</v>
      </c>
      <c r="F129" s="35"/>
      <c r="G129">
        <v>1.5</v>
      </c>
      <c r="H129">
        <v>-1.5</v>
      </c>
      <c r="I129">
        <v>4.0999999999999996</v>
      </c>
      <c r="J129">
        <f t="shared" si="12"/>
        <v>1066.7999999999997</v>
      </c>
      <c r="K129">
        <f t="shared" si="13"/>
        <v>6.8</v>
      </c>
      <c r="L129" s="12" t="s">
        <v>38</v>
      </c>
      <c r="M129">
        <v>0</v>
      </c>
      <c r="N129">
        <v>0.3</v>
      </c>
      <c r="O129">
        <f t="shared" si="9"/>
        <v>-0.3</v>
      </c>
      <c r="Q129">
        <v>93</v>
      </c>
      <c r="R129">
        <v>1</v>
      </c>
      <c r="S129">
        <f t="shared" si="10"/>
        <v>0.3</v>
      </c>
      <c r="T129">
        <f t="shared" si="11"/>
        <v>-0.3</v>
      </c>
      <c r="U129" s="14">
        <f t="shared" si="16"/>
        <v>50.297283950617292</v>
      </c>
      <c r="V129" s="13" t="s">
        <v>45</v>
      </c>
      <c r="W129">
        <v>239.9</v>
      </c>
      <c r="X129">
        <f t="shared" si="14"/>
        <v>65547.8</v>
      </c>
      <c r="Y129">
        <f t="shared" si="15"/>
        <v>3339.3000000000006</v>
      </c>
      <c r="Z129">
        <v>8.3908948968363433</v>
      </c>
      <c r="AA129" s="13" t="s">
        <v>50</v>
      </c>
    </row>
    <row r="130" spans="1:27" x14ac:dyDescent="0.25">
      <c r="A130">
        <v>5320</v>
      </c>
      <c r="B130">
        <v>23210</v>
      </c>
      <c r="C130" s="1">
        <v>42707</v>
      </c>
      <c r="E130">
        <v>6</v>
      </c>
      <c r="F130" s="35"/>
      <c r="G130">
        <v>4</v>
      </c>
      <c r="H130">
        <v>3</v>
      </c>
      <c r="I130">
        <v>6.7</v>
      </c>
      <c r="J130">
        <f t="shared" si="12"/>
        <v>1070.7999999999997</v>
      </c>
      <c r="K130">
        <f t="shared" si="13"/>
        <v>10.8</v>
      </c>
      <c r="L130" s="10">
        <f>MIN(H125:H184)</f>
        <v>-7.8</v>
      </c>
      <c r="M130">
        <v>0</v>
      </c>
      <c r="N130">
        <v>1</v>
      </c>
      <c r="O130">
        <f t="shared" si="9"/>
        <v>-1</v>
      </c>
      <c r="Q130">
        <v>94</v>
      </c>
      <c r="R130">
        <v>1</v>
      </c>
      <c r="S130">
        <f t="shared" si="10"/>
        <v>1</v>
      </c>
      <c r="T130">
        <f t="shared" si="11"/>
        <v>-1</v>
      </c>
      <c r="U130" s="14">
        <f t="shared" si="16"/>
        <v>49.297283950617292</v>
      </c>
      <c r="V130" s="14">
        <f>MIN(U125:U184)</f>
        <v>41.997283950617302</v>
      </c>
      <c r="W130">
        <v>626</v>
      </c>
      <c r="X130">
        <f t="shared" si="14"/>
        <v>66173.8</v>
      </c>
      <c r="Y130">
        <f t="shared" si="15"/>
        <v>3965.3000000000006</v>
      </c>
      <c r="Z130">
        <v>8.3679859878890319</v>
      </c>
      <c r="AA130">
        <v>59</v>
      </c>
    </row>
    <row r="131" spans="1:27" x14ac:dyDescent="0.25">
      <c r="A131">
        <v>5320</v>
      </c>
      <c r="B131">
        <v>23210</v>
      </c>
      <c r="C131" s="1">
        <v>42708</v>
      </c>
      <c r="E131">
        <v>7</v>
      </c>
      <c r="F131" s="35"/>
      <c r="G131">
        <v>0.7</v>
      </c>
      <c r="H131">
        <v>-0.7</v>
      </c>
      <c r="I131">
        <v>2.2999999999999998</v>
      </c>
      <c r="J131">
        <f t="shared" si="12"/>
        <v>1071.4999999999998</v>
      </c>
      <c r="K131">
        <f t="shared" si="13"/>
        <v>11.5</v>
      </c>
      <c r="L131" s="12" t="s">
        <v>39</v>
      </c>
      <c r="M131">
        <v>0.2</v>
      </c>
      <c r="N131">
        <v>0.3</v>
      </c>
      <c r="O131">
        <f t="shared" si="9"/>
        <v>-9.9999999999999978E-2</v>
      </c>
      <c r="Q131">
        <v>95</v>
      </c>
      <c r="R131">
        <v>1</v>
      </c>
      <c r="S131">
        <f t="shared" si="10"/>
        <v>0.3</v>
      </c>
      <c r="T131">
        <f t="shared" si="11"/>
        <v>-9.9999999999999978E-2</v>
      </c>
      <c r="U131" s="14">
        <f t="shared" si="16"/>
        <v>49.19728395061729</v>
      </c>
      <c r="V131" s="13" t="s">
        <v>46</v>
      </c>
      <c r="W131">
        <v>249.6</v>
      </c>
      <c r="X131">
        <f t="shared" si="14"/>
        <v>66423.400000000009</v>
      </c>
      <c r="Y131">
        <f t="shared" si="15"/>
        <v>4214.9000000000005</v>
      </c>
      <c r="Z131">
        <v>8.3463007720729312</v>
      </c>
      <c r="AA131" t="s">
        <v>51</v>
      </c>
    </row>
    <row r="132" spans="1:27" x14ac:dyDescent="0.25">
      <c r="A132">
        <v>5320</v>
      </c>
      <c r="B132">
        <v>23210</v>
      </c>
      <c r="C132" s="1">
        <v>42709</v>
      </c>
      <c r="F132" s="35"/>
      <c r="G132">
        <v>5.2</v>
      </c>
      <c r="H132">
        <v>0.9</v>
      </c>
      <c r="I132">
        <v>10.5</v>
      </c>
      <c r="J132">
        <f t="shared" si="12"/>
        <v>1076.6999999999998</v>
      </c>
      <c r="K132">
        <f t="shared" si="13"/>
        <v>16.7</v>
      </c>
      <c r="L132" s="9">
        <f>MAX(I125:I184)</f>
        <v>11.6</v>
      </c>
      <c r="M132">
        <v>0</v>
      </c>
      <c r="N132">
        <v>0.9</v>
      </c>
      <c r="O132">
        <f t="shared" si="9"/>
        <v>-0.9</v>
      </c>
      <c r="Q132">
        <v>96</v>
      </c>
      <c r="R132">
        <v>1</v>
      </c>
      <c r="S132">
        <f t="shared" si="10"/>
        <v>0.9</v>
      </c>
      <c r="T132">
        <f t="shared" si="11"/>
        <v>-0.9</v>
      </c>
      <c r="U132" s="14">
        <f t="shared" si="16"/>
        <v>48.297283950617292</v>
      </c>
      <c r="V132" s="14">
        <f>MAX(U125:U184)</f>
        <v>71.897283950617307</v>
      </c>
      <c r="W132">
        <v>675.8</v>
      </c>
      <c r="X132">
        <f t="shared" si="14"/>
        <v>67099.200000000012</v>
      </c>
      <c r="Y132">
        <f t="shared" si="15"/>
        <v>4890.7000000000007</v>
      </c>
      <c r="Z132">
        <v>8.32585696355385</v>
      </c>
      <c r="AA132">
        <v>48</v>
      </c>
    </row>
    <row r="133" spans="1:27" x14ac:dyDescent="0.25">
      <c r="A133">
        <v>5320</v>
      </c>
      <c r="B133">
        <v>23210</v>
      </c>
      <c r="C133" s="1">
        <v>42710</v>
      </c>
      <c r="E133">
        <v>8</v>
      </c>
      <c r="F133" s="35"/>
      <c r="G133">
        <v>4.9000000000000004</v>
      </c>
      <c r="H133">
        <v>1.4</v>
      </c>
      <c r="I133">
        <v>10</v>
      </c>
      <c r="J133">
        <f t="shared" si="12"/>
        <v>1081.5999999999999</v>
      </c>
      <c r="K133">
        <f t="shared" si="13"/>
        <v>21.6</v>
      </c>
      <c r="L133" s="12" t="s">
        <v>40</v>
      </c>
      <c r="M133">
        <v>0</v>
      </c>
      <c r="N133">
        <v>0.7</v>
      </c>
      <c r="O133">
        <f t="shared" ref="O133:O196" si="18">M133-N133</f>
        <v>-0.7</v>
      </c>
      <c r="Q133">
        <v>97</v>
      </c>
      <c r="R133">
        <v>1</v>
      </c>
      <c r="S133">
        <f t="shared" si="10"/>
        <v>0.7</v>
      </c>
      <c r="T133">
        <f t="shared" si="11"/>
        <v>-0.7</v>
      </c>
      <c r="U133" s="14">
        <f t="shared" si="16"/>
        <v>47.597283950617289</v>
      </c>
      <c r="V133" s="13" t="s">
        <v>47</v>
      </c>
      <c r="W133">
        <v>556.1</v>
      </c>
      <c r="X133">
        <f t="shared" si="14"/>
        <v>67655.300000000017</v>
      </c>
      <c r="Y133">
        <f t="shared" si="15"/>
        <v>5446.8000000000011</v>
      </c>
      <c r="Z133">
        <v>8.3066714743712904</v>
      </c>
    </row>
    <row r="134" spans="1:27" x14ac:dyDescent="0.25">
      <c r="A134">
        <v>5320</v>
      </c>
      <c r="B134">
        <v>23210</v>
      </c>
      <c r="C134" s="1">
        <v>42711</v>
      </c>
      <c r="E134">
        <v>9</v>
      </c>
      <c r="F134" s="35"/>
      <c r="G134">
        <v>4.7</v>
      </c>
      <c r="H134">
        <v>1.8</v>
      </c>
      <c r="I134">
        <v>10.9</v>
      </c>
      <c r="J134">
        <f t="shared" si="12"/>
        <v>1086.3</v>
      </c>
      <c r="K134">
        <f t="shared" si="13"/>
        <v>26.3</v>
      </c>
      <c r="L134" s="9">
        <v>0</v>
      </c>
      <c r="M134">
        <v>0</v>
      </c>
      <c r="N134">
        <v>1</v>
      </c>
      <c r="O134">
        <f t="shared" si="18"/>
        <v>-1</v>
      </c>
      <c r="Q134">
        <v>98</v>
      </c>
      <c r="R134">
        <v>1</v>
      </c>
      <c r="S134">
        <f t="shared" si="10"/>
        <v>1</v>
      </c>
      <c r="T134">
        <f t="shared" si="11"/>
        <v>-1</v>
      </c>
      <c r="U134" s="14">
        <f t="shared" si="16"/>
        <v>46.597283950617289</v>
      </c>
      <c r="V134" s="14">
        <f>AVERAGE(U125:U184)</f>
        <v>55.762283950617281</v>
      </c>
      <c r="W134">
        <v>650</v>
      </c>
      <c r="X134">
        <f t="shared" si="14"/>
        <v>68305.300000000017</v>
      </c>
      <c r="Y134">
        <f t="shared" si="15"/>
        <v>6096.8000000000011</v>
      </c>
      <c r="Z134">
        <v>8.288760365015559</v>
      </c>
    </row>
    <row r="135" spans="1:27" x14ac:dyDescent="0.25">
      <c r="A135">
        <v>5320</v>
      </c>
      <c r="B135">
        <v>23210</v>
      </c>
      <c r="C135" s="1">
        <v>42712</v>
      </c>
      <c r="E135">
        <v>10</v>
      </c>
      <c r="F135" s="35"/>
      <c r="G135">
        <v>4.2</v>
      </c>
      <c r="H135">
        <v>-0.6</v>
      </c>
      <c r="I135">
        <v>9.6</v>
      </c>
      <c r="J135">
        <f t="shared" si="12"/>
        <v>1090.5</v>
      </c>
      <c r="K135">
        <f t="shared" si="13"/>
        <v>30.5</v>
      </c>
      <c r="L135" s="12" t="s">
        <v>41</v>
      </c>
      <c r="M135">
        <v>0</v>
      </c>
      <c r="N135">
        <v>0.8</v>
      </c>
      <c r="O135">
        <f t="shared" si="18"/>
        <v>-0.8</v>
      </c>
      <c r="Q135">
        <v>99</v>
      </c>
      <c r="R135">
        <v>1</v>
      </c>
      <c r="S135">
        <f t="shared" si="10"/>
        <v>0.8</v>
      </c>
      <c r="T135">
        <f t="shared" si="11"/>
        <v>-0.8</v>
      </c>
      <c r="U135" s="14">
        <f t="shared" si="16"/>
        <v>45.797283950617292</v>
      </c>
      <c r="W135">
        <v>611.4</v>
      </c>
      <c r="X135">
        <f t="shared" si="14"/>
        <v>68916.700000000012</v>
      </c>
      <c r="Y135">
        <f t="shared" si="15"/>
        <v>6708.2000000000007</v>
      </c>
      <c r="Z135">
        <v>8.2721387965805562</v>
      </c>
    </row>
    <row r="136" spans="1:27" x14ac:dyDescent="0.25">
      <c r="A136">
        <v>5320</v>
      </c>
      <c r="B136">
        <v>23210</v>
      </c>
      <c r="C136" s="1">
        <v>42713</v>
      </c>
      <c r="F136" s="35"/>
      <c r="G136">
        <v>5.0999999999999996</v>
      </c>
      <c r="H136">
        <v>0.4</v>
      </c>
      <c r="I136">
        <v>11.2</v>
      </c>
      <c r="J136">
        <f t="shared" si="12"/>
        <v>1095.5999999999999</v>
      </c>
      <c r="K136">
        <f t="shared" si="13"/>
        <v>35.6</v>
      </c>
      <c r="L136" s="9">
        <v>22</v>
      </c>
      <c r="M136">
        <v>0.1</v>
      </c>
      <c r="N136">
        <v>0.6</v>
      </c>
      <c r="O136">
        <f t="shared" si="18"/>
        <v>-0.5</v>
      </c>
      <c r="Q136">
        <v>100</v>
      </c>
      <c r="R136">
        <v>1</v>
      </c>
      <c r="S136">
        <f t="shared" si="10"/>
        <v>0.6</v>
      </c>
      <c r="T136">
        <f t="shared" si="11"/>
        <v>-0.5</v>
      </c>
      <c r="U136" s="14">
        <f t="shared" si="16"/>
        <v>45.297283950617292</v>
      </c>
      <c r="V136">
        <f>(V134*100)/138.9</f>
        <v>40.145632793820937</v>
      </c>
      <c r="W136">
        <v>461</v>
      </c>
      <c r="X136">
        <f t="shared" si="14"/>
        <v>69377.700000000012</v>
      </c>
      <c r="Y136">
        <f t="shared" si="15"/>
        <v>7169.2000000000007</v>
      </c>
      <c r="Z136">
        <v>8.2568209847789991</v>
      </c>
    </row>
    <row r="137" spans="1:27" x14ac:dyDescent="0.25">
      <c r="A137">
        <v>5320</v>
      </c>
      <c r="B137">
        <v>23210</v>
      </c>
      <c r="C137" s="1">
        <v>42714</v>
      </c>
      <c r="E137">
        <v>12</v>
      </c>
      <c r="F137" s="35"/>
      <c r="G137">
        <v>3</v>
      </c>
      <c r="H137">
        <v>0.5</v>
      </c>
      <c r="I137">
        <v>7.4</v>
      </c>
      <c r="J137">
        <f t="shared" si="12"/>
        <v>1098.5999999999999</v>
      </c>
      <c r="K137">
        <f t="shared" si="13"/>
        <v>38.6</v>
      </c>
      <c r="L137" s="12" t="s">
        <v>42</v>
      </c>
      <c r="M137">
        <v>0.4</v>
      </c>
      <c r="N137">
        <v>0.7</v>
      </c>
      <c r="O137">
        <f t="shared" si="18"/>
        <v>-0.29999999999999993</v>
      </c>
      <c r="Q137">
        <v>101</v>
      </c>
      <c r="R137">
        <v>1</v>
      </c>
      <c r="S137">
        <f t="shared" si="10"/>
        <v>0.7</v>
      </c>
      <c r="T137">
        <f t="shared" si="11"/>
        <v>-0.29999999999999993</v>
      </c>
      <c r="U137" s="14">
        <f t="shared" si="16"/>
        <v>44.997283950617295</v>
      </c>
      <c r="W137">
        <v>483.9</v>
      </c>
      <c r="X137">
        <f t="shared" si="14"/>
        <v>69861.600000000006</v>
      </c>
      <c r="Y137">
        <f t="shared" si="15"/>
        <v>7653.1</v>
      </c>
      <c r="Z137">
        <v>8.242820156103269</v>
      </c>
    </row>
    <row r="138" spans="1:27" x14ac:dyDescent="0.25">
      <c r="A138">
        <v>5320</v>
      </c>
      <c r="B138">
        <v>23210</v>
      </c>
      <c r="C138" s="1">
        <v>42715</v>
      </c>
      <c r="E138">
        <v>13</v>
      </c>
      <c r="F138" s="35"/>
      <c r="G138">
        <v>4.9000000000000004</v>
      </c>
      <c r="H138">
        <v>2</v>
      </c>
      <c r="I138">
        <v>6</v>
      </c>
      <c r="J138">
        <f t="shared" si="12"/>
        <v>1103.5</v>
      </c>
      <c r="K138">
        <f t="shared" si="13"/>
        <v>43.5</v>
      </c>
      <c r="L138" s="9">
        <v>33</v>
      </c>
      <c r="M138">
        <v>0.4</v>
      </c>
      <c r="N138">
        <v>0.4</v>
      </c>
      <c r="O138">
        <f t="shared" si="18"/>
        <v>0</v>
      </c>
      <c r="Q138">
        <v>102</v>
      </c>
      <c r="R138">
        <v>1</v>
      </c>
      <c r="S138">
        <f t="shared" si="10"/>
        <v>0.4</v>
      </c>
      <c r="T138">
        <f t="shared" si="11"/>
        <v>0</v>
      </c>
      <c r="U138" s="14">
        <f t="shared" si="16"/>
        <v>44.997283950617295</v>
      </c>
      <c r="W138">
        <v>281.5</v>
      </c>
      <c r="X138">
        <f t="shared" si="14"/>
        <v>70143.100000000006</v>
      </c>
      <c r="Y138">
        <f t="shared" si="15"/>
        <v>7934.6</v>
      </c>
      <c r="Z138">
        <v>8.2301485064087441</v>
      </c>
    </row>
    <row r="139" spans="1:27" x14ac:dyDescent="0.25">
      <c r="A139">
        <v>5320</v>
      </c>
      <c r="B139">
        <v>23210</v>
      </c>
      <c r="C139" s="1">
        <v>42716</v>
      </c>
      <c r="E139">
        <v>14</v>
      </c>
      <c r="F139" s="35"/>
      <c r="G139">
        <v>4.9000000000000004</v>
      </c>
      <c r="H139">
        <v>4.2</v>
      </c>
      <c r="I139">
        <v>5.5</v>
      </c>
      <c r="J139">
        <f t="shared" si="12"/>
        <v>1108.4000000000001</v>
      </c>
      <c r="K139">
        <f t="shared" si="13"/>
        <v>48.4</v>
      </c>
      <c r="M139">
        <v>0.3</v>
      </c>
      <c r="N139">
        <v>0.2</v>
      </c>
      <c r="O139">
        <f t="shared" si="18"/>
        <v>9.9999999999999978E-2</v>
      </c>
      <c r="Q139">
        <v>103</v>
      </c>
      <c r="R139">
        <v>1</v>
      </c>
      <c r="S139">
        <f t="shared" si="10"/>
        <v>0.2</v>
      </c>
      <c r="T139">
        <f t="shared" si="11"/>
        <v>9.9999999999999978E-2</v>
      </c>
      <c r="U139" s="14">
        <f t="shared" si="16"/>
        <v>45.097283950617296</v>
      </c>
      <c r="W139">
        <v>77.2</v>
      </c>
      <c r="X139">
        <f t="shared" si="14"/>
        <v>70220.3</v>
      </c>
      <c r="Y139">
        <f t="shared" si="15"/>
        <v>8011.8</v>
      </c>
      <c r="Z139">
        <v>8.2188171621872232</v>
      </c>
    </row>
    <row r="140" spans="1:27" x14ac:dyDescent="0.25">
      <c r="A140">
        <v>5320</v>
      </c>
      <c r="B140">
        <v>23210</v>
      </c>
      <c r="C140" s="1">
        <v>42717</v>
      </c>
      <c r="F140" s="35"/>
      <c r="G140">
        <v>6</v>
      </c>
      <c r="H140">
        <v>4.9000000000000004</v>
      </c>
      <c r="I140">
        <v>10.1</v>
      </c>
      <c r="J140">
        <f t="shared" si="12"/>
        <v>1114.4000000000001</v>
      </c>
      <c r="K140">
        <f t="shared" si="13"/>
        <v>54.4</v>
      </c>
      <c r="M140">
        <v>0</v>
      </c>
      <c r="N140">
        <v>0.8</v>
      </c>
      <c r="O140">
        <f t="shared" si="18"/>
        <v>-0.8</v>
      </c>
      <c r="Q140">
        <v>104</v>
      </c>
      <c r="R140">
        <v>1</v>
      </c>
      <c r="S140">
        <f t="shared" si="10"/>
        <v>0.8</v>
      </c>
      <c r="T140">
        <f t="shared" si="11"/>
        <v>-0.8</v>
      </c>
      <c r="U140" s="14">
        <f t="shared" si="16"/>
        <v>44.297283950617299</v>
      </c>
      <c r="W140">
        <v>257.10000000000002</v>
      </c>
      <c r="X140">
        <f t="shared" si="14"/>
        <v>70477.400000000009</v>
      </c>
      <c r="Y140">
        <f t="shared" si="15"/>
        <v>8268.9</v>
      </c>
      <c r="Z140">
        <v>8.2088361447858578</v>
      </c>
    </row>
    <row r="141" spans="1:27" x14ac:dyDescent="0.25">
      <c r="A141">
        <v>5320</v>
      </c>
      <c r="B141">
        <v>23210</v>
      </c>
      <c r="C141" s="1">
        <v>42718</v>
      </c>
      <c r="E141">
        <v>15</v>
      </c>
      <c r="F141" s="35"/>
      <c r="G141">
        <v>3.2</v>
      </c>
      <c r="H141">
        <v>-0.3</v>
      </c>
      <c r="I141">
        <v>7.1</v>
      </c>
      <c r="J141">
        <f t="shared" si="12"/>
        <v>1117.6000000000001</v>
      </c>
      <c r="K141">
        <f t="shared" si="13"/>
        <v>57.6</v>
      </c>
      <c r="M141">
        <v>0</v>
      </c>
      <c r="N141">
        <v>0.6</v>
      </c>
      <c r="O141">
        <f t="shared" si="18"/>
        <v>-0.6</v>
      </c>
      <c r="Q141">
        <v>105</v>
      </c>
      <c r="R141">
        <v>1</v>
      </c>
      <c r="S141">
        <f t="shared" si="10"/>
        <v>0.6</v>
      </c>
      <c r="T141">
        <f t="shared" si="11"/>
        <v>-0.6</v>
      </c>
      <c r="U141" s="14">
        <f t="shared" si="16"/>
        <v>43.697283950617297</v>
      </c>
      <c r="W141">
        <v>699.5</v>
      </c>
      <c r="X141">
        <f t="shared" si="14"/>
        <v>71176.900000000009</v>
      </c>
      <c r="Y141">
        <f t="shared" si="15"/>
        <v>8968.4</v>
      </c>
      <c r="Z141">
        <v>8.2002143378120582</v>
      </c>
    </row>
    <row r="142" spans="1:27" x14ac:dyDescent="0.25">
      <c r="A142">
        <v>5320</v>
      </c>
      <c r="B142">
        <v>23210</v>
      </c>
      <c r="C142" s="1">
        <v>42719</v>
      </c>
      <c r="E142">
        <v>16</v>
      </c>
      <c r="F142" s="35"/>
      <c r="G142">
        <v>2.8</v>
      </c>
      <c r="H142">
        <v>-0.7</v>
      </c>
      <c r="I142">
        <v>5.2</v>
      </c>
      <c r="J142">
        <f t="shared" si="12"/>
        <v>1120.4000000000001</v>
      </c>
      <c r="K142">
        <f t="shared" si="13"/>
        <v>60.4</v>
      </c>
      <c r="M142">
        <v>0</v>
      </c>
      <c r="N142">
        <v>0.3</v>
      </c>
      <c r="O142">
        <f t="shared" si="18"/>
        <v>-0.3</v>
      </c>
      <c r="Q142">
        <v>106</v>
      </c>
      <c r="R142">
        <v>1</v>
      </c>
      <c r="S142">
        <f t="shared" si="10"/>
        <v>0.3</v>
      </c>
      <c r="T142">
        <f t="shared" si="11"/>
        <v>-0.3</v>
      </c>
      <c r="U142" s="14">
        <f t="shared" si="16"/>
        <v>43.3972839506173</v>
      </c>
      <c r="W142">
        <v>238.6</v>
      </c>
      <c r="X142">
        <f t="shared" si="14"/>
        <v>71415.500000000015</v>
      </c>
      <c r="Y142">
        <f t="shared" si="15"/>
        <v>9207</v>
      </c>
      <c r="Z142">
        <v>8.1929594579470635</v>
      </c>
    </row>
    <row r="143" spans="1:27" x14ac:dyDescent="0.25">
      <c r="A143">
        <v>5320</v>
      </c>
      <c r="B143">
        <v>23210</v>
      </c>
      <c r="C143" s="1">
        <v>42720</v>
      </c>
      <c r="F143" s="35"/>
      <c r="G143">
        <v>5.2</v>
      </c>
      <c r="H143">
        <v>2.4</v>
      </c>
      <c r="I143">
        <v>10.6</v>
      </c>
      <c r="J143">
        <f t="shared" si="12"/>
        <v>1125.6000000000001</v>
      </c>
      <c r="K143">
        <f t="shared" si="13"/>
        <v>65.599999999999994</v>
      </c>
      <c r="M143">
        <v>0</v>
      </c>
      <c r="N143">
        <v>0.7</v>
      </c>
      <c r="O143">
        <f t="shared" si="18"/>
        <v>-0.7</v>
      </c>
      <c r="Q143">
        <v>107</v>
      </c>
      <c r="R143">
        <v>1</v>
      </c>
      <c r="S143">
        <f t="shared" si="10"/>
        <v>0.7</v>
      </c>
      <c r="T143">
        <f t="shared" si="11"/>
        <v>-0.7</v>
      </c>
      <c r="U143" s="14">
        <f t="shared" si="16"/>
        <v>42.697283950617297</v>
      </c>
      <c r="W143">
        <v>455</v>
      </c>
      <c r="X143">
        <f t="shared" si="14"/>
        <v>71870.500000000015</v>
      </c>
      <c r="Y143">
        <f t="shared" si="15"/>
        <v>9662</v>
      </c>
      <c r="Z143">
        <v>8.1870780293705305</v>
      </c>
    </row>
    <row r="144" spans="1:27" x14ac:dyDescent="0.25">
      <c r="A144">
        <v>5320</v>
      </c>
      <c r="B144">
        <v>23210</v>
      </c>
      <c r="C144" s="1">
        <v>42721</v>
      </c>
      <c r="E144">
        <v>17</v>
      </c>
      <c r="F144" s="35"/>
      <c r="G144">
        <v>2.4</v>
      </c>
      <c r="H144">
        <v>-1.2</v>
      </c>
      <c r="I144">
        <v>6.2</v>
      </c>
      <c r="J144">
        <f t="shared" si="12"/>
        <v>1128.0000000000002</v>
      </c>
      <c r="K144">
        <f t="shared" si="13"/>
        <v>68</v>
      </c>
      <c r="M144">
        <v>0.3</v>
      </c>
      <c r="N144">
        <v>0.6</v>
      </c>
      <c r="O144">
        <f t="shared" si="18"/>
        <v>-0.3</v>
      </c>
      <c r="Q144">
        <v>108</v>
      </c>
      <c r="R144">
        <v>1</v>
      </c>
      <c r="S144">
        <f t="shared" si="10"/>
        <v>0.6</v>
      </c>
      <c r="T144">
        <f t="shared" si="11"/>
        <v>-0.3</v>
      </c>
      <c r="U144" s="14">
        <f t="shared" si="16"/>
        <v>42.3972839506173</v>
      </c>
      <c r="W144">
        <v>535.9</v>
      </c>
      <c r="X144">
        <f t="shared" si="14"/>
        <v>72406.400000000009</v>
      </c>
      <c r="Y144">
        <f t="shared" si="15"/>
        <v>10197.9</v>
      </c>
      <c r="Z144">
        <v>8.1825753619756654</v>
      </c>
    </row>
    <row r="145" spans="1:26" x14ac:dyDescent="0.25">
      <c r="A145">
        <v>5320</v>
      </c>
      <c r="B145">
        <v>23210</v>
      </c>
      <c r="C145" s="1">
        <v>42722</v>
      </c>
      <c r="E145">
        <v>18</v>
      </c>
      <c r="F145" s="35"/>
      <c r="G145">
        <v>1.7</v>
      </c>
      <c r="H145">
        <v>0.8</v>
      </c>
      <c r="I145">
        <v>2.6</v>
      </c>
      <c r="J145">
        <f t="shared" si="12"/>
        <v>1129.7000000000003</v>
      </c>
      <c r="K145">
        <f t="shared" si="13"/>
        <v>69.7</v>
      </c>
      <c r="M145">
        <v>0.1</v>
      </c>
      <c r="N145">
        <v>0.2</v>
      </c>
      <c r="O145">
        <f t="shared" si="18"/>
        <v>-0.1</v>
      </c>
      <c r="Q145">
        <v>109</v>
      </c>
      <c r="R145">
        <v>1</v>
      </c>
      <c r="S145">
        <f t="shared" si="10"/>
        <v>0.2</v>
      </c>
      <c r="T145">
        <f t="shared" si="11"/>
        <v>-0.1</v>
      </c>
      <c r="U145" s="14">
        <f t="shared" si="16"/>
        <v>42.297283950617299</v>
      </c>
      <c r="W145">
        <v>329.4</v>
      </c>
      <c r="X145">
        <f t="shared" si="14"/>
        <v>72735.8</v>
      </c>
      <c r="Y145">
        <f t="shared" si="15"/>
        <v>10527.3</v>
      </c>
      <c r="Z145">
        <v>8.1794555335295058</v>
      </c>
    </row>
    <row r="146" spans="1:26" x14ac:dyDescent="0.25">
      <c r="A146">
        <v>5320</v>
      </c>
      <c r="B146">
        <v>23210</v>
      </c>
      <c r="C146" s="1">
        <v>42723</v>
      </c>
      <c r="E146">
        <v>19</v>
      </c>
      <c r="F146" s="35"/>
      <c r="G146">
        <v>2.7</v>
      </c>
      <c r="H146">
        <v>0.5</v>
      </c>
      <c r="I146">
        <v>3.8</v>
      </c>
      <c r="J146">
        <f t="shared" si="12"/>
        <v>1132.4000000000003</v>
      </c>
      <c r="K146">
        <f t="shared" si="13"/>
        <v>72.400000000000006</v>
      </c>
      <c r="M146">
        <v>0.1</v>
      </c>
      <c r="N146">
        <v>0.1</v>
      </c>
      <c r="O146">
        <f t="shared" si="18"/>
        <v>0</v>
      </c>
      <c r="Q146">
        <v>110</v>
      </c>
      <c r="R146">
        <v>1</v>
      </c>
      <c r="S146">
        <f t="shared" si="10"/>
        <v>0.1</v>
      </c>
      <c r="T146">
        <f t="shared" si="11"/>
        <v>0</v>
      </c>
      <c r="U146" s="14">
        <f t="shared" si="16"/>
        <v>42.297283950617299</v>
      </c>
      <c r="W146">
        <v>127.9</v>
      </c>
      <c r="X146">
        <f t="shared" si="14"/>
        <v>72863.7</v>
      </c>
      <c r="Y146">
        <f t="shared" si="15"/>
        <v>10655.199999999999</v>
      </c>
      <c r="Z146">
        <v>8.1777213759060867</v>
      </c>
    </row>
    <row r="147" spans="1:26" x14ac:dyDescent="0.25">
      <c r="A147">
        <v>5320</v>
      </c>
      <c r="B147">
        <v>23210</v>
      </c>
      <c r="C147" s="1">
        <v>42724</v>
      </c>
      <c r="E147">
        <v>20</v>
      </c>
      <c r="F147" s="35"/>
      <c r="G147">
        <v>2</v>
      </c>
      <c r="H147">
        <v>1.5</v>
      </c>
      <c r="I147">
        <v>3.4</v>
      </c>
      <c r="J147">
        <f t="shared" si="12"/>
        <v>1134.4000000000003</v>
      </c>
      <c r="K147">
        <f t="shared" si="13"/>
        <v>74.400000000000006</v>
      </c>
      <c r="M147">
        <v>0</v>
      </c>
      <c r="N147">
        <v>0.3</v>
      </c>
      <c r="O147">
        <f t="shared" si="18"/>
        <v>-0.3</v>
      </c>
      <c r="Q147">
        <v>111</v>
      </c>
      <c r="R147">
        <v>1</v>
      </c>
      <c r="S147">
        <f t="shared" si="10"/>
        <v>0.3</v>
      </c>
      <c r="T147">
        <f t="shared" si="11"/>
        <v>-0.3</v>
      </c>
      <c r="U147" s="14">
        <f t="shared" si="16"/>
        <v>41.997283950617302</v>
      </c>
      <c r="W147">
        <v>185.3</v>
      </c>
      <c r="X147">
        <f t="shared" si="14"/>
        <v>73049</v>
      </c>
      <c r="Y147">
        <f t="shared" si="15"/>
        <v>10840.499999999998</v>
      </c>
      <c r="Z147">
        <v>8.1773744654916918</v>
      </c>
    </row>
    <row r="148" spans="1:26" x14ac:dyDescent="0.25">
      <c r="A148">
        <v>5320</v>
      </c>
      <c r="B148">
        <v>23210</v>
      </c>
      <c r="C148" s="1">
        <v>42725</v>
      </c>
      <c r="E148">
        <v>21</v>
      </c>
      <c r="F148" s="35"/>
      <c r="G148">
        <v>3.2</v>
      </c>
      <c r="H148">
        <v>-1.3</v>
      </c>
      <c r="I148">
        <v>6.9</v>
      </c>
      <c r="J148">
        <f t="shared" si="12"/>
        <v>1137.6000000000004</v>
      </c>
      <c r="K148">
        <f t="shared" si="13"/>
        <v>77.600000000000009</v>
      </c>
      <c r="M148">
        <v>14.9</v>
      </c>
      <c r="N148">
        <v>0.2</v>
      </c>
      <c r="O148">
        <f t="shared" si="18"/>
        <v>14.700000000000001</v>
      </c>
      <c r="Q148">
        <v>112</v>
      </c>
      <c r="R148">
        <v>1</v>
      </c>
      <c r="S148">
        <f t="shared" si="10"/>
        <v>0.2</v>
      </c>
      <c r="T148">
        <f t="shared" si="11"/>
        <v>14.700000000000001</v>
      </c>
      <c r="U148" s="14">
        <f t="shared" si="16"/>
        <v>56.697283950617305</v>
      </c>
      <c r="W148">
        <v>158.69999999999999</v>
      </c>
      <c r="X148">
        <f t="shared" si="14"/>
        <v>73207.7</v>
      </c>
      <c r="Y148">
        <f t="shared" si="15"/>
        <v>10999.199999999999</v>
      </c>
      <c r="Z148">
        <v>8.1784151178317455</v>
      </c>
    </row>
    <row r="149" spans="1:26" x14ac:dyDescent="0.25">
      <c r="A149">
        <v>5320</v>
      </c>
      <c r="B149">
        <v>23210</v>
      </c>
      <c r="C149" s="1">
        <v>42726</v>
      </c>
      <c r="F149" s="35"/>
      <c r="G149">
        <v>6.4</v>
      </c>
      <c r="H149">
        <v>6</v>
      </c>
      <c r="I149">
        <v>7.8</v>
      </c>
      <c r="J149">
        <f t="shared" si="12"/>
        <v>1144.0000000000005</v>
      </c>
      <c r="K149">
        <f t="shared" si="13"/>
        <v>84.000000000000014</v>
      </c>
      <c r="M149">
        <v>1.3</v>
      </c>
      <c r="N149">
        <v>0.3</v>
      </c>
      <c r="O149">
        <f t="shared" si="18"/>
        <v>1</v>
      </c>
      <c r="Q149">
        <v>113</v>
      </c>
      <c r="R149">
        <v>1</v>
      </c>
      <c r="S149">
        <f t="shared" si="10"/>
        <v>0.3</v>
      </c>
      <c r="T149">
        <f t="shared" si="11"/>
        <v>1</v>
      </c>
      <c r="U149" s="14">
        <f t="shared" si="16"/>
        <v>57.697283950617305</v>
      </c>
      <c r="W149">
        <v>110.3</v>
      </c>
      <c r="X149">
        <f t="shared" si="14"/>
        <v>73318</v>
      </c>
      <c r="Y149">
        <f t="shared" si="15"/>
        <v>11109.499999999998</v>
      </c>
      <c r="Z149">
        <v>8.180842386558238</v>
      </c>
    </row>
    <row r="150" spans="1:26" x14ac:dyDescent="0.25">
      <c r="A150">
        <v>5320</v>
      </c>
      <c r="B150">
        <v>23210</v>
      </c>
      <c r="C150" s="1">
        <v>42727</v>
      </c>
      <c r="E150">
        <v>22</v>
      </c>
      <c r="F150" s="35"/>
      <c r="G150">
        <v>5</v>
      </c>
      <c r="H150">
        <v>2.7</v>
      </c>
      <c r="I150">
        <v>9.1999999999999993</v>
      </c>
      <c r="J150">
        <f t="shared" si="12"/>
        <v>1149.0000000000005</v>
      </c>
      <c r="K150">
        <f t="shared" si="13"/>
        <v>89.000000000000014</v>
      </c>
      <c r="M150">
        <v>0</v>
      </c>
      <c r="N150">
        <v>0.4</v>
      </c>
      <c r="O150">
        <f t="shared" si="18"/>
        <v>-0.4</v>
      </c>
      <c r="Q150">
        <v>114</v>
      </c>
      <c r="R150">
        <v>1</v>
      </c>
      <c r="S150">
        <f t="shared" si="10"/>
        <v>0.4</v>
      </c>
      <c r="T150">
        <f t="shared" si="11"/>
        <v>-0.4</v>
      </c>
      <c r="U150" s="14">
        <f t="shared" si="16"/>
        <v>57.297283950617306</v>
      </c>
      <c r="W150">
        <v>146.19999999999999</v>
      </c>
      <c r="X150">
        <f t="shared" si="14"/>
        <v>73464.2</v>
      </c>
      <c r="Y150">
        <f t="shared" si="15"/>
        <v>11255.699999999999</v>
      </c>
      <c r="Z150">
        <v>8.1846540666055017</v>
      </c>
    </row>
    <row r="151" spans="1:26" x14ac:dyDescent="0.25">
      <c r="A151">
        <v>5320</v>
      </c>
      <c r="B151">
        <v>23210</v>
      </c>
      <c r="C151" s="1">
        <v>42728</v>
      </c>
      <c r="F151" s="35"/>
      <c r="G151">
        <v>7.6</v>
      </c>
      <c r="H151">
        <v>5.9</v>
      </c>
      <c r="I151">
        <v>9.1</v>
      </c>
      <c r="J151">
        <f t="shared" si="12"/>
        <v>1156.6000000000004</v>
      </c>
      <c r="K151">
        <f t="shared" si="13"/>
        <v>96.600000000000009</v>
      </c>
      <c r="M151">
        <v>0</v>
      </c>
      <c r="N151">
        <v>0.2</v>
      </c>
      <c r="O151">
        <f t="shared" si="18"/>
        <v>-0.2</v>
      </c>
      <c r="Q151">
        <v>115</v>
      </c>
      <c r="R151">
        <v>1</v>
      </c>
      <c r="S151">
        <f t="shared" si="10"/>
        <v>0.2</v>
      </c>
      <c r="T151">
        <f t="shared" si="11"/>
        <v>-0.2</v>
      </c>
      <c r="U151" s="14">
        <f t="shared" si="16"/>
        <v>57.097283950617303</v>
      </c>
      <c r="W151">
        <v>328.4</v>
      </c>
      <c r="X151">
        <f t="shared" si="14"/>
        <v>73792.599999999991</v>
      </c>
      <c r="Y151">
        <f t="shared" si="15"/>
        <v>11584.099999999999</v>
      </c>
      <c r="Z151">
        <v>8.1898467016909109</v>
      </c>
    </row>
    <row r="152" spans="1:26" x14ac:dyDescent="0.25">
      <c r="A152">
        <v>5320</v>
      </c>
      <c r="B152">
        <v>23210</v>
      </c>
      <c r="C152" s="1">
        <v>42729</v>
      </c>
      <c r="F152" s="35"/>
      <c r="G152">
        <v>8.6</v>
      </c>
      <c r="H152">
        <v>6.1</v>
      </c>
      <c r="I152">
        <v>10</v>
      </c>
      <c r="J152">
        <f t="shared" si="12"/>
        <v>1165.2000000000003</v>
      </c>
      <c r="K152">
        <f t="shared" si="13"/>
        <v>105.2</v>
      </c>
      <c r="M152">
        <v>0.4</v>
      </c>
      <c r="N152">
        <v>0.3</v>
      </c>
      <c r="O152">
        <f t="shared" si="18"/>
        <v>0.10000000000000003</v>
      </c>
      <c r="Q152">
        <v>116</v>
      </c>
      <c r="R152">
        <v>1</v>
      </c>
      <c r="S152">
        <f t="shared" si="10"/>
        <v>0.3</v>
      </c>
      <c r="T152">
        <f t="shared" si="11"/>
        <v>0.10000000000000003</v>
      </c>
      <c r="U152" s="14">
        <f t="shared" si="16"/>
        <v>57.197283950617305</v>
      </c>
      <c r="W152">
        <v>95.2</v>
      </c>
      <c r="X152">
        <f t="shared" si="14"/>
        <v>73887.799999999988</v>
      </c>
      <c r="Y152">
        <f t="shared" si="15"/>
        <v>11679.3</v>
      </c>
      <c r="Z152">
        <v>8.1964155960062683</v>
      </c>
    </row>
    <row r="153" spans="1:26" x14ac:dyDescent="0.25">
      <c r="A153">
        <v>5320</v>
      </c>
      <c r="B153">
        <v>23210</v>
      </c>
      <c r="C153" s="1">
        <v>42730</v>
      </c>
      <c r="F153" s="35"/>
      <c r="G153">
        <v>8.1999999999999993</v>
      </c>
      <c r="H153">
        <v>5.9</v>
      </c>
      <c r="I153">
        <v>11.6</v>
      </c>
      <c r="J153">
        <f t="shared" si="12"/>
        <v>1173.4000000000003</v>
      </c>
      <c r="K153">
        <f t="shared" si="13"/>
        <v>113.4</v>
      </c>
      <c r="M153">
        <v>0.1</v>
      </c>
      <c r="N153">
        <v>0.3</v>
      </c>
      <c r="O153">
        <f t="shared" si="18"/>
        <v>-0.19999999999999998</v>
      </c>
      <c r="Q153">
        <v>117</v>
      </c>
      <c r="R153">
        <v>1</v>
      </c>
      <c r="S153">
        <f t="shared" si="10"/>
        <v>0.3</v>
      </c>
      <c r="T153">
        <f t="shared" si="11"/>
        <v>-0.19999999999999998</v>
      </c>
      <c r="U153" s="14">
        <f t="shared" si="16"/>
        <v>56.997283950617302</v>
      </c>
      <c r="W153">
        <v>121.4</v>
      </c>
      <c r="X153">
        <f t="shared" si="14"/>
        <v>74009.199999999983</v>
      </c>
      <c r="Y153">
        <f t="shared" si="15"/>
        <v>11800.699999999999</v>
      </c>
      <c r="Z153">
        <v>8.2043548300352942</v>
      </c>
    </row>
    <row r="154" spans="1:26" x14ac:dyDescent="0.25">
      <c r="A154">
        <v>5320</v>
      </c>
      <c r="B154">
        <v>23210</v>
      </c>
      <c r="C154" s="1">
        <v>42731</v>
      </c>
      <c r="E154">
        <v>23</v>
      </c>
      <c r="F154" s="35"/>
      <c r="G154">
        <v>2.6</v>
      </c>
      <c r="H154">
        <v>0.1</v>
      </c>
      <c r="I154">
        <v>5.6</v>
      </c>
      <c r="J154">
        <f t="shared" si="12"/>
        <v>1176.0000000000002</v>
      </c>
      <c r="K154">
        <f t="shared" si="13"/>
        <v>116</v>
      </c>
      <c r="M154">
        <v>0.1</v>
      </c>
      <c r="N154">
        <v>0.5</v>
      </c>
      <c r="O154">
        <f t="shared" si="18"/>
        <v>-0.4</v>
      </c>
      <c r="Q154">
        <v>118</v>
      </c>
      <c r="R154">
        <v>1</v>
      </c>
      <c r="S154">
        <f t="shared" si="10"/>
        <v>0.5</v>
      </c>
      <c r="T154">
        <f t="shared" si="11"/>
        <v>-0.4</v>
      </c>
      <c r="U154" s="14">
        <f t="shared" si="16"/>
        <v>56.597283950617303</v>
      </c>
      <c r="W154">
        <v>676.7</v>
      </c>
      <c r="X154">
        <f t="shared" si="14"/>
        <v>74685.89999999998</v>
      </c>
      <c r="Y154">
        <f t="shared" si="15"/>
        <v>12477.4</v>
      </c>
      <c r="Z154">
        <v>8.213657280383595</v>
      </c>
    </row>
    <row r="155" spans="1:26" x14ac:dyDescent="0.25">
      <c r="A155">
        <v>5320</v>
      </c>
      <c r="B155">
        <v>23210</v>
      </c>
      <c r="C155" s="1">
        <v>42732</v>
      </c>
      <c r="E155">
        <v>24</v>
      </c>
      <c r="F155" s="35"/>
      <c r="G155">
        <v>1.7</v>
      </c>
      <c r="H155">
        <v>-0.1</v>
      </c>
      <c r="I155">
        <v>4</v>
      </c>
      <c r="J155">
        <f t="shared" si="12"/>
        <v>1177.7000000000003</v>
      </c>
      <c r="K155">
        <f t="shared" si="13"/>
        <v>117.7</v>
      </c>
      <c r="M155">
        <v>0.1</v>
      </c>
      <c r="N155">
        <v>0.6</v>
      </c>
      <c r="O155">
        <f t="shared" si="18"/>
        <v>-0.5</v>
      </c>
      <c r="Q155">
        <v>119</v>
      </c>
      <c r="R155">
        <v>1</v>
      </c>
      <c r="S155">
        <f t="shared" si="10"/>
        <v>0.6</v>
      </c>
      <c r="T155">
        <f t="shared" si="11"/>
        <v>-0.5</v>
      </c>
      <c r="U155" s="14">
        <f t="shared" si="16"/>
        <v>56.097283950617303</v>
      </c>
      <c r="W155">
        <v>591.4</v>
      </c>
      <c r="X155">
        <f t="shared" si="14"/>
        <v>75277.299999999974</v>
      </c>
      <c r="Y155">
        <f t="shared" si="15"/>
        <v>13068.8</v>
      </c>
      <c r="Z155">
        <v>8.2243146434797385</v>
      </c>
    </row>
    <row r="156" spans="1:26" x14ac:dyDescent="0.25">
      <c r="A156">
        <v>5320</v>
      </c>
      <c r="B156">
        <v>23210</v>
      </c>
      <c r="C156" s="1">
        <v>42733</v>
      </c>
      <c r="E156">
        <v>25</v>
      </c>
      <c r="F156" s="35"/>
      <c r="G156">
        <v>-1.6</v>
      </c>
      <c r="H156">
        <v>-2.1</v>
      </c>
      <c r="I156">
        <v>-1.3</v>
      </c>
      <c r="J156">
        <v>1177.7</v>
      </c>
      <c r="K156">
        <v>117.7</v>
      </c>
      <c r="M156">
        <v>0</v>
      </c>
      <c r="N156">
        <v>0.3</v>
      </c>
      <c r="O156">
        <f t="shared" si="18"/>
        <v>-0.3</v>
      </c>
      <c r="Q156">
        <v>120</v>
      </c>
      <c r="R156">
        <v>1</v>
      </c>
      <c r="S156">
        <f t="shared" si="10"/>
        <v>0.3</v>
      </c>
      <c r="T156">
        <f t="shared" si="11"/>
        <v>-0.3</v>
      </c>
      <c r="U156" s="14">
        <f t="shared" si="16"/>
        <v>55.797283950617306</v>
      </c>
      <c r="W156">
        <v>365.1</v>
      </c>
      <c r="X156">
        <f t="shared" si="14"/>
        <v>75642.39999999998</v>
      </c>
      <c r="Y156">
        <f t="shared" si="15"/>
        <v>13433.9</v>
      </c>
      <c r="Z156">
        <v>8.2363174629801126</v>
      </c>
    </row>
    <row r="157" spans="1:26" x14ac:dyDescent="0.25">
      <c r="A157">
        <v>5320</v>
      </c>
      <c r="B157">
        <v>23210</v>
      </c>
      <c r="C157" s="1">
        <v>42734</v>
      </c>
      <c r="E157">
        <v>26</v>
      </c>
      <c r="F157" s="35"/>
      <c r="G157">
        <v>-3.3</v>
      </c>
      <c r="H157">
        <v>-3.8</v>
      </c>
      <c r="I157">
        <v>-3.1</v>
      </c>
      <c r="J157">
        <v>1177.7</v>
      </c>
      <c r="K157">
        <v>117.7</v>
      </c>
      <c r="M157">
        <v>0</v>
      </c>
      <c r="N157">
        <v>0.3</v>
      </c>
      <c r="O157">
        <f t="shared" si="18"/>
        <v>-0.3</v>
      </c>
      <c r="Q157">
        <v>121</v>
      </c>
      <c r="R157">
        <v>1</v>
      </c>
      <c r="S157">
        <f t="shared" si="10"/>
        <v>0.3</v>
      </c>
      <c r="T157">
        <f t="shared" si="11"/>
        <v>-0.3</v>
      </c>
      <c r="U157" s="14">
        <f t="shared" si="16"/>
        <v>55.497283950617309</v>
      </c>
      <c r="W157">
        <v>385.4</v>
      </c>
      <c r="X157">
        <f t="shared" si="14"/>
        <v>76027.799999999974</v>
      </c>
      <c r="Y157">
        <f t="shared" si="15"/>
        <v>13819.3</v>
      </c>
      <c r="Z157">
        <v>8.2496551606862898</v>
      </c>
    </row>
    <row r="158" spans="1:26" x14ac:dyDescent="0.25">
      <c r="A158">
        <v>5320</v>
      </c>
      <c r="B158">
        <v>23210</v>
      </c>
      <c r="C158" s="1">
        <v>42735</v>
      </c>
      <c r="E158">
        <v>27</v>
      </c>
      <c r="F158" s="35"/>
      <c r="G158">
        <v>-4</v>
      </c>
      <c r="H158">
        <v>-4.5999999999999996</v>
      </c>
      <c r="I158">
        <v>-3.7</v>
      </c>
      <c r="J158">
        <v>1177.7</v>
      </c>
      <c r="K158">
        <v>117.7</v>
      </c>
      <c r="M158">
        <v>0.1</v>
      </c>
      <c r="N158">
        <v>0.2</v>
      </c>
      <c r="O158">
        <f t="shared" si="18"/>
        <v>-0.1</v>
      </c>
      <c r="Q158">
        <v>122</v>
      </c>
      <c r="R158">
        <v>1</v>
      </c>
      <c r="S158">
        <f t="shared" si="10"/>
        <v>0.2</v>
      </c>
      <c r="T158">
        <f t="shared" si="11"/>
        <v>-0.1</v>
      </c>
      <c r="U158" s="14">
        <f t="shared" si="16"/>
        <v>55.397283950617307</v>
      </c>
      <c r="W158">
        <v>386.3</v>
      </c>
      <c r="X158">
        <f t="shared" si="14"/>
        <v>76414.099999999977</v>
      </c>
      <c r="Y158">
        <f t="shared" si="15"/>
        <v>14205.599999999999</v>
      </c>
      <c r="Z158">
        <v>8.2643160707621295</v>
      </c>
    </row>
    <row r="159" spans="1:26" x14ac:dyDescent="0.25">
      <c r="A159">
        <v>5320</v>
      </c>
      <c r="B159">
        <v>23210</v>
      </c>
      <c r="C159" s="1">
        <v>42736</v>
      </c>
      <c r="E159">
        <v>28</v>
      </c>
      <c r="F159" s="35"/>
      <c r="G159">
        <v>-2</v>
      </c>
      <c r="H159">
        <v>-4</v>
      </c>
      <c r="I159">
        <v>0.5</v>
      </c>
      <c r="J159">
        <v>1177.7</v>
      </c>
      <c r="K159">
        <v>117.7</v>
      </c>
      <c r="M159">
        <v>0.2</v>
      </c>
      <c r="N159">
        <v>0.2</v>
      </c>
      <c r="O159">
        <f t="shared" si="18"/>
        <v>0</v>
      </c>
      <c r="Q159">
        <v>123</v>
      </c>
      <c r="R159">
        <v>1</v>
      </c>
      <c r="S159">
        <f t="shared" si="10"/>
        <v>0.2</v>
      </c>
      <c r="T159">
        <f t="shared" si="11"/>
        <v>0</v>
      </c>
      <c r="U159" s="14">
        <f t="shared" si="16"/>
        <v>55.397283950617307</v>
      </c>
      <c r="W159">
        <v>213.5</v>
      </c>
      <c r="X159">
        <f t="shared" si="14"/>
        <v>76627.599999999977</v>
      </c>
      <c r="Y159">
        <f t="shared" si="15"/>
        <v>14419.099999999999</v>
      </c>
      <c r="Z159">
        <v>8.2643160707621277</v>
      </c>
    </row>
    <row r="160" spans="1:26" x14ac:dyDescent="0.25">
      <c r="A160">
        <v>5320</v>
      </c>
      <c r="B160">
        <v>23210</v>
      </c>
      <c r="C160" s="1">
        <v>42737</v>
      </c>
      <c r="E160">
        <v>29</v>
      </c>
      <c r="F160" s="35"/>
      <c r="G160">
        <v>0.7</v>
      </c>
      <c r="H160">
        <v>-0.5</v>
      </c>
      <c r="I160">
        <v>1.7</v>
      </c>
      <c r="J160">
        <f t="shared" si="12"/>
        <v>1178.4000000000001</v>
      </c>
      <c r="K160">
        <f t="shared" si="13"/>
        <v>118.4</v>
      </c>
      <c r="M160">
        <v>0.1</v>
      </c>
      <c r="N160">
        <v>0.1</v>
      </c>
      <c r="O160">
        <f t="shared" si="18"/>
        <v>0</v>
      </c>
      <c r="Q160">
        <v>124</v>
      </c>
      <c r="R160">
        <v>1</v>
      </c>
      <c r="S160">
        <f t="shared" si="10"/>
        <v>0.1</v>
      </c>
      <c r="T160">
        <f t="shared" si="11"/>
        <v>0</v>
      </c>
      <c r="U160" s="14">
        <f t="shared" si="16"/>
        <v>55.397283950617307</v>
      </c>
      <c r="W160">
        <v>144.6</v>
      </c>
      <c r="X160">
        <f t="shared" si="14"/>
        <v>76772.199999999983</v>
      </c>
      <c r="Y160">
        <f t="shared" si="15"/>
        <v>14563.699999999999</v>
      </c>
      <c r="Z160">
        <v>8.2802874770186481</v>
      </c>
    </row>
    <row r="161" spans="1:26" x14ac:dyDescent="0.25">
      <c r="A161">
        <v>5320</v>
      </c>
      <c r="B161">
        <v>23210</v>
      </c>
      <c r="C161" s="1">
        <v>42738</v>
      </c>
      <c r="E161">
        <v>30</v>
      </c>
      <c r="F161" s="35"/>
      <c r="G161">
        <v>-1.1000000000000001</v>
      </c>
      <c r="H161">
        <v>-1.3</v>
      </c>
      <c r="I161">
        <v>-0.8</v>
      </c>
      <c r="J161">
        <v>1178.4000000000001</v>
      </c>
      <c r="K161">
        <v>118.4</v>
      </c>
      <c r="M161">
        <v>0</v>
      </c>
      <c r="N161">
        <v>0.2</v>
      </c>
      <c r="O161">
        <f t="shared" si="18"/>
        <v>-0.2</v>
      </c>
      <c r="Q161">
        <v>125</v>
      </c>
      <c r="R161">
        <v>1</v>
      </c>
      <c r="S161">
        <f t="shared" si="10"/>
        <v>0.2</v>
      </c>
      <c r="T161">
        <f t="shared" si="11"/>
        <v>-0.2</v>
      </c>
      <c r="U161" s="14">
        <f t="shared" si="16"/>
        <v>55.197283950617305</v>
      </c>
      <c r="W161">
        <v>194.9</v>
      </c>
      <c r="X161">
        <f t="shared" si="14"/>
        <v>76967.099999999977</v>
      </c>
      <c r="Y161">
        <f t="shared" si="15"/>
        <v>14758.599999999999</v>
      </c>
      <c r="Z161">
        <v>8.2975556530184242</v>
      </c>
    </row>
    <row r="162" spans="1:26" x14ac:dyDescent="0.25">
      <c r="A162">
        <v>5320</v>
      </c>
      <c r="B162">
        <v>23210</v>
      </c>
      <c r="C162" s="1">
        <v>42739</v>
      </c>
      <c r="E162">
        <v>31</v>
      </c>
      <c r="F162" s="35"/>
      <c r="G162">
        <v>0.2</v>
      </c>
      <c r="H162">
        <v>-2.1</v>
      </c>
      <c r="I162">
        <v>2.4</v>
      </c>
      <c r="J162">
        <f t="shared" si="12"/>
        <v>1178.6000000000001</v>
      </c>
      <c r="K162">
        <f t="shared" si="13"/>
        <v>118.60000000000001</v>
      </c>
      <c r="M162">
        <v>0.1</v>
      </c>
      <c r="N162">
        <v>0.1</v>
      </c>
      <c r="O162">
        <f t="shared" si="18"/>
        <v>0</v>
      </c>
      <c r="Q162">
        <v>126</v>
      </c>
      <c r="R162">
        <v>1</v>
      </c>
      <c r="S162">
        <f t="shared" si="10"/>
        <v>0.1</v>
      </c>
      <c r="T162">
        <f t="shared" si="11"/>
        <v>0</v>
      </c>
      <c r="U162" s="14">
        <f t="shared" si="16"/>
        <v>55.197283950617305</v>
      </c>
      <c r="W162">
        <v>132.69999999999999</v>
      </c>
      <c r="X162">
        <f t="shared" si="14"/>
        <v>77099.799999999974</v>
      </c>
      <c r="Y162">
        <f t="shared" si="15"/>
        <v>14891.3</v>
      </c>
      <c r="Z162">
        <v>8.3161059047375705</v>
      </c>
    </row>
    <row r="163" spans="1:26" x14ac:dyDescent="0.25">
      <c r="A163">
        <v>5320</v>
      </c>
      <c r="B163">
        <v>23210</v>
      </c>
      <c r="C163" s="1">
        <v>42740</v>
      </c>
      <c r="E163">
        <v>32</v>
      </c>
      <c r="F163" s="35"/>
      <c r="G163">
        <v>1.3</v>
      </c>
      <c r="H163">
        <v>-1.2</v>
      </c>
      <c r="I163">
        <v>4.4000000000000004</v>
      </c>
      <c r="J163">
        <f t="shared" si="12"/>
        <v>1179.9000000000001</v>
      </c>
      <c r="K163">
        <f t="shared" si="13"/>
        <v>119.9</v>
      </c>
      <c r="M163">
        <v>0</v>
      </c>
      <c r="N163">
        <v>0.3</v>
      </c>
      <c r="O163">
        <f t="shared" si="18"/>
        <v>-0.3</v>
      </c>
      <c r="Q163">
        <v>127</v>
      </c>
      <c r="R163">
        <v>1</v>
      </c>
      <c r="S163">
        <f t="shared" si="10"/>
        <v>0.3</v>
      </c>
      <c r="T163">
        <f t="shared" si="11"/>
        <v>-0.3</v>
      </c>
      <c r="U163" s="14">
        <f t="shared" si="16"/>
        <v>54.897283950617307</v>
      </c>
      <c r="W163">
        <v>521.4</v>
      </c>
      <c r="X163">
        <f t="shared" si="14"/>
        <v>77621.199999999968</v>
      </c>
      <c r="Y163">
        <f t="shared" si="15"/>
        <v>15412.699999999999</v>
      </c>
      <c r="Z163">
        <v>8.3359226155127928</v>
      </c>
    </row>
    <row r="164" spans="1:26" x14ac:dyDescent="0.25">
      <c r="A164">
        <v>5320</v>
      </c>
      <c r="B164">
        <v>23210</v>
      </c>
      <c r="C164" s="1">
        <v>42741</v>
      </c>
      <c r="E164">
        <v>33</v>
      </c>
      <c r="F164" s="35"/>
      <c r="G164">
        <v>-1.4</v>
      </c>
      <c r="H164">
        <v>-2.5</v>
      </c>
      <c r="I164">
        <v>0.8</v>
      </c>
      <c r="J164">
        <v>1179.9000000000001</v>
      </c>
      <c r="K164">
        <v>119.9</v>
      </c>
      <c r="M164">
        <v>0</v>
      </c>
      <c r="N164">
        <v>0.5</v>
      </c>
      <c r="O164">
        <f t="shared" si="18"/>
        <v>-0.5</v>
      </c>
      <c r="Q164">
        <v>128</v>
      </c>
      <c r="R164">
        <v>1</v>
      </c>
      <c r="S164">
        <f t="shared" si="10"/>
        <v>0.5</v>
      </c>
      <c r="T164">
        <f t="shared" si="11"/>
        <v>-0.5</v>
      </c>
      <c r="U164" s="14">
        <f t="shared" si="16"/>
        <v>54.397283950617307</v>
      </c>
      <c r="W164">
        <v>673.1</v>
      </c>
      <c r="X164">
        <f t="shared" si="14"/>
        <v>78294.299999999974</v>
      </c>
      <c r="Y164">
        <f t="shared" si="15"/>
        <v>16085.8</v>
      </c>
      <c r="Z164">
        <v>8.3569892929930631</v>
      </c>
    </row>
    <row r="165" spans="1:26" x14ac:dyDescent="0.25">
      <c r="A165">
        <v>5320</v>
      </c>
      <c r="B165">
        <v>23210</v>
      </c>
      <c r="C165" s="1">
        <v>42742</v>
      </c>
      <c r="E165">
        <v>34</v>
      </c>
      <c r="F165" s="35"/>
      <c r="G165">
        <v>-1.8</v>
      </c>
      <c r="H165">
        <v>-5</v>
      </c>
      <c r="I165">
        <v>1.4</v>
      </c>
      <c r="J165">
        <v>1179.9000000000001</v>
      </c>
      <c r="K165">
        <v>119.9</v>
      </c>
      <c r="M165">
        <v>1.4</v>
      </c>
      <c r="N165">
        <v>0.4</v>
      </c>
      <c r="O165">
        <f t="shared" si="18"/>
        <v>0.99999999999999989</v>
      </c>
      <c r="Q165">
        <v>129</v>
      </c>
      <c r="R165">
        <v>1</v>
      </c>
      <c r="S165">
        <f t="shared" si="10"/>
        <v>0.4</v>
      </c>
      <c r="T165">
        <f t="shared" si="11"/>
        <v>0.99999999999999989</v>
      </c>
      <c r="U165" s="14">
        <f t="shared" si="16"/>
        <v>55.397283950617307</v>
      </c>
      <c r="W165">
        <v>180.4</v>
      </c>
      <c r="X165">
        <f t="shared" si="14"/>
        <v>78474.699999999968</v>
      </c>
      <c r="Y165">
        <f t="shared" si="15"/>
        <v>16266.199999999999</v>
      </c>
      <c r="Z165">
        <v>8.3792886178106194</v>
      </c>
    </row>
    <row r="166" spans="1:26" x14ac:dyDescent="0.25">
      <c r="A166">
        <v>5320</v>
      </c>
      <c r="B166">
        <v>23210</v>
      </c>
      <c r="C166" s="1">
        <v>42743</v>
      </c>
      <c r="E166">
        <v>35</v>
      </c>
      <c r="F166" s="35"/>
      <c r="G166">
        <v>3.7</v>
      </c>
      <c r="H166">
        <v>-0.2</v>
      </c>
      <c r="I166">
        <v>5.7</v>
      </c>
      <c r="J166">
        <f t="shared" si="12"/>
        <v>1183.6000000000001</v>
      </c>
      <c r="K166">
        <f t="shared" si="13"/>
        <v>123.60000000000001</v>
      </c>
      <c r="M166">
        <v>0.9</v>
      </c>
      <c r="N166">
        <v>0.2</v>
      </c>
      <c r="O166">
        <f t="shared" si="18"/>
        <v>0.7</v>
      </c>
      <c r="Q166">
        <v>130</v>
      </c>
      <c r="R166">
        <v>1</v>
      </c>
      <c r="S166">
        <f t="shared" ref="S166:S229" si="19">R166*N166</f>
        <v>0.2</v>
      </c>
      <c r="T166">
        <f t="shared" ref="T166:T229" si="20">M166-S166</f>
        <v>0.7</v>
      </c>
      <c r="U166" s="14">
        <f t="shared" si="16"/>
        <v>56.09728395061731</v>
      </c>
      <c r="W166">
        <v>160.69999999999999</v>
      </c>
      <c r="X166">
        <f t="shared" si="14"/>
        <v>78635.399999999965</v>
      </c>
      <c r="Y166">
        <f t="shared" si="15"/>
        <v>16426.899999999998</v>
      </c>
      <c r="Z166">
        <v>8.4028024936838701</v>
      </c>
    </row>
    <row r="167" spans="1:26" x14ac:dyDescent="0.25">
      <c r="A167">
        <v>5320</v>
      </c>
      <c r="B167">
        <v>23210</v>
      </c>
      <c r="C167" s="1">
        <v>42744</v>
      </c>
      <c r="F167" s="35"/>
      <c r="G167">
        <v>6.2</v>
      </c>
      <c r="H167">
        <v>4.5</v>
      </c>
      <c r="I167">
        <v>7.6</v>
      </c>
      <c r="J167">
        <f t="shared" ref="J167:J230" si="21">J166+G167</f>
        <v>1189.8000000000002</v>
      </c>
      <c r="K167">
        <f t="shared" ref="K167:K230" si="22">K166+G167</f>
        <v>129.80000000000001</v>
      </c>
      <c r="M167">
        <v>5</v>
      </c>
      <c r="N167">
        <v>0.2</v>
      </c>
      <c r="O167">
        <f t="shared" si="18"/>
        <v>4.8</v>
      </c>
      <c r="Q167">
        <v>131</v>
      </c>
      <c r="R167">
        <v>1</v>
      </c>
      <c r="S167">
        <f t="shared" si="19"/>
        <v>0.2</v>
      </c>
      <c r="T167">
        <f t="shared" si="20"/>
        <v>4.8</v>
      </c>
      <c r="U167" s="14">
        <f t="shared" si="16"/>
        <v>60.897283950617307</v>
      </c>
      <c r="W167">
        <v>126.4</v>
      </c>
      <c r="X167">
        <f t="shared" ref="X167:X230" si="23">X166+W167</f>
        <v>78761.799999999959</v>
      </c>
      <c r="Y167">
        <f t="shared" ref="Y167:Y230" si="24">Y166+W167</f>
        <v>16553.3</v>
      </c>
      <c r="Z167">
        <v>8.4275120986653143</v>
      </c>
    </row>
    <row r="168" spans="1:26" x14ac:dyDescent="0.25">
      <c r="A168">
        <v>5320</v>
      </c>
      <c r="B168">
        <v>23210</v>
      </c>
      <c r="C168" s="1">
        <v>42745</v>
      </c>
      <c r="F168" s="35"/>
      <c r="G168">
        <v>5.3</v>
      </c>
      <c r="H168">
        <v>4.7</v>
      </c>
      <c r="I168">
        <v>6.7</v>
      </c>
      <c r="J168">
        <f t="shared" si="21"/>
        <v>1195.1000000000001</v>
      </c>
      <c r="K168">
        <f t="shared" si="22"/>
        <v>135.10000000000002</v>
      </c>
      <c r="M168">
        <v>0.2</v>
      </c>
      <c r="N168">
        <v>0.3</v>
      </c>
      <c r="O168">
        <f t="shared" si="18"/>
        <v>-9.9999999999999978E-2</v>
      </c>
      <c r="Q168">
        <v>132</v>
      </c>
      <c r="R168">
        <v>1</v>
      </c>
      <c r="S168">
        <f t="shared" si="19"/>
        <v>0.3</v>
      </c>
      <c r="T168">
        <f t="shared" si="20"/>
        <v>-9.9999999999999978E-2</v>
      </c>
      <c r="U168" s="14">
        <f t="shared" ref="U168:U231" si="25">MIN(U167+T168,138.9)</f>
        <v>60.797283950617306</v>
      </c>
      <c r="W168">
        <v>299.2</v>
      </c>
      <c r="X168">
        <f t="shared" si="23"/>
        <v>79060.999999999956</v>
      </c>
      <c r="Y168">
        <f t="shared" si="24"/>
        <v>16852.5</v>
      </c>
      <c r="Z168">
        <v>8.4533979372508483</v>
      </c>
    </row>
    <row r="169" spans="1:26" x14ac:dyDescent="0.25">
      <c r="A169">
        <v>5320</v>
      </c>
      <c r="B169">
        <v>23210</v>
      </c>
      <c r="C169" s="1">
        <v>42746</v>
      </c>
      <c r="F169" s="35"/>
      <c r="G169">
        <v>6.9</v>
      </c>
      <c r="H169">
        <v>1.5</v>
      </c>
      <c r="I169">
        <v>9.3000000000000007</v>
      </c>
      <c r="J169">
        <f t="shared" si="21"/>
        <v>1202.0000000000002</v>
      </c>
      <c r="K169">
        <f t="shared" si="22"/>
        <v>142.00000000000003</v>
      </c>
      <c r="M169">
        <v>0.2</v>
      </c>
      <c r="N169">
        <v>0</v>
      </c>
      <c r="O169">
        <f t="shared" si="18"/>
        <v>0.2</v>
      </c>
      <c r="Q169">
        <v>133</v>
      </c>
      <c r="R169">
        <v>1</v>
      </c>
      <c r="S169">
        <f t="shared" si="19"/>
        <v>0</v>
      </c>
      <c r="T169">
        <f t="shared" si="20"/>
        <v>0.2</v>
      </c>
      <c r="U169" s="14">
        <f t="shared" si="25"/>
        <v>60.997283950617309</v>
      </c>
      <c r="W169">
        <v>145</v>
      </c>
      <c r="X169">
        <f t="shared" si="23"/>
        <v>79205.999999999956</v>
      </c>
      <c r="Y169">
        <f t="shared" si="24"/>
        <v>16997.5</v>
      </c>
      <c r="Z169">
        <v>8.4804398930722318</v>
      </c>
    </row>
    <row r="170" spans="1:26" x14ac:dyDescent="0.25">
      <c r="A170">
        <v>5320</v>
      </c>
      <c r="B170">
        <v>23210</v>
      </c>
      <c r="C170" s="1">
        <v>42747</v>
      </c>
      <c r="F170" s="35"/>
      <c r="G170">
        <v>6.5</v>
      </c>
      <c r="H170">
        <v>5.4</v>
      </c>
      <c r="I170">
        <v>9.5</v>
      </c>
      <c r="J170">
        <f t="shared" si="21"/>
        <v>1208.5000000000002</v>
      </c>
      <c r="K170">
        <f t="shared" si="22"/>
        <v>148.50000000000003</v>
      </c>
      <c r="M170">
        <v>7</v>
      </c>
      <c r="N170">
        <v>1</v>
      </c>
      <c r="O170">
        <f t="shared" si="18"/>
        <v>6</v>
      </c>
      <c r="Q170">
        <v>134</v>
      </c>
      <c r="R170">
        <v>1</v>
      </c>
      <c r="S170">
        <f t="shared" si="19"/>
        <v>1</v>
      </c>
      <c r="T170">
        <f t="shared" si="20"/>
        <v>6</v>
      </c>
      <c r="U170" s="14">
        <f t="shared" si="25"/>
        <v>66.997283950617316</v>
      </c>
      <c r="W170">
        <v>100</v>
      </c>
      <c r="X170">
        <f t="shared" si="23"/>
        <v>79305.999999999956</v>
      </c>
      <c r="Y170">
        <f t="shared" si="24"/>
        <v>17097.5</v>
      </c>
      <c r="Z170">
        <v>8.5086172819024348</v>
      </c>
    </row>
    <row r="171" spans="1:26" x14ac:dyDescent="0.25">
      <c r="A171">
        <v>5320</v>
      </c>
      <c r="B171">
        <v>23210</v>
      </c>
      <c r="C171" s="1">
        <v>42748</v>
      </c>
      <c r="E171">
        <v>36</v>
      </c>
      <c r="F171" s="35"/>
      <c r="G171">
        <v>3.1</v>
      </c>
      <c r="H171">
        <v>1.3</v>
      </c>
      <c r="I171">
        <v>4.7</v>
      </c>
      <c r="J171">
        <f t="shared" si="21"/>
        <v>1211.6000000000001</v>
      </c>
      <c r="K171">
        <f t="shared" si="22"/>
        <v>151.60000000000002</v>
      </c>
      <c r="M171">
        <v>0.9</v>
      </c>
      <c r="N171">
        <v>0.8</v>
      </c>
      <c r="O171">
        <f t="shared" si="18"/>
        <v>9.9999999999999978E-2</v>
      </c>
      <c r="Q171">
        <v>135</v>
      </c>
      <c r="R171">
        <v>1</v>
      </c>
      <c r="S171">
        <f t="shared" si="19"/>
        <v>0.8</v>
      </c>
      <c r="T171">
        <f t="shared" si="20"/>
        <v>9.9999999999999978E-2</v>
      </c>
      <c r="U171" s="14">
        <f t="shared" si="25"/>
        <v>67.09728395061731</v>
      </c>
      <c r="W171">
        <v>524</v>
      </c>
      <c r="X171">
        <f t="shared" si="23"/>
        <v>79829.999999999956</v>
      </c>
      <c r="Y171">
        <f t="shared" si="24"/>
        <v>17621.5</v>
      </c>
      <c r="Z171">
        <v>8.5379089047130723</v>
      </c>
    </row>
    <row r="172" spans="1:26" x14ac:dyDescent="0.25">
      <c r="A172">
        <v>5320</v>
      </c>
      <c r="B172">
        <v>23210</v>
      </c>
      <c r="C172" s="1">
        <v>42749</v>
      </c>
      <c r="E172">
        <v>37</v>
      </c>
      <c r="F172" s="35"/>
      <c r="G172">
        <v>2.2000000000000002</v>
      </c>
      <c r="H172">
        <v>-0.2</v>
      </c>
      <c r="I172">
        <v>4.2</v>
      </c>
      <c r="J172">
        <f t="shared" si="21"/>
        <v>1213.8000000000002</v>
      </c>
      <c r="K172">
        <f t="shared" si="22"/>
        <v>153.80000000000001</v>
      </c>
      <c r="M172">
        <v>1</v>
      </c>
      <c r="N172">
        <v>0.5</v>
      </c>
      <c r="O172">
        <f t="shared" si="18"/>
        <v>0.5</v>
      </c>
      <c r="Q172">
        <v>136</v>
      </c>
      <c r="R172">
        <v>1</v>
      </c>
      <c r="S172">
        <f t="shared" si="19"/>
        <v>0.5</v>
      </c>
      <c r="T172">
        <f t="shared" si="20"/>
        <v>0.5</v>
      </c>
      <c r="U172" s="14">
        <f t="shared" si="25"/>
        <v>67.59728395061731</v>
      </c>
      <c r="W172">
        <v>540.79999999999995</v>
      </c>
      <c r="X172">
        <f t="shared" si="23"/>
        <v>80370.799999999959</v>
      </c>
      <c r="Y172">
        <f t="shared" si="24"/>
        <v>18162.3</v>
      </c>
      <c r="Z172">
        <v>8.5682931005348841</v>
      </c>
    </row>
    <row r="173" spans="1:26" x14ac:dyDescent="0.25">
      <c r="A173">
        <v>5320</v>
      </c>
      <c r="B173">
        <v>23210</v>
      </c>
      <c r="C173" s="1">
        <v>42750</v>
      </c>
      <c r="E173">
        <v>38</v>
      </c>
      <c r="F173" s="35"/>
      <c r="G173">
        <v>3</v>
      </c>
      <c r="H173">
        <v>0.5</v>
      </c>
      <c r="I173">
        <v>5.5</v>
      </c>
      <c r="J173">
        <f t="shared" si="21"/>
        <v>1216.8000000000002</v>
      </c>
      <c r="K173">
        <f t="shared" si="22"/>
        <v>156.80000000000001</v>
      </c>
      <c r="M173">
        <v>4.5999999999999996</v>
      </c>
      <c r="N173">
        <v>0.3</v>
      </c>
      <c r="O173">
        <f t="shared" si="18"/>
        <v>4.3</v>
      </c>
      <c r="Q173">
        <v>137</v>
      </c>
      <c r="R173">
        <v>1</v>
      </c>
      <c r="S173">
        <f t="shared" si="19"/>
        <v>0.3</v>
      </c>
      <c r="T173">
        <f t="shared" si="20"/>
        <v>4.3</v>
      </c>
      <c r="U173" s="14">
        <f t="shared" si="25"/>
        <v>71.897283950617307</v>
      </c>
      <c r="W173">
        <v>146.4</v>
      </c>
      <c r="X173">
        <f t="shared" si="23"/>
        <v>80517.199999999953</v>
      </c>
      <c r="Y173">
        <f t="shared" si="24"/>
        <v>18308.7</v>
      </c>
      <c r="Z173">
        <v>8.5997477988849749</v>
      </c>
    </row>
    <row r="174" spans="1:26" x14ac:dyDescent="0.25">
      <c r="A174">
        <v>5320</v>
      </c>
      <c r="B174">
        <v>23210</v>
      </c>
      <c r="C174" s="1">
        <v>42751</v>
      </c>
      <c r="E174">
        <v>39</v>
      </c>
      <c r="F174" s="35"/>
      <c r="G174">
        <v>1.9</v>
      </c>
      <c r="H174">
        <v>1.2</v>
      </c>
      <c r="I174">
        <v>2.7</v>
      </c>
      <c r="J174">
        <f t="shared" si="21"/>
        <v>1218.7000000000003</v>
      </c>
      <c r="K174">
        <f t="shared" si="22"/>
        <v>158.70000000000002</v>
      </c>
      <c r="M174">
        <v>0.1</v>
      </c>
      <c r="N174">
        <v>0.2</v>
      </c>
      <c r="O174">
        <f t="shared" si="18"/>
        <v>-0.1</v>
      </c>
      <c r="Q174">
        <v>138</v>
      </c>
      <c r="R174">
        <v>1</v>
      </c>
      <c r="S174">
        <f t="shared" si="19"/>
        <v>0.2</v>
      </c>
      <c r="T174">
        <f t="shared" si="20"/>
        <v>-0.1</v>
      </c>
      <c r="U174" s="14">
        <f t="shared" si="25"/>
        <v>71.797283950617313</v>
      </c>
      <c r="W174">
        <v>181.9</v>
      </c>
      <c r="X174">
        <f t="shared" si="23"/>
        <v>80699.099999999948</v>
      </c>
      <c r="Y174">
        <f t="shared" si="24"/>
        <v>18490.600000000002</v>
      </c>
      <c r="Z174">
        <v>8.6322505715389841</v>
      </c>
    </row>
    <row r="175" spans="1:26" x14ac:dyDescent="0.25">
      <c r="A175">
        <v>5320</v>
      </c>
      <c r="B175">
        <v>23210</v>
      </c>
      <c r="C175" s="1">
        <v>42752</v>
      </c>
      <c r="E175">
        <v>40</v>
      </c>
      <c r="F175" s="35"/>
      <c r="G175">
        <v>-1.4</v>
      </c>
      <c r="H175">
        <v>-2.2000000000000002</v>
      </c>
      <c r="I175">
        <v>0.3</v>
      </c>
      <c r="J175">
        <v>1218.7</v>
      </c>
      <c r="K175">
        <v>158.69999999999999</v>
      </c>
      <c r="M175">
        <v>0</v>
      </c>
      <c r="N175">
        <v>0.6</v>
      </c>
      <c r="O175">
        <f t="shared" si="18"/>
        <v>-0.6</v>
      </c>
      <c r="Q175">
        <v>139</v>
      </c>
      <c r="R175">
        <v>1</v>
      </c>
      <c r="S175">
        <f t="shared" si="19"/>
        <v>0.6</v>
      </c>
      <c r="T175">
        <f t="shared" si="20"/>
        <v>-0.6</v>
      </c>
      <c r="U175" s="14">
        <f t="shared" si="25"/>
        <v>71.197283950617319</v>
      </c>
      <c r="W175">
        <v>795.6</v>
      </c>
      <c r="X175">
        <f t="shared" si="23"/>
        <v>81494.699999999953</v>
      </c>
      <c r="Y175">
        <f t="shared" si="24"/>
        <v>19286.2</v>
      </c>
      <c r="Z175">
        <v>8.6657786834414861</v>
      </c>
    </row>
    <row r="176" spans="1:26" x14ac:dyDescent="0.25">
      <c r="A176">
        <v>5320</v>
      </c>
      <c r="B176">
        <v>23210</v>
      </c>
      <c r="C176" s="1">
        <v>42753</v>
      </c>
      <c r="E176">
        <v>41</v>
      </c>
      <c r="F176" s="35"/>
      <c r="G176">
        <v>-2.6</v>
      </c>
      <c r="H176">
        <v>-4.0999999999999996</v>
      </c>
      <c r="I176">
        <v>-1.4</v>
      </c>
      <c r="J176">
        <v>1218.7</v>
      </c>
      <c r="K176">
        <v>158.69999999999999</v>
      </c>
      <c r="M176">
        <v>0</v>
      </c>
      <c r="N176">
        <v>0.7</v>
      </c>
      <c r="O176">
        <f t="shared" si="18"/>
        <v>-0.7</v>
      </c>
      <c r="Q176">
        <v>140</v>
      </c>
      <c r="R176">
        <v>1</v>
      </c>
      <c r="S176">
        <f t="shared" si="19"/>
        <v>0.7</v>
      </c>
      <c r="T176">
        <f t="shared" si="20"/>
        <v>-0.7</v>
      </c>
      <c r="U176" s="14">
        <f t="shared" si="25"/>
        <v>70.497283950617316</v>
      </c>
      <c r="W176">
        <v>663.9</v>
      </c>
      <c r="X176">
        <f t="shared" si="23"/>
        <v>82158.599999999948</v>
      </c>
      <c r="Y176">
        <f t="shared" si="24"/>
        <v>19950.100000000002</v>
      </c>
      <c r="Z176">
        <v>8.700309142564107</v>
      </c>
    </row>
    <row r="177" spans="1:27" x14ac:dyDescent="0.25">
      <c r="A177">
        <v>5320</v>
      </c>
      <c r="B177">
        <v>23210</v>
      </c>
      <c r="C177" s="1">
        <v>42754</v>
      </c>
      <c r="E177">
        <v>42</v>
      </c>
      <c r="F177" s="35"/>
      <c r="G177">
        <v>-3.6</v>
      </c>
      <c r="H177">
        <v>-5.2</v>
      </c>
      <c r="I177">
        <v>-2</v>
      </c>
      <c r="J177">
        <v>1218.7</v>
      </c>
      <c r="K177">
        <v>158.69999999999999</v>
      </c>
      <c r="M177">
        <v>0</v>
      </c>
      <c r="N177">
        <v>0.6</v>
      </c>
      <c r="O177">
        <f t="shared" si="18"/>
        <v>-0.6</v>
      </c>
      <c r="Q177">
        <v>141</v>
      </c>
      <c r="R177">
        <v>1</v>
      </c>
      <c r="S177">
        <f t="shared" si="19"/>
        <v>0.6</v>
      </c>
      <c r="T177">
        <f t="shared" si="20"/>
        <v>-0.6</v>
      </c>
      <c r="U177" s="14">
        <f t="shared" si="25"/>
        <v>69.897283950617322</v>
      </c>
      <c r="W177">
        <v>873.4</v>
      </c>
      <c r="X177">
        <f t="shared" si="23"/>
        <v>83031.999999999942</v>
      </c>
      <c r="Y177">
        <f t="shared" si="24"/>
        <v>20823.500000000004</v>
      </c>
      <c r="Z177">
        <v>8.7358187485374188</v>
      </c>
    </row>
    <row r="178" spans="1:27" x14ac:dyDescent="0.25">
      <c r="A178">
        <v>5320</v>
      </c>
      <c r="B178">
        <v>23210</v>
      </c>
      <c r="C178" s="1">
        <v>42755</v>
      </c>
      <c r="E178">
        <v>43</v>
      </c>
      <c r="F178" s="35"/>
      <c r="G178">
        <v>-4</v>
      </c>
      <c r="H178">
        <v>-6.4</v>
      </c>
      <c r="I178">
        <v>-1.3</v>
      </c>
      <c r="J178">
        <v>1218.7</v>
      </c>
      <c r="K178">
        <v>158.69999999999999</v>
      </c>
      <c r="M178">
        <v>0</v>
      </c>
      <c r="N178">
        <v>0.5</v>
      </c>
      <c r="O178">
        <f t="shared" si="18"/>
        <v>-0.5</v>
      </c>
      <c r="Q178">
        <v>142</v>
      </c>
      <c r="R178">
        <v>1</v>
      </c>
      <c r="S178">
        <f t="shared" si="19"/>
        <v>0.5</v>
      </c>
      <c r="T178">
        <f t="shared" si="20"/>
        <v>-0.5</v>
      </c>
      <c r="U178" s="14">
        <f t="shared" si="25"/>
        <v>69.397283950617322</v>
      </c>
      <c r="W178">
        <v>870.7</v>
      </c>
      <c r="X178">
        <f t="shared" si="23"/>
        <v>83902.699999999939</v>
      </c>
      <c r="Y178">
        <f t="shared" si="24"/>
        <v>21694.200000000004</v>
      </c>
      <c r="Z178">
        <v>8.7722841398995968</v>
      </c>
    </row>
    <row r="179" spans="1:27" x14ac:dyDescent="0.25">
      <c r="A179">
        <v>5320</v>
      </c>
      <c r="B179">
        <v>23210</v>
      </c>
      <c r="C179" s="1">
        <v>42756</v>
      </c>
      <c r="E179">
        <v>44</v>
      </c>
      <c r="F179" s="35"/>
      <c r="G179">
        <v>-2.6</v>
      </c>
      <c r="H179">
        <v>-7.8</v>
      </c>
      <c r="I179">
        <v>1</v>
      </c>
      <c r="J179">
        <v>1218.7</v>
      </c>
      <c r="K179">
        <v>158.69999999999999</v>
      </c>
      <c r="M179">
        <v>0</v>
      </c>
      <c r="N179">
        <v>0.5</v>
      </c>
      <c r="O179">
        <f t="shared" si="18"/>
        <v>-0.5</v>
      </c>
      <c r="Q179">
        <v>143</v>
      </c>
      <c r="R179">
        <v>1</v>
      </c>
      <c r="S179">
        <f t="shared" si="19"/>
        <v>0.5</v>
      </c>
      <c r="T179">
        <f t="shared" si="20"/>
        <v>-0.5</v>
      </c>
      <c r="U179" s="14">
        <f t="shared" si="25"/>
        <v>68.897283950617322</v>
      </c>
      <c r="W179">
        <v>840.3</v>
      </c>
      <c r="X179">
        <f t="shared" si="23"/>
        <v>84742.999999999942</v>
      </c>
      <c r="Y179">
        <f t="shared" si="24"/>
        <v>22534.500000000004</v>
      </c>
      <c r="Z179">
        <v>8.8096818398219465</v>
      </c>
    </row>
    <row r="180" spans="1:27" x14ac:dyDescent="0.25">
      <c r="A180">
        <v>5320</v>
      </c>
      <c r="B180">
        <v>23210</v>
      </c>
      <c r="C180" s="1">
        <v>42757</v>
      </c>
      <c r="E180">
        <v>45</v>
      </c>
      <c r="F180" s="35"/>
      <c r="G180">
        <v>-0.9</v>
      </c>
      <c r="H180">
        <v>-5.4</v>
      </c>
      <c r="I180">
        <v>2.7</v>
      </c>
      <c r="J180">
        <v>1218.7</v>
      </c>
      <c r="K180">
        <v>158.69999999999999</v>
      </c>
      <c r="M180">
        <v>0</v>
      </c>
      <c r="N180">
        <v>0.6</v>
      </c>
      <c r="O180">
        <f t="shared" si="18"/>
        <v>-0.6</v>
      </c>
      <c r="Q180">
        <v>144</v>
      </c>
      <c r="R180">
        <v>1</v>
      </c>
      <c r="S180">
        <f t="shared" si="19"/>
        <v>0.6</v>
      </c>
      <c r="T180">
        <f t="shared" si="20"/>
        <v>-0.6</v>
      </c>
      <c r="U180" s="14">
        <f t="shared" si="25"/>
        <v>68.297283950617327</v>
      </c>
      <c r="W180">
        <v>736.9</v>
      </c>
      <c r="X180">
        <f t="shared" si="23"/>
        <v>85479.899999999936</v>
      </c>
      <c r="Y180">
        <f t="shared" si="24"/>
        <v>23271.400000000005</v>
      </c>
      <c r="Z180">
        <v>8.8479883001883977</v>
      </c>
    </row>
    <row r="181" spans="1:27" x14ac:dyDescent="0.25">
      <c r="A181">
        <v>5320</v>
      </c>
      <c r="B181">
        <v>23210</v>
      </c>
      <c r="C181" s="1">
        <v>42758</v>
      </c>
      <c r="E181">
        <v>46</v>
      </c>
      <c r="F181" s="35"/>
      <c r="G181">
        <v>-0.6</v>
      </c>
      <c r="H181">
        <v>-3.3</v>
      </c>
      <c r="I181">
        <v>3.1</v>
      </c>
      <c r="J181">
        <v>1218.7</v>
      </c>
      <c r="K181">
        <v>158.69999999999999</v>
      </c>
      <c r="M181">
        <v>0</v>
      </c>
      <c r="N181">
        <v>0.9</v>
      </c>
      <c r="O181">
        <f t="shared" si="18"/>
        <v>-0.9</v>
      </c>
      <c r="Q181">
        <v>145</v>
      </c>
      <c r="R181">
        <v>1</v>
      </c>
      <c r="S181">
        <f t="shared" si="19"/>
        <v>0.9</v>
      </c>
      <c r="T181">
        <f t="shared" si="20"/>
        <v>-0.9</v>
      </c>
      <c r="U181" s="14">
        <f t="shared" si="25"/>
        <v>67.397283950617322</v>
      </c>
      <c r="W181">
        <v>806.6</v>
      </c>
      <c r="X181">
        <f t="shared" si="23"/>
        <v>86286.499999999942</v>
      </c>
      <c r="Y181">
        <f t="shared" si="24"/>
        <v>24078.000000000004</v>
      </c>
      <c r="Z181">
        <v>8.8871799439228525</v>
      </c>
    </row>
    <row r="182" spans="1:27" x14ac:dyDescent="0.25">
      <c r="A182">
        <v>5320</v>
      </c>
      <c r="B182">
        <v>23210</v>
      </c>
      <c r="C182" s="1">
        <v>42759</v>
      </c>
      <c r="E182">
        <v>47</v>
      </c>
      <c r="F182" s="35"/>
      <c r="G182">
        <v>-1.9</v>
      </c>
      <c r="H182">
        <v>-5.0999999999999996</v>
      </c>
      <c r="I182">
        <v>0.1</v>
      </c>
      <c r="J182">
        <v>1218.7</v>
      </c>
      <c r="K182">
        <v>158.69999999999999</v>
      </c>
      <c r="M182">
        <v>0</v>
      </c>
      <c r="N182">
        <v>0.3</v>
      </c>
      <c r="O182">
        <f t="shared" si="18"/>
        <v>-0.3</v>
      </c>
      <c r="Q182">
        <v>146</v>
      </c>
      <c r="R182">
        <v>1</v>
      </c>
      <c r="S182">
        <f t="shared" si="19"/>
        <v>0.3</v>
      </c>
      <c r="T182">
        <f t="shared" si="20"/>
        <v>-0.3</v>
      </c>
      <c r="U182" s="14">
        <f t="shared" si="25"/>
        <v>67.097283950617324</v>
      </c>
      <c r="W182">
        <v>498.2</v>
      </c>
      <c r="X182">
        <f t="shared" si="23"/>
        <v>86784.699999999939</v>
      </c>
      <c r="Y182">
        <f t="shared" si="24"/>
        <v>24576.200000000004</v>
      </c>
      <c r="Z182">
        <v>8.9272332054745736</v>
      </c>
    </row>
    <row r="183" spans="1:27" x14ac:dyDescent="0.25">
      <c r="A183">
        <v>5320</v>
      </c>
      <c r="B183">
        <v>23210</v>
      </c>
      <c r="C183" s="1">
        <v>42760</v>
      </c>
      <c r="E183">
        <v>48</v>
      </c>
      <c r="F183" s="35"/>
      <c r="G183">
        <v>-1.9</v>
      </c>
      <c r="H183">
        <v>-2.8</v>
      </c>
      <c r="I183">
        <v>-0.8</v>
      </c>
      <c r="J183">
        <v>1218.7</v>
      </c>
      <c r="K183">
        <v>158.69999999999999</v>
      </c>
      <c r="M183">
        <v>0</v>
      </c>
      <c r="N183">
        <v>0.4</v>
      </c>
      <c r="O183">
        <f t="shared" si="18"/>
        <v>-0.4</v>
      </c>
      <c r="Q183">
        <v>147</v>
      </c>
      <c r="R183">
        <v>1</v>
      </c>
      <c r="S183">
        <f t="shared" si="19"/>
        <v>0.4</v>
      </c>
      <c r="T183">
        <f t="shared" si="20"/>
        <v>-0.4</v>
      </c>
      <c r="U183" s="14">
        <f t="shared" si="25"/>
        <v>66.697283950617319</v>
      </c>
      <c r="W183">
        <v>141.4</v>
      </c>
      <c r="X183">
        <f t="shared" si="23"/>
        <v>86926.099999999933</v>
      </c>
      <c r="Y183">
        <f t="shared" si="24"/>
        <v>24717.600000000006</v>
      </c>
      <c r="Z183">
        <v>8.9681245693878129</v>
      </c>
    </row>
    <row r="184" spans="1:27" s="6" customFormat="1" ht="15.75" thickBot="1" x14ac:dyDescent="0.3">
      <c r="A184" s="6">
        <v>5320</v>
      </c>
      <c r="B184" s="6">
        <v>23210</v>
      </c>
      <c r="C184" s="7">
        <v>42761</v>
      </c>
      <c r="E184" s="6" t="s">
        <v>58</v>
      </c>
      <c r="F184" s="36"/>
      <c r="G184" s="6">
        <v>-1.4</v>
      </c>
      <c r="H184" s="6">
        <v>-6.7</v>
      </c>
      <c r="I184" s="6">
        <v>2.2999999999999998</v>
      </c>
      <c r="J184" s="6">
        <v>1218.7</v>
      </c>
      <c r="K184" s="6">
        <v>158.69999999999999</v>
      </c>
      <c r="M184" s="6">
        <v>0</v>
      </c>
      <c r="N184" s="6">
        <v>0.7</v>
      </c>
      <c r="O184" s="6">
        <f t="shared" si="18"/>
        <v>-0.7</v>
      </c>
      <c r="Q184" s="6">
        <v>148</v>
      </c>
      <c r="R184" s="6">
        <v>1</v>
      </c>
      <c r="S184" s="6">
        <f t="shared" si="19"/>
        <v>0.7</v>
      </c>
      <c r="T184" s="6">
        <f t="shared" si="20"/>
        <v>-0.7</v>
      </c>
      <c r="U184" s="26">
        <f t="shared" si="25"/>
        <v>65.997283950617316</v>
      </c>
      <c r="W184" s="6">
        <v>929.7</v>
      </c>
      <c r="X184" s="6">
        <f t="shared" si="23"/>
        <v>87855.79999999993</v>
      </c>
      <c r="Y184" s="6">
        <f t="shared" si="24"/>
        <v>25647.300000000007</v>
      </c>
      <c r="Z184" s="6">
        <v>9.0098306068969336</v>
      </c>
    </row>
    <row r="185" spans="1:27" ht="15" customHeight="1" x14ac:dyDescent="0.25">
      <c r="A185">
        <v>5320</v>
      </c>
      <c r="B185">
        <v>23210</v>
      </c>
      <c r="C185" s="1">
        <v>42762</v>
      </c>
      <c r="F185" s="37" t="s">
        <v>53</v>
      </c>
      <c r="G185">
        <v>5.2</v>
      </c>
      <c r="H185">
        <v>-0.7</v>
      </c>
      <c r="I185">
        <v>8</v>
      </c>
      <c r="J185">
        <f t="shared" si="21"/>
        <v>1223.9000000000001</v>
      </c>
      <c r="K185">
        <f>G185</f>
        <v>5.2</v>
      </c>
      <c r="L185" s="15" t="s">
        <v>36</v>
      </c>
      <c r="M185">
        <v>0</v>
      </c>
      <c r="N185">
        <v>0.7</v>
      </c>
      <c r="O185">
        <f t="shared" si="18"/>
        <v>-0.7</v>
      </c>
      <c r="Q185">
        <v>149</v>
      </c>
      <c r="R185">
        <f>1+((Q185-148)/57)*(1.15-1)</f>
        <v>1.0026315789473683</v>
      </c>
      <c r="S185">
        <f t="shared" si="19"/>
        <v>0.70184210526315782</v>
      </c>
      <c r="T185">
        <f t="shared" si="20"/>
        <v>-0.70184210526315782</v>
      </c>
      <c r="U185" s="14">
        <f t="shared" si="25"/>
        <v>65.295441845354162</v>
      </c>
      <c r="V185" s="16" t="s">
        <v>43</v>
      </c>
      <c r="W185">
        <v>419.8</v>
      </c>
      <c r="X185">
        <f t="shared" si="23"/>
        <v>88275.599999999933</v>
      </c>
      <c r="Y185">
        <f>W185</f>
        <v>419.8</v>
      </c>
      <c r="Z185">
        <v>9.052328010502837</v>
      </c>
      <c r="AA185" s="16" t="s">
        <v>48</v>
      </c>
    </row>
    <row r="186" spans="1:27" x14ac:dyDescent="0.25">
      <c r="A186">
        <v>5320</v>
      </c>
      <c r="B186">
        <v>23210</v>
      </c>
      <c r="C186" s="1">
        <v>42763</v>
      </c>
      <c r="F186" s="54"/>
      <c r="G186">
        <v>6.1</v>
      </c>
      <c r="H186">
        <v>4.5</v>
      </c>
      <c r="I186">
        <v>8.1999999999999993</v>
      </c>
      <c r="J186">
        <f t="shared" si="21"/>
        <v>1230</v>
      </c>
      <c r="K186">
        <f t="shared" si="22"/>
        <v>11.3</v>
      </c>
      <c r="L186" s="9">
        <v>430</v>
      </c>
      <c r="M186">
        <v>0.2</v>
      </c>
      <c r="N186">
        <v>0.9</v>
      </c>
      <c r="O186">
        <f t="shared" si="18"/>
        <v>-0.7</v>
      </c>
      <c r="Q186">
        <v>150</v>
      </c>
      <c r="R186">
        <f t="shared" ref="R186:R241" si="26">1+((Q186-148)/57)*(1.15-1)</f>
        <v>1.0052631578947369</v>
      </c>
      <c r="S186">
        <f t="shared" si="19"/>
        <v>0.90473684210526317</v>
      </c>
      <c r="T186">
        <f t="shared" si="20"/>
        <v>-0.70473684210526311</v>
      </c>
      <c r="U186" s="14">
        <f t="shared" si="25"/>
        <v>64.5907050032489</v>
      </c>
      <c r="V186">
        <v>0</v>
      </c>
      <c r="W186">
        <v>458.4</v>
      </c>
      <c r="X186">
        <f t="shared" si="23"/>
        <v>88733.999999999927</v>
      </c>
      <c r="Y186">
        <f t="shared" si="24"/>
        <v>878.2</v>
      </c>
      <c r="Z186">
        <v>9.0955936265001966</v>
      </c>
      <c r="AA186">
        <v>29168.3</v>
      </c>
    </row>
    <row r="187" spans="1:27" x14ac:dyDescent="0.25">
      <c r="A187">
        <v>5320</v>
      </c>
      <c r="B187">
        <v>23210</v>
      </c>
      <c r="C187" s="1">
        <v>42764</v>
      </c>
      <c r="F187" s="54"/>
      <c r="G187">
        <v>6.4</v>
      </c>
      <c r="H187">
        <v>3.8</v>
      </c>
      <c r="I187">
        <v>8.5</v>
      </c>
      <c r="J187">
        <f t="shared" si="21"/>
        <v>1236.4000000000001</v>
      </c>
      <c r="K187">
        <f t="shared" si="22"/>
        <v>17.700000000000003</v>
      </c>
      <c r="L187" s="15" t="s">
        <v>37</v>
      </c>
      <c r="M187">
        <v>0</v>
      </c>
      <c r="N187">
        <v>0.5</v>
      </c>
      <c r="O187">
        <f t="shared" si="18"/>
        <v>-0.5</v>
      </c>
      <c r="Q187">
        <v>151</v>
      </c>
      <c r="R187">
        <f t="shared" si="26"/>
        <v>1.0078947368421052</v>
      </c>
      <c r="S187">
        <f t="shared" si="19"/>
        <v>0.50394736842105259</v>
      </c>
      <c r="T187">
        <f t="shared" si="20"/>
        <v>-0.50394736842105259</v>
      </c>
      <c r="U187" s="14">
        <f t="shared" si="25"/>
        <v>64.086757634827848</v>
      </c>
      <c r="V187" s="16" t="s">
        <v>44</v>
      </c>
      <c r="W187">
        <v>140.30000000000001</v>
      </c>
      <c r="X187">
        <f t="shared" si="23"/>
        <v>88874.29999999993</v>
      </c>
      <c r="Y187">
        <f t="shared" si="24"/>
        <v>1018.5</v>
      </c>
      <c r="Z187">
        <v>9.1396044854377205</v>
      </c>
      <c r="AA187" s="16" t="s">
        <v>49</v>
      </c>
    </row>
    <row r="188" spans="1:27" x14ac:dyDescent="0.25">
      <c r="A188">
        <v>5320</v>
      </c>
      <c r="B188">
        <v>23210</v>
      </c>
      <c r="C188" s="1">
        <v>42765</v>
      </c>
      <c r="F188" s="54"/>
      <c r="G188">
        <v>9.5</v>
      </c>
      <c r="H188">
        <v>7.8</v>
      </c>
      <c r="I188">
        <v>10.6</v>
      </c>
      <c r="J188">
        <f t="shared" si="21"/>
        <v>1245.9000000000001</v>
      </c>
      <c r="K188">
        <f t="shared" si="22"/>
        <v>27.200000000000003</v>
      </c>
      <c r="L188" s="9">
        <f>AVERAGE(G185:G241)</f>
        <v>7.5210526315789465</v>
      </c>
      <c r="M188">
        <v>3.3</v>
      </c>
      <c r="N188">
        <v>0.3</v>
      </c>
      <c r="O188">
        <f t="shared" si="18"/>
        <v>3</v>
      </c>
      <c r="Q188">
        <v>152</v>
      </c>
      <c r="R188">
        <f t="shared" si="26"/>
        <v>1.0105263157894737</v>
      </c>
      <c r="S188">
        <f t="shared" si="19"/>
        <v>0.30315789473684213</v>
      </c>
      <c r="T188">
        <f t="shared" si="20"/>
        <v>2.9968421052631578</v>
      </c>
      <c r="U188" s="14">
        <f t="shared" si="25"/>
        <v>67.083599740091003</v>
      </c>
      <c r="V188">
        <v>0</v>
      </c>
      <c r="W188">
        <v>128.19999999999999</v>
      </c>
      <c r="X188">
        <f t="shared" si="23"/>
        <v>89002.499999999927</v>
      </c>
      <c r="Y188">
        <f t="shared" si="24"/>
        <v>1146.7</v>
      </c>
      <c r="Z188">
        <v>9.1843378305056103</v>
      </c>
      <c r="AA188">
        <f>(AA186/100)/L186</f>
        <v>0.67833255813953486</v>
      </c>
    </row>
    <row r="189" spans="1:27" x14ac:dyDescent="0.25">
      <c r="A189">
        <v>5320</v>
      </c>
      <c r="B189">
        <v>23210</v>
      </c>
      <c r="C189" s="1">
        <v>42766</v>
      </c>
      <c r="F189" s="54"/>
      <c r="G189">
        <v>10.3</v>
      </c>
      <c r="H189">
        <v>9.8000000000000007</v>
      </c>
      <c r="I189">
        <v>11.5</v>
      </c>
      <c r="J189">
        <f t="shared" si="21"/>
        <v>1256.2</v>
      </c>
      <c r="K189">
        <f t="shared" si="22"/>
        <v>37.5</v>
      </c>
      <c r="L189" s="15" t="s">
        <v>38</v>
      </c>
      <c r="M189">
        <v>0.2</v>
      </c>
      <c r="N189">
        <v>0.3</v>
      </c>
      <c r="O189">
        <f t="shared" si="18"/>
        <v>-9.9999999999999978E-2</v>
      </c>
      <c r="Q189">
        <v>153</v>
      </c>
      <c r="R189">
        <f t="shared" si="26"/>
        <v>1.013157894736842</v>
      </c>
      <c r="S189">
        <f t="shared" si="19"/>
        <v>0.30394736842105258</v>
      </c>
      <c r="T189">
        <f t="shared" si="20"/>
        <v>-0.10394736842105257</v>
      </c>
      <c r="U189" s="14">
        <f t="shared" si="25"/>
        <v>66.979652371669957</v>
      </c>
      <c r="V189" s="16" t="s">
        <v>45</v>
      </c>
      <c r="W189">
        <v>230.4</v>
      </c>
      <c r="X189">
        <f t="shared" si="23"/>
        <v>89232.899999999921</v>
      </c>
      <c r="Y189">
        <f t="shared" si="24"/>
        <v>1377.1000000000001</v>
      </c>
      <c r="Z189">
        <v>9.2297711438552792</v>
      </c>
      <c r="AA189" s="16" t="s">
        <v>50</v>
      </c>
    </row>
    <row r="190" spans="1:27" x14ac:dyDescent="0.25">
      <c r="A190">
        <v>5320</v>
      </c>
      <c r="B190">
        <v>23210</v>
      </c>
      <c r="C190" s="1">
        <v>42767</v>
      </c>
      <c r="F190" s="54"/>
      <c r="G190">
        <v>8.5</v>
      </c>
      <c r="H190">
        <v>5.5</v>
      </c>
      <c r="I190">
        <v>10.7</v>
      </c>
      <c r="J190">
        <f t="shared" si="21"/>
        <v>1264.7</v>
      </c>
      <c r="K190">
        <f t="shared" si="22"/>
        <v>46</v>
      </c>
      <c r="L190" s="10">
        <f>MIN(H185:H241)</f>
        <v>-4.2</v>
      </c>
      <c r="M190">
        <v>0</v>
      </c>
      <c r="N190">
        <v>0.2</v>
      </c>
      <c r="O190">
        <f t="shared" si="18"/>
        <v>-0.2</v>
      </c>
      <c r="Q190">
        <v>154</v>
      </c>
      <c r="R190">
        <f t="shared" si="26"/>
        <v>1.0157894736842106</v>
      </c>
      <c r="S190">
        <f t="shared" si="19"/>
        <v>0.20315789473684212</v>
      </c>
      <c r="T190">
        <f t="shared" si="20"/>
        <v>-0.20315789473684212</v>
      </c>
      <c r="U190" s="14">
        <f t="shared" si="25"/>
        <v>66.776494476933109</v>
      </c>
      <c r="V190" s="14">
        <f>MIN(U185:U241)</f>
        <v>64.086757634827848</v>
      </c>
      <c r="W190">
        <v>200.1</v>
      </c>
      <c r="X190">
        <f t="shared" si="23"/>
        <v>89432.999999999927</v>
      </c>
      <c r="Y190">
        <f t="shared" si="24"/>
        <v>1577.2</v>
      </c>
      <c r="Z190">
        <v>9.2758821708664332</v>
      </c>
      <c r="AA190">
        <v>49</v>
      </c>
    </row>
    <row r="191" spans="1:27" x14ac:dyDescent="0.25">
      <c r="A191">
        <v>5320</v>
      </c>
      <c r="B191">
        <v>23210</v>
      </c>
      <c r="C191" s="1">
        <v>42768</v>
      </c>
      <c r="F191" s="54"/>
      <c r="G191">
        <v>9.6</v>
      </c>
      <c r="H191">
        <v>7.7</v>
      </c>
      <c r="I191">
        <v>11</v>
      </c>
      <c r="J191">
        <f t="shared" si="21"/>
        <v>1274.3</v>
      </c>
      <c r="K191">
        <f t="shared" si="22"/>
        <v>55.6</v>
      </c>
      <c r="L191" s="15" t="s">
        <v>39</v>
      </c>
      <c r="M191">
        <v>1.8</v>
      </c>
      <c r="N191">
        <v>0.8</v>
      </c>
      <c r="O191">
        <f t="shared" si="18"/>
        <v>1</v>
      </c>
      <c r="Q191">
        <v>155</v>
      </c>
      <c r="R191">
        <f t="shared" si="26"/>
        <v>1.0184210526315789</v>
      </c>
      <c r="S191">
        <f t="shared" si="19"/>
        <v>0.8147368421052632</v>
      </c>
      <c r="T191">
        <f t="shared" si="20"/>
        <v>0.98526315789473684</v>
      </c>
      <c r="U191" s="14">
        <f t="shared" si="25"/>
        <v>67.761757634827845</v>
      </c>
      <c r="V191" s="16" t="s">
        <v>46</v>
      </c>
      <c r="W191">
        <v>168.2</v>
      </c>
      <c r="X191">
        <f t="shared" si="23"/>
        <v>89601.199999999924</v>
      </c>
      <c r="Y191">
        <f t="shared" si="24"/>
        <v>1745.4</v>
      </c>
      <c r="Z191">
        <v>9.3226489423855465</v>
      </c>
    </row>
    <row r="192" spans="1:27" x14ac:dyDescent="0.25">
      <c r="A192">
        <v>5320</v>
      </c>
      <c r="B192">
        <v>23210</v>
      </c>
      <c r="C192" s="1">
        <v>42769</v>
      </c>
      <c r="F192" s="54"/>
      <c r="G192">
        <v>6.9</v>
      </c>
      <c r="H192">
        <v>5.8</v>
      </c>
      <c r="I192">
        <v>7.9</v>
      </c>
      <c r="J192">
        <f t="shared" si="21"/>
        <v>1281.2</v>
      </c>
      <c r="K192">
        <f t="shared" si="22"/>
        <v>62.5</v>
      </c>
      <c r="L192" s="9">
        <f>MAX(I185:I241)</f>
        <v>17.600000000000001</v>
      </c>
      <c r="M192">
        <v>7.9</v>
      </c>
      <c r="N192">
        <v>0.7</v>
      </c>
      <c r="O192">
        <f t="shared" si="18"/>
        <v>7.2</v>
      </c>
      <c r="Q192">
        <v>156</v>
      </c>
      <c r="R192">
        <f t="shared" si="26"/>
        <v>1.0210526315789474</v>
      </c>
      <c r="S192">
        <f t="shared" si="19"/>
        <v>0.71473684210526311</v>
      </c>
      <c r="T192">
        <f t="shared" si="20"/>
        <v>7.1852631578947372</v>
      </c>
      <c r="U192" s="14">
        <f t="shared" si="25"/>
        <v>74.947020792722583</v>
      </c>
      <c r="V192" s="14">
        <f>MAX(U185:U241)</f>
        <v>120.95675763482785</v>
      </c>
      <c r="W192">
        <v>195.2</v>
      </c>
      <c r="X192">
        <f t="shared" si="23"/>
        <v>89796.399999999921</v>
      </c>
      <c r="Y192">
        <f t="shared" si="24"/>
        <v>1940.6000000000001</v>
      </c>
      <c r="Z192">
        <v>9.3700497949679686</v>
      </c>
    </row>
    <row r="193" spans="1:28" x14ac:dyDescent="0.25">
      <c r="A193">
        <v>5320</v>
      </c>
      <c r="B193">
        <v>23210</v>
      </c>
      <c r="C193" s="1">
        <v>42770</v>
      </c>
      <c r="F193" s="54"/>
      <c r="G193">
        <v>6.4</v>
      </c>
      <c r="H193">
        <v>5.3</v>
      </c>
      <c r="I193">
        <v>7.2</v>
      </c>
      <c r="J193">
        <f t="shared" si="21"/>
        <v>1287.6000000000001</v>
      </c>
      <c r="K193">
        <f t="shared" si="22"/>
        <v>68.900000000000006</v>
      </c>
      <c r="L193" s="15" t="s">
        <v>40</v>
      </c>
      <c r="M193">
        <v>5.5</v>
      </c>
      <c r="N193">
        <v>0.7</v>
      </c>
      <c r="O193">
        <f t="shared" si="18"/>
        <v>4.8</v>
      </c>
      <c r="Q193">
        <v>157</v>
      </c>
      <c r="R193">
        <f t="shared" si="26"/>
        <v>1.0236842105263158</v>
      </c>
      <c r="S193">
        <f t="shared" si="19"/>
        <v>0.71657894736842098</v>
      </c>
      <c r="T193">
        <f t="shared" si="20"/>
        <v>4.7834210526315788</v>
      </c>
      <c r="U193" s="14">
        <f t="shared" si="25"/>
        <v>79.730441845354164</v>
      </c>
      <c r="V193" s="16" t="s">
        <v>47</v>
      </c>
      <c r="W193">
        <v>244.6</v>
      </c>
      <c r="X193">
        <f t="shared" si="23"/>
        <v>90040.999999999927</v>
      </c>
      <c r="Y193">
        <f t="shared" si="24"/>
        <v>2185.2000000000003</v>
      </c>
      <c r="Z193">
        <v>9.4180633891629846</v>
      </c>
    </row>
    <row r="194" spans="1:28" x14ac:dyDescent="0.25">
      <c r="A194">
        <v>5320</v>
      </c>
      <c r="B194">
        <v>23210</v>
      </c>
      <c r="C194" s="1">
        <v>42771</v>
      </c>
      <c r="F194" s="54"/>
      <c r="G194">
        <v>7.5</v>
      </c>
      <c r="H194">
        <v>5.6</v>
      </c>
      <c r="I194">
        <v>10.199999999999999</v>
      </c>
      <c r="J194">
        <f t="shared" si="21"/>
        <v>1295.1000000000001</v>
      </c>
      <c r="K194">
        <f t="shared" si="22"/>
        <v>76.400000000000006</v>
      </c>
      <c r="L194" s="9">
        <v>0</v>
      </c>
      <c r="M194">
        <v>0.9</v>
      </c>
      <c r="N194">
        <v>1</v>
      </c>
      <c r="O194">
        <f t="shared" si="18"/>
        <v>-9.9999999999999978E-2</v>
      </c>
      <c r="Q194">
        <v>158</v>
      </c>
      <c r="R194">
        <f t="shared" si="26"/>
        <v>1.0263157894736843</v>
      </c>
      <c r="S194">
        <f t="shared" si="19"/>
        <v>1.0263157894736843</v>
      </c>
      <c r="T194">
        <f t="shared" si="20"/>
        <v>-0.12631578947368427</v>
      </c>
      <c r="U194" s="14">
        <f t="shared" si="25"/>
        <v>79.604126055880485</v>
      </c>
      <c r="V194" s="14">
        <f>AVERAGE(U185:U241)</f>
        <v>90.321785335658873</v>
      </c>
      <c r="W194">
        <v>308.89999999999998</v>
      </c>
      <c r="X194">
        <f t="shared" si="23"/>
        <v>90349.899999999921</v>
      </c>
      <c r="Y194">
        <f t="shared" si="24"/>
        <v>2494.1000000000004</v>
      </c>
      <c r="Z194">
        <v>9.4666687258873665</v>
      </c>
    </row>
    <row r="195" spans="1:28" x14ac:dyDescent="0.25">
      <c r="A195">
        <v>5320</v>
      </c>
      <c r="B195">
        <v>23210</v>
      </c>
      <c r="C195" s="1">
        <v>42772</v>
      </c>
      <c r="F195" s="54"/>
      <c r="G195">
        <v>5.6</v>
      </c>
      <c r="H195">
        <v>3.4</v>
      </c>
      <c r="I195">
        <v>7.5</v>
      </c>
      <c r="J195">
        <f t="shared" si="21"/>
        <v>1300.7</v>
      </c>
      <c r="K195">
        <f t="shared" si="22"/>
        <v>82</v>
      </c>
      <c r="L195" s="15" t="s">
        <v>41</v>
      </c>
      <c r="M195">
        <v>4.3</v>
      </c>
      <c r="N195">
        <v>0.7</v>
      </c>
      <c r="O195">
        <f t="shared" si="18"/>
        <v>3.5999999999999996</v>
      </c>
      <c r="Q195">
        <v>159</v>
      </c>
      <c r="R195">
        <f t="shared" si="26"/>
        <v>1.0289473684210526</v>
      </c>
      <c r="S195">
        <f t="shared" si="19"/>
        <v>0.72026315789473683</v>
      </c>
      <c r="T195">
        <f t="shared" si="20"/>
        <v>3.5797368421052629</v>
      </c>
      <c r="U195" s="14">
        <f t="shared" si="25"/>
        <v>83.183862897985748</v>
      </c>
      <c r="W195">
        <v>779</v>
      </c>
      <c r="X195">
        <f t="shared" si="23"/>
        <v>91128.899999999921</v>
      </c>
      <c r="Y195">
        <f t="shared" si="24"/>
        <v>3273.1000000000004</v>
      </c>
      <c r="Z195">
        <v>9.515845160938504</v>
      </c>
    </row>
    <row r="196" spans="1:28" x14ac:dyDescent="0.25">
      <c r="A196">
        <v>5320</v>
      </c>
      <c r="B196">
        <v>23210</v>
      </c>
      <c r="C196" s="1">
        <v>42773</v>
      </c>
      <c r="F196" s="54"/>
      <c r="G196">
        <v>6.5</v>
      </c>
      <c r="H196">
        <v>4.8</v>
      </c>
      <c r="I196">
        <v>10.1</v>
      </c>
      <c r="J196">
        <f t="shared" si="21"/>
        <v>1307.2</v>
      </c>
      <c r="K196">
        <f t="shared" si="22"/>
        <v>88.5</v>
      </c>
      <c r="L196" s="9">
        <v>20</v>
      </c>
      <c r="M196" s="64">
        <v>0.1</v>
      </c>
      <c r="N196">
        <v>0.8</v>
      </c>
      <c r="O196">
        <f t="shared" si="18"/>
        <v>-0.70000000000000007</v>
      </c>
      <c r="Q196">
        <v>160</v>
      </c>
      <c r="R196">
        <f t="shared" si="26"/>
        <v>1.0315789473684209</v>
      </c>
      <c r="S196">
        <f t="shared" si="19"/>
        <v>0.82526315789473681</v>
      </c>
      <c r="T196">
        <f t="shared" si="20"/>
        <v>-0.72526315789473683</v>
      </c>
      <c r="U196" s="14">
        <f t="shared" si="25"/>
        <v>82.458599740091017</v>
      </c>
      <c r="V196" s="29">
        <f>(V194*100)/138.9</f>
        <v>65.026483323008549</v>
      </c>
      <c r="W196">
        <v>522.1</v>
      </c>
      <c r="X196">
        <f t="shared" si="23"/>
        <v>91650.999999999927</v>
      </c>
      <c r="Y196">
        <f t="shared" si="24"/>
        <v>3795.2000000000003</v>
      </c>
      <c r="Z196">
        <v>9.5655724177025743</v>
      </c>
      <c r="AB196" s="2" t="s">
        <v>64</v>
      </c>
    </row>
    <row r="197" spans="1:28" x14ac:dyDescent="0.25">
      <c r="A197">
        <v>5320</v>
      </c>
      <c r="B197">
        <v>23210</v>
      </c>
      <c r="C197" s="1">
        <v>42774</v>
      </c>
      <c r="F197" s="54"/>
      <c r="G197">
        <v>4.5999999999999996</v>
      </c>
      <c r="H197">
        <v>2.6</v>
      </c>
      <c r="I197">
        <v>7</v>
      </c>
      <c r="J197">
        <f t="shared" si="21"/>
        <v>1311.8</v>
      </c>
      <c r="K197">
        <f t="shared" si="22"/>
        <v>93.1</v>
      </c>
      <c r="L197" s="15" t="s">
        <v>42</v>
      </c>
      <c r="M197" s="64">
        <v>0</v>
      </c>
      <c r="N197">
        <v>0.5</v>
      </c>
      <c r="O197">
        <f t="shared" ref="O197:O260" si="27">M197-N197</f>
        <v>-0.5</v>
      </c>
      <c r="Q197">
        <v>161</v>
      </c>
      <c r="R197">
        <f t="shared" si="26"/>
        <v>1.0342105263157895</v>
      </c>
      <c r="S197">
        <f t="shared" si="19"/>
        <v>0.51710526315789473</v>
      </c>
      <c r="T197">
        <f t="shared" si="20"/>
        <v>-0.51710526315789473</v>
      </c>
      <c r="U197" s="14">
        <f t="shared" si="25"/>
        <v>81.941494476933116</v>
      </c>
      <c r="W197">
        <v>194.3</v>
      </c>
      <c r="X197">
        <f t="shared" si="23"/>
        <v>91845.29999999993</v>
      </c>
      <c r="Y197">
        <f t="shared" si="24"/>
        <v>3989.5000000000005</v>
      </c>
      <c r="Z197">
        <v>9.6158305981172081</v>
      </c>
      <c r="AB197" s="14">
        <f>AVERAGE(U203:U216)</f>
        <v>75.820065905504535</v>
      </c>
    </row>
    <row r="198" spans="1:28" x14ac:dyDescent="0.25">
      <c r="A198">
        <v>5320</v>
      </c>
      <c r="B198">
        <v>23210</v>
      </c>
      <c r="C198" s="1">
        <v>42775</v>
      </c>
      <c r="F198" s="54"/>
      <c r="G198">
        <v>2.2000000000000002</v>
      </c>
      <c r="H198">
        <v>1.1000000000000001</v>
      </c>
      <c r="I198">
        <v>4</v>
      </c>
      <c r="J198">
        <f t="shared" si="21"/>
        <v>1314</v>
      </c>
      <c r="K198">
        <f t="shared" si="22"/>
        <v>95.3</v>
      </c>
      <c r="L198" s="9">
        <v>6</v>
      </c>
      <c r="M198" s="64">
        <v>0</v>
      </c>
      <c r="N198">
        <v>0.4</v>
      </c>
      <c r="O198">
        <f t="shared" si="27"/>
        <v>-0.4</v>
      </c>
      <c r="Q198">
        <v>162</v>
      </c>
      <c r="R198">
        <f t="shared" si="26"/>
        <v>1.0368421052631578</v>
      </c>
      <c r="S198">
        <f t="shared" si="19"/>
        <v>0.41473684210526313</v>
      </c>
      <c r="T198">
        <f t="shared" si="20"/>
        <v>-0.41473684210526313</v>
      </c>
      <c r="U198" s="14">
        <f t="shared" si="25"/>
        <v>81.52675763482786</v>
      </c>
      <c r="W198">
        <v>315.89999999999998</v>
      </c>
      <c r="X198">
        <f t="shared" si="23"/>
        <v>92161.199999999924</v>
      </c>
      <c r="Y198">
        <f t="shared" si="24"/>
        <v>4305.4000000000005</v>
      </c>
      <c r="Z198">
        <v>9.6666001919510105</v>
      </c>
      <c r="AB198" s="2" t="s">
        <v>65</v>
      </c>
    </row>
    <row r="199" spans="1:28" x14ac:dyDescent="0.25">
      <c r="A199">
        <v>5320</v>
      </c>
      <c r="B199">
        <v>23210</v>
      </c>
      <c r="C199" s="1">
        <v>42776</v>
      </c>
      <c r="F199" s="54"/>
      <c r="G199">
        <v>-0.4</v>
      </c>
      <c r="H199">
        <v>-2.1</v>
      </c>
      <c r="I199">
        <v>1</v>
      </c>
      <c r="J199">
        <v>1314</v>
      </c>
      <c r="K199">
        <v>95.3</v>
      </c>
      <c r="M199" s="64">
        <v>0</v>
      </c>
      <c r="N199">
        <v>0.4</v>
      </c>
      <c r="O199">
        <f t="shared" si="27"/>
        <v>-0.4</v>
      </c>
      <c r="Q199">
        <v>163</v>
      </c>
      <c r="R199">
        <f t="shared" si="26"/>
        <v>1.0394736842105263</v>
      </c>
      <c r="S199">
        <f t="shared" si="19"/>
        <v>0.41578947368421054</v>
      </c>
      <c r="T199">
        <f t="shared" si="20"/>
        <v>-0.41578947368421054</v>
      </c>
      <c r="U199" s="14">
        <f t="shared" si="25"/>
        <v>81.110968161143646</v>
      </c>
      <c r="W199">
        <v>407.3</v>
      </c>
      <c r="X199">
        <f t="shared" si="23"/>
        <v>92568.499999999927</v>
      </c>
      <c r="Y199">
        <f t="shared" si="24"/>
        <v>4712.7000000000007</v>
      </c>
      <c r="Z199">
        <v>9.7178620844647856</v>
      </c>
      <c r="AB199">
        <v>4</v>
      </c>
    </row>
    <row r="200" spans="1:28" x14ac:dyDescent="0.25">
      <c r="A200">
        <v>5320</v>
      </c>
      <c r="B200">
        <v>23210</v>
      </c>
      <c r="C200" s="1">
        <v>42777</v>
      </c>
      <c r="F200" s="54"/>
      <c r="G200">
        <v>-0.9</v>
      </c>
      <c r="H200">
        <v>-4.2</v>
      </c>
      <c r="I200">
        <v>1</v>
      </c>
      <c r="J200">
        <v>1314</v>
      </c>
      <c r="K200">
        <v>95.3</v>
      </c>
      <c r="M200" s="64">
        <v>0</v>
      </c>
      <c r="N200">
        <v>0.4</v>
      </c>
      <c r="O200">
        <f t="shared" si="27"/>
        <v>-0.4</v>
      </c>
      <c r="Q200">
        <v>164</v>
      </c>
      <c r="R200">
        <f t="shared" si="26"/>
        <v>1.0421052631578946</v>
      </c>
      <c r="S200">
        <f t="shared" si="19"/>
        <v>0.4168421052631579</v>
      </c>
      <c r="T200">
        <f t="shared" si="20"/>
        <v>-0.4168421052631579</v>
      </c>
      <c r="U200" s="14">
        <f t="shared" si="25"/>
        <v>80.694126055880488</v>
      </c>
      <c r="W200">
        <v>656.7</v>
      </c>
      <c r="X200">
        <f t="shared" si="23"/>
        <v>93225.199999999924</v>
      </c>
      <c r="Y200">
        <f t="shared" si="24"/>
        <v>5369.4000000000005</v>
      </c>
      <c r="Z200">
        <v>9.7695975625210192</v>
      </c>
      <c r="AB200" s="2" t="s">
        <v>66</v>
      </c>
    </row>
    <row r="201" spans="1:28" x14ac:dyDescent="0.25">
      <c r="A201">
        <v>5320</v>
      </c>
      <c r="B201">
        <v>23210</v>
      </c>
      <c r="C201" s="1">
        <v>42778</v>
      </c>
      <c r="F201" s="54"/>
      <c r="G201">
        <v>2.8</v>
      </c>
      <c r="H201">
        <v>-0.7</v>
      </c>
      <c r="I201">
        <v>7.5</v>
      </c>
      <c r="J201">
        <f t="shared" si="21"/>
        <v>1316.8</v>
      </c>
      <c r="K201">
        <f t="shared" si="22"/>
        <v>98.1</v>
      </c>
      <c r="M201" s="64">
        <v>0.1</v>
      </c>
      <c r="N201">
        <v>0.8</v>
      </c>
      <c r="O201">
        <f t="shared" si="27"/>
        <v>-0.70000000000000007</v>
      </c>
      <c r="Q201">
        <v>165</v>
      </c>
      <c r="R201">
        <f t="shared" si="26"/>
        <v>1.0447368421052632</v>
      </c>
      <c r="S201">
        <f t="shared" si="19"/>
        <v>0.83578947368421064</v>
      </c>
      <c r="T201">
        <f t="shared" si="20"/>
        <v>-0.73578947368421066</v>
      </c>
      <c r="U201" s="14">
        <f t="shared" si="25"/>
        <v>79.958336582196281</v>
      </c>
      <c r="W201">
        <v>278.3</v>
      </c>
      <c r="X201">
        <f t="shared" si="23"/>
        <v>93503.499999999927</v>
      </c>
      <c r="Y201">
        <f t="shared" si="24"/>
        <v>5647.7000000000007</v>
      </c>
      <c r="Z201">
        <v>9.8217883192093787</v>
      </c>
      <c r="AB201">
        <v>6</v>
      </c>
    </row>
    <row r="202" spans="1:28" x14ac:dyDescent="0.25">
      <c r="A202">
        <v>5320</v>
      </c>
      <c r="B202">
        <v>23210</v>
      </c>
      <c r="C202" s="1">
        <v>42779</v>
      </c>
      <c r="F202" s="54"/>
      <c r="G202">
        <v>8.6</v>
      </c>
      <c r="H202">
        <v>5.6</v>
      </c>
      <c r="I202">
        <v>11.7</v>
      </c>
      <c r="J202">
        <f t="shared" si="21"/>
        <v>1325.3999999999999</v>
      </c>
      <c r="K202">
        <f t="shared" si="22"/>
        <v>106.69999999999999</v>
      </c>
      <c r="M202" s="64">
        <v>1.2</v>
      </c>
      <c r="N202">
        <v>1.4</v>
      </c>
      <c r="O202">
        <f t="shared" si="27"/>
        <v>-0.19999999999999996</v>
      </c>
      <c r="Q202">
        <v>166</v>
      </c>
      <c r="R202">
        <f t="shared" si="26"/>
        <v>1.0473684210526315</v>
      </c>
      <c r="S202">
        <f t="shared" si="19"/>
        <v>1.466315789473684</v>
      </c>
      <c r="T202">
        <f t="shared" si="20"/>
        <v>-0.26631578947368406</v>
      </c>
      <c r="U202" s="14">
        <f t="shared" si="25"/>
        <v>79.692020792722602</v>
      </c>
      <c r="W202">
        <v>742.3</v>
      </c>
      <c r="X202">
        <f t="shared" si="23"/>
        <v>94245.79999999993</v>
      </c>
      <c r="Y202">
        <f t="shared" si="24"/>
        <v>6390.0000000000009</v>
      </c>
      <c r="Z202">
        <v>9.8744164570566113</v>
      </c>
      <c r="AB202" s="2" t="s">
        <v>67</v>
      </c>
    </row>
    <row r="203" spans="1:28" x14ac:dyDescent="0.25">
      <c r="A203">
        <v>5320</v>
      </c>
      <c r="B203">
        <v>23210</v>
      </c>
      <c r="C203" s="1">
        <v>42780</v>
      </c>
      <c r="F203" s="54"/>
      <c r="G203">
        <v>10.4</v>
      </c>
      <c r="H203">
        <v>7.2</v>
      </c>
      <c r="I203">
        <v>12.1</v>
      </c>
      <c r="J203">
        <f t="shared" si="21"/>
        <v>1335.8</v>
      </c>
      <c r="K203">
        <f t="shared" si="22"/>
        <v>117.1</v>
      </c>
      <c r="M203" s="64">
        <v>0.2</v>
      </c>
      <c r="N203">
        <v>0.9</v>
      </c>
      <c r="O203">
        <f t="shared" si="27"/>
        <v>-0.7</v>
      </c>
      <c r="Q203">
        <v>167</v>
      </c>
      <c r="R203">
        <f t="shared" si="26"/>
        <v>1.05</v>
      </c>
      <c r="S203">
        <f t="shared" si="19"/>
        <v>0.94500000000000006</v>
      </c>
      <c r="T203">
        <f t="shared" si="20"/>
        <v>-0.74500000000000011</v>
      </c>
      <c r="U203" s="65">
        <f t="shared" si="25"/>
        <v>78.947020792722597</v>
      </c>
      <c r="W203">
        <v>287.3</v>
      </c>
      <c r="X203">
        <f t="shared" si="23"/>
        <v>94533.099999999933</v>
      </c>
      <c r="Y203">
        <f t="shared" si="24"/>
        <v>6677.3000000000011</v>
      </c>
      <c r="Z203">
        <v>9.9274644898894113</v>
      </c>
      <c r="AB203">
        <v>0</v>
      </c>
    </row>
    <row r="204" spans="1:28" x14ac:dyDescent="0.25">
      <c r="A204">
        <v>5320</v>
      </c>
      <c r="B204">
        <v>23210</v>
      </c>
      <c r="C204" s="1">
        <v>42781</v>
      </c>
      <c r="F204" s="54"/>
      <c r="G204">
        <v>10.9</v>
      </c>
      <c r="H204">
        <v>8</v>
      </c>
      <c r="I204">
        <v>15.3</v>
      </c>
      <c r="J204">
        <f t="shared" si="21"/>
        <v>1346.7</v>
      </c>
      <c r="K204">
        <f t="shared" si="22"/>
        <v>128</v>
      </c>
      <c r="M204" s="64">
        <v>0</v>
      </c>
      <c r="N204">
        <v>1.5</v>
      </c>
      <c r="O204">
        <f t="shared" si="27"/>
        <v>-1.5</v>
      </c>
      <c r="Q204">
        <v>168</v>
      </c>
      <c r="R204">
        <f t="shared" si="26"/>
        <v>1.0526315789473684</v>
      </c>
      <c r="S204">
        <f t="shared" si="19"/>
        <v>1.5789473684210527</v>
      </c>
      <c r="T204">
        <f t="shared" si="20"/>
        <v>-1.5789473684210527</v>
      </c>
      <c r="U204" s="65">
        <f t="shared" si="25"/>
        <v>77.368073424301542</v>
      </c>
      <c r="W204">
        <v>833.5</v>
      </c>
      <c r="X204">
        <f t="shared" si="23"/>
        <v>95366.599999999933</v>
      </c>
      <c r="Y204">
        <f t="shared" si="24"/>
        <v>7510.8000000000011</v>
      </c>
      <c r="Z204">
        <v>9.9809153434186015</v>
      </c>
      <c r="AB204" s="2" t="s">
        <v>68</v>
      </c>
    </row>
    <row r="205" spans="1:28" x14ac:dyDescent="0.25">
      <c r="A205">
        <v>5320</v>
      </c>
      <c r="B205">
        <v>23210</v>
      </c>
      <c r="C205" s="1">
        <v>42782</v>
      </c>
      <c r="F205" s="54"/>
      <c r="G205">
        <v>8</v>
      </c>
      <c r="H205">
        <v>6.6</v>
      </c>
      <c r="I205">
        <v>10.3</v>
      </c>
      <c r="J205">
        <f t="shared" si="21"/>
        <v>1354.7</v>
      </c>
      <c r="K205">
        <f t="shared" si="22"/>
        <v>136</v>
      </c>
      <c r="M205" s="64">
        <v>1.9</v>
      </c>
      <c r="N205">
        <v>0.5</v>
      </c>
      <c r="O205">
        <f t="shared" si="27"/>
        <v>1.4</v>
      </c>
      <c r="Q205">
        <v>169</v>
      </c>
      <c r="R205">
        <f t="shared" si="26"/>
        <v>1.0552631578947369</v>
      </c>
      <c r="S205">
        <f t="shared" si="19"/>
        <v>0.52763157894736845</v>
      </c>
      <c r="T205">
        <f t="shared" si="20"/>
        <v>1.3723684210526315</v>
      </c>
      <c r="U205" s="65">
        <f t="shared" si="25"/>
        <v>78.740441845354169</v>
      </c>
      <c r="W205">
        <v>653.29999999999995</v>
      </c>
      <c r="X205">
        <f t="shared" si="23"/>
        <v>96019.899999999936</v>
      </c>
      <c r="Y205">
        <f t="shared" si="24"/>
        <v>8164.1000000000013</v>
      </c>
      <c r="Z205">
        <v>10.034752354612239</v>
      </c>
      <c r="AB205">
        <f>SUM(M207:M216)</f>
        <v>11.6</v>
      </c>
    </row>
    <row r="206" spans="1:28" s="58" customFormat="1" x14ac:dyDescent="0.25">
      <c r="A206" s="58">
        <v>5320</v>
      </c>
      <c r="B206" s="58">
        <v>23210</v>
      </c>
      <c r="C206" s="59">
        <v>42783</v>
      </c>
      <c r="D206" s="58" t="s">
        <v>60</v>
      </c>
      <c r="F206" s="54"/>
      <c r="G206" s="58">
        <v>4.0999999999999996</v>
      </c>
      <c r="H206" s="58">
        <v>1.1000000000000001</v>
      </c>
      <c r="I206" s="58">
        <v>6.2</v>
      </c>
      <c r="J206" s="58">
        <f t="shared" si="21"/>
        <v>1358.8</v>
      </c>
      <c r="K206" s="58">
        <f t="shared" si="22"/>
        <v>140.1</v>
      </c>
      <c r="M206" s="58">
        <v>0</v>
      </c>
      <c r="N206" s="58">
        <v>0.5</v>
      </c>
      <c r="O206" s="58">
        <f t="shared" si="27"/>
        <v>-0.5</v>
      </c>
      <c r="Q206" s="58">
        <v>170</v>
      </c>
      <c r="R206" s="58">
        <f t="shared" si="26"/>
        <v>1.0578947368421052</v>
      </c>
      <c r="S206" s="58">
        <f t="shared" si="19"/>
        <v>0.52894736842105261</v>
      </c>
      <c r="T206" s="58">
        <f t="shared" si="20"/>
        <v>-0.52894736842105261</v>
      </c>
      <c r="U206" s="60">
        <f t="shared" si="25"/>
        <v>78.211494476933112</v>
      </c>
      <c r="W206" s="58">
        <v>409.5</v>
      </c>
      <c r="X206" s="58">
        <f t="shared" si="23"/>
        <v>96429.399999999936</v>
      </c>
      <c r="Y206" s="58">
        <f t="shared" si="24"/>
        <v>8573.6000000000022</v>
      </c>
      <c r="Z206" s="58">
        <v>10.088959269924423</v>
      </c>
    </row>
    <row r="207" spans="1:28" x14ac:dyDescent="0.25">
      <c r="A207">
        <v>5320</v>
      </c>
      <c r="B207">
        <v>23210</v>
      </c>
      <c r="C207" s="1">
        <v>42784</v>
      </c>
      <c r="F207" s="54"/>
      <c r="G207">
        <v>5.4</v>
      </c>
      <c r="H207">
        <v>0.1</v>
      </c>
      <c r="I207">
        <v>10</v>
      </c>
      <c r="J207">
        <f t="shared" si="21"/>
        <v>1364.2</v>
      </c>
      <c r="K207">
        <f t="shared" si="22"/>
        <v>145.5</v>
      </c>
      <c r="M207" s="64">
        <v>0</v>
      </c>
      <c r="N207">
        <v>1.3</v>
      </c>
      <c r="O207">
        <f t="shared" si="27"/>
        <v>-1.3</v>
      </c>
      <c r="Q207">
        <v>171</v>
      </c>
      <c r="R207">
        <f t="shared" si="26"/>
        <v>1.0605263157894735</v>
      </c>
      <c r="S207">
        <f t="shared" si="19"/>
        <v>1.3786842105263157</v>
      </c>
      <c r="T207">
        <f t="shared" si="20"/>
        <v>-1.3786842105263157</v>
      </c>
      <c r="U207" s="65">
        <f t="shared" si="25"/>
        <v>76.832810266406796</v>
      </c>
      <c r="W207">
        <v>1223.0999999999999</v>
      </c>
      <c r="X207">
        <f t="shared" si="23"/>
        <v>97652.499999999942</v>
      </c>
      <c r="Y207">
        <f t="shared" si="24"/>
        <v>9796.7000000000025</v>
      </c>
      <c r="Z207">
        <v>10.143520242445197</v>
      </c>
      <c r="AB207" s="2" t="s">
        <v>64</v>
      </c>
    </row>
    <row r="208" spans="1:28" x14ac:dyDescent="0.25">
      <c r="A208">
        <v>5320</v>
      </c>
      <c r="B208">
        <v>23210</v>
      </c>
      <c r="C208" s="1">
        <v>42785</v>
      </c>
      <c r="F208" s="54"/>
      <c r="G208">
        <v>4.7</v>
      </c>
      <c r="H208">
        <v>-1.9</v>
      </c>
      <c r="I208">
        <v>8.4</v>
      </c>
      <c r="J208">
        <f t="shared" si="21"/>
        <v>1368.9</v>
      </c>
      <c r="K208">
        <f t="shared" si="22"/>
        <v>150.19999999999999</v>
      </c>
      <c r="M208" s="64">
        <v>0.1</v>
      </c>
      <c r="N208">
        <v>0.7</v>
      </c>
      <c r="O208">
        <f t="shared" si="27"/>
        <v>-0.6</v>
      </c>
      <c r="Q208">
        <v>172</v>
      </c>
      <c r="R208">
        <f t="shared" si="26"/>
        <v>1.0631578947368421</v>
      </c>
      <c r="S208">
        <f t="shared" si="19"/>
        <v>0.74421052631578943</v>
      </c>
      <c r="T208">
        <f t="shared" si="20"/>
        <v>-0.64421052631578946</v>
      </c>
      <c r="U208" s="65">
        <f t="shared" si="25"/>
        <v>76.188599740091007</v>
      </c>
      <c r="W208">
        <v>949</v>
      </c>
      <c r="X208">
        <f t="shared" si="23"/>
        <v>98601.499999999942</v>
      </c>
      <c r="Y208">
        <f t="shared" si="24"/>
        <v>10745.700000000003</v>
      </c>
      <c r="Z208">
        <v>10.198419828035487</v>
      </c>
      <c r="AB208" s="14">
        <f>AVERAGE(U213:U226)</f>
        <v>95.873449364151156</v>
      </c>
    </row>
    <row r="209" spans="1:30" x14ac:dyDescent="0.25">
      <c r="A209">
        <v>5320</v>
      </c>
      <c r="B209">
        <v>23210</v>
      </c>
      <c r="C209" s="1">
        <v>42786</v>
      </c>
      <c r="F209" s="54"/>
      <c r="G209">
        <v>8</v>
      </c>
      <c r="H209">
        <v>4.8</v>
      </c>
      <c r="I209">
        <v>10.6</v>
      </c>
      <c r="J209">
        <f t="shared" si="21"/>
        <v>1376.9</v>
      </c>
      <c r="K209">
        <f t="shared" si="22"/>
        <v>158.19999999999999</v>
      </c>
      <c r="M209" s="64">
        <v>0.3</v>
      </c>
      <c r="N209">
        <v>0.2</v>
      </c>
      <c r="O209">
        <f t="shared" si="27"/>
        <v>9.9999999999999978E-2</v>
      </c>
      <c r="Q209">
        <v>173</v>
      </c>
      <c r="R209">
        <f t="shared" si="26"/>
        <v>1.0657894736842104</v>
      </c>
      <c r="S209">
        <f t="shared" si="19"/>
        <v>0.2131578947368421</v>
      </c>
      <c r="T209">
        <f t="shared" si="20"/>
        <v>8.6842105263157887E-2</v>
      </c>
      <c r="U209" s="65">
        <f t="shared" si="25"/>
        <v>76.275441845354166</v>
      </c>
      <c r="W209">
        <v>205.7</v>
      </c>
      <c r="X209">
        <f t="shared" si="23"/>
        <v>98807.199999999939</v>
      </c>
      <c r="Y209">
        <f t="shared" si="24"/>
        <v>10951.400000000003</v>
      </c>
      <c r="Z209">
        <v>10.253642980509255</v>
      </c>
      <c r="AB209" s="2" t="s">
        <v>65</v>
      </c>
    </row>
    <row r="210" spans="1:30" x14ac:dyDescent="0.25">
      <c r="A210">
        <v>5320</v>
      </c>
      <c r="B210">
        <v>23210</v>
      </c>
      <c r="C210" s="1">
        <v>42787</v>
      </c>
      <c r="F210" s="54"/>
      <c r="G210">
        <v>10.5</v>
      </c>
      <c r="H210">
        <v>9.9</v>
      </c>
      <c r="I210">
        <v>11.5</v>
      </c>
      <c r="J210">
        <f t="shared" si="21"/>
        <v>1387.4</v>
      </c>
      <c r="K210">
        <f t="shared" si="22"/>
        <v>168.7</v>
      </c>
      <c r="M210" s="64">
        <v>0</v>
      </c>
      <c r="N210">
        <v>0.6</v>
      </c>
      <c r="O210">
        <f t="shared" si="27"/>
        <v>-0.6</v>
      </c>
      <c r="Q210">
        <v>174</v>
      </c>
      <c r="R210">
        <f t="shared" si="26"/>
        <v>1.0684210526315789</v>
      </c>
      <c r="S210">
        <f t="shared" si="19"/>
        <v>0.64105263157894732</v>
      </c>
      <c r="T210">
        <f t="shared" si="20"/>
        <v>-0.64105263157894732</v>
      </c>
      <c r="U210" s="65">
        <f t="shared" si="25"/>
        <v>75.634389213775222</v>
      </c>
      <c r="W210">
        <v>229.4</v>
      </c>
      <c r="X210">
        <f t="shared" si="23"/>
        <v>99036.599999999933</v>
      </c>
      <c r="Y210">
        <f t="shared" si="24"/>
        <v>11180.800000000003</v>
      </c>
      <c r="Z210">
        <v>10.309175045923176</v>
      </c>
      <c r="AB210">
        <v>3</v>
      </c>
    </row>
    <row r="211" spans="1:30" x14ac:dyDescent="0.25">
      <c r="A211">
        <v>5320</v>
      </c>
      <c r="B211">
        <v>23210</v>
      </c>
      <c r="C211" s="1">
        <v>42788</v>
      </c>
      <c r="F211" s="54"/>
      <c r="G211">
        <v>9.3000000000000007</v>
      </c>
      <c r="H211">
        <v>8.1</v>
      </c>
      <c r="I211">
        <v>10.199999999999999</v>
      </c>
      <c r="J211">
        <f t="shared" si="21"/>
        <v>1396.7</v>
      </c>
      <c r="K211">
        <f t="shared" si="22"/>
        <v>178</v>
      </c>
      <c r="M211" s="64">
        <v>0</v>
      </c>
      <c r="N211">
        <v>1.1000000000000001</v>
      </c>
      <c r="O211">
        <f t="shared" si="27"/>
        <v>-1.1000000000000001</v>
      </c>
      <c r="Q211">
        <v>175</v>
      </c>
      <c r="R211">
        <f t="shared" si="26"/>
        <v>1.0710526315789473</v>
      </c>
      <c r="S211">
        <f t="shared" si="19"/>
        <v>1.1781578947368421</v>
      </c>
      <c r="T211">
        <f t="shared" si="20"/>
        <v>-1.1781578947368421</v>
      </c>
      <c r="U211" s="65">
        <f t="shared" si="25"/>
        <v>74.45623131903838</v>
      </c>
      <c r="W211">
        <v>196.3</v>
      </c>
      <c r="X211">
        <f t="shared" si="23"/>
        <v>99232.899999999936</v>
      </c>
      <c r="Y211">
        <f t="shared" si="24"/>
        <v>11377.100000000002</v>
      </c>
      <c r="Z211">
        <v>10.365001756032026</v>
      </c>
      <c r="AB211" s="2" t="s">
        <v>66</v>
      </c>
    </row>
    <row r="212" spans="1:30" x14ac:dyDescent="0.25">
      <c r="A212">
        <v>5320</v>
      </c>
      <c r="B212">
        <v>23210</v>
      </c>
      <c r="C212" s="1">
        <v>42789</v>
      </c>
      <c r="F212" s="54"/>
      <c r="G212">
        <v>8.4</v>
      </c>
      <c r="H212">
        <v>8.4</v>
      </c>
      <c r="I212">
        <v>10.5</v>
      </c>
      <c r="J212">
        <f t="shared" si="21"/>
        <v>1405.1000000000001</v>
      </c>
      <c r="K212">
        <f t="shared" si="22"/>
        <v>186.4</v>
      </c>
      <c r="M212" s="64">
        <v>1.1000000000000001</v>
      </c>
      <c r="N212">
        <v>1.5</v>
      </c>
      <c r="O212">
        <f t="shared" si="27"/>
        <v>-0.39999999999999991</v>
      </c>
      <c r="Q212">
        <v>176</v>
      </c>
      <c r="R212">
        <f t="shared" si="26"/>
        <v>1.0736842105263158</v>
      </c>
      <c r="S212">
        <f t="shared" si="19"/>
        <v>1.6105263157894738</v>
      </c>
      <c r="T212">
        <f t="shared" si="20"/>
        <v>-0.51052631578947372</v>
      </c>
      <c r="U212" s="65">
        <f t="shared" si="25"/>
        <v>73.945705003248904</v>
      </c>
      <c r="W212">
        <v>351</v>
      </c>
      <c r="X212">
        <f t="shared" si="23"/>
        <v>99583.899999999936</v>
      </c>
      <c r="Y212">
        <f t="shared" si="24"/>
        <v>11728.100000000002</v>
      </c>
      <c r="Z212">
        <v>10.421109220965855</v>
      </c>
      <c r="AB212">
        <v>2</v>
      </c>
    </row>
    <row r="213" spans="1:30" x14ac:dyDescent="0.25">
      <c r="A213">
        <v>5320</v>
      </c>
      <c r="B213">
        <v>23210</v>
      </c>
      <c r="C213" s="1">
        <v>42790</v>
      </c>
      <c r="F213" s="54"/>
      <c r="G213">
        <v>4.4000000000000004</v>
      </c>
      <c r="H213">
        <v>1.9</v>
      </c>
      <c r="I213">
        <v>8.4</v>
      </c>
      <c r="J213">
        <f t="shared" si="21"/>
        <v>1409.5000000000002</v>
      </c>
      <c r="K213">
        <f t="shared" si="22"/>
        <v>190.8</v>
      </c>
      <c r="M213" s="64">
        <v>0</v>
      </c>
      <c r="N213">
        <v>1</v>
      </c>
      <c r="O213">
        <f t="shared" si="27"/>
        <v>-1</v>
      </c>
      <c r="Q213">
        <v>177</v>
      </c>
      <c r="R213">
        <f t="shared" si="26"/>
        <v>1.0763157894736841</v>
      </c>
      <c r="S213">
        <f t="shared" si="19"/>
        <v>1.0763157894736841</v>
      </c>
      <c r="T213">
        <f t="shared" si="20"/>
        <v>-1.0763157894736841</v>
      </c>
      <c r="U213" s="65">
        <f t="shared" si="25"/>
        <v>72.869389213775221</v>
      </c>
      <c r="W213">
        <v>704.7</v>
      </c>
      <c r="X213">
        <f t="shared" si="23"/>
        <v>100288.59999999993</v>
      </c>
      <c r="Y213">
        <f t="shared" si="24"/>
        <v>12432.800000000003</v>
      </c>
      <c r="Z213">
        <v>10.477483921182762</v>
      </c>
      <c r="AB213" s="2" t="s">
        <v>67</v>
      </c>
    </row>
    <row r="214" spans="1:30" x14ac:dyDescent="0.25">
      <c r="A214">
        <v>5320</v>
      </c>
      <c r="B214">
        <v>23210</v>
      </c>
      <c r="C214" s="1">
        <v>42791</v>
      </c>
      <c r="F214" s="54"/>
      <c r="G214">
        <v>4.2</v>
      </c>
      <c r="H214">
        <v>-1.8</v>
      </c>
      <c r="I214">
        <v>10</v>
      </c>
      <c r="J214">
        <f t="shared" si="21"/>
        <v>1413.7000000000003</v>
      </c>
      <c r="K214">
        <f t="shared" si="22"/>
        <v>195</v>
      </c>
      <c r="M214" s="64">
        <v>0</v>
      </c>
      <c r="N214">
        <v>1.5</v>
      </c>
      <c r="O214">
        <f t="shared" si="27"/>
        <v>-1.5</v>
      </c>
      <c r="Q214">
        <v>178</v>
      </c>
      <c r="R214">
        <f t="shared" si="26"/>
        <v>1.0789473684210527</v>
      </c>
      <c r="S214">
        <f t="shared" si="19"/>
        <v>1.618421052631579</v>
      </c>
      <c r="T214">
        <f t="shared" si="20"/>
        <v>-1.618421052631579</v>
      </c>
      <c r="U214" s="65">
        <f t="shared" si="25"/>
        <v>71.250968161143646</v>
      </c>
      <c r="W214">
        <v>1299.7</v>
      </c>
      <c r="X214">
        <f t="shared" si="23"/>
        <v>101588.29999999993</v>
      </c>
      <c r="Y214">
        <f t="shared" si="24"/>
        <v>13732.500000000004</v>
      </c>
      <c r="Z214">
        <v>10.534112698748672</v>
      </c>
      <c r="AB214">
        <v>0</v>
      </c>
    </row>
    <row r="215" spans="1:30" x14ac:dyDescent="0.25">
      <c r="A215">
        <v>5320</v>
      </c>
      <c r="B215">
        <v>23210</v>
      </c>
      <c r="C215" s="1">
        <v>42792</v>
      </c>
      <c r="F215" s="54"/>
      <c r="G215">
        <v>7.9</v>
      </c>
      <c r="H215">
        <v>1.9</v>
      </c>
      <c r="I215">
        <v>10.8</v>
      </c>
      <c r="J215">
        <f t="shared" si="21"/>
        <v>1421.6000000000004</v>
      </c>
      <c r="K215">
        <f t="shared" si="22"/>
        <v>202.9</v>
      </c>
      <c r="M215" s="64">
        <v>0</v>
      </c>
      <c r="N215">
        <v>0.3</v>
      </c>
      <c r="O215">
        <f t="shared" si="27"/>
        <v>-0.3</v>
      </c>
      <c r="Q215">
        <v>179</v>
      </c>
      <c r="R215">
        <f t="shared" si="26"/>
        <v>1.081578947368421</v>
      </c>
      <c r="S215">
        <f t="shared" si="19"/>
        <v>0.3244736842105263</v>
      </c>
      <c r="T215">
        <f t="shared" si="20"/>
        <v>-0.3244736842105263</v>
      </c>
      <c r="U215" s="65">
        <f t="shared" si="25"/>
        <v>70.926494476933115</v>
      </c>
      <c r="W215">
        <v>171.9</v>
      </c>
      <c r="X215">
        <f t="shared" si="23"/>
        <v>101760.19999999992</v>
      </c>
      <c r="Y215">
        <f t="shared" si="24"/>
        <v>13904.400000000003</v>
      </c>
      <c r="Z215">
        <v>10.590982747993312</v>
      </c>
      <c r="AB215" s="2" t="s">
        <v>68</v>
      </c>
    </row>
    <row r="216" spans="1:30" s="58" customFormat="1" x14ac:dyDescent="0.25">
      <c r="A216" s="58">
        <v>5320</v>
      </c>
      <c r="B216" s="58">
        <v>23210</v>
      </c>
      <c r="C216" s="59">
        <v>42793</v>
      </c>
      <c r="D216" s="58" t="s">
        <v>61</v>
      </c>
      <c r="F216" s="54"/>
      <c r="G216" s="58">
        <v>8.5</v>
      </c>
      <c r="H216" s="58">
        <v>6.5</v>
      </c>
      <c r="I216" s="58">
        <v>10.8</v>
      </c>
      <c r="J216" s="58">
        <f t="shared" si="21"/>
        <v>1430.1000000000004</v>
      </c>
      <c r="K216" s="58">
        <f t="shared" si="22"/>
        <v>211.4</v>
      </c>
      <c r="M216" s="58">
        <v>10.1</v>
      </c>
      <c r="N216" s="58">
        <v>1.1000000000000001</v>
      </c>
      <c r="O216" s="58">
        <f t="shared" si="27"/>
        <v>9</v>
      </c>
      <c r="Q216" s="58">
        <v>180</v>
      </c>
      <c r="R216" s="58">
        <f t="shared" si="26"/>
        <v>1.0842105263157895</v>
      </c>
      <c r="S216" s="58">
        <f t="shared" si="19"/>
        <v>1.1926315789473685</v>
      </c>
      <c r="T216" s="58">
        <f t="shared" si="20"/>
        <v>8.9073684210526309</v>
      </c>
      <c r="U216" s="60">
        <f t="shared" si="25"/>
        <v>79.833862897985739</v>
      </c>
      <c r="W216" s="58">
        <v>237.4</v>
      </c>
      <c r="X216" s="58">
        <f t="shared" si="23"/>
        <v>101997.59999999992</v>
      </c>
      <c r="Y216" s="58">
        <f t="shared" si="24"/>
        <v>14141.800000000003</v>
      </c>
      <c r="Z216" s="58">
        <v>10.648081605589052</v>
      </c>
      <c r="AB216" s="58">
        <f>SUM(M217:M226)</f>
        <v>48.800000000000004</v>
      </c>
    </row>
    <row r="217" spans="1:30" x14ac:dyDescent="0.25">
      <c r="A217">
        <v>5320</v>
      </c>
      <c r="B217">
        <v>23210</v>
      </c>
      <c r="C217" s="1">
        <v>42794</v>
      </c>
      <c r="F217" s="54"/>
      <c r="G217">
        <v>5.7</v>
      </c>
      <c r="H217">
        <v>4.5999999999999996</v>
      </c>
      <c r="I217">
        <v>6.7</v>
      </c>
      <c r="J217">
        <f t="shared" si="21"/>
        <v>1435.8000000000004</v>
      </c>
      <c r="K217">
        <f t="shared" si="22"/>
        <v>217.1</v>
      </c>
      <c r="M217" s="64">
        <v>3.8</v>
      </c>
      <c r="N217">
        <v>1</v>
      </c>
      <c r="O217">
        <f t="shared" si="27"/>
        <v>2.8</v>
      </c>
      <c r="Q217">
        <v>181</v>
      </c>
      <c r="R217">
        <f t="shared" si="26"/>
        <v>1.0868421052631578</v>
      </c>
      <c r="S217">
        <f t="shared" si="19"/>
        <v>1.0868421052631578</v>
      </c>
      <c r="T217">
        <f t="shared" si="20"/>
        <v>2.7131578947368418</v>
      </c>
      <c r="U217" s="65">
        <f t="shared" si="25"/>
        <v>82.547020792722577</v>
      </c>
      <c r="W217">
        <v>273.89999999999998</v>
      </c>
      <c r="X217">
        <f t="shared" si="23"/>
        <v>102271.49999999991</v>
      </c>
      <c r="Y217">
        <f t="shared" si="24"/>
        <v>14415.700000000003</v>
      </c>
      <c r="Z217">
        <v>10.705397140096943</v>
      </c>
      <c r="AD217" s="2" t="s">
        <v>64</v>
      </c>
    </row>
    <row r="218" spans="1:30" x14ac:dyDescent="0.25">
      <c r="A218">
        <v>5320</v>
      </c>
      <c r="B218">
        <v>23210</v>
      </c>
      <c r="C218" s="1">
        <v>42795</v>
      </c>
      <c r="F218" s="54"/>
      <c r="G218">
        <v>8.3000000000000007</v>
      </c>
      <c r="H218">
        <v>5.8</v>
      </c>
      <c r="I218">
        <v>10.8</v>
      </c>
      <c r="J218">
        <f t="shared" si="21"/>
        <v>1444.1000000000004</v>
      </c>
      <c r="K218">
        <f t="shared" si="22"/>
        <v>225.4</v>
      </c>
      <c r="M218" s="64">
        <v>8.3000000000000007</v>
      </c>
      <c r="N218">
        <v>0.7</v>
      </c>
      <c r="O218">
        <f t="shared" si="27"/>
        <v>7.6000000000000005</v>
      </c>
      <c r="Q218">
        <v>182</v>
      </c>
      <c r="R218">
        <f t="shared" si="26"/>
        <v>1.0894736842105264</v>
      </c>
      <c r="S218">
        <f t="shared" si="19"/>
        <v>0.76263157894736844</v>
      </c>
      <c r="T218">
        <f t="shared" si="20"/>
        <v>7.5373684210526326</v>
      </c>
      <c r="U218" s="65">
        <f t="shared" si="25"/>
        <v>90.084389213775211</v>
      </c>
      <c r="W218">
        <v>297.2</v>
      </c>
      <c r="X218">
        <f t="shared" si="23"/>
        <v>102568.69999999991</v>
      </c>
      <c r="Y218">
        <f t="shared" si="24"/>
        <v>14712.900000000003</v>
      </c>
      <c r="Z218">
        <v>10.762917541021995</v>
      </c>
      <c r="AD218" s="14">
        <f>(AB197*(45/67))+(AB208*(22/67))</f>
        <v>82.404758981478068</v>
      </c>
    </row>
    <row r="219" spans="1:30" x14ac:dyDescent="0.25">
      <c r="A219">
        <v>5320</v>
      </c>
      <c r="B219">
        <v>23210</v>
      </c>
      <c r="C219" s="1">
        <v>42796</v>
      </c>
      <c r="F219" s="54"/>
      <c r="G219">
        <v>6.8</v>
      </c>
      <c r="H219">
        <v>3.3</v>
      </c>
      <c r="I219">
        <v>10.3</v>
      </c>
      <c r="J219">
        <f t="shared" si="21"/>
        <v>1450.9000000000003</v>
      </c>
      <c r="K219">
        <f t="shared" si="22"/>
        <v>232.20000000000002</v>
      </c>
      <c r="M219" s="64">
        <v>0</v>
      </c>
      <c r="N219">
        <v>1.1000000000000001</v>
      </c>
      <c r="O219">
        <f t="shared" si="27"/>
        <v>-1.1000000000000001</v>
      </c>
      <c r="Q219">
        <v>183</v>
      </c>
      <c r="R219">
        <f t="shared" si="26"/>
        <v>1.0921052631578947</v>
      </c>
      <c r="S219">
        <f t="shared" si="19"/>
        <v>1.2013157894736843</v>
      </c>
      <c r="T219">
        <f t="shared" si="20"/>
        <v>-1.2013157894736843</v>
      </c>
      <c r="U219" s="65">
        <f t="shared" si="25"/>
        <v>88.883073424301529</v>
      </c>
      <c r="W219">
        <v>823.7</v>
      </c>
      <c r="X219">
        <f t="shared" si="23"/>
        <v>103392.39999999991</v>
      </c>
      <c r="Y219">
        <f t="shared" si="24"/>
        <v>15536.600000000004</v>
      </c>
      <c r="Z219">
        <v>10.82063130741725</v>
      </c>
      <c r="AD219" s="2" t="s">
        <v>65</v>
      </c>
    </row>
    <row r="220" spans="1:30" x14ac:dyDescent="0.25">
      <c r="A220">
        <v>5320</v>
      </c>
      <c r="B220">
        <v>23210</v>
      </c>
      <c r="C220" s="1">
        <v>42797</v>
      </c>
      <c r="F220" s="54"/>
      <c r="G220">
        <v>10.3</v>
      </c>
      <c r="H220">
        <v>6</v>
      </c>
      <c r="I220">
        <v>13.3</v>
      </c>
      <c r="J220">
        <f t="shared" si="21"/>
        <v>1461.2000000000003</v>
      </c>
      <c r="K220">
        <f t="shared" si="22"/>
        <v>242.50000000000003</v>
      </c>
      <c r="M220" s="64">
        <v>9.6</v>
      </c>
      <c r="N220">
        <v>1.6</v>
      </c>
      <c r="O220">
        <f t="shared" si="27"/>
        <v>8</v>
      </c>
      <c r="Q220">
        <v>184</v>
      </c>
      <c r="R220">
        <f t="shared" si="26"/>
        <v>1.094736842105263</v>
      </c>
      <c r="S220">
        <f t="shared" si="19"/>
        <v>1.7515789473684209</v>
      </c>
      <c r="T220">
        <f t="shared" si="20"/>
        <v>7.8484210526315792</v>
      </c>
      <c r="U220" s="65">
        <f t="shared" si="25"/>
        <v>96.731494476933108</v>
      </c>
      <c r="W220">
        <v>1010</v>
      </c>
      <c r="X220">
        <f t="shared" si="23"/>
        <v>104402.39999999991</v>
      </c>
      <c r="Y220">
        <f t="shared" si="24"/>
        <v>16546.600000000006</v>
      </c>
      <c r="Z220">
        <v>10.878527236074037</v>
      </c>
      <c r="AD220" s="29">
        <f>(AB199*(45/67))+(AB210*(22/67))</f>
        <v>3.6716417910447765</v>
      </c>
    </row>
    <row r="221" spans="1:30" x14ac:dyDescent="0.25">
      <c r="A221">
        <v>5320</v>
      </c>
      <c r="B221">
        <v>23210</v>
      </c>
      <c r="C221" s="1">
        <v>42798</v>
      </c>
      <c r="F221" s="54"/>
      <c r="G221">
        <v>7.6</v>
      </c>
      <c r="H221">
        <v>7</v>
      </c>
      <c r="I221">
        <v>8.6</v>
      </c>
      <c r="J221">
        <f t="shared" si="21"/>
        <v>1468.8000000000002</v>
      </c>
      <c r="K221">
        <f t="shared" si="22"/>
        <v>250.10000000000002</v>
      </c>
      <c r="M221" s="64">
        <v>5.3</v>
      </c>
      <c r="N221">
        <v>0.5</v>
      </c>
      <c r="O221">
        <f t="shared" si="27"/>
        <v>4.8</v>
      </c>
      <c r="Q221">
        <v>185</v>
      </c>
      <c r="R221">
        <f t="shared" si="26"/>
        <v>1.0973684210526315</v>
      </c>
      <c r="S221">
        <f t="shared" si="19"/>
        <v>0.54868421052631577</v>
      </c>
      <c r="T221">
        <f t="shared" si="20"/>
        <v>4.7513157894736837</v>
      </c>
      <c r="U221" s="65">
        <f t="shared" si="25"/>
        <v>101.48281026640679</v>
      </c>
      <c r="W221">
        <v>396</v>
      </c>
      <c r="X221">
        <f t="shared" si="23"/>
        <v>104798.39999999991</v>
      </c>
      <c r="Y221">
        <f t="shared" si="24"/>
        <v>16942.600000000006</v>
      </c>
      <c r="Z221">
        <v>10.936594409333525</v>
      </c>
      <c r="AD221" s="2" t="s">
        <v>66</v>
      </c>
    </row>
    <row r="222" spans="1:30" x14ac:dyDescent="0.25">
      <c r="A222">
        <v>5320</v>
      </c>
      <c r="B222">
        <v>23210</v>
      </c>
      <c r="C222" s="1">
        <v>42799</v>
      </c>
      <c r="F222" s="54"/>
      <c r="G222">
        <v>7.1</v>
      </c>
      <c r="H222">
        <v>5</v>
      </c>
      <c r="I222">
        <v>9.6999999999999993</v>
      </c>
      <c r="J222">
        <f t="shared" si="21"/>
        <v>1475.9</v>
      </c>
      <c r="K222">
        <f t="shared" si="22"/>
        <v>257.20000000000005</v>
      </c>
      <c r="M222" s="64">
        <v>10.6</v>
      </c>
      <c r="N222">
        <v>1.1000000000000001</v>
      </c>
      <c r="O222">
        <f t="shared" si="27"/>
        <v>9.5</v>
      </c>
      <c r="Q222">
        <v>186</v>
      </c>
      <c r="R222">
        <f t="shared" si="26"/>
        <v>1.0999999999999999</v>
      </c>
      <c r="S222">
        <f t="shared" si="19"/>
        <v>1.21</v>
      </c>
      <c r="T222">
        <f t="shared" si="20"/>
        <v>9.39</v>
      </c>
      <c r="U222" s="65">
        <f t="shared" si="25"/>
        <v>110.87281026640679</v>
      </c>
      <c r="W222">
        <v>333.8</v>
      </c>
      <c r="X222">
        <f t="shared" si="23"/>
        <v>105132.19999999991</v>
      </c>
      <c r="Y222">
        <f t="shared" si="24"/>
        <v>17276.400000000005</v>
      </c>
      <c r="Z222">
        <v>10.994822182552422</v>
      </c>
      <c r="AD222" s="29">
        <f>(AB201*(45/67))+(AB212*(22/67))</f>
        <v>4.6865671641791051</v>
      </c>
    </row>
    <row r="223" spans="1:30" x14ac:dyDescent="0.25">
      <c r="A223">
        <v>5320</v>
      </c>
      <c r="B223">
        <v>23210</v>
      </c>
      <c r="C223" s="1">
        <v>42800</v>
      </c>
      <c r="F223" s="54"/>
      <c r="G223">
        <v>6.8</v>
      </c>
      <c r="H223">
        <v>5.9</v>
      </c>
      <c r="I223">
        <v>8.1999999999999993</v>
      </c>
      <c r="J223">
        <f t="shared" si="21"/>
        <v>1482.7</v>
      </c>
      <c r="K223">
        <f t="shared" si="22"/>
        <v>264.00000000000006</v>
      </c>
      <c r="M223" s="64">
        <v>8.3000000000000007</v>
      </c>
      <c r="N223">
        <v>0.8</v>
      </c>
      <c r="O223">
        <f t="shared" si="27"/>
        <v>7.5000000000000009</v>
      </c>
      <c r="Q223">
        <v>187</v>
      </c>
      <c r="R223">
        <f t="shared" si="26"/>
        <v>1.1026315789473684</v>
      </c>
      <c r="S223">
        <f t="shared" si="19"/>
        <v>0.88210526315789473</v>
      </c>
      <c r="T223">
        <f t="shared" si="20"/>
        <v>7.417894736842106</v>
      </c>
      <c r="U223" s="65">
        <f t="shared" si="25"/>
        <v>118.29070500324889</v>
      </c>
      <c r="W223">
        <v>289.2</v>
      </c>
      <c r="X223">
        <f t="shared" si="23"/>
        <v>105421.39999999991</v>
      </c>
      <c r="Y223">
        <f t="shared" si="24"/>
        <v>17565.600000000006</v>
      </c>
      <c r="Z223">
        <v>11.053200171253758</v>
      </c>
      <c r="AD223" s="2" t="s">
        <v>67</v>
      </c>
    </row>
    <row r="224" spans="1:30" x14ac:dyDescent="0.25">
      <c r="A224">
        <v>5320</v>
      </c>
      <c r="B224">
        <v>23210</v>
      </c>
      <c r="C224" s="1">
        <v>42801</v>
      </c>
      <c r="F224" s="54"/>
      <c r="G224">
        <v>6.7</v>
      </c>
      <c r="H224">
        <v>5</v>
      </c>
      <c r="I224">
        <v>8.3000000000000007</v>
      </c>
      <c r="J224">
        <f t="shared" si="21"/>
        <v>1489.4</v>
      </c>
      <c r="K224">
        <f t="shared" si="22"/>
        <v>270.70000000000005</v>
      </c>
      <c r="M224" s="64">
        <v>2.5</v>
      </c>
      <c r="N224">
        <v>0.8</v>
      </c>
      <c r="O224">
        <f t="shared" si="27"/>
        <v>1.7</v>
      </c>
      <c r="Q224">
        <v>188</v>
      </c>
      <c r="R224">
        <f t="shared" si="26"/>
        <v>1.1052631578947367</v>
      </c>
      <c r="S224">
        <f t="shared" si="19"/>
        <v>0.88421052631578945</v>
      </c>
      <c r="T224">
        <f t="shared" si="20"/>
        <v>1.6157894736842104</v>
      </c>
      <c r="U224" s="65">
        <f t="shared" si="25"/>
        <v>119.9064944769331</v>
      </c>
      <c r="W224">
        <v>241.5</v>
      </c>
      <c r="X224">
        <f t="shared" si="23"/>
        <v>105662.89999999991</v>
      </c>
      <c r="Y224">
        <f t="shared" si="24"/>
        <v>17807.100000000006</v>
      </c>
      <c r="Z224">
        <v>11.111718237991427</v>
      </c>
      <c r="AD224">
        <f>(AB203*(45/67))+(AB214*(22/67))</f>
        <v>0</v>
      </c>
    </row>
    <row r="225" spans="1:30" x14ac:dyDescent="0.25">
      <c r="A225">
        <v>5320</v>
      </c>
      <c r="B225">
        <v>23210</v>
      </c>
      <c r="C225" s="1">
        <v>42802</v>
      </c>
      <c r="F225" s="54"/>
      <c r="G225">
        <v>10.1</v>
      </c>
      <c r="H225">
        <v>6.1</v>
      </c>
      <c r="I225">
        <v>12.4</v>
      </c>
      <c r="J225">
        <f t="shared" si="21"/>
        <v>1499.5</v>
      </c>
      <c r="K225">
        <f t="shared" si="22"/>
        <v>280.80000000000007</v>
      </c>
      <c r="M225" s="64">
        <v>0</v>
      </c>
      <c r="N225">
        <v>0.3</v>
      </c>
      <c r="O225">
        <f t="shared" si="27"/>
        <v>-0.3</v>
      </c>
      <c r="Q225">
        <v>189</v>
      </c>
      <c r="R225">
        <f t="shared" si="26"/>
        <v>1.1078947368421053</v>
      </c>
      <c r="S225">
        <f t="shared" si="19"/>
        <v>0.33236842105263159</v>
      </c>
      <c r="T225">
        <f t="shared" si="20"/>
        <v>-0.33236842105263159</v>
      </c>
      <c r="U225" s="65">
        <f t="shared" si="25"/>
        <v>119.57412605588047</v>
      </c>
      <c r="W225">
        <v>238.3</v>
      </c>
      <c r="X225">
        <f t="shared" si="23"/>
        <v>105901.19999999991</v>
      </c>
      <c r="Y225">
        <f t="shared" si="24"/>
        <v>18045.400000000005</v>
      </c>
      <c r="Z225">
        <v>11.170366478955442</v>
      </c>
      <c r="AD225" s="2" t="s">
        <v>68</v>
      </c>
    </row>
    <row r="226" spans="1:30" x14ac:dyDescent="0.25">
      <c r="A226">
        <v>5320</v>
      </c>
      <c r="B226">
        <v>23210</v>
      </c>
      <c r="C226" s="1">
        <v>42803</v>
      </c>
      <c r="F226" s="54"/>
      <c r="G226">
        <v>12.1</v>
      </c>
      <c r="H226">
        <v>10.4</v>
      </c>
      <c r="I226">
        <v>13.6</v>
      </c>
      <c r="J226">
        <f t="shared" si="21"/>
        <v>1511.6</v>
      </c>
      <c r="K226">
        <f t="shared" si="22"/>
        <v>292.90000000000009</v>
      </c>
      <c r="M226" s="64">
        <v>0.4</v>
      </c>
      <c r="N226">
        <v>0.9</v>
      </c>
      <c r="O226">
        <f t="shared" si="27"/>
        <v>-0.5</v>
      </c>
      <c r="Q226">
        <v>190</v>
      </c>
      <c r="R226">
        <f t="shared" si="26"/>
        <v>1.1105263157894736</v>
      </c>
      <c r="S226">
        <f t="shared" si="19"/>
        <v>0.99947368421052629</v>
      </c>
      <c r="T226">
        <f t="shared" si="20"/>
        <v>-0.59947368421052627</v>
      </c>
      <c r="U226" s="65">
        <f t="shared" si="25"/>
        <v>118.97465237166995</v>
      </c>
      <c r="W226">
        <v>327.9</v>
      </c>
      <c r="X226">
        <f t="shared" si="23"/>
        <v>106229.0999999999</v>
      </c>
      <c r="Y226">
        <f t="shared" si="24"/>
        <v>18373.300000000007</v>
      </c>
      <c r="Z226">
        <v>11.229135210342847</v>
      </c>
      <c r="AD226" s="29">
        <f>(AB205*(45/67))+(AB216*(22/67))</f>
        <v>23.814925373134329</v>
      </c>
    </row>
    <row r="227" spans="1:30" x14ac:dyDescent="0.25">
      <c r="A227">
        <v>5320</v>
      </c>
      <c r="B227">
        <v>23210</v>
      </c>
      <c r="C227" s="1">
        <v>42804</v>
      </c>
      <c r="F227" s="54"/>
      <c r="G227">
        <v>11</v>
      </c>
      <c r="H227">
        <v>10.7</v>
      </c>
      <c r="I227">
        <v>13.2</v>
      </c>
      <c r="J227">
        <f t="shared" si="21"/>
        <v>1522.6</v>
      </c>
      <c r="K227">
        <f t="shared" si="22"/>
        <v>303.90000000000009</v>
      </c>
      <c r="M227">
        <v>0.2</v>
      </c>
      <c r="N227">
        <v>0.9</v>
      </c>
      <c r="O227">
        <f t="shared" si="27"/>
        <v>-0.7</v>
      </c>
      <c r="Q227">
        <v>191</v>
      </c>
      <c r="R227">
        <f t="shared" si="26"/>
        <v>1.1131578947368421</v>
      </c>
      <c r="S227">
        <f t="shared" si="19"/>
        <v>1.0018421052631579</v>
      </c>
      <c r="T227">
        <f t="shared" si="20"/>
        <v>-0.80184210526315791</v>
      </c>
      <c r="U227" s="14">
        <f t="shared" si="25"/>
        <v>118.17281026640678</v>
      </c>
      <c r="W227">
        <v>481.7</v>
      </c>
      <c r="X227">
        <f t="shared" si="23"/>
        <v>106710.7999999999</v>
      </c>
      <c r="Y227">
        <f t="shared" si="24"/>
        <v>18855.000000000007</v>
      </c>
      <c r="Z227">
        <v>11.288014954517621</v>
      </c>
    </row>
    <row r="228" spans="1:30" x14ac:dyDescent="0.25">
      <c r="A228">
        <v>5320</v>
      </c>
      <c r="B228">
        <v>23210</v>
      </c>
      <c r="C228" s="1">
        <v>42805</v>
      </c>
      <c r="F228" s="54"/>
      <c r="G228">
        <v>9.8000000000000007</v>
      </c>
      <c r="H228">
        <v>3.4</v>
      </c>
      <c r="I228">
        <v>14.4</v>
      </c>
      <c r="J228">
        <f t="shared" si="21"/>
        <v>1532.3999999999999</v>
      </c>
      <c r="K228">
        <f t="shared" si="22"/>
        <v>313.7000000000001</v>
      </c>
      <c r="M228">
        <v>0</v>
      </c>
      <c r="N228">
        <v>1.2</v>
      </c>
      <c r="O228">
        <f t="shared" si="27"/>
        <v>-1.2</v>
      </c>
      <c r="Q228">
        <v>192</v>
      </c>
      <c r="R228">
        <f t="shared" si="26"/>
        <v>1.1157894736842104</v>
      </c>
      <c r="S228">
        <f t="shared" si="19"/>
        <v>1.3389473684210524</v>
      </c>
      <c r="T228">
        <f t="shared" si="20"/>
        <v>-1.3389473684210524</v>
      </c>
      <c r="U228" s="14">
        <f t="shared" si="25"/>
        <v>116.83386289798574</v>
      </c>
      <c r="W228">
        <v>1157.9000000000001</v>
      </c>
      <c r="X228">
        <f t="shared" si="23"/>
        <v>107868.6999999999</v>
      </c>
      <c r="Y228">
        <f t="shared" si="24"/>
        <v>20012.900000000009</v>
      </c>
      <c r="Z228">
        <v>11.346996425981104</v>
      </c>
    </row>
    <row r="229" spans="1:30" x14ac:dyDescent="0.25">
      <c r="A229">
        <v>5320</v>
      </c>
      <c r="B229">
        <v>23210</v>
      </c>
      <c r="C229" s="1">
        <v>42806</v>
      </c>
      <c r="F229" s="54"/>
      <c r="G229">
        <v>10.9</v>
      </c>
      <c r="H229">
        <v>6.6</v>
      </c>
      <c r="I229">
        <v>15.3</v>
      </c>
      <c r="J229">
        <f t="shared" si="21"/>
        <v>1543.3</v>
      </c>
      <c r="K229">
        <f t="shared" si="22"/>
        <v>324.60000000000008</v>
      </c>
      <c r="M229">
        <v>0</v>
      </c>
      <c r="N229">
        <v>1</v>
      </c>
      <c r="O229">
        <f t="shared" si="27"/>
        <v>-1</v>
      </c>
      <c r="Q229">
        <v>193</v>
      </c>
      <c r="R229">
        <f t="shared" si="26"/>
        <v>1.118421052631579</v>
      </c>
      <c r="S229">
        <f t="shared" si="19"/>
        <v>1.118421052631579</v>
      </c>
      <c r="T229">
        <f t="shared" si="20"/>
        <v>-1.118421052631579</v>
      </c>
      <c r="U229" s="14">
        <f t="shared" si="25"/>
        <v>115.71544184535416</v>
      </c>
      <c r="W229">
        <v>390.4</v>
      </c>
      <c r="X229">
        <f t="shared" si="23"/>
        <v>108259.09999999989</v>
      </c>
      <c r="Y229">
        <f t="shared" si="24"/>
        <v>20403.30000000001</v>
      </c>
      <c r="Z229">
        <v>11.406070517173081</v>
      </c>
    </row>
    <row r="230" spans="1:30" x14ac:dyDescent="0.25">
      <c r="A230">
        <v>5320</v>
      </c>
      <c r="B230">
        <v>23210</v>
      </c>
      <c r="C230" s="1">
        <v>42807</v>
      </c>
      <c r="F230" s="54"/>
      <c r="G230">
        <v>10.3</v>
      </c>
      <c r="H230">
        <v>6.8</v>
      </c>
      <c r="I230">
        <v>13.6</v>
      </c>
      <c r="J230">
        <f t="shared" si="21"/>
        <v>1553.6</v>
      </c>
      <c r="K230">
        <f t="shared" si="22"/>
        <v>334.90000000000009</v>
      </c>
      <c r="M230">
        <v>0</v>
      </c>
      <c r="N230">
        <v>1</v>
      </c>
      <c r="O230">
        <f t="shared" si="27"/>
        <v>-1</v>
      </c>
      <c r="Q230">
        <v>194</v>
      </c>
      <c r="R230">
        <f t="shared" si="26"/>
        <v>1.1210526315789473</v>
      </c>
      <c r="S230">
        <f t="shared" ref="S230:S293" si="28">R230*N230</f>
        <v>1.1210526315789473</v>
      </c>
      <c r="T230">
        <f t="shared" ref="T230:T293" si="29">M230-S230</f>
        <v>-1.1210526315789473</v>
      </c>
      <c r="U230" s="14">
        <f t="shared" si="25"/>
        <v>114.59438921377522</v>
      </c>
      <c r="W230">
        <v>762.2</v>
      </c>
      <c r="X230">
        <f t="shared" si="23"/>
        <v>109021.29999999989</v>
      </c>
      <c r="Y230">
        <f t="shared" si="24"/>
        <v>21165.500000000011</v>
      </c>
      <c r="Z230">
        <v>11.465228284122091</v>
      </c>
    </row>
    <row r="231" spans="1:30" x14ac:dyDescent="0.25">
      <c r="A231">
        <v>5320</v>
      </c>
      <c r="B231">
        <v>23210</v>
      </c>
      <c r="C231" s="1">
        <v>42808</v>
      </c>
      <c r="F231" s="54"/>
      <c r="G231">
        <v>9.1</v>
      </c>
      <c r="H231">
        <v>4</v>
      </c>
      <c r="I231">
        <v>13</v>
      </c>
      <c r="J231">
        <f t="shared" ref="J231:J294" si="30">J230+G231</f>
        <v>1562.6999999999998</v>
      </c>
      <c r="K231">
        <f t="shared" ref="K231:K294" si="31">K230+G231</f>
        <v>344.00000000000011</v>
      </c>
      <c r="M231">
        <v>0</v>
      </c>
      <c r="N231">
        <v>1.9</v>
      </c>
      <c r="O231">
        <f t="shared" si="27"/>
        <v>-1.9</v>
      </c>
      <c r="Q231">
        <v>195</v>
      </c>
      <c r="R231">
        <f t="shared" si="26"/>
        <v>1.1236842105263156</v>
      </c>
      <c r="S231">
        <f t="shared" si="28"/>
        <v>2.1349999999999998</v>
      </c>
      <c r="T231">
        <f t="shared" si="29"/>
        <v>-2.1349999999999998</v>
      </c>
      <c r="U231" s="14">
        <f t="shared" si="25"/>
        <v>112.45938921377521</v>
      </c>
      <c r="W231">
        <v>1652.8</v>
      </c>
      <c r="X231">
        <f t="shared" ref="X231:X294" si="32">X230+W231</f>
        <v>110674.09999999989</v>
      </c>
      <c r="Y231">
        <f t="shared" ref="Y231:Y294" si="33">Y230+W231</f>
        <v>22818.30000000001</v>
      </c>
      <c r="Z231">
        <v>11.524460931962292</v>
      </c>
    </row>
    <row r="232" spans="1:30" x14ac:dyDescent="0.25">
      <c r="A232">
        <v>5320</v>
      </c>
      <c r="B232">
        <v>23210</v>
      </c>
      <c r="C232" s="1">
        <v>42809</v>
      </c>
      <c r="F232" s="54"/>
      <c r="G232">
        <v>9.3000000000000007</v>
      </c>
      <c r="H232">
        <v>5.9</v>
      </c>
      <c r="I232">
        <v>12</v>
      </c>
      <c r="J232">
        <f t="shared" si="30"/>
        <v>1571.9999999999998</v>
      </c>
      <c r="K232">
        <f t="shared" si="31"/>
        <v>353.30000000000013</v>
      </c>
      <c r="M232">
        <v>0</v>
      </c>
      <c r="N232">
        <v>0.6</v>
      </c>
      <c r="O232">
        <f t="shared" si="27"/>
        <v>-0.6</v>
      </c>
      <c r="Q232">
        <v>196</v>
      </c>
      <c r="R232">
        <f t="shared" si="26"/>
        <v>1.1263157894736842</v>
      </c>
      <c r="S232">
        <f t="shared" si="28"/>
        <v>0.6757894736842105</v>
      </c>
      <c r="T232">
        <f t="shared" si="29"/>
        <v>-0.6757894736842105</v>
      </c>
      <c r="U232" s="14">
        <f t="shared" ref="U232:U295" si="34">MIN(U231+T232,138.9)</f>
        <v>111.78359974009101</v>
      </c>
      <c r="W232">
        <v>554.70000000000005</v>
      </c>
      <c r="X232">
        <f t="shared" si="32"/>
        <v>111228.79999999989</v>
      </c>
      <c r="Y232">
        <f t="shared" si="33"/>
        <v>23373.000000000011</v>
      </c>
      <c r="Z232">
        <v>11.583759800332889</v>
      </c>
    </row>
    <row r="233" spans="1:30" x14ac:dyDescent="0.25">
      <c r="A233">
        <v>5320</v>
      </c>
      <c r="B233">
        <v>23210</v>
      </c>
      <c r="C233" s="1">
        <v>42810</v>
      </c>
      <c r="F233" s="54"/>
      <c r="G233">
        <v>11.9</v>
      </c>
      <c r="H233">
        <v>5.0999999999999996</v>
      </c>
      <c r="I233">
        <v>17.600000000000001</v>
      </c>
      <c r="J233">
        <f t="shared" si="30"/>
        <v>1583.8999999999999</v>
      </c>
      <c r="K233">
        <f t="shared" si="31"/>
        <v>365.2000000000001</v>
      </c>
      <c r="M233">
        <v>0</v>
      </c>
      <c r="N233">
        <v>2.4</v>
      </c>
      <c r="O233">
        <f t="shared" si="27"/>
        <v>-2.4</v>
      </c>
      <c r="Q233">
        <v>197</v>
      </c>
      <c r="R233">
        <f t="shared" si="26"/>
        <v>1.1289473684210525</v>
      </c>
      <c r="S233">
        <f t="shared" si="28"/>
        <v>2.709473684210526</v>
      </c>
      <c r="T233">
        <f t="shared" si="29"/>
        <v>-2.709473684210526</v>
      </c>
      <c r="U233" s="14">
        <f t="shared" si="34"/>
        <v>109.07412605588048</v>
      </c>
      <c r="W233">
        <v>1652</v>
      </c>
      <c r="X233">
        <f t="shared" si="32"/>
        <v>112880.79999999989</v>
      </c>
      <c r="Y233">
        <f t="shared" si="33"/>
        <v>25025.000000000011</v>
      </c>
      <c r="Z233">
        <v>11.643116348675104</v>
      </c>
    </row>
    <row r="234" spans="1:30" x14ac:dyDescent="0.25">
      <c r="A234">
        <v>5320</v>
      </c>
      <c r="B234">
        <v>23210</v>
      </c>
      <c r="C234" s="1">
        <v>42811</v>
      </c>
      <c r="F234" s="54"/>
      <c r="G234">
        <v>7.9</v>
      </c>
      <c r="H234">
        <v>6.6</v>
      </c>
      <c r="I234">
        <v>10.5</v>
      </c>
      <c r="J234">
        <f t="shared" si="30"/>
        <v>1591.8</v>
      </c>
      <c r="K234">
        <f t="shared" si="31"/>
        <v>373.10000000000008</v>
      </c>
      <c r="M234">
        <v>0</v>
      </c>
      <c r="N234">
        <v>1</v>
      </c>
      <c r="O234">
        <f t="shared" si="27"/>
        <v>-1</v>
      </c>
      <c r="Q234">
        <v>198</v>
      </c>
      <c r="R234">
        <f t="shared" si="26"/>
        <v>1.131578947368421</v>
      </c>
      <c r="S234">
        <f t="shared" si="28"/>
        <v>1.131578947368421</v>
      </c>
      <c r="T234">
        <f t="shared" si="29"/>
        <v>-1.131578947368421</v>
      </c>
      <c r="U234" s="14">
        <f t="shared" si="34"/>
        <v>107.94254710851206</v>
      </c>
      <c r="W234">
        <v>646.9</v>
      </c>
      <c r="X234">
        <f t="shared" si="32"/>
        <v>113527.69999999988</v>
      </c>
      <c r="Y234">
        <f t="shared" si="33"/>
        <v>25671.900000000012</v>
      </c>
      <c r="Z234">
        <v>11.702522141440607</v>
      </c>
    </row>
    <row r="235" spans="1:30" x14ac:dyDescent="0.25">
      <c r="A235">
        <v>5320</v>
      </c>
      <c r="B235">
        <v>23210</v>
      </c>
      <c r="C235" s="1">
        <v>42812</v>
      </c>
      <c r="F235" s="54"/>
      <c r="G235">
        <v>8.9</v>
      </c>
      <c r="H235">
        <v>4.9000000000000004</v>
      </c>
      <c r="I235">
        <v>12</v>
      </c>
      <c r="J235">
        <f t="shared" si="30"/>
        <v>1600.7</v>
      </c>
      <c r="K235">
        <f t="shared" si="31"/>
        <v>382.00000000000006</v>
      </c>
      <c r="M235">
        <v>0</v>
      </c>
      <c r="N235">
        <v>0.6</v>
      </c>
      <c r="O235">
        <f t="shared" si="27"/>
        <v>-0.6</v>
      </c>
      <c r="Q235">
        <v>199</v>
      </c>
      <c r="R235">
        <f t="shared" si="26"/>
        <v>1.1342105263157893</v>
      </c>
      <c r="S235">
        <f t="shared" si="28"/>
        <v>0.68052631578947353</v>
      </c>
      <c r="T235">
        <f t="shared" si="29"/>
        <v>-0.68052631578947353</v>
      </c>
      <c r="U235" s="14">
        <f t="shared" si="34"/>
        <v>107.26202079272258</v>
      </c>
      <c r="W235">
        <v>256.60000000000002</v>
      </c>
      <c r="X235">
        <f t="shared" si="32"/>
        <v>113784.29999999989</v>
      </c>
      <c r="Y235">
        <f t="shared" si="33"/>
        <v>25928.500000000011</v>
      </c>
      <c r="Z235">
        <v>11.761968833224401</v>
      </c>
    </row>
    <row r="236" spans="1:30" x14ac:dyDescent="0.25">
      <c r="A236">
        <v>5320</v>
      </c>
      <c r="B236">
        <v>23210</v>
      </c>
      <c r="C236" s="1">
        <v>42813</v>
      </c>
      <c r="F236" s="54"/>
      <c r="G236">
        <v>10.4</v>
      </c>
      <c r="H236">
        <v>9.5</v>
      </c>
      <c r="I236">
        <v>11.7</v>
      </c>
      <c r="J236">
        <f t="shared" si="30"/>
        <v>1611.1000000000001</v>
      </c>
      <c r="K236">
        <f t="shared" si="31"/>
        <v>392.40000000000003</v>
      </c>
      <c r="M236">
        <v>0</v>
      </c>
      <c r="N236">
        <v>1</v>
      </c>
      <c r="O236">
        <f t="shared" si="27"/>
        <v>-1</v>
      </c>
      <c r="Q236">
        <v>200</v>
      </c>
      <c r="R236">
        <f t="shared" si="26"/>
        <v>1.1368421052631579</v>
      </c>
      <c r="S236">
        <f t="shared" si="28"/>
        <v>1.1368421052631579</v>
      </c>
      <c r="T236">
        <f t="shared" si="29"/>
        <v>-1.1368421052631579</v>
      </c>
      <c r="U236" s="14">
        <f t="shared" si="34"/>
        <v>106.12517868745942</v>
      </c>
      <c r="W236">
        <v>337.2</v>
      </c>
      <c r="X236">
        <f t="shared" si="32"/>
        <v>114121.49999999988</v>
      </c>
      <c r="Y236">
        <f t="shared" si="33"/>
        <v>26265.700000000012</v>
      </c>
      <c r="Z236">
        <v>11.821448153834485</v>
      </c>
    </row>
    <row r="237" spans="1:30" x14ac:dyDescent="0.25">
      <c r="A237">
        <v>5320</v>
      </c>
      <c r="B237">
        <v>23210</v>
      </c>
      <c r="C237" s="1">
        <v>42814</v>
      </c>
      <c r="F237" s="54"/>
      <c r="G237">
        <v>9.9</v>
      </c>
      <c r="H237">
        <v>8.5</v>
      </c>
      <c r="I237">
        <v>11.6</v>
      </c>
      <c r="J237">
        <f t="shared" si="30"/>
        <v>1621.0000000000002</v>
      </c>
      <c r="K237">
        <f t="shared" si="31"/>
        <v>402.3</v>
      </c>
      <c r="M237">
        <v>0.2</v>
      </c>
      <c r="N237">
        <v>1.5</v>
      </c>
      <c r="O237">
        <f t="shared" si="27"/>
        <v>-1.3</v>
      </c>
      <c r="Q237">
        <v>201</v>
      </c>
      <c r="R237">
        <f t="shared" si="26"/>
        <v>1.1394736842105262</v>
      </c>
      <c r="S237">
        <f t="shared" si="28"/>
        <v>1.7092105263157893</v>
      </c>
      <c r="T237">
        <f t="shared" si="29"/>
        <v>-1.5092105263157893</v>
      </c>
      <c r="U237" s="14">
        <f t="shared" si="34"/>
        <v>104.61596816114364</v>
      </c>
      <c r="W237">
        <v>261.10000000000002</v>
      </c>
      <c r="X237">
        <f t="shared" si="32"/>
        <v>114382.59999999989</v>
      </c>
      <c r="Y237">
        <f t="shared" si="33"/>
        <v>26526.80000000001</v>
      </c>
      <c r="Z237">
        <v>11.88095189330979</v>
      </c>
    </row>
    <row r="238" spans="1:30" x14ac:dyDescent="0.25">
      <c r="A238">
        <v>5320</v>
      </c>
      <c r="B238">
        <v>23210</v>
      </c>
      <c r="C238" s="1">
        <v>42815</v>
      </c>
      <c r="F238" s="54"/>
      <c r="G238">
        <v>7.5</v>
      </c>
      <c r="H238">
        <v>6.8</v>
      </c>
      <c r="I238">
        <v>8.6</v>
      </c>
      <c r="J238">
        <f t="shared" si="30"/>
        <v>1628.5000000000002</v>
      </c>
      <c r="K238">
        <f t="shared" si="31"/>
        <v>409.8</v>
      </c>
      <c r="M238">
        <v>2.2000000000000002</v>
      </c>
      <c r="N238">
        <v>0.8</v>
      </c>
      <c r="O238">
        <f t="shared" si="27"/>
        <v>1.4000000000000001</v>
      </c>
      <c r="Q238">
        <v>202</v>
      </c>
      <c r="R238">
        <f t="shared" si="26"/>
        <v>1.1421052631578947</v>
      </c>
      <c r="S238">
        <f t="shared" si="28"/>
        <v>0.91368421052631588</v>
      </c>
      <c r="T238">
        <f t="shared" si="29"/>
        <v>1.2863157894736843</v>
      </c>
      <c r="U238" s="14">
        <f t="shared" si="34"/>
        <v>105.90228395061733</v>
      </c>
      <c r="W238">
        <v>963.2</v>
      </c>
      <c r="X238">
        <f t="shared" si="32"/>
        <v>115345.79999999989</v>
      </c>
      <c r="Y238">
        <f t="shared" si="33"/>
        <v>27490.000000000011</v>
      </c>
      <c r="Z238">
        <v>11.940471886897461</v>
      </c>
    </row>
    <row r="239" spans="1:30" x14ac:dyDescent="0.25">
      <c r="A239">
        <v>5320</v>
      </c>
      <c r="B239">
        <v>23210</v>
      </c>
      <c r="C239" s="1">
        <v>42816</v>
      </c>
      <c r="F239" s="54"/>
      <c r="G239">
        <v>6.4</v>
      </c>
      <c r="H239">
        <v>3.2</v>
      </c>
      <c r="I239">
        <v>9.8000000000000007</v>
      </c>
      <c r="J239">
        <f t="shared" si="30"/>
        <v>1634.9000000000003</v>
      </c>
      <c r="K239">
        <f t="shared" si="31"/>
        <v>416.2</v>
      </c>
      <c r="M239">
        <v>15.2</v>
      </c>
      <c r="N239">
        <v>0.7</v>
      </c>
      <c r="O239">
        <f t="shared" si="27"/>
        <v>14.5</v>
      </c>
      <c r="Q239">
        <v>203</v>
      </c>
      <c r="R239">
        <f t="shared" si="26"/>
        <v>1.1447368421052631</v>
      </c>
      <c r="S239">
        <f t="shared" si="28"/>
        <v>0.80131578947368409</v>
      </c>
      <c r="T239">
        <f t="shared" si="29"/>
        <v>14.398684210526316</v>
      </c>
      <c r="U239" s="14">
        <f t="shared" si="34"/>
        <v>120.30096816114364</v>
      </c>
      <c r="W239">
        <v>438</v>
      </c>
      <c r="X239">
        <f t="shared" si="32"/>
        <v>115783.79999999989</v>
      </c>
      <c r="Y239">
        <f t="shared" si="33"/>
        <v>27928.000000000011</v>
      </c>
      <c r="Z239">
        <v>12</v>
      </c>
    </row>
    <row r="240" spans="1:30" x14ac:dyDescent="0.25">
      <c r="A240">
        <v>5320</v>
      </c>
      <c r="B240">
        <v>23210</v>
      </c>
      <c r="C240" s="1">
        <v>42817</v>
      </c>
      <c r="F240" s="54"/>
      <c r="G240">
        <v>6</v>
      </c>
      <c r="H240">
        <v>5.0999999999999996</v>
      </c>
      <c r="I240">
        <v>7.6</v>
      </c>
      <c r="J240">
        <f t="shared" si="30"/>
        <v>1640.9000000000003</v>
      </c>
      <c r="K240">
        <f t="shared" si="31"/>
        <v>422.2</v>
      </c>
      <c r="M240">
        <v>1</v>
      </c>
      <c r="N240">
        <v>0.3</v>
      </c>
      <c r="O240">
        <f t="shared" si="27"/>
        <v>0.7</v>
      </c>
      <c r="Q240">
        <v>204</v>
      </c>
      <c r="R240">
        <f t="shared" si="26"/>
        <v>1.1473684210526316</v>
      </c>
      <c r="S240">
        <f t="shared" si="28"/>
        <v>0.34421052631578947</v>
      </c>
      <c r="T240">
        <f t="shared" si="29"/>
        <v>0.65578947368421048</v>
      </c>
      <c r="U240" s="14">
        <f t="shared" si="34"/>
        <v>120.95675763482785</v>
      </c>
      <c r="W240">
        <v>370.7</v>
      </c>
      <c r="X240">
        <f t="shared" si="32"/>
        <v>116154.49999999988</v>
      </c>
      <c r="Y240">
        <f t="shared" si="33"/>
        <v>28298.700000000012</v>
      </c>
      <c r="Z240">
        <v>12.059528113102539</v>
      </c>
    </row>
    <row r="241" spans="1:27" s="6" customFormat="1" ht="15.75" thickBot="1" x14ac:dyDescent="0.3">
      <c r="A241" s="6">
        <v>5320</v>
      </c>
      <c r="B241" s="6">
        <v>23210</v>
      </c>
      <c r="C241" s="7">
        <v>42818</v>
      </c>
      <c r="F241" s="54"/>
      <c r="G241" s="6">
        <v>7.8</v>
      </c>
      <c r="H241" s="6">
        <v>2.9</v>
      </c>
      <c r="I241" s="6">
        <v>11.4</v>
      </c>
      <c r="J241" s="6">
        <f t="shared" si="30"/>
        <v>1648.7000000000003</v>
      </c>
      <c r="K241" s="6">
        <f t="shared" si="31"/>
        <v>430</v>
      </c>
      <c r="M241" s="6">
        <v>0.2</v>
      </c>
      <c r="N241" s="6">
        <v>0.7</v>
      </c>
      <c r="O241" s="6">
        <f t="shared" si="27"/>
        <v>-0.49999999999999994</v>
      </c>
      <c r="Q241" s="6">
        <v>205</v>
      </c>
      <c r="R241">
        <f t="shared" si="26"/>
        <v>1.1499999999999999</v>
      </c>
      <c r="S241" s="6">
        <f t="shared" si="28"/>
        <v>0.80499999999999994</v>
      </c>
      <c r="T241" s="6">
        <f t="shared" si="29"/>
        <v>-0.60499999999999998</v>
      </c>
      <c r="U241" s="14">
        <f t="shared" si="34"/>
        <v>120.35175763482785</v>
      </c>
      <c r="W241" s="6">
        <v>869.6</v>
      </c>
      <c r="X241" s="6">
        <f t="shared" si="32"/>
        <v>117024.09999999989</v>
      </c>
      <c r="Y241" s="6">
        <f t="shared" si="33"/>
        <v>29168.30000000001</v>
      </c>
      <c r="Z241" s="6">
        <v>12.11904810669021</v>
      </c>
    </row>
    <row r="242" spans="1:27" s="27" customFormat="1" x14ac:dyDescent="0.25">
      <c r="A242" s="27">
        <v>5320</v>
      </c>
      <c r="B242" s="27">
        <v>23210</v>
      </c>
      <c r="C242" s="28">
        <v>42819</v>
      </c>
      <c r="D242" s="27" t="s">
        <v>9</v>
      </c>
      <c r="F242" s="40" t="s">
        <v>54</v>
      </c>
      <c r="G242" s="27">
        <v>10.8</v>
      </c>
      <c r="H242" s="27">
        <v>6.2</v>
      </c>
      <c r="I242" s="27">
        <v>14.3</v>
      </c>
      <c r="J242" s="27">
        <f t="shared" si="30"/>
        <v>1659.5000000000002</v>
      </c>
      <c r="K242" s="27">
        <f>G242</f>
        <v>10.8</v>
      </c>
      <c r="L242" s="17" t="s">
        <v>36</v>
      </c>
      <c r="M242" s="27">
        <v>0</v>
      </c>
      <c r="N242" s="27">
        <v>2.7</v>
      </c>
      <c r="O242" s="27">
        <f t="shared" si="27"/>
        <v>-2.7</v>
      </c>
      <c r="Q242" s="27">
        <v>206</v>
      </c>
      <c r="R242" s="27">
        <v>1.1499999999999999</v>
      </c>
      <c r="S242" s="27">
        <f t="shared" si="28"/>
        <v>3.105</v>
      </c>
      <c r="T242" s="27">
        <f t="shared" si="29"/>
        <v>-3.105</v>
      </c>
      <c r="U242" s="14">
        <f t="shared" si="34"/>
        <v>117.24675763482784</v>
      </c>
      <c r="V242" s="19" t="s">
        <v>43</v>
      </c>
      <c r="W242" s="27">
        <v>1898.9</v>
      </c>
      <c r="X242" s="27">
        <f t="shared" si="32"/>
        <v>118922.99999999988</v>
      </c>
      <c r="Y242" s="27">
        <f>W242</f>
        <v>1898.9</v>
      </c>
      <c r="Z242" s="27">
        <v>12.178551846165515</v>
      </c>
      <c r="AA242" s="19" t="s">
        <v>48</v>
      </c>
    </row>
    <row r="243" spans="1:27" ht="15" customHeight="1" x14ac:dyDescent="0.25">
      <c r="A243">
        <v>5320</v>
      </c>
      <c r="B243">
        <v>23210</v>
      </c>
      <c r="C243" s="1">
        <v>42820</v>
      </c>
      <c r="F243" s="55"/>
      <c r="G243">
        <v>10.1</v>
      </c>
      <c r="H243">
        <v>3.8</v>
      </c>
      <c r="I243">
        <v>14.7</v>
      </c>
      <c r="J243">
        <f t="shared" si="30"/>
        <v>1669.6000000000001</v>
      </c>
      <c r="K243">
        <f>K242+G243</f>
        <v>20.9</v>
      </c>
      <c r="L243" s="9">
        <v>242.2</v>
      </c>
      <c r="M243">
        <v>0</v>
      </c>
      <c r="N243">
        <v>1.8</v>
      </c>
      <c r="O243">
        <f t="shared" si="27"/>
        <v>-1.8</v>
      </c>
      <c r="Q243">
        <v>207</v>
      </c>
      <c r="R243">
        <v>1.1499999999999999</v>
      </c>
      <c r="S243">
        <f t="shared" si="28"/>
        <v>2.0699999999999998</v>
      </c>
      <c r="T243">
        <f t="shared" si="29"/>
        <v>-2.0699999999999998</v>
      </c>
      <c r="U243" s="14">
        <f t="shared" si="34"/>
        <v>115.17675763482785</v>
      </c>
      <c r="V243">
        <v>0</v>
      </c>
      <c r="W243">
        <v>1336.6</v>
      </c>
      <c r="X243">
        <f t="shared" si="32"/>
        <v>120259.59999999989</v>
      </c>
      <c r="Y243">
        <f>Y242+W243</f>
        <v>3235.5</v>
      </c>
      <c r="Z243">
        <v>12.238031166775597</v>
      </c>
      <c r="AA243">
        <v>33214.300000000003</v>
      </c>
    </row>
    <row r="244" spans="1:27" x14ac:dyDescent="0.25">
      <c r="A244">
        <v>5320</v>
      </c>
      <c r="B244">
        <v>23210</v>
      </c>
      <c r="C244" s="1">
        <v>42821</v>
      </c>
      <c r="F244" s="55"/>
      <c r="G244">
        <v>11.5</v>
      </c>
      <c r="H244">
        <v>5.5</v>
      </c>
      <c r="I244">
        <v>17.8</v>
      </c>
      <c r="J244">
        <f t="shared" si="30"/>
        <v>1681.1000000000001</v>
      </c>
      <c r="K244">
        <f t="shared" si="31"/>
        <v>32.4</v>
      </c>
      <c r="L244" s="17" t="s">
        <v>37</v>
      </c>
      <c r="M244">
        <v>1.6</v>
      </c>
      <c r="N244">
        <v>3.2</v>
      </c>
      <c r="O244">
        <f t="shared" si="27"/>
        <v>-1.6</v>
      </c>
      <c r="Q244">
        <v>208</v>
      </c>
      <c r="R244">
        <v>1.1499999999999999</v>
      </c>
      <c r="S244">
        <f t="shared" si="28"/>
        <v>3.6799999999999997</v>
      </c>
      <c r="T244">
        <f t="shared" si="29"/>
        <v>-2.0799999999999996</v>
      </c>
      <c r="U244" s="14">
        <f t="shared" si="34"/>
        <v>113.09675763482785</v>
      </c>
      <c r="V244" s="19" t="s">
        <v>44</v>
      </c>
      <c r="W244">
        <v>2067.1</v>
      </c>
      <c r="X244">
        <f t="shared" si="32"/>
        <v>122326.6999999999</v>
      </c>
      <c r="Y244">
        <f t="shared" si="33"/>
        <v>5302.6</v>
      </c>
      <c r="Z244">
        <v>12.297477858559391</v>
      </c>
      <c r="AA244" s="19" t="s">
        <v>49</v>
      </c>
    </row>
    <row r="245" spans="1:27" x14ac:dyDescent="0.25">
      <c r="A245">
        <v>5320</v>
      </c>
      <c r="B245">
        <v>23210</v>
      </c>
      <c r="C245" s="1">
        <v>42822</v>
      </c>
      <c r="F245" s="55"/>
      <c r="G245">
        <v>11.5</v>
      </c>
      <c r="H245">
        <v>6.9</v>
      </c>
      <c r="I245">
        <v>15.8</v>
      </c>
      <c r="J245">
        <f t="shared" si="30"/>
        <v>1692.6000000000001</v>
      </c>
      <c r="K245">
        <f t="shared" si="31"/>
        <v>43.9</v>
      </c>
      <c r="L245" s="9">
        <f>AVERAGE(G242:G262)</f>
        <v>11.533333333333333</v>
      </c>
      <c r="M245">
        <v>0.3</v>
      </c>
      <c r="N245">
        <v>1.2</v>
      </c>
      <c r="O245">
        <f t="shared" si="27"/>
        <v>-0.89999999999999991</v>
      </c>
      <c r="Q245">
        <v>209</v>
      </c>
      <c r="R245">
        <v>1.1499999999999999</v>
      </c>
      <c r="S245">
        <f t="shared" si="28"/>
        <v>1.38</v>
      </c>
      <c r="T245">
        <f t="shared" si="29"/>
        <v>-1.0799999999999998</v>
      </c>
      <c r="U245" s="14">
        <f t="shared" si="34"/>
        <v>112.01675763482785</v>
      </c>
      <c r="V245">
        <v>0</v>
      </c>
      <c r="W245">
        <v>864.5</v>
      </c>
      <c r="X245">
        <f t="shared" si="32"/>
        <v>123191.1999999999</v>
      </c>
      <c r="Y245">
        <f t="shared" si="33"/>
        <v>6167.1</v>
      </c>
      <c r="Z245">
        <v>12.356883651324894</v>
      </c>
      <c r="AA245" s="14">
        <f>(AA243/100)/L243</f>
        <v>1.3713583815028905</v>
      </c>
    </row>
    <row r="246" spans="1:27" x14ac:dyDescent="0.25">
      <c r="A246">
        <v>5320</v>
      </c>
      <c r="B246">
        <v>23210</v>
      </c>
      <c r="C246" s="1">
        <v>42823</v>
      </c>
      <c r="F246" s="55"/>
      <c r="G246">
        <v>12.4</v>
      </c>
      <c r="H246">
        <v>4.7</v>
      </c>
      <c r="I246">
        <v>19.2</v>
      </c>
      <c r="J246">
        <f t="shared" si="30"/>
        <v>1705.0000000000002</v>
      </c>
      <c r="K246">
        <f t="shared" si="31"/>
        <v>56.3</v>
      </c>
      <c r="L246" s="17" t="s">
        <v>38</v>
      </c>
      <c r="M246">
        <v>0</v>
      </c>
      <c r="N246">
        <v>2.4</v>
      </c>
      <c r="O246">
        <f t="shared" si="27"/>
        <v>-2.4</v>
      </c>
      <c r="Q246">
        <v>210</v>
      </c>
      <c r="R246">
        <v>1.1499999999999999</v>
      </c>
      <c r="S246">
        <f t="shared" si="28"/>
        <v>2.76</v>
      </c>
      <c r="T246">
        <f t="shared" si="29"/>
        <v>-2.76</v>
      </c>
      <c r="U246" s="14">
        <f t="shared" si="34"/>
        <v>109.25675763482785</v>
      </c>
      <c r="V246" s="19" t="s">
        <v>45</v>
      </c>
      <c r="W246">
        <v>1566.4</v>
      </c>
      <c r="X246">
        <f t="shared" si="32"/>
        <v>124757.59999999989</v>
      </c>
      <c r="Y246">
        <f t="shared" si="33"/>
        <v>7733.5</v>
      </c>
      <c r="Z246">
        <v>12.416240199667111</v>
      </c>
      <c r="AA246" s="19" t="s">
        <v>50</v>
      </c>
    </row>
    <row r="247" spans="1:27" x14ac:dyDescent="0.25">
      <c r="A247">
        <v>5320</v>
      </c>
      <c r="B247">
        <v>23210</v>
      </c>
      <c r="C247" s="1">
        <v>42824</v>
      </c>
      <c r="F247" s="55"/>
      <c r="G247">
        <v>15</v>
      </c>
      <c r="H247">
        <v>6.2</v>
      </c>
      <c r="I247">
        <v>22.5</v>
      </c>
      <c r="J247">
        <f t="shared" si="30"/>
        <v>1720.0000000000002</v>
      </c>
      <c r="K247">
        <f t="shared" si="31"/>
        <v>71.3</v>
      </c>
      <c r="L247" s="10">
        <f>MIN(H242:H262)</f>
        <v>2.7</v>
      </c>
      <c r="M247">
        <v>0</v>
      </c>
      <c r="N247">
        <v>3.2</v>
      </c>
      <c r="O247">
        <f t="shared" si="27"/>
        <v>-3.2</v>
      </c>
      <c r="Q247">
        <v>211</v>
      </c>
      <c r="R247">
        <v>1.1499999999999999</v>
      </c>
      <c r="S247">
        <f t="shared" si="28"/>
        <v>3.6799999999999997</v>
      </c>
      <c r="T247">
        <f t="shared" si="29"/>
        <v>-3.6799999999999997</v>
      </c>
      <c r="U247" s="14">
        <f t="shared" si="34"/>
        <v>105.57675763482786</v>
      </c>
      <c r="V247" s="14">
        <f>MIN(U242:U262)</f>
        <v>64.79175763482786</v>
      </c>
      <c r="W247">
        <v>1911.9</v>
      </c>
      <c r="X247">
        <f t="shared" si="32"/>
        <v>126669.49999999988</v>
      </c>
      <c r="Y247">
        <f t="shared" si="33"/>
        <v>9645.4</v>
      </c>
      <c r="Z247">
        <v>12.475539068037708</v>
      </c>
      <c r="AA247">
        <v>4</v>
      </c>
    </row>
    <row r="248" spans="1:27" x14ac:dyDescent="0.25">
      <c r="A248">
        <v>5320</v>
      </c>
      <c r="B248">
        <v>23210</v>
      </c>
      <c r="C248" s="1">
        <v>42825</v>
      </c>
      <c r="F248" s="55"/>
      <c r="G248">
        <v>13.7</v>
      </c>
      <c r="H248">
        <v>12.2</v>
      </c>
      <c r="I248">
        <v>16.3</v>
      </c>
      <c r="J248">
        <f t="shared" si="30"/>
        <v>1733.7000000000003</v>
      </c>
      <c r="K248">
        <f t="shared" si="31"/>
        <v>85</v>
      </c>
      <c r="L248" s="17" t="s">
        <v>39</v>
      </c>
      <c r="M248">
        <v>0.4</v>
      </c>
      <c r="N248">
        <v>2.4</v>
      </c>
      <c r="O248">
        <f t="shared" si="27"/>
        <v>-2</v>
      </c>
      <c r="Q248">
        <v>212</v>
      </c>
      <c r="R248">
        <v>1.1499999999999999</v>
      </c>
      <c r="S248">
        <f t="shared" si="28"/>
        <v>2.76</v>
      </c>
      <c r="T248">
        <f t="shared" si="29"/>
        <v>-2.36</v>
      </c>
      <c r="U248" s="14">
        <f t="shared" si="34"/>
        <v>103.21675763482786</v>
      </c>
      <c r="V248" s="19" t="s">
        <v>46</v>
      </c>
      <c r="W248">
        <v>777.4</v>
      </c>
      <c r="X248">
        <f t="shared" si="32"/>
        <v>127446.89999999988</v>
      </c>
      <c r="Y248">
        <f t="shared" si="33"/>
        <v>10422.799999999999</v>
      </c>
      <c r="Z248">
        <v>12.534771715877909</v>
      </c>
    </row>
    <row r="249" spans="1:27" x14ac:dyDescent="0.25">
      <c r="A249">
        <v>5320</v>
      </c>
      <c r="B249">
        <v>23210</v>
      </c>
      <c r="C249" s="1">
        <v>42826</v>
      </c>
      <c r="F249" s="55"/>
      <c r="G249">
        <v>10.6</v>
      </c>
      <c r="H249">
        <v>7.6</v>
      </c>
      <c r="I249">
        <v>14.2</v>
      </c>
      <c r="J249">
        <f t="shared" si="30"/>
        <v>1744.3000000000002</v>
      </c>
      <c r="K249">
        <f t="shared" si="31"/>
        <v>95.6</v>
      </c>
      <c r="L249" s="9">
        <f>MAX(I242:I262)</f>
        <v>23.8</v>
      </c>
      <c r="M249">
        <v>0.1</v>
      </c>
      <c r="N249">
        <v>1</v>
      </c>
      <c r="O249">
        <f t="shared" si="27"/>
        <v>-0.9</v>
      </c>
      <c r="Q249">
        <v>213</v>
      </c>
      <c r="R249">
        <v>1.1499999999999999</v>
      </c>
      <c r="S249">
        <f t="shared" si="28"/>
        <v>1.1499999999999999</v>
      </c>
      <c r="T249">
        <f t="shared" si="29"/>
        <v>-1.0499999999999998</v>
      </c>
      <c r="U249" s="14">
        <f t="shared" si="34"/>
        <v>102.16675763482786</v>
      </c>
      <c r="V249" s="14">
        <f>MAX(U242:U262)</f>
        <v>117.24675763482784</v>
      </c>
      <c r="W249">
        <v>665.1</v>
      </c>
      <c r="X249">
        <f t="shared" si="32"/>
        <v>128111.99999999988</v>
      </c>
      <c r="Y249">
        <f t="shared" si="33"/>
        <v>11087.9</v>
      </c>
      <c r="Z249">
        <v>12.593929482826919</v>
      </c>
    </row>
    <row r="250" spans="1:27" x14ac:dyDescent="0.25">
      <c r="A250">
        <v>5320</v>
      </c>
      <c r="B250">
        <v>23210</v>
      </c>
      <c r="C250" s="1">
        <v>42827</v>
      </c>
      <c r="F250" s="55"/>
      <c r="G250">
        <v>11</v>
      </c>
      <c r="H250">
        <v>6.6</v>
      </c>
      <c r="I250">
        <v>15.2</v>
      </c>
      <c r="J250">
        <f t="shared" si="30"/>
        <v>1755.3000000000002</v>
      </c>
      <c r="K250">
        <f t="shared" si="31"/>
        <v>106.6</v>
      </c>
      <c r="L250" s="17" t="s">
        <v>40</v>
      </c>
      <c r="M250">
        <v>0</v>
      </c>
      <c r="N250">
        <v>1.8</v>
      </c>
      <c r="O250">
        <f t="shared" si="27"/>
        <v>-1.8</v>
      </c>
      <c r="Q250">
        <v>214</v>
      </c>
      <c r="R250">
        <v>1.1499999999999999</v>
      </c>
      <c r="S250">
        <f t="shared" si="28"/>
        <v>2.0699999999999998</v>
      </c>
      <c r="T250">
        <f t="shared" si="29"/>
        <v>-2.0699999999999998</v>
      </c>
      <c r="U250" s="14">
        <f t="shared" si="34"/>
        <v>100.09675763482787</v>
      </c>
      <c r="V250" s="19" t="s">
        <v>47</v>
      </c>
      <c r="W250">
        <v>1372.2</v>
      </c>
      <c r="X250">
        <f t="shared" si="32"/>
        <v>129484.19999999988</v>
      </c>
      <c r="Y250">
        <f t="shared" si="33"/>
        <v>12460.1</v>
      </c>
      <c r="Z250">
        <v>12.653003574018896</v>
      </c>
    </row>
    <row r="251" spans="1:27" x14ac:dyDescent="0.25">
      <c r="A251">
        <v>5320</v>
      </c>
      <c r="B251">
        <v>23210</v>
      </c>
      <c r="C251" s="1">
        <v>42828</v>
      </c>
      <c r="F251" s="55"/>
      <c r="G251">
        <v>12.3</v>
      </c>
      <c r="H251">
        <v>5.6</v>
      </c>
      <c r="I251">
        <v>18</v>
      </c>
      <c r="J251">
        <f t="shared" si="30"/>
        <v>1767.6000000000001</v>
      </c>
      <c r="K251">
        <f t="shared" si="31"/>
        <v>118.89999999999999</v>
      </c>
      <c r="L251" s="9">
        <v>0</v>
      </c>
      <c r="M251">
        <v>0</v>
      </c>
      <c r="N251">
        <v>2.7</v>
      </c>
      <c r="O251">
        <f t="shared" si="27"/>
        <v>-2.7</v>
      </c>
      <c r="Q251">
        <v>215</v>
      </c>
      <c r="R251">
        <v>1.1499999999999999</v>
      </c>
      <c r="S251">
        <f t="shared" si="28"/>
        <v>3.105</v>
      </c>
      <c r="T251">
        <f t="shared" si="29"/>
        <v>-3.105</v>
      </c>
      <c r="U251" s="14">
        <f t="shared" si="34"/>
        <v>96.991757634827863</v>
      </c>
      <c r="V251" s="14">
        <f>AVERAGE(U242:U262)</f>
        <v>92.727948111018321</v>
      </c>
      <c r="W251">
        <v>1736.3</v>
      </c>
      <c r="X251">
        <f t="shared" si="32"/>
        <v>131220.49999999988</v>
      </c>
      <c r="Y251">
        <f t="shared" si="33"/>
        <v>14196.4</v>
      </c>
      <c r="Z251">
        <v>12.711985045482377</v>
      </c>
    </row>
    <row r="252" spans="1:27" x14ac:dyDescent="0.25">
      <c r="A252">
        <v>5320</v>
      </c>
      <c r="B252">
        <v>23210</v>
      </c>
      <c r="C252" s="1">
        <v>42829</v>
      </c>
      <c r="F252" s="55"/>
      <c r="G252">
        <v>10.6</v>
      </c>
      <c r="H252">
        <v>5.5</v>
      </c>
      <c r="I252">
        <v>15.5</v>
      </c>
      <c r="J252">
        <f t="shared" si="30"/>
        <v>1778.2</v>
      </c>
      <c r="K252">
        <f t="shared" si="31"/>
        <v>129.5</v>
      </c>
      <c r="L252" s="17" t="s">
        <v>41</v>
      </c>
      <c r="M252">
        <v>0</v>
      </c>
      <c r="N252">
        <v>1.4</v>
      </c>
      <c r="O252">
        <f t="shared" si="27"/>
        <v>-1.4</v>
      </c>
      <c r="Q252">
        <v>216</v>
      </c>
      <c r="R252">
        <v>1.1499999999999999</v>
      </c>
      <c r="S252">
        <f t="shared" si="28"/>
        <v>1.6099999999999999</v>
      </c>
      <c r="T252">
        <f t="shared" si="29"/>
        <v>-1.6099999999999999</v>
      </c>
      <c r="U252" s="14">
        <f t="shared" si="34"/>
        <v>95.381757634827864</v>
      </c>
      <c r="W252">
        <v>823.7</v>
      </c>
      <c r="X252">
        <f t="shared" si="32"/>
        <v>132044.1999999999</v>
      </c>
      <c r="Y252">
        <f t="shared" si="33"/>
        <v>15020.1</v>
      </c>
      <c r="Z252">
        <v>12.770864789657152</v>
      </c>
    </row>
    <row r="253" spans="1:27" x14ac:dyDescent="0.25">
      <c r="A253">
        <v>5320</v>
      </c>
      <c r="B253">
        <v>23210</v>
      </c>
      <c r="C253" s="1">
        <v>42830</v>
      </c>
      <c r="F253" s="55"/>
      <c r="G253">
        <v>10.9</v>
      </c>
      <c r="H253">
        <v>7.6</v>
      </c>
      <c r="I253">
        <v>14.6</v>
      </c>
      <c r="J253">
        <f t="shared" si="30"/>
        <v>1789.1000000000001</v>
      </c>
      <c r="K253">
        <f t="shared" si="31"/>
        <v>140.4</v>
      </c>
      <c r="L253" s="9">
        <v>7</v>
      </c>
      <c r="M253">
        <v>0</v>
      </c>
      <c r="N253">
        <v>2.1</v>
      </c>
      <c r="O253">
        <f t="shared" si="27"/>
        <v>-2.1</v>
      </c>
      <c r="Q253">
        <v>217</v>
      </c>
      <c r="R253">
        <v>1.1499999999999999</v>
      </c>
      <c r="S253">
        <f t="shared" si="28"/>
        <v>2.415</v>
      </c>
      <c r="T253">
        <f t="shared" si="29"/>
        <v>-2.415</v>
      </c>
      <c r="U253" s="14">
        <f t="shared" si="34"/>
        <v>92.966757634827857</v>
      </c>
      <c r="V253" s="29">
        <f>(V251*100)/138.9</f>
        <v>66.758781937378203</v>
      </c>
      <c r="W253">
        <v>1390.6</v>
      </c>
      <c r="X253">
        <f t="shared" si="32"/>
        <v>133434.7999999999</v>
      </c>
      <c r="Y253">
        <f t="shared" si="33"/>
        <v>16410.7</v>
      </c>
      <c r="Z253">
        <v>12.829633521044558</v>
      </c>
    </row>
    <row r="254" spans="1:27" x14ac:dyDescent="0.25">
      <c r="A254">
        <v>5320</v>
      </c>
      <c r="B254">
        <v>23210</v>
      </c>
      <c r="C254" s="1">
        <v>42831</v>
      </c>
      <c r="F254" s="55"/>
      <c r="G254">
        <v>8.6999999999999993</v>
      </c>
      <c r="H254">
        <v>3.8</v>
      </c>
      <c r="I254">
        <v>12.6</v>
      </c>
      <c r="J254">
        <f t="shared" si="30"/>
        <v>1797.8000000000002</v>
      </c>
      <c r="K254">
        <f t="shared" si="31"/>
        <v>149.1</v>
      </c>
      <c r="L254" s="17" t="s">
        <v>42</v>
      </c>
      <c r="M254">
        <v>0</v>
      </c>
      <c r="N254">
        <v>2.4</v>
      </c>
      <c r="O254">
        <f t="shared" si="27"/>
        <v>-2.4</v>
      </c>
      <c r="Q254">
        <v>218</v>
      </c>
      <c r="R254">
        <v>1.1499999999999999</v>
      </c>
      <c r="S254">
        <f t="shared" si="28"/>
        <v>2.76</v>
      </c>
      <c r="T254">
        <f t="shared" si="29"/>
        <v>-2.76</v>
      </c>
      <c r="U254" s="14">
        <f t="shared" si="34"/>
        <v>90.206757634827852</v>
      </c>
      <c r="W254">
        <v>1698.7</v>
      </c>
      <c r="X254">
        <f t="shared" si="32"/>
        <v>135133.49999999991</v>
      </c>
      <c r="Y254">
        <f t="shared" si="33"/>
        <v>18109.400000000001</v>
      </c>
      <c r="Z254">
        <v>12.888281762008569</v>
      </c>
    </row>
    <row r="255" spans="1:27" x14ac:dyDescent="0.25">
      <c r="A255">
        <v>5320</v>
      </c>
      <c r="B255">
        <v>23210</v>
      </c>
      <c r="C255" s="1">
        <v>42832</v>
      </c>
      <c r="F255" s="55"/>
      <c r="G255">
        <v>10.1</v>
      </c>
      <c r="H255">
        <v>3</v>
      </c>
      <c r="I255">
        <v>16</v>
      </c>
      <c r="J255">
        <f t="shared" si="30"/>
        <v>1807.9</v>
      </c>
      <c r="K255">
        <f t="shared" si="31"/>
        <v>159.19999999999999</v>
      </c>
      <c r="L255" s="18">
        <v>0</v>
      </c>
      <c r="M255">
        <v>0</v>
      </c>
      <c r="N255">
        <v>3</v>
      </c>
      <c r="O255">
        <f t="shared" si="27"/>
        <v>-3</v>
      </c>
      <c r="Q255">
        <v>219</v>
      </c>
      <c r="R255">
        <v>1.1499999999999999</v>
      </c>
      <c r="S255">
        <f t="shared" si="28"/>
        <v>3.4499999999999997</v>
      </c>
      <c r="T255">
        <f t="shared" si="29"/>
        <v>-3.4499999999999997</v>
      </c>
      <c r="U255" s="14">
        <f t="shared" si="34"/>
        <v>86.756757634827849</v>
      </c>
      <c r="W255">
        <v>2156.1999999999998</v>
      </c>
      <c r="X255">
        <f t="shared" si="32"/>
        <v>137289.69999999992</v>
      </c>
      <c r="Y255">
        <f t="shared" si="33"/>
        <v>20265.600000000002</v>
      </c>
      <c r="Z255">
        <v>12.94679982874624</v>
      </c>
    </row>
    <row r="256" spans="1:27" x14ac:dyDescent="0.25">
      <c r="A256">
        <v>5320</v>
      </c>
      <c r="B256">
        <v>23210</v>
      </c>
      <c r="C256" s="1">
        <v>42833</v>
      </c>
      <c r="F256" s="55"/>
      <c r="G256">
        <v>13.7</v>
      </c>
      <c r="H256">
        <v>6.2</v>
      </c>
      <c r="I256">
        <v>20.100000000000001</v>
      </c>
      <c r="J256">
        <f t="shared" si="30"/>
        <v>1821.6000000000001</v>
      </c>
      <c r="K256">
        <f t="shared" si="31"/>
        <v>172.89999999999998</v>
      </c>
      <c r="M256">
        <v>0</v>
      </c>
      <c r="N256">
        <v>3.8</v>
      </c>
      <c r="O256">
        <f t="shared" si="27"/>
        <v>-3.8</v>
      </c>
      <c r="Q256">
        <v>220</v>
      </c>
      <c r="R256">
        <v>1.1499999999999999</v>
      </c>
      <c r="S256">
        <f t="shared" si="28"/>
        <v>4.3699999999999992</v>
      </c>
      <c r="T256">
        <f t="shared" si="29"/>
        <v>-4.3699999999999992</v>
      </c>
      <c r="U256" s="14">
        <f t="shared" si="34"/>
        <v>82.386757634827845</v>
      </c>
      <c r="W256">
        <v>2359.5</v>
      </c>
      <c r="X256">
        <f t="shared" si="32"/>
        <v>139649.19999999992</v>
      </c>
      <c r="Y256">
        <f t="shared" si="33"/>
        <v>22625.100000000002</v>
      </c>
      <c r="Z256">
        <v>13.005177817447578</v>
      </c>
    </row>
    <row r="257" spans="1:27" x14ac:dyDescent="0.25">
      <c r="A257">
        <v>5320</v>
      </c>
      <c r="B257">
        <v>23210</v>
      </c>
      <c r="C257" s="1">
        <v>42834</v>
      </c>
      <c r="F257" s="55"/>
      <c r="G257">
        <v>16.2</v>
      </c>
      <c r="H257">
        <v>8.1</v>
      </c>
      <c r="I257">
        <v>23.8</v>
      </c>
      <c r="J257">
        <f t="shared" si="30"/>
        <v>1837.8000000000002</v>
      </c>
      <c r="K257">
        <f t="shared" si="31"/>
        <v>189.09999999999997</v>
      </c>
      <c r="M257">
        <v>0</v>
      </c>
      <c r="N257">
        <v>4.2</v>
      </c>
      <c r="O257">
        <f t="shared" si="27"/>
        <v>-4.2</v>
      </c>
      <c r="Q257">
        <v>221</v>
      </c>
      <c r="R257">
        <v>1.1499999999999999</v>
      </c>
      <c r="S257">
        <f t="shared" si="28"/>
        <v>4.83</v>
      </c>
      <c r="T257">
        <f t="shared" si="29"/>
        <v>-4.83</v>
      </c>
      <c r="U257" s="14">
        <f t="shared" si="34"/>
        <v>77.556757634827846</v>
      </c>
      <c r="W257">
        <v>2397.6</v>
      </c>
      <c r="X257">
        <f t="shared" si="32"/>
        <v>142046.79999999993</v>
      </c>
      <c r="Y257">
        <f t="shared" si="33"/>
        <v>25022.7</v>
      </c>
      <c r="Z257">
        <v>13.063405590666475</v>
      </c>
    </row>
    <row r="258" spans="1:27" x14ac:dyDescent="0.25">
      <c r="A258">
        <v>5320</v>
      </c>
      <c r="B258">
        <v>23210</v>
      </c>
      <c r="C258" s="1">
        <v>42835</v>
      </c>
      <c r="F258" s="55"/>
      <c r="G258">
        <v>11.5</v>
      </c>
      <c r="H258">
        <v>7.8</v>
      </c>
      <c r="I258">
        <v>15.9</v>
      </c>
      <c r="J258">
        <f t="shared" si="30"/>
        <v>1849.3000000000002</v>
      </c>
      <c r="K258">
        <f t="shared" si="31"/>
        <v>200.59999999999997</v>
      </c>
      <c r="M258">
        <v>0</v>
      </c>
      <c r="N258">
        <v>1.7</v>
      </c>
      <c r="O258">
        <f t="shared" si="27"/>
        <v>-1.7</v>
      </c>
      <c r="Q258">
        <v>222</v>
      </c>
      <c r="R258">
        <v>1.1499999999999999</v>
      </c>
      <c r="S258">
        <f t="shared" si="28"/>
        <v>1.9549999999999998</v>
      </c>
      <c r="T258">
        <f t="shared" si="29"/>
        <v>-1.9549999999999998</v>
      </c>
      <c r="U258" s="14">
        <f t="shared" si="34"/>
        <v>75.601757634827848</v>
      </c>
      <c r="W258">
        <v>1108.2</v>
      </c>
      <c r="X258">
        <f t="shared" si="32"/>
        <v>143154.99999999994</v>
      </c>
      <c r="Y258">
        <f t="shared" si="33"/>
        <v>26130.9</v>
      </c>
      <c r="Z258">
        <v>13.121472763925961</v>
      </c>
    </row>
    <row r="259" spans="1:27" x14ac:dyDescent="0.25">
      <c r="A259">
        <v>5320</v>
      </c>
      <c r="B259">
        <v>23210</v>
      </c>
      <c r="C259" s="1">
        <v>42836</v>
      </c>
      <c r="F259" s="55"/>
      <c r="G259">
        <v>9.4</v>
      </c>
      <c r="H259">
        <v>4.4000000000000004</v>
      </c>
      <c r="I259">
        <v>13.9</v>
      </c>
      <c r="J259">
        <f t="shared" si="30"/>
        <v>1858.7000000000003</v>
      </c>
      <c r="K259">
        <f t="shared" si="31"/>
        <v>209.99999999999997</v>
      </c>
      <c r="M259">
        <v>0</v>
      </c>
      <c r="N259">
        <v>3.1</v>
      </c>
      <c r="O259">
        <f t="shared" si="27"/>
        <v>-3.1</v>
      </c>
      <c r="Q259">
        <v>223</v>
      </c>
      <c r="R259">
        <v>1.1499999999999999</v>
      </c>
      <c r="S259">
        <f t="shared" si="28"/>
        <v>3.5649999999999999</v>
      </c>
      <c r="T259">
        <f t="shared" si="29"/>
        <v>-3.5649999999999999</v>
      </c>
      <c r="U259" s="14">
        <f t="shared" si="34"/>
        <v>72.03675763482785</v>
      </c>
      <c r="W259">
        <v>2180.5</v>
      </c>
      <c r="X259">
        <f t="shared" si="32"/>
        <v>145335.49999999994</v>
      </c>
      <c r="Y259">
        <f t="shared" si="33"/>
        <v>28311.4</v>
      </c>
      <c r="Z259">
        <v>13.17936869258275</v>
      </c>
    </row>
    <row r="260" spans="1:27" x14ac:dyDescent="0.25">
      <c r="A260">
        <v>5320</v>
      </c>
      <c r="B260">
        <v>23210</v>
      </c>
      <c r="C260" s="1">
        <v>42837</v>
      </c>
      <c r="F260" s="55"/>
      <c r="G260">
        <v>10.4</v>
      </c>
      <c r="H260">
        <v>2.9</v>
      </c>
      <c r="I260">
        <v>16.5</v>
      </c>
      <c r="J260">
        <f t="shared" si="30"/>
        <v>1869.1000000000004</v>
      </c>
      <c r="K260">
        <f t="shared" si="31"/>
        <v>220.39999999999998</v>
      </c>
      <c r="M260">
        <v>0</v>
      </c>
      <c r="N260">
        <v>3.3</v>
      </c>
      <c r="O260">
        <f t="shared" si="27"/>
        <v>-3.3</v>
      </c>
      <c r="Q260">
        <v>224</v>
      </c>
      <c r="R260">
        <v>1.1499999999999999</v>
      </c>
      <c r="S260">
        <f t="shared" si="28"/>
        <v>3.7949999999999995</v>
      </c>
      <c r="T260">
        <f t="shared" si="29"/>
        <v>-3.7949999999999995</v>
      </c>
      <c r="U260" s="14">
        <f t="shared" si="34"/>
        <v>68.241757634827849</v>
      </c>
      <c r="W260">
        <v>2429</v>
      </c>
      <c r="X260">
        <f t="shared" si="32"/>
        <v>147764.49999999994</v>
      </c>
      <c r="Y260">
        <f t="shared" si="33"/>
        <v>30740.400000000001</v>
      </c>
      <c r="Z260">
        <v>13.237082458978003</v>
      </c>
    </row>
    <row r="261" spans="1:27" x14ac:dyDescent="0.25">
      <c r="A261">
        <v>5320</v>
      </c>
      <c r="B261">
        <v>23210</v>
      </c>
      <c r="C261" s="1">
        <v>42838</v>
      </c>
      <c r="F261" s="55"/>
      <c r="G261">
        <v>9.9</v>
      </c>
      <c r="H261">
        <v>2.7</v>
      </c>
      <c r="I261">
        <v>14.8</v>
      </c>
      <c r="J261">
        <f t="shared" si="30"/>
        <v>1879.0000000000005</v>
      </c>
      <c r="K261">
        <f t="shared" si="31"/>
        <v>230.29999999999998</v>
      </c>
      <c r="M261">
        <v>0</v>
      </c>
      <c r="N261">
        <v>1.5</v>
      </c>
      <c r="O261">
        <f t="shared" ref="O261:O324" si="35">M261-N261</f>
        <v>-1.5</v>
      </c>
      <c r="Q261">
        <v>225</v>
      </c>
      <c r="R261">
        <v>1.1499999999999999</v>
      </c>
      <c r="S261">
        <f t="shared" si="28"/>
        <v>1.7249999999999999</v>
      </c>
      <c r="T261">
        <f t="shared" si="29"/>
        <v>-1.7249999999999999</v>
      </c>
      <c r="U261" s="14">
        <f t="shared" si="34"/>
        <v>66.516757634827854</v>
      </c>
      <c r="W261">
        <v>1392.9</v>
      </c>
      <c r="X261">
        <f t="shared" si="32"/>
        <v>149157.39999999994</v>
      </c>
      <c r="Y261">
        <f t="shared" si="33"/>
        <v>32133.300000000003</v>
      </c>
      <c r="Z261">
        <v>13.294602859903057</v>
      </c>
    </row>
    <row r="262" spans="1:27" s="6" customFormat="1" ht="15.75" thickBot="1" x14ac:dyDescent="0.3">
      <c r="A262" s="6">
        <v>5320</v>
      </c>
      <c r="B262" s="6">
        <v>23210</v>
      </c>
      <c r="C262" s="7">
        <v>42839</v>
      </c>
      <c r="D262" s="6" t="s">
        <v>31</v>
      </c>
      <c r="F262" s="42"/>
      <c r="G262" s="6">
        <v>11.9</v>
      </c>
      <c r="H262" s="6">
        <v>7.9</v>
      </c>
      <c r="I262" s="6">
        <v>15.6</v>
      </c>
      <c r="J262" s="6">
        <f t="shared" si="30"/>
        <v>1890.9000000000005</v>
      </c>
      <c r="K262" s="6">
        <f t="shared" si="31"/>
        <v>242.2</v>
      </c>
      <c r="M262" s="6">
        <v>0</v>
      </c>
      <c r="N262" s="6">
        <v>1.5</v>
      </c>
      <c r="O262" s="6">
        <f t="shared" si="35"/>
        <v>-1.5</v>
      </c>
      <c r="Q262" s="6">
        <v>226</v>
      </c>
      <c r="R262" s="6">
        <v>1.1499999999999999</v>
      </c>
      <c r="S262" s="6">
        <f t="shared" si="28"/>
        <v>1.7249999999999999</v>
      </c>
      <c r="T262" s="6">
        <f t="shared" si="29"/>
        <v>-1.7249999999999999</v>
      </c>
      <c r="U262" s="14">
        <f t="shared" si="34"/>
        <v>64.79175763482786</v>
      </c>
      <c r="W262" s="6">
        <v>1081</v>
      </c>
      <c r="X262" s="6">
        <f t="shared" si="32"/>
        <v>150238.39999999994</v>
      </c>
      <c r="Y262" s="6">
        <f t="shared" si="33"/>
        <v>33214.300000000003</v>
      </c>
      <c r="Z262" s="6">
        <v>13.351918394410948</v>
      </c>
    </row>
    <row r="263" spans="1:27" s="27" customFormat="1" x14ac:dyDescent="0.25">
      <c r="A263" s="27">
        <v>5320</v>
      </c>
      <c r="B263" s="27">
        <v>23210</v>
      </c>
      <c r="C263" s="28">
        <v>42840</v>
      </c>
      <c r="F263" s="43" t="s">
        <v>55</v>
      </c>
      <c r="G263" s="27">
        <v>10.6</v>
      </c>
      <c r="H263" s="27">
        <v>7.7</v>
      </c>
      <c r="I263" s="27">
        <v>12.7</v>
      </c>
      <c r="J263" s="27">
        <f t="shared" si="30"/>
        <v>1901.5000000000005</v>
      </c>
      <c r="K263">
        <f>G263</f>
        <v>10.6</v>
      </c>
      <c r="L263" s="20" t="s">
        <v>36</v>
      </c>
      <c r="M263" s="27">
        <v>0.2</v>
      </c>
      <c r="N263" s="27">
        <v>0.9</v>
      </c>
      <c r="O263" s="27">
        <f t="shared" si="35"/>
        <v>-0.7</v>
      </c>
      <c r="Q263" s="27">
        <v>227</v>
      </c>
      <c r="R263" s="27">
        <v>1.1499999999999999</v>
      </c>
      <c r="S263" s="27">
        <f t="shared" si="28"/>
        <v>1.0349999999999999</v>
      </c>
      <c r="T263" s="27">
        <f t="shared" si="29"/>
        <v>-0.83499999999999996</v>
      </c>
      <c r="U263" s="14">
        <f t="shared" si="34"/>
        <v>63.956757634827859</v>
      </c>
      <c r="V263" s="21" t="s">
        <v>43</v>
      </c>
      <c r="W263" s="27">
        <v>395.5</v>
      </c>
      <c r="X263" s="27">
        <f t="shared" si="32"/>
        <v>150633.89999999994</v>
      </c>
      <c r="Y263">
        <f>W263</f>
        <v>395.5</v>
      </c>
      <c r="Z263" s="27">
        <v>13.409017252006686</v>
      </c>
      <c r="AA263" s="21" t="s">
        <v>48</v>
      </c>
    </row>
    <row r="264" spans="1:27" ht="15" customHeight="1" x14ac:dyDescent="0.25">
      <c r="A264">
        <v>5320</v>
      </c>
      <c r="B264">
        <v>23210</v>
      </c>
      <c r="C264" s="1">
        <v>42841</v>
      </c>
      <c r="F264" s="56"/>
      <c r="G264">
        <v>9.9</v>
      </c>
      <c r="H264">
        <v>6.6</v>
      </c>
      <c r="I264">
        <v>13.4</v>
      </c>
      <c r="J264">
        <f t="shared" si="30"/>
        <v>1911.4000000000005</v>
      </c>
      <c r="K264">
        <f t="shared" si="31"/>
        <v>20.5</v>
      </c>
      <c r="L264" s="9">
        <v>302.89999999999998</v>
      </c>
      <c r="M264">
        <v>0</v>
      </c>
      <c r="N264">
        <v>1.4</v>
      </c>
      <c r="O264">
        <f t="shared" si="35"/>
        <v>-1.4</v>
      </c>
      <c r="Q264">
        <v>228</v>
      </c>
      <c r="R264">
        <v>1.1499999999999999</v>
      </c>
      <c r="S264">
        <f t="shared" si="28"/>
        <v>1.6099999999999999</v>
      </c>
      <c r="T264">
        <f t="shared" si="29"/>
        <v>-1.6099999999999999</v>
      </c>
      <c r="U264" s="14">
        <f t="shared" si="34"/>
        <v>62.34675763482786</v>
      </c>
      <c r="V264">
        <v>0</v>
      </c>
      <c r="W264">
        <v>871.3</v>
      </c>
      <c r="X264">
        <f t="shared" si="32"/>
        <v>151505.19999999992</v>
      </c>
      <c r="Y264">
        <f t="shared" si="33"/>
        <v>1266.8</v>
      </c>
      <c r="Z264">
        <v>13.465887301251328</v>
      </c>
      <c r="AA264">
        <v>44225.9</v>
      </c>
    </row>
    <row r="265" spans="1:27" x14ac:dyDescent="0.25">
      <c r="A265">
        <v>5320</v>
      </c>
      <c r="B265">
        <v>23210</v>
      </c>
      <c r="C265" s="1">
        <v>42842</v>
      </c>
      <c r="F265" s="56"/>
      <c r="G265">
        <v>9</v>
      </c>
      <c r="H265">
        <v>4</v>
      </c>
      <c r="I265">
        <v>13.9</v>
      </c>
      <c r="J265">
        <f t="shared" si="30"/>
        <v>1920.4000000000005</v>
      </c>
      <c r="K265">
        <f t="shared" si="31"/>
        <v>29.5</v>
      </c>
      <c r="L265" s="20" t="s">
        <v>37</v>
      </c>
      <c r="M265">
        <v>0</v>
      </c>
      <c r="N265">
        <v>1.8</v>
      </c>
      <c r="O265">
        <f t="shared" si="35"/>
        <v>-1.8</v>
      </c>
      <c r="Q265">
        <v>229</v>
      </c>
      <c r="R265">
        <v>1.1499999999999999</v>
      </c>
      <c r="S265">
        <f t="shared" si="28"/>
        <v>2.0699999999999998</v>
      </c>
      <c r="T265">
        <f t="shared" si="29"/>
        <v>-2.0699999999999998</v>
      </c>
      <c r="U265" s="14">
        <f t="shared" si="34"/>
        <v>60.27675763482786</v>
      </c>
      <c r="V265" s="21" t="s">
        <v>44</v>
      </c>
      <c r="W265">
        <v>1462.9</v>
      </c>
      <c r="X265">
        <f t="shared" si="32"/>
        <v>152968.09999999992</v>
      </c>
      <c r="Y265">
        <f t="shared" si="33"/>
        <v>2729.7</v>
      </c>
      <c r="Z265">
        <v>13.522516078817238</v>
      </c>
      <c r="AA265" s="21" t="s">
        <v>49</v>
      </c>
    </row>
    <row r="266" spans="1:27" x14ac:dyDescent="0.25">
      <c r="A266">
        <v>5320</v>
      </c>
      <c r="B266">
        <v>23210</v>
      </c>
      <c r="C266" s="1">
        <v>42843</v>
      </c>
      <c r="F266" s="56"/>
      <c r="G266">
        <v>7.3</v>
      </c>
      <c r="H266">
        <v>3.1</v>
      </c>
      <c r="I266">
        <v>11.7</v>
      </c>
      <c r="J266">
        <f t="shared" si="30"/>
        <v>1927.7000000000005</v>
      </c>
      <c r="K266">
        <f t="shared" si="31"/>
        <v>36.799999999999997</v>
      </c>
      <c r="L266" s="9">
        <f>AVERAGE(G263:G292)</f>
        <v>10.096666666666668</v>
      </c>
      <c r="M266">
        <v>0</v>
      </c>
      <c r="N266">
        <v>2.4</v>
      </c>
      <c r="O266">
        <f t="shared" si="35"/>
        <v>-2.4</v>
      </c>
      <c r="Q266">
        <v>230</v>
      </c>
      <c r="R266">
        <v>1.1499999999999999</v>
      </c>
      <c r="S266">
        <f t="shared" si="28"/>
        <v>2.76</v>
      </c>
      <c r="T266">
        <f t="shared" si="29"/>
        <v>-2.76</v>
      </c>
      <c r="U266" s="14">
        <f t="shared" si="34"/>
        <v>57.516757634827862</v>
      </c>
      <c r="V266">
        <v>23</v>
      </c>
      <c r="W266">
        <v>1753.1</v>
      </c>
      <c r="X266">
        <f t="shared" si="32"/>
        <v>154721.19999999992</v>
      </c>
      <c r="Y266">
        <f t="shared" si="33"/>
        <v>4482.7999999999993</v>
      </c>
      <c r="Z266">
        <v>13.578890779034143</v>
      </c>
      <c r="AA266">
        <f>(AA264/100)/L264</f>
        <v>1.4600825354902609</v>
      </c>
    </row>
    <row r="267" spans="1:27" x14ac:dyDescent="0.25">
      <c r="A267">
        <v>5320</v>
      </c>
      <c r="B267">
        <v>23210</v>
      </c>
      <c r="C267" s="1">
        <v>42844</v>
      </c>
      <c r="F267" s="56"/>
      <c r="G267">
        <v>6.3</v>
      </c>
      <c r="H267">
        <v>2</v>
      </c>
      <c r="I267">
        <v>11.5</v>
      </c>
      <c r="J267">
        <f t="shared" si="30"/>
        <v>1934.0000000000005</v>
      </c>
      <c r="K267">
        <f t="shared" si="31"/>
        <v>43.099999999999994</v>
      </c>
      <c r="L267" s="20" t="s">
        <v>38</v>
      </c>
      <c r="M267">
        <v>0</v>
      </c>
      <c r="N267">
        <v>3</v>
      </c>
      <c r="O267">
        <f t="shared" si="35"/>
        <v>-3</v>
      </c>
      <c r="Q267">
        <v>231</v>
      </c>
      <c r="R267">
        <v>1.1499999999999999</v>
      </c>
      <c r="S267">
        <f t="shared" si="28"/>
        <v>3.4499999999999997</v>
      </c>
      <c r="T267">
        <f t="shared" si="29"/>
        <v>-3.4499999999999997</v>
      </c>
      <c r="U267" s="14">
        <f t="shared" si="34"/>
        <v>54.066757634827859</v>
      </c>
      <c r="V267" s="21" t="s">
        <v>45</v>
      </c>
      <c r="W267">
        <v>1900.5</v>
      </c>
      <c r="X267">
        <f t="shared" si="32"/>
        <v>156621.69999999992</v>
      </c>
      <c r="Y267">
        <f t="shared" si="33"/>
        <v>6383.2999999999993</v>
      </c>
      <c r="Z267">
        <v>13.634998243967974</v>
      </c>
      <c r="AA267" s="21" t="s">
        <v>50</v>
      </c>
    </row>
    <row r="268" spans="1:27" x14ac:dyDescent="0.25">
      <c r="A268">
        <v>5320</v>
      </c>
      <c r="B268">
        <v>23210</v>
      </c>
      <c r="C268" s="1">
        <v>42845</v>
      </c>
      <c r="F268" s="56"/>
      <c r="G268">
        <v>6.2</v>
      </c>
      <c r="H268">
        <v>-0.2</v>
      </c>
      <c r="I268">
        <v>11.3</v>
      </c>
      <c r="J268">
        <f t="shared" si="30"/>
        <v>1940.2000000000005</v>
      </c>
      <c r="K268">
        <f t="shared" si="31"/>
        <v>49.3</v>
      </c>
      <c r="L268" s="10">
        <f>MIN(H263:H292)</f>
        <v>-0.2</v>
      </c>
      <c r="M268">
        <v>0</v>
      </c>
      <c r="N268">
        <v>3.6</v>
      </c>
      <c r="O268">
        <f t="shared" si="35"/>
        <v>-3.6</v>
      </c>
      <c r="Q268">
        <v>232</v>
      </c>
      <c r="R268">
        <v>1.1499999999999999</v>
      </c>
      <c r="S268">
        <f t="shared" si="28"/>
        <v>4.1399999999999997</v>
      </c>
      <c r="T268">
        <f t="shared" si="29"/>
        <v>-4.1399999999999997</v>
      </c>
      <c r="U268" s="14">
        <f t="shared" si="34"/>
        <v>49.926757634827858</v>
      </c>
      <c r="V268" s="14">
        <f>MIN(U263:U292)</f>
        <v>24.041757634827864</v>
      </c>
      <c r="W268">
        <v>2697.7</v>
      </c>
      <c r="X268">
        <f t="shared" si="32"/>
        <v>159319.39999999994</v>
      </c>
      <c r="Y268">
        <f t="shared" si="33"/>
        <v>9081</v>
      </c>
      <c r="Z268">
        <v>13.690824954076822</v>
      </c>
      <c r="AA268">
        <v>6</v>
      </c>
    </row>
    <row r="269" spans="1:27" x14ac:dyDescent="0.25">
      <c r="A269">
        <v>5320</v>
      </c>
      <c r="B269">
        <v>23210</v>
      </c>
      <c r="C269" s="1">
        <v>42846</v>
      </c>
      <c r="F269" s="56"/>
      <c r="G269">
        <v>9.1</v>
      </c>
      <c r="H269">
        <v>2.6</v>
      </c>
      <c r="I269">
        <v>15.4</v>
      </c>
      <c r="J269">
        <f t="shared" si="30"/>
        <v>1949.3000000000004</v>
      </c>
      <c r="K269">
        <f t="shared" si="31"/>
        <v>58.4</v>
      </c>
      <c r="L269" s="20" t="s">
        <v>39</v>
      </c>
      <c r="M269">
        <v>0</v>
      </c>
      <c r="N269">
        <v>4.2</v>
      </c>
      <c r="O269">
        <f t="shared" si="35"/>
        <v>-4.2</v>
      </c>
      <c r="Q269">
        <v>233</v>
      </c>
      <c r="R269">
        <v>1.1499999999999999</v>
      </c>
      <c r="S269">
        <f t="shared" si="28"/>
        <v>4.83</v>
      </c>
      <c r="T269">
        <f t="shared" si="29"/>
        <v>-4.83</v>
      </c>
      <c r="U269" s="14">
        <f t="shared" si="34"/>
        <v>45.09675763482786</v>
      </c>
      <c r="V269" s="21" t="s">
        <v>46</v>
      </c>
      <c r="W269">
        <v>2702.3</v>
      </c>
      <c r="X269">
        <f t="shared" si="32"/>
        <v>162021.69999999992</v>
      </c>
      <c r="Y269">
        <f t="shared" si="33"/>
        <v>11783.3</v>
      </c>
      <c r="Z269">
        <v>13.746357019490745</v>
      </c>
    </row>
    <row r="270" spans="1:27" x14ac:dyDescent="0.25">
      <c r="A270">
        <v>5320</v>
      </c>
      <c r="B270">
        <v>23210</v>
      </c>
      <c r="C270" s="1">
        <v>42847</v>
      </c>
      <c r="F270" s="56"/>
      <c r="G270">
        <v>10.5</v>
      </c>
      <c r="H270">
        <v>3</v>
      </c>
      <c r="I270">
        <v>16.8</v>
      </c>
      <c r="J270">
        <f t="shared" si="30"/>
        <v>1959.8000000000004</v>
      </c>
      <c r="K270">
        <f t="shared" si="31"/>
        <v>68.900000000000006</v>
      </c>
      <c r="L270" s="9">
        <f>MAX(I263:I292)</f>
        <v>20</v>
      </c>
      <c r="M270">
        <v>0</v>
      </c>
      <c r="N270">
        <v>2.4</v>
      </c>
      <c r="O270">
        <f t="shared" si="35"/>
        <v>-2.4</v>
      </c>
      <c r="Q270">
        <v>234</v>
      </c>
      <c r="R270">
        <v>1.1499999999999999</v>
      </c>
      <c r="S270">
        <f t="shared" si="28"/>
        <v>2.76</v>
      </c>
      <c r="T270">
        <f t="shared" si="29"/>
        <v>-2.76</v>
      </c>
      <c r="U270" s="14">
        <f t="shared" si="34"/>
        <v>42.336757634827862</v>
      </c>
      <c r="V270" s="14">
        <f>MAX(U263:U292)</f>
        <v>63.956757634827859</v>
      </c>
      <c r="W270">
        <v>1491</v>
      </c>
      <c r="X270">
        <f t="shared" si="32"/>
        <v>163512.69999999992</v>
      </c>
      <c r="Y270">
        <f t="shared" si="33"/>
        <v>13274.3</v>
      </c>
      <c r="Z270">
        <v>13.801580171964513</v>
      </c>
    </row>
    <row r="271" spans="1:27" x14ac:dyDescent="0.25">
      <c r="A271">
        <v>5320</v>
      </c>
      <c r="B271">
        <v>23210</v>
      </c>
      <c r="C271" s="1">
        <v>42848</v>
      </c>
      <c r="F271" s="56"/>
      <c r="G271">
        <v>9.6</v>
      </c>
      <c r="H271">
        <v>4.9000000000000004</v>
      </c>
      <c r="I271">
        <v>14.3</v>
      </c>
      <c r="J271">
        <f t="shared" si="30"/>
        <v>1969.4000000000003</v>
      </c>
      <c r="K271">
        <f t="shared" si="31"/>
        <v>78.5</v>
      </c>
      <c r="L271" s="20" t="s">
        <v>40</v>
      </c>
      <c r="M271">
        <v>0</v>
      </c>
      <c r="N271">
        <v>3.9</v>
      </c>
      <c r="O271">
        <f t="shared" si="35"/>
        <v>-3.9</v>
      </c>
      <c r="Q271">
        <v>235</v>
      </c>
      <c r="R271">
        <v>1.1499999999999999</v>
      </c>
      <c r="S271">
        <f t="shared" si="28"/>
        <v>4.4849999999999994</v>
      </c>
      <c r="T271">
        <f t="shared" si="29"/>
        <v>-4.4849999999999994</v>
      </c>
      <c r="U271" s="14">
        <f t="shared" si="34"/>
        <v>37.851757634827862</v>
      </c>
      <c r="V271" s="21" t="s">
        <v>47</v>
      </c>
      <c r="W271">
        <v>2681.7</v>
      </c>
      <c r="X271">
        <f t="shared" si="32"/>
        <v>166194.39999999994</v>
      </c>
      <c r="Y271">
        <f t="shared" si="33"/>
        <v>15956</v>
      </c>
      <c r="Z271">
        <v>13.856479757554803</v>
      </c>
    </row>
    <row r="272" spans="1:27" x14ac:dyDescent="0.25">
      <c r="A272">
        <v>5320</v>
      </c>
      <c r="B272">
        <v>23210</v>
      </c>
      <c r="C272" s="1">
        <v>42849</v>
      </c>
      <c r="F272" s="56"/>
      <c r="G272">
        <v>9.9</v>
      </c>
      <c r="H272">
        <v>3.8</v>
      </c>
      <c r="I272">
        <v>15.8</v>
      </c>
      <c r="J272">
        <f t="shared" si="30"/>
        <v>1979.3000000000004</v>
      </c>
      <c r="K272">
        <f t="shared" si="31"/>
        <v>88.4</v>
      </c>
      <c r="L272" s="9">
        <v>0</v>
      </c>
      <c r="M272">
        <v>0</v>
      </c>
      <c r="N272">
        <v>3.2</v>
      </c>
      <c r="O272">
        <f t="shared" si="35"/>
        <v>-3.2</v>
      </c>
      <c r="Q272">
        <v>236</v>
      </c>
      <c r="R272">
        <v>1.1499999999999999</v>
      </c>
      <c r="S272">
        <f t="shared" si="28"/>
        <v>3.6799999999999997</v>
      </c>
      <c r="T272">
        <f t="shared" si="29"/>
        <v>-3.6799999999999997</v>
      </c>
      <c r="U272" s="14">
        <f t="shared" si="34"/>
        <v>34.171757634827863</v>
      </c>
      <c r="V272" s="14">
        <f>AVERAGE(U263:U292)</f>
        <v>41.159757634827869</v>
      </c>
      <c r="W272">
        <v>2227.1</v>
      </c>
      <c r="X272">
        <f t="shared" si="32"/>
        <v>168421.49999999994</v>
      </c>
      <c r="Y272">
        <f t="shared" si="33"/>
        <v>18183.099999999999</v>
      </c>
      <c r="Z272">
        <v>13.911040730075577</v>
      </c>
    </row>
    <row r="273" spans="1:26" x14ac:dyDescent="0.25">
      <c r="A273">
        <v>5320</v>
      </c>
      <c r="B273">
        <v>23210</v>
      </c>
      <c r="C273" s="1">
        <v>42850</v>
      </c>
      <c r="F273" s="56"/>
      <c r="G273">
        <v>6.3</v>
      </c>
      <c r="H273">
        <v>4.8</v>
      </c>
      <c r="I273">
        <v>7.4</v>
      </c>
      <c r="J273">
        <f t="shared" si="30"/>
        <v>1985.6000000000004</v>
      </c>
      <c r="K273">
        <f t="shared" si="31"/>
        <v>94.7</v>
      </c>
      <c r="L273" s="20" t="s">
        <v>41</v>
      </c>
      <c r="M273">
        <v>1.1000000000000001</v>
      </c>
      <c r="N273">
        <v>0.9</v>
      </c>
      <c r="O273">
        <f t="shared" si="35"/>
        <v>0.20000000000000007</v>
      </c>
      <c r="Q273">
        <v>237</v>
      </c>
      <c r="R273">
        <v>1.1499999999999999</v>
      </c>
      <c r="S273">
        <f t="shared" si="28"/>
        <v>1.0349999999999999</v>
      </c>
      <c r="T273">
        <f t="shared" si="29"/>
        <v>6.5000000000000169E-2</v>
      </c>
      <c r="U273" s="14">
        <f t="shared" si="34"/>
        <v>34.23675763482786</v>
      </c>
      <c r="W273">
        <v>789.4</v>
      </c>
      <c r="X273">
        <f t="shared" si="32"/>
        <v>169210.89999999994</v>
      </c>
      <c r="Y273">
        <f t="shared" si="33"/>
        <v>18972.5</v>
      </c>
      <c r="Z273">
        <v>13.965247645387761</v>
      </c>
    </row>
    <row r="274" spans="1:26" x14ac:dyDescent="0.25">
      <c r="A274">
        <v>5320</v>
      </c>
      <c r="B274">
        <v>23210</v>
      </c>
      <c r="C274" s="1">
        <v>42851</v>
      </c>
      <c r="F274" s="56"/>
      <c r="G274">
        <v>4.5999999999999996</v>
      </c>
      <c r="H274">
        <v>2.4</v>
      </c>
      <c r="I274">
        <v>9.3000000000000007</v>
      </c>
      <c r="J274">
        <f t="shared" si="30"/>
        <v>1990.2000000000003</v>
      </c>
      <c r="K274">
        <f t="shared" si="31"/>
        <v>99.3</v>
      </c>
      <c r="L274" s="9">
        <v>12</v>
      </c>
      <c r="M274">
        <v>0.3</v>
      </c>
      <c r="N274">
        <v>2.2000000000000002</v>
      </c>
      <c r="O274">
        <f t="shared" si="35"/>
        <v>-1.9000000000000001</v>
      </c>
      <c r="Q274">
        <v>238</v>
      </c>
      <c r="R274">
        <v>1.1499999999999999</v>
      </c>
      <c r="S274">
        <f t="shared" si="28"/>
        <v>2.5299999999999998</v>
      </c>
      <c r="T274">
        <f t="shared" si="29"/>
        <v>-2.23</v>
      </c>
      <c r="U274" s="14">
        <f t="shared" si="34"/>
        <v>32.006757634827864</v>
      </c>
      <c r="V274" s="29">
        <f>(V272*100)/138.9</f>
        <v>29.632654884685287</v>
      </c>
      <c r="W274">
        <v>1560.6</v>
      </c>
      <c r="X274">
        <f t="shared" si="32"/>
        <v>170771.49999999994</v>
      </c>
      <c r="Y274">
        <f t="shared" si="33"/>
        <v>20533.099999999999</v>
      </c>
      <c r="Z274">
        <v>14.019084656581397</v>
      </c>
    </row>
    <row r="275" spans="1:26" x14ac:dyDescent="0.25">
      <c r="A275">
        <v>5320</v>
      </c>
      <c r="B275">
        <v>23210</v>
      </c>
      <c r="C275" s="1">
        <v>42852</v>
      </c>
      <c r="F275" s="56"/>
      <c r="G275">
        <v>5.6</v>
      </c>
      <c r="H275">
        <v>0.6</v>
      </c>
      <c r="I275">
        <v>10.1</v>
      </c>
      <c r="J275">
        <f t="shared" si="30"/>
        <v>1995.8000000000002</v>
      </c>
      <c r="K275">
        <f t="shared" si="31"/>
        <v>104.89999999999999</v>
      </c>
      <c r="L275" s="20" t="s">
        <v>42</v>
      </c>
      <c r="M275">
        <v>0</v>
      </c>
      <c r="N275">
        <v>2.2000000000000002</v>
      </c>
      <c r="O275">
        <f t="shared" si="35"/>
        <v>-2.2000000000000002</v>
      </c>
      <c r="Q275">
        <v>239</v>
      </c>
      <c r="R275">
        <v>1.1499999999999999</v>
      </c>
      <c r="S275">
        <f t="shared" si="28"/>
        <v>2.5299999999999998</v>
      </c>
      <c r="T275">
        <f t="shared" si="29"/>
        <v>-2.5299999999999998</v>
      </c>
      <c r="U275" s="14">
        <f t="shared" si="34"/>
        <v>29.476757634827862</v>
      </c>
      <c r="W275">
        <v>1786.1</v>
      </c>
      <c r="X275">
        <f t="shared" si="32"/>
        <v>172557.59999999995</v>
      </c>
      <c r="Y275">
        <f t="shared" si="33"/>
        <v>22319.199999999997</v>
      </c>
      <c r="Z275">
        <v>14.072535510110587</v>
      </c>
    </row>
    <row r="276" spans="1:26" x14ac:dyDescent="0.25">
      <c r="A276">
        <v>5320</v>
      </c>
      <c r="B276">
        <v>23210</v>
      </c>
      <c r="C276" s="1">
        <v>42853</v>
      </c>
      <c r="F276" s="56"/>
      <c r="G276">
        <v>7.4</v>
      </c>
      <c r="H276">
        <v>2.7</v>
      </c>
      <c r="I276">
        <v>12.3</v>
      </c>
      <c r="J276">
        <f t="shared" si="30"/>
        <v>2003.2000000000003</v>
      </c>
      <c r="K276">
        <f t="shared" si="31"/>
        <v>112.3</v>
      </c>
      <c r="L276" s="18">
        <v>1</v>
      </c>
      <c r="M276">
        <v>0.2</v>
      </c>
      <c r="N276">
        <v>1.6</v>
      </c>
      <c r="O276">
        <f t="shared" si="35"/>
        <v>-1.4000000000000001</v>
      </c>
      <c r="Q276">
        <v>240</v>
      </c>
      <c r="R276">
        <v>1.1499999999999999</v>
      </c>
      <c r="S276">
        <f t="shared" si="28"/>
        <v>1.8399999999999999</v>
      </c>
      <c r="T276">
        <f t="shared" si="29"/>
        <v>-1.64</v>
      </c>
      <c r="U276" s="14">
        <f t="shared" si="34"/>
        <v>27.836757634827862</v>
      </c>
      <c r="W276">
        <v>1209</v>
      </c>
      <c r="X276">
        <f t="shared" si="32"/>
        <v>173766.59999999995</v>
      </c>
      <c r="Y276">
        <f t="shared" si="33"/>
        <v>23528.199999999997</v>
      </c>
      <c r="Z276">
        <v>14.125583542943389</v>
      </c>
    </row>
    <row r="277" spans="1:26" x14ac:dyDescent="0.25">
      <c r="A277">
        <v>5320</v>
      </c>
      <c r="B277">
        <v>23210</v>
      </c>
      <c r="C277" s="1">
        <v>42854</v>
      </c>
      <c r="F277" s="56"/>
      <c r="G277">
        <v>10</v>
      </c>
      <c r="H277">
        <v>2.8</v>
      </c>
      <c r="I277">
        <v>16.100000000000001</v>
      </c>
      <c r="J277">
        <f t="shared" si="30"/>
        <v>2013.2000000000003</v>
      </c>
      <c r="K277">
        <f t="shared" si="31"/>
        <v>122.3</v>
      </c>
      <c r="M277">
        <v>0</v>
      </c>
      <c r="N277">
        <v>3.3</v>
      </c>
      <c r="O277">
        <f t="shared" si="35"/>
        <v>-3.3</v>
      </c>
      <c r="Q277">
        <v>241</v>
      </c>
      <c r="R277">
        <v>1.1499999999999999</v>
      </c>
      <c r="S277">
        <f t="shared" si="28"/>
        <v>3.7949999999999995</v>
      </c>
      <c r="T277">
        <f t="shared" si="29"/>
        <v>-3.7949999999999995</v>
      </c>
      <c r="U277" s="14">
        <f t="shared" si="34"/>
        <v>24.041757634827864</v>
      </c>
      <c r="W277">
        <v>1994.3</v>
      </c>
      <c r="X277">
        <f t="shared" si="32"/>
        <v>175760.89999999994</v>
      </c>
      <c r="Y277">
        <f t="shared" si="33"/>
        <v>25522.499999999996</v>
      </c>
      <c r="Z277">
        <v>14.17821168079062</v>
      </c>
    </row>
    <row r="278" spans="1:26" x14ac:dyDescent="0.25">
      <c r="A278">
        <v>5320</v>
      </c>
      <c r="B278">
        <v>23210</v>
      </c>
      <c r="C278" s="1">
        <v>42855</v>
      </c>
      <c r="F278" s="56"/>
      <c r="G278">
        <v>10</v>
      </c>
      <c r="H278">
        <v>6.8</v>
      </c>
      <c r="I278">
        <v>17.100000000000001</v>
      </c>
      <c r="J278">
        <f t="shared" si="30"/>
        <v>2023.2000000000003</v>
      </c>
      <c r="K278">
        <f t="shared" si="31"/>
        <v>132.30000000000001</v>
      </c>
      <c r="M278">
        <v>11.5</v>
      </c>
      <c r="N278">
        <v>2.6</v>
      </c>
      <c r="O278">
        <f t="shared" si="35"/>
        <v>8.9</v>
      </c>
      <c r="Q278">
        <v>242</v>
      </c>
      <c r="R278">
        <v>1.1499999999999999</v>
      </c>
      <c r="S278">
        <f t="shared" si="28"/>
        <v>2.9899999999999998</v>
      </c>
      <c r="T278">
        <f t="shared" si="29"/>
        <v>8.51</v>
      </c>
      <c r="U278" s="14">
        <f t="shared" si="34"/>
        <v>32.551757634827865</v>
      </c>
      <c r="W278">
        <v>951.3</v>
      </c>
      <c r="X278">
        <f t="shared" si="32"/>
        <v>176712.19999999992</v>
      </c>
      <c r="Y278">
        <f t="shared" si="33"/>
        <v>26473.799999999996</v>
      </c>
      <c r="Z278">
        <v>14.230402437478979</v>
      </c>
    </row>
    <row r="279" spans="1:26" x14ac:dyDescent="0.25">
      <c r="A279">
        <v>5320</v>
      </c>
      <c r="B279">
        <v>23210</v>
      </c>
      <c r="C279" s="1">
        <v>42856</v>
      </c>
      <c r="F279" s="56"/>
      <c r="G279">
        <v>9</v>
      </c>
      <c r="H279">
        <v>6.5</v>
      </c>
      <c r="I279">
        <v>10.8</v>
      </c>
      <c r="J279">
        <f t="shared" si="30"/>
        <v>2032.2000000000003</v>
      </c>
      <c r="K279">
        <f t="shared" si="31"/>
        <v>141.30000000000001</v>
      </c>
      <c r="M279">
        <v>2.6</v>
      </c>
      <c r="N279">
        <v>1.7</v>
      </c>
      <c r="O279">
        <f t="shared" si="35"/>
        <v>0.90000000000000013</v>
      </c>
      <c r="Q279">
        <v>243</v>
      </c>
      <c r="R279">
        <v>1.1499999999999999</v>
      </c>
      <c r="S279">
        <f t="shared" si="28"/>
        <v>1.9549999999999998</v>
      </c>
      <c r="T279">
        <f t="shared" si="29"/>
        <v>0.64500000000000024</v>
      </c>
      <c r="U279" s="14">
        <f t="shared" si="34"/>
        <v>33.196757634827868</v>
      </c>
      <c r="W279">
        <v>1263</v>
      </c>
      <c r="X279">
        <f t="shared" si="32"/>
        <v>177975.19999999992</v>
      </c>
      <c r="Y279">
        <f t="shared" si="33"/>
        <v>27736.799999999996</v>
      </c>
      <c r="Z279">
        <v>14.282137915535213</v>
      </c>
    </row>
    <row r="280" spans="1:26" x14ac:dyDescent="0.25">
      <c r="A280">
        <v>5320</v>
      </c>
      <c r="B280">
        <v>23210</v>
      </c>
      <c r="C280" s="1">
        <v>42857</v>
      </c>
      <c r="F280" s="56"/>
      <c r="G280">
        <v>10.9</v>
      </c>
      <c r="H280">
        <v>7.7</v>
      </c>
      <c r="I280">
        <v>14.3</v>
      </c>
      <c r="J280">
        <f t="shared" si="30"/>
        <v>2043.1000000000004</v>
      </c>
      <c r="K280">
        <f t="shared" si="31"/>
        <v>152.20000000000002</v>
      </c>
      <c r="M280">
        <v>0.4</v>
      </c>
      <c r="N280">
        <v>1.5</v>
      </c>
      <c r="O280">
        <f t="shared" si="35"/>
        <v>-1.1000000000000001</v>
      </c>
      <c r="Q280">
        <v>244</v>
      </c>
      <c r="R280">
        <v>1.1499999999999999</v>
      </c>
      <c r="S280">
        <f t="shared" si="28"/>
        <v>1.7249999999999999</v>
      </c>
      <c r="T280">
        <f t="shared" si="29"/>
        <v>-1.3249999999999997</v>
      </c>
      <c r="U280" s="14">
        <f t="shared" si="34"/>
        <v>31.871757634827869</v>
      </c>
      <c r="W280">
        <v>1097.5</v>
      </c>
      <c r="X280">
        <f t="shared" si="32"/>
        <v>179072.69999999992</v>
      </c>
      <c r="Y280">
        <f t="shared" si="33"/>
        <v>28834.299999999996</v>
      </c>
      <c r="Z280">
        <v>14.333399808048988</v>
      </c>
    </row>
    <row r="281" spans="1:26" x14ac:dyDescent="0.25">
      <c r="A281">
        <v>5320</v>
      </c>
      <c r="B281">
        <v>23210</v>
      </c>
      <c r="C281" s="1">
        <v>42858</v>
      </c>
      <c r="F281" s="56"/>
      <c r="G281">
        <v>9.6999999999999993</v>
      </c>
      <c r="H281">
        <v>8.5</v>
      </c>
      <c r="I281">
        <v>12.6</v>
      </c>
      <c r="J281">
        <f t="shared" si="30"/>
        <v>2052.8000000000002</v>
      </c>
      <c r="K281">
        <f t="shared" si="31"/>
        <v>161.9</v>
      </c>
      <c r="M281">
        <v>1.1000000000000001</v>
      </c>
      <c r="N281">
        <v>0.9</v>
      </c>
      <c r="O281">
        <f t="shared" si="35"/>
        <v>0.20000000000000007</v>
      </c>
      <c r="Q281">
        <v>245</v>
      </c>
      <c r="R281">
        <v>1.1499999999999999</v>
      </c>
      <c r="S281">
        <f t="shared" si="28"/>
        <v>1.0349999999999999</v>
      </c>
      <c r="T281">
        <f t="shared" si="29"/>
        <v>6.5000000000000169E-2</v>
      </c>
      <c r="U281" s="14">
        <f t="shared" si="34"/>
        <v>31.93675763482787</v>
      </c>
      <c r="W281">
        <v>847.2</v>
      </c>
      <c r="X281">
        <f t="shared" si="32"/>
        <v>179919.89999999994</v>
      </c>
      <c r="Y281">
        <f t="shared" si="33"/>
        <v>29681.499999999996</v>
      </c>
      <c r="Z281">
        <v>14.38416940188279</v>
      </c>
    </row>
    <row r="282" spans="1:26" x14ac:dyDescent="0.25">
      <c r="A282">
        <v>5320</v>
      </c>
      <c r="B282">
        <v>23210</v>
      </c>
      <c r="C282" s="1">
        <v>42859</v>
      </c>
      <c r="F282" s="56"/>
      <c r="G282">
        <v>11.3</v>
      </c>
      <c r="H282">
        <v>7.3</v>
      </c>
      <c r="I282">
        <v>15.1</v>
      </c>
      <c r="J282">
        <f t="shared" si="30"/>
        <v>2064.1000000000004</v>
      </c>
      <c r="K282">
        <f t="shared" si="31"/>
        <v>173.20000000000002</v>
      </c>
      <c r="M282">
        <v>0.2</v>
      </c>
      <c r="N282">
        <v>1.4</v>
      </c>
      <c r="O282">
        <f t="shared" si="35"/>
        <v>-1.2</v>
      </c>
      <c r="Q282">
        <v>246</v>
      </c>
      <c r="R282">
        <v>1.1499999999999999</v>
      </c>
      <c r="S282">
        <f t="shared" si="28"/>
        <v>1.6099999999999999</v>
      </c>
      <c r="T282">
        <f t="shared" si="29"/>
        <v>-1.41</v>
      </c>
      <c r="U282" s="14">
        <f t="shared" si="34"/>
        <v>30.52675763482787</v>
      </c>
      <c r="W282">
        <v>1005.2</v>
      </c>
      <c r="X282">
        <f t="shared" si="32"/>
        <v>180925.09999999995</v>
      </c>
      <c r="Y282">
        <f t="shared" si="33"/>
        <v>30686.699999999997</v>
      </c>
      <c r="Z282">
        <v>14.434427582297424</v>
      </c>
    </row>
    <row r="283" spans="1:26" x14ac:dyDescent="0.25">
      <c r="A283">
        <v>5320</v>
      </c>
      <c r="B283">
        <v>23210</v>
      </c>
      <c r="C283" s="1">
        <v>42860</v>
      </c>
      <c r="F283" s="56"/>
      <c r="G283">
        <v>13.3</v>
      </c>
      <c r="H283">
        <v>6.9</v>
      </c>
      <c r="I283">
        <v>18.3</v>
      </c>
      <c r="J283">
        <f t="shared" si="30"/>
        <v>2077.4000000000005</v>
      </c>
      <c r="K283">
        <f t="shared" si="31"/>
        <v>186.50000000000003</v>
      </c>
      <c r="M283">
        <v>13.3</v>
      </c>
      <c r="N283">
        <v>2.2000000000000002</v>
      </c>
      <c r="O283">
        <f t="shared" si="35"/>
        <v>11.100000000000001</v>
      </c>
      <c r="Q283">
        <v>247</v>
      </c>
      <c r="R283">
        <v>1.1499999999999999</v>
      </c>
      <c r="S283">
        <f t="shared" si="28"/>
        <v>2.5299999999999998</v>
      </c>
      <c r="T283">
        <f t="shared" si="29"/>
        <v>10.770000000000001</v>
      </c>
      <c r="U283" s="14">
        <f t="shared" si="34"/>
        <v>41.29675763482787</v>
      </c>
      <c r="W283">
        <v>1316.4</v>
      </c>
      <c r="X283">
        <f t="shared" si="32"/>
        <v>182241.49999999994</v>
      </c>
      <c r="Y283">
        <f t="shared" si="33"/>
        <v>32003.1</v>
      </c>
      <c r="Z283">
        <v>14.484154839061496</v>
      </c>
    </row>
    <row r="284" spans="1:26" x14ac:dyDescent="0.25">
      <c r="A284">
        <v>5320</v>
      </c>
      <c r="B284">
        <v>23210</v>
      </c>
      <c r="C284" s="1">
        <v>42861</v>
      </c>
      <c r="F284" s="56"/>
      <c r="G284">
        <v>13</v>
      </c>
      <c r="H284">
        <v>11.4</v>
      </c>
      <c r="I284">
        <v>14.7</v>
      </c>
      <c r="J284">
        <f t="shared" si="30"/>
        <v>2090.4000000000005</v>
      </c>
      <c r="K284">
        <f t="shared" si="31"/>
        <v>199.50000000000003</v>
      </c>
      <c r="M284">
        <v>4.4000000000000004</v>
      </c>
      <c r="N284">
        <v>0.9</v>
      </c>
      <c r="O284">
        <f t="shared" si="35"/>
        <v>3.5000000000000004</v>
      </c>
      <c r="Q284">
        <v>248</v>
      </c>
      <c r="R284">
        <v>1.1499999999999999</v>
      </c>
      <c r="S284">
        <f t="shared" si="28"/>
        <v>1.0349999999999999</v>
      </c>
      <c r="T284">
        <f t="shared" si="29"/>
        <v>3.3650000000000002</v>
      </c>
      <c r="U284" s="14">
        <f t="shared" si="34"/>
        <v>44.661757634827872</v>
      </c>
      <c r="W284">
        <v>545.4</v>
      </c>
      <c r="X284">
        <f t="shared" si="32"/>
        <v>182786.89999999994</v>
      </c>
      <c r="Y284">
        <f t="shared" si="33"/>
        <v>32548.5</v>
      </c>
      <c r="Z284">
        <v>14.533331274112632</v>
      </c>
    </row>
    <row r="285" spans="1:26" x14ac:dyDescent="0.25">
      <c r="A285">
        <v>5320</v>
      </c>
      <c r="B285">
        <v>23210</v>
      </c>
      <c r="C285" s="1">
        <v>42862</v>
      </c>
      <c r="F285" s="56"/>
      <c r="G285">
        <v>12.4</v>
      </c>
      <c r="H285">
        <v>10.5</v>
      </c>
      <c r="I285">
        <v>15.4</v>
      </c>
      <c r="J285">
        <f t="shared" si="30"/>
        <v>2102.8000000000006</v>
      </c>
      <c r="K285">
        <f t="shared" si="31"/>
        <v>211.90000000000003</v>
      </c>
      <c r="M285">
        <v>0</v>
      </c>
      <c r="N285">
        <v>2.2999999999999998</v>
      </c>
      <c r="O285">
        <f t="shared" si="35"/>
        <v>-2.2999999999999998</v>
      </c>
      <c r="Q285">
        <v>249</v>
      </c>
      <c r="R285">
        <v>1.1499999999999999</v>
      </c>
      <c r="S285">
        <f t="shared" si="28"/>
        <v>2.6449999999999996</v>
      </c>
      <c r="T285">
        <f t="shared" si="29"/>
        <v>-2.6449999999999996</v>
      </c>
      <c r="U285" s="14">
        <f t="shared" si="34"/>
        <v>42.016757634827869</v>
      </c>
      <c r="W285">
        <v>1426.6</v>
      </c>
      <c r="X285">
        <f t="shared" si="32"/>
        <v>184213.49999999994</v>
      </c>
      <c r="Y285">
        <f t="shared" si="33"/>
        <v>33975.1</v>
      </c>
      <c r="Z285">
        <v>14.581936610837015</v>
      </c>
    </row>
    <row r="286" spans="1:26" x14ac:dyDescent="0.25">
      <c r="A286">
        <v>5320</v>
      </c>
      <c r="B286">
        <v>23210</v>
      </c>
      <c r="C286" s="1">
        <v>42863</v>
      </c>
      <c r="F286" s="56"/>
      <c r="G286">
        <v>10.5</v>
      </c>
      <c r="H286">
        <v>6.3</v>
      </c>
      <c r="I286">
        <v>14.4</v>
      </c>
      <c r="J286">
        <f t="shared" si="30"/>
        <v>2113.3000000000006</v>
      </c>
      <c r="K286">
        <f t="shared" si="31"/>
        <v>222.40000000000003</v>
      </c>
      <c r="M286">
        <v>0</v>
      </c>
      <c r="N286">
        <v>1.2</v>
      </c>
      <c r="O286">
        <f t="shared" si="35"/>
        <v>-1.2</v>
      </c>
      <c r="Q286">
        <v>250</v>
      </c>
      <c r="R286">
        <v>1.1499999999999999</v>
      </c>
      <c r="S286">
        <f t="shared" si="28"/>
        <v>1.38</v>
      </c>
      <c r="T286">
        <f t="shared" si="29"/>
        <v>-1.38</v>
      </c>
      <c r="U286" s="14">
        <f t="shared" si="34"/>
        <v>40.636757634827866</v>
      </c>
      <c r="W286">
        <v>528.6</v>
      </c>
      <c r="X286">
        <f t="shared" si="32"/>
        <v>184742.09999999995</v>
      </c>
      <c r="Y286">
        <f t="shared" si="33"/>
        <v>34503.699999999997</v>
      </c>
      <c r="Z286">
        <v>14.629950205032031</v>
      </c>
    </row>
    <row r="287" spans="1:26" x14ac:dyDescent="0.25">
      <c r="A287">
        <v>5320</v>
      </c>
      <c r="B287">
        <v>23210</v>
      </c>
      <c r="C287" s="1">
        <v>42864</v>
      </c>
      <c r="F287" s="56"/>
      <c r="G287">
        <v>11.1</v>
      </c>
      <c r="H287">
        <v>7.6</v>
      </c>
      <c r="I287">
        <v>14.6</v>
      </c>
      <c r="J287">
        <f t="shared" si="30"/>
        <v>2124.4000000000005</v>
      </c>
      <c r="K287">
        <f t="shared" si="31"/>
        <v>233.50000000000003</v>
      </c>
      <c r="M287">
        <v>0</v>
      </c>
      <c r="N287">
        <v>2.7</v>
      </c>
      <c r="O287">
        <f t="shared" si="35"/>
        <v>-2.7</v>
      </c>
      <c r="Q287">
        <v>251</v>
      </c>
      <c r="R287">
        <v>1.1499999999999999</v>
      </c>
      <c r="S287">
        <f t="shared" si="28"/>
        <v>3.105</v>
      </c>
      <c r="T287">
        <f t="shared" si="29"/>
        <v>-3.105</v>
      </c>
      <c r="U287" s="14">
        <f t="shared" si="34"/>
        <v>37.531757634827869</v>
      </c>
      <c r="W287">
        <v>1445.1</v>
      </c>
      <c r="X287">
        <f t="shared" si="32"/>
        <v>186187.19999999995</v>
      </c>
      <c r="Y287">
        <f t="shared" si="33"/>
        <v>35948.799999999996</v>
      </c>
      <c r="Z287">
        <v>14.677351057614453</v>
      </c>
    </row>
    <row r="288" spans="1:26" x14ac:dyDescent="0.25">
      <c r="A288">
        <v>5320</v>
      </c>
      <c r="B288">
        <v>23210</v>
      </c>
      <c r="C288" s="1">
        <v>42865</v>
      </c>
      <c r="F288" s="56"/>
      <c r="G288">
        <v>14.2</v>
      </c>
      <c r="H288">
        <v>7.8</v>
      </c>
      <c r="I288">
        <v>20</v>
      </c>
      <c r="J288">
        <f t="shared" si="30"/>
        <v>2138.6000000000004</v>
      </c>
      <c r="K288">
        <f t="shared" si="31"/>
        <v>247.70000000000002</v>
      </c>
      <c r="M288">
        <v>0.1</v>
      </c>
      <c r="N288">
        <v>4.0999999999999996</v>
      </c>
      <c r="O288">
        <f t="shared" si="35"/>
        <v>-3.9999999999999996</v>
      </c>
      <c r="Q288">
        <v>252</v>
      </c>
      <c r="R288">
        <v>1.1499999999999999</v>
      </c>
      <c r="S288">
        <f t="shared" si="28"/>
        <v>4.714999999999999</v>
      </c>
      <c r="T288">
        <f t="shared" si="29"/>
        <v>-4.6149999999999993</v>
      </c>
      <c r="U288" s="14">
        <f t="shared" si="34"/>
        <v>32.916757634827867</v>
      </c>
      <c r="W288">
        <v>2524.8000000000002</v>
      </c>
      <c r="X288">
        <f t="shared" si="32"/>
        <v>188711.99999999994</v>
      </c>
      <c r="Y288">
        <f t="shared" si="33"/>
        <v>38473.599999999999</v>
      </c>
      <c r="Z288">
        <v>14.724117829133567</v>
      </c>
    </row>
    <row r="289" spans="1:27" x14ac:dyDescent="0.25">
      <c r="A289">
        <v>5320</v>
      </c>
      <c r="B289">
        <v>23210</v>
      </c>
      <c r="C289" s="1">
        <v>42866</v>
      </c>
      <c r="F289" s="56"/>
      <c r="G289">
        <v>12.9</v>
      </c>
      <c r="H289">
        <v>12.3</v>
      </c>
      <c r="I289">
        <v>14.9</v>
      </c>
      <c r="J289">
        <f t="shared" si="30"/>
        <v>2151.5000000000005</v>
      </c>
      <c r="K289">
        <f t="shared" si="31"/>
        <v>260.60000000000002</v>
      </c>
      <c r="M289">
        <v>10.9</v>
      </c>
      <c r="N289">
        <v>1.5</v>
      </c>
      <c r="O289">
        <f t="shared" si="35"/>
        <v>9.4</v>
      </c>
      <c r="Q289">
        <v>253</v>
      </c>
      <c r="R289">
        <v>1.1499999999999999</v>
      </c>
      <c r="S289">
        <f t="shared" si="28"/>
        <v>1.7249999999999999</v>
      </c>
      <c r="T289">
        <f t="shared" si="29"/>
        <v>9.1750000000000007</v>
      </c>
      <c r="U289" s="14">
        <f t="shared" si="34"/>
        <v>42.091757634827871</v>
      </c>
      <c r="W289">
        <v>1089.5</v>
      </c>
      <c r="X289">
        <f t="shared" si="32"/>
        <v>189801.49999999994</v>
      </c>
      <c r="Y289">
        <f t="shared" si="33"/>
        <v>39563.1</v>
      </c>
      <c r="Z289">
        <v>14.770228856144719</v>
      </c>
    </row>
    <row r="290" spans="1:27" x14ac:dyDescent="0.25">
      <c r="A290">
        <v>5320</v>
      </c>
      <c r="B290">
        <v>23210</v>
      </c>
      <c r="C290" s="1">
        <v>42867</v>
      </c>
      <c r="F290" s="56"/>
      <c r="G290">
        <v>14.1</v>
      </c>
      <c r="H290">
        <v>11</v>
      </c>
      <c r="I290">
        <v>18.8</v>
      </c>
      <c r="J290">
        <f t="shared" si="30"/>
        <v>2165.6000000000004</v>
      </c>
      <c r="K290">
        <f t="shared" si="31"/>
        <v>274.70000000000005</v>
      </c>
      <c r="M290">
        <v>9</v>
      </c>
      <c r="N290">
        <v>1.6</v>
      </c>
      <c r="O290">
        <f t="shared" si="35"/>
        <v>7.4</v>
      </c>
      <c r="Q290">
        <v>254</v>
      </c>
      <c r="R290">
        <v>1.1499999999999999</v>
      </c>
      <c r="S290">
        <f t="shared" si="28"/>
        <v>1.8399999999999999</v>
      </c>
      <c r="T290">
        <f t="shared" si="29"/>
        <v>7.16</v>
      </c>
      <c r="U290" s="14">
        <f t="shared" si="34"/>
        <v>49.251757634827868</v>
      </c>
      <c r="W290">
        <v>1156.8</v>
      </c>
      <c r="X290">
        <f t="shared" si="32"/>
        <v>190958.29999999993</v>
      </c>
      <c r="Y290">
        <f t="shared" si="33"/>
        <v>40719.9</v>
      </c>
      <c r="Z290">
        <v>14.81566216949439</v>
      </c>
    </row>
    <row r="291" spans="1:27" x14ac:dyDescent="0.25">
      <c r="A291">
        <v>5320</v>
      </c>
      <c r="B291">
        <v>23210</v>
      </c>
      <c r="C291" s="1">
        <v>42868</v>
      </c>
      <c r="F291" s="56"/>
      <c r="G291">
        <v>14</v>
      </c>
      <c r="H291">
        <v>10.7</v>
      </c>
      <c r="I291">
        <v>17.8</v>
      </c>
      <c r="J291">
        <f t="shared" si="30"/>
        <v>2179.6000000000004</v>
      </c>
      <c r="K291">
        <f t="shared" si="31"/>
        <v>288.70000000000005</v>
      </c>
      <c r="M291">
        <v>0</v>
      </c>
      <c r="N291">
        <v>2.9</v>
      </c>
      <c r="O291">
        <f t="shared" si="35"/>
        <v>-2.9</v>
      </c>
      <c r="Q291">
        <v>255</v>
      </c>
      <c r="R291">
        <v>1.1499999999999999</v>
      </c>
      <c r="S291">
        <f t="shared" si="28"/>
        <v>3.3349999999999995</v>
      </c>
      <c r="T291">
        <f t="shared" si="29"/>
        <v>-3.3349999999999995</v>
      </c>
      <c r="U291" s="14">
        <f t="shared" si="34"/>
        <v>45.916757634827867</v>
      </c>
      <c r="W291">
        <v>1903.9</v>
      </c>
      <c r="X291">
        <f t="shared" si="32"/>
        <v>192862.19999999992</v>
      </c>
      <c r="Y291">
        <f t="shared" si="33"/>
        <v>42623.8</v>
      </c>
      <c r="Z291">
        <v>14.860395514562279</v>
      </c>
    </row>
    <row r="292" spans="1:27" s="6" customFormat="1" ht="15.75" thickBot="1" x14ac:dyDescent="0.3">
      <c r="A292" s="6">
        <v>5320</v>
      </c>
      <c r="B292" s="6">
        <v>23210</v>
      </c>
      <c r="C292" s="7">
        <v>42869</v>
      </c>
      <c r="D292" s="6">
        <v>300</v>
      </c>
      <c r="F292" s="45"/>
      <c r="G292" s="6">
        <v>14.2</v>
      </c>
      <c r="H292" s="6">
        <v>9.1999999999999993</v>
      </c>
      <c r="I292" s="6">
        <v>18.899999999999999</v>
      </c>
      <c r="J292" s="6">
        <f t="shared" si="30"/>
        <v>2193.8000000000002</v>
      </c>
      <c r="K292" s="6">
        <f t="shared" si="31"/>
        <v>302.90000000000003</v>
      </c>
      <c r="M292" s="6">
        <v>0.2</v>
      </c>
      <c r="N292" s="6">
        <v>2.5</v>
      </c>
      <c r="O292" s="6">
        <f t="shared" si="35"/>
        <v>-2.2999999999999998</v>
      </c>
      <c r="Q292" s="6">
        <v>256</v>
      </c>
      <c r="R292" s="6">
        <v>1.1499999999999999</v>
      </c>
      <c r="S292" s="6">
        <f t="shared" si="28"/>
        <v>2.875</v>
      </c>
      <c r="T292" s="6">
        <f t="shared" si="29"/>
        <v>-2.6749999999999998</v>
      </c>
      <c r="U292" s="14">
        <f t="shared" si="34"/>
        <v>43.24175763482787</v>
      </c>
      <c r="W292" s="6">
        <v>1602.1</v>
      </c>
      <c r="X292" s="6">
        <f t="shared" si="32"/>
        <v>194464.29999999993</v>
      </c>
      <c r="Y292" s="6">
        <f t="shared" si="33"/>
        <v>44225.9</v>
      </c>
      <c r="Z292" s="6">
        <v>14.904406373499803</v>
      </c>
    </row>
    <row r="293" spans="1:27" s="27" customFormat="1" x14ac:dyDescent="0.25">
      <c r="A293" s="27">
        <v>5320</v>
      </c>
      <c r="B293" s="27">
        <v>23210</v>
      </c>
      <c r="C293" s="28">
        <v>42870</v>
      </c>
      <c r="F293" s="46" t="s">
        <v>56</v>
      </c>
      <c r="G293" s="27">
        <v>17</v>
      </c>
      <c r="H293" s="27">
        <v>9.1</v>
      </c>
      <c r="I293" s="27">
        <v>22.7</v>
      </c>
      <c r="J293" s="27">
        <f t="shared" si="30"/>
        <v>2210.8000000000002</v>
      </c>
      <c r="K293">
        <f>G293</f>
        <v>17</v>
      </c>
      <c r="L293" s="22" t="s">
        <v>36</v>
      </c>
      <c r="M293" s="27">
        <v>0</v>
      </c>
      <c r="N293" s="27">
        <v>3</v>
      </c>
      <c r="O293" s="27">
        <f t="shared" si="35"/>
        <v>-3</v>
      </c>
      <c r="Q293" s="27">
        <v>257</v>
      </c>
      <c r="R293">
        <f>1.15+((Q293-256)/66)*(0.35-1.15)</f>
        <v>1.1378787878787877</v>
      </c>
      <c r="S293" s="27">
        <f t="shared" si="28"/>
        <v>3.4136363636363631</v>
      </c>
      <c r="T293" s="27">
        <f t="shared" si="29"/>
        <v>-3.4136363636363631</v>
      </c>
      <c r="U293" s="14">
        <f t="shared" si="34"/>
        <v>39.828121271191506</v>
      </c>
      <c r="V293" s="23" t="s">
        <v>43</v>
      </c>
      <c r="W293" s="27">
        <v>2042.9</v>
      </c>
      <c r="X293" s="27">
        <f t="shared" si="32"/>
        <v>196507.19999999992</v>
      </c>
      <c r="Y293">
        <f>W293</f>
        <v>2042.9</v>
      </c>
      <c r="Z293" s="27">
        <v>14.947671989497163</v>
      </c>
      <c r="AA293" s="23" t="s">
        <v>48</v>
      </c>
    </row>
    <row r="294" spans="1:27" ht="15" customHeight="1" x14ac:dyDescent="0.25">
      <c r="A294">
        <v>5320</v>
      </c>
      <c r="B294">
        <v>23210</v>
      </c>
      <c r="C294" s="1">
        <v>42871</v>
      </c>
      <c r="F294" s="57"/>
      <c r="G294">
        <v>20.100000000000001</v>
      </c>
      <c r="H294">
        <v>14.1</v>
      </c>
      <c r="I294">
        <v>25.6</v>
      </c>
      <c r="J294">
        <f t="shared" si="30"/>
        <v>2230.9</v>
      </c>
      <c r="K294">
        <f t="shared" si="31"/>
        <v>37.1</v>
      </c>
      <c r="L294" s="9">
        <v>307.3</v>
      </c>
      <c r="M294">
        <v>0</v>
      </c>
      <c r="N294">
        <v>2.8</v>
      </c>
      <c r="O294">
        <f t="shared" si="35"/>
        <v>-2.8</v>
      </c>
      <c r="Q294">
        <v>258</v>
      </c>
      <c r="R294">
        <f t="shared" ref="R294:R357" si="36">1.15+((Q294-256)/66)*(0.35-1.15)</f>
        <v>1.1257575757575757</v>
      </c>
      <c r="S294">
        <f t="shared" ref="S294:S357" si="37">R294*N294</f>
        <v>3.1521212121212119</v>
      </c>
      <c r="T294">
        <f t="shared" ref="T294:T357" si="38">M294-S294</f>
        <v>-3.1521212121212119</v>
      </c>
      <c r="U294" s="14">
        <f t="shared" si="34"/>
        <v>36.676000059070297</v>
      </c>
      <c r="V294">
        <v>0</v>
      </c>
      <c r="W294">
        <v>1533.4</v>
      </c>
      <c r="X294">
        <f t="shared" si="32"/>
        <v>198040.59999999992</v>
      </c>
      <c r="Y294">
        <f t="shared" si="33"/>
        <v>3576.3</v>
      </c>
      <c r="Z294">
        <v>14.990169393103066</v>
      </c>
      <c r="AA294">
        <v>32794</v>
      </c>
    </row>
    <row r="295" spans="1:27" x14ac:dyDescent="0.25">
      <c r="A295">
        <v>5320</v>
      </c>
      <c r="B295">
        <v>23210</v>
      </c>
      <c r="C295" s="1">
        <v>42872</v>
      </c>
      <c r="F295" s="57"/>
      <c r="G295">
        <v>19.5</v>
      </c>
      <c r="H295">
        <v>14.1</v>
      </c>
      <c r="I295">
        <v>27.1</v>
      </c>
      <c r="J295">
        <f t="shared" ref="J295:J358" si="39">J294+G295</f>
        <v>2250.4</v>
      </c>
      <c r="K295">
        <f t="shared" ref="K295:K358" si="40">K294+G295</f>
        <v>56.6</v>
      </c>
      <c r="L295" s="22" t="s">
        <v>37</v>
      </c>
      <c r="M295">
        <v>6.3</v>
      </c>
      <c r="N295">
        <v>3.5</v>
      </c>
      <c r="O295">
        <f t="shared" si="35"/>
        <v>2.8</v>
      </c>
      <c r="Q295">
        <v>259</v>
      </c>
      <c r="R295">
        <f t="shared" si="36"/>
        <v>1.1136363636363635</v>
      </c>
      <c r="S295">
        <f t="shared" si="37"/>
        <v>3.8977272727272725</v>
      </c>
      <c r="T295">
        <f t="shared" si="38"/>
        <v>2.4022727272727273</v>
      </c>
      <c r="U295" s="14">
        <f t="shared" si="34"/>
        <v>39.078272786343021</v>
      </c>
      <c r="V295" s="23" t="s">
        <v>44</v>
      </c>
      <c r="W295">
        <v>1748.7</v>
      </c>
      <c r="X295">
        <f t="shared" ref="X295:X358" si="41">X294+W295</f>
        <v>199789.29999999993</v>
      </c>
      <c r="Y295">
        <f t="shared" ref="Y295:Y358" si="42">Y294+W295</f>
        <v>5325</v>
      </c>
      <c r="Z295">
        <v>15.031875430612185</v>
      </c>
      <c r="AA295" s="23" t="s">
        <v>49</v>
      </c>
    </row>
    <row r="296" spans="1:27" x14ac:dyDescent="0.25">
      <c r="A296">
        <v>5320</v>
      </c>
      <c r="B296">
        <v>23210</v>
      </c>
      <c r="C296" s="1">
        <v>42873</v>
      </c>
      <c r="F296" s="57"/>
      <c r="G296">
        <v>13.5</v>
      </c>
      <c r="H296">
        <v>11.4</v>
      </c>
      <c r="I296">
        <v>15.8</v>
      </c>
      <c r="J296">
        <f t="shared" si="39"/>
        <v>2263.9</v>
      </c>
      <c r="K296">
        <f t="shared" si="40"/>
        <v>70.099999999999994</v>
      </c>
      <c r="L296" s="9">
        <f>AVERAGE(G293:G309)</f>
        <v>18.076470588235296</v>
      </c>
      <c r="M296">
        <v>24.2</v>
      </c>
      <c r="N296">
        <v>1</v>
      </c>
      <c r="O296">
        <f t="shared" si="35"/>
        <v>23.2</v>
      </c>
      <c r="Q296">
        <v>260</v>
      </c>
      <c r="R296">
        <f t="shared" si="36"/>
        <v>1.1015151515151513</v>
      </c>
      <c r="S296">
        <f t="shared" si="37"/>
        <v>1.1015151515151513</v>
      </c>
      <c r="T296">
        <f t="shared" si="38"/>
        <v>23.098484848484848</v>
      </c>
      <c r="U296" s="14">
        <f t="shared" ref="U296:U354" si="43">MIN(U295+T296,138.9)</f>
        <v>62.176757634827865</v>
      </c>
      <c r="V296">
        <v>10</v>
      </c>
      <c r="W296">
        <v>615.4</v>
      </c>
      <c r="X296">
        <f t="shared" si="41"/>
        <v>200404.69999999992</v>
      </c>
      <c r="Y296">
        <f t="shared" si="42"/>
        <v>5940.4</v>
      </c>
      <c r="Z296">
        <v>15.072766794525426</v>
      </c>
      <c r="AA296">
        <f>(AA294/100)/L294</f>
        <v>1.0671656361861372</v>
      </c>
    </row>
    <row r="297" spans="1:27" x14ac:dyDescent="0.25">
      <c r="A297">
        <v>5320</v>
      </c>
      <c r="B297">
        <v>23210</v>
      </c>
      <c r="C297" s="1">
        <v>42874</v>
      </c>
      <c r="F297" s="57"/>
      <c r="G297">
        <v>10</v>
      </c>
      <c r="H297">
        <v>9.4</v>
      </c>
      <c r="I297">
        <v>11.2</v>
      </c>
      <c r="J297">
        <f t="shared" si="39"/>
        <v>2273.9</v>
      </c>
      <c r="K297">
        <f t="shared" si="40"/>
        <v>80.099999999999994</v>
      </c>
      <c r="L297" s="22" t="s">
        <v>38</v>
      </c>
      <c r="M297">
        <v>4.5999999999999996</v>
      </c>
      <c r="N297">
        <v>1.2</v>
      </c>
      <c r="O297">
        <f t="shared" si="35"/>
        <v>3.3999999999999995</v>
      </c>
      <c r="Q297">
        <v>261</v>
      </c>
      <c r="R297">
        <f t="shared" si="36"/>
        <v>1.0893939393939394</v>
      </c>
      <c r="S297">
        <f t="shared" si="37"/>
        <v>1.3072727272727271</v>
      </c>
      <c r="T297">
        <f t="shared" si="38"/>
        <v>3.2927272727272725</v>
      </c>
      <c r="U297" s="14">
        <f t="shared" si="43"/>
        <v>65.469484907555142</v>
      </c>
      <c r="V297" s="23" t="s">
        <v>45</v>
      </c>
      <c r="W297">
        <v>1295.0999999999999</v>
      </c>
      <c r="X297">
        <f t="shared" si="41"/>
        <v>201699.79999999993</v>
      </c>
      <c r="Y297">
        <f t="shared" si="42"/>
        <v>7235.5</v>
      </c>
      <c r="Z297">
        <v>15.112820056077146</v>
      </c>
      <c r="AA297" s="23" t="s">
        <v>50</v>
      </c>
    </row>
    <row r="298" spans="1:27" x14ac:dyDescent="0.25">
      <c r="A298">
        <v>5320</v>
      </c>
      <c r="B298">
        <v>23210</v>
      </c>
      <c r="C298" s="1">
        <v>42875</v>
      </c>
      <c r="F298" s="57"/>
      <c r="G298">
        <v>11.4</v>
      </c>
      <c r="H298">
        <v>7.1</v>
      </c>
      <c r="I298">
        <v>15.1</v>
      </c>
      <c r="J298">
        <f t="shared" si="39"/>
        <v>2285.3000000000002</v>
      </c>
      <c r="K298">
        <f t="shared" si="40"/>
        <v>91.5</v>
      </c>
      <c r="L298" s="10">
        <f>MIN(H293:H309)</f>
        <v>7.1</v>
      </c>
      <c r="M298">
        <v>1.4</v>
      </c>
      <c r="N298">
        <v>2.2999999999999998</v>
      </c>
      <c r="O298">
        <f t="shared" si="35"/>
        <v>-0.89999999999999991</v>
      </c>
      <c r="Q298">
        <v>262</v>
      </c>
      <c r="R298">
        <f t="shared" si="36"/>
        <v>1.0772727272727272</v>
      </c>
      <c r="S298">
        <f t="shared" si="37"/>
        <v>2.4777272727272721</v>
      </c>
      <c r="T298">
        <f t="shared" si="38"/>
        <v>-1.0777272727272722</v>
      </c>
      <c r="U298" s="14">
        <f t="shared" si="43"/>
        <v>64.391757634827869</v>
      </c>
      <c r="V298" s="14">
        <f>MIN(U293:U309)</f>
        <v>19.880697028767262</v>
      </c>
      <c r="W298">
        <v>1645.3</v>
      </c>
      <c r="X298">
        <f t="shared" si="41"/>
        <v>203345.09999999992</v>
      </c>
      <c r="Y298">
        <f t="shared" si="42"/>
        <v>8880.7999999999993</v>
      </c>
      <c r="Z298">
        <v>15.152011699811601</v>
      </c>
      <c r="AA298">
        <v>1</v>
      </c>
    </row>
    <row r="299" spans="1:27" x14ac:dyDescent="0.25">
      <c r="A299">
        <v>5320</v>
      </c>
      <c r="B299">
        <v>23210</v>
      </c>
      <c r="C299" s="1">
        <v>42876</v>
      </c>
      <c r="F299" s="57"/>
      <c r="G299">
        <v>14.7</v>
      </c>
      <c r="H299">
        <v>8.1</v>
      </c>
      <c r="I299">
        <v>20.2</v>
      </c>
      <c r="J299">
        <f t="shared" si="39"/>
        <v>2300</v>
      </c>
      <c r="K299">
        <f t="shared" si="40"/>
        <v>106.2</v>
      </c>
      <c r="L299" s="22" t="s">
        <v>39</v>
      </c>
      <c r="M299">
        <v>0</v>
      </c>
      <c r="N299">
        <v>3.2</v>
      </c>
      <c r="O299">
        <f t="shared" si="35"/>
        <v>-3.2</v>
      </c>
      <c r="Q299">
        <v>263</v>
      </c>
      <c r="R299">
        <f t="shared" si="36"/>
        <v>1.065151515151515</v>
      </c>
      <c r="S299">
        <f t="shared" si="37"/>
        <v>3.4084848484848482</v>
      </c>
      <c r="T299">
        <f t="shared" si="38"/>
        <v>-3.4084848484848482</v>
      </c>
      <c r="U299" s="14">
        <f t="shared" si="43"/>
        <v>60.983272786343022</v>
      </c>
      <c r="V299" s="23" t="s">
        <v>46</v>
      </c>
      <c r="W299">
        <v>2014.5</v>
      </c>
      <c r="X299">
        <f t="shared" si="41"/>
        <v>205359.59999999992</v>
      </c>
      <c r="Y299">
        <f t="shared" si="42"/>
        <v>10895.3</v>
      </c>
      <c r="Z299">
        <v>15.190318160178053</v>
      </c>
    </row>
    <row r="300" spans="1:27" x14ac:dyDescent="0.25">
      <c r="A300">
        <v>5320</v>
      </c>
      <c r="B300">
        <v>23210</v>
      </c>
      <c r="C300" s="1">
        <v>42877</v>
      </c>
      <c r="F300" s="57"/>
      <c r="G300">
        <v>18.100000000000001</v>
      </c>
      <c r="H300">
        <v>11.6</v>
      </c>
      <c r="I300">
        <v>24.9</v>
      </c>
      <c r="J300">
        <f t="shared" si="39"/>
        <v>2318.1</v>
      </c>
      <c r="K300">
        <f t="shared" si="40"/>
        <v>124.30000000000001</v>
      </c>
      <c r="L300" s="9">
        <f>MAX(I293:I309)</f>
        <v>29.3</v>
      </c>
      <c r="M300">
        <v>0</v>
      </c>
      <c r="N300">
        <v>3.8</v>
      </c>
      <c r="O300">
        <f t="shared" si="35"/>
        <v>-3.8</v>
      </c>
      <c r="Q300">
        <v>264</v>
      </c>
      <c r="R300">
        <f t="shared" si="36"/>
        <v>1.053030303030303</v>
      </c>
      <c r="S300">
        <f t="shared" si="37"/>
        <v>4.001515151515151</v>
      </c>
      <c r="T300">
        <f t="shared" si="38"/>
        <v>-4.001515151515151</v>
      </c>
      <c r="U300" s="14">
        <f t="shared" si="43"/>
        <v>56.981757634827872</v>
      </c>
      <c r="V300" s="14">
        <f>MAX(U293:U309)</f>
        <v>65.469484907555142</v>
      </c>
      <c r="W300">
        <v>2285.3000000000002</v>
      </c>
      <c r="X300">
        <f t="shared" si="41"/>
        <v>207644.89999999991</v>
      </c>
      <c r="Y300">
        <f t="shared" si="42"/>
        <v>13180.599999999999</v>
      </c>
      <c r="Z300">
        <v>15.227715860100401</v>
      </c>
    </row>
    <row r="301" spans="1:27" x14ac:dyDescent="0.25">
      <c r="A301">
        <v>5320</v>
      </c>
      <c r="B301">
        <v>23210</v>
      </c>
      <c r="C301" s="1">
        <v>42878</v>
      </c>
      <c r="F301" s="57"/>
      <c r="G301">
        <v>17.7</v>
      </c>
      <c r="H301">
        <v>13.3</v>
      </c>
      <c r="I301">
        <v>22</v>
      </c>
      <c r="J301">
        <f t="shared" si="39"/>
        <v>2335.7999999999997</v>
      </c>
      <c r="K301">
        <f t="shared" si="40"/>
        <v>142</v>
      </c>
      <c r="L301" s="22" t="s">
        <v>40</v>
      </c>
      <c r="M301">
        <v>0</v>
      </c>
      <c r="N301">
        <v>3.7</v>
      </c>
      <c r="O301">
        <f t="shared" si="35"/>
        <v>-3.7</v>
      </c>
      <c r="Q301">
        <v>265</v>
      </c>
      <c r="R301">
        <f t="shared" si="36"/>
        <v>1.0409090909090908</v>
      </c>
      <c r="S301">
        <f t="shared" si="37"/>
        <v>3.8513636363636361</v>
      </c>
      <c r="T301">
        <f t="shared" si="38"/>
        <v>-3.8513636363636361</v>
      </c>
      <c r="U301" s="14">
        <f t="shared" si="43"/>
        <v>53.130393998464235</v>
      </c>
      <c r="V301" s="23" t="s">
        <v>47</v>
      </c>
      <c r="W301">
        <v>2122.5</v>
      </c>
      <c r="X301">
        <f t="shared" si="41"/>
        <v>209767.39999999991</v>
      </c>
      <c r="Y301">
        <f t="shared" si="42"/>
        <v>15303.099999999999</v>
      </c>
      <c r="Z301">
        <v>15.264181251462579</v>
      </c>
    </row>
    <row r="302" spans="1:27" x14ac:dyDescent="0.25">
      <c r="A302">
        <v>5320</v>
      </c>
      <c r="B302">
        <v>23210</v>
      </c>
      <c r="C302" s="1">
        <v>42879</v>
      </c>
      <c r="F302" s="57"/>
      <c r="G302">
        <v>18</v>
      </c>
      <c r="H302">
        <v>14.4</v>
      </c>
      <c r="I302">
        <v>21.6</v>
      </c>
      <c r="J302">
        <f t="shared" si="39"/>
        <v>2353.7999999999997</v>
      </c>
      <c r="K302">
        <f t="shared" si="40"/>
        <v>160</v>
      </c>
      <c r="L302" s="9">
        <v>6</v>
      </c>
      <c r="M302">
        <v>0</v>
      </c>
      <c r="N302">
        <v>2.6</v>
      </c>
      <c r="O302">
        <f t="shared" si="35"/>
        <v>-2.6</v>
      </c>
      <c r="Q302">
        <v>266</v>
      </c>
      <c r="R302">
        <f t="shared" si="36"/>
        <v>1.0287878787878788</v>
      </c>
      <c r="S302">
        <f t="shared" si="37"/>
        <v>2.6748484848484848</v>
      </c>
      <c r="T302">
        <f t="shared" si="38"/>
        <v>-2.6748484848484848</v>
      </c>
      <c r="U302" s="14">
        <f t="shared" si="43"/>
        <v>50.455545513615753</v>
      </c>
      <c r="V302" s="14">
        <f>AVERAGE(U293:U309)</f>
        <v>43.729431431619311</v>
      </c>
      <c r="W302">
        <v>1552.2</v>
      </c>
      <c r="X302">
        <f t="shared" si="41"/>
        <v>211319.59999999992</v>
      </c>
      <c r="Y302">
        <f t="shared" si="42"/>
        <v>16855.3</v>
      </c>
      <c r="Z302">
        <v>15.299690857435891</v>
      </c>
    </row>
    <row r="303" spans="1:27" x14ac:dyDescent="0.25">
      <c r="A303">
        <v>5320</v>
      </c>
      <c r="B303">
        <v>23210</v>
      </c>
      <c r="C303" s="1">
        <v>42880</v>
      </c>
      <c r="F303" s="57"/>
      <c r="G303">
        <v>20</v>
      </c>
      <c r="H303">
        <v>15.1</v>
      </c>
      <c r="I303">
        <v>24.8</v>
      </c>
      <c r="J303">
        <f t="shared" si="39"/>
        <v>2373.7999999999997</v>
      </c>
      <c r="K303">
        <f t="shared" si="40"/>
        <v>180</v>
      </c>
      <c r="L303" s="22" t="s">
        <v>41</v>
      </c>
      <c r="M303">
        <v>0</v>
      </c>
      <c r="N303">
        <v>6.3</v>
      </c>
      <c r="O303">
        <f t="shared" si="35"/>
        <v>-6.3</v>
      </c>
      <c r="Q303">
        <v>267</v>
      </c>
      <c r="R303">
        <f t="shared" si="36"/>
        <v>1.0166666666666666</v>
      </c>
      <c r="S303">
        <f t="shared" si="37"/>
        <v>6.4049999999999994</v>
      </c>
      <c r="T303">
        <f t="shared" si="38"/>
        <v>-6.4049999999999994</v>
      </c>
      <c r="U303" s="14">
        <f t="shared" si="43"/>
        <v>44.050545513615752</v>
      </c>
      <c r="W303">
        <v>3169</v>
      </c>
      <c r="X303">
        <f t="shared" si="41"/>
        <v>214488.59999999992</v>
      </c>
      <c r="Y303">
        <f t="shared" si="42"/>
        <v>20024.3</v>
      </c>
      <c r="Z303">
        <v>15.334221316558514</v>
      </c>
    </row>
    <row r="304" spans="1:27" x14ac:dyDescent="0.25">
      <c r="A304">
        <v>5320</v>
      </c>
      <c r="B304">
        <v>23210</v>
      </c>
      <c r="C304" s="1">
        <v>42881</v>
      </c>
      <c r="F304" s="57"/>
      <c r="G304">
        <v>21.7</v>
      </c>
      <c r="H304">
        <v>15.6</v>
      </c>
      <c r="I304">
        <v>27.5</v>
      </c>
      <c r="J304">
        <f t="shared" si="39"/>
        <v>2395.4999999999995</v>
      </c>
      <c r="K304">
        <f t="shared" si="40"/>
        <v>201.7</v>
      </c>
      <c r="L304" s="9">
        <v>0</v>
      </c>
      <c r="M304">
        <v>0</v>
      </c>
      <c r="N304">
        <v>6.5</v>
      </c>
      <c r="O304">
        <f t="shared" si="35"/>
        <v>-6.5</v>
      </c>
      <c r="Q304">
        <v>268</v>
      </c>
      <c r="R304">
        <f t="shared" si="36"/>
        <v>1.0045454545454544</v>
      </c>
      <c r="S304">
        <f t="shared" si="37"/>
        <v>6.5295454545454534</v>
      </c>
      <c r="T304">
        <f t="shared" si="38"/>
        <v>-6.5295454545454534</v>
      </c>
      <c r="U304" s="14">
        <f t="shared" si="43"/>
        <v>37.521000059070296</v>
      </c>
      <c r="V304" s="29">
        <f>(V302*100)/138.9</f>
        <v>31.482672017004546</v>
      </c>
      <c r="W304">
        <v>3186.9</v>
      </c>
      <c r="X304">
        <f t="shared" si="41"/>
        <v>217675.49999999991</v>
      </c>
      <c r="Y304">
        <f t="shared" si="42"/>
        <v>23211.200000000001</v>
      </c>
      <c r="Z304">
        <v>15.367749428461012</v>
      </c>
    </row>
    <row r="305" spans="1:27" x14ac:dyDescent="0.25">
      <c r="A305">
        <v>5320</v>
      </c>
      <c r="B305">
        <v>23210</v>
      </c>
      <c r="C305" s="1">
        <v>42882</v>
      </c>
      <c r="F305" s="57"/>
      <c r="G305">
        <v>23.5</v>
      </c>
      <c r="H305">
        <v>18.100000000000001</v>
      </c>
      <c r="I305">
        <v>27.4</v>
      </c>
      <c r="J305">
        <f t="shared" si="39"/>
        <v>2418.9999999999995</v>
      </c>
      <c r="K305">
        <f t="shared" si="40"/>
        <v>225.2</v>
      </c>
      <c r="L305" s="22" t="s">
        <v>42</v>
      </c>
      <c r="M305">
        <v>0</v>
      </c>
      <c r="N305">
        <v>4.0999999999999996</v>
      </c>
      <c r="O305">
        <f t="shared" si="35"/>
        <v>-4.0999999999999996</v>
      </c>
      <c r="Q305">
        <v>269</v>
      </c>
      <c r="R305">
        <f t="shared" si="36"/>
        <v>0.99242424242424232</v>
      </c>
      <c r="S305">
        <f t="shared" si="37"/>
        <v>4.0689393939393934</v>
      </c>
      <c r="T305">
        <f t="shared" si="38"/>
        <v>-4.0689393939393934</v>
      </c>
      <c r="U305" s="14">
        <f t="shared" si="43"/>
        <v>33.452060665130901</v>
      </c>
      <c r="W305">
        <v>2127.5</v>
      </c>
      <c r="X305">
        <f t="shared" si="41"/>
        <v>219802.99999999991</v>
      </c>
      <c r="Y305">
        <f t="shared" si="42"/>
        <v>25338.7</v>
      </c>
      <c r="Z305">
        <v>15.400252201115023</v>
      </c>
    </row>
    <row r="306" spans="1:27" x14ac:dyDescent="0.25">
      <c r="A306">
        <v>5320</v>
      </c>
      <c r="B306">
        <v>23210</v>
      </c>
      <c r="C306" s="1">
        <v>42883</v>
      </c>
      <c r="F306" s="57"/>
      <c r="G306">
        <v>24.2</v>
      </c>
      <c r="H306">
        <v>19.3</v>
      </c>
      <c r="I306">
        <v>29.3</v>
      </c>
      <c r="J306">
        <f t="shared" si="39"/>
        <v>2443.1999999999994</v>
      </c>
      <c r="K306">
        <f t="shared" si="40"/>
        <v>249.39999999999998</v>
      </c>
      <c r="L306" s="18">
        <v>0</v>
      </c>
      <c r="M306">
        <v>0</v>
      </c>
      <c r="N306">
        <v>4.0999999999999996</v>
      </c>
      <c r="O306">
        <f t="shared" si="35"/>
        <v>-4.0999999999999996</v>
      </c>
      <c r="Q306">
        <v>270</v>
      </c>
      <c r="R306">
        <f t="shared" si="36"/>
        <v>0.98030303030303023</v>
      </c>
      <c r="S306">
        <f t="shared" si="37"/>
        <v>4.0192424242424236</v>
      </c>
      <c r="T306">
        <f t="shared" si="38"/>
        <v>-4.0192424242424236</v>
      </c>
      <c r="U306" s="14">
        <f t="shared" si="43"/>
        <v>29.432818240888476</v>
      </c>
      <c r="W306">
        <v>2206.1</v>
      </c>
      <c r="X306">
        <f t="shared" si="41"/>
        <v>222009.09999999992</v>
      </c>
      <c r="Y306">
        <f t="shared" si="42"/>
        <v>27544.799999999999</v>
      </c>
      <c r="Z306">
        <v>15.431706899465116</v>
      </c>
    </row>
    <row r="307" spans="1:27" x14ac:dyDescent="0.25">
      <c r="A307">
        <v>5320</v>
      </c>
      <c r="B307">
        <v>23210</v>
      </c>
      <c r="C307" s="1">
        <v>42884</v>
      </c>
      <c r="F307" s="57"/>
      <c r="G307">
        <v>21.3</v>
      </c>
      <c r="H307">
        <v>19.8</v>
      </c>
      <c r="I307">
        <v>25.5</v>
      </c>
      <c r="J307">
        <f t="shared" si="39"/>
        <v>2464.4999999999995</v>
      </c>
      <c r="K307">
        <f t="shared" si="40"/>
        <v>270.7</v>
      </c>
      <c r="M307">
        <v>0</v>
      </c>
      <c r="N307">
        <v>3.4</v>
      </c>
      <c r="O307">
        <f t="shared" si="35"/>
        <v>-3.4</v>
      </c>
      <c r="Q307">
        <v>271</v>
      </c>
      <c r="R307">
        <f t="shared" si="36"/>
        <v>0.96818181818181814</v>
      </c>
      <c r="S307">
        <f t="shared" si="37"/>
        <v>3.2918181818181815</v>
      </c>
      <c r="T307">
        <f t="shared" si="38"/>
        <v>-3.2918181818181815</v>
      </c>
      <c r="U307" s="14">
        <f t="shared" si="43"/>
        <v>26.141000059070294</v>
      </c>
      <c r="W307">
        <v>1581.5</v>
      </c>
      <c r="X307">
        <f t="shared" si="41"/>
        <v>223590.59999999992</v>
      </c>
      <c r="Y307">
        <f t="shared" si="42"/>
        <v>29126.3</v>
      </c>
      <c r="Z307">
        <v>15.462091095286928</v>
      </c>
    </row>
    <row r="308" spans="1:27" x14ac:dyDescent="0.25">
      <c r="A308">
        <v>5320</v>
      </c>
      <c r="B308">
        <v>23210</v>
      </c>
      <c r="C308" s="1">
        <v>42885</v>
      </c>
      <c r="F308" s="57"/>
      <c r="G308">
        <v>18.5</v>
      </c>
      <c r="H308">
        <v>16.3</v>
      </c>
      <c r="I308">
        <v>21.6</v>
      </c>
      <c r="J308">
        <f t="shared" si="39"/>
        <v>2482.9999999999995</v>
      </c>
      <c r="K308">
        <f t="shared" si="40"/>
        <v>289.2</v>
      </c>
      <c r="M308">
        <v>0</v>
      </c>
      <c r="N308">
        <v>2.5</v>
      </c>
      <c r="O308">
        <f t="shared" si="35"/>
        <v>-2.5</v>
      </c>
      <c r="Q308">
        <v>272</v>
      </c>
      <c r="R308">
        <f t="shared" si="36"/>
        <v>0.95606060606060594</v>
      </c>
      <c r="S308">
        <f t="shared" si="37"/>
        <v>2.3901515151515147</v>
      </c>
      <c r="T308">
        <f t="shared" si="38"/>
        <v>-2.3901515151515147</v>
      </c>
      <c r="U308" s="14">
        <f t="shared" si="43"/>
        <v>23.750848543918778</v>
      </c>
      <c r="W308">
        <v>1197.8</v>
      </c>
      <c r="X308">
        <f t="shared" si="41"/>
        <v>224788.39999999991</v>
      </c>
      <c r="Y308">
        <f t="shared" si="42"/>
        <v>30324.1</v>
      </c>
      <c r="Z308">
        <v>15.491382718097563</v>
      </c>
    </row>
    <row r="309" spans="1:27" s="6" customFormat="1" ht="15.75" thickBot="1" x14ac:dyDescent="0.3">
      <c r="A309" s="6">
        <v>5320</v>
      </c>
      <c r="B309" s="6">
        <v>23210</v>
      </c>
      <c r="C309" s="7">
        <v>42886</v>
      </c>
      <c r="D309" s="6">
        <v>600</v>
      </c>
      <c r="F309" s="48"/>
      <c r="G309" s="6">
        <v>18.100000000000001</v>
      </c>
      <c r="H309" s="6">
        <v>13</v>
      </c>
      <c r="I309" s="6">
        <v>21.7</v>
      </c>
      <c r="J309" s="6">
        <f t="shared" si="39"/>
        <v>2501.0999999999995</v>
      </c>
      <c r="K309" s="6">
        <f t="shared" si="40"/>
        <v>307.3</v>
      </c>
      <c r="M309" s="6">
        <v>0</v>
      </c>
      <c r="N309" s="6">
        <v>4.0999999999999996</v>
      </c>
      <c r="O309" s="6">
        <f t="shared" si="35"/>
        <v>-4.0999999999999996</v>
      </c>
      <c r="Q309" s="6">
        <v>273</v>
      </c>
      <c r="R309">
        <f t="shared" si="36"/>
        <v>0.94393939393939386</v>
      </c>
      <c r="S309" s="6">
        <f t="shared" si="37"/>
        <v>3.8701515151515147</v>
      </c>
      <c r="T309" s="6">
        <f t="shared" si="38"/>
        <v>-3.8701515151515147</v>
      </c>
      <c r="U309" s="14">
        <f t="shared" si="43"/>
        <v>19.880697028767262</v>
      </c>
      <c r="W309" s="6">
        <v>2469.9</v>
      </c>
      <c r="X309" s="6">
        <f t="shared" si="41"/>
        <v>227258.2999999999</v>
      </c>
      <c r="Y309" s="6">
        <f t="shared" si="42"/>
        <v>32794</v>
      </c>
      <c r="Z309" s="6">
        <v>15.519560106927766</v>
      </c>
    </row>
    <row r="310" spans="1:27" s="27" customFormat="1" x14ac:dyDescent="0.25">
      <c r="A310" s="27">
        <v>5320</v>
      </c>
      <c r="B310" s="27">
        <v>23210</v>
      </c>
      <c r="C310" s="28">
        <v>42887</v>
      </c>
      <c r="F310" s="49" t="s">
        <v>57</v>
      </c>
      <c r="G310" s="27">
        <v>21</v>
      </c>
      <c r="H310" s="27">
        <v>15.5</v>
      </c>
      <c r="I310" s="27">
        <v>26</v>
      </c>
      <c r="J310" s="27">
        <f t="shared" si="39"/>
        <v>2522.0999999999995</v>
      </c>
      <c r="K310">
        <f>G310</f>
        <v>21</v>
      </c>
      <c r="L310" s="24" t="s">
        <v>36</v>
      </c>
      <c r="M310" s="27">
        <v>0</v>
      </c>
      <c r="N310" s="27">
        <v>4.8</v>
      </c>
      <c r="O310" s="27">
        <f t="shared" si="35"/>
        <v>-4.8</v>
      </c>
      <c r="Q310" s="27">
        <v>274</v>
      </c>
      <c r="R310">
        <f t="shared" si="36"/>
        <v>0.93181818181818177</v>
      </c>
      <c r="S310" s="27">
        <f t="shared" si="37"/>
        <v>4.4727272727272727</v>
      </c>
      <c r="T310" s="27">
        <f t="shared" si="38"/>
        <v>-4.4727272727272727</v>
      </c>
      <c r="U310" s="14">
        <f t="shared" si="43"/>
        <v>15.407969756039989</v>
      </c>
      <c r="V310" s="25" t="s">
        <v>43</v>
      </c>
      <c r="W310" s="27">
        <v>2413.5</v>
      </c>
      <c r="X310" s="27">
        <f t="shared" si="41"/>
        <v>229671.7999999999</v>
      </c>
      <c r="Y310">
        <f>W310</f>
        <v>2413.5</v>
      </c>
      <c r="Z310" s="27">
        <v>15.546602062749153</v>
      </c>
      <c r="AA310" s="25" t="s">
        <v>48</v>
      </c>
    </row>
    <row r="311" spans="1:27" ht="15" customHeight="1" x14ac:dyDescent="0.25">
      <c r="A311">
        <v>5320</v>
      </c>
      <c r="B311">
        <v>23210</v>
      </c>
      <c r="C311" s="1">
        <v>42888</v>
      </c>
      <c r="F311" s="53"/>
      <c r="G311">
        <v>21.9</v>
      </c>
      <c r="H311">
        <v>17.5</v>
      </c>
      <c r="I311">
        <v>27.7</v>
      </c>
      <c r="J311">
        <f t="shared" si="39"/>
        <v>2543.9999999999995</v>
      </c>
      <c r="K311">
        <f t="shared" si="40"/>
        <v>42.9</v>
      </c>
      <c r="L311" s="9">
        <v>425.9</v>
      </c>
      <c r="M311">
        <v>1.1000000000000001</v>
      </c>
      <c r="N311">
        <v>4</v>
      </c>
      <c r="O311">
        <f t="shared" si="35"/>
        <v>-2.9</v>
      </c>
      <c r="Q311">
        <v>275</v>
      </c>
      <c r="R311">
        <f t="shared" si="36"/>
        <v>0.91969696969696957</v>
      </c>
      <c r="S311">
        <f t="shared" si="37"/>
        <v>3.6787878787878783</v>
      </c>
      <c r="T311">
        <f t="shared" si="38"/>
        <v>-2.5787878787878782</v>
      </c>
      <c r="U311" s="14">
        <f t="shared" si="43"/>
        <v>12.829181877252111</v>
      </c>
      <c r="V311">
        <v>9</v>
      </c>
      <c r="W311">
        <v>1974.7</v>
      </c>
      <c r="X311">
        <f t="shared" si="41"/>
        <v>231646.49999999991</v>
      </c>
      <c r="Y311">
        <f t="shared" si="42"/>
        <v>4388.2</v>
      </c>
      <c r="Z311">
        <v>15.572487901334686</v>
      </c>
      <c r="AA311">
        <v>47597.1</v>
      </c>
    </row>
    <row r="312" spans="1:27" x14ac:dyDescent="0.25">
      <c r="A312">
        <v>5320</v>
      </c>
      <c r="B312">
        <v>23210</v>
      </c>
      <c r="C312" s="1">
        <v>42889</v>
      </c>
      <c r="F312" s="53"/>
      <c r="G312">
        <v>15.6</v>
      </c>
      <c r="H312">
        <v>15</v>
      </c>
      <c r="I312">
        <v>18.600000000000001</v>
      </c>
      <c r="J312">
        <f t="shared" si="39"/>
        <v>2559.5999999999995</v>
      </c>
      <c r="K312">
        <f t="shared" si="40"/>
        <v>58.5</v>
      </c>
      <c r="L312" s="24" t="s">
        <v>37</v>
      </c>
      <c r="M312">
        <v>0.2</v>
      </c>
      <c r="N312">
        <v>1</v>
      </c>
      <c r="O312">
        <f t="shared" si="35"/>
        <v>-0.8</v>
      </c>
      <c r="Q312">
        <v>276</v>
      </c>
      <c r="R312">
        <f t="shared" si="36"/>
        <v>0.90757575757575748</v>
      </c>
      <c r="S312">
        <f t="shared" si="37"/>
        <v>0.90757575757575748</v>
      </c>
      <c r="T312">
        <f t="shared" si="38"/>
        <v>-0.70757575757575752</v>
      </c>
      <c r="U312" s="14">
        <f t="shared" si="43"/>
        <v>12.121606119676354</v>
      </c>
      <c r="V312" s="25" t="s">
        <v>44</v>
      </c>
      <c r="W312">
        <v>690.2</v>
      </c>
      <c r="X312">
        <f t="shared" si="41"/>
        <v>232336.69999999992</v>
      </c>
      <c r="Y312">
        <f t="shared" si="42"/>
        <v>5078.3999999999996</v>
      </c>
      <c r="Z312">
        <v>15.597197506316128</v>
      </c>
      <c r="AA312" s="25" t="s">
        <v>49</v>
      </c>
    </row>
    <row r="313" spans="1:27" x14ac:dyDescent="0.25">
      <c r="A313">
        <v>5320</v>
      </c>
      <c r="B313">
        <v>23210</v>
      </c>
      <c r="C313" s="1">
        <v>42890</v>
      </c>
      <c r="F313" s="53"/>
      <c r="G313">
        <v>16</v>
      </c>
      <c r="H313">
        <v>10.8</v>
      </c>
      <c r="I313">
        <v>20.8</v>
      </c>
      <c r="J313">
        <f t="shared" si="39"/>
        <v>2575.5999999999995</v>
      </c>
      <c r="K313">
        <f t="shared" si="40"/>
        <v>74.5</v>
      </c>
      <c r="L313" s="9">
        <f>AVERAGE(G310:G330)</f>
        <v>20.280952380952382</v>
      </c>
      <c r="M313">
        <v>0</v>
      </c>
      <c r="N313">
        <v>1.9</v>
      </c>
      <c r="O313">
        <f t="shared" si="35"/>
        <v>-1.9</v>
      </c>
      <c r="Q313">
        <v>277</v>
      </c>
      <c r="R313">
        <f t="shared" si="36"/>
        <v>0.89545454545454539</v>
      </c>
      <c r="S313">
        <f t="shared" si="37"/>
        <v>1.7013636363636362</v>
      </c>
      <c r="T313">
        <f t="shared" si="38"/>
        <v>-1.7013636363636362</v>
      </c>
      <c r="U313" s="14">
        <f t="shared" si="43"/>
        <v>10.420242483312718</v>
      </c>
      <c r="V313">
        <v>12</v>
      </c>
      <c r="W313">
        <v>1285.0999999999999</v>
      </c>
      <c r="X313">
        <f t="shared" si="41"/>
        <v>233621.79999999993</v>
      </c>
      <c r="Y313">
        <f t="shared" si="42"/>
        <v>6363.5</v>
      </c>
      <c r="Z313">
        <v>15.620711382189379</v>
      </c>
      <c r="AA313">
        <f>(AA311/100)/L311</f>
        <v>1.1175651561399391</v>
      </c>
    </row>
    <row r="314" spans="1:27" x14ac:dyDescent="0.25">
      <c r="A314">
        <v>5320</v>
      </c>
      <c r="B314">
        <v>23210</v>
      </c>
      <c r="C314" s="1">
        <v>42891</v>
      </c>
      <c r="F314" s="53"/>
      <c r="G314">
        <v>16.8</v>
      </c>
      <c r="H314">
        <v>12.5</v>
      </c>
      <c r="I314">
        <v>21.7</v>
      </c>
      <c r="J314">
        <f t="shared" si="39"/>
        <v>2592.3999999999996</v>
      </c>
      <c r="K314">
        <f t="shared" si="40"/>
        <v>91.3</v>
      </c>
      <c r="L314" s="24" t="s">
        <v>38</v>
      </c>
      <c r="M314">
        <v>5.6</v>
      </c>
      <c r="N314">
        <v>4</v>
      </c>
      <c r="O314">
        <f t="shared" si="35"/>
        <v>1.5999999999999996</v>
      </c>
      <c r="Q314">
        <v>278</v>
      </c>
      <c r="R314">
        <f t="shared" si="36"/>
        <v>0.8833333333333333</v>
      </c>
      <c r="S314">
        <f t="shared" si="37"/>
        <v>3.5333333333333332</v>
      </c>
      <c r="T314">
        <f t="shared" si="38"/>
        <v>2.0666666666666664</v>
      </c>
      <c r="U314" s="14">
        <f t="shared" si="43"/>
        <v>12.486909149979384</v>
      </c>
      <c r="V314" s="25" t="s">
        <v>45</v>
      </c>
      <c r="W314">
        <v>1969.7</v>
      </c>
      <c r="X314">
        <f t="shared" si="41"/>
        <v>235591.49999999994</v>
      </c>
      <c r="Y314">
        <f t="shared" si="42"/>
        <v>8333.2000000000007</v>
      </c>
      <c r="Z314">
        <v>15.643010707006935</v>
      </c>
      <c r="AA314" s="25" t="s">
        <v>50</v>
      </c>
    </row>
    <row r="315" spans="1:27" x14ac:dyDescent="0.25">
      <c r="A315">
        <v>5320</v>
      </c>
      <c r="B315">
        <v>23210</v>
      </c>
      <c r="C315" s="1">
        <v>42892</v>
      </c>
      <c r="F315" s="53"/>
      <c r="G315">
        <v>13.4</v>
      </c>
      <c r="H315">
        <v>11.1</v>
      </c>
      <c r="I315">
        <v>18.2</v>
      </c>
      <c r="J315">
        <f t="shared" si="39"/>
        <v>2605.7999999999997</v>
      </c>
      <c r="K315">
        <f t="shared" si="40"/>
        <v>104.7</v>
      </c>
      <c r="L315" s="10">
        <f>MIN(H310:H330)</f>
        <v>8.9</v>
      </c>
      <c r="M315">
        <v>1.4</v>
      </c>
      <c r="N315">
        <v>3.9</v>
      </c>
      <c r="O315">
        <f t="shared" si="35"/>
        <v>-2.5</v>
      </c>
      <c r="Q315">
        <v>279</v>
      </c>
      <c r="R315">
        <f t="shared" si="36"/>
        <v>0.8712121212121211</v>
      </c>
      <c r="S315">
        <f t="shared" si="37"/>
        <v>3.397727272727272</v>
      </c>
      <c r="T315">
        <f t="shared" si="38"/>
        <v>-1.9977272727272721</v>
      </c>
      <c r="U315" s="14">
        <f t="shared" si="43"/>
        <v>10.489181877252111</v>
      </c>
      <c r="V315">
        <v>0</v>
      </c>
      <c r="W315">
        <v>1707.3</v>
      </c>
      <c r="X315">
        <f t="shared" si="41"/>
        <v>237298.79999999993</v>
      </c>
      <c r="Y315">
        <f t="shared" si="42"/>
        <v>10040.5</v>
      </c>
      <c r="Z315">
        <v>15.664077384487205</v>
      </c>
      <c r="AA315">
        <v>1</v>
      </c>
    </row>
    <row r="316" spans="1:27" x14ac:dyDescent="0.25">
      <c r="A316">
        <v>5320</v>
      </c>
      <c r="B316">
        <v>23210</v>
      </c>
      <c r="C316" s="1">
        <v>42893</v>
      </c>
      <c r="F316" s="53"/>
      <c r="G316">
        <v>14.7</v>
      </c>
      <c r="H316">
        <v>8.9</v>
      </c>
      <c r="I316">
        <v>19.899999999999999</v>
      </c>
      <c r="J316">
        <f t="shared" si="39"/>
        <v>2620.4999999999995</v>
      </c>
      <c r="K316">
        <f t="shared" si="40"/>
        <v>119.4</v>
      </c>
      <c r="L316" s="24" t="s">
        <v>39</v>
      </c>
      <c r="M316">
        <v>0</v>
      </c>
      <c r="N316">
        <v>3.1</v>
      </c>
      <c r="O316">
        <f t="shared" si="35"/>
        <v>-3.1</v>
      </c>
      <c r="Q316">
        <v>280</v>
      </c>
      <c r="R316">
        <f t="shared" si="36"/>
        <v>0.85909090909090902</v>
      </c>
      <c r="S316">
        <f t="shared" si="37"/>
        <v>2.6631818181818181</v>
      </c>
      <c r="T316">
        <f t="shared" si="38"/>
        <v>-2.6631818181818181</v>
      </c>
      <c r="U316" s="14">
        <f t="shared" si="43"/>
        <v>7.8260000590702932</v>
      </c>
      <c r="V316" s="25" t="s">
        <v>46</v>
      </c>
      <c r="W316">
        <v>1604.5</v>
      </c>
      <c r="X316">
        <f t="shared" si="41"/>
        <v>238903.29999999993</v>
      </c>
      <c r="Y316">
        <f t="shared" si="42"/>
        <v>11645</v>
      </c>
      <c r="Z316">
        <v>15.68389409526243</v>
      </c>
    </row>
    <row r="317" spans="1:27" x14ac:dyDescent="0.25">
      <c r="A317">
        <v>5320</v>
      </c>
      <c r="B317">
        <v>23210</v>
      </c>
      <c r="C317" s="1">
        <v>42894</v>
      </c>
      <c r="F317" s="53"/>
      <c r="G317">
        <v>19.399999999999999</v>
      </c>
      <c r="H317">
        <v>11.3</v>
      </c>
      <c r="I317">
        <v>25.8</v>
      </c>
      <c r="J317">
        <f t="shared" si="39"/>
        <v>2639.8999999999996</v>
      </c>
      <c r="K317">
        <f t="shared" si="40"/>
        <v>138.80000000000001</v>
      </c>
      <c r="L317" s="9">
        <f>MAX(I310:I330)</f>
        <v>35</v>
      </c>
      <c r="M317">
        <v>11.9</v>
      </c>
      <c r="N317">
        <v>4.7</v>
      </c>
      <c r="O317">
        <f t="shared" si="35"/>
        <v>7.2</v>
      </c>
      <c r="Q317">
        <v>281</v>
      </c>
      <c r="R317">
        <f t="shared" si="36"/>
        <v>0.84696969696969693</v>
      </c>
      <c r="S317">
        <f t="shared" si="37"/>
        <v>3.9807575757575755</v>
      </c>
      <c r="T317">
        <f t="shared" si="38"/>
        <v>7.9192424242424249</v>
      </c>
      <c r="U317" s="14">
        <f t="shared" si="43"/>
        <v>15.745242483312719</v>
      </c>
      <c r="V317" s="14">
        <f>MAX(U310:U330)</f>
        <v>15.745242483312719</v>
      </c>
      <c r="W317">
        <v>2598.6999999999998</v>
      </c>
      <c r="X317">
        <f t="shared" si="41"/>
        <v>241501.99999999994</v>
      </c>
      <c r="Y317">
        <f t="shared" si="42"/>
        <v>14243.7</v>
      </c>
      <c r="Z317">
        <v>15.702444346981574</v>
      </c>
    </row>
    <row r="318" spans="1:27" x14ac:dyDescent="0.25">
      <c r="A318">
        <v>5320</v>
      </c>
      <c r="B318">
        <v>23210</v>
      </c>
      <c r="C318" s="1">
        <v>42895</v>
      </c>
      <c r="F318" s="53"/>
      <c r="G318">
        <v>18.3</v>
      </c>
      <c r="H318">
        <v>15.9</v>
      </c>
      <c r="I318">
        <v>22.1</v>
      </c>
      <c r="J318">
        <f t="shared" si="39"/>
        <v>2658.2</v>
      </c>
      <c r="K318">
        <f t="shared" si="40"/>
        <v>157.10000000000002</v>
      </c>
      <c r="L318" s="24" t="s">
        <v>40</v>
      </c>
      <c r="M318">
        <v>0</v>
      </c>
      <c r="N318">
        <v>2.9</v>
      </c>
      <c r="O318">
        <f t="shared" si="35"/>
        <v>-2.9</v>
      </c>
      <c r="Q318">
        <v>282</v>
      </c>
      <c r="R318">
        <f t="shared" si="36"/>
        <v>0.83484848484848473</v>
      </c>
      <c r="S318">
        <f t="shared" si="37"/>
        <v>2.4210606060606055</v>
      </c>
      <c r="T318">
        <f t="shared" si="38"/>
        <v>-2.4210606060606055</v>
      </c>
      <c r="U318" s="14">
        <f t="shared" si="43"/>
        <v>13.324181877252114</v>
      </c>
      <c r="V318" s="25" t="s">
        <v>47</v>
      </c>
      <c r="W318">
        <v>1442.2</v>
      </c>
      <c r="X318">
        <f t="shared" si="41"/>
        <v>242944.19999999995</v>
      </c>
      <c r="Y318">
        <f t="shared" si="42"/>
        <v>15685.900000000001</v>
      </c>
      <c r="Z318">
        <v>15.71971252298135</v>
      </c>
    </row>
    <row r="319" spans="1:27" x14ac:dyDescent="0.25">
      <c r="A319">
        <v>5320</v>
      </c>
      <c r="B319">
        <v>23210</v>
      </c>
      <c r="C319" s="1">
        <v>42896</v>
      </c>
      <c r="F319" s="53"/>
      <c r="G319">
        <v>19.7</v>
      </c>
      <c r="H319">
        <v>12.8</v>
      </c>
      <c r="I319">
        <v>26.6</v>
      </c>
      <c r="J319">
        <f t="shared" si="39"/>
        <v>2677.8999999999996</v>
      </c>
      <c r="K319">
        <f t="shared" si="40"/>
        <v>176.8</v>
      </c>
      <c r="L319" s="9">
        <v>12</v>
      </c>
      <c r="M319">
        <v>0</v>
      </c>
      <c r="N319">
        <v>6.2</v>
      </c>
      <c r="O319">
        <f t="shared" si="35"/>
        <v>-6.2</v>
      </c>
      <c r="Q319">
        <v>283</v>
      </c>
      <c r="R319">
        <f t="shared" si="36"/>
        <v>0.82272727272727264</v>
      </c>
      <c r="S319">
        <f t="shared" si="37"/>
        <v>5.1009090909090906</v>
      </c>
      <c r="T319">
        <f t="shared" si="38"/>
        <v>-5.1009090909090906</v>
      </c>
      <c r="U319" s="14">
        <f t="shared" si="43"/>
        <v>8.2232727863430242</v>
      </c>
      <c r="V319" s="14">
        <f>AVERAGE(U310:U330)</f>
        <v>5.8755426022970232</v>
      </c>
      <c r="W319">
        <v>3200.8</v>
      </c>
      <c r="X319">
        <f t="shared" si="41"/>
        <v>246144.99999999994</v>
      </c>
      <c r="Y319">
        <f t="shared" si="42"/>
        <v>18886.7</v>
      </c>
      <c r="Z319">
        <v>15.735683929237869</v>
      </c>
    </row>
    <row r="320" spans="1:27" x14ac:dyDescent="0.25">
      <c r="A320">
        <v>5320</v>
      </c>
      <c r="B320">
        <v>23210</v>
      </c>
      <c r="C320" s="1">
        <v>42897</v>
      </c>
      <c r="F320" s="53"/>
      <c r="G320">
        <v>21.6</v>
      </c>
      <c r="H320">
        <v>14.5</v>
      </c>
      <c r="I320">
        <v>28.6</v>
      </c>
      <c r="J320">
        <f t="shared" si="39"/>
        <v>2699.4999999999995</v>
      </c>
      <c r="K320">
        <f t="shared" si="40"/>
        <v>198.4</v>
      </c>
      <c r="L320" s="24" t="s">
        <v>41</v>
      </c>
      <c r="M320">
        <v>0</v>
      </c>
      <c r="N320">
        <v>4.8</v>
      </c>
      <c r="O320">
        <f t="shared" si="35"/>
        <v>-4.8</v>
      </c>
      <c r="Q320">
        <v>284</v>
      </c>
      <c r="R320">
        <f t="shared" si="36"/>
        <v>0.81060606060606055</v>
      </c>
      <c r="S320">
        <f t="shared" si="37"/>
        <v>3.8909090909090907</v>
      </c>
      <c r="T320">
        <f t="shared" si="38"/>
        <v>-3.8909090909090907</v>
      </c>
      <c r="U320" s="14">
        <f t="shared" si="43"/>
        <v>4.3323636954339335</v>
      </c>
      <c r="W320">
        <v>2060.4</v>
      </c>
      <c r="X320">
        <f t="shared" si="41"/>
        <v>248205.39999999994</v>
      </c>
      <c r="Y320">
        <f t="shared" si="42"/>
        <v>20947.100000000002</v>
      </c>
      <c r="Z320">
        <v>15.750344839313708</v>
      </c>
    </row>
    <row r="321" spans="1:26" x14ac:dyDescent="0.25">
      <c r="A321">
        <v>5320</v>
      </c>
      <c r="B321">
        <v>23210</v>
      </c>
      <c r="C321" s="1">
        <v>42898</v>
      </c>
      <c r="F321" s="53"/>
      <c r="G321">
        <v>18</v>
      </c>
      <c r="H321">
        <v>14.6</v>
      </c>
      <c r="I321">
        <v>22.5</v>
      </c>
      <c r="J321">
        <f t="shared" si="39"/>
        <v>2717.4999999999995</v>
      </c>
      <c r="K321">
        <f t="shared" si="40"/>
        <v>216.4</v>
      </c>
      <c r="L321" s="9">
        <v>0</v>
      </c>
      <c r="M321">
        <v>0</v>
      </c>
      <c r="N321">
        <v>5.2</v>
      </c>
      <c r="O321">
        <f t="shared" si="35"/>
        <v>-5.2</v>
      </c>
      <c r="Q321">
        <v>285</v>
      </c>
      <c r="R321">
        <f t="shared" si="36"/>
        <v>0.79848484848484835</v>
      </c>
      <c r="S321">
        <f t="shared" si="37"/>
        <v>4.1521212121212114</v>
      </c>
      <c r="T321">
        <f t="shared" si="38"/>
        <v>-4.1521212121212114</v>
      </c>
      <c r="U321" s="14">
        <f t="shared" si="43"/>
        <v>0.18024248331272208</v>
      </c>
      <c r="V321" s="29">
        <f>(V319*100)/138.9</f>
        <v>4.2300522694722984</v>
      </c>
      <c r="W321">
        <v>2613.4</v>
      </c>
      <c r="X321">
        <f t="shared" si="41"/>
        <v>250818.79999999993</v>
      </c>
      <c r="Y321">
        <f t="shared" si="42"/>
        <v>23560.500000000004</v>
      </c>
      <c r="Z321">
        <v>15.763682537019886</v>
      </c>
    </row>
    <row r="322" spans="1:26" x14ac:dyDescent="0.25">
      <c r="A322">
        <v>5320</v>
      </c>
      <c r="B322">
        <v>23210</v>
      </c>
      <c r="C322" s="1">
        <v>42899</v>
      </c>
      <c r="F322" s="53"/>
      <c r="G322">
        <v>17.7</v>
      </c>
      <c r="H322">
        <v>12.5</v>
      </c>
      <c r="I322">
        <v>21.8</v>
      </c>
      <c r="J322">
        <f t="shared" si="39"/>
        <v>2735.1999999999994</v>
      </c>
      <c r="K322">
        <f t="shared" si="40"/>
        <v>234.1</v>
      </c>
      <c r="L322" s="24" t="s">
        <v>42</v>
      </c>
      <c r="M322">
        <v>0</v>
      </c>
      <c r="N322">
        <v>4</v>
      </c>
      <c r="O322">
        <f t="shared" si="35"/>
        <v>-4</v>
      </c>
      <c r="Q322">
        <v>286</v>
      </c>
      <c r="R322">
        <f t="shared" si="36"/>
        <v>0.78636363636363638</v>
      </c>
      <c r="S322">
        <f t="shared" si="37"/>
        <v>3.1454545454545455</v>
      </c>
      <c r="T322">
        <f t="shared" si="38"/>
        <v>-3.1454545454545455</v>
      </c>
      <c r="U322" s="14">
        <v>0</v>
      </c>
      <c r="W322">
        <v>2280.6</v>
      </c>
      <c r="X322">
        <f t="shared" si="41"/>
        <v>253099.39999999994</v>
      </c>
      <c r="Y322">
        <f t="shared" si="42"/>
        <v>25841.100000000002</v>
      </c>
      <c r="Z322">
        <v>15.775685356520258</v>
      </c>
    </row>
    <row r="323" spans="1:26" x14ac:dyDescent="0.25">
      <c r="A323">
        <v>5320</v>
      </c>
      <c r="B323">
        <v>23210</v>
      </c>
      <c r="C323" s="1">
        <v>42900</v>
      </c>
      <c r="F323" s="53"/>
      <c r="G323">
        <v>22.1</v>
      </c>
      <c r="H323">
        <v>16.2</v>
      </c>
      <c r="I323">
        <v>28.7</v>
      </c>
      <c r="J323">
        <f t="shared" si="39"/>
        <v>2757.2999999999993</v>
      </c>
      <c r="K323">
        <f t="shared" si="40"/>
        <v>256.2</v>
      </c>
      <c r="L323" s="18">
        <v>0</v>
      </c>
      <c r="M323">
        <v>0</v>
      </c>
      <c r="N323">
        <v>3</v>
      </c>
      <c r="O323">
        <f t="shared" si="35"/>
        <v>-3</v>
      </c>
      <c r="Q323">
        <v>287</v>
      </c>
      <c r="R323">
        <f t="shared" si="36"/>
        <v>0.77424242424242418</v>
      </c>
      <c r="S323">
        <f t="shared" si="37"/>
        <v>2.3227272727272723</v>
      </c>
      <c r="T323">
        <f t="shared" si="38"/>
        <v>-2.3227272727272723</v>
      </c>
      <c r="U323" s="14">
        <v>0</v>
      </c>
      <c r="W323">
        <v>1504</v>
      </c>
      <c r="X323">
        <f t="shared" si="41"/>
        <v>254603.39999999994</v>
      </c>
      <c r="Y323">
        <f t="shared" si="42"/>
        <v>27345.100000000002</v>
      </c>
      <c r="Z323">
        <v>15.786342719616405</v>
      </c>
    </row>
    <row r="324" spans="1:26" x14ac:dyDescent="0.25">
      <c r="A324">
        <v>5320</v>
      </c>
      <c r="B324">
        <v>23210</v>
      </c>
      <c r="C324" s="1">
        <v>42901</v>
      </c>
      <c r="F324" s="53"/>
      <c r="G324">
        <v>23.3</v>
      </c>
      <c r="H324">
        <v>18.899999999999999</v>
      </c>
      <c r="I324">
        <v>29</v>
      </c>
      <c r="J324">
        <f t="shared" si="39"/>
        <v>2780.5999999999995</v>
      </c>
      <c r="K324">
        <f t="shared" si="40"/>
        <v>279.5</v>
      </c>
      <c r="M324">
        <v>0</v>
      </c>
      <c r="N324">
        <v>6.5</v>
      </c>
      <c r="O324">
        <f t="shared" si="35"/>
        <v>-6.5</v>
      </c>
      <c r="Q324">
        <v>288</v>
      </c>
      <c r="R324">
        <f t="shared" si="36"/>
        <v>0.76212121212121198</v>
      </c>
      <c r="S324">
        <f t="shared" si="37"/>
        <v>4.9537878787878782</v>
      </c>
      <c r="T324">
        <f t="shared" si="38"/>
        <v>-4.9537878787878782</v>
      </c>
      <c r="U324" s="14">
        <v>0</v>
      </c>
      <c r="W324">
        <v>3039</v>
      </c>
      <c r="X324">
        <f t="shared" si="41"/>
        <v>257642.39999999994</v>
      </c>
      <c r="Y324">
        <f t="shared" si="42"/>
        <v>30384.100000000002</v>
      </c>
      <c r="Z324">
        <v>15.795645169964704</v>
      </c>
    </row>
    <row r="325" spans="1:26" x14ac:dyDescent="0.25">
      <c r="A325">
        <v>5320</v>
      </c>
      <c r="B325">
        <v>23210</v>
      </c>
      <c r="C325" s="1">
        <v>42902</v>
      </c>
      <c r="F325" s="53"/>
      <c r="G325">
        <v>18.8</v>
      </c>
      <c r="H325">
        <v>14.6</v>
      </c>
      <c r="I325">
        <v>23.7</v>
      </c>
      <c r="J325">
        <f t="shared" si="39"/>
        <v>2799.3999999999996</v>
      </c>
      <c r="K325">
        <f t="shared" si="40"/>
        <v>298.3</v>
      </c>
      <c r="M325">
        <v>0</v>
      </c>
      <c r="N325">
        <v>5.4</v>
      </c>
      <c r="O325">
        <f t="shared" ref="O325:O388" si="44">M325-N325</f>
        <v>-5.4</v>
      </c>
      <c r="Q325">
        <v>289</v>
      </c>
      <c r="R325">
        <f t="shared" si="36"/>
        <v>0.75</v>
      </c>
      <c r="S325">
        <f t="shared" si="37"/>
        <v>4.0500000000000007</v>
      </c>
      <c r="T325">
        <f t="shared" si="38"/>
        <v>-4.0500000000000007</v>
      </c>
      <c r="U325" s="14">
        <v>0</v>
      </c>
      <c r="W325">
        <v>2637.2</v>
      </c>
      <c r="X325">
        <f t="shared" si="41"/>
        <v>260279.59999999995</v>
      </c>
      <c r="Y325">
        <f t="shared" si="42"/>
        <v>33021.300000000003</v>
      </c>
      <c r="Z325">
        <v>15.803584403993728</v>
      </c>
    </row>
    <row r="326" spans="1:26" x14ac:dyDescent="0.25">
      <c r="A326">
        <v>5320</v>
      </c>
      <c r="B326">
        <v>23210</v>
      </c>
      <c r="C326" s="1">
        <v>42903</v>
      </c>
      <c r="F326" s="53"/>
      <c r="G326">
        <v>20.6</v>
      </c>
      <c r="H326">
        <v>14</v>
      </c>
      <c r="I326">
        <v>26.1</v>
      </c>
      <c r="J326">
        <f t="shared" si="39"/>
        <v>2819.9999999999995</v>
      </c>
      <c r="K326">
        <f t="shared" si="40"/>
        <v>318.90000000000003</v>
      </c>
      <c r="M326">
        <v>0</v>
      </c>
      <c r="N326">
        <v>5.7</v>
      </c>
      <c r="O326">
        <f t="shared" si="44"/>
        <v>-5.7</v>
      </c>
      <c r="Q326">
        <v>290</v>
      </c>
      <c r="R326">
        <f t="shared" si="36"/>
        <v>0.7378787878787878</v>
      </c>
      <c r="S326">
        <f t="shared" si="37"/>
        <v>4.2059090909090902</v>
      </c>
      <c r="T326">
        <f t="shared" si="38"/>
        <v>-4.2059090909090902</v>
      </c>
      <c r="U326" s="14">
        <v>0</v>
      </c>
      <c r="W326">
        <v>2784</v>
      </c>
      <c r="X326">
        <f t="shared" si="41"/>
        <v>263063.59999999998</v>
      </c>
      <c r="Y326">
        <f t="shared" si="42"/>
        <v>35805.300000000003</v>
      </c>
      <c r="Z326">
        <v>15.810153298309087</v>
      </c>
    </row>
    <row r="327" spans="1:26" x14ac:dyDescent="0.25">
      <c r="A327">
        <v>5320</v>
      </c>
      <c r="B327">
        <v>23210</v>
      </c>
      <c r="C327" s="1">
        <v>42904</v>
      </c>
      <c r="F327" s="53"/>
      <c r="G327">
        <v>23.4</v>
      </c>
      <c r="H327">
        <v>17.899999999999999</v>
      </c>
      <c r="I327">
        <v>28.7</v>
      </c>
      <c r="J327">
        <f t="shared" si="39"/>
        <v>2843.3999999999996</v>
      </c>
      <c r="K327">
        <f t="shared" si="40"/>
        <v>342.3</v>
      </c>
      <c r="M327">
        <v>0</v>
      </c>
      <c r="N327">
        <v>7.4</v>
      </c>
      <c r="O327">
        <f t="shared" si="44"/>
        <v>-7.4</v>
      </c>
      <c r="Q327">
        <v>291</v>
      </c>
      <c r="R327">
        <f t="shared" si="36"/>
        <v>0.72575757575757571</v>
      </c>
      <c r="S327">
        <f t="shared" si="37"/>
        <v>5.3706060606060602</v>
      </c>
      <c r="T327">
        <f t="shared" si="38"/>
        <v>-5.3706060606060602</v>
      </c>
      <c r="U327" s="14">
        <v>0</v>
      </c>
      <c r="W327">
        <v>3295</v>
      </c>
      <c r="X327">
        <f t="shared" si="41"/>
        <v>266358.59999999998</v>
      </c>
      <c r="Y327">
        <f t="shared" si="42"/>
        <v>39100.300000000003</v>
      </c>
      <c r="Z327">
        <v>15.815345933394498</v>
      </c>
    </row>
    <row r="328" spans="1:26" x14ac:dyDescent="0.25">
      <c r="A328">
        <v>5320</v>
      </c>
      <c r="B328">
        <v>23210</v>
      </c>
      <c r="C328" s="1">
        <v>42905</v>
      </c>
      <c r="F328" s="53"/>
      <c r="G328">
        <v>26.6</v>
      </c>
      <c r="H328">
        <v>19</v>
      </c>
      <c r="I328">
        <v>33.6</v>
      </c>
      <c r="J328">
        <f t="shared" si="39"/>
        <v>2869.9999999999995</v>
      </c>
      <c r="K328">
        <f t="shared" si="40"/>
        <v>368.90000000000003</v>
      </c>
      <c r="M328">
        <v>0</v>
      </c>
      <c r="N328">
        <v>7.9</v>
      </c>
      <c r="O328">
        <f t="shared" si="44"/>
        <v>-7.9</v>
      </c>
      <c r="Q328">
        <v>292</v>
      </c>
      <c r="R328">
        <f t="shared" si="36"/>
        <v>0.71363636363636362</v>
      </c>
      <c r="S328">
        <f t="shared" si="37"/>
        <v>5.6377272727272727</v>
      </c>
      <c r="T328">
        <f t="shared" si="38"/>
        <v>-5.6377272727272727</v>
      </c>
      <c r="U328" s="14">
        <v>0</v>
      </c>
      <c r="W328">
        <v>3222.9</v>
      </c>
      <c r="X328">
        <f t="shared" si="41"/>
        <v>269581.5</v>
      </c>
      <c r="Y328">
        <f t="shared" si="42"/>
        <v>42323.200000000004</v>
      </c>
      <c r="Z328">
        <v>15.81915761344176</v>
      </c>
    </row>
    <row r="329" spans="1:26" x14ac:dyDescent="0.25">
      <c r="A329">
        <v>5320</v>
      </c>
      <c r="B329">
        <v>23210</v>
      </c>
      <c r="C329" s="1">
        <v>42906</v>
      </c>
      <c r="F329" s="53"/>
      <c r="G329">
        <v>28.2</v>
      </c>
      <c r="H329">
        <v>23.2</v>
      </c>
      <c r="I329">
        <v>34.299999999999997</v>
      </c>
      <c r="J329">
        <f t="shared" si="39"/>
        <v>2898.1999999999994</v>
      </c>
      <c r="K329">
        <f t="shared" si="40"/>
        <v>397.1</v>
      </c>
      <c r="M329">
        <v>0</v>
      </c>
      <c r="N329">
        <v>6.2</v>
      </c>
      <c r="O329">
        <f t="shared" si="44"/>
        <v>-6.2</v>
      </c>
      <c r="Q329">
        <v>293</v>
      </c>
      <c r="R329">
        <f t="shared" si="36"/>
        <v>0.70151515151515142</v>
      </c>
      <c r="S329">
        <f t="shared" si="37"/>
        <v>4.3493939393939387</v>
      </c>
      <c r="T329">
        <f t="shared" si="38"/>
        <v>-4.3493939393939387</v>
      </c>
      <c r="U329" s="14">
        <v>0</v>
      </c>
      <c r="W329">
        <v>2568.6</v>
      </c>
      <c r="X329">
        <f t="shared" si="41"/>
        <v>272150.09999999998</v>
      </c>
      <c r="Y329">
        <f t="shared" si="42"/>
        <v>44891.8</v>
      </c>
      <c r="Z329">
        <v>15.821584882168255</v>
      </c>
    </row>
    <row r="330" spans="1:26" s="6" customFormat="1" ht="15.75" thickBot="1" x14ac:dyDescent="0.3">
      <c r="A330" s="6">
        <v>5320</v>
      </c>
      <c r="B330" s="6">
        <v>23210</v>
      </c>
      <c r="C330" s="7">
        <v>42907</v>
      </c>
      <c r="D330" s="6">
        <v>1000</v>
      </c>
      <c r="F330" s="51"/>
      <c r="G330" s="6">
        <v>28.8</v>
      </c>
      <c r="H330" s="6">
        <v>23.2</v>
      </c>
      <c r="I330" s="6">
        <v>35</v>
      </c>
      <c r="J330" s="6">
        <f t="shared" si="39"/>
        <v>2926.9999999999995</v>
      </c>
      <c r="K330" s="6">
        <f t="shared" si="40"/>
        <v>425.90000000000003</v>
      </c>
      <c r="M330" s="6">
        <v>0</v>
      </c>
      <c r="N330" s="6">
        <v>7.4</v>
      </c>
      <c r="O330" s="6">
        <f t="shared" si="44"/>
        <v>-7.4</v>
      </c>
      <c r="Q330" s="6">
        <v>294</v>
      </c>
      <c r="R330">
        <f t="shared" si="36"/>
        <v>0.68939393939393923</v>
      </c>
      <c r="S330" s="6">
        <f t="shared" si="37"/>
        <v>5.1015151515151507</v>
      </c>
      <c r="T330" s="6">
        <f t="shared" si="38"/>
        <v>-5.1015151515151507</v>
      </c>
      <c r="U330" s="14">
        <v>0</v>
      </c>
      <c r="W330" s="6">
        <v>2705.3</v>
      </c>
      <c r="X330" s="6">
        <f t="shared" si="41"/>
        <v>274855.39999999997</v>
      </c>
      <c r="Y330" s="6">
        <f t="shared" si="42"/>
        <v>47597.100000000006</v>
      </c>
      <c r="Z330" s="6">
        <v>15.822625534508308</v>
      </c>
    </row>
    <row r="331" spans="1:26" x14ac:dyDescent="0.25">
      <c r="A331">
        <v>5320</v>
      </c>
      <c r="B331">
        <v>23210</v>
      </c>
      <c r="C331" s="1">
        <v>42908</v>
      </c>
      <c r="G331">
        <v>26.6</v>
      </c>
      <c r="H331">
        <v>21.1</v>
      </c>
      <c r="I331">
        <v>33.200000000000003</v>
      </c>
      <c r="J331">
        <f t="shared" si="39"/>
        <v>2953.5999999999995</v>
      </c>
      <c r="K331">
        <f t="shared" si="40"/>
        <v>452.50000000000006</v>
      </c>
      <c r="M331">
        <v>0</v>
      </c>
      <c r="N331">
        <v>7.5</v>
      </c>
      <c r="O331">
        <f t="shared" si="44"/>
        <v>-7.5</v>
      </c>
      <c r="Q331">
        <v>295</v>
      </c>
      <c r="R331">
        <f t="shared" si="36"/>
        <v>0.67727272727272725</v>
      </c>
      <c r="S331">
        <f t="shared" si="37"/>
        <v>5.0795454545454541</v>
      </c>
      <c r="T331">
        <f t="shared" si="38"/>
        <v>-5.0795454545454541</v>
      </c>
      <c r="U331" s="14">
        <v>0</v>
      </c>
      <c r="W331">
        <v>2656.7</v>
      </c>
      <c r="X331">
        <f t="shared" si="41"/>
        <v>277512.09999999998</v>
      </c>
      <c r="Y331">
        <f t="shared" si="42"/>
        <v>50253.8</v>
      </c>
      <c r="Z331">
        <v>15.822278624093915</v>
      </c>
    </row>
    <row r="332" spans="1:26" x14ac:dyDescent="0.25">
      <c r="A332">
        <v>5320</v>
      </c>
      <c r="B332">
        <v>23210</v>
      </c>
      <c r="C332" s="1">
        <v>42909</v>
      </c>
      <c r="G332">
        <v>20.6</v>
      </c>
      <c r="H332">
        <v>18.5</v>
      </c>
      <c r="I332">
        <v>24.1</v>
      </c>
      <c r="J332">
        <f t="shared" si="39"/>
        <v>2974.1999999999994</v>
      </c>
      <c r="K332">
        <f t="shared" si="40"/>
        <v>473.10000000000008</v>
      </c>
      <c r="M332">
        <v>0</v>
      </c>
      <c r="N332">
        <v>3.9</v>
      </c>
      <c r="O332">
        <f t="shared" si="44"/>
        <v>-3.9</v>
      </c>
      <c r="Q332">
        <v>296</v>
      </c>
      <c r="R332">
        <f t="shared" si="36"/>
        <v>0.66515151515151505</v>
      </c>
      <c r="S332">
        <f t="shared" si="37"/>
        <v>2.5940909090909088</v>
      </c>
      <c r="T332">
        <f t="shared" si="38"/>
        <v>-2.5940909090909088</v>
      </c>
      <c r="U332" s="14">
        <v>0</v>
      </c>
      <c r="W332">
        <v>1408.4</v>
      </c>
      <c r="X332">
        <f t="shared" si="41"/>
        <v>278920.5</v>
      </c>
      <c r="Y332">
        <f t="shared" si="42"/>
        <v>51662.200000000004</v>
      </c>
      <c r="Z332">
        <v>15.820544466470492</v>
      </c>
    </row>
    <row r="333" spans="1:26" x14ac:dyDescent="0.25">
      <c r="A333">
        <v>5320</v>
      </c>
      <c r="B333">
        <v>23210</v>
      </c>
      <c r="C333" s="1">
        <v>42910</v>
      </c>
      <c r="G333">
        <v>19.8</v>
      </c>
      <c r="H333">
        <v>13</v>
      </c>
      <c r="I333">
        <v>24.9</v>
      </c>
      <c r="J333">
        <f t="shared" si="39"/>
        <v>2993.9999999999995</v>
      </c>
      <c r="K333">
        <f t="shared" si="40"/>
        <v>492.90000000000009</v>
      </c>
      <c r="M333">
        <v>0</v>
      </c>
      <c r="N333">
        <v>2.6</v>
      </c>
      <c r="O333">
        <f t="shared" si="44"/>
        <v>-2.6</v>
      </c>
      <c r="Q333">
        <v>297</v>
      </c>
      <c r="R333">
        <f t="shared" si="36"/>
        <v>0.65303030303030296</v>
      </c>
      <c r="S333">
        <f t="shared" si="37"/>
        <v>1.6978787878787878</v>
      </c>
      <c r="T333">
        <f t="shared" si="38"/>
        <v>-1.6978787878787878</v>
      </c>
      <c r="U333" s="14">
        <v>0</v>
      </c>
      <c r="W333">
        <v>1016.6</v>
      </c>
      <c r="X333">
        <f t="shared" si="41"/>
        <v>279937.09999999998</v>
      </c>
      <c r="Y333">
        <f t="shared" si="42"/>
        <v>52678.8</v>
      </c>
      <c r="Z333">
        <v>15.817424638024336</v>
      </c>
    </row>
    <row r="334" spans="1:26" x14ac:dyDescent="0.25">
      <c r="A334">
        <v>5320</v>
      </c>
      <c r="B334">
        <v>23210</v>
      </c>
      <c r="C334" s="1">
        <v>42911</v>
      </c>
      <c r="G334">
        <v>20.5</v>
      </c>
      <c r="H334">
        <v>16.3</v>
      </c>
      <c r="I334">
        <v>26.3</v>
      </c>
      <c r="J334">
        <f t="shared" si="39"/>
        <v>3014.4999999999995</v>
      </c>
      <c r="K334">
        <f t="shared" si="40"/>
        <v>513.40000000000009</v>
      </c>
      <c r="M334">
        <v>0</v>
      </c>
      <c r="N334">
        <v>2.9</v>
      </c>
      <c r="O334">
        <f t="shared" si="44"/>
        <v>-2.9</v>
      </c>
      <c r="Q334">
        <v>298</v>
      </c>
      <c r="R334">
        <f t="shared" si="36"/>
        <v>0.64090909090909087</v>
      </c>
      <c r="S334">
        <f t="shared" si="37"/>
        <v>1.8586363636363634</v>
      </c>
      <c r="T334">
        <f t="shared" si="38"/>
        <v>-1.8586363636363634</v>
      </c>
      <c r="U334" s="14">
        <v>0</v>
      </c>
      <c r="W334">
        <v>867.9</v>
      </c>
      <c r="X334">
        <f t="shared" si="41"/>
        <v>280805</v>
      </c>
      <c r="Y334">
        <f t="shared" si="42"/>
        <v>53546.700000000004</v>
      </c>
      <c r="Z334">
        <v>15.812921970629471</v>
      </c>
    </row>
    <row r="335" spans="1:26" x14ac:dyDescent="0.25">
      <c r="A335">
        <v>5320</v>
      </c>
      <c r="B335">
        <v>23210</v>
      </c>
      <c r="C335" s="1">
        <v>42912</v>
      </c>
      <c r="G335">
        <v>21.7</v>
      </c>
      <c r="H335">
        <v>15.4</v>
      </c>
      <c r="I335">
        <v>27.2</v>
      </c>
      <c r="J335">
        <f t="shared" si="39"/>
        <v>3036.1999999999994</v>
      </c>
      <c r="K335">
        <f t="shared" si="40"/>
        <v>535.10000000000014</v>
      </c>
      <c r="M335">
        <v>0</v>
      </c>
      <c r="N335">
        <v>3.6</v>
      </c>
      <c r="O335">
        <f t="shared" si="44"/>
        <v>-3.6</v>
      </c>
      <c r="Q335">
        <v>299</v>
      </c>
      <c r="R335">
        <f t="shared" si="36"/>
        <v>0.62878787878787878</v>
      </c>
      <c r="S335">
        <f t="shared" si="37"/>
        <v>2.2636363636363637</v>
      </c>
      <c r="T335">
        <f t="shared" si="38"/>
        <v>-2.2636363636363637</v>
      </c>
      <c r="U335" s="14">
        <v>0</v>
      </c>
      <c r="W335">
        <v>1871.9</v>
      </c>
      <c r="X335">
        <f t="shared" si="41"/>
        <v>282676.90000000002</v>
      </c>
      <c r="Y335">
        <f t="shared" si="42"/>
        <v>55418.600000000006</v>
      </c>
      <c r="Z335">
        <v>15.807040542052938</v>
      </c>
    </row>
    <row r="336" spans="1:26" x14ac:dyDescent="0.25">
      <c r="A336">
        <v>5320</v>
      </c>
      <c r="B336">
        <v>23210</v>
      </c>
      <c r="C336" s="1">
        <v>42913</v>
      </c>
      <c r="G336">
        <v>20.3</v>
      </c>
      <c r="H336">
        <v>18.100000000000001</v>
      </c>
      <c r="I336">
        <v>25.1</v>
      </c>
      <c r="J336">
        <f t="shared" si="39"/>
        <v>3056.4999999999995</v>
      </c>
      <c r="K336">
        <f t="shared" si="40"/>
        <v>555.40000000000009</v>
      </c>
      <c r="M336">
        <v>7.2</v>
      </c>
      <c r="N336">
        <v>2.5</v>
      </c>
      <c r="O336">
        <f t="shared" si="44"/>
        <v>4.7</v>
      </c>
      <c r="Q336">
        <v>300</v>
      </c>
      <c r="R336">
        <f t="shared" si="36"/>
        <v>0.6166666666666667</v>
      </c>
      <c r="S336">
        <f t="shared" si="37"/>
        <v>1.5416666666666667</v>
      </c>
      <c r="T336">
        <f t="shared" si="38"/>
        <v>5.6583333333333332</v>
      </c>
      <c r="U336" s="14">
        <f t="shared" si="43"/>
        <v>5.6583333333333332</v>
      </c>
      <c r="W336">
        <v>1065</v>
      </c>
      <c r="X336">
        <f t="shared" si="41"/>
        <v>283741.90000000002</v>
      </c>
      <c r="Y336">
        <f t="shared" si="42"/>
        <v>56483.600000000006</v>
      </c>
      <c r="Z336">
        <v>15.799785662187944</v>
      </c>
    </row>
    <row r="337" spans="1:26" x14ac:dyDescent="0.25">
      <c r="A337">
        <v>5320</v>
      </c>
      <c r="B337">
        <v>23210</v>
      </c>
      <c r="C337" s="1">
        <v>42914</v>
      </c>
      <c r="G337">
        <v>18.5</v>
      </c>
      <c r="H337">
        <v>16.7</v>
      </c>
      <c r="I337">
        <v>21.2</v>
      </c>
      <c r="J337">
        <f t="shared" si="39"/>
        <v>3074.9999999999995</v>
      </c>
      <c r="K337">
        <f t="shared" si="40"/>
        <v>573.90000000000009</v>
      </c>
      <c r="M337">
        <v>8.4</v>
      </c>
      <c r="N337">
        <v>2</v>
      </c>
      <c r="O337">
        <f t="shared" si="44"/>
        <v>6.4</v>
      </c>
      <c r="Q337">
        <v>301</v>
      </c>
      <c r="R337">
        <f t="shared" si="36"/>
        <v>0.6045454545454545</v>
      </c>
      <c r="S337">
        <f t="shared" si="37"/>
        <v>1.209090909090909</v>
      </c>
      <c r="T337">
        <f t="shared" si="38"/>
        <v>7.1909090909090914</v>
      </c>
      <c r="U337" s="14">
        <f t="shared" si="43"/>
        <v>12.849242424242425</v>
      </c>
      <c r="W337">
        <v>690.3</v>
      </c>
      <c r="X337">
        <f t="shared" si="41"/>
        <v>284432.2</v>
      </c>
      <c r="Y337">
        <f t="shared" si="42"/>
        <v>57173.900000000009</v>
      </c>
      <c r="Z337">
        <v>15.791163855214142</v>
      </c>
    </row>
    <row r="338" spans="1:26" x14ac:dyDescent="0.25">
      <c r="A338">
        <v>5320</v>
      </c>
      <c r="B338">
        <v>23210</v>
      </c>
      <c r="C338" s="1">
        <v>42915</v>
      </c>
      <c r="G338">
        <v>15.8</v>
      </c>
      <c r="H338">
        <v>13.4</v>
      </c>
      <c r="I338">
        <v>18.399999999999999</v>
      </c>
      <c r="J338">
        <f t="shared" si="39"/>
        <v>3090.7999999999997</v>
      </c>
      <c r="K338">
        <f t="shared" si="40"/>
        <v>589.70000000000005</v>
      </c>
      <c r="M338">
        <v>3.5</v>
      </c>
      <c r="N338">
        <v>2.8</v>
      </c>
      <c r="O338">
        <f t="shared" si="44"/>
        <v>0.70000000000000018</v>
      </c>
      <c r="Q338">
        <v>302</v>
      </c>
      <c r="R338">
        <f t="shared" si="36"/>
        <v>0.5924242424242423</v>
      </c>
      <c r="S338">
        <f t="shared" si="37"/>
        <v>1.6587878787878783</v>
      </c>
      <c r="T338">
        <f t="shared" si="38"/>
        <v>1.8412121212121217</v>
      </c>
      <c r="U338" s="14">
        <f t="shared" si="43"/>
        <v>14.690454545454546</v>
      </c>
      <c r="W338">
        <v>1681.4</v>
      </c>
      <c r="X338">
        <f t="shared" si="41"/>
        <v>286113.60000000003</v>
      </c>
      <c r="Y338">
        <f t="shared" si="42"/>
        <v>58855.30000000001</v>
      </c>
      <c r="Z338">
        <v>15.781182837812775</v>
      </c>
    </row>
    <row r="339" spans="1:26" x14ac:dyDescent="0.25">
      <c r="A339">
        <v>5320</v>
      </c>
      <c r="B339">
        <v>23210</v>
      </c>
      <c r="C339" s="1">
        <v>42916</v>
      </c>
      <c r="G339">
        <v>14.5</v>
      </c>
      <c r="H339">
        <v>13.8</v>
      </c>
      <c r="I339">
        <v>15.3</v>
      </c>
      <c r="J339">
        <f t="shared" si="39"/>
        <v>3105.2999999999997</v>
      </c>
      <c r="K339">
        <f t="shared" si="40"/>
        <v>604.20000000000005</v>
      </c>
      <c r="M339">
        <v>5.5</v>
      </c>
      <c r="N339">
        <v>1.8</v>
      </c>
      <c r="O339">
        <f t="shared" si="44"/>
        <v>3.7</v>
      </c>
      <c r="Q339">
        <v>303</v>
      </c>
      <c r="R339">
        <f t="shared" si="36"/>
        <v>0.58030303030303021</v>
      </c>
      <c r="S339">
        <f t="shared" si="37"/>
        <v>1.0445454545454544</v>
      </c>
      <c r="T339">
        <f t="shared" si="38"/>
        <v>4.4554545454545451</v>
      </c>
      <c r="U339" s="14">
        <f t="shared" si="43"/>
        <v>19.145909090909093</v>
      </c>
      <c r="W339">
        <v>1146.7</v>
      </c>
      <c r="X339">
        <f t="shared" si="41"/>
        <v>287260.30000000005</v>
      </c>
      <c r="Y339">
        <f t="shared" si="42"/>
        <v>60002.000000000007</v>
      </c>
      <c r="Z339">
        <v>15.769851493591256</v>
      </c>
    </row>
    <row r="340" spans="1:26" x14ac:dyDescent="0.25">
      <c r="A340">
        <v>5320</v>
      </c>
      <c r="B340">
        <v>23210</v>
      </c>
      <c r="C340" s="1">
        <v>42917</v>
      </c>
      <c r="G340">
        <v>15.3</v>
      </c>
      <c r="H340">
        <v>13.5</v>
      </c>
      <c r="I340">
        <v>17.7</v>
      </c>
      <c r="J340">
        <f t="shared" si="39"/>
        <v>3120.6</v>
      </c>
      <c r="K340">
        <f t="shared" si="40"/>
        <v>619.5</v>
      </c>
      <c r="M340">
        <v>2.6</v>
      </c>
      <c r="N340">
        <v>1.3</v>
      </c>
      <c r="O340">
        <f t="shared" si="44"/>
        <v>1.3</v>
      </c>
      <c r="Q340">
        <v>304</v>
      </c>
      <c r="R340">
        <f t="shared" si="36"/>
        <v>0.56818181818181812</v>
      </c>
      <c r="S340">
        <f t="shared" si="37"/>
        <v>0.73863636363636354</v>
      </c>
      <c r="T340">
        <f t="shared" si="38"/>
        <v>1.8613636363636366</v>
      </c>
      <c r="U340" s="14">
        <f t="shared" si="43"/>
        <v>21.007272727272731</v>
      </c>
      <c r="W340">
        <v>801.8</v>
      </c>
      <c r="X340">
        <f t="shared" si="41"/>
        <v>288062.10000000003</v>
      </c>
      <c r="Y340">
        <f t="shared" si="42"/>
        <v>60803.80000000001</v>
      </c>
      <c r="Z340">
        <v>15.757179843896731</v>
      </c>
    </row>
    <row r="341" spans="1:26" x14ac:dyDescent="0.25">
      <c r="A341">
        <v>5320</v>
      </c>
      <c r="B341">
        <v>23210</v>
      </c>
      <c r="C341" s="1">
        <v>42918</v>
      </c>
      <c r="G341">
        <v>15.7</v>
      </c>
      <c r="H341">
        <v>11.7</v>
      </c>
      <c r="I341">
        <v>21</v>
      </c>
      <c r="J341">
        <f t="shared" si="39"/>
        <v>3136.2999999999997</v>
      </c>
      <c r="K341">
        <f t="shared" si="40"/>
        <v>635.20000000000005</v>
      </c>
      <c r="M341">
        <v>0.4</v>
      </c>
      <c r="N341">
        <v>1.5</v>
      </c>
      <c r="O341">
        <f t="shared" si="44"/>
        <v>-1.1000000000000001</v>
      </c>
      <c r="Q341">
        <v>305</v>
      </c>
      <c r="R341">
        <f t="shared" si="36"/>
        <v>0.55606060606060603</v>
      </c>
      <c r="S341">
        <f t="shared" si="37"/>
        <v>0.83409090909090899</v>
      </c>
      <c r="T341">
        <f t="shared" si="38"/>
        <v>-0.43409090909090897</v>
      </c>
      <c r="U341" s="14">
        <f t="shared" si="43"/>
        <v>20.573181818181823</v>
      </c>
      <c r="W341">
        <v>802.5</v>
      </c>
      <c r="X341">
        <f t="shared" si="41"/>
        <v>288864.60000000003</v>
      </c>
      <c r="Y341">
        <f t="shared" si="42"/>
        <v>61606.30000000001</v>
      </c>
      <c r="Z341">
        <v>15.743179015221001</v>
      </c>
    </row>
    <row r="342" spans="1:26" x14ac:dyDescent="0.25">
      <c r="A342">
        <v>5320</v>
      </c>
      <c r="B342">
        <v>23210</v>
      </c>
      <c r="C342" s="1">
        <v>42919</v>
      </c>
      <c r="G342">
        <v>19.100000000000001</v>
      </c>
      <c r="H342">
        <v>13.7</v>
      </c>
      <c r="I342">
        <v>24.9</v>
      </c>
      <c r="J342">
        <f t="shared" si="39"/>
        <v>3155.3999999999996</v>
      </c>
      <c r="K342">
        <f t="shared" si="40"/>
        <v>654.30000000000007</v>
      </c>
      <c r="M342">
        <v>0</v>
      </c>
      <c r="N342">
        <v>2.2999999999999998</v>
      </c>
      <c r="O342">
        <f t="shared" si="44"/>
        <v>-2.2999999999999998</v>
      </c>
      <c r="Q342">
        <v>306</v>
      </c>
      <c r="R342">
        <f t="shared" si="36"/>
        <v>0.54393939393939394</v>
      </c>
      <c r="S342">
        <f t="shared" si="37"/>
        <v>1.251060606060606</v>
      </c>
      <c r="T342">
        <f t="shared" si="38"/>
        <v>-1.251060606060606</v>
      </c>
      <c r="U342" s="14">
        <f t="shared" si="43"/>
        <v>19.322121212121218</v>
      </c>
      <c r="W342">
        <v>899.6</v>
      </c>
      <c r="X342">
        <f t="shared" si="41"/>
        <v>289764.2</v>
      </c>
      <c r="Y342">
        <f t="shared" si="42"/>
        <v>62505.900000000009</v>
      </c>
      <c r="Z342">
        <v>15.727861203419444</v>
      </c>
    </row>
    <row r="343" spans="1:26" x14ac:dyDescent="0.25">
      <c r="A343">
        <v>5320</v>
      </c>
      <c r="B343">
        <v>23210</v>
      </c>
      <c r="C343" s="1">
        <v>42920</v>
      </c>
      <c r="G343">
        <v>22.1</v>
      </c>
      <c r="H343">
        <v>15.4</v>
      </c>
      <c r="I343">
        <v>28.9</v>
      </c>
      <c r="J343">
        <f t="shared" si="39"/>
        <v>3177.4999999999995</v>
      </c>
      <c r="K343">
        <f t="shared" si="40"/>
        <v>676.40000000000009</v>
      </c>
      <c r="M343">
        <v>0</v>
      </c>
      <c r="N343">
        <v>6.9</v>
      </c>
      <c r="O343">
        <f t="shared" si="44"/>
        <v>-6.9</v>
      </c>
      <c r="Q343">
        <v>307</v>
      </c>
      <c r="R343">
        <f t="shared" si="36"/>
        <v>0.53181818181818175</v>
      </c>
      <c r="S343">
        <f t="shared" si="37"/>
        <v>3.6695454545454544</v>
      </c>
      <c r="T343">
        <f t="shared" si="38"/>
        <v>-3.6695454545454544</v>
      </c>
      <c r="U343" s="14">
        <f t="shared" si="43"/>
        <v>15.652575757575763</v>
      </c>
      <c r="W343">
        <v>3285.8</v>
      </c>
      <c r="X343">
        <f t="shared" si="41"/>
        <v>293050</v>
      </c>
      <c r="Y343">
        <f t="shared" si="42"/>
        <v>65791.700000000012</v>
      </c>
      <c r="Z343">
        <v>15.711239634984441</v>
      </c>
    </row>
    <row r="344" spans="1:26" x14ac:dyDescent="0.25">
      <c r="A344">
        <v>5320</v>
      </c>
      <c r="B344">
        <v>23210</v>
      </c>
      <c r="C344" s="1">
        <v>42921</v>
      </c>
      <c r="G344">
        <v>26</v>
      </c>
      <c r="H344">
        <v>18</v>
      </c>
      <c r="I344">
        <v>32.5</v>
      </c>
      <c r="J344">
        <f t="shared" si="39"/>
        <v>3203.4999999999995</v>
      </c>
      <c r="K344">
        <f t="shared" si="40"/>
        <v>702.40000000000009</v>
      </c>
      <c r="M344">
        <v>0</v>
      </c>
      <c r="N344">
        <v>5.8</v>
      </c>
      <c r="O344">
        <f t="shared" si="44"/>
        <v>-5.8</v>
      </c>
      <c r="Q344">
        <v>308</v>
      </c>
      <c r="R344">
        <f t="shared" si="36"/>
        <v>0.51969696969696966</v>
      </c>
      <c r="S344">
        <f t="shared" si="37"/>
        <v>3.0142424242424237</v>
      </c>
      <c r="T344">
        <f t="shared" si="38"/>
        <v>-3.0142424242424237</v>
      </c>
      <c r="U344" s="14">
        <f t="shared" si="43"/>
        <v>12.638333333333339</v>
      </c>
      <c r="W344">
        <v>2251.8000000000002</v>
      </c>
      <c r="X344">
        <f t="shared" si="41"/>
        <v>295301.8</v>
      </c>
      <c r="Y344">
        <f t="shared" si="42"/>
        <v>68043.500000000015</v>
      </c>
      <c r="Z344">
        <v>15.693328525628708</v>
      </c>
    </row>
    <row r="345" spans="1:26" x14ac:dyDescent="0.25">
      <c r="A345">
        <v>5320</v>
      </c>
      <c r="B345">
        <v>23210</v>
      </c>
      <c r="C345" s="1">
        <v>42922</v>
      </c>
      <c r="G345">
        <v>26.4</v>
      </c>
      <c r="H345">
        <v>21.6</v>
      </c>
      <c r="I345">
        <v>31.7</v>
      </c>
      <c r="J345">
        <f t="shared" si="39"/>
        <v>3229.8999999999996</v>
      </c>
      <c r="K345">
        <f t="shared" si="40"/>
        <v>728.80000000000007</v>
      </c>
      <c r="M345">
        <v>0</v>
      </c>
      <c r="N345">
        <v>4</v>
      </c>
      <c r="O345">
        <f t="shared" si="44"/>
        <v>-4</v>
      </c>
      <c r="Q345">
        <v>309</v>
      </c>
      <c r="R345">
        <f t="shared" si="36"/>
        <v>0.50757575757575757</v>
      </c>
      <c r="S345">
        <f t="shared" si="37"/>
        <v>2.0303030303030303</v>
      </c>
      <c r="T345">
        <f t="shared" si="38"/>
        <v>-2.0303030303030303</v>
      </c>
      <c r="U345" s="14">
        <f t="shared" si="43"/>
        <v>10.608030303030308</v>
      </c>
      <c r="W345">
        <v>1302.5999999999999</v>
      </c>
      <c r="X345">
        <f t="shared" si="41"/>
        <v>296604.39999999997</v>
      </c>
      <c r="Y345">
        <f t="shared" si="42"/>
        <v>69346.10000000002</v>
      </c>
      <c r="Z345">
        <v>15.67414303644615</v>
      </c>
    </row>
    <row r="346" spans="1:26" x14ac:dyDescent="0.25">
      <c r="A346">
        <v>5320</v>
      </c>
      <c r="B346">
        <v>23210</v>
      </c>
      <c r="C346" s="1">
        <v>42923</v>
      </c>
      <c r="G346">
        <v>25.7</v>
      </c>
      <c r="H346">
        <v>19.3</v>
      </c>
      <c r="I346">
        <v>32.1</v>
      </c>
      <c r="J346">
        <f t="shared" si="39"/>
        <v>3255.5999999999995</v>
      </c>
      <c r="K346">
        <f t="shared" si="40"/>
        <v>754.50000000000011</v>
      </c>
      <c r="M346">
        <v>0</v>
      </c>
      <c r="N346">
        <v>6</v>
      </c>
      <c r="O346">
        <f t="shared" si="44"/>
        <v>-6</v>
      </c>
      <c r="Q346">
        <v>310</v>
      </c>
      <c r="R346">
        <f t="shared" si="36"/>
        <v>0.49545454545454537</v>
      </c>
      <c r="S346">
        <f t="shared" si="37"/>
        <v>2.9727272727272722</v>
      </c>
      <c r="T346">
        <f t="shared" si="38"/>
        <v>-2.9727272727272722</v>
      </c>
      <c r="U346" s="14">
        <f t="shared" si="43"/>
        <v>7.6353030303030351</v>
      </c>
      <c r="W346">
        <v>2493.9</v>
      </c>
      <c r="X346">
        <f t="shared" si="41"/>
        <v>299098.3</v>
      </c>
      <c r="Y346">
        <f t="shared" si="42"/>
        <v>71840.000000000015</v>
      </c>
      <c r="Z346">
        <v>15.653699227927069</v>
      </c>
    </row>
    <row r="347" spans="1:26" x14ac:dyDescent="0.25">
      <c r="A347">
        <v>5320</v>
      </c>
      <c r="B347">
        <v>23210</v>
      </c>
      <c r="C347" s="1">
        <v>42924</v>
      </c>
      <c r="G347">
        <v>24.7</v>
      </c>
      <c r="H347">
        <v>19</v>
      </c>
      <c r="I347">
        <v>30</v>
      </c>
      <c r="J347">
        <f t="shared" si="39"/>
        <v>3280.2999999999993</v>
      </c>
      <c r="K347">
        <f t="shared" si="40"/>
        <v>779.20000000000016</v>
      </c>
      <c r="M347">
        <v>0.9</v>
      </c>
      <c r="N347">
        <v>4.2</v>
      </c>
      <c r="O347">
        <f t="shared" si="44"/>
        <v>-3.3000000000000003</v>
      </c>
      <c r="Q347">
        <v>311</v>
      </c>
      <c r="R347">
        <f t="shared" si="36"/>
        <v>0.48333333333333328</v>
      </c>
      <c r="S347">
        <f t="shared" si="37"/>
        <v>2.0299999999999998</v>
      </c>
      <c r="T347">
        <f t="shared" si="38"/>
        <v>-1.1299999999999999</v>
      </c>
      <c r="U347" s="14">
        <f t="shared" si="43"/>
        <v>6.5053030303030352</v>
      </c>
      <c r="W347">
        <v>1379</v>
      </c>
      <c r="X347">
        <f t="shared" si="41"/>
        <v>300477.3</v>
      </c>
      <c r="Y347">
        <f t="shared" si="42"/>
        <v>73219.000000000015</v>
      </c>
      <c r="Z347">
        <v>15.632014012110968</v>
      </c>
    </row>
    <row r="348" spans="1:26" x14ac:dyDescent="0.25">
      <c r="A348">
        <v>5320</v>
      </c>
      <c r="B348">
        <v>23210</v>
      </c>
      <c r="C348" s="1">
        <v>42925</v>
      </c>
      <c r="G348">
        <v>21.7</v>
      </c>
      <c r="H348">
        <v>19.100000000000001</v>
      </c>
      <c r="I348">
        <v>25.6</v>
      </c>
      <c r="J348">
        <f t="shared" si="39"/>
        <v>3301.9999999999991</v>
      </c>
      <c r="K348">
        <f t="shared" si="40"/>
        <v>800.9000000000002</v>
      </c>
      <c r="M348">
        <v>5.2</v>
      </c>
      <c r="N348">
        <v>1.8</v>
      </c>
      <c r="O348">
        <f t="shared" si="44"/>
        <v>3.4000000000000004</v>
      </c>
      <c r="Q348">
        <v>312</v>
      </c>
      <c r="R348">
        <f t="shared" si="36"/>
        <v>0.47121212121212119</v>
      </c>
      <c r="S348">
        <f t="shared" si="37"/>
        <v>0.84818181818181815</v>
      </c>
      <c r="T348">
        <f t="shared" si="38"/>
        <v>4.3518181818181816</v>
      </c>
      <c r="U348" s="14">
        <f t="shared" si="43"/>
        <v>10.857121212121218</v>
      </c>
      <c r="W348">
        <v>557.70000000000005</v>
      </c>
      <c r="X348">
        <f t="shared" si="41"/>
        <v>301035</v>
      </c>
      <c r="Y348">
        <f t="shared" si="42"/>
        <v>73776.700000000012</v>
      </c>
      <c r="Z348">
        <v>15.609105103163657</v>
      </c>
    </row>
    <row r="349" spans="1:26" x14ac:dyDescent="0.25">
      <c r="A349">
        <v>5320</v>
      </c>
      <c r="B349">
        <v>23210</v>
      </c>
      <c r="C349" s="1">
        <v>42926</v>
      </c>
      <c r="G349">
        <v>18.8</v>
      </c>
      <c r="H349">
        <v>17</v>
      </c>
      <c r="I349">
        <v>21.5</v>
      </c>
      <c r="J349">
        <f t="shared" si="39"/>
        <v>3320.7999999999993</v>
      </c>
      <c r="K349">
        <f t="shared" si="40"/>
        <v>819.70000000000016</v>
      </c>
      <c r="M349">
        <v>0.1</v>
      </c>
      <c r="N349">
        <v>2</v>
      </c>
      <c r="O349">
        <f t="shared" si="44"/>
        <v>-1.9</v>
      </c>
      <c r="Q349">
        <v>313</v>
      </c>
      <c r="R349">
        <f t="shared" si="36"/>
        <v>0.45909090909090911</v>
      </c>
      <c r="S349">
        <f t="shared" si="37"/>
        <v>0.91818181818181821</v>
      </c>
      <c r="T349">
        <f t="shared" si="38"/>
        <v>-0.81818181818181823</v>
      </c>
      <c r="U349" s="14">
        <f t="shared" si="43"/>
        <v>10.038939393939399</v>
      </c>
      <c r="W349">
        <v>899.7</v>
      </c>
      <c r="X349">
        <f t="shared" si="41"/>
        <v>301934.7</v>
      </c>
      <c r="Y349">
        <f t="shared" si="42"/>
        <v>74676.400000000009</v>
      </c>
      <c r="Z349">
        <v>15.584990966666096</v>
      </c>
    </row>
    <row r="350" spans="1:26" x14ac:dyDescent="0.25">
      <c r="A350">
        <v>5320</v>
      </c>
      <c r="B350">
        <v>23210</v>
      </c>
      <c r="C350" s="1">
        <v>42927</v>
      </c>
      <c r="G350">
        <v>19.600000000000001</v>
      </c>
      <c r="H350">
        <v>15.1</v>
      </c>
      <c r="I350">
        <v>23.4</v>
      </c>
      <c r="J350">
        <f t="shared" si="39"/>
        <v>3340.3999999999992</v>
      </c>
      <c r="K350">
        <f t="shared" si="40"/>
        <v>839.30000000000018</v>
      </c>
      <c r="M350">
        <v>0.1</v>
      </c>
      <c r="N350">
        <v>4.4000000000000004</v>
      </c>
      <c r="O350">
        <f t="shared" si="44"/>
        <v>-4.3000000000000007</v>
      </c>
      <c r="Q350">
        <v>314</v>
      </c>
      <c r="R350">
        <f t="shared" si="36"/>
        <v>0.44696969696969691</v>
      </c>
      <c r="S350">
        <f t="shared" si="37"/>
        <v>1.9666666666666666</v>
      </c>
      <c r="T350">
        <f t="shared" si="38"/>
        <v>-1.8666666666666665</v>
      </c>
      <c r="U350" s="14">
        <f t="shared" si="43"/>
        <v>8.1722727272727322</v>
      </c>
      <c r="W350">
        <v>1810.1</v>
      </c>
      <c r="X350">
        <f t="shared" si="41"/>
        <v>303744.8</v>
      </c>
      <c r="Y350">
        <f t="shared" si="42"/>
        <v>76486.500000000015</v>
      </c>
      <c r="Z350">
        <v>15.559690767900642</v>
      </c>
    </row>
    <row r="351" spans="1:26" x14ac:dyDescent="0.25">
      <c r="A351">
        <v>5320</v>
      </c>
      <c r="B351">
        <v>23210</v>
      </c>
      <c r="C351" s="1">
        <v>42928</v>
      </c>
      <c r="G351">
        <v>19.2</v>
      </c>
      <c r="H351">
        <v>17.5</v>
      </c>
      <c r="I351">
        <v>21.7</v>
      </c>
      <c r="J351">
        <f t="shared" si="39"/>
        <v>3359.599999999999</v>
      </c>
      <c r="K351">
        <f t="shared" si="40"/>
        <v>858.50000000000023</v>
      </c>
      <c r="M351">
        <v>0.1</v>
      </c>
      <c r="N351">
        <v>2.2999999999999998</v>
      </c>
      <c r="O351">
        <f t="shared" si="44"/>
        <v>-2.1999999999999997</v>
      </c>
      <c r="Q351">
        <v>315</v>
      </c>
      <c r="R351">
        <f t="shared" si="36"/>
        <v>0.43484848484848482</v>
      </c>
      <c r="S351">
        <f t="shared" si="37"/>
        <v>1.000151515151515</v>
      </c>
      <c r="T351">
        <f t="shared" si="38"/>
        <v>-0.90015151515151504</v>
      </c>
      <c r="U351" s="14">
        <f t="shared" si="43"/>
        <v>7.2721212121212169</v>
      </c>
      <c r="W351">
        <v>517.5</v>
      </c>
      <c r="X351">
        <f t="shared" si="41"/>
        <v>304262.3</v>
      </c>
      <c r="Y351">
        <f t="shared" si="42"/>
        <v>77004.000000000015</v>
      </c>
      <c r="Z351">
        <v>15.533224319415808</v>
      </c>
    </row>
    <row r="352" spans="1:26" x14ac:dyDescent="0.25">
      <c r="A352">
        <v>5320</v>
      </c>
      <c r="B352">
        <v>23210</v>
      </c>
      <c r="C352" s="1">
        <v>42929</v>
      </c>
      <c r="G352">
        <v>20.6</v>
      </c>
      <c r="H352">
        <v>16.5</v>
      </c>
      <c r="I352">
        <v>24.8</v>
      </c>
      <c r="J352">
        <f t="shared" si="39"/>
        <v>3380.1999999999989</v>
      </c>
      <c r="K352">
        <f t="shared" si="40"/>
        <v>879.10000000000025</v>
      </c>
      <c r="M352">
        <v>0</v>
      </c>
      <c r="N352">
        <v>3.8</v>
      </c>
      <c r="O352">
        <f t="shared" si="44"/>
        <v>-3.8</v>
      </c>
      <c r="Q352">
        <v>316</v>
      </c>
      <c r="R352">
        <f t="shared" si="36"/>
        <v>0.42272727272727273</v>
      </c>
      <c r="S352">
        <f t="shared" si="37"/>
        <v>1.6063636363636362</v>
      </c>
      <c r="T352">
        <f t="shared" si="38"/>
        <v>-1.6063636363636362</v>
      </c>
      <c r="U352" s="14">
        <f t="shared" si="43"/>
        <v>5.6657575757575804</v>
      </c>
      <c r="W352">
        <v>1741.2</v>
      </c>
      <c r="X352">
        <f t="shared" si="41"/>
        <v>306003.5</v>
      </c>
      <c r="Y352">
        <f t="shared" si="42"/>
        <v>78745.200000000012</v>
      </c>
      <c r="Z352">
        <v>15.505612028144137</v>
      </c>
    </row>
    <row r="353" spans="1:26" x14ac:dyDescent="0.25">
      <c r="A353">
        <v>5320</v>
      </c>
      <c r="B353">
        <v>23210</v>
      </c>
      <c r="C353" s="1">
        <v>42930</v>
      </c>
      <c r="G353">
        <v>18.5</v>
      </c>
      <c r="H353">
        <v>14.2</v>
      </c>
      <c r="I353">
        <v>23</v>
      </c>
      <c r="J353">
        <f t="shared" si="39"/>
        <v>3398.6999999999989</v>
      </c>
      <c r="K353">
        <f t="shared" si="40"/>
        <v>897.60000000000025</v>
      </c>
      <c r="M353">
        <v>0</v>
      </c>
      <c r="N353">
        <v>3.7</v>
      </c>
      <c r="O353">
        <f t="shared" si="44"/>
        <v>-3.7</v>
      </c>
      <c r="Q353">
        <v>317</v>
      </c>
      <c r="R353">
        <f t="shared" si="36"/>
        <v>0.41060606060606064</v>
      </c>
      <c r="S353">
        <f t="shared" si="37"/>
        <v>1.5192424242424245</v>
      </c>
      <c r="T353">
        <f t="shared" si="38"/>
        <v>-1.5192424242424245</v>
      </c>
      <c r="U353" s="14">
        <f t="shared" si="43"/>
        <v>4.1465151515151559</v>
      </c>
      <c r="W353">
        <v>1642.6</v>
      </c>
      <c r="X353">
        <f t="shared" si="41"/>
        <v>307646.09999999998</v>
      </c>
      <c r="Y353">
        <f t="shared" si="42"/>
        <v>80387.800000000017</v>
      </c>
      <c r="Z353">
        <v>15.476874842338905</v>
      </c>
    </row>
    <row r="354" spans="1:26" x14ac:dyDescent="0.25">
      <c r="A354">
        <v>5320</v>
      </c>
      <c r="B354">
        <v>23210</v>
      </c>
      <c r="C354" s="1">
        <v>42931</v>
      </c>
      <c r="G354">
        <v>19.600000000000001</v>
      </c>
      <c r="H354">
        <v>13</v>
      </c>
      <c r="I354">
        <v>26.3</v>
      </c>
      <c r="J354">
        <f t="shared" si="39"/>
        <v>3418.2999999999988</v>
      </c>
      <c r="K354">
        <f t="shared" si="40"/>
        <v>917.20000000000027</v>
      </c>
      <c r="M354">
        <v>0</v>
      </c>
      <c r="N354">
        <v>5.6</v>
      </c>
      <c r="O354">
        <f t="shared" si="44"/>
        <v>-5.6</v>
      </c>
      <c r="Q354">
        <v>318</v>
      </c>
      <c r="R354">
        <f t="shared" si="36"/>
        <v>0.39848484848484844</v>
      </c>
      <c r="S354">
        <f t="shared" si="37"/>
        <v>2.231515151515151</v>
      </c>
      <c r="T354">
        <f t="shared" si="38"/>
        <v>-2.231515151515151</v>
      </c>
      <c r="U354" s="14">
        <f t="shared" si="43"/>
        <v>1.9150000000000049</v>
      </c>
      <c r="W354">
        <v>2777.6</v>
      </c>
      <c r="X354">
        <f t="shared" si="41"/>
        <v>310423.69999999995</v>
      </c>
      <c r="Y354">
        <f t="shared" si="42"/>
        <v>83165.400000000023</v>
      </c>
      <c r="Z354">
        <v>15.447034198584788</v>
      </c>
    </row>
    <row r="355" spans="1:26" x14ac:dyDescent="0.25">
      <c r="A355">
        <v>5320</v>
      </c>
      <c r="B355">
        <v>23210</v>
      </c>
      <c r="C355" s="1">
        <v>42932</v>
      </c>
      <c r="G355">
        <v>23.5</v>
      </c>
      <c r="H355">
        <v>15.2</v>
      </c>
      <c r="I355">
        <v>29.7</v>
      </c>
      <c r="J355">
        <f t="shared" si="39"/>
        <v>3441.7999999999988</v>
      </c>
      <c r="K355">
        <f t="shared" si="40"/>
        <v>940.70000000000027</v>
      </c>
      <c r="M355">
        <v>0</v>
      </c>
      <c r="N355">
        <v>6.6</v>
      </c>
      <c r="O355">
        <f t="shared" si="44"/>
        <v>-6.6</v>
      </c>
      <c r="Q355">
        <v>319</v>
      </c>
      <c r="R355">
        <f t="shared" si="36"/>
        <v>0.38636363636363635</v>
      </c>
      <c r="S355">
        <f t="shared" si="37"/>
        <v>2.5499999999999998</v>
      </c>
      <c r="T355">
        <f t="shared" si="38"/>
        <v>-2.5499999999999998</v>
      </c>
      <c r="U355" s="14">
        <v>0</v>
      </c>
      <c r="W355">
        <v>3009.7</v>
      </c>
      <c r="X355">
        <f t="shared" si="41"/>
        <v>313433.39999999997</v>
      </c>
      <c r="Y355">
        <f t="shared" si="42"/>
        <v>86175.10000000002</v>
      </c>
      <c r="Z355">
        <v>15.416111969125353</v>
      </c>
    </row>
    <row r="356" spans="1:26" x14ac:dyDescent="0.25">
      <c r="A356">
        <v>5320</v>
      </c>
      <c r="B356">
        <v>23210</v>
      </c>
      <c r="C356" s="1">
        <v>42933</v>
      </c>
      <c r="G356">
        <v>25</v>
      </c>
      <c r="H356">
        <v>18.399999999999999</v>
      </c>
      <c r="I356">
        <v>30.4</v>
      </c>
      <c r="J356">
        <f t="shared" si="39"/>
        <v>3466.7999999999988</v>
      </c>
      <c r="K356">
        <f t="shared" si="40"/>
        <v>965.70000000000027</v>
      </c>
      <c r="M356">
        <v>0</v>
      </c>
      <c r="N356">
        <v>6.1</v>
      </c>
      <c r="O356">
        <f t="shared" si="44"/>
        <v>-6.1</v>
      </c>
      <c r="Q356">
        <v>320</v>
      </c>
      <c r="R356">
        <f t="shared" si="36"/>
        <v>0.37424242424242415</v>
      </c>
      <c r="S356">
        <f t="shared" si="37"/>
        <v>2.2828787878787873</v>
      </c>
      <c r="T356">
        <f t="shared" si="38"/>
        <v>-2.2828787878787873</v>
      </c>
      <c r="U356" s="14">
        <v>0</v>
      </c>
      <c r="W356">
        <v>2382.6999999999998</v>
      </c>
      <c r="X356">
        <f t="shared" si="41"/>
        <v>315816.09999999998</v>
      </c>
      <c r="Y356">
        <f t="shared" si="42"/>
        <v>88557.800000000017</v>
      </c>
      <c r="Z356">
        <v>15.384130409736541</v>
      </c>
    </row>
    <row r="357" spans="1:26" x14ac:dyDescent="0.25">
      <c r="A357">
        <v>5320</v>
      </c>
      <c r="B357">
        <v>23210</v>
      </c>
      <c r="C357" s="1">
        <v>42934</v>
      </c>
      <c r="G357">
        <v>28.2</v>
      </c>
      <c r="H357">
        <v>20.9</v>
      </c>
      <c r="I357">
        <v>33.5</v>
      </c>
      <c r="J357">
        <f t="shared" si="39"/>
        <v>3494.9999999999986</v>
      </c>
      <c r="K357">
        <f t="shared" si="40"/>
        <v>993.90000000000032</v>
      </c>
      <c r="M357">
        <v>0</v>
      </c>
      <c r="N357">
        <v>6.8</v>
      </c>
      <c r="O357">
        <f t="shared" si="44"/>
        <v>-6.8</v>
      </c>
      <c r="Q357">
        <v>321</v>
      </c>
      <c r="R357">
        <f t="shared" si="36"/>
        <v>0.36212121212121207</v>
      </c>
      <c r="S357">
        <f t="shared" si="37"/>
        <v>2.462424242424242</v>
      </c>
      <c r="T357">
        <f t="shared" si="38"/>
        <v>-2.462424242424242</v>
      </c>
      <c r="U357" s="14">
        <v>0</v>
      </c>
      <c r="W357">
        <v>2199.6999999999998</v>
      </c>
      <c r="X357">
        <f t="shared" si="41"/>
        <v>318015.8</v>
      </c>
      <c r="Y357">
        <f t="shared" si="42"/>
        <v>90757.500000000015</v>
      </c>
      <c r="Z357">
        <v>15.35111210836056</v>
      </c>
    </row>
    <row r="358" spans="1:26" x14ac:dyDescent="0.25">
      <c r="A358">
        <v>5320</v>
      </c>
      <c r="B358">
        <v>23210</v>
      </c>
      <c r="C358" s="1">
        <v>42935</v>
      </c>
      <c r="D358" s="30" t="s">
        <v>34</v>
      </c>
      <c r="E358" s="30"/>
      <c r="F358" s="30"/>
      <c r="G358">
        <v>23.5</v>
      </c>
      <c r="H358">
        <v>23.4</v>
      </c>
      <c r="I358">
        <v>25.3</v>
      </c>
      <c r="J358">
        <f t="shared" si="39"/>
        <v>3518.4999999999986</v>
      </c>
      <c r="K358">
        <f t="shared" si="40"/>
        <v>1017.4000000000003</v>
      </c>
      <c r="M358">
        <v>0.4</v>
      </c>
      <c r="N358">
        <v>4.5</v>
      </c>
      <c r="O358">
        <f t="shared" si="44"/>
        <v>-4.0999999999999996</v>
      </c>
      <c r="Q358">
        <v>322</v>
      </c>
      <c r="R358">
        <f t="shared" ref="R358" si="45">1.15+((Q358-256)/66)*(0.35-1.15)</f>
        <v>0.35</v>
      </c>
      <c r="S358">
        <f t="shared" ref="S358" si="46">R358*N358</f>
        <v>1.575</v>
      </c>
      <c r="T358">
        <f t="shared" ref="T358" si="47">M358-S358</f>
        <v>-1.1749999999999998</v>
      </c>
      <c r="U358" s="14">
        <v>0</v>
      </c>
      <c r="W358">
        <v>1478.2</v>
      </c>
      <c r="X358">
        <f t="shared" si="41"/>
        <v>319494</v>
      </c>
      <c r="Y358">
        <f t="shared" si="42"/>
        <v>92235.700000000012</v>
      </c>
      <c r="Z358">
        <v>15.317079934698814</v>
      </c>
    </row>
    <row r="359" spans="1:26" x14ac:dyDescent="0.25">
      <c r="A359">
        <v>5320</v>
      </c>
      <c r="B359">
        <v>23210</v>
      </c>
      <c r="C359" s="1">
        <v>42936</v>
      </c>
      <c r="G359">
        <v>19</v>
      </c>
      <c r="H359">
        <v>18</v>
      </c>
      <c r="I359">
        <v>22</v>
      </c>
      <c r="J359">
        <f t="shared" ref="J359:J401" si="48">J358+G359</f>
        <v>3537.4999999999986</v>
      </c>
      <c r="K359">
        <f t="shared" ref="K359:K401" si="49">K358+G359</f>
        <v>1036.4000000000003</v>
      </c>
      <c r="M359">
        <v>0.2</v>
      </c>
      <c r="N359">
        <v>3.8</v>
      </c>
      <c r="O359">
        <f t="shared" si="44"/>
        <v>-3.5999999999999996</v>
      </c>
      <c r="W359">
        <v>707.9</v>
      </c>
      <c r="X359">
        <f t="shared" ref="X359:X401" si="50">X358+W359</f>
        <v>320201.90000000002</v>
      </c>
      <c r="Y359">
        <f t="shared" ref="Y359:Y401" si="51">Y358+W359</f>
        <v>92943.6</v>
      </c>
    </row>
    <row r="360" spans="1:26" x14ac:dyDescent="0.25">
      <c r="A360">
        <v>5320</v>
      </c>
      <c r="B360">
        <v>23210</v>
      </c>
      <c r="C360" s="1">
        <v>42937</v>
      </c>
      <c r="G360">
        <v>18.3</v>
      </c>
      <c r="H360">
        <v>12.1</v>
      </c>
      <c r="I360">
        <v>23.5</v>
      </c>
      <c r="J360">
        <f t="shared" si="48"/>
        <v>3555.7999999999988</v>
      </c>
      <c r="K360">
        <f t="shared" si="49"/>
        <v>1054.7000000000003</v>
      </c>
      <c r="M360">
        <v>2.4</v>
      </c>
      <c r="N360">
        <v>4.9000000000000004</v>
      </c>
      <c r="O360">
        <f t="shared" si="44"/>
        <v>-2.5000000000000004</v>
      </c>
      <c r="W360">
        <v>2197.4</v>
      </c>
      <c r="X360">
        <f t="shared" si="50"/>
        <v>322399.30000000005</v>
      </c>
      <c r="Y360">
        <f t="shared" si="51"/>
        <v>95141</v>
      </c>
    </row>
    <row r="361" spans="1:26" x14ac:dyDescent="0.25">
      <c r="A361">
        <v>5320</v>
      </c>
      <c r="B361">
        <v>23210</v>
      </c>
      <c r="C361" s="1">
        <v>42938</v>
      </c>
      <c r="G361">
        <v>17.2</v>
      </c>
      <c r="H361">
        <v>15.4</v>
      </c>
      <c r="I361">
        <v>20.9</v>
      </c>
      <c r="J361">
        <f t="shared" si="48"/>
        <v>3572.9999999999986</v>
      </c>
      <c r="K361">
        <f t="shared" si="49"/>
        <v>1071.9000000000003</v>
      </c>
      <c r="M361">
        <v>1.2</v>
      </c>
      <c r="N361">
        <v>2.1</v>
      </c>
      <c r="O361">
        <f t="shared" si="44"/>
        <v>-0.90000000000000013</v>
      </c>
      <c r="W361">
        <v>632.9</v>
      </c>
      <c r="X361">
        <f t="shared" si="50"/>
        <v>323032.20000000007</v>
      </c>
      <c r="Y361">
        <f t="shared" si="51"/>
        <v>95773.9</v>
      </c>
    </row>
    <row r="362" spans="1:26" x14ac:dyDescent="0.25">
      <c r="A362">
        <v>5320</v>
      </c>
      <c r="B362">
        <v>23210</v>
      </c>
      <c r="C362" s="1">
        <v>42939</v>
      </c>
      <c r="G362">
        <v>16.5</v>
      </c>
      <c r="H362">
        <v>13.9</v>
      </c>
      <c r="I362">
        <v>21.9</v>
      </c>
      <c r="J362">
        <f t="shared" si="48"/>
        <v>3589.4999999999986</v>
      </c>
      <c r="K362">
        <f t="shared" si="49"/>
        <v>1088.4000000000003</v>
      </c>
      <c r="M362">
        <v>32.799999999999997</v>
      </c>
      <c r="N362">
        <v>4</v>
      </c>
      <c r="O362">
        <f t="shared" si="44"/>
        <v>28.799999999999997</v>
      </c>
      <c r="W362">
        <v>1915.7</v>
      </c>
      <c r="X362">
        <f t="shared" si="50"/>
        <v>324947.90000000008</v>
      </c>
      <c r="Y362">
        <f t="shared" si="51"/>
        <v>97689.599999999991</v>
      </c>
    </row>
    <row r="363" spans="1:26" x14ac:dyDescent="0.25">
      <c r="A363">
        <v>5320</v>
      </c>
      <c r="B363">
        <v>23210</v>
      </c>
      <c r="C363" s="1">
        <v>42940</v>
      </c>
      <c r="G363">
        <v>16.2</v>
      </c>
      <c r="H363">
        <v>13.2</v>
      </c>
      <c r="I363">
        <v>18.100000000000001</v>
      </c>
      <c r="J363">
        <f t="shared" si="48"/>
        <v>3605.6999999999985</v>
      </c>
      <c r="K363">
        <f t="shared" si="49"/>
        <v>1104.6000000000004</v>
      </c>
      <c r="M363">
        <v>0.1</v>
      </c>
      <c r="N363">
        <v>1.2</v>
      </c>
      <c r="O363">
        <f t="shared" si="44"/>
        <v>-1.0999999999999999</v>
      </c>
      <c r="W363">
        <v>508.7</v>
      </c>
      <c r="X363">
        <f t="shared" si="50"/>
        <v>325456.60000000009</v>
      </c>
      <c r="Y363">
        <f t="shared" si="51"/>
        <v>98198.299999999988</v>
      </c>
    </row>
    <row r="364" spans="1:26" x14ac:dyDescent="0.25">
      <c r="A364">
        <v>5320</v>
      </c>
      <c r="B364">
        <v>23210</v>
      </c>
      <c r="C364" s="1">
        <v>42941</v>
      </c>
      <c r="G364">
        <v>18.100000000000001</v>
      </c>
      <c r="H364">
        <v>15.7</v>
      </c>
      <c r="I364">
        <v>22.4</v>
      </c>
      <c r="J364">
        <f t="shared" si="48"/>
        <v>3623.7999999999984</v>
      </c>
      <c r="K364">
        <f t="shared" si="49"/>
        <v>1122.7000000000003</v>
      </c>
      <c r="M364">
        <v>0</v>
      </c>
      <c r="N364">
        <v>2.8</v>
      </c>
      <c r="O364">
        <f t="shared" si="44"/>
        <v>-2.8</v>
      </c>
      <c r="W364">
        <v>1088</v>
      </c>
      <c r="X364">
        <f t="shared" si="50"/>
        <v>326544.60000000009</v>
      </c>
      <c r="Y364">
        <f t="shared" si="51"/>
        <v>99286.299999999988</v>
      </c>
    </row>
    <row r="365" spans="1:26" x14ac:dyDescent="0.25">
      <c r="A365">
        <v>5320</v>
      </c>
      <c r="B365">
        <v>23210</v>
      </c>
      <c r="C365" s="1">
        <v>42942</v>
      </c>
      <c r="G365">
        <v>16.899999999999999</v>
      </c>
      <c r="H365">
        <v>12.5</v>
      </c>
      <c r="I365">
        <v>19.399999999999999</v>
      </c>
      <c r="J365">
        <f t="shared" si="48"/>
        <v>3640.6999999999985</v>
      </c>
      <c r="K365">
        <f t="shared" si="49"/>
        <v>1139.6000000000004</v>
      </c>
      <c r="M365">
        <v>2.4</v>
      </c>
      <c r="N365">
        <v>1.2</v>
      </c>
      <c r="O365">
        <f t="shared" si="44"/>
        <v>1.2</v>
      </c>
      <c r="W365">
        <v>801.2</v>
      </c>
      <c r="X365">
        <f t="shared" si="50"/>
        <v>327345.8000000001</v>
      </c>
      <c r="Y365">
        <f t="shared" si="51"/>
        <v>100087.49999999999</v>
      </c>
    </row>
    <row r="366" spans="1:26" x14ac:dyDescent="0.25">
      <c r="A366">
        <v>5320</v>
      </c>
      <c r="B366">
        <v>23210</v>
      </c>
      <c r="C366" s="1">
        <v>42943</v>
      </c>
      <c r="G366">
        <v>18</v>
      </c>
      <c r="H366">
        <v>17</v>
      </c>
      <c r="I366">
        <v>20.6</v>
      </c>
      <c r="J366">
        <f t="shared" si="48"/>
        <v>3658.6999999999985</v>
      </c>
      <c r="K366">
        <f t="shared" si="49"/>
        <v>1157.6000000000004</v>
      </c>
      <c r="M366">
        <v>0.9</v>
      </c>
      <c r="N366">
        <v>1.7</v>
      </c>
      <c r="O366">
        <f t="shared" si="44"/>
        <v>-0.79999999999999993</v>
      </c>
      <c r="W366">
        <v>596.1</v>
      </c>
      <c r="X366">
        <f t="shared" si="50"/>
        <v>327941.90000000008</v>
      </c>
      <c r="Y366">
        <f t="shared" si="51"/>
        <v>100683.59999999999</v>
      </c>
    </row>
    <row r="367" spans="1:26" x14ac:dyDescent="0.25">
      <c r="A367">
        <v>5320</v>
      </c>
      <c r="B367">
        <v>23210</v>
      </c>
      <c r="C367" s="1">
        <v>42944</v>
      </c>
      <c r="G367">
        <v>18.3</v>
      </c>
      <c r="H367">
        <v>14.1</v>
      </c>
      <c r="I367">
        <v>22.7</v>
      </c>
      <c r="J367">
        <f t="shared" si="48"/>
        <v>3676.9999999999986</v>
      </c>
      <c r="K367">
        <f t="shared" si="49"/>
        <v>1175.9000000000003</v>
      </c>
      <c r="M367">
        <v>0</v>
      </c>
      <c r="N367">
        <v>3.5</v>
      </c>
      <c r="O367">
        <f t="shared" si="44"/>
        <v>-3.5</v>
      </c>
      <c r="W367">
        <v>1484.1</v>
      </c>
      <c r="X367">
        <f t="shared" si="50"/>
        <v>329426.00000000006</v>
      </c>
      <c r="Y367">
        <f t="shared" si="51"/>
        <v>102167.7</v>
      </c>
    </row>
    <row r="368" spans="1:26" x14ac:dyDescent="0.25">
      <c r="A368">
        <v>5320</v>
      </c>
      <c r="B368">
        <v>23210</v>
      </c>
      <c r="C368" s="1">
        <v>42945</v>
      </c>
      <c r="G368">
        <v>21.2</v>
      </c>
      <c r="H368">
        <v>15.2</v>
      </c>
      <c r="I368">
        <v>25.5</v>
      </c>
      <c r="J368">
        <f t="shared" si="48"/>
        <v>3698.1999999999985</v>
      </c>
      <c r="K368">
        <f t="shared" si="49"/>
        <v>1197.1000000000004</v>
      </c>
      <c r="M368">
        <v>0</v>
      </c>
      <c r="N368">
        <v>4.0999999999999996</v>
      </c>
      <c r="O368">
        <f t="shared" si="44"/>
        <v>-4.0999999999999996</v>
      </c>
      <c r="W368">
        <v>1789.3</v>
      </c>
      <c r="X368">
        <f t="shared" si="50"/>
        <v>331215.30000000005</v>
      </c>
      <c r="Y368">
        <f t="shared" si="51"/>
        <v>103957</v>
      </c>
    </row>
    <row r="369" spans="1:25" x14ac:dyDescent="0.25">
      <c r="A369">
        <v>5320</v>
      </c>
      <c r="B369">
        <v>23210</v>
      </c>
      <c r="C369" s="1">
        <v>42946</v>
      </c>
      <c r="G369">
        <v>20.8</v>
      </c>
      <c r="H369">
        <v>18.8</v>
      </c>
      <c r="I369">
        <v>24.1</v>
      </c>
      <c r="J369">
        <f t="shared" si="48"/>
        <v>3718.9999999999986</v>
      </c>
      <c r="K369">
        <f t="shared" si="49"/>
        <v>1217.9000000000003</v>
      </c>
      <c r="M369">
        <v>0</v>
      </c>
      <c r="N369">
        <v>5.6</v>
      </c>
      <c r="O369">
        <f t="shared" si="44"/>
        <v>-5.6</v>
      </c>
      <c r="W369">
        <v>2154.6</v>
      </c>
      <c r="X369">
        <f t="shared" si="50"/>
        <v>333369.90000000002</v>
      </c>
      <c r="Y369">
        <f t="shared" si="51"/>
        <v>106111.6</v>
      </c>
    </row>
    <row r="370" spans="1:25" x14ac:dyDescent="0.25">
      <c r="A370">
        <v>5320</v>
      </c>
      <c r="B370">
        <v>23210</v>
      </c>
      <c r="C370" s="1">
        <v>42947</v>
      </c>
      <c r="G370">
        <v>18.5</v>
      </c>
      <c r="H370">
        <v>14.2</v>
      </c>
      <c r="I370">
        <v>22.5</v>
      </c>
      <c r="J370">
        <f t="shared" si="48"/>
        <v>3737.4999999999986</v>
      </c>
      <c r="K370">
        <f t="shared" si="49"/>
        <v>1236.4000000000003</v>
      </c>
      <c r="M370">
        <v>0.6</v>
      </c>
      <c r="N370">
        <v>1.7</v>
      </c>
      <c r="O370">
        <f t="shared" si="44"/>
        <v>-1.1000000000000001</v>
      </c>
      <c r="W370">
        <v>1082.7</v>
      </c>
      <c r="X370">
        <f t="shared" si="50"/>
        <v>334452.60000000003</v>
      </c>
      <c r="Y370">
        <f t="shared" si="51"/>
        <v>107194.3</v>
      </c>
    </row>
    <row r="371" spans="1:25" x14ac:dyDescent="0.25">
      <c r="A371">
        <v>5320</v>
      </c>
      <c r="B371">
        <v>23210</v>
      </c>
      <c r="C371" s="1">
        <v>42948</v>
      </c>
      <c r="G371">
        <v>20.7</v>
      </c>
      <c r="H371">
        <v>15.4</v>
      </c>
      <c r="I371">
        <v>25.9</v>
      </c>
      <c r="J371">
        <f t="shared" si="48"/>
        <v>3758.1999999999985</v>
      </c>
      <c r="K371">
        <f t="shared" si="49"/>
        <v>1257.1000000000004</v>
      </c>
      <c r="M371">
        <v>0</v>
      </c>
      <c r="N371">
        <v>3</v>
      </c>
      <c r="O371">
        <f t="shared" si="44"/>
        <v>-3</v>
      </c>
      <c r="W371">
        <v>1327.5</v>
      </c>
      <c r="X371">
        <f t="shared" si="50"/>
        <v>335780.10000000003</v>
      </c>
      <c r="Y371">
        <f t="shared" si="51"/>
        <v>108521.8</v>
      </c>
    </row>
    <row r="372" spans="1:25" x14ac:dyDescent="0.25">
      <c r="A372">
        <v>5320</v>
      </c>
      <c r="B372">
        <v>23210</v>
      </c>
      <c r="C372" s="1">
        <v>42949</v>
      </c>
      <c r="G372">
        <v>21.9</v>
      </c>
      <c r="H372">
        <v>15.7</v>
      </c>
      <c r="I372">
        <v>27.7</v>
      </c>
      <c r="J372">
        <f t="shared" si="48"/>
        <v>3780.0999999999985</v>
      </c>
      <c r="K372">
        <f t="shared" si="49"/>
        <v>1279.0000000000005</v>
      </c>
      <c r="M372">
        <v>0</v>
      </c>
      <c r="N372">
        <v>5.3</v>
      </c>
      <c r="O372">
        <f t="shared" si="44"/>
        <v>-5.3</v>
      </c>
      <c r="W372">
        <v>2166.3000000000002</v>
      </c>
      <c r="X372">
        <f t="shared" si="50"/>
        <v>337946.4</v>
      </c>
      <c r="Y372">
        <f t="shared" si="51"/>
        <v>110688.1</v>
      </c>
    </row>
    <row r="373" spans="1:25" x14ac:dyDescent="0.25">
      <c r="A373">
        <v>5320</v>
      </c>
      <c r="B373">
        <v>23210</v>
      </c>
      <c r="C373" s="1">
        <v>42950</v>
      </c>
      <c r="G373">
        <v>22.3</v>
      </c>
      <c r="H373">
        <v>17</v>
      </c>
      <c r="I373">
        <v>26.3</v>
      </c>
      <c r="J373">
        <f t="shared" si="48"/>
        <v>3802.3999999999987</v>
      </c>
      <c r="K373">
        <f t="shared" si="49"/>
        <v>1301.3000000000004</v>
      </c>
      <c r="M373">
        <v>0.1</v>
      </c>
      <c r="N373">
        <v>4.9000000000000004</v>
      </c>
      <c r="O373">
        <f t="shared" si="44"/>
        <v>-4.8000000000000007</v>
      </c>
      <c r="W373">
        <v>1508</v>
      </c>
      <c r="X373">
        <f t="shared" si="50"/>
        <v>339454.4</v>
      </c>
      <c r="Y373">
        <f t="shared" si="51"/>
        <v>112196.1</v>
      </c>
    </row>
    <row r="374" spans="1:25" x14ac:dyDescent="0.25">
      <c r="A374">
        <v>5320</v>
      </c>
      <c r="B374">
        <v>23210</v>
      </c>
      <c r="C374" s="1">
        <v>42951</v>
      </c>
      <c r="G374">
        <v>21.4</v>
      </c>
      <c r="H374">
        <v>17.7</v>
      </c>
      <c r="I374">
        <v>24.8</v>
      </c>
      <c r="J374">
        <f t="shared" si="48"/>
        <v>3823.7999999999988</v>
      </c>
      <c r="K374">
        <f t="shared" si="49"/>
        <v>1322.7000000000005</v>
      </c>
      <c r="M374">
        <v>0</v>
      </c>
      <c r="N374">
        <v>2.9</v>
      </c>
      <c r="O374">
        <f t="shared" si="44"/>
        <v>-2.9</v>
      </c>
      <c r="W374">
        <v>564.70000000000005</v>
      </c>
      <c r="X374">
        <f t="shared" si="50"/>
        <v>340019.10000000003</v>
      </c>
      <c r="Y374">
        <f t="shared" si="51"/>
        <v>112760.8</v>
      </c>
    </row>
    <row r="375" spans="1:25" x14ac:dyDescent="0.25">
      <c r="A375">
        <v>5320</v>
      </c>
      <c r="B375">
        <v>23210</v>
      </c>
      <c r="C375" s="1">
        <v>42952</v>
      </c>
      <c r="G375">
        <v>19.2</v>
      </c>
      <c r="H375">
        <v>16.3</v>
      </c>
      <c r="I375">
        <v>22.3</v>
      </c>
      <c r="J375">
        <f t="shared" si="48"/>
        <v>3842.9999999999986</v>
      </c>
      <c r="K375">
        <f t="shared" si="49"/>
        <v>1341.9000000000005</v>
      </c>
      <c r="M375">
        <v>0</v>
      </c>
      <c r="N375">
        <v>3</v>
      </c>
      <c r="O375">
        <f t="shared" si="44"/>
        <v>-3</v>
      </c>
      <c r="W375">
        <v>879.1</v>
      </c>
      <c r="X375">
        <f t="shared" si="50"/>
        <v>340898.2</v>
      </c>
      <c r="Y375">
        <f t="shared" si="51"/>
        <v>113639.90000000001</v>
      </c>
    </row>
    <row r="376" spans="1:25" x14ac:dyDescent="0.25">
      <c r="A376">
        <v>5320</v>
      </c>
      <c r="B376">
        <v>23210</v>
      </c>
      <c r="C376" s="1">
        <v>42953</v>
      </c>
      <c r="G376">
        <v>17.3</v>
      </c>
      <c r="H376">
        <v>11.8</v>
      </c>
      <c r="I376">
        <v>23.2</v>
      </c>
      <c r="J376">
        <f t="shared" si="48"/>
        <v>3860.2999999999988</v>
      </c>
      <c r="K376">
        <f t="shared" si="49"/>
        <v>1359.2000000000005</v>
      </c>
      <c r="M376">
        <v>0</v>
      </c>
      <c r="N376">
        <v>4.2</v>
      </c>
      <c r="O376">
        <f t="shared" si="44"/>
        <v>-4.2</v>
      </c>
      <c r="W376">
        <v>2079.4</v>
      </c>
      <c r="X376">
        <f t="shared" si="50"/>
        <v>342977.60000000003</v>
      </c>
      <c r="Y376">
        <f t="shared" si="51"/>
        <v>115719.3</v>
      </c>
    </row>
    <row r="377" spans="1:25" x14ac:dyDescent="0.25">
      <c r="A377">
        <v>5320</v>
      </c>
      <c r="B377">
        <v>23210</v>
      </c>
      <c r="C377" s="1">
        <v>42954</v>
      </c>
      <c r="G377">
        <v>19.5</v>
      </c>
      <c r="H377">
        <v>12.7</v>
      </c>
      <c r="I377">
        <v>25</v>
      </c>
      <c r="J377">
        <f t="shared" si="48"/>
        <v>3879.7999999999988</v>
      </c>
      <c r="K377">
        <f t="shared" si="49"/>
        <v>1378.7000000000005</v>
      </c>
      <c r="M377">
        <v>2.2000000000000002</v>
      </c>
      <c r="N377">
        <v>4.5999999999999996</v>
      </c>
      <c r="O377">
        <f t="shared" si="44"/>
        <v>-2.3999999999999995</v>
      </c>
      <c r="W377">
        <v>2067.9</v>
      </c>
      <c r="X377">
        <f t="shared" si="50"/>
        <v>345045.50000000006</v>
      </c>
      <c r="Y377">
        <f t="shared" si="51"/>
        <v>117787.2</v>
      </c>
    </row>
    <row r="378" spans="1:25" x14ac:dyDescent="0.25">
      <c r="A378">
        <v>5320</v>
      </c>
      <c r="B378">
        <v>23210</v>
      </c>
      <c r="C378" s="1">
        <v>42955</v>
      </c>
      <c r="G378">
        <v>15.8</v>
      </c>
      <c r="H378">
        <v>14.9</v>
      </c>
      <c r="I378">
        <v>17.5</v>
      </c>
      <c r="J378">
        <f t="shared" si="48"/>
        <v>3895.599999999999</v>
      </c>
      <c r="K378">
        <f t="shared" si="49"/>
        <v>1394.5000000000005</v>
      </c>
      <c r="M378">
        <v>2.8</v>
      </c>
      <c r="N378">
        <v>1.7</v>
      </c>
      <c r="O378">
        <f t="shared" si="44"/>
        <v>1.0999999999999999</v>
      </c>
      <c r="W378">
        <v>738.5</v>
      </c>
      <c r="X378">
        <f t="shared" si="50"/>
        <v>345784.00000000006</v>
      </c>
      <c r="Y378">
        <f t="shared" si="51"/>
        <v>118525.7</v>
      </c>
    </row>
    <row r="379" spans="1:25" x14ac:dyDescent="0.25">
      <c r="A379">
        <v>5320</v>
      </c>
      <c r="B379">
        <v>23210</v>
      </c>
      <c r="C379" s="1">
        <v>42956</v>
      </c>
      <c r="G379">
        <v>13</v>
      </c>
      <c r="H379">
        <v>12.2</v>
      </c>
      <c r="I379">
        <v>13.5</v>
      </c>
      <c r="J379">
        <f t="shared" si="48"/>
        <v>3908.599999999999</v>
      </c>
      <c r="K379">
        <f t="shared" si="49"/>
        <v>1407.5000000000005</v>
      </c>
      <c r="M379">
        <v>12</v>
      </c>
      <c r="N379">
        <v>0.9</v>
      </c>
      <c r="O379">
        <f t="shared" si="44"/>
        <v>11.1</v>
      </c>
      <c r="W379">
        <v>780.6</v>
      </c>
      <c r="X379">
        <f t="shared" si="50"/>
        <v>346564.60000000003</v>
      </c>
      <c r="Y379">
        <f t="shared" si="51"/>
        <v>119306.3</v>
      </c>
    </row>
    <row r="380" spans="1:25" x14ac:dyDescent="0.25">
      <c r="A380">
        <v>5320</v>
      </c>
      <c r="B380">
        <v>23210</v>
      </c>
      <c r="C380" s="1">
        <v>42957</v>
      </c>
      <c r="G380">
        <v>14.1</v>
      </c>
      <c r="H380">
        <v>12.5</v>
      </c>
      <c r="I380">
        <v>16</v>
      </c>
      <c r="J380">
        <f t="shared" si="48"/>
        <v>3922.6999999999989</v>
      </c>
      <c r="K380">
        <f t="shared" si="49"/>
        <v>1421.6000000000004</v>
      </c>
      <c r="M380">
        <v>9.5</v>
      </c>
      <c r="N380">
        <v>1.4</v>
      </c>
      <c r="O380">
        <f t="shared" si="44"/>
        <v>8.1</v>
      </c>
      <c r="W380">
        <v>851.8</v>
      </c>
      <c r="X380">
        <f t="shared" si="50"/>
        <v>347416.4</v>
      </c>
      <c r="Y380">
        <f t="shared" si="51"/>
        <v>120158.1</v>
      </c>
    </row>
    <row r="381" spans="1:25" x14ac:dyDescent="0.25">
      <c r="A381">
        <v>5320</v>
      </c>
      <c r="B381">
        <v>23210</v>
      </c>
      <c r="C381" s="1">
        <v>42958</v>
      </c>
      <c r="G381">
        <v>16.100000000000001</v>
      </c>
      <c r="H381">
        <v>13.6</v>
      </c>
      <c r="I381">
        <v>19.7</v>
      </c>
      <c r="J381">
        <f t="shared" si="48"/>
        <v>3938.7999999999988</v>
      </c>
      <c r="K381">
        <f t="shared" si="49"/>
        <v>1437.7000000000003</v>
      </c>
      <c r="M381">
        <v>1.5</v>
      </c>
      <c r="N381">
        <v>2.2999999999999998</v>
      </c>
      <c r="O381">
        <f t="shared" si="44"/>
        <v>-0.79999999999999982</v>
      </c>
      <c r="W381">
        <v>1226.9000000000001</v>
      </c>
      <c r="X381">
        <f t="shared" si="50"/>
        <v>348643.30000000005</v>
      </c>
      <c r="Y381">
        <f t="shared" si="51"/>
        <v>121385</v>
      </c>
    </row>
    <row r="382" spans="1:25" x14ac:dyDescent="0.25">
      <c r="A382">
        <v>5320</v>
      </c>
      <c r="B382">
        <v>23210</v>
      </c>
      <c r="C382" s="1">
        <v>42959</v>
      </c>
      <c r="G382">
        <v>16.7</v>
      </c>
      <c r="H382">
        <v>12.2</v>
      </c>
      <c r="I382">
        <v>19.100000000000001</v>
      </c>
      <c r="J382">
        <f t="shared" si="48"/>
        <v>3955.4999999999986</v>
      </c>
      <c r="K382">
        <f t="shared" si="49"/>
        <v>1454.4000000000003</v>
      </c>
      <c r="M382">
        <v>3.3</v>
      </c>
      <c r="N382">
        <v>0.9</v>
      </c>
      <c r="O382">
        <f t="shared" si="44"/>
        <v>2.4</v>
      </c>
      <c r="W382">
        <v>501.6</v>
      </c>
      <c r="X382">
        <f t="shared" si="50"/>
        <v>349144.9</v>
      </c>
      <c r="Y382">
        <f t="shared" si="51"/>
        <v>121886.6</v>
      </c>
    </row>
    <row r="383" spans="1:25" x14ac:dyDescent="0.25">
      <c r="A383">
        <v>5320</v>
      </c>
      <c r="B383">
        <v>23210</v>
      </c>
      <c r="C383" s="1">
        <v>42960</v>
      </c>
      <c r="G383">
        <v>17.600000000000001</v>
      </c>
      <c r="H383">
        <v>14.4</v>
      </c>
      <c r="I383">
        <v>21.6</v>
      </c>
      <c r="J383">
        <f t="shared" si="48"/>
        <v>3973.0999999999985</v>
      </c>
      <c r="K383">
        <f t="shared" si="49"/>
        <v>1472.0000000000002</v>
      </c>
      <c r="M383">
        <v>0</v>
      </c>
      <c r="N383">
        <v>2.2000000000000002</v>
      </c>
      <c r="O383">
        <f t="shared" si="44"/>
        <v>-2.2000000000000002</v>
      </c>
      <c r="W383">
        <v>943.2</v>
      </c>
      <c r="X383">
        <f t="shared" si="50"/>
        <v>350088.10000000003</v>
      </c>
      <c r="Y383">
        <f t="shared" si="51"/>
        <v>122829.8</v>
      </c>
    </row>
    <row r="384" spans="1:25" x14ac:dyDescent="0.25">
      <c r="A384">
        <v>5320</v>
      </c>
      <c r="B384">
        <v>23210</v>
      </c>
      <c r="C384" s="1">
        <v>42961</v>
      </c>
      <c r="G384">
        <v>21.5</v>
      </c>
      <c r="H384">
        <v>14.3</v>
      </c>
      <c r="I384">
        <v>26.9</v>
      </c>
      <c r="J384">
        <f t="shared" si="48"/>
        <v>3994.5999999999985</v>
      </c>
      <c r="K384">
        <f t="shared" si="49"/>
        <v>1493.5000000000002</v>
      </c>
      <c r="M384">
        <v>0</v>
      </c>
      <c r="N384">
        <v>2.8</v>
      </c>
      <c r="O384">
        <f t="shared" si="44"/>
        <v>-2.8</v>
      </c>
      <c r="W384">
        <v>1421.5</v>
      </c>
      <c r="X384">
        <f t="shared" si="50"/>
        <v>351509.60000000003</v>
      </c>
      <c r="Y384">
        <f t="shared" si="51"/>
        <v>124251.3</v>
      </c>
    </row>
    <row r="385" spans="1:25" x14ac:dyDescent="0.25">
      <c r="A385">
        <v>5320</v>
      </c>
      <c r="B385">
        <v>23210</v>
      </c>
      <c r="C385" s="1">
        <v>42962</v>
      </c>
      <c r="G385">
        <v>22</v>
      </c>
      <c r="H385">
        <v>20.9</v>
      </c>
      <c r="I385">
        <v>23.8</v>
      </c>
      <c r="J385">
        <f t="shared" si="48"/>
        <v>4016.5999999999985</v>
      </c>
      <c r="K385">
        <f t="shared" si="49"/>
        <v>1515.5000000000002</v>
      </c>
      <c r="M385">
        <v>5</v>
      </c>
      <c r="N385">
        <v>3.3</v>
      </c>
      <c r="O385">
        <f t="shared" si="44"/>
        <v>1.7000000000000002</v>
      </c>
      <c r="W385">
        <v>1582.4</v>
      </c>
      <c r="X385">
        <f t="shared" si="50"/>
        <v>353092.00000000006</v>
      </c>
      <c r="Y385">
        <f t="shared" si="51"/>
        <v>125833.7</v>
      </c>
    </row>
    <row r="386" spans="1:25" x14ac:dyDescent="0.25">
      <c r="A386">
        <v>5320</v>
      </c>
      <c r="B386">
        <v>23210</v>
      </c>
      <c r="C386" s="1">
        <v>42963</v>
      </c>
      <c r="G386">
        <v>19.600000000000001</v>
      </c>
      <c r="H386">
        <v>15.9</v>
      </c>
      <c r="I386">
        <v>23.3</v>
      </c>
      <c r="J386">
        <f t="shared" si="48"/>
        <v>4036.1999999999985</v>
      </c>
      <c r="K386">
        <f t="shared" si="49"/>
        <v>1535.1000000000001</v>
      </c>
      <c r="M386">
        <v>0</v>
      </c>
      <c r="N386">
        <v>2</v>
      </c>
      <c r="O386">
        <f t="shared" si="44"/>
        <v>-2</v>
      </c>
      <c r="W386">
        <v>975.2</v>
      </c>
      <c r="X386">
        <f t="shared" si="50"/>
        <v>354067.20000000007</v>
      </c>
      <c r="Y386">
        <f t="shared" si="51"/>
        <v>126808.9</v>
      </c>
    </row>
    <row r="387" spans="1:25" x14ac:dyDescent="0.25">
      <c r="A387">
        <v>5320</v>
      </c>
      <c r="B387">
        <v>23210</v>
      </c>
      <c r="C387" s="1">
        <v>42964</v>
      </c>
      <c r="G387">
        <v>20.2</v>
      </c>
      <c r="H387">
        <v>16.7</v>
      </c>
      <c r="I387">
        <v>23</v>
      </c>
      <c r="J387">
        <f t="shared" si="48"/>
        <v>4056.3999999999983</v>
      </c>
      <c r="K387">
        <f t="shared" si="49"/>
        <v>1555.3000000000002</v>
      </c>
      <c r="M387">
        <v>11.6</v>
      </c>
      <c r="N387">
        <v>1.8</v>
      </c>
      <c r="O387">
        <f t="shared" si="44"/>
        <v>9.7999999999999989</v>
      </c>
      <c r="W387">
        <v>923.2</v>
      </c>
      <c r="X387">
        <f t="shared" si="50"/>
        <v>354990.40000000008</v>
      </c>
      <c r="Y387">
        <f t="shared" si="51"/>
        <v>127732.09999999999</v>
      </c>
    </row>
    <row r="388" spans="1:25" x14ac:dyDescent="0.25">
      <c r="A388">
        <v>5320</v>
      </c>
      <c r="B388">
        <v>23210</v>
      </c>
      <c r="C388" s="1">
        <v>42965</v>
      </c>
      <c r="G388">
        <v>18.2</v>
      </c>
      <c r="H388">
        <v>18.3</v>
      </c>
      <c r="I388">
        <v>20.9</v>
      </c>
      <c r="J388">
        <f t="shared" si="48"/>
        <v>4074.5999999999981</v>
      </c>
      <c r="K388">
        <f t="shared" si="49"/>
        <v>1573.5000000000002</v>
      </c>
      <c r="M388">
        <v>5.2</v>
      </c>
      <c r="N388">
        <v>1.7</v>
      </c>
      <c r="O388">
        <f t="shared" si="44"/>
        <v>3.5</v>
      </c>
      <c r="W388">
        <v>590.5</v>
      </c>
      <c r="X388">
        <f t="shared" si="50"/>
        <v>355580.90000000008</v>
      </c>
      <c r="Y388">
        <f t="shared" si="51"/>
        <v>128322.59999999999</v>
      </c>
    </row>
    <row r="389" spans="1:25" x14ac:dyDescent="0.25">
      <c r="A389">
        <v>5320</v>
      </c>
      <c r="B389">
        <v>23210</v>
      </c>
      <c r="C389" s="1">
        <v>42966</v>
      </c>
      <c r="G389">
        <v>15.6</v>
      </c>
      <c r="H389">
        <v>10.6</v>
      </c>
      <c r="I389">
        <v>19.7</v>
      </c>
      <c r="J389">
        <f t="shared" si="48"/>
        <v>4090.199999999998</v>
      </c>
      <c r="K389">
        <f t="shared" si="49"/>
        <v>1589.1000000000001</v>
      </c>
      <c r="M389">
        <v>0</v>
      </c>
      <c r="N389">
        <v>3</v>
      </c>
      <c r="O389">
        <f t="shared" ref="O389:O401" si="52">M389-N389</f>
        <v>-3</v>
      </c>
      <c r="W389">
        <v>1791.6</v>
      </c>
      <c r="X389">
        <f t="shared" si="50"/>
        <v>357372.50000000006</v>
      </c>
      <c r="Y389">
        <f t="shared" si="51"/>
        <v>130114.2</v>
      </c>
    </row>
    <row r="390" spans="1:25" x14ac:dyDescent="0.25">
      <c r="A390">
        <v>5320</v>
      </c>
      <c r="B390">
        <v>23210</v>
      </c>
      <c r="C390" s="1">
        <v>42967</v>
      </c>
      <c r="G390">
        <v>17.399999999999999</v>
      </c>
      <c r="H390">
        <v>12</v>
      </c>
      <c r="I390">
        <v>21.4</v>
      </c>
      <c r="J390">
        <f t="shared" si="48"/>
        <v>4107.5999999999976</v>
      </c>
      <c r="K390">
        <f t="shared" si="49"/>
        <v>1606.5000000000002</v>
      </c>
      <c r="M390">
        <v>0</v>
      </c>
      <c r="N390">
        <v>3</v>
      </c>
      <c r="O390">
        <f t="shared" si="52"/>
        <v>-3</v>
      </c>
      <c r="W390">
        <v>1652.6</v>
      </c>
      <c r="X390">
        <f t="shared" si="50"/>
        <v>359025.10000000003</v>
      </c>
      <c r="Y390">
        <f t="shared" si="51"/>
        <v>131766.79999999999</v>
      </c>
    </row>
    <row r="391" spans="1:25" x14ac:dyDescent="0.25">
      <c r="A391">
        <v>5320</v>
      </c>
      <c r="B391">
        <v>23210</v>
      </c>
      <c r="C391" s="1">
        <v>42968</v>
      </c>
      <c r="G391">
        <v>21.3</v>
      </c>
      <c r="H391">
        <v>16.100000000000001</v>
      </c>
      <c r="I391">
        <v>26</v>
      </c>
      <c r="J391">
        <f t="shared" si="48"/>
        <v>4128.8999999999978</v>
      </c>
      <c r="K391">
        <f t="shared" si="49"/>
        <v>1627.8000000000002</v>
      </c>
      <c r="M391">
        <v>0</v>
      </c>
      <c r="N391">
        <v>2.9</v>
      </c>
      <c r="O391">
        <f t="shared" si="52"/>
        <v>-2.9</v>
      </c>
      <c r="W391">
        <v>1279.5999999999999</v>
      </c>
      <c r="X391">
        <f t="shared" si="50"/>
        <v>360304.7</v>
      </c>
      <c r="Y391">
        <f t="shared" si="51"/>
        <v>133046.39999999999</v>
      </c>
    </row>
    <row r="392" spans="1:25" x14ac:dyDescent="0.25">
      <c r="A392">
        <v>5320</v>
      </c>
      <c r="B392">
        <v>23210</v>
      </c>
      <c r="C392" s="1">
        <v>42969</v>
      </c>
      <c r="G392">
        <v>22.9</v>
      </c>
      <c r="H392">
        <v>16.600000000000001</v>
      </c>
      <c r="I392">
        <v>28.4</v>
      </c>
      <c r="J392">
        <f t="shared" si="48"/>
        <v>4151.7999999999975</v>
      </c>
      <c r="K392">
        <f t="shared" si="49"/>
        <v>1650.7000000000003</v>
      </c>
      <c r="M392">
        <v>0</v>
      </c>
      <c r="N392">
        <v>3.9</v>
      </c>
      <c r="O392">
        <f t="shared" si="52"/>
        <v>-3.9</v>
      </c>
      <c r="W392">
        <v>1658.2</v>
      </c>
      <c r="X392">
        <f t="shared" si="50"/>
        <v>361962.9</v>
      </c>
      <c r="Y392">
        <f t="shared" si="51"/>
        <v>134704.6</v>
      </c>
    </row>
    <row r="393" spans="1:25" x14ac:dyDescent="0.25">
      <c r="A393">
        <v>5320</v>
      </c>
      <c r="B393">
        <v>23210</v>
      </c>
      <c r="C393" s="1">
        <v>42970</v>
      </c>
      <c r="G393">
        <v>20.100000000000001</v>
      </c>
      <c r="H393">
        <v>18.399999999999999</v>
      </c>
      <c r="I393">
        <v>23.3</v>
      </c>
      <c r="J393">
        <f t="shared" si="48"/>
        <v>4171.8999999999978</v>
      </c>
      <c r="K393">
        <f t="shared" si="49"/>
        <v>1670.8000000000002</v>
      </c>
      <c r="M393">
        <v>0</v>
      </c>
      <c r="N393">
        <v>1.9</v>
      </c>
      <c r="O393">
        <f t="shared" si="52"/>
        <v>-1.9</v>
      </c>
      <c r="W393">
        <v>746.1</v>
      </c>
      <c r="X393">
        <f t="shared" si="50"/>
        <v>362709</v>
      </c>
      <c r="Y393">
        <f t="shared" si="51"/>
        <v>135450.70000000001</v>
      </c>
    </row>
    <row r="394" spans="1:25" x14ac:dyDescent="0.25">
      <c r="A394">
        <v>5320</v>
      </c>
      <c r="B394">
        <v>23210</v>
      </c>
      <c r="C394" s="1">
        <v>42971</v>
      </c>
      <c r="G394">
        <v>20.6</v>
      </c>
      <c r="H394">
        <v>15.6</v>
      </c>
      <c r="I394">
        <v>24.3</v>
      </c>
      <c r="J394">
        <f t="shared" si="48"/>
        <v>4192.4999999999982</v>
      </c>
      <c r="K394">
        <f t="shared" si="49"/>
        <v>1691.4</v>
      </c>
      <c r="M394">
        <v>0</v>
      </c>
      <c r="N394">
        <v>2.9</v>
      </c>
      <c r="O394">
        <f t="shared" si="52"/>
        <v>-2.9</v>
      </c>
      <c r="W394">
        <v>1393.1</v>
      </c>
      <c r="X394">
        <f t="shared" si="50"/>
        <v>364102.1</v>
      </c>
      <c r="Y394">
        <f t="shared" si="51"/>
        <v>136843.80000000002</v>
      </c>
    </row>
    <row r="395" spans="1:25" x14ac:dyDescent="0.25">
      <c r="A395">
        <v>5320</v>
      </c>
      <c r="B395">
        <v>23210</v>
      </c>
      <c r="C395" s="1">
        <v>42972</v>
      </c>
      <c r="G395">
        <v>21.1</v>
      </c>
      <c r="H395">
        <v>17.7</v>
      </c>
      <c r="I395">
        <v>24.6</v>
      </c>
      <c r="J395">
        <f t="shared" si="48"/>
        <v>4213.5999999999985</v>
      </c>
      <c r="K395">
        <f t="shared" si="49"/>
        <v>1712.5</v>
      </c>
      <c r="M395">
        <v>4.8</v>
      </c>
      <c r="N395">
        <v>2.4</v>
      </c>
      <c r="O395">
        <f t="shared" si="52"/>
        <v>2.4</v>
      </c>
      <c r="W395">
        <v>1178</v>
      </c>
      <c r="X395">
        <f t="shared" si="50"/>
        <v>365280.1</v>
      </c>
      <c r="Y395">
        <f t="shared" si="51"/>
        <v>138021.80000000002</v>
      </c>
    </row>
    <row r="396" spans="1:25" x14ac:dyDescent="0.25">
      <c r="A396">
        <v>5320</v>
      </c>
      <c r="B396">
        <v>23210</v>
      </c>
      <c r="C396" s="1">
        <v>42973</v>
      </c>
      <c r="G396">
        <v>21.9</v>
      </c>
      <c r="H396">
        <v>15.1</v>
      </c>
      <c r="I396">
        <v>27.3</v>
      </c>
      <c r="J396">
        <f t="shared" si="48"/>
        <v>4235.4999999999982</v>
      </c>
      <c r="K396">
        <f t="shared" si="49"/>
        <v>1734.4</v>
      </c>
      <c r="M396">
        <v>0</v>
      </c>
      <c r="N396">
        <v>3.4</v>
      </c>
      <c r="O396">
        <f t="shared" si="52"/>
        <v>-3.4</v>
      </c>
      <c r="W396">
        <v>1876.4</v>
      </c>
      <c r="X396">
        <f t="shared" si="50"/>
        <v>367156.5</v>
      </c>
      <c r="Y396">
        <f t="shared" si="51"/>
        <v>139898.20000000001</v>
      </c>
    </row>
    <row r="397" spans="1:25" x14ac:dyDescent="0.25">
      <c r="A397">
        <v>5320</v>
      </c>
      <c r="B397">
        <v>23210</v>
      </c>
      <c r="C397" s="1">
        <v>42974</v>
      </c>
      <c r="G397">
        <v>24.4</v>
      </c>
      <c r="H397">
        <v>19</v>
      </c>
      <c r="I397">
        <v>29.5</v>
      </c>
      <c r="J397">
        <f t="shared" si="48"/>
        <v>4259.8999999999978</v>
      </c>
      <c r="K397">
        <f t="shared" si="49"/>
        <v>1758.8000000000002</v>
      </c>
      <c r="M397">
        <v>0</v>
      </c>
      <c r="N397">
        <v>4</v>
      </c>
      <c r="O397">
        <f t="shared" si="52"/>
        <v>-4</v>
      </c>
      <c r="W397">
        <v>1850.5</v>
      </c>
      <c r="X397">
        <f t="shared" si="50"/>
        <v>369007</v>
      </c>
      <c r="Y397">
        <f t="shared" si="51"/>
        <v>141748.70000000001</v>
      </c>
    </row>
    <row r="398" spans="1:25" x14ac:dyDescent="0.25">
      <c r="A398">
        <v>5320</v>
      </c>
      <c r="B398">
        <v>23210</v>
      </c>
      <c r="C398" s="1">
        <v>42975</v>
      </c>
      <c r="G398">
        <v>25</v>
      </c>
      <c r="H398">
        <v>19.2</v>
      </c>
      <c r="I398">
        <v>30.2</v>
      </c>
      <c r="J398">
        <f t="shared" si="48"/>
        <v>4284.8999999999978</v>
      </c>
      <c r="K398">
        <f t="shared" si="49"/>
        <v>1783.8000000000002</v>
      </c>
      <c r="M398">
        <v>0</v>
      </c>
      <c r="N398">
        <v>3.2</v>
      </c>
      <c r="O398">
        <f t="shared" si="52"/>
        <v>-3.2</v>
      </c>
      <c r="W398">
        <v>1170.3</v>
      </c>
      <c r="X398">
        <f t="shared" si="50"/>
        <v>370177.3</v>
      </c>
      <c r="Y398">
        <f t="shared" si="51"/>
        <v>142919</v>
      </c>
    </row>
    <row r="399" spans="1:25" x14ac:dyDescent="0.25">
      <c r="A399">
        <v>5320</v>
      </c>
      <c r="B399">
        <v>23210</v>
      </c>
      <c r="C399" s="1">
        <v>42976</v>
      </c>
      <c r="G399">
        <v>26.4</v>
      </c>
      <c r="H399">
        <v>19.3</v>
      </c>
      <c r="I399">
        <v>33.1</v>
      </c>
      <c r="J399">
        <f t="shared" si="48"/>
        <v>4311.2999999999975</v>
      </c>
      <c r="K399">
        <f t="shared" si="49"/>
        <v>1810.2000000000003</v>
      </c>
      <c r="M399">
        <v>0</v>
      </c>
      <c r="N399">
        <v>5</v>
      </c>
      <c r="O399">
        <f t="shared" si="52"/>
        <v>-5</v>
      </c>
      <c r="W399">
        <v>1821.8</v>
      </c>
      <c r="X399">
        <f t="shared" si="50"/>
        <v>371999.1</v>
      </c>
      <c r="Y399">
        <f t="shared" si="51"/>
        <v>144740.79999999999</v>
      </c>
    </row>
    <row r="400" spans="1:25" x14ac:dyDescent="0.25">
      <c r="A400">
        <v>5320</v>
      </c>
      <c r="B400">
        <v>23210</v>
      </c>
      <c r="C400" s="1">
        <v>42977</v>
      </c>
      <c r="G400">
        <v>18.2</v>
      </c>
      <c r="H400">
        <v>16.2</v>
      </c>
      <c r="I400">
        <v>22.1</v>
      </c>
      <c r="J400">
        <f t="shared" si="48"/>
        <v>4329.4999999999973</v>
      </c>
      <c r="K400">
        <f t="shared" si="49"/>
        <v>1828.4000000000003</v>
      </c>
      <c r="M400">
        <v>5.3</v>
      </c>
      <c r="N400">
        <v>1.6</v>
      </c>
      <c r="O400">
        <f t="shared" si="52"/>
        <v>3.6999999999999997</v>
      </c>
      <c r="W400">
        <v>652.9</v>
      </c>
      <c r="X400">
        <f t="shared" si="50"/>
        <v>372652</v>
      </c>
      <c r="Y400">
        <f t="shared" si="51"/>
        <v>145393.69999999998</v>
      </c>
    </row>
    <row r="401" spans="1:25" x14ac:dyDescent="0.25">
      <c r="A401">
        <v>5320</v>
      </c>
      <c r="B401">
        <v>23210</v>
      </c>
      <c r="C401" s="1">
        <v>42978</v>
      </c>
      <c r="G401">
        <v>15.3</v>
      </c>
      <c r="H401">
        <v>9.6</v>
      </c>
      <c r="I401">
        <v>19.399999999999999</v>
      </c>
      <c r="J401">
        <f t="shared" si="48"/>
        <v>4344.7999999999975</v>
      </c>
      <c r="K401">
        <f t="shared" si="49"/>
        <v>1843.7000000000003</v>
      </c>
      <c r="M401">
        <v>0</v>
      </c>
      <c r="N401">
        <v>2.8</v>
      </c>
      <c r="O401">
        <f t="shared" si="52"/>
        <v>-2.8</v>
      </c>
      <c r="W401">
        <v>1702.2</v>
      </c>
      <c r="X401">
        <f t="shared" si="50"/>
        <v>374354.2</v>
      </c>
      <c r="Y401">
        <f t="shared" si="51"/>
        <v>147095.9</v>
      </c>
    </row>
  </sheetData>
  <mergeCells count="12">
    <mergeCell ref="F310:F330"/>
    <mergeCell ref="D358:F358"/>
    <mergeCell ref="F185:F241"/>
    <mergeCell ref="F242:F262"/>
    <mergeCell ref="F263:F292"/>
    <mergeCell ref="F293:F309"/>
    <mergeCell ref="F125:F184"/>
    <mergeCell ref="G2:L2"/>
    <mergeCell ref="M2:V2"/>
    <mergeCell ref="W2:AA2"/>
    <mergeCell ref="D37:F37"/>
    <mergeCell ref="F38:F124"/>
  </mergeCells>
  <conditionalFormatting sqref="G3:I1048576 G2">
    <cfRule type="cellIs" dxfId="24" priority="21" operator="greaterThanOrEqual">
      <formula>25</formula>
    </cfRule>
    <cfRule type="cellIs" dxfId="23" priority="24" operator="between">
      <formula>5</formula>
      <formula>0</formula>
    </cfRule>
    <cfRule type="cellIs" dxfId="22" priority="25" operator="lessThan">
      <formula>0</formula>
    </cfRule>
  </conditionalFormatting>
  <conditionalFormatting sqref="O3:O1048576">
    <cfRule type="cellIs" dxfId="21" priority="23" operator="lessThan">
      <formula>0</formula>
    </cfRule>
  </conditionalFormatting>
  <conditionalFormatting sqref="W1:W1048576">
    <cfRule type="cellIs" dxfId="20" priority="22" operator="lessThan">
      <formula>900</formula>
    </cfRule>
  </conditionalFormatting>
  <conditionalFormatting sqref="T1:T1048576">
    <cfRule type="cellIs" dxfId="19" priority="20" operator="lessThan">
      <formula>0</formula>
    </cfRule>
  </conditionalFormatting>
  <conditionalFormatting sqref="U1:U1048576">
    <cfRule type="cellIs" dxfId="18" priority="18" operator="equal">
      <formula>0</formula>
    </cfRule>
    <cfRule type="cellIs" dxfId="17" priority="19" operator="lessThanOrEqual">
      <formula>46.3</formula>
    </cfRule>
  </conditionalFormatting>
  <conditionalFormatting sqref="L38 L46 L50 L48">
    <cfRule type="cellIs" dxfId="16" priority="16" operator="lessThanOrEqual">
      <formula>0</formula>
    </cfRule>
    <cfRule type="cellIs" dxfId="15" priority="17" operator="lessThanOrEqual">
      <formula>5</formula>
    </cfRule>
  </conditionalFormatting>
  <conditionalFormatting sqref="V38">
    <cfRule type="cellIs" dxfId="14" priority="14" operator="equal">
      <formula>0</formula>
    </cfRule>
    <cfRule type="cellIs" dxfId="13" priority="15" operator="lessThanOrEqual">
      <formula>63.2</formula>
    </cfRule>
  </conditionalFormatting>
  <conditionalFormatting sqref="L126 L134 L138 L136">
    <cfRule type="cellIs" dxfId="12" priority="12" operator="lessThanOrEqual">
      <formula>0</formula>
    </cfRule>
    <cfRule type="cellIs" dxfId="11" priority="13" operator="lessThanOrEqual">
      <formula>5</formula>
    </cfRule>
  </conditionalFormatting>
  <conditionalFormatting sqref="L186 L194 L198 L196">
    <cfRule type="cellIs" dxfId="10" priority="10" operator="lessThanOrEqual">
      <formula>0</formula>
    </cfRule>
    <cfRule type="cellIs" dxfId="9" priority="11" operator="lessThanOrEqual">
      <formula>5</formula>
    </cfRule>
  </conditionalFormatting>
  <conditionalFormatting sqref="L243 L255 L253 L251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L264 L272 L274 L276">
    <cfRule type="cellIs" dxfId="6" priority="6" operator="lessThanOrEqual">
      <formula>0</formula>
    </cfRule>
    <cfRule type="cellIs" dxfId="5" priority="7" operator="lessThanOrEqual">
      <formula>5</formula>
    </cfRule>
  </conditionalFormatting>
  <conditionalFormatting sqref="L294 L304">
    <cfRule type="cellIs" dxfId="4" priority="4" operator="lessThanOrEqual">
      <formula>0</formula>
    </cfRule>
    <cfRule type="cellIs" dxfId="3" priority="5" operator="lessThanOrEqual">
      <formula>5</formula>
    </cfRule>
  </conditionalFormatting>
  <conditionalFormatting sqref="L311 L321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Z37:Z358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N+</vt:lpstr>
      <vt:lpstr>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2019-10-30T10:02:52Z</dcterms:created>
  <dcterms:modified xsi:type="dcterms:W3CDTF">2019-11-27T13:50:28Z</dcterms:modified>
</cp:coreProperties>
</file>