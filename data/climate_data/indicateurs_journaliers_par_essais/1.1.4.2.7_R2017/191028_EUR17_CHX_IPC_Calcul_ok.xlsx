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corlouer\Documents\AA_FICHIERS_ELABORATION_IPC\Actualisation_2019_N\R2017\"/>
    </mc:Choice>
  </mc:AlternateContent>
  <bookViews>
    <workbookView xWindow="0" yWindow="0" windowWidth="19200" windowHeight="10860"/>
  </bookViews>
  <sheets>
    <sheet name="N+" sheetId="1" r:id="rId1"/>
    <sheet name="N-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31" i="1" l="1"/>
  <c r="AC223" i="1"/>
  <c r="AC207" i="1"/>
  <c r="AC199" i="1"/>
  <c r="AE217" i="1"/>
  <c r="AE215" i="1"/>
  <c r="AE219" i="1"/>
  <c r="AE221" i="1" l="1"/>
  <c r="AE213" i="1"/>
  <c r="U185" i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0" i="1" s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U295" i="1" s="1"/>
  <c r="U296" i="1" s="1"/>
  <c r="U297" i="1" s="1"/>
  <c r="U298" i="1" s="1"/>
  <c r="U299" i="1" s="1"/>
  <c r="U300" i="1" s="1"/>
  <c r="U301" i="1" s="1"/>
  <c r="U302" i="1" s="1"/>
  <c r="U303" i="1" s="1"/>
  <c r="U304" i="1" s="1"/>
  <c r="U305" i="1" s="1"/>
  <c r="U306" i="1" s="1"/>
  <c r="U307" i="1" s="1"/>
  <c r="U308" i="1" s="1"/>
  <c r="U309" i="1" s="1"/>
  <c r="U310" i="1" s="1"/>
  <c r="U311" i="1" s="1"/>
  <c r="U312" i="1" s="1"/>
  <c r="U313" i="1" s="1"/>
  <c r="U314" i="1" s="1"/>
  <c r="U315" i="1" s="1"/>
  <c r="U316" i="1" s="1"/>
  <c r="U317" i="1" s="1"/>
  <c r="U318" i="1" s="1"/>
  <c r="U319" i="1" s="1"/>
  <c r="U320" i="1" s="1"/>
  <c r="U321" i="1" s="1"/>
  <c r="U322" i="1" s="1"/>
  <c r="U323" i="1" s="1"/>
  <c r="U324" i="1" s="1"/>
  <c r="U325" i="1" s="1"/>
  <c r="U326" i="1" s="1"/>
  <c r="U327" i="1" s="1"/>
  <c r="U328" i="1" s="1"/>
  <c r="U329" i="1" s="1"/>
  <c r="U334" i="1" s="1"/>
  <c r="U336" i="1" s="1"/>
  <c r="U337" i="1" s="1"/>
  <c r="U338" i="1" s="1"/>
  <c r="U339" i="1" s="1"/>
  <c r="U340" i="1" s="1"/>
  <c r="U341" i="1" s="1"/>
  <c r="U342" i="1" s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295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184" i="1"/>
  <c r="U185" i="2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4" i="2" s="1"/>
  <c r="U336" i="2" s="1"/>
  <c r="U337" i="2" s="1"/>
  <c r="U338" i="2" s="1"/>
  <c r="U339" i="2" s="1"/>
  <c r="U340" i="2" s="1"/>
  <c r="U341" i="2" s="1"/>
  <c r="U342" i="2" s="1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184" i="2"/>
  <c r="L319" i="2" l="1"/>
  <c r="L317" i="2"/>
  <c r="L315" i="2"/>
  <c r="L302" i="2"/>
  <c r="L300" i="2"/>
  <c r="L298" i="2"/>
  <c r="L274" i="2"/>
  <c r="L272" i="2"/>
  <c r="L270" i="2"/>
  <c r="L253" i="2"/>
  <c r="L251" i="2"/>
  <c r="L249" i="2"/>
  <c r="V135" i="2"/>
  <c r="V51" i="2"/>
  <c r="L191" i="2"/>
  <c r="L189" i="2"/>
  <c r="L187" i="2"/>
  <c r="Z312" i="2"/>
  <c r="Z295" i="2"/>
  <c r="Z267" i="2"/>
  <c r="K312" i="2"/>
  <c r="K295" i="2"/>
  <c r="K267" i="2"/>
  <c r="Z248" i="2"/>
  <c r="Z249" i="2" s="1"/>
  <c r="Z250" i="2" s="1"/>
  <c r="Z251" i="2" s="1"/>
  <c r="Z252" i="2" s="1"/>
  <c r="Z253" i="2" s="1"/>
  <c r="Z254" i="2" s="1"/>
  <c r="Z255" i="2" s="1"/>
  <c r="Z256" i="2" s="1"/>
  <c r="Z257" i="2" s="1"/>
  <c r="Z258" i="2" s="1"/>
  <c r="Z259" i="2" s="1"/>
  <c r="Z260" i="2" s="1"/>
  <c r="Z261" i="2" s="1"/>
  <c r="Z262" i="2" s="1"/>
  <c r="Z263" i="2" s="1"/>
  <c r="Z264" i="2" s="1"/>
  <c r="Z265" i="2" s="1"/>
  <c r="Z266" i="2" s="1"/>
  <c r="Z246" i="2"/>
  <c r="K248" i="2"/>
  <c r="K249" i="2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46" i="2"/>
  <c r="L319" i="1"/>
  <c r="L317" i="1"/>
  <c r="L315" i="1"/>
  <c r="L302" i="1"/>
  <c r="L300" i="1"/>
  <c r="L298" i="1"/>
  <c r="Z312" i="1"/>
  <c r="Z295" i="1"/>
  <c r="L272" i="1"/>
  <c r="L274" i="1"/>
  <c r="L276" i="1"/>
  <c r="Z269" i="1"/>
  <c r="L255" i="1"/>
  <c r="L253" i="1"/>
  <c r="L251" i="1"/>
  <c r="V135" i="1"/>
  <c r="V51" i="1"/>
  <c r="L191" i="1"/>
  <c r="L189" i="1"/>
  <c r="L187" i="1"/>
  <c r="K312" i="1"/>
  <c r="K295" i="1"/>
  <c r="K269" i="1"/>
  <c r="Z250" i="1"/>
  <c r="Z251" i="1" s="1"/>
  <c r="Z252" i="1" s="1"/>
  <c r="Z253" i="1" s="1"/>
  <c r="Z254" i="1" s="1"/>
  <c r="Z255" i="1" s="1"/>
  <c r="Z256" i="1" s="1"/>
  <c r="Z257" i="1" s="1"/>
  <c r="Z258" i="1" s="1"/>
  <c r="Z259" i="1" s="1"/>
  <c r="Z260" i="1" s="1"/>
  <c r="Z261" i="1" s="1"/>
  <c r="Z262" i="1" s="1"/>
  <c r="Z263" i="1" s="1"/>
  <c r="Z264" i="1" s="1"/>
  <c r="Z265" i="1" s="1"/>
  <c r="Z266" i="1" s="1"/>
  <c r="Z267" i="1" s="1"/>
  <c r="Z268" i="1" s="1"/>
  <c r="Z249" i="1"/>
  <c r="Z248" i="1"/>
  <c r="K251" i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49" i="1"/>
  <c r="K248" i="1"/>
  <c r="S342" i="2"/>
  <c r="T342" i="2" s="1"/>
  <c r="O342" i="2"/>
  <c r="S341" i="2"/>
  <c r="T341" i="2" s="1"/>
  <c r="O341" i="2"/>
  <c r="S340" i="2"/>
  <c r="T340" i="2" s="1"/>
  <c r="O340" i="2"/>
  <c r="S339" i="2"/>
  <c r="T339" i="2" s="1"/>
  <c r="O339" i="2"/>
  <c r="S338" i="2"/>
  <c r="T338" i="2" s="1"/>
  <c r="O338" i="2"/>
  <c r="S337" i="2"/>
  <c r="T337" i="2" s="1"/>
  <c r="O337" i="2"/>
  <c r="S336" i="2"/>
  <c r="T336" i="2" s="1"/>
  <c r="O336" i="2"/>
  <c r="S335" i="2"/>
  <c r="T335" i="2" s="1"/>
  <c r="O335" i="2"/>
  <c r="S334" i="2"/>
  <c r="T334" i="2" s="1"/>
  <c r="O334" i="2"/>
  <c r="S333" i="2"/>
  <c r="T333" i="2" s="1"/>
  <c r="O333" i="2"/>
  <c r="S332" i="2"/>
  <c r="T332" i="2" s="1"/>
  <c r="O332" i="2"/>
  <c r="S331" i="2"/>
  <c r="T331" i="2" s="1"/>
  <c r="O331" i="2"/>
  <c r="S330" i="2"/>
  <c r="T330" i="2" s="1"/>
  <c r="O330" i="2"/>
  <c r="S329" i="2"/>
  <c r="T329" i="2" s="1"/>
  <c r="O329" i="2"/>
  <c r="S328" i="2"/>
  <c r="T328" i="2" s="1"/>
  <c r="O328" i="2"/>
  <c r="S327" i="2"/>
  <c r="T327" i="2" s="1"/>
  <c r="O327" i="2"/>
  <c r="S326" i="2"/>
  <c r="T326" i="2" s="1"/>
  <c r="O326" i="2"/>
  <c r="S325" i="2"/>
  <c r="T325" i="2" s="1"/>
  <c r="O325" i="2"/>
  <c r="S324" i="2"/>
  <c r="T324" i="2" s="1"/>
  <c r="O324" i="2"/>
  <c r="S323" i="2"/>
  <c r="T323" i="2" s="1"/>
  <c r="O323" i="2"/>
  <c r="S322" i="2"/>
  <c r="T322" i="2" s="1"/>
  <c r="O322" i="2"/>
  <c r="S321" i="2"/>
  <c r="T321" i="2" s="1"/>
  <c r="O321" i="2"/>
  <c r="S320" i="2"/>
  <c r="T320" i="2" s="1"/>
  <c r="O320" i="2"/>
  <c r="S319" i="2"/>
  <c r="T319" i="2" s="1"/>
  <c r="O319" i="2"/>
  <c r="S318" i="2"/>
  <c r="T318" i="2" s="1"/>
  <c r="O318" i="2"/>
  <c r="S317" i="2"/>
  <c r="T317" i="2" s="1"/>
  <c r="O317" i="2"/>
  <c r="AB315" i="2"/>
  <c r="S316" i="2"/>
  <c r="T316" i="2" s="1"/>
  <c r="O316" i="2"/>
  <c r="S315" i="2"/>
  <c r="T315" i="2" s="1"/>
  <c r="O315" i="2"/>
  <c r="S314" i="2"/>
  <c r="T314" i="2" s="1"/>
  <c r="O314" i="2"/>
  <c r="S313" i="2"/>
  <c r="T313" i="2" s="1"/>
  <c r="O313" i="2"/>
  <c r="S312" i="2"/>
  <c r="T312" i="2" s="1"/>
  <c r="O312" i="2"/>
  <c r="S311" i="2"/>
  <c r="T311" i="2" s="1"/>
  <c r="O311" i="2"/>
  <c r="S310" i="2"/>
  <c r="T310" i="2" s="1"/>
  <c r="O310" i="2"/>
  <c r="S309" i="2"/>
  <c r="T309" i="2" s="1"/>
  <c r="O309" i="2"/>
  <c r="S308" i="2"/>
  <c r="T308" i="2" s="1"/>
  <c r="O308" i="2"/>
  <c r="S307" i="2"/>
  <c r="T307" i="2" s="1"/>
  <c r="O307" i="2"/>
  <c r="S306" i="2"/>
  <c r="T306" i="2" s="1"/>
  <c r="O306" i="2"/>
  <c r="T305" i="2"/>
  <c r="S305" i="2"/>
  <c r="O305" i="2"/>
  <c r="S304" i="2"/>
  <c r="T304" i="2" s="1"/>
  <c r="O304" i="2"/>
  <c r="S303" i="2"/>
  <c r="T303" i="2" s="1"/>
  <c r="O303" i="2"/>
  <c r="S302" i="2"/>
  <c r="T302" i="2" s="1"/>
  <c r="O302" i="2"/>
  <c r="S301" i="2"/>
  <c r="T301" i="2" s="1"/>
  <c r="O301" i="2"/>
  <c r="S300" i="2"/>
  <c r="T300" i="2" s="1"/>
  <c r="O300" i="2"/>
  <c r="AB298" i="2"/>
  <c r="S299" i="2"/>
  <c r="T299" i="2" s="1"/>
  <c r="O299" i="2"/>
  <c r="S298" i="2"/>
  <c r="T298" i="2" s="1"/>
  <c r="O298" i="2"/>
  <c r="S297" i="2"/>
  <c r="T297" i="2" s="1"/>
  <c r="O297" i="2"/>
  <c r="S296" i="2"/>
  <c r="T296" i="2" s="1"/>
  <c r="O296" i="2"/>
  <c r="S295" i="2"/>
  <c r="T295" i="2" s="1"/>
  <c r="O295" i="2"/>
  <c r="T294" i="2"/>
  <c r="S294" i="2"/>
  <c r="O294" i="2"/>
  <c r="T293" i="2"/>
  <c r="S293" i="2"/>
  <c r="O293" i="2"/>
  <c r="T292" i="2"/>
  <c r="S292" i="2"/>
  <c r="O292" i="2"/>
  <c r="S291" i="2"/>
  <c r="T291" i="2" s="1"/>
  <c r="O291" i="2"/>
  <c r="T290" i="2"/>
  <c r="S290" i="2"/>
  <c r="O290" i="2"/>
  <c r="S289" i="2"/>
  <c r="T289" i="2" s="1"/>
  <c r="O289" i="2"/>
  <c r="T288" i="2"/>
  <c r="S288" i="2"/>
  <c r="O288" i="2"/>
  <c r="T287" i="2"/>
  <c r="S287" i="2"/>
  <c r="O287" i="2"/>
  <c r="S286" i="2"/>
  <c r="T286" i="2" s="1"/>
  <c r="O286" i="2"/>
  <c r="S285" i="2"/>
  <c r="T285" i="2" s="1"/>
  <c r="O285" i="2"/>
  <c r="T284" i="2"/>
  <c r="S284" i="2"/>
  <c r="O284" i="2"/>
  <c r="S283" i="2"/>
  <c r="T283" i="2" s="1"/>
  <c r="O283" i="2"/>
  <c r="T282" i="2"/>
  <c r="S282" i="2"/>
  <c r="O282" i="2"/>
  <c r="T281" i="2"/>
  <c r="S281" i="2"/>
  <c r="O281" i="2"/>
  <c r="T280" i="2"/>
  <c r="S280" i="2"/>
  <c r="O280" i="2"/>
  <c r="S279" i="2"/>
  <c r="T279" i="2" s="1"/>
  <c r="O279" i="2"/>
  <c r="S278" i="2"/>
  <c r="T278" i="2" s="1"/>
  <c r="O278" i="2"/>
  <c r="T277" i="2"/>
  <c r="S277" i="2"/>
  <c r="O277" i="2"/>
  <c r="T276" i="2"/>
  <c r="S276" i="2"/>
  <c r="O276" i="2"/>
  <c r="S275" i="2"/>
  <c r="T275" i="2" s="1"/>
  <c r="O275" i="2"/>
  <c r="S274" i="2"/>
  <c r="T274" i="2" s="1"/>
  <c r="O274" i="2"/>
  <c r="AB270" i="2"/>
  <c r="S273" i="2"/>
  <c r="T273" i="2" s="1"/>
  <c r="O273" i="2"/>
  <c r="S272" i="2"/>
  <c r="T272" i="2" s="1"/>
  <c r="O272" i="2"/>
  <c r="S271" i="2"/>
  <c r="T271" i="2" s="1"/>
  <c r="O271" i="2"/>
  <c r="S270" i="2"/>
  <c r="T270" i="2" s="1"/>
  <c r="O270" i="2"/>
  <c r="S269" i="2"/>
  <c r="T269" i="2" s="1"/>
  <c r="O269" i="2"/>
  <c r="S268" i="2"/>
  <c r="T268" i="2" s="1"/>
  <c r="O268" i="2"/>
  <c r="S267" i="2"/>
  <c r="T267" i="2" s="1"/>
  <c r="O267" i="2"/>
  <c r="S266" i="2"/>
  <c r="T266" i="2" s="1"/>
  <c r="O266" i="2"/>
  <c r="S265" i="2"/>
  <c r="T265" i="2" s="1"/>
  <c r="O265" i="2"/>
  <c r="T264" i="2"/>
  <c r="S264" i="2"/>
  <c r="O264" i="2"/>
  <c r="S263" i="2"/>
  <c r="T263" i="2" s="1"/>
  <c r="O263" i="2"/>
  <c r="S262" i="2"/>
  <c r="T262" i="2" s="1"/>
  <c r="O262" i="2"/>
  <c r="S261" i="2"/>
  <c r="T261" i="2" s="1"/>
  <c r="O261" i="2"/>
  <c r="S260" i="2"/>
  <c r="T260" i="2" s="1"/>
  <c r="O260" i="2"/>
  <c r="S259" i="2"/>
  <c r="T259" i="2" s="1"/>
  <c r="O259" i="2"/>
  <c r="T258" i="2"/>
  <c r="S258" i="2"/>
  <c r="O258" i="2"/>
  <c r="S257" i="2"/>
  <c r="T257" i="2" s="1"/>
  <c r="O257" i="2"/>
  <c r="T256" i="2"/>
  <c r="S256" i="2"/>
  <c r="O256" i="2"/>
  <c r="S255" i="2"/>
  <c r="T255" i="2" s="1"/>
  <c r="O255" i="2"/>
  <c r="T254" i="2"/>
  <c r="S254" i="2"/>
  <c r="O254" i="2"/>
  <c r="S253" i="2"/>
  <c r="T253" i="2" s="1"/>
  <c r="O253" i="2"/>
  <c r="AB249" i="2"/>
  <c r="T252" i="2"/>
  <c r="S252" i="2"/>
  <c r="O252" i="2"/>
  <c r="S251" i="2"/>
  <c r="T251" i="2" s="1"/>
  <c r="O251" i="2"/>
  <c r="T250" i="2"/>
  <c r="S250" i="2"/>
  <c r="O250" i="2"/>
  <c r="T249" i="2"/>
  <c r="S249" i="2"/>
  <c r="O249" i="2"/>
  <c r="R248" i="2"/>
  <c r="S248" i="2" s="1"/>
  <c r="T248" i="2" s="1"/>
  <c r="O248" i="2"/>
  <c r="S247" i="2"/>
  <c r="T247" i="2" s="1"/>
  <c r="O247" i="2"/>
  <c r="S246" i="2"/>
  <c r="T246" i="2" s="1"/>
  <c r="O246" i="2"/>
  <c r="S245" i="2"/>
  <c r="T245" i="2" s="1"/>
  <c r="O245" i="2"/>
  <c r="S244" i="2"/>
  <c r="T244" i="2" s="1"/>
  <c r="O244" i="2"/>
  <c r="S243" i="2"/>
  <c r="T243" i="2" s="1"/>
  <c r="O243" i="2"/>
  <c r="S242" i="2"/>
  <c r="T242" i="2" s="1"/>
  <c r="O242" i="2"/>
  <c r="S241" i="2"/>
  <c r="T241" i="2" s="1"/>
  <c r="O241" i="2"/>
  <c r="S240" i="2"/>
  <c r="T240" i="2" s="1"/>
  <c r="O240" i="2"/>
  <c r="S239" i="2"/>
  <c r="T239" i="2" s="1"/>
  <c r="O239" i="2"/>
  <c r="S238" i="2"/>
  <c r="T238" i="2" s="1"/>
  <c r="O238" i="2"/>
  <c r="S237" i="2"/>
  <c r="T237" i="2" s="1"/>
  <c r="O237" i="2"/>
  <c r="S236" i="2"/>
  <c r="T236" i="2" s="1"/>
  <c r="O236" i="2"/>
  <c r="S235" i="2"/>
  <c r="T235" i="2" s="1"/>
  <c r="O235" i="2"/>
  <c r="S234" i="2"/>
  <c r="T234" i="2" s="1"/>
  <c r="O234" i="2"/>
  <c r="S233" i="2"/>
  <c r="T233" i="2" s="1"/>
  <c r="O233" i="2"/>
  <c r="S232" i="2"/>
  <c r="T232" i="2" s="1"/>
  <c r="O232" i="2"/>
  <c r="T231" i="2"/>
  <c r="S231" i="2"/>
  <c r="O231" i="2"/>
  <c r="S230" i="2"/>
  <c r="T230" i="2" s="1"/>
  <c r="O230" i="2"/>
  <c r="T229" i="2"/>
  <c r="S229" i="2"/>
  <c r="O229" i="2"/>
  <c r="S228" i="2"/>
  <c r="T228" i="2" s="1"/>
  <c r="O228" i="2"/>
  <c r="S227" i="2"/>
  <c r="T227" i="2" s="1"/>
  <c r="O227" i="2"/>
  <c r="S226" i="2"/>
  <c r="T226" i="2" s="1"/>
  <c r="O226" i="2"/>
  <c r="S225" i="2"/>
  <c r="T225" i="2" s="1"/>
  <c r="O225" i="2"/>
  <c r="S224" i="2"/>
  <c r="T224" i="2" s="1"/>
  <c r="O224" i="2"/>
  <c r="S223" i="2"/>
  <c r="T223" i="2" s="1"/>
  <c r="O223" i="2"/>
  <c r="S222" i="2"/>
  <c r="T222" i="2" s="1"/>
  <c r="O222" i="2"/>
  <c r="S221" i="2"/>
  <c r="T221" i="2" s="1"/>
  <c r="O221" i="2"/>
  <c r="S220" i="2"/>
  <c r="T220" i="2" s="1"/>
  <c r="O220" i="2"/>
  <c r="S219" i="2"/>
  <c r="T219" i="2" s="1"/>
  <c r="O219" i="2"/>
  <c r="S218" i="2"/>
  <c r="T218" i="2" s="1"/>
  <c r="O218" i="2"/>
  <c r="S217" i="2"/>
  <c r="T217" i="2" s="1"/>
  <c r="O217" i="2"/>
  <c r="S216" i="2"/>
  <c r="T216" i="2" s="1"/>
  <c r="O216" i="2"/>
  <c r="S215" i="2"/>
  <c r="T215" i="2" s="1"/>
  <c r="O215" i="2"/>
  <c r="S214" i="2"/>
  <c r="T214" i="2" s="1"/>
  <c r="O214" i="2"/>
  <c r="S213" i="2"/>
  <c r="T213" i="2" s="1"/>
  <c r="O213" i="2"/>
  <c r="S212" i="2"/>
  <c r="T212" i="2" s="1"/>
  <c r="O212" i="2"/>
  <c r="S211" i="2"/>
  <c r="T211" i="2" s="1"/>
  <c r="O211" i="2"/>
  <c r="S210" i="2"/>
  <c r="T210" i="2" s="1"/>
  <c r="O210" i="2"/>
  <c r="S209" i="2"/>
  <c r="T209" i="2" s="1"/>
  <c r="O209" i="2"/>
  <c r="S208" i="2"/>
  <c r="T208" i="2" s="1"/>
  <c r="O208" i="2"/>
  <c r="S207" i="2"/>
  <c r="T207" i="2" s="1"/>
  <c r="O207" i="2"/>
  <c r="S206" i="2"/>
  <c r="T206" i="2" s="1"/>
  <c r="O206" i="2"/>
  <c r="S205" i="2"/>
  <c r="T205" i="2" s="1"/>
  <c r="O205" i="2"/>
  <c r="S204" i="2"/>
  <c r="T204" i="2" s="1"/>
  <c r="O204" i="2"/>
  <c r="S203" i="2"/>
  <c r="T203" i="2" s="1"/>
  <c r="O203" i="2"/>
  <c r="S202" i="2"/>
  <c r="T202" i="2" s="1"/>
  <c r="O202" i="2"/>
  <c r="S201" i="2"/>
  <c r="T201" i="2" s="1"/>
  <c r="O201" i="2"/>
  <c r="S200" i="2"/>
  <c r="T200" i="2" s="1"/>
  <c r="O200" i="2"/>
  <c r="S199" i="2"/>
  <c r="T199" i="2" s="1"/>
  <c r="O199" i="2"/>
  <c r="S198" i="2"/>
  <c r="T198" i="2" s="1"/>
  <c r="O198" i="2"/>
  <c r="S197" i="2"/>
  <c r="T197" i="2" s="1"/>
  <c r="O197" i="2"/>
  <c r="S196" i="2"/>
  <c r="T196" i="2" s="1"/>
  <c r="O196" i="2"/>
  <c r="S195" i="2"/>
  <c r="T195" i="2" s="1"/>
  <c r="O195" i="2"/>
  <c r="S194" i="2"/>
  <c r="T194" i="2" s="1"/>
  <c r="O194" i="2"/>
  <c r="S193" i="2"/>
  <c r="T193" i="2" s="1"/>
  <c r="O193" i="2"/>
  <c r="J193" i="2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S192" i="2"/>
  <c r="T192" i="2" s="1"/>
  <c r="O192" i="2"/>
  <c r="S191" i="2"/>
  <c r="T191" i="2" s="1"/>
  <c r="O191" i="2"/>
  <c r="S190" i="2"/>
  <c r="T190" i="2" s="1"/>
  <c r="O190" i="2"/>
  <c r="T189" i="2"/>
  <c r="S189" i="2"/>
  <c r="O189" i="2"/>
  <c r="S188" i="2"/>
  <c r="T188" i="2" s="1"/>
  <c r="O188" i="2"/>
  <c r="AB187" i="2"/>
  <c r="S187" i="2"/>
  <c r="T187" i="2" s="1"/>
  <c r="O187" i="2"/>
  <c r="S186" i="2"/>
  <c r="T186" i="2" s="1"/>
  <c r="O186" i="2"/>
  <c r="Z185" i="2"/>
  <c r="Z186" i="2" s="1"/>
  <c r="Z187" i="2" s="1"/>
  <c r="Z188" i="2" s="1"/>
  <c r="Z189" i="2" s="1"/>
  <c r="Z190" i="2" s="1"/>
  <c r="Z191" i="2" s="1"/>
  <c r="Z192" i="2" s="1"/>
  <c r="Z193" i="2" s="1"/>
  <c r="Z194" i="2" s="1"/>
  <c r="Z195" i="2" s="1"/>
  <c r="Z196" i="2" s="1"/>
  <c r="Z197" i="2" s="1"/>
  <c r="Z198" i="2" s="1"/>
  <c r="Z199" i="2" s="1"/>
  <c r="Z200" i="2" s="1"/>
  <c r="Z201" i="2" s="1"/>
  <c r="Z202" i="2" s="1"/>
  <c r="Z203" i="2" s="1"/>
  <c r="Z204" i="2" s="1"/>
  <c r="Z205" i="2" s="1"/>
  <c r="Z206" i="2" s="1"/>
  <c r="Z207" i="2" s="1"/>
  <c r="Z208" i="2" s="1"/>
  <c r="Z209" i="2" s="1"/>
  <c r="Z210" i="2" s="1"/>
  <c r="Z211" i="2" s="1"/>
  <c r="Z212" i="2" s="1"/>
  <c r="Z213" i="2" s="1"/>
  <c r="Z214" i="2" s="1"/>
  <c r="Z215" i="2" s="1"/>
  <c r="Z216" i="2" s="1"/>
  <c r="Z217" i="2" s="1"/>
  <c r="Z218" i="2" s="1"/>
  <c r="Z219" i="2" s="1"/>
  <c r="Z220" i="2" s="1"/>
  <c r="Z221" i="2" s="1"/>
  <c r="Z222" i="2" s="1"/>
  <c r="Z223" i="2" s="1"/>
  <c r="Z224" i="2" s="1"/>
  <c r="Z225" i="2" s="1"/>
  <c r="Z226" i="2" s="1"/>
  <c r="Z227" i="2" s="1"/>
  <c r="Z228" i="2" s="1"/>
  <c r="Z229" i="2" s="1"/>
  <c r="Z230" i="2" s="1"/>
  <c r="Z231" i="2" s="1"/>
  <c r="Z232" i="2" s="1"/>
  <c r="Z233" i="2" s="1"/>
  <c r="Z234" i="2" s="1"/>
  <c r="Z235" i="2" s="1"/>
  <c r="Z236" i="2" s="1"/>
  <c r="Z237" i="2" s="1"/>
  <c r="Z238" i="2" s="1"/>
  <c r="Z239" i="2" s="1"/>
  <c r="Z240" i="2" s="1"/>
  <c r="Z241" i="2" s="1"/>
  <c r="Z242" i="2" s="1"/>
  <c r="Z243" i="2" s="1"/>
  <c r="Z244" i="2" s="1"/>
  <c r="Z245" i="2" s="1"/>
  <c r="Z247" i="2" s="1"/>
  <c r="S185" i="2"/>
  <c r="T185" i="2" s="1"/>
  <c r="O185" i="2"/>
  <c r="K185" i="2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7" i="2" s="1"/>
  <c r="Z184" i="2"/>
  <c r="T184" i="2"/>
  <c r="S184" i="2"/>
  <c r="O184" i="2"/>
  <c r="J184" i="2"/>
  <c r="J185" i="2" s="1"/>
  <c r="J186" i="2" s="1"/>
  <c r="J187" i="2" s="1"/>
  <c r="J188" i="2" s="1"/>
  <c r="J189" i="2" s="1"/>
  <c r="J190" i="2" s="1"/>
  <c r="J191" i="2" s="1"/>
  <c r="J192" i="2" s="1"/>
  <c r="S183" i="2"/>
  <c r="T183" i="2" s="1"/>
  <c r="O183" i="2"/>
  <c r="T182" i="2"/>
  <c r="S182" i="2"/>
  <c r="O182" i="2"/>
  <c r="T181" i="2"/>
  <c r="S181" i="2"/>
  <c r="O181" i="2"/>
  <c r="S180" i="2"/>
  <c r="T180" i="2" s="1"/>
  <c r="O180" i="2"/>
  <c r="T179" i="2"/>
  <c r="S179" i="2"/>
  <c r="O179" i="2"/>
  <c r="S178" i="2"/>
  <c r="T178" i="2" s="1"/>
  <c r="O178" i="2"/>
  <c r="T177" i="2"/>
  <c r="S177" i="2"/>
  <c r="O177" i="2"/>
  <c r="T176" i="2"/>
  <c r="S176" i="2"/>
  <c r="O176" i="2"/>
  <c r="S175" i="2"/>
  <c r="T175" i="2" s="1"/>
  <c r="O175" i="2"/>
  <c r="T174" i="2"/>
  <c r="S174" i="2"/>
  <c r="O174" i="2"/>
  <c r="T173" i="2"/>
  <c r="S173" i="2"/>
  <c r="O173" i="2"/>
  <c r="T172" i="2"/>
  <c r="S172" i="2"/>
  <c r="O172" i="2"/>
  <c r="S171" i="2"/>
  <c r="T171" i="2" s="1"/>
  <c r="O171" i="2"/>
  <c r="S170" i="2"/>
  <c r="T170" i="2" s="1"/>
  <c r="O170" i="2"/>
  <c r="J170" i="2"/>
  <c r="J171" i="2" s="1"/>
  <c r="J172" i="2" s="1"/>
  <c r="J173" i="2" s="1"/>
  <c r="T169" i="2"/>
  <c r="S169" i="2"/>
  <c r="O169" i="2"/>
  <c r="T168" i="2"/>
  <c r="S168" i="2"/>
  <c r="O168" i="2"/>
  <c r="S167" i="2"/>
  <c r="T167" i="2" s="1"/>
  <c r="O167" i="2"/>
  <c r="T166" i="2"/>
  <c r="S166" i="2"/>
  <c r="O166" i="2"/>
  <c r="J166" i="2"/>
  <c r="J167" i="2" s="1"/>
  <c r="J168" i="2" s="1"/>
  <c r="J169" i="2" s="1"/>
  <c r="T165" i="2"/>
  <c r="S165" i="2"/>
  <c r="O165" i="2"/>
  <c r="K165" i="2"/>
  <c r="K166" i="2" s="1"/>
  <c r="K167" i="2" s="1"/>
  <c r="K168" i="2" s="1"/>
  <c r="K169" i="2" s="1"/>
  <c r="K170" i="2" s="1"/>
  <c r="K171" i="2" s="1"/>
  <c r="K172" i="2" s="1"/>
  <c r="K173" i="2" s="1"/>
  <c r="J165" i="2"/>
  <c r="T164" i="2"/>
  <c r="S164" i="2"/>
  <c r="O164" i="2"/>
  <c r="T163" i="2"/>
  <c r="S163" i="2"/>
  <c r="O163" i="2"/>
  <c r="S162" i="2"/>
  <c r="T162" i="2" s="1"/>
  <c r="O162" i="2"/>
  <c r="K162" i="2"/>
  <c r="J162" i="2"/>
  <c r="T161" i="2"/>
  <c r="S161" i="2"/>
  <c r="O161" i="2"/>
  <c r="T160" i="2"/>
  <c r="S160" i="2"/>
  <c r="O160" i="2"/>
  <c r="S159" i="2"/>
  <c r="T159" i="2" s="1"/>
  <c r="O159" i="2"/>
  <c r="K159" i="2"/>
  <c r="J159" i="2"/>
  <c r="T158" i="2"/>
  <c r="S158" i="2"/>
  <c r="O158" i="2"/>
  <c r="S157" i="2"/>
  <c r="T157" i="2" s="1"/>
  <c r="O157" i="2"/>
  <c r="T156" i="2"/>
  <c r="S156" i="2"/>
  <c r="O156" i="2"/>
  <c r="T155" i="2"/>
  <c r="S155" i="2"/>
  <c r="O155" i="2"/>
  <c r="S154" i="2"/>
  <c r="T154" i="2" s="1"/>
  <c r="O154" i="2"/>
  <c r="T153" i="2"/>
  <c r="S153" i="2"/>
  <c r="O153" i="2"/>
  <c r="T152" i="2"/>
  <c r="S152" i="2"/>
  <c r="O152" i="2"/>
  <c r="S151" i="2"/>
  <c r="T151" i="2" s="1"/>
  <c r="O151" i="2"/>
  <c r="S150" i="2"/>
  <c r="T150" i="2" s="1"/>
  <c r="O150" i="2"/>
  <c r="T149" i="2"/>
  <c r="S149" i="2"/>
  <c r="O149" i="2"/>
  <c r="T148" i="2"/>
  <c r="S148" i="2"/>
  <c r="O148" i="2"/>
  <c r="S147" i="2"/>
  <c r="T147" i="2" s="1"/>
  <c r="O147" i="2"/>
  <c r="S146" i="2"/>
  <c r="T146" i="2" s="1"/>
  <c r="O146" i="2"/>
  <c r="T145" i="2"/>
  <c r="S145" i="2"/>
  <c r="O145" i="2"/>
  <c r="K145" i="2"/>
  <c r="K146" i="2" s="1"/>
  <c r="K147" i="2" s="1"/>
  <c r="K148" i="2" s="1"/>
  <c r="K149" i="2" s="1"/>
  <c r="K150" i="2" s="1"/>
  <c r="K151" i="2" s="1"/>
  <c r="K152" i="2" s="1"/>
  <c r="K153" i="2" s="1"/>
  <c r="K154" i="2" s="1"/>
  <c r="T144" i="2"/>
  <c r="S144" i="2"/>
  <c r="O144" i="2"/>
  <c r="S143" i="2"/>
  <c r="T143" i="2" s="1"/>
  <c r="O143" i="2"/>
  <c r="S142" i="2"/>
  <c r="T142" i="2" s="1"/>
  <c r="O142" i="2"/>
  <c r="T141" i="2"/>
  <c r="S141" i="2"/>
  <c r="O141" i="2"/>
  <c r="T140" i="2"/>
  <c r="S140" i="2"/>
  <c r="O140" i="2"/>
  <c r="S139" i="2"/>
  <c r="T139" i="2" s="1"/>
  <c r="O139" i="2"/>
  <c r="S138" i="2"/>
  <c r="T138" i="2" s="1"/>
  <c r="O138" i="2"/>
  <c r="K138" i="2"/>
  <c r="K139" i="2" s="1"/>
  <c r="K140" i="2" s="1"/>
  <c r="K141" i="2" s="1"/>
  <c r="K142" i="2" s="1"/>
  <c r="K143" i="2" s="1"/>
  <c r="K144" i="2" s="1"/>
  <c r="T137" i="2"/>
  <c r="S137" i="2"/>
  <c r="O137" i="2"/>
  <c r="T136" i="2"/>
  <c r="S136" i="2"/>
  <c r="O136" i="2"/>
  <c r="S135" i="2"/>
  <c r="T135" i="2" s="1"/>
  <c r="O135" i="2"/>
  <c r="T134" i="2"/>
  <c r="S134" i="2"/>
  <c r="O134" i="2"/>
  <c r="S133" i="2"/>
  <c r="T133" i="2" s="1"/>
  <c r="O133" i="2"/>
  <c r="S132" i="2"/>
  <c r="T132" i="2" s="1"/>
  <c r="O132" i="2"/>
  <c r="K132" i="2"/>
  <c r="K133" i="2" s="1"/>
  <c r="K134" i="2" s="1"/>
  <c r="K135" i="2" s="1"/>
  <c r="K136" i="2" s="1"/>
  <c r="K137" i="2" s="1"/>
  <c r="J132" i="2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T131" i="2"/>
  <c r="S131" i="2"/>
  <c r="O131" i="2"/>
  <c r="L131" i="2"/>
  <c r="T130" i="2"/>
  <c r="S130" i="2"/>
  <c r="O130" i="2"/>
  <c r="K130" i="2"/>
  <c r="K131" i="2" s="1"/>
  <c r="J130" i="2"/>
  <c r="J131" i="2" s="1"/>
  <c r="T129" i="2"/>
  <c r="S129" i="2"/>
  <c r="O129" i="2"/>
  <c r="L129" i="2"/>
  <c r="K129" i="2"/>
  <c r="J129" i="2"/>
  <c r="S128" i="2"/>
  <c r="T128" i="2" s="1"/>
  <c r="O128" i="2"/>
  <c r="AB127" i="2"/>
  <c r="T127" i="2"/>
  <c r="S127" i="2"/>
  <c r="O127" i="2"/>
  <c r="L127" i="2"/>
  <c r="Z126" i="2"/>
  <c r="Z127" i="2" s="1"/>
  <c r="Z128" i="2" s="1"/>
  <c r="Z129" i="2" s="1"/>
  <c r="Z130" i="2" s="1"/>
  <c r="Z131" i="2" s="1"/>
  <c r="Z132" i="2" s="1"/>
  <c r="Z133" i="2" s="1"/>
  <c r="Z134" i="2" s="1"/>
  <c r="Z135" i="2" s="1"/>
  <c r="Z136" i="2" s="1"/>
  <c r="Z137" i="2" s="1"/>
  <c r="Z138" i="2" s="1"/>
  <c r="Z139" i="2" s="1"/>
  <c r="Z140" i="2" s="1"/>
  <c r="Z141" i="2" s="1"/>
  <c r="Z142" i="2" s="1"/>
  <c r="Z143" i="2" s="1"/>
  <c r="Z144" i="2" s="1"/>
  <c r="Z145" i="2" s="1"/>
  <c r="Z146" i="2" s="1"/>
  <c r="Z147" i="2" s="1"/>
  <c r="Z148" i="2" s="1"/>
  <c r="Z149" i="2" s="1"/>
  <c r="Z150" i="2" s="1"/>
  <c r="Z151" i="2" s="1"/>
  <c r="Z152" i="2" s="1"/>
  <c r="Z153" i="2" s="1"/>
  <c r="Z154" i="2" s="1"/>
  <c r="Z155" i="2" s="1"/>
  <c r="Z156" i="2" s="1"/>
  <c r="Z157" i="2" s="1"/>
  <c r="Z158" i="2" s="1"/>
  <c r="Z159" i="2" s="1"/>
  <c r="Z160" i="2" s="1"/>
  <c r="Z161" i="2" s="1"/>
  <c r="Z162" i="2" s="1"/>
  <c r="Z163" i="2" s="1"/>
  <c r="Z164" i="2" s="1"/>
  <c r="Z165" i="2" s="1"/>
  <c r="Z166" i="2" s="1"/>
  <c r="Z167" i="2" s="1"/>
  <c r="Z168" i="2" s="1"/>
  <c r="Z169" i="2" s="1"/>
  <c r="Z170" i="2" s="1"/>
  <c r="Z171" i="2" s="1"/>
  <c r="Z172" i="2" s="1"/>
  <c r="Z173" i="2" s="1"/>
  <c r="Z174" i="2" s="1"/>
  <c r="Z175" i="2" s="1"/>
  <c r="Z176" i="2" s="1"/>
  <c r="Z177" i="2" s="1"/>
  <c r="Z178" i="2" s="1"/>
  <c r="Z179" i="2" s="1"/>
  <c r="Z180" i="2" s="1"/>
  <c r="Z181" i="2" s="1"/>
  <c r="Z182" i="2" s="1"/>
  <c r="Z183" i="2" s="1"/>
  <c r="S126" i="2"/>
  <c r="T126" i="2" s="1"/>
  <c r="O126" i="2"/>
  <c r="K126" i="2"/>
  <c r="Z125" i="2"/>
  <c r="T125" i="2"/>
  <c r="S125" i="2"/>
  <c r="O125" i="2"/>
  <c r="K125" i="2"/>
  <c r="Z124" i="2"/>
  <c r="T124" i="2"/>
  <c r="S124" i="2"/>
  <c r="O124" i="2"/>
  <c r="K124" i="2"/>
  <c r="R123" i="2"/>
  <c r="S123" i="2" s="1"/>
  <c r="T123" i="2" s="1"/>
  <c r="O123" i="2"/>
  <c r="R122" i="2"/>
  <c r="S122" i="2" s="1"/>
  <c r="T122" i="2" s="1"/>
  <c r="O122" i="2"/>
  <c r="R121" i="2"/>
  <c r="S121" i="2" s="1"/>
  <c r="T121" i="2" s="1"/>
  <c r="O121" i="2"/>
  <c r="R120" i="2"/>
  <c r="S120" i="2" s="1"/>
  <c r="T120" i="2" s="1"/>
  <c r="O120" i="2"/>
  <c r="R119" i="2"/>
  <c r="S119" i="2" s="1"/>
  <c r="T119" i="2" s="1"/>
  <c r="O119" i="2"/>
  <c r="R118" i="2"/>
  <c r="S118" i="2" s="1"/>
  <c r="T118" i="2" s="1"/>
  <c r="O118" i="2"/>
  <c r="R117" i="2"/>
  <c r="S117" i="2" s="1"/>
  <c r="T117" i="2" s="1"/>
  <c r="O117" i="2"/>
  <c r="R116" i="2"/>
  <c r="S116" i="2" s="1"/>
  <c r="T116" i="2" s="1"/>
  <c r="O116" i="2"/>
  <c r="R115" i="2"/>
  <c r="S115" i="2" s="1"/>
  <c r="T115" i="2" s="1"/>
  <c r="O115" i="2"/>
  <c r="T114" i="2"/>
  <c r="R114" i="2"/>
  <c r="S114" i="2" s="1"/>
  <c r="O114" i="2"/>
  <c r="T113" i="2"/>
  <c r="R113" i="2"/>
  <c r="S113" i="2" s="1"/>
  <c r="O113" i="2"/>
  <c r="T112" i="2"/>
  <c r="R112" i="2"/>
  <c r="S112" i="2" s="1"/>
  <c r="O112" i="2"/>
  <c r="T111" i="2"/>
  <c r="R111" i="2"/>
  <c r="S111" i="2" s="1"/>
  <c r="O111" i="2"/>
  <c r="T110" i="2"/>
  <c r="R110" i="2"/>
  <c r="S110" i="2" s="1"/>
  <c r="O110" i="2"/>
  <c r="T109" i="2"/>
  <c r="R109" i="2"/>
  <c r="S109" i="2" s="1"/>
  <c r="O109" i="2"/>
  <c r="T108" i="2"/>
  <c r="R108" i="2"/>
  <c r="S108" i="2" s="1"/>
  <c r="O108" i="2"/>
  <c r="T107" i="2"/>
  <c r="R107" i="2"/>
  <c r="S107" i="2" s="1"/>
  <c r="O107" i="2"/>
  <c r="T106" i="2"/>
  <c r="R106" i="2"/>
  <c r="S106" i="2" s="1"/>
  <c r="O106" i="2"/>
  <c r="T105" i="2"/>
  <c r="R105" i="2"/>
  <c r="S105" i="2" s="1"/>
  <c r="O105" i="2"/>
  <c r="T104" i="2"/>
  <c r="R104" i="2"/>
  <c r="S104" i="2" s="1"/>
  <c r="O104" i="2"/>
  <c r="R103" i="2"/>
  <c r="S103" i="2" s="1"/>
  <c r="T103" i="2" s="1"/>
  <c r="O103" i="2"/>
  <c r="T102" i="2"/>
  <c r="R102" i="2"/>
  <c r="S102" i="2" s="1"/>
  <c r="O102" i="2"/>
  <c r="T101" i="2"/>
  <c r="R101" i="2"/>
  <c r="S101" i="2" s="1"/>
  <c r="O101" i="2"/>
  <c r="T100" i="2"/>
  <c r="R100" i="2"/>
  <c r="S100" i="2" s="1"/>
  <c r="O100" i="2"/>
  <c r="R99" i="2"/>
  <c r="S99" i="2" s="1"/>
  <c r="T99" i="2" s="1"/>
  <c r="O99" i="2"/>
  <c r="T98" i="2"/>
  <c r="R98" i="2"/>
  <c r="S98" i="2" s="1"/>
  <c r="O98" i="2"/>
  <c r="T97" i="2"/>
  <c r="R97" i="2"/>
  <c r="S97" i="2" s="1"/>
  <c r="O97" i="2"/>
  <c r="T96" i="2"/>
  <c r="R96" i="2"/>
  <c r="S96" i="2" s="1"/>
  <c r="O96" i="2"/>
  <c r="R95" i="2"/>
  <c r="S95" i="2" s="1"/>
  <c r="T95" i="2" s="1"/>
  <c r="O95" i="2"/>
  <c r="T94" i="2"/>
  <c r="R94" i="2"/>
  <c r="S94" i="2" s="1"/>
  <c r="O94" i="2"/>
  <c r="T93" i="2"/>
  <c r="R93" i="2"/>
  <c r="S93" i="2" s="1"/>
  <c r="O93" i="2"/>
  <c r="T92" i="2"/>
  <c r="R92" i="2"/>
  <c r="S92" i="2" s="1"/>
  <c r="O92" i="2"/>
  <c r="R91" i="2"/>
  <c r="S91" i="2" s="1"/>
  <c r="T91" i="2" s="1"/>
  <c r="O91" i="2"/>
  <c r="T90" i="2"/>
  <c r="R90" i="2"/>
  <c r="S90" i="2" s="1"/>
  <c r="O90" i="2"/>
  <c r="T89" i="2"/>
  <c r="R89" i="2"/>
  <c r="S89" i="2" s="1"/>
  <c r="O89" i="2"/>
  <c r="T88" i="2"/>
  <c r="R88" i="2"/>
  <c r="S88" i="2" s="1"/>
  <c r="O88" i="2"/>
  <c r="T87" i="2"/>
  <c r="R87" i="2"/>
  <c r="S87" i="2" s="1"/>
  <c r="O87" i="2"/>
  <c r="T86" i="2"/>
  <c r="R86" i="2"/>
  <c r="S86" i="2" s="1"/>
  <c r="O86" i="2"/>
  <c r="R85" i="2"/>
  <c r="S85" i="2" s="1"/>
  <c r="T85" i="2" s="1"/>
  <c r="O85" i="2"/>
  <c r="R84" i="2"/>
  <c r="S84" i="2" s="1"/>
  <c r="T84" i="2" s="1"/>
  <c r="O84" i="2"/>
  <c r="T83" i="2"/>
  <c r="R83" i="2"/>
  <c r="S83" i="2" s="1"/>
  <c r="O83" i="2"/>
  <c r="T82" i="2"/>
  <c r="R82" i="2"/>
  <c r="S82" i="2" s="1"/>
  <c r="O82" i="2"/>
  <c r="R81" i="2"/>
  <c r="S81" i="2" s="1"/>
  <c r="T81" i="2" s="1"/>
  <c r="O81" i="2"/>
  <c r="R80" i="2"/>
  <c r="S80" i="2" s="1"/>
  <c r="T80" i="2" s="1"/>
  <c r="O80" i="2"/>
  <c r="T79" i="2"/>
  <c r="R79" i="2"/>
  <c r="S79" i="2" s="1"/>
  <c r="O79" i="2"/>
  <c r="T78" i="2"/>
  <c r="R78" i="2"/>
  <c r="S78" i="2" s="1"/>
  <c r="O78" i="2"/>
  <c r="R77" i="2"/>
  <c r="S77" i="2" s="1"/>
  <c r="T77" i="2" s="1"/>
  <c r="O77" i="2"/>
  <c r="R76" i="2"/>
  <c r="S76" i="2" s="1"/>
  <c r="T76" i="2" s="1"/>
  <c r="O76" i="2"/>
  <c r="T75" i="2"/>
  <c r="R75" i="2"/>
  <c r="S75" i="2" s="1"/>
  <c r="O75" i="2"/>
  <c r="T74" i="2"/>
  <c r="R74" i="2"/>
  <c r="S74" i="2" s="1"/>
  <c r="O74" i="2"/>
  <c r="R73" i="2"/>
  <c r="S73" i="2" s="1"/>
  <c r="T73" i="2" s="1"/>
  <c r="O73" i="2"/>
  <c r="R72" i="2"/>
  <c r="S72" i="2" s="1"/>
  <c r="T72" i="2" s="1"/>
  <c r="O72" i="2"/>
  <c r="T71" i="2"/>
  <c r="R71" i="2"/>
  <c r="S71" i="2" s="1"/>
  <c r="O71" i="2"/>
  <c r="T70" i="2"/>
  <c r="R70" i="2"/>
  <c r="S70" i="2" s="1"/>
  <c r="O70" i="2"/>
  <c r="R69" i="2"/>
  <c r="S69" i="2" s="1"/>
  <c r="T69" i="2" s="1"/>
  <c r="O69" i="2"/>
  <c r="R68" i="2"/>
  <c r="S68" i="2" s="1"/>
  <c r="T68" i="2" s="1"/>
  <c r="O68" i="2"/>
  <c r="T67" i="2"/>
  <c r="R67" i="2"/>
  <c r="S67" i="2" s="1"/>
  <c r="O67" i="2"/>
  <c r="T66" i="2"/>
  <c r="R66" i="2"/>
  <c r="S66" i="2" s="1"/>
  <c r="O66" i="2"/>
  <c r="R65" i="2"/>
  <c r="S65" i="2" s="1"/>
  <c r="T65" i="2" s="1"/>
  <c r="P65" i="2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O65" i="2"/>
  <c r="R64" i="2"/>
  <c r="S64" i="2" s="1"/>
  <c r="T64" i="2" s="1"/>
  <c r="O64" i="2"/>
  <c r="S63" i="2"/>
  <c r="T63" i="2" s="1"/>
  <c r="R63" i="2"/>
  <c r="O63" i="2"/>
  <c r="T62" i="2"/>
  <c r="R62" i="2"/>
  <c r="S62" i="2" s="1"/>
  <c r="O62" i="2"/>
  <c r="S61" i="2"/>
  <c r="T61" i="2" s="1"/>
  <c r="R61" i="2"/>
  <c r="O61" i="2"/>
  <c r="T60" i="2"/>
  <c r="R60" i="2"/>
  <c r="S60" i="2" s="1"/>
  <c r="O60" i="2"/>
  <c r="T59" i="2"/>
  <c r="R59" i="2"/>
  <c r="S59" i="2" s="1"/>
  <c r="O59" i="2"/>
  <c r="R58" i="2"/>
  <c r="S58" i="2" s="1"/>
  <c r="T58" i="2" s="1"/>
  <c r="O58" i="2"/>
  <c r="R57" i="2"/>
  <c r="S57" i="2" s="1"/>
  <c r="T57" i="2" s="1"/>
  <c r="O57" i="2"/>
  <c r="T56" i="2"/>
  <c r="R56" i="2"/>
  <c r="S56" i="2" s="1"/>
  <c r="O56" i="2"/>
  <c r="T55" i="2"/>
  <c r="R55" i="2"/>
  <c r="S55" i="2" s="1"/>
  <c r="O55" i="2"/>
  <c r="R54" i="2"/>
  <c r="S54" i="2" s="1"/>
  <c r="T54" i="2" s="1"/>
  <c r="O54" i="2"/>
  <c r="R53" i="2"/>
  <c r="S53" i="2" s="1"/>
  <c r="T53" i="2" s="1"/>
  <c r="O53" i="2"/>
  <c r="T52" i="2"/>
  <c r="R52" i="2"/>
  <c r="S52" i="2" s="1"/>
  <c r="O52" i="2"/>
  <c r="S51" i="2"/>
  <c r="T51" i="2" s="1"/>
  <c r="R51" i="2"/>
  <c r="P51" i="2"/>
  <c r="P52" i="2" s="1"/>
  <c r="P53" i="2" s="1"/>
  <c r="P54" i="2" s="1"/>
  <c r="P55" i="2" s="1"/>
  <c r="P56" i="2" s="1"/>
  <c r="P57" i="2" s="1"/>
  <c r="P58" i="2" s="1"/>
  <c r="P59" i="2" s="1"/>
  <c r="P60" i="2" s="1"/>
  <c r="O51" i="2"/>
  <c r="S50" i="2"/>
  <c r="T50" i="2" s="1"/>
  <c r="R50" i="2"/>
  <c r="P50" i="2"/>
  <c r="O50" i="2"/>
  <c r="T49" i="2"/>
  <c r="U49" i="2" s="1"/>
  <c r="R49" i="2"/>
  <c r="S49" i="2" s="1"/>
  <c r="O49" i="2"/>
  <c r="P49" i="2" s="1"/>
  <c r="S48" i="2"/>
  <c r="T48" i="2" s="1"/>
  <c r="R48" i="2"/>
  <c r="O48" i="2"/>
  <c r="R47" i="2"/>
  <c r="S47" i="2" s="1"/>
  <c r="T47" i="2" s="1"/>
  <c r="O47" i="2"/>
  <c r="L47" i="2"/>
  <c r="S46" i="2"/>
  <c r="T46" i="2" s="1"/>
  <c r="R46" i="2"/>
  <c r="O46" i="2"/>
  <c r="S45" i="2"/>
  <c r="T45" i="2" s="1"/>
  <c r="R45" i="2"/>
  <c r="O45" i="2"/>
  <c r="L45" i="2"/>
  <c r="T44" i="2"/>
  <c r="S44" i="2"/>
  <c r="O44" i="2"/>
  <c r="AB43" i="2"/>
  <c r="T43" i="2"/>
  <c r="S43" i="2"/>
  <c r="O43" i="2"/>
  <c r="L43" i="2"/>
  <c r="Y42" i="2"/>
  <c r="Y43" i="2" s="1"/>
  <c r="Y44" i="2" s="1"/>
  <c r="Y45" i="2" s="1"/>
  <c r="Y46" i="2" s="1"/>
  <c r="Y47" i="2" s="1"/>
  <c r="Y48" i="2" s="1"/>
  <c r="Y49" i="2" s="1"/>
  <c r="Y50" i="2" s="1"/>
  <c r="Y51" i="2" s="1"/>
  <c r="Y52" i="2" s="1"/>
  <c r="Y53" i="2" s="1"/>
  <c r="Y54" i="2" s="1"/>
  <c r="Y55" i="2" s="1"/>
  <c r="Y56" i="2" s="1"/>
  <c r="Y57" i="2" s="1"/>
  <c r="Y58" i="2" s="1"/>
  <c r="Y59" i="2" s="1"/>
  <c r="Y60" i="2" s="1"/>
  <c r="Y61" i="2" s="1"/>
  <c r="Y62" i="2" s="1"/>
  <c r="Y63" i="2" s="1"/>
  <c r="Y64" i="2" s="1"/>
  <c r="Y65" i="2" s="1"/>
  <c r="Y66" i="2" s="1"/>
  <c r="Y67" i="2" s="1"/>
  <c r="Y68" i="2" s="1"/>
  <c r="Y69" i="2" s="1"/>
  <c r="Y70" i="2" s="1"/>
  <c r="Y71" i="2" s="1"/>
  <c r="Y72" i="2" s="1"/>
  <c r="Y73" i="2" s="1"/>
  <c r="Y74" i="2" s="1"/>
  <c r="Y75" i="2" s="1"/>
  <c r="Y76" i="2" s="1"/>
  <c r="Y77" i="2" s="1"/>
  <c r="Y78" i="2" s="1"/>
  <c r="Y79" i="2" s="1"/>
  <c r="Y80" i="2" s="1"/>
  <c r="Y81" i="2" s="1"/>
  <c r="Y82" i="2" s="1"/>
  <c r="Y83" i="2" s="1"/>
  <c r="Y84" i="2" s="1"/>
  <c r="Y85" i="2" s="1"/>
  <c r="Y86" i="2" s="1"/>
  <c r="Y87" i="2" s="1"/>
  <c r="Y88" i="2" s="1"/>
  <c r="Y89" i="2" s="1"/>
  <c r="Y90" i="2" s="1"/>
  <c r="Y91" i="2" s="1"/>
  <c r="Y92" i="2" s="1"/>
  <c r="Y93" i="2" s="1"/>
  <c r="Y94" i="2" s="1"/>
  <c r="Y95" i="2" s="1"/>
  <c r="Y96" i="2" s="1"/>
  <c r="Y97" i="2" s="1"/>
  <c r="Y98" i="2" s="1"/>
  <c r="Y99" i="2" s="1"/>
  <c r="Y100" i="2" s="1"/>
  <c r="Y101" i="2" s="1"/>
  <c r="Y102" i="2" s="1"/>
  <c r="Y103" i="2" s="1"/>
  <c r="Y104" i="2" s="1"/>
  <c r="Y105" i="2" s="1"/>
  <c r="Y106" i="2" s="1"/>
  <c r="Y107" i="2" s="1"/>
  <c r="Y108" i="2" s="1"/>
  <c r="Y109" i="2" s="1"/>
  <c r="Y110" i="2" s="1"/>
  <c r="Y111" i="2" s="1"/>
  <c r="Y112" i="2" s="1"/>
  <c r="Y113" i="2" s="1"/>
  <c r="Y114" i="2" s="1"/>
  <c r="Y115" i="2" s="1"/>
  <c r="Y116" i="2" s="1"/>
  <c r="Y117" i="2" s="1"/>
  <c r="Y118" i="2" s="1"/>
  <c r="Y119" i="2" s="1"/>
  <c r="Y120" i="2" s="1"/>
  <c r="Y121" i="2" s="1"/>
  <c r="Y122" i="2" s="1"/>
  <c r="Y123" i="2" s="1"/>
  <c r="Y124" i="2" s="1"/>
  <c r="Y125" i="2" s="1"/>
  <c r="Y126" i="2" s="1"/>
  <c r="Y127" i="2" s="1"/>
  <c r="Y128" i="2" s="1"/>
  <c r="Y129" i="2" s="1"/>
  <c r="Y130" i="2" s="1"/>
  <c r="Y131" i="2" s="1"/>
  <c r="Y132" i="2" s="1"/>
  <c r="Y133" i="2" s="1"/>
  <c r="Y134" i="2" s="1"/>
  <c r="Y135" i="2" s="1"/>
  <c r="Y136" i="2" s="1"/>
  <c r="Y137" i="2" s="1"/>
  <c r="Y138" i="2" s="1"/>
  <c r="Y139" i="2" s="1"/>
  <c r="Y140" i="2" s="1"/>
  <c r="Y141" i="2" s="1"/>
  <c r="Y142" i="2" s="1"/>
  <c r="Y143" i="2" s="1"/>
  <c r="Y144" i="2" s="1"/>
  <c r="Y145" i="2" s="1"/>
  <c r="Y146" i="2" s="1"/>
  <c r="Y147" i="2" s="1"/>
  <c r="Y148" i="2" s="1"/>
  <c r="Y149" i="2" s="1"/>
  <c r="Y150" i="2" s="1"/>
  <c r="Y151" i="2" s="1"/>
  <c r="Y152" i="2" s="1"/>
  <c r="Y153" i="2" s="1"/>
  <c r="Y154" i="2" s="1"/>
  <c r="Y155" i="2" s="1"/>
  <c r="Y156" i="2" s="1"/>
  <c r="Y157" i="2" s="1"/>
  <c r="Y158" i="2" s="1"/>
  <c r="Y159" i="2" s="1"/>
  <c r="Y160" i="2" s="1"/>
  <c r="Y161" i="2" s="1"/>
  <c r="Y162" i="2" s="1"/>
  <c r="Y163" i="2" s="1"/>
  <c r="Y164" i="2" s="1"/>
  <c r="Y165" i="2" s="1"/>
  <c r="Y166" i="2" s="1"/>
  <c r="Y167" i="2" s="1"/>
  <c r="Y168" i="2" s="1"/>
  <c r="Y169" i="2" s="1"/>
  <c r="Y170" i="2" s="1"/>
  <c r="Y171" i="2" s="1"/>
  <c r="Y172" i="2" s="1"/>
  <c r="Y173" i="2" s="1"/>
  <c r="Y174" i="2" s="1"/>
  <c r="Y175" i="2" s="1"/>
  <c r="Y176" i="2" s="1"/>
  <c r="Y177" i="2" s="1"/>
  <c r="Y178" i="2" s="1"/>
  <c r="Y179" i="2" s="1"/>
  <c r="Y180" i="2" s="1"/>
  <c r="Y181" i="2" s="1"/>
  <c r="Y182" i="2" s="1"/>
  <c r="Y183" i="2" s="1"/>
  <c r="Y184" i="2" s="1"/>
  <c r="Y185" i="2" s="1"/>
  <c r="Y186" i="2" s="1"/>
  <c r="Y187" i="2" s="1"/>
  <c r="Y188" i="2" s="1"/>
  <c r="Y189" i="2" s="1"/>
  <c r="Y190" i="2" s="1"/>
  <c r="Y191" i="2" s="1"/>
  <c r="Y192" i="2" s="1"/>
  <c r="Y193" i="2" s="1"/>
  <c r="Y194" i="2" s="1"/>
  <c r="Y195" i="2" s="1"/>
  <c r="Y196" i="2" s="1"/>
  <c r="Y197" i="2" s="1"/>
  <c r="Y198" i="2" s="1"/>
  <c r="Y199" i="2" s="1"/>
  <c r="Y200" i="2" s="1"/>
  <c r="Y201" i="2" s="1"/>
  <c r="Y202" i="2" s="1"/>
  <c r="Y203" i="2" s="1"/>
  <c r="Y204" i="2" s="1"/>
  <c r="Y205" i="2" s="1"/>
  <c r="Y206" i="2" s="1"/>
  <c r="Y207" i="2" s="1"/>
  <c r="Y208" i="2" s="1"/>
  <c r="Y209" i="2" s="1"/>
  <c r="Y210" i="2" s="1"/>
  <c r="Y211" i="2" s="1"/>
  <c r="Y212" i="2" s="1"/>
  <c r="Y213" i="2" s="1"/>
  <c r="Y214" i="2" s="1"/>
  <c r="Y215" i="2" s="1"/>
  <c r="Y216" i="2" s="1"/>
  <c r="Y217" i="2" s="1"/>
  <c r="Y218" i="2" s="1"/>
  <c r="Y219" i="2" s="1"/>
  <c r="Y220" i="2" s="1"/>
  <c r="Y221" i="2" s="1"/>
  <c r="Y222" i="2" s="1"/>
  <c r="Y223" i="2" s="1"/>
  <c r="Y224" i="2" s="1"/>
  <c r="Y225" i="2" s="1"/>
  <c r="Y226" i="2" s="1"/>
  <c r="Y227" i="2" s="1"/>
  <c r="Y228" i="2" s="1"/>
  <c r="Y229" i="2" s="1"/>
  <c r="Y230" i="2" s="1"/>
  <c r="Y231" i="2" s="1"/>
  <c r="Y232" i="2" s="1"/>
  <c r="Y233" i="2" s="1"/>
  <c r="Y234" i="2" s="1"/>
  <c r="Y235" i="2" s="1"/>
  <c r="Y236" i="2" s="1"/>
  <c r="Y237" i="2" s="1"/>
  <c r="Y238" i="2" s="1"/>
  <c r="Y239" i="2" s="1"/>
  <c r="Y240" i="2" s="1"/>
  <c r="Y241" i="2" s="1"/>
  <c r="Y242" i="2" s="1"/>
  <c r="Y243" i="2" s="1"/>
  <c r="Y244" i="2" s="1"/>
  <c r="Y245" i="2" s="1"/>
  <c r="Y246" i="2" s="1"/>
  <c r="Y247" i="2" s="1"/>
  <c r="Y248" i="2" s="1"/>
  <c r="Y249" i="2" s="1"/>
  <c r="Y250" i="2" s="1"/>
  <c r="Y251" i="2" s="1"/>
  <c r="Y252" i="2" s="1"/>
  <c r="Y253" i="2" s="1"/>
  <c r="Y254" i="2" s="1"/>
  <c r="Y255" i="2" s="1"/>
  <c r="Y256" i="2" s="1"/>
  <c r="Y257" i="2" s="1"/>
  <c r="Y258" i="2" s="1"/>
  <c r="Y259" i="2" s="1"/>
  <c r="Y260" i="2" s="1"/>
  <c r="Y261" i="2" s="1"/>
  <c r="Y262" i="2" s="1"/>
  <c r="Y263" i="2" s="1"/>
  <c r="Y264" i="2" s="1"/>
  <c r="Y265" i="2" s="1"/>
  <c r="Y266" i="2" s="1"/>
  <c r="Y267" i="2" s="1"/>
  <c r="Y268" i="2" s="1"/>
  <c r="Y269" i="2" s="1"/>
  <c r="Y270" i="2" s="1"/>
  <c r="Y271" i="2" s="1"/>
  <c r="Y272" i="2" s="1"/>
  <c r="Y273" i="2" s="1"/>
  <c r="Y274" i="2" s="1"/>
  <c r="Y275" i="2" s="1"/>
  <c r="Y276" i="2" s="1"/>
  <c r="Y277" i="2" s="1"/>
  <c r="Y278" i="2" s="1"/>
  <c r="Y279" i="2" s="1"/>
  <c r="Y280" i="2" s="1"/>
  <c r="Y281" i="2" s="1"/>
  <c r="Y282" i="2" s="1"/>
  <c r="Y283" i="2" s="1"/>
  <c r="Y284" i="2" s="1"/>
  <c r="Y285" i="2" s="1"/>
  <c r="Y286" i="2" s="1"/>
  <c r="Y287" i="2" s="1"/>
  <c r="Y288" i="2" s="1"/>
  <c r="Y289" i="2" s="1"/>
  <c r="Y290" i="2" s="1"/>
  <c r="Y291" i="2" s="1"/>
  <c r="Y292" i="2" s="1"/>
  <c r="Y293" i="2" s="1"/>
  <c r="Y294" i="2" s="1"/>
  <c r="Y295" i="2" s="1"/>
  <c r="Y296" i="2" s="1"/>
  <c r="Y297" i="2" s="1"/>
  <c r="Y298" i="2" s="1"/>
  <c r="Y299" i="2" s="1"/>
  <c r="Y300" i="2" s="1"/>
  <c r="Y301" i="2" s="1"/>
  <c r="Y302" i="2" s="1"/>
  <c r="Y303" i="2" s="1"/>
  <c r="Y304" i="2" s="1"/>
  <c r="Y305" i="2" s="1"/>
  <c r="Y306" i="2" s="1"/>
  <c r="Y307" i="2" s="1"/>
  <c r="Y308" i="2" s="1"/>
  <c r="Y309" i="2" s="1"/>
  <c r="Y310" i="2" s="1"/>
  <c r="Y311" i="2" s="1"/>
  <c r="Y312" i="2" s="1"/>
  <c r="Y313" i="2" s="1"/>
  <c r="Y314" i="2" s="1"/>
  <c r="Y315" i="2" s="1"/>
  <c r="Y316" i="2" s="1"/>
  <c r="Y317" i="2" s="1"/>
  <c r="Y318" i="2" s="1"/>
  <c r="Y319" i="2" s="1"/>
  <c r="Y320" i="2" s="1"/>
  <c r="Y321" i="2" s="1"/>
  <c r="Y322" i="2" s="1"/>
  <c r="Y323" i="2" s="1"/>
  <c r="Y324" i="2" s="1"/>
  <c r="Y325" i="2" s="1"/>
  <c r="Y326" i="2" s="1"/>
  <c r="Y327" i="2" s="1"/>
  <c r="Y328" i="2" s="1"/>
  <c r="Y329" i="2" s="1"/>
  <c r="Y330" i="2" s="1"/>
  <c r="Y331" i="2" s="1"/>
  <c r="Y332" i="2" s="1"/>
  <c r="Y333" i="2" s="1"/>
  <c r="Y334" i="2" s="1"/>
  <c r="Y335" i="2" s="1"/>
  <c r="Y336" i="2" s="1"/>
  <c r="Y337" i="2" s="1"/>
  <c r="Y338" i="2" s="1"/>
  <c r="Y339" i="2" s="1"/>
  <c r="Y340" i="2" s="1"/>
  <c r="Y341" i="2" s="1"/>
  <c r="Y342" i="2" s="1"/>
  <c r="T42" i="2"/>
  <c r="S42" i="2"/>
  <c r="O42" i="2"/>
  <c r="Y41" i="2"/>
  <c r="S41" i="2"/>
  <c r="T41" i="2" s="1"/>
  <c r="O41" i="2"/>
  <c r="J41" i="2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Y40" i="2"/>
  <c r="T40" i="2"/>
  <c r="S40" i="2"/>
  <c r="O40" i="2"/>
  <c r="J40" i="2"/>
  <c r="V38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P7" i="2"/>
  <c r="P8" i="2" s="1"/>
  <c r="O7" i="2"/>
  <c r="O6" i="2"/>
  <c r="O5" i="2"/>
  <c r="O4" i="2"/>
  <c r="O3" i="2"/>
  <c r="Z268" i="2" l="1"/>
  <c r="Z269" i="2" s="1"/>
  <c r="Z270" i="2" s="1"/>
  <c r="Z271" i="2" s="1"/>
  <c r="Z272" i="2" s="1"/>
  <c r="Z273" i="2" s="1"/>
  <c r="Z274" i="2" s="1"/>
  <c r="Z275" i="2" s="1"/>
  <c r="Z276" i="2" s="1"/>
  <c r="Z277" i="2" s="1"/>
  <c r="Z278" i="2" s="1"/>
  <c r="Z279" i="2" s="1"/>
  <c r="Z280" i="2" s="1"/>
  <c r="Z281" i="2" s="1"/>
  <c r="Z282" i="2" s="1"/>
  <c r="Z283" i="2" s="1"/>
  <c r="Z284" i="2" s="1"/>
  <c r="Z285" i="2" s="1"/>
  <c r="Z286" i="2" s="1"/>
  <c r="Z287" i="2" s="1"/>
  <c r="Z288" i="2" s="1"/>
  <c r="Z289" i="2" s="1"/>
  <c r="Z290" i="2" s="1"/>
  <c r="Z291" i="2" s="1"/>
  <c r="Z292" i="2" s="1"/>
  <c r="Z293" i="2" s="1"/>
  <c r="Z294" i="2" s="1"/>
  <c r="Z296" i="2" s="1"/>
  <c r="Z297" i="2" s="1"/>
  <c r="Z298" i="2" s="1"/>
  <c r="Z299" i="2" s="1"/>
  <c r="Z300" i="2" s="1"/>
  <c r="Z301" i="2" s="1"/>
  <c r="Z302" i="2" s="1"/>
  <c r="Z303" i="2" s="1"/>
  <c r="Z304" i="2" s="1"/>
  <c r="Z305" i="2" s="1"/>
  <c r="Z306" i="2" s="1"/>
  <c r="Z307" i="2" s="1"/>
  <c r="Z308" i="2" s="1"/>
  <c r="Z309" i="2" s="1"/>
  <c r="Z310" i="2" s="1"/>
  <c r="Z311" i="2" s="1"/>
  <c r="Z313" i="2" s="1"/>
  <c r="Z314" i="2" s="1"/>
  <c r="Z315" i="2" s="1"/>
  <c r="Z316" i="2" s="1"/>
  <c r="Z317" i="2" s="1"/>
  <c r="Z318" i="2" s="1"/>
  <c r="Z319" i="2" s="1"/>
  <c r="Z320" i="2" s="1"/>
  <c r="Z321" i="2" s="1"/>
  <c r="Z322" i="2" s="1"/>
  <c r="Z323" i="2" s="1"/>
  <c r="Z324" i="2" s="1"/>
  <c r="Z325" i="2" s="1"/>
  <c r="Z326" i="2" s="1"/>
  <c r="Z327" i="2" s="1"/>
  <c r="Z328" i="2" s="1"/>
  <c r="Z329" i="2" s="1"/>
  <c r="Z330" i="2" s="1"/>
  <c r="Z331" i="2" s="1"/>
  <c r="Z332" i="2" s="1"/>
  <c r="Z333" i="2" s="1"/>
  <c r="Z334" i="2" s="1"/>
  <c r="Z335" i="2" s="1"/>
  <c r="Z336" i="2" s="1"/>
  <c r="Z337" i="2" s="1"/>
  <c r="Z338" i="2" s="1"/>
  <c r="Z339" i="2" s="1"/>
  <c r="Z340" i="2" s="1"/>
  <c r="Z341" i="2" s="1"/>
  <c r="Z342" i="2" s="1"/>
  <c r="K268" i="2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Z270" i="1"/>
  <c r="Z271" i="1" s="1"/>
  <c r="Z272" i="1" s="1"/>
  <c r="Z273" i="1" s="1"/>
  <c r="Z274" i="1" s="1"/>
  <c r="Z275" i="1" s="1"/>
  <c r="Z276" i="1" s="1"/>
  <c r="Z277" i="1" s="1"/>
  <c r="Z278" i="1" s="1"/>
  <c r="Z279" i="1" s="1"/>
  <c r="Z280" i="1" s="1"/>
  <c r="Z281" i="1" s="1"/>
  <c r="Z282" i="1" s="1"/>
  <c r="Z283" i="1" s="1"/>
  <c r="Z284" i="1" s="1"/>
  <c r="Z285" i="1" s="1"/>
  <c r="Z286" i="1" s="1"/>
  <c r="Z287" i="1" s="1"/>
  <c r="Z288" i="1" s="1"/>
  <c r="Z289" i="1" s="1"/>
  <c r="Z290" i="1" s="1"/>
  <c r="Z291" i="1" s="1"/>
  <c r="Z292" i="1" s="1"/>
  <c r="Z293" i="1" s="1"/>
  <c r="Z294" i="1" s="1"/>
  <c r="Z296" i="1" s="1"/>
  <c r="Z297" i="1" s="1"/>
  <c r="Z298" i="1" s="1"/>
  <c r="Z299" i="1" s="1"/>
  <c r="Z300" i="1" s="1"/>
  <c r="Z301" i="1" s="1"/>
  <c r="Z302" i="1" s="1"/>
  <c r="Z303" i="1" s="1"/>
  <c r="Z304" i="1" s="1"/>
  <c r="Z305" i="1" s="1"/>
  <c r="Z306" i="1" s="1"/>
  <c r="Z307" i="1" s="1"/>
  <c r="Z308" i="1" s="1"/>
  <c r="Z309" i="1" s="1"/>
  <c r="Z310" i="1" s="1"/>
  <c r="Z311" i="1" s="1"/>
  <c r="Z313" i="1" s="1"/>
  <c r="Z314" i="1" s="1"/>
  <c r="Z315" i="1" s="1"/>
  <c r="Z316" i="1" s="1"/>
  <c r="Z317" i="1" s="1"/>
  <c r="Z318" i="1" s="1"/>
  <c r="Z319" i="1" s="1"/>
  <c r="Z320" i="1" s="1"/>
  <c r="Z321" i="1" s="1"/>
  <c r="Z322" i="1" s="1"/>
  <c r="Z323" i="1" s="1"/>
  <c r="Z324" i="1" s="1"/>
  <c r="Z325" i="1" s="1"/>
  <c r="Z326" i="1" s="1"/>
  <c r="Z327" i="1" s="1"/>
  <c r="Z328" i="1" s="1"/>
  <c r="Z329" i="1" s="1"/>
  <c r="Z330" i="1" s="1"/>
  <c r="Z331" i="1" s="1"/>
  <c r="Z332" i="1" s="1"/>
  <c r="Z333" i="1" s="1"/>
  <c r="Z334" i="1" s="1"/>
  <c r="Z335" i="1" s="1"/>
  <c r="Z336" i="1" s="1"/>
  <c r="Z337" i="1" s="1"/>
  <c r="Z338" i="1" s="1"/>
  <c r="Z339" i="1" s="1"/>
  <c r="Z340" i="1" s="1"/>
  <c r="Z341" i="1" s="1"/>
  <c r="Z342" i="1" s="1"/>
  <c r="K270" i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U50" i="2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l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V47" i="2"/>
  <c r="V49" i="2"/>
  <c r="V133" i="1"/>
  <c r="V131" i="1"/>
  <c r="V129" i="1"/>
  <c r="V49" i="1"/>
  <c r="V47" i="1"/>
  <c r="V38" i="1"/>
  <c r="U50" i="1"/>
  <c r="U51" i="1"/>
  <c r="U52" i="1" s="1"/>
  <c r="U53" i="1" s="1"/>
  <c r="U54" i="1" s="1"/>
  <c r="U55" i="1" s="1"/>
  <c r="U56" i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49" i="1"/>
  <c r="V131" i="2" l="1"/>
  <c r="V129" i="2"/>
  <c r="V133" i="2"/>
  <c r="Z184" i="1"/>
  <c r="Z126" i="1"/>
  <c r="Z127" i="1"/>
  <c r="Z128" i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3" i="1" s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Z174" i="1" s="1"/>
  <c r="Z175" i="1" s="1"/>
  <c r="Z176" i="1" s="1"/>
  <c r="Z177" i="1" s="1"/>
  <c r="Z178" i="1" s="1"/>
  <c r="Z179" i="1" s="1"/>
  <c r="Z180" i="1" s="1"/>
  <c r="Z181" i="1" s="1"/>
  <c r="Z182" i="1" s="1"/>
  <c r="Z183" i="1" s="1"/>
  <c r="Z125" i="1"/>
  <c r="Z124" i="1"/>
  <c r="Y42" i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Y123" i="1" s="1"/>
  <c r="Y124" i="1" s="1"/>
  <c r="Y125" i="1" s="1"/>
  <c r="Y126" i="1" s="1"/>
  <c r="Y127" i="1" s="1"/>
  <c r="Y128" i="1" s="1"/>
  <c r="Y129" i="1" s="1"/>
  <c r="Y130" i="1" s="1"/>
  <c r="Y131" i="1" s="1"/>
  <c r="Y132" i="1" s="1"/>
  <c r="Y133" i="1" s="1"/>
  <c r="Y134" i="1" s="1"/>
  <c r="Y135" i="1" s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Y147" i="1" s="1"/>
  <c r="Y148" i="1" s="1"/>
  <c r="Y149" i="1" s="1"/>
  <c r="Y150" i="1" s="1"/>
  <c r="Y151" i="1" s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Y165" i="1" s="1"/>
  <c r="Y166" i="1" s="1"/>
  <c r="Y167" i="1" s="1"/>
  <c r="Y168" i="1" s="1"/>
  <c r="Y169" i="1" s="1"/>
  <c r="Y170" i="1" s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5" i="1" s="1"/>
  <c r="Y186" i="1" s="1"/>
  <c r="Y187" i="1" s="1"/>
  <c r="Y188" i="1" s="1"/>
  <c r="Y189" i="1" s="1"/>
  <c r="Y190" i="1" s="1"/>
  <c r="Y191" i="1" s="1"/>
  <c r="Y192" i="1" s="1"/>
  <c r="Y193" i="1" s="1"/>
  <c r="Y194" i="1" s="1"/>
  <c r="Y195" i="1" s="1"/>
  <c r="Y196" i="1" s="1"/>
  <c r="Y197" i="1" s="1"/>
  <c r="Y198" i="1" s="1"/>
  <c r="Y199" i="1" s="1"/>
  <c r="Y200" i="1" s="1"/>
  <c r="Y201" i="1" s="1"/>
  <c r="Y202" i="1" s="1"/>
  <c r="Y203" i="1" s="1"/>
  <c r="Y204" i="1" s="1"/>
  <c r="Y205" i="1" s="1"/>
  <c r="Y206" i="1" s="1"/>
  <c r="Y207" i="1" s="1"/>
  <c r="Y208" i="1" s="1"/>
  <c r="Y209" i="1" s="1"/>
  <c r="Y210" i="1" s="1"/>
  <c r="Y211" i="1" s="1"/>
  <c r="Y212" i="1" s="1"/>
  <c r="Y213" i="1" s="1"/>
  <c r="Y214" i="1" s="1"/>
  <c r="Y215" i="1" s="1"/>
  <c r="Y216" i="1" s="1"/>
  <c r="Y217" i="1" s="1"/>
  <c r="Y218" i="1" s="1"/>
  <c r="Y219" i="1" s="1"/>
  <c r="Y220" i="1" s="1"/>
  <c r="Y221" i="1" s="1"/>
  <c r="Y222" i="1" s="1"/>
  <c r="Y223" i="1" s="1"/>
  <c r="Y224" i="1" s="1"/>
  <c r="Y225" i="1" s="1"/>
  <c r="Y226" i="1" s="1"/>
  <c r="Y227" i="1" s="1"/>
  <c r="Y228" i="1" s="1"/>
  <c r="Y229" i="1" s="1"/>
  <c r="Y230" i="1" s="1"/>
  <c r="Y231" i="1" s="1"/>
  <c r="Y232" i="1" s="1"/>
  <c r="Y233" i="1" s="1"/>
  <c r="Y234" i="1" s="1"/>
  <c r="Y235" i="1" s="1"/>
  <c r="Y236" i="1" s="1"/>
  <c r="Y237" i="1" s="1"/>
  <c r="Y238" i="1" s="1"/>
  <c r="Y239" i="1" s="1"/>
  <c r="Y240" i="1" s="1"/>
  <c r="Y241" i="1" s="1"/>
  <c r="Y242" i="1" s="1"/>
  <c r="Y243" i="1" s="1"/>
  <c r="Y244" i="1" s="1"/>
  <c r="Y245" i="1" s="1"/>
  <c r="Y246" i="1" s="1"/>
  <c r="Y247" i="1" s="1"/>
  <c r="Y248" i="1" s="1"/>
  <c r="Y249" i="1" s="1"/>
  <c r="Y250" i="1" s="1"/>
  <c r="Y251" i="1" s="1"/>
  <c r="Y252" i="1" s="1"/>
  <c r="Y253" i="1" s="1"/>
  <c r="Y254" i="1" s="1"/>
  <c r="Y255" i="1" s="1"/>
  <c r="Y256" i="1" s="1"/>
  <c r="Y257" i="1" s="1"/>
  <c r="Y258" i="1" s="1"/>
  <c r="Y259" i="1" s="1"/>
  <c r="Y260" i="1" s="1"/>
  <c r="Y261" i="1" s="1"/>
  <c r="Y262" i="1" s="1"/>
  <c r="Y263" i="1" s="1"/>
  <c r="Y264" i="1" s="1"/>
  <c r="Y265" i="1" s="1"/>
  <c r="Y266" i="1" s="1"/>
  <c r="Y267" i="1" s="1"/>
  <c r="Y268" i="1" s="1"/>
  <c r="Y269" i="1" s="1"/>
  <c r="Y270" i="1" s="1"/>
  <c r="Y271" i="1" s="1"/>
  <c r="Y272" i="1" s="1"/>
  <c r="Y273" i="1" s="1"/>
  <c r="Y274" i="1" s="1"/>
  <c r="Y275" i="1" s="1"/>
  <c r="Y276" i="1" s="1"/>
  <c r="Y277" i="1" s="1"/>
  <c r="Y278" i="1" s="1"/>
  <c r="Y279" i="1" s="1"/>
  <c r="Y280" i="1" s="1"/>
  <c r="Y281" i="1" s="1"/>
  <c r="Y282" i="1" s="1"/>
  <c r="Y283" i="1" s="1"/>
  <c r="Y284" i="1" s="1"/>
  <c r="Y285" i="1" s="1"/>
  <c r="Y286" i="1" s="1"/>
  <c r="Y287" i="1" s="1"/>
  <c r="Y288" i="1" s="1"/>
  <c r="Y289" i="1" s="1"/>
  <c r="Y290" i="1" s="1"/>
  <c r="Y291" i="1" s="1"/>
  <c r="Y292" i="1" s="1"/>
  <c r="Y293" i="1" s="1"/>
  <c r="Y294" i="1" s="1"/>
  <c r="Y295" i="1" s="1"/>
  <c r="Y296" i="1" s="1"/>
  <c r="Y297" i="1" s="1"/>
  <c r="Y298" i="1" s="1"/>
  <c r="Y299" i="1" s="1"/>
  <c r="Y300" i="1" s="1"/>
  <c r="Y301" i="1" s="1"/>
  <c r="Y302" i="1" s="1"/>
  <c r="Y303" i="1" s="1"/>
  <c r="Y304" i="1" s="1"/>
  <c r="Y305" i="1" s="1"/>
  <c r="Y306" i="1" s="1"/>
  <c r="Y307" i="1" s="1"/>
  <c r="Y308" i="1" s="1"/>
  <c r="Y309" i="1" s="1"/>
  <c r="Y310" i="1" s="1"/>
  <c r="Y311" i="1" s="1"/>
  <c r="Y312" i="1" s="1"/>
  <c r="Y313" i="1" s="1"/>
  <c r="Y314" i="1" s="1"/>
  <c r="Y315" i="1" s="1"/>
  <c r="Y316" i="1" s="1"/>
  <c r="Y317" i="1" s="1"/>
  <c r="Y318" i="1" s="1"/>
  <c r="Y319" i="1" s="1"/>
  <c r="Y320" i="1" s="1"/>
  <c r="Y321" i="1" s="1"/>
  <c r="Y322" i="1" s="1"/>
  <c r="Y323" i="1" s="1"/>
  <c r="Y324" i="1" s="1"/>
  <c r="Y325" i="1" s="1"/>
  <c r="Y326" i="1" s="1"/>
  <c r="Y327" i="1" s="1"/>
  <c r="Y328" i="1" s="1"/>
  <c r="Y329" i="1" s="1"/>
  <c r="Y330" i="1" s="1"/>
  <c r="Y331" i="1" s="1"/>
  <c r="Y332" i="1" s="1"/>
  <c r="Y333" i="1" s="1"/>
  <c r="Y334" i="1" s="1"/>
  <c r="Y335" i="1" s="1"/>
  <c r="Y336" i="1" s="1"/>
  <c r="Y337" i="1" s="1"/>
  <c r="Y338" i="1" s="1"/>
  <c r="Y339" i="1" s="1"/>
  <c r="Y340" i="1" s="1"/>
  <c r="Y341" i="1" s="1"/>
  <c r="Y342" i="1" s="1"/>
  <c r="Y41" i="1"/>
  <c r="Y40" i="1"/>
  <c r="AB43" i="1"/>
  <c r="AB127" i="1"/>
  <c r="AB187" i="1"/>
  <c r="AB251" i="1"/>
  <c r="AB272" i="1"/>
  <c r="AB298" i="1"/>
  <c r="AB315" i="1"/>
  <c r="S298" i="1"/>
  <c r="T298" i="1" s="1"/>
  <c r="S306" i="1"/>
  <c r="T306" i="1" s="1"/>
  <c r="S314" i="1"/>
  <c r="T314" i="1" s="1"/>
  <c r="S322" i="1"/>
  <c r="T322" i="1" s="1"/>
  <c r="S330" i="1"/>
  <c r="T330" i="1" s="1"/>
  <c r="S338" i="1"/>
  <c r="T338" i="1" s="1"/>
  <c r="S296" i="1"/>
  <c r="T296" i="1" s="1"/>
  <c r="S192" i="1"/>
  <c r="T192" i="1" s="1"/>
  <c r="S200" i="1"/>
  <c r="T200" i="1" s="1"/>
  <c r="S201" i="1"/>
  <c r="T201" i="1" s="1"/>
  <c r="S208" i="1"/>
  <c r="T208" i="1" s="1"/>
  <c r="S209" i="1"/>
  <c r="T209" i="1" s="1"/>
  <c r="S216" i="1"/>
  <c r="T216" i="1" s="1"/>
  <c r="S217" i="1"/>
  <c r="T217" i="1" s="1"/>
  <c r="S224" i="1"/>
  <c r="T224" i="1" s="1"/>
  <c r="S225" i="1"/>
  <c r="T225" i="1" s="1"/>
  <c r="S232" i="1"/>
  <c r="T232" i="1" s="1"/>
  <c r="S233" i="1"/>
  <c r="T233" i="1" s="1"/>
  <c r="S237" i="1"/>
  <c r="T237" i="1" s="1"/>
  <c r="S240" i="1"/>
  <c r="T240" i="1" s="1"/>
  <c r="S241" i="1"/>
  <c r="T241" i="1" s="1"/>
  <c r="S245" i="1"/>
  <c r="T245" i="1" s="1"/>
  <c r="S248" i="1"/>
  <c r="T248" i="1" s="1"/>
  <c r="R46" i="1"/>
  <c r="R47" i="1"/>
  <c r="S47" i="1" s="1"/>
  <c r="T47" i="1" s="1"/>
  <c r="R48" i="1"/>
  <c r="S48" i="1" s="1"/>
  <c r="T48" i="1" s="1"/>
  <c r="R49" i="1"/>
  <c r="R50" i="1"/>
  <c r="S50" i="1" s="1"/>
  <c r="T50" i="1" s="1"/>
  <c r="R51" i="1"/>
  <c r="R52" i="1"/>
  <c r="R53" i="1"/>
  <c r="R54" i="1"/>
  <c r="R55" i="1"/>
  <c r="S55" i="1" s="1"/>
  <c r="T55" i="1" s="1"/>
  <c r="R56" i="1"/>
  <c r="S56" i="1" s="1"/>
  <c r="T56" i="1" s="1"/>
  <c r="R57" i="1"/>
  <c r="R58" i="1"/>
  <c r="S58" i="1" s="1"/>
  <c r="T58" i="1" s="1"/>
  <c r="R59" i="1"/>
  <c r="R60" i="1"/>
  <c r="R61" i="1"/>
  <c r="R62" i="1"/>
  <c r="R63" i="1"/>
  <c r="S63" i="1" s="1"/>
  <c r="T63" i="1" s="1"/>
  <c r="R64" i="1"/>
  <c r="S64" i="1" s="1"/>
  <c r="T64" i="1" s="1"/>
  <c r="R65" i="1"/>
  <c r="R66" i="1"/>
  <c r="S66" i="1" s="1"/>
  <c r="T66" i="1" s="1"/>
  <c r="R67" i="1"/>
  <c r="R68" i="1"/>
  <c r="R69" i="1"/>
  <c r="R70" i="1"/>
  <c r="R71" i="1"/>
  <c r="S71" i="1" s="1"/>
  <c r="T71" i="1" s="1"/>
  <c r="R72" i="1"/>
  <c r="S72" i="1" s="1"/>
  <c r="T72" i="1" s="1"/>
  <c r="R73" i="1"/>
  <c r="R74" i="1"/>
  <c r="S74" i="1" s="1"/>
  <c r="T74" i="1" s="1"/>
  <c r="R75" i="1"/>
  <c r="R76" i="1"/>
  <c r="R77" i="1"/>
  <c r="R78" i="1"/>
  <c r="R79" i="1"/>
  <c r="S79" i="1" s="1"/>
  <c r="T79" i="1" s="1"/>
  <c r="R80" i="1"/>
  <c r="S80" i="1" s="1"/>
  <c r="T80" i="1" s="1"/>
  <c r="R81" i="1"/>
  <c r="R82" i="1"/>
  <c r="S82" i="1" s="1"/>
  <c r="T82" i="1" s="1"/>
  <c r="R83" i="1"/>
  <c r="R84" i="1"/>
  <c r="R85" i="1"/>
  <c r="R86" i="1"/>
  <c r="R87" i="1"/>
  <c r="S87" i="1" s="1"/>
  <c r="T87" i="1" s="1"/>
  <c r="R88" i="1"/>
  <c r="S88" i="1" s="1"/>
  <c r="T88" i="1" s="1"/>
  <c r="R89" i="1"/>
  <c r="R90" i="1"/>
  <c r="S90" i="1" s="1"/>
  <c r="T90" i="1" s="1"/>
  <c r="R91" i="1"/>
  <c r="R92" i="1"/>
  <c r="R93" i="1"/>
  <c r="R94" i="1"/>
  <c r="R95" i="1"/>
  <c r="S95" i="1" s="1"/>
  <c r="T95" i="1" s="1"/>
  <c r="R96" i="1"/>
  <c r="S96" i="1" s="1"/>
  <c r="T96" i="1" s="1"/>
  <c r="R97" i="1"/>
  <c r="R98" i="1"/>
  <c r="S98" i="1" s="1"/>
  <c r="T98" i="1" s="1"/>
  <c r="R99" i="1"/>
  <c r="R100" i="1"/>
  <c r="R101" i="1"/>
  <c r="R102" i="1"/>
  <c r="R103" i="1"/>
  <c r="S103" i="1" s="1"/>
  <c r="T103" i="1" s="1"/>
  <c r="R104" i="1"/>
  <c r="S104" i="1" s="1"/>
  <c r="T104" i="1" s="1"/>
  <c r="R105" i="1"/>
  <c r="R106" i="1"/>
  <c r="S106" i="1" s="1"/>
  <c r="T106" i="1" s="1"/>
  <c r="R107" i="1"/>
  <c r="R108" i="1"/>
  <c r="R109" i="1"/>
  <c r="R110" i="1"/>
  <c r="R111" i="1"/>
  <c r="S111" i="1" s="1"/>
  <c r="T111" i="1" s="1"/>
  <c r="R112" i="1"/>
  <c r="S112" i="1" s="1"/>
  <c r="T112" i="1" s="1"/>
  <c r="R113" i="1"/>
  <c r="R114" i="1"/>
  <c r="S114" i="1" s="1"/>
  <c r="T114" i="1" s="1"/>
  <c r="R115" i="1"/>
  <c r="R116" i="1"/>
  <c r="R117" i="1"/>
  <c r="R118" i="1"/>
  <c r="R119" i="1"/>
  <c r="S119" i="1" s="1"/>
  <c r="T119" i="1" s="1"/>
  <c r="R120" i="1"/>
  <c r="S120" i="1" s="1"/>
  <c r="T120" i="1" s="1"/>
  <c r="R121" i="1"/>
  <c r="R122" i="1"/>
  <c r="S122" i="1" s="1"/>
  <c r="T122" i="1" s="1"/>
  <c r="R123" i="1"/>
  <c r="R45" i="1"/>
  <c r="S45" i="1"/>
  <c r="T45" i="1" s="1"/>
  <c r="T41" i="1"/>
  <c r="T42" i="1"/>
  <c r="T43" i="1"/>
  <c r="T44" i="1"/>
  <c r="T49" i="1"/>
  <c r="T51" i="1"/>
  <c r="T52" i="1"/>
  <c r="T57" i="1"/>
  <c r="T59" i="1"/>
  <c r="T60" i="1"/>
  <c r="T65" i="1"/>
  <c r="T67" i="1"/>
  <c r="T68" i="1"/>
  <c r="T73" i="1"/>
  <c r="T75" i="1"/>
  <c r="T76" i="1"/>
  <c r="T81" i="1"/>
  <c r="T83" i="1"/>
  <c r="T84" i="1"/>
  <c r="T89" i="1"/>
  <c r="T91" i="1"/>
  <c r="T92" i="1"/>
  <c r="T97" i="1"/>
  <c r="T99" i="1"/>
  <c r="T100" i="1"/>
  <c r="T105" i="1"/>
  <c r="T107" i="1"/>
  <c r="T108" i="1"/>
  <c r="T113" i="1"/>
  <c r="T115" i="1"/>
  <c r="T116" i="1"/>
  <c r="T121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234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9" i="1"/>
  <c r="T303" i="1"/>
  <c r="T311" i="1"/>
  <c r="T315" i="1"/>
  <c r="T327" i="1"/>
  <c r="T331" i="1"/>
  <c r="T335" i="1"/>
  <c r="T40" i="1"/>
  <c r="S41" i="1"/>
  <c r="S42" i="1"/>
  <c r="S43" i="1"/>
  <c r="S44" i="1"/>
  <c r="S46" i="1"/>
  <c r="T46" i="1" s="1"/>
  <c r="S49" i="1"/>
  <c r="S51" i="1"/>
  <c r="S52" i="1"/>
  <c r="S53" i="1"/>
  <c r="T53" i="1" s="1"/>
  <c r="S54" i="1"/>
  <c r="T54" i="1" s="1"/>
  <c r="S57" i="1"/>
  <c r="S59" i="1"/>
  <c r="S60" i="1"/>
  <c r="S61" i="1"/>
  <c r="T61" i="1" s="1"/>
  <c r="S62" i="1"/>
  <c r="T62" i="1" s="1"/>
  <c r="S65" i="1"/>
  <c r="S67" i="1"/>
  <c r="S68" i="1"/>
  <c r="S69" i="1"/>
  <c r="T69" i="1" s="1"/>
  <c r="S70" i="1"/>
  <c r="T70" i="1" s="1"/>
  <c r="S73" i="1"/>
  <c r="S75" i="1"/>
  <c r="S76" i="1"/>
  <c r="S77" i="1"/>
  <c r="T77" i="1" s="1"/>
  <c r="S78" i="1"/>
  <c r="T78" i="1" s="1"/>
  <c r="S81" i="1"/>
  <c r="S83" i="1"/>
  <c r="S84" i="1"/>
  <c r="S85" i="1"/>
  <c r="T85" i="1" s="1"/>
  <c r="S86" i="1"/>
  <c r="T86" i="1" s="1"/>
  <c r="S89" i="1"/>
  <c r="S91" i="1"/>
  <c r="S92" i="1"/>
  <c r="S93" i="1"/>
  <c r="T93" i="1" s="1"/>
  <c r="S94" i="1"/>
  <c r="T94" i="1" s="1"/>
  <c r="S97" i="1"/>
  <c r="S99" i="1"/>
  <c r="S100" i="1"/>
  <c r="S101" i="1"/>
  <c r="T101" i="1" s="1"/>
  <c r="S102" i="1"/>
  <c r="T102" i="1" s="1"/>
  <c r="S105" i="1"/>
  <c r="S107" i="1"/>
  <c r="S108" i="1"/>
  <c r="S109" i="1"/>
  <c r="T109" i="1" s="1"/>
  <c r="S110" i="1"/>
  <c r="T110" i="1" s="1"/>
  <c r="S113" i="1"/>
  <c r="S115" i="1"/>
  <c r="S116" i="1"/>
  <c r="S117" i="1"/>
  <c r="T117" i="1" s="1"/>
  <c r="S118" i="1"/>
  <c r="T118" i="1" s="1"/>
  <c r="S121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T184" i="1" s="1"/>
  <c r="U184" i="1" s="1"/>
  <c r="S185" i="1"/>
  <c r="T185" i="1" s="1"/>
  <c r="S186" i="1"/>
  <c r="T186" i="1" s="1"/>
  <c r="S187" i="1"/>
  <c r="T187" i="1" s="1"/>
  <c r="S188" i="1"/>
  <c r="T188" i="1" s="1"/>
  <c r="S189" i="1"/>
  <c r="T189" i="1" s="1"/>
  <c r="S190" i="1"/>
  <c r="T190" i="1" s="1"/>
  <c r="S191" i="1"/>
  <c r="T191" i="1" s="1"/>
  <c r="S193" i="1"/>
  <c r="T193" i="1" s="1"/>
  <c r="S194" i="1"/>
  <c r="T194" i="1" s="1"/>
  <c r="S195" i="1"/>
  <c r="T195" i="1" s="1"/>
  <c r="S196" i="1"/>
  <c r="T196" i="1" s="1"/>
  <c r="S197" i="1"/>
  <c r="T197" i="1" s="1"/>
  <c r="S198" i="1"/>
  <c r="T198" i="1" s="1"/>
  <c r="S199" i="1"/>
  <c r="T199" i="1" s="1"/>
  <c r="S202" i="1"/>
  <c r="T202" i="1" s="1"/>
  <c r="S203" i="1"/>
  <c r="T203" i="1" s="1"/>
  <c r="S204" i="1"/>
  <c r="T204" i="1" s="1"/>
  <c r="S205" i="1"/>
  <c r="T205" i="1" s="1"/>
  <c r="S206" i="1"/>
  <c r="T206" i="1" s="1"/>
  <c r="S207" i="1"/>
  <c r="T207" i="1" s="1"/>
  <c r="S210" i="1"/>
  <c r="T210" i="1" s="1"/>
  <c r="S211" i="1"/>
  <c r="T211" i="1" s="1"/>
  <c r="S212" i="1"/>
  <c r="T212" i="1" s="1"/>
  <c r="S213" i="1"/>
  <c r="T213" i="1" s="1"/>
  <c r="S214" i="1"/>
  <c r="T214" i="1" s="1"/>
  <c r="S215" i="1"/>
  <c r="T215" i="1" s="1"/>
  <c r="S218" i="1"/>
  <c r="T218" i="1" s="1"/>
  <c r="S219" i="1"/>
  <c r="T219" i="1" s="1"/>
  <c r="S220" i="1"/>
  <c r="T220" i="1" s="1"/>
  <c r="S221" i="1"/>
  <c r="T221" i="1" s="1"/>
  <c r="S222" i="1"/>
  <c r="T222" i="1" s="1"/>
  <c r="S223" i="1"/>
  <c r="T223" i="1" s="1"/>
  <c r="S226" i="1"/>
  <c r="T226" i="1" s="1"/>
  <c r="S227" i="1"/>
  <c r="T227" i="1" s="1"/>
  <c r="S228" i="1"/>
  <c r="T228" i="1" s="1"/>
  <c r="S229" i="1"/>
  <c r="T229" i="1" s="1"/>
  <c r="S230" i="1"/>
  <c r="T230" i="1" s="1"/>
  <c r="S231" i="1"/>
  <c r="T231" i="1" s="1"/>
  <c r="S234" i="1"/>
  <c r="S235" i="1"/>
  <c r="T235" i="1" s="1"/>
  <c r="S236" i="1"/>
  <c r="T236" i="1" s="1"/>
  <c r="S238" i="1"/>
  <c r="T238" i="1" s="1"/>
  <c r="S239" i="1"/>
  <c r="T239" i="1" s="1"/>
  <c r="S242" i="1"/>
  <c r="T242" i="1" s="1"/>
  <c r="S243" i="1"/>
  <c r="T243" i="1" s="1"/>
  <c r="S244" i="1"/>
  <c r="T244" i="1" s="1"/>
  <c r="S246" i="1"/>
  <c r="T246" i="1" s="1"/>
  <c r="S247" i="1"/>
  <c r="T247" i="1" s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T295" i="1" s="1"/>
  <c r="S297" i="1"/>
  <c r="T297" i="1" s="1"/>
  <c r="S299" i="1"/>
  <c r="S300" i="1"/>
  <c r="T300" i="1" s="1"/>
  <c r="S301" i="1"/>
  <c r="T301" i="1" s="1"/>
  <c r="S302" i="1"/>
  <c r="T302" i="1" s="1"/>
  <c r="S303" i="1"/>
  <c r="S304" i="1"/>
  <c r="T304" i="1" s="1"/>
  <c r="S305" i="1"/>
  <c r="T305" i="1" s="1"/>
  <c r="S307" i="1"/>
  <c r="T307" i="1" s="1"/>
  <c r="S308" i="1"/>
  <c r="T308" i="1" s="1"/>
  <c r="S309" i="1"/>
  <c r="T309" i="1" s="1"/>
  <c r="S310" i="1"/>
  <c r="T310" i="1" s="1"/>
  <c r="S311" i="1"/>
  <c r="S312" i="1"/>
  <c r="T312" i="1" s="1"/>
  <c r="S313" i="1"/>
  <c r="T313" i="1" s="1"/>
  <c r="S315" i="1"/>
  <c r="S316" i="1"/>
  <c r="T316" i="1" s="1"/>
  <c r="S317" i="1"/>
  <c r="T317" i="1" s="1"/>
  <c r="S318" i="1"/>
  <c r="T318" i="1" s="1"/>
  <c r="S319" i="1"/>
  <c r="T319" i="1" s="1"/>
  <c r="S320" i="1"/>
  <c r="T320" i="1" s="1"/>
  <c r="S321" i="1"/>
  <c r="T321" i="1" s="1"/>
  <c r="S323" i="1"/>
  <c r="T323" i="1" s="1"/>
  <c r="S324" i="1"/>
  <c r="T324" i="1" s="1"/>
  <c r="S325" i="1"/>
  <c r="T325" i="1" s="1"/>
  <c r="S326" i="1"/>
  <c r="T326" i="1" s="1"/>
  <c r="S327" i="1"/>
  <c r="S328" i="1"/>
  <c r="T328" i="1" s="1"/>
  <c r="S329" i="1"/>
  <c r="T329" i="1" s="1"/>
  <c r="S331" i="1"/>
  <c r="S332" i="1"/>
  <c r="T332" i="1" s="1"/>
  <c r="S333" i="1"/>
  <c r="T333" i="1" s="1"/>
  <c r="S334" i="1"/>
  <c r="T334" i="1" s="1"/>
  <c r="S335" i="1"/>
  <c r="S336" i="1"/>
  <c r="T336" i="1" s="1"/>
  <c r="S337" i="1"/>
  <c r="T337" i="1" s="1"/>
  <c r="S339" i="1"/>
  <c r="T339" i="1" s="1"/>
  <c r="S340" i="1"/>
  <c r="T340" i="1" s="1"/>
  <c r="S341" i="1"/>
  <c r="T341" i="1" s="1"/>
  <c r="S342" i="1"/>
  <c r="T342" i="1" s="1"/>
  <c r="S40" i="1"/>
  <c r="P8" i="1"/>
  <c r="P49" i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319" i="1" s="1"/>
  <c r="P320" i="1" s="1"/>
  <c r="P321" i="1" s="1"/>
  <c r="P322" i="1" s="1"/>
  <c r="P323" i="1" s="1"/>
  <c r="P324" i="1" s="1"/>
  <c r="P325" i="1" s="1"/>
  <c r="P326" i="1" s="1"/>
  <c r="P327" i="1" s="1"/>
  <c r="P328" i="1" s="1"/>
  <c r="P329" i="1" s="1"/>
  <c r="P330" i="1" s="1"/>
  <c r="P331" i="1" s="1"/>
  <c r="P332" i="1" s="1"/>
  <c r="P333" i="1" s="1"/>
  <c r="P334" i="1" s="1"/>
  <c r="P335" i="1" s="1"/>
  <c r="P336" i="1" s="1"/>
  <c r="P337" i="1" s="1"/>
  <c r="P338" i="1" s="1"/>
  <c r="P339" i="1" s="1"/>
  <c r="P340" i="1" s="1"/>
  <c r="P341" i="1" s="1"/>
  <c r="P342" i="1" s="1"/>
  <c r="P7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40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" i="1"/>
  <c r="L131" i="1"/>
  <c r="L129" i="1"/>
  <c r="L127" i="1"/>
  <c r="L47" i="1"/>
  <c r="L45" i="1"/>
  <c r="L43" i="1"/>
  <c r="K126" i="1"/>
  <c r="K129" i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9" i="1" s="1"/>
  <c r="K162" i="1" s="1"/>
  <c r="K165" i="1" s="1"/>
  <c r="K166" i="1" s="1"/>
  <c r="K167" i="1" s="1"/>
  <c r="K168" i="1" s="1"/>
  <c r="K169" i="1" s="1"/>
  <c r="K170" i="1" s="1"/>
  <c r="K171" i="1" s="1"/>
  <c r="K172" i="1" s="1"/>
  <c r="K173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50" i="1" s="1"/>
  <c r="K125" i="1"/>
  <c r="K124" i="1"/>
  <c r="J42" i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9" i="1" s="1"/>
  <c r="J162" i="1" s="1"/>
  <c r="J165" i="1" s="1"/>
  <c r="J166" i="1" s="1"/>
  <c r="J167" i="1" s="1"/>
  <c r="J168" i="1" s="1"/>
  <c r="J169" i="1" s="1"/>
  <c r="J170" i="1" s="1"/>
  <c r="J171" i="1" s="1"/>
  <c r="J172" i="1" s="1"/>
  <c r="J17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41" i="1"/>
  <c r="J40" i="1"/>
  <c r="V193" i="2" l="1"/>
  <c r="V195" i="2" s="1"/>
  <c r="V189" i="2"/>
  <c r="V191" i="2"/>
  <c r="Z185" i="1"/>
  <c r="Z186" i="1" s="1"/>
  <c r="Z187" i="1" s="1"/>
  <c r="Z188" i="1" s="1"/>
  <c r="Z189" i="1" s="1"/>
  <c r="Z190" i="1" s="1"/>
  <c r="Z191" i="1" s="1"/>
  <c r="Z192" i="1" s="1"/>
  <c r="Z193" i="1" s="1"/>
  <c r="Z194" i="1" s="1"/>
  <c r="Z195" i="1" s="1"/>
  <c r="Z196" i="1" s="1"/>
  <c r="Z197" i="1" s="1"/>
  <c r="Z198" i="1" s="1"/>
  <c r="Z199" i="1" s="1"/>
  <c r="Z200" i="1" s="1"/>
  <c r="Z201" i="1" s="1"/>
  <c r="Z202" i="1" s="1"/>
  <c r="Z203" i="1" s="1"/>
  <c r="Z204" i="1" s="1"/>
  <c r="Z205" i="1" s="1"/>
  <c r="Z206" i="1" s="1"/>
  <c r="Z207" i="1" s="1"/>
  <c r="Z208" i="1" s="1"/>
  <c r="Z209" i="1" s="1"/>
  <c r="Z210" i="1" s="1"/>
  <c r="Z211" i="1" s="1"/>
  <c r="Z212" i="1" s="1"/>
  <c r="Z213" i="1" s="1"/>
  <c r="Z214" i="1" s="1"/>
  <c r="Z215" i="1" s="1"/>
  <c r="Z216" i="1" s="1"/>
  <c r="Z217" i="1" s="1"/>
  <c r="Z218" i="1" s="1"/>
  <c r="Z219" i="1" s="1"/>
  <c r="Z220" i="1" s="1"/>
  <c r="Z221" i="1" s="1"/>
  <c r="Z222" i="1" s="1"/>
  <c r="Z223" i="1" s="1"/>
  <c r="Z224" i="1" s="1"/>
  <c r="Z225" i="1" s="1"/>
  <c r="Z226" i="1" s="1"/>
  <c r="Z227" i="1" s="1"/>
  <c r="Z228" i="1" s="1"/>
  <c r="Z229" i="1" s="1"/>
  <c r="Z230" i="1" s="1"/>
  <c r="Z231" i="1" s="1"/>
  <c r="Z232" i="1" s="1"/>
  <c r="Z233" i="1" s="1"/>
  <c r="Z234" i="1" s="1"/>
  <c r="Z235" i="1" s="1"/>
  <c r="Z236" i="1" s="1"/>
  <c r="Z237" i="1" s="1"/>
  <c r="Z238" i="1" s="1"/>
  <c r="Z239" i="1" s="1"/>
  <c r="Z240" i="1" s="1"/>
  <c r="Z241" i="1" s="1"/>
  <c r="Z242" i="1" s="1"/>
  <c r="Z243" i="1" s="1"/>
  <c r="Z244" i="1" s="1"/>
  <c r="Z245" i="1" s="1"/>
  <c r="Z246" i="1" s="1"/>
  <c r="Z247" i="1" s="1"/>
  <c r="V189" i="1" l="1"/>
  <c r="V193" i="1"/>
  <c r="V195" i="1" s="1"/>
  <c r="V191" i="1"/>
  <c r="V251" i="2"/>
  <c r="V253" i="2"/>
  <c r="V255" i="2"/>
  <c r="V257" i="2" s="1"/>
  <c r="V253" i="1" l="1"/>
  <c r="V257" i="1"/>
  <c r="V259" i="1" s="1"/>
  <c r="V255" i="1"/>
  <c r="V272" i="2"/>
  <c r="V276" i="2"/>
  <c r="V278" i="2" s="1"/>
  <c r="V274" i="2"/>
  <c r="V276" i="1" l="1"/>
  <c r="V274" i="1"/>
  <c r="V278" i="1"/>
  <c r="V280" i="1" s="1"/>
  <c r="V304" i="2"/>
  <c r="V306" i="2" s="1"/>
  <c r="V302" i="2"/>
  <c r="V300" i="2"/>
  <c r="V319" i="2"/>
  <c r="V321" i="2"/>
  <c r="V323" i="2" s="1"/>
  <c r="V304" i="1" l="1"/>
  <c r="V306" i="1" s="1"/>
  <c r="V300" i="1"/>
  <c r="V302" i="1"/>
  <c r="V321" i="1" l="1"/>
  <c r="V323" i="1" s="1"/>
  <c r="V319" i="1"/>
</calcChain>
</file>

<file path=xl/sharedStrings.xml><?xml version="1.0" encoding="utf-8"?>
<sst xmlns="http://schemas.openxmlformats.org/spreadsheetml/2006/main" count="323" uniqueCount="69">
  <si>
    <t>LAMBX</t>
  </si>
  <si>
    <t>LAMBY</t>
  </si>
  <si>
    <t>DATE</t>
  </si>
  <si>
    <t>PRELIQ_Q</t>
  </si>
  <si>
    <t>T_Q</t>
  </si>
  <si>
    <t>SSI_Q</t>
  </si>
  <si>
    <t>ETP_Q</t>
  </si>
  <si>
    <t>TINF_H_Q</t>
  </si>
  <si>
    <t>TSUP_H_Q</t>
  </si>
  <si>
    <t>TEMPERATURE</t>
  </si>
  <si>
    <t>EAU</t>
  </si>
  <si>
    <t>BILAN HYDRIQUE</t>
  </si>
  <si>
    <t>SOLAIRE</t>
  </si>
  <si>
    <t>Floraison</t>
  </si>
  <si>
    <t>Vernalisation</t>
  </si>
  <si>
    <t>Période</t>
  </si>
  <si>
    <t>GDD_Cumul</t>
  </si>
  <si>
    <t>GDD/période</t>
  </si>
  <si>
    <t>Indicateurs</t>
  </si>
  <si>
    <t>P-ETP</t>
  </si>
  <si>
    <t>RU_avant_semis</t>
  </si>
  <si>
    <t>i</t>
  </si>
  <si>
    <t>kc</t>
  </si>
  <si>
    <t>ETM</t>
  </si>
  <si>
    <t>P-ETM</t>
  </si>
  <si>
    <t>WSCi</t>
  </si>
  <si>
    <t>indicateur</t>
  </si>
  <si>
    <t>QTP</t>
  </si>
  <si>
    <t>SSI_Cumul</t>
  </si>
  <si>
    <t>SSI/période</t>
  </si>
  <si>
    <t>photopériode</t>
  </si>
  <si>
    <t>Indicateur</t>
  </si>
  <si>
    <t>SEMIS</t>
  </si>
  <si>
    <t>RECOLTE</t>
  </si>
  <si>
    <t>FLO</t>
  </si>
  <si>
    <t>FIN FLO</t>
  </si>
  <si>
    <t>HIVER</t>
  </si>
  <si>
    <t>Fin hiver</t>
  </si>
  <si>
    <t>LGDD</t>
  </si>
  <si>
    <t>TMN</t>
  </si>
  <si>
    <t>TMIN</t>
  </si>
  <si>
    <t>TMAX</t>
  </si>
  <si>
    <t>NBD_HT</t>
  </si>
  <si>
    <t>NBD_LT</t>
  </si>
  <si>
    <t>NBD_FR</t>
  </si>
  <si>
    <t>MATURE</t>
  </si>
  <si>
    <t>P1000</t>
  </si>
  <si>
    <t>P600</t>
  </si>
  <si>
    <t>P300</t>
  </si>
  <si>
    <t>FLOWERING</t>
  </si>
  <si>
    <t>BOLTING</t>
  </si>
  <si>
    <t>CLIMATIC WINTER</t>
  </si>
  <si>
    <t>FALL</t>
  </si>
  <si>
    <t>NBD_WD</t>
  </si>
  <si>
    <t>NBD_WS</t>
  </si>
  <si>
    <t>WSC_MIN</t>
  </si>
  <si>
    <t>WSC_MAX</t>
  </si>
  <si>
    <t>WSC_MN</t>
  </si>
  <si>
    <t>SSR</t>
  </si>
  <si>
    <t>QPT</t>
  </si>
  <si>
    <t>NBD_DSR</t>
  </si>
  <si>
    <t>s</t>
  </si>
  <si>
    <t>NBD_VERN_OPTI</t>
  </si>
  <si>
    <t>N50</t>
  </si>
  <si>
    <t>WSC_I</t>
  </si>
  <si>
    <t>BI</t>
  </si>
  <si>
    <t>DRF</t>
  </si>
  <si>
    <t>TS</t>
  </si>
  <si>
    <t>IRF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</si>
</sst>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5FC9"/>
        <bgColor indexed="64"/>
      </patternFill>
    </fill>
    <fill>
      <patternFill patternType="solid">
        <fgColor rgb="FFC67DFF"/>
        <bgColor indexed="64"/>
      </patternFill>
    </fill>
    <fill>
      <patternFill patternType="solid">
        <fgColor rgb="FF05A6FF"/>
        <bgColor indexed="64"/>
      </patternFill>
    </fill>
    <fill>
      <patternFill patternType="solid">
        <fgColor rgb="FF0ABFC6"/>
        <bgColor indexed="64"/>
      </patternFill>
    </fill>
    <fill>
      <patternFill patternType="solid">
        <fgColor rgb="FF00CC67"/>
        <bgColor indexed="64"/>
      </patternFill>
    </fill>
    <fill>
      <patternFill patternType="solid">
        <fgColor rgb="FF7BAE02"/>
        <bgColor indexed="64"/>
      </patternFill>
    </fill>
    <fill>
      <patternFill patternType="solid">
        <fgColor rgb="FFCF9C0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NumberFormat="1" applyFont="1" applyFill="1"/>
    <xf numFmtId="0" fontId="1" fillId="0" borderId="1" xfId="0" applyFont="1" applyFill="1" applyBorder="1"/>
    <xf numFmtId="0" fontId="1" fillId="0" borderId="0" xfId="0" applyFont="1" applyFill="1"/>
    <xf numFmtId="0" fontId="1" fillId="0" borderId="0" xfId="0" applyNumberFormat="1" applyFont="1" applyFill="1" applyBorder="1"/>
    <xf numFmtId="0" fontId="1" fillId="0" borderId="0" xfId="0" applyFont="1" applyFill="1" applyBorder="1"/>
    <xf numFmtId="0" fontId="0" fillId="2" borderId="0" xfId="0" applyFill="1"/>
    <xf numFmtId="0" fontId="0" fillId="3" borderId="0" xfId="0" applyFill="1"/>
    <xf numFmtId="0" fontId="1" fillId="4" borderId="1" xfId="0" applyFont="1" applyFill="1" applyBorder="1"/>
    <xf numFmtId="0" fontId="0" fillId="0" borderId="1" xfId="0" applyBorder="1"/>
    <xf numFmtId="0" fontId="0" fillId="0" borderId="1" xfId="0" applyFont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2" fontId="0" fillId="0" borderId="1" xfId="0" applyNumberFormat="1" applyBorder="1"/>
    <xf numFmtId="0" fontId="0" fillId="0" borderId="1" xfId="0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2" fontId="0" fillId="0" borderId="0" xfId="0" applyNumberFormat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0" borderId="2" xfId="0" applyFont="1" applyBorder="1"/>
    <xf numFmtId="14" fontId="1" fillId="0" borderId="2" xfId="0" applyNumberFormat="1" applyFont="1" applyBorder="1"/>
    <xf numFmtId="0" fontId="1" fillId="0" borderId="3" xfId="0" applyFont="1" applyBorder="1"/>
    <xf numFmtId="2" fontId="1" fillId="0" borderId="2" xfId="0" applyNumberFormat="1" applyFont="1" applyBorder="1"/>
    <xf numFmtId="0" fontId="0" fillId="12" borderId="0" xfId="0" applyFill="1"/>
    <xf numFmtId="0" fontId="1" fillId="12" borderId="2" xfId="0" applyFont="1" applyFill="1" applyBorder="1"/>
    <xf numFmtId="0" fontId="1" fillId="0" borderId="0" xfId="0" applyFont="1" applyAlignment="1">
      <alignment horizontal="center" vertical="center"/>
    </xf>
    <xf numFmtId="0" fontId="0" fillId="0" borderId="0" xfId="0" applyFont="1" applyBorder="1"/>
    <xf numFmtId="14" fontId="0" fillId="0" borderId="0" xfId="0" applyNumberFormat="1" applyFont="1" applyBorder="1"/>
    <xf numFmtId="2" fontId="0" fillId="0" borderId="0" xfId="0" applyNumberFormat="1" applyFont="1" applyBorder="1"/>
    <xf numFmtId="2" fontId="1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/>
    </xf>
    <xf numFmtId="0" fontId="1" fillId="5" borderId="0" xfId="0" applyFont="1" applyFill="1" applyBorder="1" applyAlignment="1">
      <alignment horizontal="center" vertical="center" textRotation="255"/>
    </xf>
    <xf numFmtId="0" fontId="1" fillId="4" borderId="0" xfId="0" applyFont="1" applyFill="1" applyBorder="1" applyAlignment="1">
      <alignment horizontal="center" vertical="center" textRotation="255"/>
    </xf>
    <xf numFmtId="0" fontId="1" fillId="6" borderId="0" xfId="0" applyFont="1" applyFill="1" applyBorder="1" applyAlignment="1">
      <alignment horizontal="center" vertical="center" textRotation="255"/>
    </xf>
    <xf numFmtId="0" fontId="1" fillId="7" borderId="0" xfId="0" applyFont="1" applyFill="1" applyBorder="1" applyAlignment="1">
      <alignment horizontal="center" vertical="center" textRotation="255"/>
    </xf>
    <xf numFmtId="0" fontId="1" fillId="8" borderId="0" xfId="0" applyFont="1" applyFill="1" applyBorder="1" applyAlignment="1">
      <alignment horizontal="center" vertical="center" textRotation="255"/>
    </xf>
    <xf numFmtId="0" fontId="1" fillId="9" borderId="1" xfId="0" applyFont="1" applyFill="1" applyBorder="1" applyAlignment="1">
      <alignment horizontal="center" vertical="center" textRotation="255"/>
    </xf>
    <xf numFmtId="0" fontId="1" fillId="10" borderId="0" xfId="0" applyFont="1" applyFill="1" applyBorder="1" applyAlignment="1">
      <alignment horizontal="center" vertical="center" textRotation="255"/>
    </xf>
    <xf numFmtId="0" fontId="1" fillId="6" borderId="2" xfId="0" applyFont="1" applyFill="1" applyBorder="1" applyAlignment="1">
      <alignment horizontal="center" vertical="center" textRotation="255"/>
    </xf>
    <xf numFmtId="0" fontId="1" fillId="7" borderId="4" xfId="0" applyFont="1" applyFill="1" applyBorder="1" applyAlignment="1">
      <alignment horizontal="center" vertical="center" textRotation="255"/>
    </xf>
    <xf numFmtId="0" fontId="0" fillId="13" borderId="0" xfId="0" applyFill="1"/>
    <xf numFmtId="14" fontId="0" fillId="13" borderId="0" xfId="0" applyNumberFormat="1" applyFill="1"/>
    <xf numFmtId="0" fontId="0" fillId="13" borderId="1" xfId="0" applyFill="1" applyBorder="1"/>
    <xf numFmtId="2" fontId="0" fillId="13" borderId="0" xfId="0" applyNumberFormat="1" applyFill="1"/>
    <xf numFmtId="0" fontId="0" fillId="14" borderId="0" xfId="0" applyFill="1"/>
    <xf numFmtId="2" fontId="0" fillId="14" borderId="0" xfId="0" applyNumberFormat="1" applyFill="1"/>
  </cellXfs>
  <cellStyles count="1">
    <cellStyle name="Normal" xfId="0" builtinId="0"/>
  </cellStyles>
  <dxfs count="54">
    <dxf>
      <fill>
        <patternFill>
          <bgColor theme="5" tint="-0.24994659260841701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1"/>
  <sheetViews>
    <sheetView tabSelected="1" zoomScale="70" zoomScaleNormal="70" workbookViewId="0">
      <pane xSplit="6" ySplit="2" topLeftCell="G196" activePane="bottomRight" state="frozen"/>
      <selection pane="topRight" activeCell="G1" sqref="G1"/>
      <selection pane="bottomLeft" activeCell="A3" sqref="A3"/>
      <selection pane="bottomRight" activeCell="AE213" sqref="AE213"/>
    </sheetView>
  </sheetViews>
  <sheetFormatPr baseColWidth="10" defaultRowHeight="15" x14ac:dyDescent="0.25"/>
  <cols>
    <col min="12" max="12" width="11.42578125" style="12"/>
  </cols>
  <sheetData>
    <row r="1" spans="1:28" x14ac:dyDescent="0.25">
      <c r="G1" s="44" t="s">
        <v>9</v>
      </c>
      <c r="H1" s="44"/>
      <c r="I1" s="44"/>
      <c r="J1" s="44"/>
      <c r="K1" s="44"/>
      <c r="L1" s="44"/>
      <c r="M1" s="44" t="s">
        <v>10</v>
      </c>
      <c r="N1" s="44"/>
      <c r="O1" s="44"/>
      <c r="P1" s="44"/>
      <c r="Q1" s="44" t="s">
        <v>11</v>
      </c>
      <c r="R1" s="44"/>
      <c r="S1" s="44"/>
      <c r="T1" s="44"/>
      <c r="U1" s="44"/>
      <c r="V1" s="2"/>
      <c r="W1" s="44" t="s">
        <v>12</v>
      </c>
      <c r="X1" s="44"/>
      <c r="Y1" s="44"/>
      <c r="Z1" s="44"/>
      <c r="AA1" s="44"/>
      <c r="AB1" s="44"/>
    </row>
    <row r="2" spans="1:28" x14ac:dyDescent="0.25">
      <c r="A2" s="3" t="s">
        <v>0</v>
      </c>
      <c r="B2" s="3" t="s">
        <v>1</v>
      </c>
      <c r="C2" s="3" t="s">
        <v>2</v>
      </c>
      <c r="D2" s="3" t="s">
        <v>13</v>
      </c>
      <c r="E2" s="3" t="s">
        <v>14</v>
      </c>
      <c r="F2" s="3" t="s">
        <v>15</v>
      </c>
      <c r="G2" s="3" t="s">
        <v>4</v>
      </c>
      <c r="H2" s="3" t="s">
        <v>7</v>
      </c>
      <c r="I2" s="3" t="s">
        <v>8</v>
      </c>
      <c r="J2" s="4" t="s">
        <v>16</v>
      </c>
      <c r="K2" s="4" t="s">
        <v>17</v>
      </c>
      <c r="L2" s="5" t="s">
        <v>18</v>
      </c>
      <c r="M2" s="6" t="s">
        <v>3</v>
      </c>
      <c r="N2" s="6" t="s">
        <v>6</v>
      </c>
      <c r="O2" s="7" t="s">
        <v>19</v>
      </c>
      <c r="P2" s="8" t="s">
        <v>20</v>
      </c>
      <c r="Q2" s="8" t="s">
        <v>21</v>
      </c>
      <c r="R2" s="8" t="s">
        <v>22</v>
      </c>
      <c r="S2" s="8" t="s">
        <v>23</v>
      </c>
      <c r="T2" s="7" t="s">
        <v>24</v>
      </c>
      <c r="U2" s="8" t="s">
        <v>25</v>
      </c>
      <c r="V2" s="5" t="s">
        <v>26</v>
      </c>
      <c r="W2" s="6" t="s">
        <v>5</v>
      </c>
      <c r="X2" s="6" t="s">
        <v>27</v>
      </c>
      <c r="Y2" s="6" t="s">
        <v>28</v>
      </c>
      <c r="Z2" s="6" t="s">
        <v>29</v>
      </c>
      <c r="AA2" s="6" t="s">
        <v>30</v>
      </c>
      <c r="AB2" s="6" t="s">
        <v>31</v>
      </c>
    </row>
    <row r="3" spans="1:28" x14ac:dyDescent="0.25">
      <c r="A3">
        <v>5560</v>
      </c>
      <c r="B3">
        <v>22250</v>
      </c>
      <c r="C3" s="1">
        <v>42582</v>
      </c>
      <c r="G3">
        <v>20</v>
      </c>
      <c r="H3">
        <v>16.3</v>
      </c>
      <c r="I3">
        <v>23.9</v>
      </c>
      <c r="M3">
        <v>0</v>
      </c>
      <c r="N3">
        <v>3.3</v>
      </c>
      <c r="O3">
        <f>M3-N3</f>
        <v>-3.3</v>
      </c>
      <c r="P3">
        <v>0</v>
      </c>
      <c r="W3">
        <v>1207.9000000000001</v>
      </c>
    </row>
    <row r="4" spans="1:28" x14ac:dyDescent="0.25">
      <c r="A4">
        <v>5560</v>
      </c>
      <c r="B4">
        <v>22250</v>
      </c>
      <c r="C4" s="1">
        <v>42583</v>
      </c>
      <c r="G4">
        <v>20.100000000000001</v>
      </c>
      <c r="H4">
        <v>14.8</v>
      </c>
      <c r="I4">
        <v>24.9</v>
      </c>
      <c r="M4">
        <v>0</v>
      </c>
      <c r="N4">
        <v>4.2</v>
      </c>
      <c r="O4">
        <f t="shared" ref="O4:O38" si="0">M4-N4</f>
        <v>-4.2</v>
      </c>
      <c r="P4">
        <v>0</v>
      </c>
      <c r="W4">
        <v>1807.8</v>
      </c>
    </row>
    <row r="5" spans="1:28" x14ac:dyDescent="0.25">
      <c r="A5">
        <v>5560</v>
      </c>
      <c r="B5">
        <v>22250</v>
      </c>
      <c r="C5" s="1">
        <v>42584</v>
      </c>
      <c r="G5">
        <v>19.2</v>
      </c>
      <c r="H5">
        <v>15.9</v>
      </c>
      <c r="I5">
        <v>23.7</v>
      </c>
      <c r="M5">
        <v>0</v>
      </c>
      <c r="N5">
        <v>2.7</v>
      </c>
      <c r="O5">
        <f t="shared" si="0"/>
        <v>-2.7</v>
      </c>
      <c r="P5">
        <v>0</v>
      </c>
      <c r="W5">
        <v>925.6</v>
      </c>
    </row>
    <row r="6" spans="1:28" x14ac:dyDescent="0.25">
      <c r="A6">
        <v>5560</v>
      </c>
      <c r="B6">
        <v>22250</v>
      </c>
      <c r="C6" s="1">
        <v>42585</v>
      </c>
      <c r="G6">
        <v>21.3</v>
      </c>
      <c r="H6">
        <v>14.8</v>
      </c>
      <c r="I6">
        <v>26.9</v>
      </c>
      <c r="M6">
        <v>0.2</v>
      </c>
      <c r="N6">
        <v>4.7</v>
      </c>
      <c r="O6">
        <f t="shared" si="0"/>
        <v>-4.5</v>
      </c>
      <c r="P6">
        <v>0</v>
      </c>
      <c r="W6">
        <v>2029.8</v>
      </c>
    </row>
    <row r="7" spans="1:28" x14ac:dyDescent="0.25">
      <c r="A7">
        <v>5560</v>
      </c>
      <c r="B7">
        <v>22250</v>
      </c>
      <c r="C7" s="1">
        <v>42586</v>
      </c>
      <c r="G7">
        <v>17.600000000000001</v>
      </c>
      <c r="H7">
        <v>17.600000000000001</v>
      </c>
      <c r="I7">
        <v>18.399999999999999</v>
      </c>
      <c r="M7">
        <v>4.3</v>
      </c>
      <c r="N7">
        <v>1.3</v>
      </c>
      <c r="O7">
        <f t="shared" si="0"/>
        <v>3</v>
      </c>
      <c r="P7">
        <f>P6+O7</f>
        <v>3</v>
      </c>
      <c r="W7">
        <v>694.9</v>
      </c>
    </row>
    <row r="8" spans="1:28" x14ac:dyDescent="0.25">
      <c r="A8">
        <v>5560</v>
      </c>
      <c r="B8">
        <v>22250</v>
      </c>
      <c r="C8" s="1">
        <v>42587</v>
      </c>
      <c r="G8">
        <v>17.2</v>
      </c>
      <c r="H8">
        <v>13.5</v>
      </c>
      <c r="I8">
        <v>21.5</v>
      </c>
      <c r="M8">
        <v>0</v>
      </c>
      <c r="N8">
        <v>3</v>
      </c>
      <c r="O8">
        <f t="shared" si="0"/>
        <v>-3</v>
      </c>
      <c r="P8">
        <f t="shared" ref="P8" si="1">P7+O8</f>
        <v>0</v>
      </c>
      <c r="W8">
        <v>1523.5</v>
      </c>
    </row>
    <row r="9" spans="1:28" x14ac:dyDescent="0.25">
      <c r="A9">
        <v>5560</v>
      </c>
      <c r="B9">
        <v>22250</v>
      </c>
      <c r="C9" s="1">
        <v>42588</v>
      </c>
      <c r="G9">
        <v>18.399999999999999</v>
      </c>
      <c r="H9">
        <v>13</v>
      </c>
      <c r="I9">
        <v>24</v>
      </c>
      <c r="M9">
        <v>0</v>
      </c>
      <c r="N9">
        <v>3.8</v>
      </c>
      <c r="O9">
        <f t="shared" si="0"/>
        <v>-3.8</v>
      </c>
      <c r="P9">
        <v>0</v>
      </c>
      <c r="W9">
        <v>1860.1</v>
      </c>
    </row>
    <row r="10" spans="1:28" x14ac:dyDescent="0.25">
      <c r="A10">
        <v>5560</v>
      </c>
      <c r="B10">
        <v>22250</v>
      </c>
      <c r="C10" s="1">
        <v>42589</v>
      </c>
      <c r="G10">
        <v>21.9</v>
      </c>
      <c r="H10">
        <v>15.1</v>
      </c>
      <c r="I10">
        <v>28.5</v>
      </c>
      <c r="M10">
        <v>0</v>
      </c>
      <c r="N10">
        <v>6.1</v>
      </c>
      <c r="O10">
        <f t="shared" si="0"/>
        <v>-6.1</v>
      </c>
      <c r="P10">
        <v>0</v>
      </c>
      <c r="W10">
        <v>2910.5</v>
      </c>
    </row>
    <row r="11" spans="1:28" x14ac:dyDescent="0.25">
      <c r="A11">
        <v>5560</v>
      </c>
      <c r="B11">
        <v>22250</v>
      </c>
      <c r="C11" s="1">
        <v>42590</v>
      </c>
      <c r="G11">
        <v>19.8</v>
      </c>
      <c r="H11">
        <v>17.399999999999999</v>
      </c>
      <c r="I11">
        <v>22.4</v>
      </c>
      <c r="M11">
        <v>0.3</v>
      </c>
      <c r="N11">
        <v>2.4</v>
      </c>
      <c r="O11">
        <f t="shared" si="0"/>
        <v>-2.1</v>
      </c>
      <c r="P11">
        <v>0</v>
      </c>
      <c r="W11">
        <v>1253</v>
      </c>
    </row>
    <row r="12" spans="1:28" x14ac:dyDescent="0.25">
      <c r="A12">
        <v>5560</v>
      </c>
      <c r="B12">
        <v>22250</v>
      </c>
      <c r="C12" s="1">
        <v>42591</v>
      </c>
      <c r="G12">
        <v>17.5</v>
      </c>
      <c r="H12">
        <v>14</v>
      </c>
      <c r="I12">
        <v>21.2</v>
      </c>
      <c r="M12">
        <v>0</v>
      </c>
      <c r="N12">
        <v>4</v>
      </c>
      <c r="O12">
        <f t="shared" si="0"/>
        <v>-4</v>
      </c>
      <c r="P12">
        <v>0</v>
      </c>
      <c r="W12">
        <v>1668.5</v>
      </c>
    </row>
    <row r="13" spans="1:28" x14ac:dyDescent="0.25">
      <c r="A13">
        <v>5560</v>
      </c>
      <c r="B13">
        <v>22250</v>
      </c>
      <c r="C13" s="1">
        <v>42592</v>
      </c>
      <c r="G13">
        <v>14.6</v>
      </c>
      <c r="H13">
        <v>10.199999999999999</v>
      </c>
      <c r="I13">
        <v>18.5</v>
      </c>
      <c r="M13">
        <v>0</v>
      </c>
      <c r="N13">
        <v>2.4</v>
      </c>
      <c r="O13">
        <f t="shared" si="0"/>
        <v>-2.4</v>
      </c>
      <c r="P13">
        <v>0</v>
      </c>
      <c r="W13">
        <v>1183.9000000000001</v>
      </c>
    </row>
    <row r="14" spans="1:28" x14ac:dyDescent="0.25">
      <c r="A14">
        <v>5560</v>
      </c>
      <c r="B14">
        <v>22250</v>
      </c>
      <c r="C14" s="1">
        <v>42593</v>
      </c>
      <c r="G14">
        <v>16.2</v>
      </c>
      <c r="H14">
        <v>10.1</v>
      </c>
      <c r="I14">
        <v>21.8</v>
      </c>
      <c r="M14">
        <v>0</v>
      </c>
      <c r="N14">
        <v>3.5</v>
      </c>
      <c r="O14">
        <f t="shared" si="0"/>
        <v>-3.5</v>
      </c>
      <c r="P14">
        <v>0</v>
      </c>
      <c r="W14">
        <v>1815.4</v>
      </c>
    </row>
    <row r="15" spans="1:28" x14ac:dyDescent="0.25">
      <c r="A15">
        <v>5560</v>
      </c>
      <c r="B15">
        <v>22250</v>
      </c>
      <c r="C15" s="1">
        <v>42594</v>
      </c>
      <c r="G15">
        <v>19.8</v>
      </c>
      <c r="H15">
        <v>12.4</v>
      </c>
      <c r="I15">
        <v>26.9</v>
      </c>
      <c r="M15">
        <v>0</v>
      </c>
      <c r="N15">
        <v>5.7</v>
      </c>
      <c r="O15">
        <f t="shared" si="0"/>
        <v>-5.7</v>
      </c>
      <c r="P15">
        <v>0</v>
      </c>
      <c r="W15">
        <v>2778.4</v>
      </c>
    </row>
    <row r="16" spans="1:28" x14ac:dyDescent="0.25">
      <c r="A16">
        <v>5560</v>
      </c>
      <c r="B16">
        <v>22250</v>
      </c>
      <c r="C16" s="1">
        <v>42595</v>
      </c>
      <c r="G16">
        <v>22.9</v>
      </c>
      <c r="H16">
        <v>15.3</v>
      </c>
      <c r="I16">
        <v>30</v>
      </c>
      <c r="M16">
        <v>0</v>
      </c>
      <c r="N16">
        <v>5.4</v>
      </c>
      <c r="O16">
        <f t="shared" si="0"/>
        <v>-5.4</v>
      </c>
      <c r="P16">
        <v>0</v>
      </c>
      <c r="W16">
        <v>2365.5</v>
      </c>
    </row>
    <row r="17" spans="1:23" x14ac:dyDescent="0.25">
      <c r="A17">
        <v>5560</v>
      </c>
      <c r="B17">
        <v>22250</v>
      </c>
      <c r="C17" s="1">
        <v>42596</v>
      </c>
      <c r="G17">
        <v>24.1</v>
      </c>
      <c r="H17">
        <v>17</v>
      </c>
      <c r="I17">
        <v>30.5</v>
      </c>
      <c r="M17">
        <v>0</v>
      </c>
      <c r="N17">
        <v>7.2</v>
      </c>
      <c r="O17">
        <f t="shared" si="0"/>
        <v>-7.2</v>
      </c>
      <c r="P17">
        <v>0</v>
      </c>
      <c r="W17">
        <v>2792.8</v>
      </c>
    </row>
    <row r="18" spans="1:23" x14ac:dyDescent="0.25">
      <c r="A18">
        <v>5560</v>
      </c>
      <c r="B18">
        <v>22250</v>
      </c>
      <c r="C18" s="1">
        <v>42597</v>
      </c>
      <c r="G18">
        <v>24.1</v>
      </c>
      <c r="H18">
        <v>17.3</v>
      </c>
      <c r="I18">
        <v>30.1</v>
      </c>
      <c r="M18">
        <v>0</v>
      </c>
      <c r="N18">
        <v>5.9</v>
      </c>
      <c r="O18">
        <f t="shared" si="0"/>
        <v>-5.9</v>
      </c>
      <c r="P18">
        <v>0</v>
      </c>
      <c r="W18">
        <v>2076.6</v>
      </c>
    </row>
    <row r="19" spans="1:23" x14ac:dyDescent="0.25">
      <c r="A19">
        <v>5560</v>
      </c>
      <c r="B19">
        <v>22250</v>
      </c>
      <c r="C19" s="1">
        <v>42598</v>
      </c>
      <c r="G19">
        <v>25.2</v>
      </c>
      <c r="H19">
        <v>17.899999999999999</v>
      </c>
      <c r="I19">
        <v>31.3</v>
      </c>
      <c r="M19">
        <v>0</v>
      </c>
      <c r="N19">
        <v>4.9000000000000004</v>
      </c>
      <c r="O19">
        <f t="shared" si="0"/>
        <v>-4.9000000000000004</v>
      </c>
      <c r="P19">
        <v>0</v>
      </c>
      <c r="W19">
        <v>2079.3000000000002</v>
      </c>
    </row>
    <row r="20" spans="1:23" x14ac:dyDescent="0.25">
      <c r="A20">
        <v>5560</v>
      </c>
      <c r="B20">
        <v>22250</v>
      </c>
      <c r="C20" s="1">
        <v>42599</v>
      </c>
      <c r="G20">
        <v>24.3</v>
      </c>
      <c r="H20">
        <v>18.2</v>
      </c>
      <c r="I20">
        <v>30</v>
      </c>
      <c r="M20">
        <v>0</v>
      </c>
      <c r="N20">
        <v>6.5</v>
      </c>
      <c r="O20">
        <f t="shared" si="0"/>
        <v>-6.5</v>
      </c>
      <c r="P20">
        <v>0</v>
      </c>
      <c r="W20">
        <v>2595.6999999999998</v>
      </c>
    </row>
    <row r="21" spans="1:23" x14ac:dyDescent="0.25">
      <c r="A21">
        <v>5560</v>
      </c>
      <c r="B21">
        <v>22250</v>
      </c>
      <c r="C21" s="1">
        <v>42600</v>
      </c>
      <c r="G21">
        <v>20.3</v>
      </c>
      <c r="H21">
        <v>19.3</v>
      </c>
      <c r="I21">
        <v>23</v>
      </c>
      <c r="M21">
        <v>0.2</v>
      </c>
      <c r="N21">
        <v>3</v>
      </c>
      <c r="O21">
        <f t="shared" si="0"/>
        <v>-2.8</v>
      </c>
      <c r="P21">
        <v>0</v>
      </c>
      <c r="W21">
        <v>913</v>
      </c>
    </row>
    <row r="22" spans="1:23" x14ac:dyDescent="0.25">
      <c r="A22">
        <v>5560</v>
      </c>
      <c r="B22">
        <v>22250</v>
      </c>
      <c r="C22" s="1">
        <v>42601</v>
      </c>
      <c r="G22">
        <v>19.100000000000001</v>
      </c>
      <c r="H22">
        <v>13</v>
      </c>
      <c r="I22">
        <v>23.9</v>
      </c>
      <c r="M22">
        <v>0.3</v>
      </c>
      <c r="N22">
        <v>2</v>
      </c>
      <c r="O22">
        <f t="shared" si="0"/>
        <v>-1.7</v>
      </c>
      <c r="P22">
        <v>0</v>
      </c>
      <c r="W22">
        <v>562.9</v>
      </c>
    </row>
    <row r="23" spans="1:23" x14ac:dyDescent="0.25">
      <c r="A23">
        <v>5560</v>
      </c>
      <c r="B23">
        <v>22250</v>
      </c>
      <c r="C23" s="1">
        <v>42602</v>
      </c>
      <c r="G23">
        <v>20</v>
      </c>
      <c r="H23">
        <v>17</v>
      </c>
      <c r="I23">
        <v>24.1</v>
      </c>
      <c r="M23">
        <v>0.1</v>
      </c>
      <c r="N23">
        <v>5.0999999999999996</v>
      </c>
      <c r="O23">
        <f t="shared" si="0"/>
        <v>-5</v>
      </c>
      <c r="P23">
        <v>0</v>
      </c>
      <c r="W23">
        <v>1839.2</v>
      </c>
    </row>
    <row r="24" spans="1:23" x14ac:dyDescent="0.25">
      <c r="A24">
        <v>5560</v>
      </c>
      <c r="B24">
        <v>22250</v>
      </c>
      <c r="C24" s="1">
        <v>42603</v>
      </c>
      <c r="G24">
        <v>17.7</v>
      </c>
      <c r="H24">
        <v>13.8</v>
      </c>
      <c r="I24">
        <v>22.3</v>
      </c>
      <c r="M24">
        <v>0</v>
      </c>
      <c r="N24">
        <v>3.5</v>
      </c>
      <c r="O24">
        <f t="shared" si="0"/>
        <v>-3.5</v>
      </c>
      <c r="P24">
        <v>0</v>
      </c>
      <c r="W24">
        <v>1236.5999999999999</v>
      </c>
    </row>
    <row r="25" spans="1:23" x14ac:dyDescent="0.25">
      <c r="A25">
        <v>5560</v>
      </c>
      <c r="B25">
        <v>22250</v>
      </c>
      <c r="C25" s="1">
        <v>42604</v>
      </c>
      <c r="G25">
        <v>20</v>
      </c>
      <c r="H25">
        <v>12</v>
      </c>
      <c r="I25">
        <v>26.9</v>
      </c>
      <c r="M25">
        <v>0</v>
      </c>
      <c r="N25">
        <v>6</v>
      </c>
      <c r="O25">
        <f t="shared" si="0"/>
        <v>-6</v>
      </c>
      <c r="P25">
        <v>0</v>
      </c>
      <c r="W25">
        <v>2651.3</v>
      </c>
    </row>
    <row r="26" spans="1:23" x14ac:dyDescent="0.25">
      <c r="A26">
        <v>5560</v>
      </c>
      <c r="B26">
        <v>22250</v>
      </c>
      <c r="C26" s="1">
        <v>42605</v>
      </c>
      <c r="G26">
        <v>25.3</v>
      </c>
      <c r="H26">
        <v>17.2</v>
      </c>
      <c r="I26">
        <v>32.299999999999997</v>
      </c>
      <c r="M26">
        <v>0</v>
      </c>
      <c r="N26">
        <v>7.9</v>
      </c>
      <c r="O26">
        <f t="shared" si="0"/>
        <v>-7.9</v>
      </c>
      <c r="P26">
        <v>0</v>
      </c>
      <c r="W26">
        <v>2607.9</v>
      </c>
    </row>
    <row r="27" spans="1:23" x14ac:dyDescent="0.25">
      <c r="A27">
        <v>5560</v>
      </c>
      <c r="B27">
        <v>22250</v>
      </c>
      <c r="C27" s="1">
        <v>42606</v>
      </c>
      <c r="G27">
        <v>27.2</v>
      </c>
      <c r="H27">
        <v>18.100000000000001</v>
      </c>
      <c r="I27">
        <v>34.799999999999997</v>
      </c>
      <c r="M27">
        <v>0</v>
      </c>
      <c r="N27">
        <v>6.9</v>
      </c>
      <c r="O27">
        <f t="shared" si="0"/>
        <v>-6.9</v>
      </c>
      <c r="P27">
        <v>0</v>
      </c>
      <c r="W27">
        <v>2590.3000000000002</v>
      </c>
    </row>
    <row r="28" spans="1:23" x14ac:dyDescent="0.25">
      <c r="A28">
        <v>5560</v>
      </c>
      <c r="B28">
        <v>22250</v>
      </c>
      <c r="C28" s="1">
        <v>42607</v>
      </c>
      <c r="G28">
        <v>27.4</v>
      </c>
      <c r="H28">
        <v>19.8</v>
      </c>
      <c r="I28">
        <v>34</v>
      </c>
      <c r="M28">
        <v>0</v>
      </c>
      <c r="N28">
        <v>6.8</v>
      </c>
      <c r="O28">
        <f t="shared" si="0"/>
        <v>-6.8</v>
      </c>
      <c r="P28">
        <v>0</v>
      </c>
      <c r="W28">
        <v>2575.1</v>
      </c>
    </row>
    <row r="29" spans="1:23" x14ac:dyDescent="0.25">
      <c r="A29">
        <v>5560</v>
      </c>
      <c r="B29">
        <v>22250</v>
      </c>
      <c r="C29" s="1">
        <v>42608</v>
      </c>
      <c r="G29">
        <v>27.2</v>
      </c>
      <c r="H29">
        <v>21.2</v>
      </c>
      <c r="I29">
        <v>34.200000000000003</v>
      </c>
      <c r="M29">
        <v>0</v>
      </c>
      <c r="N29">
        <v>6.8</v>
      </c>
      <c r="O29">
        <f t="shared" si="0"/>
        <v>-6.8</v>
      </c>
      <c r="P29">
        <v>0</v>
      </c>
      <c r="W29">
        <v>2155.9</v>
      </c>
    </row>
    <row r="30" spans="1:23" x14ac:dyDescent="0.25">
      <c r="A30">
        <v>5560</v>
      </c>
      <c r="B30">
        <v>22250</v>
      </c>
      <c r="C30" s="1">
        <v>42609</v>
      </c>
      <c r="G30">
        <v>26.5</v>
      </c>
      <c r="H30">
        <v>19.7</v>
      </c>
      <c r="I30">
        <v>32.799999999999997</v>
      </c>
      <c r="M30">
        <v>0</v>
      </c>
      <c r="N30">
        <v>6.4</v>
      </c>
      <c r="O30">
        <f t="shared" si="0"/>
        <v>-6.4</v>
      </c>
      <c r="P30">
        <v>0</v>
      </c>
      <c r="W30">
        <v>2206.1</v>
      </c>
    </row>
    <row r="31" spans="1:23" x14ac:dyDescent="0.25">
      <c r="A31">
        <v>5560</v>
      </c>
      <c r="B31">
        <v>22250</v>
      </c>
      <c r="C31" s="1">
        <v>42610</v>
      </c>
      <c r="G31">
        <v>22.1</v>
      </c>
      <c r="H31">
        <v>18</v>
      </c>
      <c r="I31">
        <v>26.2</v>
      </c>
      <c r="M31">
        <v>0</v>
      </c>
      <c r="N31">
        <v>4.9000000000000004</v>
      </c>
      <c r="O31">
        <f t="shared" si="0"/>
        <v>-4.9000000000000004</v>
      </c>
      <c r="P31">
        <v>0</v>
      </c>
      <c r="W31">
        <v>1767.5</v>
      </c>
    </row>
    <row r="32" spans="1:23" x14ac:dyDescent="0.25">
      <c r="A32">
        <v>5560</v>
      </c>
      <c r="B32">
        <v>22250</v>
      </c>
      <c r="C32" s="1">
        <v>42611</v>
      </c>
      <c r="G32">
        <v>18.899999999999999</v>
      </c>
      <c r="H32">
        <v>16.100000000000001</v>
      </c>
      <c r="I32">
        <v>22</v>
      </c>
      <c r="M32">
        <v>0</v>
      </c>
      <c r="N32">
        <v>3.2</v>
      </c>
      <c r="O32">
        <f t="shared" si="0"/>
        <v>-3.2</v>
      </c>
      <c r="P32">
        <v>0</v>
      </c>
      <c r="W32">
        <v>1631.6</v>
      </c>
    </row>
    <row r="33" spans="1:28" x14ac:dyDescent="0.25">
      <c r="A33">
        <v>5560</v>
      </c>
      <c r="B33">
        <v>22250</v>
      </c>
      <c r="C33" s="1">
        <v>42612</v>
      </c>
      <c r="G33">
        <v>20.3</v>
      </c>
      <c r="H33">
        <v>14.8</v>
      </c>
      <c r="I33">
        <v>25.1</v>
      </c>
      <c r="M33">
        <v>0</v>
      </c>
      <c r="N33">
        <v>3.9</v>
      </c>
      <c r="O33">
        <f t="shared" si="0"/>
        <v>-3.9</v>
      </c>
      <c r="P33">
        <v>0</v>
      </c>
      <c r="W33">
        <v>1738.7</v>
      </c>
    </row>
    <row r="34" spans="1:28" x14ac:dyDescent="0.25">
      <c r="A34">
        <v>5560</v>
      </c>
      <c r="B34">
        <v>22250</v>
      </c>
      <c r="C34" s="1">
        <v>42613</v>
      </c>
      <c r="G34">
        <v>22.2</v>
      </c>
      <c r="H34">
        <v>17.3</v>
      </c>
      <c r="I34">
        <v>27.9</v>
      </c>
      <c r="M34">
        <v>0</v>
      </c>
      <c r="N34">
        <v>3.3</v>
      </c>
      <c r="O34">
        <f t="shared" si="0"/>
        <v>-3.3</v>
      </c>
      <c r="P34">
        <v>0</v>
      </c>
      <c r="W34">
        <v>975</v>
      </c>
    </row>
    <row r="35" spans="1:28" x14ac:dyDescent="0.25">
      <c r="A35">
        <v>5560</v>
      </c>
      <c r="B35">
        <v>22250</v>
      </c>
      <c r="C35" s="1">
        <v>42614</v>
      </c>
      <c r="G35">
        <v>21.5</v>
      </c>
      <c r="H35">
        <v>13.1</v>
      </c>
      <c r="I35">
        <v>28.8</v>
      </c>
      <c r="M35">
        <v>0</v>
      </c>
      <c r="N35">
        <v>3.9</v>
      </c>
      <c r="O35">
        <f t="shared" si="0"/>
        <v>-3.9</v>
      </c>
      <c r="P35">
        <v>0</v>
      </c>
      <c r="W35">
        <v>1804.3</v>
      </c>
    </row>
    <row r="36" spans="1:28" x14ac:dyDescent="0.25">
      <c r="A36">
        <v>5560</v>
      </c>
      <c r="B36">
        <v>22250</v>
      </c>
      <c r="C36" s="1">
        <v>42615</v>
      </c>
      <c r="G36">
        <v>22.2</v>
      </c>
      <c r="H36">
        <v>14.2</v>
      </c>
      <c r="I36">
        <v>29.6</v>
      </c>
      <c r="M36">
        <v>0</v>
      </c>
      <c r="N36">
        <v>4.2</v>
      </c>
      <c r="O36">
        <f t="shared" si="0"/>
        <v>-4.2</v>
      </c>
      <c r="P36">
        <v>0</v>
      </c>
      <c r="W36">
        <v>1752.8</v>
      </c>
    </row>
    <row r="37" spans="1:28" x14ac:dyDescent="0.25">
      <c r="A37">
        <v>5560</v>
      </c>
      <c r="B37">
        <v>22250</v>
      </c>
      <c r="C37" s="1">
        <v>42616</v>
      </c>
      <c r="G37">
        <v>21.9</v>
      </c>
      <c r="H37">
        <v>14.6</v>
      </c>
      <c r="I37">
        <v>27.9</v>
      </c>
      <c r="M37">
        <v>0</v>
      </c>
      <c r="N37">
        <v>3.7</v>
      </c>
      <c r="O37">
        <f t="shared" si="0"/>
        <v>-3.7</v>
      </c>
      <c r="P37">
        <v>0</v>
      </c>
      <c r="V37">
        <v>122.1</v>
      </c>
      <c r="W37">
        <v>1316.2</v>
      </c>
    </row>
    <row r="38" spans="1:28" x14ac:dyDescent="0.25">
      <c r="A38">
        <v>5560</v>
      </c>
      <c r="B38">
        <v>22250</v>
      </c>
      <c r="C38" s="1">
        <v>42617</v>
      </c>
      <c r="G38">
        <v>20.5</v>
      </c>
      <c r="H38">
        <v>16.5</v>
      </c>
      <c r="I38">
        <v>24.5</v>
      </c>
      <c r="M38">
        <v>0</v>
      </c>
      <c r="N38">
        <v>2.4</v>
      </c>
      <c r="O38">
        <f t="shared" si="0"/>
        <v>-2.4</v>
      </c>
      <c r="P38">
        <v>0</v>
      </c>
      <c r="V38">
        <f>V37/3</f>
        <v>40.699999999999996</v>
      </c>
      <c r="W38">
        <v>574</v>
      </c>
    </row>
    <row r="39" spans="1:28" s="9" customFormat="1" x14ac:dyDescent="0.25">
      <c r="A39" s="45" t="s">
        <v>32</v>
      </c>
      <c r="B39" s="45"/>
      <c r="C39" s="45"/>
      <c r="D39" s="45"/>
      <c r="E39" s="45"/>
      <c r="F39" s="45"/>
      <c r="L39" s="22"/>
    </row>
    <row r="40" spans="1:28" x14ac:dyDescent="0.25">
      <c r="A40">
        <v>5560</v>
      </c>
      <c r="B40">
        <v>22250</v>
      </c>
      <c r="C40" s="1">
        <v>42618</v>
      </c>
      <c r="F40" s="49" t="s">
        <v>52</v>
      </c>
      <c r="G40">
        <v>21</v>
      </c>
      <c r="H40">
        <v>18.8</v>
      </c>
      <c r="I40">
        <v>23.4</v>
      </c>
      <c r="J40">
        <f>G40</f>
        <v>21</v>
      </c>
      <c r="L40" s="11" t="s">
        <v>38</v>
      </c>
      <c r="M40">
        <v>0</v>
      </c>
      <c r="N40">
        <v>1.9</v>
      </c>
      <c r="O40">
        <f>M40-N40</f>
        <v>-1.9</v>
      </c>
      <c r="P40">
        <v>0</v>
      </c>
      <c r="Q40">
        <v>1</v>
      </c>
      <c r="R40">
        <v>0.35</v>
      </c>
      <c r="S40">
        <f>R40*N40</f>
        <v>0.66499999999999992</v>
      </c>
      <c r="T40" s="24">
        <f>M40-S40</f>
        <v>-0.66499999999999992</v>
      </c>
      <c r="U40" s="24">
        <v>0</v>
      </c>
      <c r="V40" s="25" t="s">
        <v>53</v>
      </c>
      <c r="W40">
        <v>594.4</v>
      </c>
      <c r="Y40">
        <f>W40</f>
        <v>594.4</v>
      </c>
      <c r="AA40">
        <v>12.887659111420684</v>
      </c>
      <c r="AB40" s="25" t="s">
        <v>58</v>
      </c>
    </row>
    <row r="41" spans="1:28" x14ac:dyDescent="0.25">
      <c r="A41">
        <v>5560</v>
      </c>
      <c r="B41">
        <v>22250</v>
      </c>
      <c r="C41" s="1">
        <v>42619</v>
      </c>
      <c r="F41" s="49"/>
      <c r="G41">
        <v>21.3</v>
      </c>
      <c r="H41">
        <v>18</v>
      </c>
      <c r="I41">
        <v>25.1</v>
      </c>
      <c r="J41">
        <f>J40+G41</f>
        <v>42.3</v>
      </c>
      <c r="L41" s="12">
        <v>992.9</v>
      </c>
      <c r="M41">
        <v>0</v>
      </c>
      <c r="N41">
        <v>2.9</v>
      </c>
      <c r="O41">
        <f t="shared" ref="O41:O104" si="2">M41-N41</f>
        <v>-2.9</v>
      </c>
      <c r="P41">
        <v>0</v>
      </c>
      <c r="Q41">
        <v>2</v>
      </c>
      <c r="R41">
        <v>0.35</v>
      </c>
      <c r="S41">
        <f t="shared" ref="S41:S104" si="3">R41*N41</f>
        <v>1.0149999999999999</v>
      </c>
      <c r="T41" s="24">
        <f t="shared" ref="T41:T104" si="4">M41-S41</f>
        <v>-1.0149999999999999</v>
      </c>
      <c r="U41" s="24">
        <v>0</v>
      </c>
      <c r="V41">
        <v>9</v>
      </c>
      <c r="W41">
        <v>1149</v>
      </c>
      <c r="Y41">
        <f>Y40+W41</f>
        <v>1743.4</v>
      </c>
      <c r="AA41">
        <v>12.830999627129868</v>
      </c>
      <c r="AB41">
        <v>63630.3</v>
      </c>
    </row>
    <row r="42" spans="1:28" x14ac:dyDescent="0.25">
      <c r="A42">
        <v>5560</v>
      </c>
      <c r="B42">
        <v>22250</v>
      </c>
      <c r="C42" s="1">
        <v>42620</v>
      </c>
      <c r="F42" s="49"/>
      <c r="G42">
        <v>20.5</v>
      </c>
      <c r="H42">
        <v>13.6</v>
      </c>
      <c r="I42">
        <v>26.3</v>
      </c>
      <c r="J42">
        <f t="shared" ref="J42:J105" si="5">J41+G42</f>
        <v>62.8</v>
      </c>
      <c r="L42" s="11" t="s">
        <v>39</v>
      </c>
      <c r="M42">
        <v>0</v>
      </c>
      <c r="N42">
        <v>4.9000000000000004</v>
      </c>
      <c r="O42">
        <f t="shared" si="2"/>
        <v>-4.9000000000000004</v>
      </c>
      <c r="P42">
        <v>0</v>
      </c>
      <c r="Q42">
        <v>3</v>
      </c>
      <c r="R42">
        <v>0.35</v>
      </c>
      <c r="S42">
        <f t="shared" si="3"/>
        <v>1.7150000000000001</v>
      </c>
      <c r="T42" s="24">
        <f t="shared" si="4"/>
        <v>-1.7150000000000001</v>
      </c>
      <c r="U42" s="24">
        <v>0</v>
      </c>
      <c r="V42" s="25" t="s">
        <v>54</v>
      </c>
      <c r="W42">
        <v>1989.1</v>
      </c>
      <c r="Y42">
        <f t="shared" ref="Y42:Y105" si="6">Y41+W42</f>
        <v>3732.5</v>
      </c>
      <c r="AA42">
        <v>12.77421577561465</v>
      </c>
      <c r="AB42" s="25" t="s">
        <v>59</v>
      </c>
    </row>
    <row r="43" spans="1:28" x14ac:dyDescent="0.25">
      <c r="A43">
        <v>5560</v>
      </c>
      <c r="B43">
        <v>22250</v>
      </c>
      <c r="C43" s="1">
        <v>42621</v>
      </c>
      <c r="F43" s="49"/>
      <c r="G43">
        <v>20.399999999999999</v>
      </c>
      <c r="H43">
        <v>15.7</v>
      </c>
      <c r="I43">
        <v>23.8</v>
      </c>
      <c r="J43">
        <f t="shared" si="5"/>
        <v>83.199999999999989</v>
      </c>
      <c r="L43" s="12">
        <f>AVERAGE(G40:G123)</f>
        <v>11.8202380952381</v>
      </c>
      <c r="M43">
        <v>0</v>
      </c>
      <c r="N43">
        <v>3.7</v>
      </c>
      <c r="O43">
        <f t="shared" si="2"/>
        <v>-3.7</v>
      </c>
      <c r="P43">
        <v>0</v>
      </c>
      <c r="Q43">
        <v>4</v>
      </c>
      <c r="R43">
        <v>0.35</v>
      </c>
      <c r="S43">
        <f t="shared" si="3"/>
        <v>1.2949999999999999</v>
      </c>
      <c r="T43" s="24">
        <f t="shared" si="4"/>
        <v>-1.2949999999999999</v>
      </c>
      <c r="U43" s="24">
        <v>0</v>
      </c>
      <c r="V43">
        <v>39</v>
      </c>
      <c r="W43">
        <v>1121.0999999999999</v>
      </c>
      <c r="Y43">
        <f t="shared" si="6"/>
        <v>4853.6000000000004</v>
      </c>
      <c r="AA43">
        <v>12.717317026331083</v>
      </c>
      <c r="AB43">
        <f>(AB41/100)/L41</f>
        <v>0.64085305670258841</v>
      </c>
    </row>
    <row r="44" spans="1:28" x14ac:dyDescent="0.25">
      <c r="A44">
        <v>5560</v>
      </c>
      <c r="B44">
        <v>22250</v>
      </c>
      <c r="C44" s="1">
        <v>42622</v>
      </c>
      <c r="F44" s="49"/>
      <c r="G44">
        <v>18.399999999999999</v>
      </c>
      <c r="H44">
        <v>10</v>
      </c>
      <c r="I44">
        <v>25.2</v>
      </c>
      <c r="J44">
        <f t="shared" si="5"/>
        <v>101.6</v>
      </c>
      <c r="L44" s="11" t="s">
        <v>40</v>
      </c>
      <c r="M44">
        <v>0</v>
      </c>
      <c r="N44">
        <v>3.8</v>
      </c>
      <c r="O44">
        <f t="shared" si="2"/>
        <v>-3.8</v>
      </c>
      <c r="P44">
        <v>0</v>
      </c>
      <c r="Q44">
        <v>5</v>
      </c>
      <c r="R44">
        <v>0.35</v>
      </c>
      <c r="S44">
        <f t="shared" si="3"/>
        <v>1.3299999999999998</v>
      </c>
      <c r="T44" s="24">
        <f t="shared" si="4"/>
        <v>-1.3299999999999998</v>
      </c>
      <c r="U44" s="24">
        <v>0</v>
      </c>
      <c r="V44" s="25" t="s">
        <v>55</v>
      </c>
      <c r="W44">
        <v>1836.1</v>
      </c>
      <c r="Y44">
        <f t="shared" si="6"/>
        <v>6689.7000000000007</v>
      </c>
      <c r="AA44">
        <v>12.660312659289341</v>
      </c>
      <c r="AB44" s="25" t="s">
        <v>60</v>
      </c>
    </row>
    <row r="45" spans="1:28" x14ac:dyDescent="0.25">
      <c r="A45">
        <v>5560</v>
      </c>
      <c r="B45">
        <v>22250</v>
      </c>
      <c r="C45" s="1">
        <v>42623</v>
      </c>
      <c r="F45" s="49"/>
      <c r="G45">
        <v>18.600000000000001</v>
      </c>
      <c r="H45">
        <v>10.8</v>
      </c>
      <c r="I45">
        <v>24.8</v>
      </c>
      <c r="J45">
        <f t="shared" si="5"/>
        <v>120.19999999999999</v>
      </c>
      <c r="L45" s="13">
        <f>MIN(H40:H123)</f>
        <v>-1</v>
      </c>
      <c r="M45">
        <v>0</v>
      </c>
      <c r="N45">
        <v>3.4</v>
      </c>
      <c r="O45">
        <f t="shared" si="2"/>
        <v>-3.4</v>
      </c>
      <c r="P45">
        <v>0</v>
      </c>
      <c r="Q45">
        <v>6</v>
      </c>
      <c r="R45">
        <f>0.35+((Q45-5)/79)*(1-0.35)</f>
        <v>0.35822784810126579</v>
      </c>
      <c r="S45">
        <f t="shared" si="3"/>
        <v>1.2179746835443037</v>
      </c>
      <c r="T45" s="24">
        <f t="shared" si="4"/>
        <v>-1.2179746835443037</v>
      </c>
      <c r="U45" s="24">
        <v>0</v>
      </c>
      <c r="V45">
        <v>0</v>
      </c>
      <c r="W45">
        <v>1740.5</v>
      </c>
      <c r="Y45">
        <f t="shared" si="6"/>
        <v>8430.2000000000007</v>
      </c>
      <c r="AA45">
        <v>12.603211778403486</v>
      </c>
      <c r="AB45">
        <v>51</v>
      </c>
    </row>
    <row r="46" spans="1:28" x14ac:dyDescent="0.25">
      <c r="A46">
        <v>5560</v>
      </c>
      <c r="B46">
        <v>22250</v>
      </c>
      <c r="C46" s="1">
        <v>42624</v>
      </c>
      <c r="F46" s="49"/>
      <c r="G46">
        <v>21.1</v>
      </c>
      <c r="H46">
        <v>15.8</v>
      </c>
      <c r="I46">
        <v>26.3</v>
      </c>
      <c r="J46">
        <f t="shared" si="5"/>
        <v>141.29999999999998</v>
      </c>
      <c r="L46" s="11" t="s">
        <v>41</v>
      </c>
      <c r="M46">
        <v>0</v>
      </c>
      <c r="N46">
        <v>2.4</v>
      </c>
      <c r="O46">
        <f t="shared" si="2"/>
        <v>-2.4</v>
      </c>
      <c r="P46">
        <v>0</v>
      </c>
      <c r="Q46">
        <v>7</v>
      </c>
      <c r="R46">
        <f t="shared" ref="R46:R109" si="7">0.35+((Q46-5)/79)*(1-0.35)</f>
        <v>0.3664556962025316</v>
      </c>
      <c r="S46">
        <f t="shared" si="3"/>
        <v>0.87949367088607577</v>
      </c>
      <c r="T46" s="24">
        <f t="shared" si="4"/>
        <v>-0.87949367088607577</v>
      </c>
      <c r="U46" s="24">
        <v>0</v>
      </c>
      <c r="V46" s="25" t="s">
        <v>56</v>
      </c>
      <c r="W46">
        <v>1222.0999999999999</v>
      </c>
      <c r="Y46">
        <f t="shared" si="6"/>
        <v>9652.3000000000011</v>
      </c>
      <c r="AA46">
        <v>12.546023325011022</v>
      </c>
    </row>
    <row r="47" spans="1:28" x14ac:dyDescent="0.25">
      <c r="A47">
        <v>5560</v>
      </c>
      <c r="B47">
        <v>22250</v>
      </c>
      <c r="C47" s="1">
        <v>42625</v>
      </c>
      <c r="F47" s="49"/>
      <c r="G47">
        <v>23.2</v>
      </c>
      <c r="H47">
        <v>15.3</v>
      </c>
      <c r="I47">
        <v>30.3</v>
      </c>
      <c r="J47">
        <f t="shared" si="5"/>
        <v>164.49999999999997</v>
      </c>
      <c r="L47" s="12">
        <f>MAX(I40:I123)</f>
        <v>32.4</v>
      </c>
      <c r="M47">
        <v>0</v>
      </c>
      <c r="N47">
        <v>3.4</v>
      </c>
      <c r="O47">
        <f t="shared" si="2"/>
        <v>-3.4</v>
      </c>
      <c r="P47">
        <v>0</v>
      </c>
      <c r="Q47">
        <v>8</v>
      </c>
      <c r="R47">
        <f t="shared" si="7"/>
        <v>0.37468354430379747</v>
      </c>
      <c r="S47">
        <f t="shared" si="3"/>
        <v>1.2739240506329113</v>
      </c>
      <c r="T47" s="24">
        <f t="shared" si="4"/>
        <v>-1.2739240506329113</v>
      </c>
      <c r="U47" s="24">
        <v>0</v>
      </c>
      <c r="V47" s="24">
        <f>MAX(U40:U123)</f>
        <v>111.76765822784813</v>
      </c>
      <c r="W47">
        <v>1368.4</v>
      </c>
      <c r="Y47">
        <f t="shared" si="6"/>
        <v>11020.7</v>
      </c>
      <c r="AA47">
        <v>12.488756091543813</v>
      </c>
    </row>
    <row r="48" spans="1:28" x14ac:dyDescent="0.25">
      <c r="A48">
        <v>5560</v>
      </c>
      <c r="B48">
        <v>22250</v>
      </c>
      <c r="C48" s="1">
        <v>42626</v>
      </c>
      <c r="F48" s="49"/>
      <c r="G48">
        <v>24.8</v>
      </c>
      <c r="H48">
        <v>18.399999999999999</v>
      </c>
      <c r="I48">
        <v>32.4</v>
      </c>
      <c r="J48">
        <f t="shared" si="5"/>
        <v>189.29999999999998</v>
      </c>
      <c r="L48" s="11" t="s">
        <v>42</v>
      </c>
      <c r="M48">
        <v>0</v>
      </c>
      <c r="N48">
        <v>4.5</v>
      </c>
      <c r="O48">
        <f t="shared" si="2"/>
        <v>-4.5</v>
      </c>
      <c r="P48">
        <v>0</v>
      </c>
      <c r="Q48">
        <v>9</v>
      </c>
      <c r="R48">
        <f t="shared" si="7"/>
        <v>0.38291139240506328</v>
      </c>
      <c r="S48">
        <f t="shared" si="3"/>
        <v>1.7231012658227847</v>
      </c>
      <c r="T48" s="24">
        <f t="shared" si="4"/>
        <v>-1.7231012658227847</v>
      </c>
      <c r="U48" s="24">
        <v>0</v>
      </c>
      <c r="V48" s="25" t="s">
        <v>57</v>
      </c>
      <c r="W48">
        <v>1540.3</v>
      </c>
      <c r="Y48">
        <f t="shared" si="6"/>
        <v>12561</v>
      </c>
      <c r="AA48">
        <v>12.43141873533316</v>
      </c>
    </row>
    <row r="49" spans="1:27" x14ac:dyDescent="0.25">
      <c r="A49">
        <v>5560</v>
      </c>
      <c r="B49">
        <v>22250</v>
      </c>
      <c r="C49" s="1">
        <v>42627</v>
      </c>
      <c r="F49" s="49"/>
      <c r="G49">
        <v>16.600000000000001</v>
      </c>
      <c r="H49">
        <v>15.6</v>
      </c>
      <c r="I49">
        <v>17.600000000000001</v>
      </c>
      <c r="J49">
        <f t="shared" si="5"/>
        <v>205.89999999999998</v>
      </c>
      <c r="L49" s="12">
        <v>8</v>
      </c>
      <c r="M49">
        <v>14.7</v>
      </c>
      <c r="N49">
        <v>1.3</v>
      </c>
      <c r="O49">
        <f t="shared" si="2"/>
        <v>13.399999999999999</v>
      </c>
      <c r="P49">
        <f t="shared" ref="P49:P105" si="8">P48+O49</f>
        <v>13.399999999999999</v>
      </c>
      <c r="Q49">
        <v>10</v>
      </c>
      <c r="R49">
        <f t="shared" si="7"/>
        <v>0.39113924050632909</v>
      </c>
      <c r="S49">
        <f t="shared" si="3"/>
        <v>0.50848101265822787</v>
      </c>
      <c r="T49" s="24">
        <f t="shared" si="4"/>
        <v>14.191518987341771</v>
      </c>
      <c r="U49" s="24">
        <f>MIN(122.1,U48+T49)</f>
        <v>14.191518987341771</v>
      </c>
      <c r="V49" s="24">
        <f>AVERAGE(U40:U123)</f>
        <v>38.155864978902969</v>
      </c>
      <c r="W49">
        <v>754.8</v>
      </c>
      <c r="Y49">
        <f t="shared" si="6"/>
        <v>13315.8</v>
      </c>
      <c r="AA49">
        <v>12.374019792532945</v>
      </c>
    </row>
    <row r="50" spans="1:27" x14ac:dyDescent="0.25">
      <c r="A50">
        <v>5560</v>
      </c>
      <c r="B50">
        <v>22250</v>
      </c>
      <c r="C50" s="1">
        <v>42628</v>
      </c>
      <c r="F50" s="49"/>
      <c r="G50">
        <v>16</v>
      </c>
      <c r="H50">
        <v>13.6</v>
      </c>
      <c r="I50">
        <v>18.600000000000001</v>
      </c>
      <c r="J50">
        <f t="shared" si="5"/>
        <v>221.89999999999998</v>
      </c>
      <c r="L50" s="11" t="s">
        <v>43</v>
      </c>
      <c r="M50">
        <v>0.9</v>
      </c>
      <c r="N50">
        <v>2.1</v>
      </c>
      <c r="O50">
        <f t="shared" si="2"/>
        <v>-1.2000000000000002</v>
      </c>
      <c r="P50">
        <f t="shared" si="8"/>
        <v>12.2</v>
      </c>
      <c r="Q50">
        <v>11</v>
      </c>
      <c r="R50">
        <f t="shared" si="7"/>
        <v>0.3993670886075949</v>
      </c>
      <c r="S50">
        <f t="shared" si="3"/>
        <v>0.83867088607594931</v>
      </c>
      <c r="T50" s="24">
        <f t="shared" si="4"/>
        <v>6.1329113924050715E-2</v>
      </c>
      <c r="U50" s="24">
        <f t="shared" ref="U50:U113" si="9">MIN(122.1,U49+T50)</f>
        <v>14.252848101265823</v>
      </c>
      <c r="W50">
        <v>1165</v>
      </c>
      <c r="Y50">
        <f t="shared" si="6"/>
        <v>14480.8</v>
      </c>
      <c r="AA50">
        <v>12.316567692145647</v>
      </c>
    </row>
    <row r="51" spans="1:27" x14ac:dyDescent="0.25">
      <c r="A51">
        <v>5560</v>
      </c>
      <c r="B51">
        <v>22250</v>
      </c>
      <c r="C51" s="1">
        <v>42629</v>
      </c>
      <c r="F51" s="49"/>
      <c r="G51">
        <v>13.4</v>
      </c>
      <c r="H51">
        <v>10.199999999999999</v>
      </c>
      <c r="I51">
        <v>16.2</v>
      </c>
      <c r="J51">
        <f t="shared" si="5"/>
        <v>235.29999999999998</v>
      </c>
      <c r="L51" s="12">
        <v>20</v>
      </c>
      <c r="M51">
        <v>6.2</v>
      </c>
      <c r="N51">
        <v>0.9</v>
      </c>
      <c r="O51">
        <f t="shared" si="2"/>
        <v>5.3</v>
      </c>
      <c r="P51">
        <f t="shared" si="8"/>
        <v>17.5</v>
      </c>
      <c r="Q51">
        <v>12</v>
      </c>
      <c r="R51">
        <f t="shared" si="7"/>
        <v>0.40759493670886071</v>
      </c>
      <c r="S51">
        <f t="shared" si="3"/>
        <v>0.36683544303797466</v>
      </c>
      <c r="T51" s="24">
        <f t="shared" si="4"/>
        <v>5.8331645569620258</v>
      </c>
      <c r="U51" s="24">
        <f t="shared" si="9"/>
        <v>20.086012658227848</v>
      </c>
      <c r="V51">
        <f>(V49*100)/122.1</f>
        <v>31.2496846674062</v>
      </c>
      <c r="W51">
        <v>625.5</v>
      </c>
      <c r="Y51">
        <f t="shared" si="6"/>
        <v>15106.3</v>
      </c>
      <c r="AA51">
        <v>12.259070770137125</v>
      </c>
    </row>
    <row r="52" spans="1:27" x14ac:dyDescent="0.25">
      <c r="A52">
        <v>5560</v>
      </c>
      <c r="B52">
        <v>22250</v>
      </c>
      <c r="C52" s="1">
        <v>42630</v>
      </c>
      <c r="F52" s="49"/>
      <c r="G52">
        <v>14.6</v>
      </c>
      <c r="H52">
        <v>11.9</v>
      </c>
      <c r="I52">
        <v>17.399999999999999</v>
      </c>
      <c r="J52">
        <f t="shared" si="5"/>
        <v>249.89999999999998</v>
      </c>
      <c r="L52" s="11" t="s">
        <v>44</v>
      </c>
      <c r="M52">
        <v>0.6</v>
      </c>
      <c r="N52">
        <v>2.2999999999999998</v>
      </c>
      <c r="O52">
        <f t="shared" si="2"/>
        <v>-1.6999999999999997</v>
      </c>
      <c r="P52">
        <f t="shared" si="8"/>
        <v>15.8</v>
      </c>
      <c r="Q52">
        <v>13</v>
      </c>
      <c r="R52">
        <f t="shared" si="7"/>
        <v>0.41582278481012658</v>
      </c>
      <c r="S52">
        <f t="shared" si="3"/>
        <v>0.95639240506329104</v>
      </c>
      <c r="T52" s="24">
        <f t="shared" si="4"/>
        <v>-0.35639240506329106</v>
      </c>
      <c r="U52" s="24">
        <f t="shared" si="9"/>
        <v>19.729620253164555</v>
      </c>
      <c r="W52">
        <v>1226.4000000000001</v>
      </c>
      <c r="Y52">
        <f t="shared" si="6"/>
        <v>16332.699999999999</v>
      </c>
      <c r="AA52">
        <v>12.201537283626632</v>
      </c>
    </row>
    <row r="53" spans="1:27" x14ac:dyDescent="0.25">
      <c r="A53">
        <v>5560</v>
      </c>
      <c r="B53">
        <v>22250</v>
      </c>
      <c r="C53" s="1">
        <v>42631</v>
      </c>
      <c r="F53" s="49"/>
      <c r="G53">
        <v>15.4</v>
      </c>
      <c r="H53">
        <v>12.9</v>
      </c>
      <c r="I53">
        <v>17.3</v>
      </c>
      <c r="J53">
        <f t="shared" si="5"/>
        <v>265.29999999999995</v>
      </c>
      <c r="L53" s="12">
        <v>2</v>
      </c>
      <c r="M53">
        <v>0</v>
      </c>
      <c r="N53">
        <v>0.8</v>
      </c>
      <c r="O53">
        <f t="shared" si="2"/>
        <v>-0.8</v>
      </c>
      <c r="P53">
        <f t="shared" si="8"/>
        <v>15</v>
      </c>
      <c r="Q53">
        <v>14</v>
      </c>
      <c r="R53">
        <f t="shared" si="7"/>
        <v>0.42405063291139239</v>
      </c>
      <c r="S53">
        <f t="shared" si="3"/>
        <v>0.33924050632911396</v>
      </c>
      <c r="T53" s="24">
        <f t="shared" si="4"/>
        <v>-0.33924050632911396</v>
      </c>
      <c r="U53" s="24">
        <f t="shared" si="9"/>
        <v>19.390379746835443</v>
      </c>
      <c r="W53">
        <v>409.8</v>
      </c>
      <c r="Y53">
        <f t="shared" si="6"/>
        <v>16742.5</v>
      </c>
      <c r="AA53">
        <v>12.14397542513937</v>
      </c>
    </row>
    <row r="54" spans="1:27" x14ac:dyDescent="0.25">
      <c r="A54">
        <v>5560</v>
      </c>
      <c r="B54">
        <v>22250</v>
      </c>
      <c r="C54" s="1">
        <v>42632</v>
      </c>
      <c r="F54" s="49"/>
      <c r="G54">
        <v>16.3</v>
      </c>
      <c r="H54">
        <v>13.6</v>
      </c>
      <c r="I54">
        <v>19.2</v>
      </c>
      <c r="J54">
        <f t="shared" si="5"/>
        <v>281.59999999999997</v>
      </c>
      <c r="M54">
        <v>0</v>
      </c>
      <c r="N54">
        <v>2.2000000000000002</v>
      </c>
      <c r="O54">
        <f t="shared" si="2"/>
        <v>-2.2000000000000002</v>
      </c>
      <c r="P54">
        <f t="shared" si="8"/>
        <v>12.8</v>
      </c>
      <c r="Q54">
        <v>15</v>
      </c>
      <c r="R54">
        <f t="shared" si="7"/>
        <v>0.4322784810126582</v>
      </c>
      <c r="S54">
        <f t="shared" si="3"/>
        <v>0.95101265822784808</v>
      </c>
      <c r="T54" s="24">
        <f t="shared" si="4"/>
        <v>-0.95101265822784808</v>
      </c>
      <c r="U54" s="24">
        <f t="shared" si="9"/>
        <v>18.439367088607593</v>
      </c>
      <c r="W54">
        <v>1334.5</v>
      </c>
      <c r="Y54">
        <f t="shared" si="6"/>
        <v>18077</v>
      </c>
      <c r="AA54">
        <v>12.086393336909399</v>
      </c>
    </row>
    <row r="55" spans="1:27" x14ac:dyDescent="0.25">
      <c r="A55">
        <v>5560</v>
      </c>
      <c r="B55">
        <v>22250</v>
      </c>
      <c r="C55" s="1">
        <v>42633</v>
      </c>
      <c r="F55" s="49"/>
      <c r="G55">
        <v>15.8</v>
      </c>
      <c r="H55">
        <v>10.9</v>
      </c>
      <c r="I55">
        <v>20.6</v>
      </c>
      <c r="J55">
        <f t="shared" si="5"/>
        <v>297.39999999999998</v>
      </c>
      <c r="M55">
        <v>0</v>
      </c>
      <c r="N55">
        <v>2.2000000000000002</v>
      </c>
      <c r="O55">
        <f t="shared" si="2"/>
        <v>-2.2000000000000002</v>
      </c>
      <c r="P55">
        <f t="shared" si="8"/>
        <v>10.600000000000001</v>
      </c>
      <c r="Q55">
        <v>16</v>
      </c>
      <c r="R55">
        <f t="shared" si="7"/>
        <v>0.44050632911392401</v>
      </c>
      <c r="S55">
        <f t="shared" si="3"/>
        <v>0.9691139240506329</v>
      </c>
      <c r="T55" s="24">
        <f t="shared" si="4"/>
        <v>-0.9691139240506329</v>
      </c>
      <c r="U55" s="24">
        <f t="shared" si="9"/>
        <v>17.470253164556961</v>
      </c>
      <c r="W55">
        <v>1230.8</v>
      </c>
      <c r="Y55">
        <f t="shared" si="6"/>
        <v>19307.8</v>
      </c>
      <c r="AA55">
        <v>12.028799125221227</v>
      </c>
    </row>
    <row r="56" spans="1:27" x14ac:dyDescent="0.25">
      <c r="A56">
        <v>5560</v>
      </c>
      <c r="B56">
        <v>22250</v>
      </c>
      <c r="C56" s="1">
        <v>42634</v>
      </c>
      <c r="F56" s="49"/>
      <c r="G56">
        <v>15.3</v>
      </c>
      <c r="H56">
        <v>8.5</v>
      </c>
      <c r="I56">
        <v>20.3</v>
      </c>
      <c r="J56">
        <f t="shared" si="5"/>
        <v>312.7</v>
      </c>
      <c r="M56">
        <v>0</v>
      </c>
      <c r="N56">
        <v>2.6</v>
      </c>
      <c r="O56">
        <f t="shared" si="2"/>
        <v>-2.6</v>
      </c>
      <c r="P56">
        <f t="shared" si="8"/>
        <v>8.0000000000000018</v>
      </c>
      <c r="Q56">
        <v>17</v>
      </c>
      <c r="R56">
        <f t="shared" si="7"/>
        <v>0.44873417721518988</v>
      </c>
      <c r="S56">
        <f t="shared" si="3"/>
        <v>1.1667088607594938</v>
      </c>
      <c r="T56" s="24">
        <f t="shared" si="4"/>
        <v>-1.1667088607594938</v>
      </c>
      <c r="U56" s="24">
        <f t="shared" si="9"/>
        <v>16.303544303797466</v>
      </c>
      <c r="W56">
        <v>1603.7</v>
      </c>
      <c r="Y56">
        <f t="shared" si="6"/>
        <v>20911.5</v>
      </c>
      <c r="AA56">
        <v>11.971200874778772</v>
      </c>
    </row>
    <row r="57" spans="1:27" x14ac:dyDescent="0.25">
      <c r="A57">
        <v>5560</v>
      </c>
      <c r="B57">
        <v>22250</v>
      </c>
      <c r="C57" s="1">
        <v>42635</v>
      </c>
      <c r="F57" s="49"/>
      <c r="G57">
        <v>15.8</v>
      </c>
      <c r="H57">
        <v>8.6999999999999993</v>
      </c>
      <c r="I57">
        <v>22.8</v>
      </c>
      <c r="J57">
        <f t="shared" si="5"/>
        <v>328.5</v>
      </c>
      <c r="M57">
        <v>0</v>
      </c>
      <c r="N57">
        <v>1.9</v>
      </c>
      <c r="O57">
        <f t="shared" si="2"/>
        <v>-1.9</v>
      </c>
      <c r="P57">
        <f t="shared" si="8"/>
        <v>6.1000000000000014</v>
      </c>
      <c r="Q57">
        <v>18</v>
      </c>
      <c r="R57">
        <f t="shared" si="7"/>
        <v>0.45696202531645569</v>
      </c>
      <c r="S57">
        <f t="shared" si="3"/>
        <v>0.86822784810126574</v>
      </c>
      <c r="T57" s="24">
        <f t="shared" si="4"/>
        <v>-0.86822784810126574</v>
      </c>
      <c r="U57" s="24">
        <f t="shared" si="9"/>
        <v>15.435316455696199</v>
      </c>
      <c r="W57">
        <v>1278.0999999999999</v>
      </c>
      <c r="Y57">
        <f t="shared" si="6"/>
        <v>22189.599999999999</v>
      </c>
      <c r="AA57">
        <v>11.913606663090601</v>
      </c>
    </row>
    <row r="58" spans="1:27" x14ac:dyDescent="0.25">
      <c r="A58">
        <v>5560</v>
      </c>
      <c r="B58">
        <v>22250</v>
      </c>
      <c r="C58" s="1">
        <v>42636</v>
      </c>
      <c r="F58" s="49"/>
      <c r="G58">
        <v>16.7</v>
      </c>
      <c r="H58">
        <v>11.8</v>
      </c>
      <c r="I58">
        <v>22.8</v>
      </c>
      <c r="J58">
        <f t="shared" si="5"/>
        <v>345.2</v>
      </c>
      <c r="M58">
        <v>0</v>
      </c>
      <c r="N58">
        <v>1.9</v>
      </c>
      <c r="O58">
        <f t="shared" si="2"/>
        <v>-1.9</v>
      </c>
      <c r="P58">
        <f t="shared" si="8"/>
        <v>4.2000000000000011</v>
      </c>
      <c r="Q58">
        <v>19</v>
      </c>
      <c r="R58">
        <f t="shared" si="7"/>
        <v>0.4651898734177215</v>
      </c>
      <c r="S58">
        <f t="shared" si="3"/>
        <v>0.88386075949367082</v>
      </c>
      <c r="T58" s="24">
        <f t="shared" si="4"/>
        <v>-0.88386075949367082</v>
      </c>
      <c r="U58" s="24">
        <f t="shared" si="9"/>
        <v>14.551455696202529</v>
      </c>
      <c r="W58">
        <v>1216.7</v>
      </c>
      <c r="Y58">
        <f t="shared" si="6"/>
        <v>23406.3</v>
      </c>
      <c r="AA58">
        <v>11.85602457486063</v>
      </c>
    </row>
    <row r="59" spans="1:27" x14ac:dyDescent="0.25">
      <c r="A59">
        <v>5560</v>
      </c>
      <c r="B59">
        <v>22250</v>
      </c>
      <c r="C59" s="1">
        <v>42637</v>
      </c>
      <c r="F59" s="49"/>
      <c r="G59">
        <v>17.5</v>
      </c>
      <c r="H59">
        <v>9.3000000000000007</v>
      </c>
      <c r="I59">
        <v>25.6</v>
      </c>
      <c r="J59">
        <f t="shared" si="5"/>
        <v>362.7</v>
      </c>
      <c r="M59">
        <v>0</v>
      </c>
      <c r="N59">
        <v>3.6</v>
      </c>
      <c r="O59">
        <f t="shared" si="2"/>
        <v>-3.6</v>
      </c>
      <c r="P59">
        <f t="shared" si="8"/>
        <v>0.60000000000000098</v>
      </c>
      <c r="Q59">
        <v>20</v>
      </c>
      <c r="R59">
        <f t="shared" si="7"/>
        <v>0.47341772151898731</v>
      </c>
      <c r="S59">
        <f t="shared" si="3"/>
        <v>1.7043037974683544</v>
      </c>
      <c r="T59" s="24">
        <f t="shared" si="4"/>
        <v>-1.7043037974683544</v>
      </c>
      <c r="U59" s="24">
        <f t="shared" si="9"/>
        <v>12.847151898734175</v>
      </c>
      <c r="W59">
        <v>1690</v>
      </c>
      <c r="Y59">
        <f t="shared" si="6"/>
        <v>25096.3</v>
      </c>
      <c r="AA59">
        <v>11.798462716373367</v>
      </c>
    </row>
    <row r="60" spans="1:27" x14ac:dyDescent="0.25">
      <c r="A60">
        <v>5560</v>
      </c>
      <c r="B60">
        <v>22250</v>
      </c>
      <c r="C60" s="1">
        <v>42638</v>
      </c>
      <c r="F60" s="49"/>
      <c r="G60">
        <v>14.8</v>
      </c>
      <c r="H60">
        <v>13.2</v>
      </c>
      <c r="I60">
        <v>18.100000000000001</v>
      </c>
      <c r="J60">
        <f t="shared" si="5"/>
        <v>377.5</v>
      </c>
      <c r="M60">
        <v>1.1000000000000001</v>
      </c>
      <c r="N60">
        <v>1.6</v>
      </c>
      <c r="O60">
        <f t="shared" si="2"/>
        <v>-0.5</v>
      </c>
      <c r="P60">
        <f t="shared" si="8"/>
        <v>0.10000000000000098</v>
      </c>
      <c r="Q60">
        <v>21</v>
      </c>
      <c r="R60">
        <f t="shared" si="7"/>
        <v>0.48164556962025318</v>
      </c>
      <c r="S60">
        <f t="shared" si="3"/>
        <v>0.77063291139240508</v>
      </c>
      <c r="T60" s="24">
        <f t="shared" si="4"/>
        <v>0.329367088607595</v>
      </c>
      <c r="U60" s="24">
        <f t="shared" si="9"/>
        <v>13.176518987341771</v>
      </c>
      <c r="W60">
        <v>855.6</v>
      </c>
      <c r="Y60">
        <f t="shared" si="6"/>
        <v>25951.899999999998</v>
      </c>
      <c r="AA60">
        <v>11.740929229862875</v>
      </c>
    </row>
    <row r="61" spans="1:27" x14ac:dyDescent="0.25">
      <c r="A61">
        <v>5560</v>
      </c>
      <c r="B61">
        <v>22250</v>
      </c>
      <c r="C61" s="1">
        <v>42639</v>
      </c>
      <c r="F61" s="49"/>
      <c r="G61">
        <v>14.2</v>
      </c>
      <c r="H61">
        <v>8.1999999999999993</v>
      </c>
      <c r="I61">
        <v>20.5</v>
      </c>
      <c r="J61">
        <f t="shared" si="5"/>
        <v>391.7</v>
      </c>
      <c r="M61">
        <v>0</v>
      </c>
      <c r="N61">
        <v>1.8</v>
      </c>
      <c r="O61">
        <f t="shared" si="2"/>
        <v>-1.8</v>
      </c>
      <c r="P61">
        <v>0</v>
      </c>
      <c r="Q61">
        <v>22</v>
      </c>
      <c r="R61">
        <f t="shared" si="7"/>
        <v>0.48987341772151899</v>
      </c>
      <c r="S61">
        <f t="shared" si="3"/>
        <v>0.88177215189873415</v>
      </c>
      <c r="T61" s="24">
        <f t="shared" si="4"/>
        <v>-0.88177215189873415</v>
      </c>
      <c r="U61" s="24">
        <f t="shared" si="9"/>
        <v>12.294746835443037</v>
      </c>
      <c r="W61">
        <v>1028.2</v>
      </c>
      <c r="Y61">
        <f t="shared" si="6"/>
        <v>26980.1</v>
      </c>
      <c r="AA61">
        <v>11.683432307854352</v>
      </c>
    </row>
    <row r="62" spans="1:27" x14ac:dyDescent="0.25">
      <c r="A62">
        <v>5560</v>
      </c>
      <c r="B62">
        <v>22250</v>
      </c>
      <c r="C62" s="1">
        <v>42640</v>
      </c>
      <c r="F62" s="49"/>
      <c r="G62">
        <v>15.1</v>
      </c>
      <c r="H62">
        <v>7.4</v>
      </c>
      <c r="I62">
        <v>22.9</v>
      </c>
      <c r="J62">
        <f t="shared" si="5"/>
        <v>406.8</v>
      </c>
      <c r="M62">
        <v>0</v>
      </c>
      <c r="N62">
        <v>2.6</v>
      </c>
      <c r="O62">
        <f t="shared" si="2"/>
        <v>-2.6</v>
      </c>
      <c r="P62">
        <v>0</v>
      </c>
      <c r="Q62">
        <v>23</v>
      </c>
      <c r="R62">
        <f t="shared" si="7"/>
        <v>0.4981012658227848</v>
      </c>
      <c r="S62">
        <f t="shared" si="3"/>
        <v>1.2950632911392406</v>
      </c>
      <c r="T62" s="24">
        <f t="shared" si="4"/>
        <v>-1.2950632911392406</v>
      </c>
      <c r="U62" s="24">
        <f t="shared" si="9"/>
        <v>10.999683544303796</v>
      </c>
      <c r="W62">
        <v>1468.8</v>
      </c>
      <c r="Y62">
        <f t="shared" si="6"/>
        <v>28448.899999999998</v>
      </c>
      <c r="AA62">
        <v>11.625980207467055</v>
      </c>
    </row>
    <row r="63" spans="1:27" x14ac:dyDescent="0.25">
      <c r="A63">
        <v>5560</v>
      </c>
      <c r="B63">
        <v>22250</v>
      </c>
      <c r="C63" s="1">
        <v>42641</v>
      </c>
      <c r="F63" s="49"/>
      <c r="G63">
        <v>16.100000000000001</v>
      </c>
      <c r="H63">
        <v>9</v>
      </c>
      <c r="I63">
        <v>23.3</v>
      </c>
      <c r="J63">
        <f t="shared" si="5"/>
        <v>422.90000000000003</v>
      </c>
      <c r="M63">
        <v>0</v>
      </c>
      <c r="N63">
        <v>2.6</v>
      </c>
      <c r="O63">
        <f t="shared" si="2"/>
        <v>-2.6</v>
      </c>
      <c r="P63">
        <v>0</v>
      </c>
      <c r="Q63">
        <v>24</v>
      </c>
      <c r="R63">
        <f t="shared" si="7"/>
        <v>0.50632911392405067</v>
      </c>
      <c r="S63">
        <f t="shared" si="3"/>
        <v>1.3164556962025318</v>
      </c>
      <c r="T63" s="24">
        <f t="shared" si="4"/>
        <v>-1.3164556962025318</v>
      </c>
      <c r="U63" s="24">
        <f t="shared" si="9"/>
        <v>9.6832278481012644</v>
      </c>
      <c r="W63">
        <v>1364.7</v>
      </c>
      <c r="Y63">
        <f t="shared" si="6"/>
        <v>29813.599999999999</v>
      </c>
      <c r="AA63">
        <v>11.568581264666836</v>
      </c>
    </row>
    <row r="64" spans="1:27" x14ac:dyDescent="0.25">
      <c r="A64">
        <v>5560</v>
      </c>
      <c r="B64">
        <v>22250</v>
      </c>
      <c r="C64" s="1">
        <v>42642</v>
      </c>
      <c r="F64" s="49"/>
      <c r="G64">
        <v>18.2</v>
      </c>
      <c r="H64">
        <v>10.8</v>
      </c>
      <c r="I64">
        <v>26.1</v>
      </c>
      <c r="J64">
        <f t="shared" si="5"/>
        <v>441.1</v>
      </c>
      <c r="M64">
        <v>0</v>
      </c>
      <c r="N64">
        <v>4.2</v>
      </c>
      <c r="O64">
        <f t="shared" si="2"/>
        <v>-4.2</v>
      </c>
      <c r="P64">
        <v>0</v>
      </c>
      <c r="Q64">
        <v>25</v>
      </c>
      <c r="R64">
        <f t="shared" si="7"/>
        <v>0.51455696202531642</v>
      </c>
      <c r="S64">
        <f t="shared" si="3"/>
        <v>2.161139240506329</v>
      </c>
      <c r="T64" s="24">
        <f t="shared" si="4"/>
        <v>-2.161139240506329</v>
      </c>
      <c r="U64" s="24">
        <f t="shared" si="9"/>
        <v>7.5220886075949354</v>
      </c>
      <c r="W64">
        <v>1743.3</v>
      </c>
      <c r="Y64">
        <f t="shared" si="6"/>
        <v>31556.899999999998</v>
      </c>
      <c r="AA64">
        <v>11.511243908456187</v>
      </c>
    </row>
    <row r="65" spans="1:27" x14ac:dyDescent="0.25">
      <c r="A65">
        <v>5560</v>
      </c>
      <c r="B65">
        <v>22250</v>
      </c>
      <c r="C65" s="1">
        <v>42643</v>
      </c>
      <c r="F65" s="49"/>
      <c r="G65">
        <v>16.600000000000001</v>
      </c>
      <c r="H65">
        <v>14.4</v>
      </c>
      <c r="I65">
        <v>19.899999999999999</v>
      </c>
      <c r="J65">
        <f t="shared" si="5"/>
        <v>457.70000000000005</v>
      </c>
      <c r="M65">
        <v>12.5</v>
      </c>
      <c r="N65">
        <v>1.3</v>
      </c>
      <c r="O65">
        <f t="shared" si="2"/>
        <v>11.2</v>
      </c>
      <c r="P65">
        <f t="shared" si="8"/>
        <v>11.2</v>
      </c>
      <c r="Q65">
        <v>26</v>
      </c>
      <c r="R65">
        <f t="shared" si="7"/>
        <v>0.52278481012658218</v>
      </c>
      <c r="S65">
        <f t="shared" si="3"/>
        <v>0.67962025316455688</v>
      </c>
      <c r="T65" s="24">
        <f t="shared" si="4"/>
        <v>11.820379746835442</v>
      </c>
      <c r="U65" s="24">
        <f t="shared" si="9"/>
        <v>19.342468354430377</v>
      </c>
      <c r="W65">
        <v>311.7</v>
      </c>
      <c r="Y65">
        <f t="shared" si="6"/>
        <v>31868.6</v>
      </c>
      <c r="AA65">
        <v>11.453976674988979</v>
      </c>
    </row>
    <row r="66" spans="1:27" x14ac:dyDescent="0.25">
      <c r="A66">
        <v>5560</v>
      </c>
      <c r="B66">
        <v>22250</v>
      </c>
      <c r="C66" s="1">
        <v>42644</v>
      </c>
      <c r="F66" s="49"/>
      <c r="G66">
        <v>14.9</v>
      </c>
      <c r="H66">
        <v>13.1</v>
      </c>
      <c r="I66">
        <v>18.8</v>
      </c>
      <c r="J66">
        <f t="shared" si="5"/>
        <v>472.6</v>
      </c>
      <c r="M66">
        <v>1</v>
      </c>
      <c r="N66">
        <v>1.9</v>
      </c>
      <c r="O66">
        <f t="shared" si="2"/>
        <v>-0.89999999999999991</v>
      </c>
      <c r="P66">
        <f t="shared" si="8"/>
        <v>10.299999999999999</v>
      </c>
      <c r="Q66">
        <v>27</v>
      </c>
      <c r="R66">
        <f t="shared" si="7"/>
        <v>0.53101265822784804</v>
      </c>
      <c r="S66">
        <f t="shared" si="3"/>
        <v>1.0089240506329111</v>
      </c>
      <c r="T66" s="24">
        <f t="shared" si="4"/>
        <v>-8.9240506329111291E-3</v>
      </c>
      <c r="U66" s="24">
        <f t="shared" si="9"/>
        <v>19.333544303797467</v>
      </c>
      <c r="W66">
        <v>773.4</v>
      </c>
      <c r="Y66">
        <f t="shared" si="6"/>
        <v>32642</v>
      </c>
      <c r="AA66">
        <v>11.396788221596513</v>
      </c>
    </row>
    <row r="67" spans="1:27" x14ac:dyDescent="0.25">
      <c r="A67">
        <v>5560</v>
      </c>
      <c r="B67">
        <v>22250</v>
      </c>
      <c r="C67" s="1">
        <v>42645</v>
      </c>
      <c r="F67" s="49"/>
      <c r="G67">
        <v>11</v>
      </c>
      <c r="H67">
        <v>7.2</v>
      </c>
      <c r="I67">
        <v>15.9</v>
      </c>
      <c r="J67">
        <f t="shared" si="5"/>
        <v>483.6</v>
      </c>
      <c r="M67">
        <v>0</v>
      </c>
      <c r="N67">
        <v>2.2000000000000002</v>
      </c>
      <c r="O67">
        <f t="shared" si="2"/>
        <v>-2.2000000000000002</v>
      </c>
      <c r="P67">
        <f t="shared" si="8"/>
        <v>8.0999999999999979</v>
      </c>
      <c r="Q67">
        <v>28</v>
      </c>
      <c r="R67">
        <f t="shared" si="7"/>
        <v>0.53924050632911391</v>
      </c>
      <c r="S67">
        <f t="shared" si="3"/>
        <v>1.1863291139240506</v>
      </c>
      <c r="T67" s="24">
        <f t="shared" si="4"/>
        <v>-1.1863291139240506</v>
      </c>
      <c r="U67" s="24">
        <f t="shared" si="9"/>
        <v>18.147215189873418</v>
      </c>
      <c r="W67">
        <v>1478.2</v>
      </c>
      <c r="Y67">
        <f t="shared" si="6"/>
        <v>34120.199999999997</v>
      </c>
      <c r="AA67">
        <v>11.339687340710658</v>
      </c>
    </row>
    <row r="68" spans="1:27" x14ac:dyDescent="0.25">
      <c r="A68">
        <v>5560</v>
      </c>
      <c r="B68">
        <v>22250</v>
      </c>
      <c r="C68" s="1">
        <v>42646</v>
      </c>
      <c r="F68" s="49"/>
      <c r="G68">
        <v>11.3</v>
      </c>
      <c r="H68">
        <v>4.3</v>
      </c>
      <c r="I68">
        <v>18</v>
      </c>
      <c r="J68">
        <f t="shared" si="5"/>
        <v>494.90000000000003</v>
      </c>
      <c r="M68">
        <v>0</v>
      </c>
      <c r="N68">
        <v>2.4</v>
      </c>
      <c r="O68">
        <f t="shared" si="2"/>
        <v>-2.4</v>
      </c>
      <c r="P68">
        <f t="shared" si="8"/>
        <v>5.6999999999999975</v>
      </c>
      <c r="Q68">
        <v>29</v>
      </c>
      <c r="R68">
        <f t="shared" si="7"/>
        <v>0.54746835443037978</v>
      </c>
      <c r="S68">
        <f t="shared" si="3"/>
        <v>1.3139240506329115</v>
      </c>
      <c r="T68" s="24">
        <f t="shared" si="4"/>
        <v>-1.3139240506329115</v>
      </c>
      <c r="U68" s="24">
        <f t="shared" si="9"/>
        <v>16.833291139240504</v>
      </c>
      <c r="W68">
        <v>1417.3</v>
      </c>
      <c r="Y68">
        <f t="shared" si="6"/>
        <v>35537.5</v>
      </c>
      <c r="AA68">
        <v>11.282682973668916</v>
      </c>
    </row>
    <row r="69" spans="1:27" x14ac:dyDescent="0.25">
      <c r="A69">
        <v>5560</v>
      </c>
      <c r="B69">
        <v>22250</v>
      </c>
      <c r="C69" s="1">
        <v>42647</v>
      </c>
      <c r="F69" s="49"/>
      <c r="G69">
        <v>13</v>
      </c>
      <c r="H69">
        <v>6.7</v>
      </c>
      <c r="I69">
        <v>19.100000000000001</v>
      </c>
      <c r="J69">
        <f t="shared" si="5"/>
        <v>507.90000000000003</v>
      </c>
      <c r="M69">
        <v>0</v>
      </c>
      <c r="N69">
        <v>2.8</v>
      </c>
      <c r="O69">
        <f t="shared" si="2"/>
        <v>-2.8</v>
      </c>
      <c r="P69">
        <f t="shared" si="8"/>
        <v>2.8999999999999977</v>
      </c>
      <c r="Q69">
        <v>30</v>
      </c>
      <c r="R69">
        <f t="shared" si="7"/>
        <v>0.55569620253164553</v>
      </c>
      <c r="S69">
        <f t="shared" si="3"/>
        <v>1.5559493670886073</v>
      </c>
      <c r="T69" s="24">
        <f t="shared" si="4"/>
        <v>-1.5559493670886073</v>
      </c>
      <c r="U69" s="24">
        <f t="shared" si="9"/>
        <v>15.277341772151898</v>
      </c>
      <c r="W69">
        <v>1293.3</v>
      </c>
      <c r="Y69">
        <f t="shared" si="6"/>
        <v>36830.800000000003</v>
      </c>
      <c r="AA69">
        <v>11.22578422438535</v>
      </c>
    </row>
    <row r="70" spans="1:27" x14ac:dyDescent="0.25">
      <c r="A70">
        <v>5560</v>
      </c>
      <c r="B70">
        <v>22250</v>
      </c>
      <c r="C70" s="1">
        <v>42648</v>
      </c>
      <c r="F70" s="49"/>
      <c r="G70">
        <v>11.9</v>
      </c>
      <c r="H70">
        <v>6.6</v>
      </c>
      <c r="I70">
        <v>17.899999999999999</v>
      </c>
      <c r="J70">
        <f t="shared" si="5"/>
        <v>519.80000000000007</v>
      </c>
      <c r="M70">
        <v>0</v>
      </c>
      <c r="N70">
        <v>2.4</v>
      </c>
      <c r="O70">
        <f t="shared" si="2"/>
        <v>-2.4</v>
      </c>
      <c r="P70">
        <f t="shared" si="8"/>
        <v>0.49999999999999778</v>
      </c>
      <c r="Q70">
        <v>31</v>
      </c>
      <c r="R70">
        <f t="shared" si="7"/>
        <v>0.5639240506329114</v>
      </c>
      <c r="S70">
        <f t="shared" si="3"/>
        <v>1.3534177215189873</v>
      </c>
      <c r="T70" s="24">
        <f t="shared" si="4"/>
        <v>-1.3534177215189873</v>
      </c>
      <c r="U70" s="24">
        <f t="shared" si="9"/>
        <v>13.923924050632911</v>
      </c>
      <c r="W70">
        <v>1346.1</v>
      </c>
      <c r="Y70">
        <f t="shared" si="6"/>
        <v>38176.9</v>
      </c>
      <c r="AA70">
        <v>11.16900037287013</v>
      </c>
    </row>
    <row r="71" spans="1:27" x14ac:dyDescent="0.25">
      <c r="A71">
        <v>5560</v>
      </c>
      <c r="B71">
        <v>22250</v>
      </c>
      <c r="C71" s="1">
        <v>42649</v>
      </c>
      <c r="F71" s="49"/>
      <c r="G71">
        <v>8.9</v>
      </c>
      <c r="H71">
        <v>3.1</v>
      </c>
      <c r="I71">
        <v>13.4</v>
      </c>
      <c r="J71">
        <f t="shared" si="5"/>
        <v>528.70000000000005</v>
      </c>
      <c r="M71">
        <v>0</v>
      </c>
      <c r="N71">
        <v>2.2000000000000002</v>
      </c>
      <c r="O71">
        <f t="shared" si="2"/>
        <v>-2.2000000000000002</v>
      </c>
      <c r="P71">
        <f t="shared" si="8"/>
        <v>-1.7000000000000024</v>
      </c>
      <c r="Q71">
        <v>32</v>
      </c>
      <c r="R71">
        <f t="shared" si="7"/>
        <v>0.57215189873417716</v>
      </c>
      <c r="S71">
        <f t="shared" si="3"/>
        <v>1.2587341772151899</v>
      </c>
      <c r="T71" s="24">
        <f t="shared" si="4"/>
        <v>-1.2587341772151899</v>
      </c>
      <c r="U71" s="24">
        <f t="shared" si="9"/>
        <v>12.66518987341772</v>
      </c>
      <c r="W71">
        <v>1482.4</v>
      </c>
      <c r="Y71">
        <f t="shared" si="6"/>
        <v>39659.300000000003</v>
      </c>
      <c r="AA71">
        <v>11.112340888579316</v>
      </c>
    </row>
    <row r="72" spans="1:27" x14ac:dyDescent="0.25">
      <c r="A72">
        <v>5560</v>
      </c>
      <c r="B72">
        <v>22250</v>
      </c>
      <c r="C72" s="1">
        <v>42650</v>
      </c>
      <c r="F72" s="49"/>
      <c r="G72">
        <v>9.1999999999999993</v>
      </c>
      <c r="H72">
        <v>4</v>
      </c>
      <c r="I72">
        <v>14</v>
      </c>
      <c r="J72">
        <f t="shared" si="5"/>
        <v>537.90000000000009</v>
      </c>
      <c r="M72">
        <v>0</v>
      </c>
      <c r="N72">
        <v>1.5</v>
      </c>
      <c r="O72">
        <f t="shared" si="2"/>
        <v>-1.5</v>
      </c>
      <c r="P72">
        <f t="shared" si="8"/>
        <v>-3.2000000000000024</v>
      </c>
      <c r="Q72">
        <v>33</v>
      </c>
      <c r="R72">
        <f t="shared" si="7"/>
        <v>0.58037974683544302</v>
      </c>
      <c r="S72">
        <f t="shared" si="3"/>
        <v>0.87056962025316453</v>
      </c>
      <c r="T72" s="24">
        <f t="shared" si="4"/>
        <v>-0.87056962025316453</v>
      </c>
      <c r="U72" s="24">
        <f t="shared" si="9"/>
        <v>11.794620253164556</v>
      </c>
      <c r="W72">
        <v>1176</v>
      </c>
      <c r="Y72">
        <f t="shared" si="6"/>
        <v>40835.300000000003</v>
      </c>
      <c r="AA72">
        <v>11.05581544357514</v>
      </c>
    </row>
    <row r="73" spans="1:27" x14ac:dyDescent="0.25">
      <c r="A73">
        <v>5560</v>
      </c>
      <c r="B73">
        <v>22250</v>
      </c>
      <c r="C73" s="1">
        <v>42651</v>
      </c>
      <c r="F73" s="49"/>
      <c r="G73">
        <v>11.6</v>
      </c>
      <c r="H73">
        <v>7.6</v>
      </c>
      <c r="I73">
        <v>15.5</v>
      </c>
      <c r="J73">
        <f t="shared" si="5"/>
        <v>549.50000000000011</v>
      </c>
      <c r="M73">
        <v>0</v>
      </c>
      <c r="N73">
        <v>1.5</v>
      </c>
      <c r="O73">
        <f t="shared" si="2"/>
        <v>-1.5</v>
      </c>
      <c r="P73">
        <f t="shared" si="8"/>
        <v>-4.7000000000000028</v>
      </c>
      <c r="Q73">
        <v>34</v>
      </c>
      <c r="R73">
        <f t="shared" si="7"/>
        <v>0.58860759493670889</v>
      </c>
      <c r="S73">
        <f t="shared" si="3"/>
        <v>0.88291139240506333</v>
      </c>
      <c r="T73" s="24">
        <f t="shared" si="4"/>
        <v>-0.88291139240506333</v>
      </c>
      <c r="U73" s="24">
        <f t="shared" si="9"/>
        <v>10.911708860759493</v>
      </c>
      <c r="W73">
        <v>1056.0999999999999</v>
      </c>
      <c r="Y73">
        <f t="shared" si="6"/>
        <v>41891.4</v>
      </c>
      <c r="AA73">
        <v>10.999433925475724</v>
      </c>
    </row>
    <row r="74" spans="1:27" x14ac:dyDescent="0.25">
      <c r="A74">
        <v>5560</v>
      </c>
      <c r="B74">
        <v>22250</v>
      </c>
      <c r="C74" s="1">
        <v>42652</v>
      </c>
      <c r="F74" s="49"/>
      <c r="G74">
        <v>9.1</v>
      </c>
      <c r="H74">
        <v>4.4000000000000004</v>
      </c>
      <c r="I74">
        <v>14.9</v>
      </c>
      <c r="J74">
        <f t="shared" si="5"/>
        <v>558.60000000000014</v>
      </c>
      <c r="M74">
        <v>0</v>
      </c>
      <c r="N74">
        <v>2</v>
      </c>
      <c r="O74">
        <f t="shared" si="2"/>
        <v>-2</v>
      </c>
      <c r="P74">
        <f t="shared" si="8"/>
        <v>-6.7000000000000028</v>
      </c>
      <c r="Q74">
        <v>35</v>
      </c>
      <c r="R74">
        <f t="shared" si="7"/>
        <v>0.59683544303797476</v>
      </c>
      <c r="S74">
        <f t="shared" si="3"/>
        <v>1.1936708860759495</v>
      </c>
      <c r="T74" s="24">
        <f t="shared" si="4"/>
        <v>-1.1936708860759495</v>
      </c>
      <c r="U74" s="24">
        <f t="shared" si="9"/>
        <v>9.7180379746835435</v>
      </c>
      <c r="W74">
        <v>1140</v>
      </c>
      <c r="Y74">
        <f t="shared" si="6"/>
        <v>43031.4</v>
      </c>
      <c r="AA74">
        <v>10.943206450171651</v>
      </c>
    </row>
    <row r="75" spans="1:27" x14ac:dyDescent="0.25">
      <c r="A75">
        <v>5560</v>
      </c>
      <c r="B75">
        <v>22250</v>
      </c>
      <c r="C75" s="1">
        <v>42653</v>
      </c>
      <c r="F75" s="49"/>
      <c r="G75">
        <v>8</v>
      </c>
      <c r="H75">
        <v>2.2999999999999998</v>
      </c>
      <c r="I75">
        <v>13.9</v>
      </c>
      <c r="J75">
        <f t="shared" si="5"/>
        <v>566.60000000000014</v>
      </c>
      <c r="M75">
        <v>0</v>
      </c>
      <c r="N75">
        <v>1.3</v>
      </c>
      <c r="O75">
        <f t="shared" si="2"/>
        <v>-1.3</v>
      </c>
      <c r="P75">
        <f t="shared" si="8"/>
        <v>-8.0000000000000036</v>
      </c>
      <c r="Q75">
        <v>36</v>
      </c>
      <c r="R75">
        <f t="shared" si="7"/>
        <v>0.6050632911392404</v>
      </c>
      <c r="S75">
        <f t="shared" si="3"/>
        <v>0.78658227848101259</v>
      </c>
      <c r="T75" s="24">
        <f t="shared" si="4"/>
        <v>-0.78658227848101259</v>
      </c>
      <c r="U75" s="24">
        <f t="shared" si="9"/>
        <v>8.93145569620253</v>
      </c>
      <c r="W75">
        <v>635.6</v>
      </c>
      <c r="Y75">
        <f t="shared" si="6"/>
        <v>43667</v>
      </c>
      <c r="AA75">
        <v>10.887143374285239</v>
      </c>
    </row>
    <row r="76" spans="1:27" x14ac:dyDescent="0.25">
      <c r="A76">
        <v>5560</v>
      </c>
      <c r="B76">
        <v>22250</v>
      </c>
      <c r="C76" s="1">
        <v>42654</v>
      </c>
      <c r="F76" s="49"/>
      <c r="G76">
        <v>7.8</v>
      </c>
      <c r="H76">
        <v>3.4</v>
      </c>
      <c r="I76">
        <v>13.6</v>
      </c>
      <c r="J76">
        <f t="shared" si="5"/>
        <v>574.40000000000009</v>
      </c>
      <c r="M76">
        <v>0</v>
      </c>
      <c r="N76">
        <v>1.9</v>
      </c>
      <c r="O76">
        <f t="shared" si="2"/>
        <v>-1.9</v>
      </c>
      <c r="P76">
        <f t="shared" si="8"/>
        <v>-9.9000000000000039</v>
      </c>
      <c r="Q76">
        <v>37</v>
      </c>
      <c r="R76">
        <f t="shared" si="7"/>
        <v>0.61329113924050627</v>
      </c>
      <c r="S76">
        <f t="shared" si="3"/>
        <v>1.1652531645569619</v>
      </c>
      <c r="T76" s="24">
        <f t="shared" si="4"/>
        <v>-1.1652531645569619</v>
      </c>
      <c r="U76" s="24">
        <f t="shared" si="9"/>
        <v>7.7662025316455683</v>
      </c>
      <c r="W76">
        <v>1126.9000000000001</v>
      </c>
      <c r="Y76">
        <f t="shared" si="6"/>
        <v>44793.9</v>
      </c>
      <c r="AA76">
        <v>10.831255307346721</v>
      </c>
    </row>
    <row r="77" spans="1:27" x14ac:dyDescent="0.25">
      <c r="A77">
        <v>5560</v>
      </c>
      <c r="B77">
        <v>22250</v>
      </c>
      <c r="C77" s="1">
        <v>42655</v>
      </c>
      <c r="F77" s="49"/>
      <c r="G77">
        <v>7.8</v>
      </c>
      <c r="H77">
        <v>1.7</v>
      </c>
      <c r="I77">
        <v>13</v>
      </c>
      <c r="J77">
        <f t="shared" si="5"/>
        <v>582.20000000000005</v>
      </c>
      <c r="M77">
        <v>0</v>
      </c>
      <c r="N77">
        <v>1.6</v>
      </c>
      <c r="O77">
        <f t="shared" si="2"/>
        <v>-1.6</v>
      </c>
      <c r="P77">
        <f t="shared" si="8"/>
        <v>-11.500000000000004</v>
      </c>
      <c r="Q77">
        <v>38</v>
      </c>
      <c r="R77">
        <f t="shared" si="7"/>
        <v>0.62151898734177213</v>
      </c>
      <c r="S77">
        <f t="shared" si="3"/>
        <v>0.99443037974683546</v>
      </c>
      <c r="T77" s="24">
        <f t="shared" si="4"/>
        <v>-0.99443037974683546</v>
      </c>
      <c r="U77" s="24">
        <f t="shared" si="9"/>
        <v>6.771772151898733</v>
      </c>
      <c r="W77">
        <v>716.5</v>
      </c>
      <c r="Y77">
        <f t="shared" si="6"/>
        <v>45510.400000000001</v>
      </c>
      <c r="AA77">
        <v>10.775553123659785</v>
      </c>
    </row>
    <row r="78" spans="1:27" x14ac:dyDescent="0.25">
      <c r="A78">
        <v>5560</v>
      </c>
      <c r="B78">
        <v>22250</v>
      </c>
      <c r="C78" s="1">
        <v>42656</v>
      </c>
      <c r="F78" s="49"/>
      <c r="G78">
        <v>9.1999999999999993</v>
      </c>
      <c r="H78">
        <v>6.6</v>
      </c>
      <c r="I78">
        <v>11.6</v>
      </c>
      <c r="J78">
        <f t="shared" si="5"/>
        <v>591.40000000000009</v>
      </c>
      <c r="M78">
        <v>5.2</v>
      </c>
      <c r="N78">
        <v>0.7</v>
      </c>
      <c r="O78">
        <f t="shared" si="2"/>
        <v>4.5</v>
      </c>
      <c r="P78">
        <f t="shared" si="8"/>
        <v>-7.0000000000000036</v>
      </c>
      <c r="Q78">
        <v>39</v>
      </c>
      <c r="R78">
        <f t="shared" si="7"/>
        <v>0.629746835443038</v>
      </c>
      <c r="S78">
        <f t="shared" si="3"/>
        <v>0.44082278481012654</v>
      </c>
      <c r="T78" s="24">
        <f t="shared" si="4"/>
        <v>4.7591772151898732</v>
      </c>
      <c r="U78" s="24">
        <f t="shared" si="9"/>
        <v>11.530949367088606</v>
      </c>
      <c r="W78">
        <v>215.9</v>
      </c>
      <c r="Y78">
        <f t="shared" si="6"/>
        <v>45726.3</v>
      </c>
      <c r="AA78">
        <v>10.720047973827173</v>
      </c>
    </row>
    <row r="79" spans="1:27" x14ac:dyDescent="0.25">
      <c r="A79">
        <v>5560</v>
      </c>
      <c r="B79">
        <v>22250</v>
      </c>
      <c r="C79" s="1">
        <v>42657</v>
      </c>
      <c r="F79" s="49"/>
      <c r="G79">
        <v>10.1</v>
      </c>
      <c r="H79">
        <v>8.8000000000000007</v>
      </c>
      <c r="I79">
        <v>11.4</v>
      </c>
      <c r="J79">
        <f t="shared" si="5"/>
        <v>601.50000000000011</v>
      </c>
      <c r="M79">
        <v>8.1</v>
      </c>
      <c r="N79">
        <v>0.4</v>
      </c>
      <c r="O79">
        <f t="shared" si="2"/>
        <v>7.6999999999999993</v>
      </c>
      <c r="P79">
        <f t="shared" si="8"/>
        <v>0.69999999999999574</v>
      </c>
      <c r="Q79">
        <v>40</v>
      </c>
      <c r="R79">
        <f t="shared" si="7"/>
        <v>0.63797468354430376</v>
      </c>
      <c r="S79">
        <f t="shared" si="3"/>
        <v>0.25518987341772154</v>
      </c>
      <c r="T79" s="24">
        <f t="shared" si="4"/>
        <v>7.8448101265822778</v>
      </c>
      <c r="U79" s="24">
        <f t="shared" si="9"/>
        <v>19.375759493670884</v>
      </c>
      <c r="W79">
        <v>186.8</v>
      </c>
      <c r="Y79">
        <f t="shared" si="6"/>
        <v>45913.100000000006</v>
      </c>
      <c r="AA79">
        <v>10.664751295905038</v>
      </c>
    </row>
    <row r="80" spans="1:27" x14ac:dyDescent="0.25">
      <c r="A80">
        <v>5560</v>
      </c>
      <c r="B80">
        <v>22250</v>
      </c>
      <c r="C80" s="1">
        <v>42658</v>
      </c>
      <c r="F80" s="49"/>
      <c r="G80">
        <v>11.8</v>
      </c>
      <c r="H80">
        <v>5.7</v>
      </c>
      <c r="I80">
        <v>16.899999999999999</v>
      </c>
      <c r="J80">
        <f t="shared" si="5"/>
        <v>613.30000000000007</v>
      </c>
      <c r="M80">
        <v>0</v>
      </c>
      <c r="N80">
        <v>1.5</v>
      </c>
      <c r="O80">
        <f t="shared" si="2"/>
        <v>-1.5</v>
      </c>
      <c r="P80">
        <f t="shared" si="8"/>
        <v>-0.80000000000000426</v>
      </c>
      <c r="Q80">
        <v>41</v>
      </c>
      <c r="R80">
        <f t="shared" si="7"/>
        <v>0.64620253164556962</v>
      </c>
      <c r="S80">
        <f t="shared" si="3"/>
        <v>0.96930379746835449</v>
      </c>
      <c r="T80" s="24">
        <f t="shared" si="4"/>
        <v>-0.96930379746835449</v>
      </c>
      <c r="U80" s="24">
        <f t="shared" si="9"/>
        <v>18.406455696202528</v>
      </c>
      <c r="W80">
        <v>1199.4000000000001</v>
      </c>
      <c r="Y80">
        <f t="shared" si="6"/>
        <v>47112.500000000007</v>
      </c>
      <c r="AA80">
        <v>10.60967482615299</v>
      </c>
    </row>
    <row r="81" spans="1:27" x14ac:dyDescent="0.25">
      <c r="A81">
        <v>5560</v>
      </c>
      <c r="B81">
        <v>22250</v>
      </c>
      <c r="C81" s="1">
        <v>42659</v>
      </c>
      <c r="F81" s="49"/>
      <c r="G81">
        <v>13.5</v>
      </c>
      <c r="H81">
        <v>7.2</v>
      </c>
      <c r="I81">
        <v>18.600000000000001</v>
      </c>
      <c r="J81">
        <f t="shared" si="5"/>
        <v>626.80000000000007</v>
      </c>
      <c r="M81">
        <v>0</v>
      </c>
      <c r="N81">
        <v>1.1000000000000001</v>
      </c>
      <c r="O81">
        <f t="shared" si="2"/>
        <v>-1.1000000000000001</v>
      </c>
      <c r="P81">
        <f t="shared" si="8"/>
        <v>-1.9000000000000044</v>
      </c>
      <c r="Q81">
        <v>42</v>
      </c>
      <c r="R81">
        <f t="shared" si="7"/>
        <v>0.65443037974683538</v>
      </c>
      <c r="S81">
        <f t="shared" si="3"/>
        <v>0.71987341772151903</v>
      </c>
      <c r="T81" s="24">
        <f t="shared" si="4"/>
        <v>-0.71987341772151903</v>
      </c>
      <c r="U81" s="24">
        <f t="shared" si="9"/>
        <v>17.686582278481009</v>
      </c>
      <c r="W81">
        <v>584.29999999999995</v>
      </c>
      <c r="Y81">
        <f t="shared" si="6"/>
        <v>47696.80000000001</v>
      </c>
      <c r="AA81">
        <v>10.554830609344586</v>
      </c>
    </row>
    <row r="82" spans="1:27" x14ac:dyDescent="0.25">
      <c r="A82">
        <v>5560</v>
      </c>
      <c r="B82">
        <v>22250</v>
      </c>
      <c r="C82" s="1">
        <v>42660</v>
      </c>
      <c r="F82" s="49"/>
      <c r="G82">
        <v>13.5</v>
      </c>
      <c r="H82">
        <v>12.3</v>
      </c>
      <c r="I82">
        <v>17.399999999999999</v>
      </c>
      <c r="J82">
        <f t="shared" si="5"/>
        <v>640.30000000000007</v>
      </c>
      <c r="M82">
        <v>2.1</v>
      </c>
      <c r="N82">
        <v>1.1000000000000001</v>
      </c>
      <c r="O82">
        <f t="shared" si="2"/>
        <v>1</v>
      </c>
      <c r="P82">
        <f t="shared" si="8"/>
        <v>-0.90000000000000435</v>
      </c>
      <c r="Q82">
        <v>43</v>
      </c>
      <c r="R82">
        <f t="shared" si="7"/>
        <v>0.66265822784810124</v>
      </c>
      <c r="S82">
        <f t="shared" si="3"/>
        <v>0.72892405063291144</v>
      </c>
      <c r="T82" s="24">
        <f t="shared" si="4"/>
        <v>1.3710759493670888</v>
      </c>
      <c r="U82" s="24">
        <f t="shared" si="9"/>
        <v>19.057658227848098</v>
      </c>
      <c r="W82">
        <v>679.6</v>
      </c>
      <c r="Y82">
        <f t="shared" si="6"/>
        <v>48376.400000000009</v>
      </c>
      <c r="AA82">
        <v>10.500231008601185</v>
      </c>
    </row>
    <row r="83" spans="1:27" x14ac:dyDescent="0.25">
      <c r="A83">
        <v>5560</v>
      </c>
      <c r="B83">
        <v>22250</v>
      </c>
      <c r="C83" s="1">
        <v>42661</v>
      </c>
      <c r="F83" s="49"/>
      <c r="G83">
        <v>10</v>
      </c>
      <c r="H83">
        <v>6.1</v>
      </c>
      <c r="I83">
        <v>12.1</v>
      </c>
      <c r="J83">
        <f t="shared" si="5"/>
        <v>650.30000000000007</v>
      </c>
      <c r="M83">
        <v>0.1</v>
      </c>
      <c r="N83">
        <v>0.3</v>
      </c>
      <c r="O83">
        <f t="shared" si="2"/>
        <v>-0.19999999999999998</v>
      </c>
      <c r="P83">
        <f t="shared" si="8"/>
        <v>-1.1000000000000043</v>
      </c>
      <c r="Q83">
        <v>44</v>
      </c>
      <c r="R83">
        <f t="shared" si="7"/>
        <v>0.67088607594936711</v>
      </c>
      <c r="S83">
        <f t="shared" si="3"/>
        <v>0.20126582278481012</v>
      </c>
      <c r="T83" s="24">
        <f t="shared" si="4"/>
        <v>-0.10126582278481011</v>
      </c>
      <c r="U83" s="24">
        <f t="shared" si="9"/>
        <v>18.956392405063287</v>
      </c>
      <c r="W83">
        <v>419.3</v>
      </c>
      <c r="Y83">
        <f t="shared" si="6"/>
        <v>48795.700000000012</v>
      </c>
      <c r="AA83">
        <v>10.445888714709822</v>
      </c>
    </row>
    <row r="84" spans="1:27" x14ac:dyDescent="0.25">
      <c r="A84">
        <v>5560</v>
      </c>
      <c r="B84">
        <v>22250</v>
      </c>
      <c r="C84" s="1">
        <v>42662</v>
      </c>
      <c r="F84" s="49"/>
      <c r="G84">
        <v>10.4</v>
      </c>
      <c r="H84">
        <v>9</v>
      </c>
      <c r="I84">
        <v>12.6</v>
      </c>
      <c r="J84">
        <f t="shared" si="5"/>
        <v>660.7</v>
      </c>
      <c r="M84">
        <v>0.1</v>
      </c>
      <c r="N84">
        <v>0.9</v>
      </c>
      <c r="O84">
        <f t="shared" si="2"/>
        <v>-0.8</v>
      </c>
      <c r="P84">
        <f t="shared" si="8"/>
        <v>-1.9000000000000044</v>
      </c>
      <c r="Q84">
        <v>45</v>
      </c>
      <c r="R84">
        <f t="shared" si="7"/>
        <v>0.67911392405063298</v>
      </c>
      <c r="S84">
        <f t="shared" si="3"/>
        <v>0.6112025316455697</v>
      </c>
      <c r="T84" s="24">
        <f t="shared" si="4"/>
        <v>-0.51120253164556972</v>
      </c>
      <c r="U84" s="24">
        <f t="shared" si="9"/>
        <v>18.445189873417718</v>
      </c>
      <c r="W84">
        <v>473.9</v>
      </c>
      <c r="Y84">
        <f t="shared" si="6"/>
        <v>49269.600000000013</v>
      </c>
      <c r="AA84">
        <v>10.391816754883861</v>
      </c>
    </row>
    <row r="85" spans="1:27" x14ac:dyDescent="0.25">
      <c r="A85">
        <v>5560</v>
      </c>
      <c r="B85">
        <v>22250</v>
      </c>
      <c r="C85" s="1">
        <v>42663</v>
      </c>
      <c r="F85" s="49"/>
      <c r="G85">
        <v>9.8000000000000007</v>
      </c>
      <c r="H85">
        <v>6.9</v>
      </c>
      <c r="I85">
        <v>13.6</v>
      </c>
      <c r="J85">
        <f t="shared" si="5"/>
        <v>670.5</v>
      </c>
      <c r="M85">
        <v>0.2</v>
      </c>
      <c r="N85">
        <v>0.9</v>
      </c>
      <c r="O85">
        <f t="shared" si="2"/>
        <v>-0.7</v>
      </c>
      <c r="P85">
        <f t="shared" si="8"/>
        <v>-2.6000000000000041</v>
      </c>
      <c r="Q85">
        <v>46</v>
      </c>
      <c r="R85">
        <f t="shared" si="7"/>
        <v>0.68734177215189873</v>
      </c>
      <c r="S85">
        <f t="shared" si="3"/>
        <v>0.61860759493670892</v>
      </c>
      <c r="T85" s="24">
        <f t="shared" si="4"/>
        <v>-0.4186075949367089</v>
      </c>
      <c r="U85" s="24">
        <f t="shared" si="9"/>
        <v>18.026582278481008</v>
      </c>
      <c r="W85">
        <v>497.2</v>
      </c>
      <c r="Y85">
        <f t="shared" si="6"/>
        <v>49766.80000000001</v>
      </c>
      <c r="AA85">
        <v>10.338028500922924</v>
      </c>
    </row>
    <row r="86" spans="1:27" x14ac:dyDescent="0.25">
      <c r="A86">
        <v>5560</v>
      </c>
      <c r="B86">
        <v>22250</v>
      </c>
      <c r="C86" s="1">
        <v>42664</v>
      </c>
      <c r="F86" s="49"/>
      <c r="G86">
        <v>10.199999999999999</v>
      </c>
      <c r="H86">
        <v>8.6</v>
      </c>
      <c r="I86">
        <v>13.4</v>
      </c>
      <c r="J86">
        <f t="shared" si="5"/>
        <v>680.7</v>
      </c>
      <c r="M86">
        <v>0</v>
      </c>
      <c r="N86">
        <v>1.2</v>
      </c>
      <c r="O86">
        <f t="shared" si="2"/>
        <v>-1.2</v>
      </c>
      <c r="P86">
        <f t="shared" si="8"/>
        <v>-3.8000000000000043</v>
      </c>
      <c r="Q86">
        <v>47</v>
      </c>
      <c r="R86">
        <f t="shared" si="7"/>
        <v>0.69556962025316449</v>
      </c>
      <c r="S86">
        <f t="shared" si="3"/>
        <v>0.83468354430379732</v>
      </c>
      <c r="T86" s="24">
        <f t="shared" si="4"/>
        <v>-0.83468354430379732</v>
      </c>
      <c r="U86" s="24">
        <f t="shared" si="9"/>
        <v>17.191898734177212</v>
      </c>
      <c r="W86">
        <v>941.8</v>
      </c>
      <c r="Y86">
        <f t="shared" si="6"/>
        <v>50708.600000000013</v>
      </c>
      <c r="AA86">
        <v>10.284537676726721</v>
      </c>
    </row>
    <row r="87" spans="1:27" x14ac:dyDescent="0.25">
      <c r="A87">
        <v>5560</v>
      </c>
      <c r="B87">
        <v>22250</v>
      </c>
      <c r="C87" s="1">
        <v>42665</v>
      </c>
      <c r="F87" s="49"/>
      <c r="G87">
        <v>6.9</v>
      </c>
      <c r="H87">
        <v>3</v>
      </c>
      <c r="I87">
        <v>9.9</v>
      </c>
      <c r="J87">
        <f t="shared" si="5"/>
        <v>687.6</v>
      </c>
      <c r="M87">
        <v>0</v>
      </c>
      <c r="N87">
        <v>0.7</v>
      </c>
      <c r="O87">
        <f t="shared" si="2"/>
        <v>-0.7</v>
      </c>
      <c r="P87">
        <f t="shared" si="8"/>
        <v>-4.5000000000000044</v>
      </c>
      <c r="Q87">
        <v>48</v>
      </c>
      <c r="R87">
        <f t="shared" si="7"/>
        <v>0.70379746835443036</v>
      </c>
      <c r="S87">
        <f t="shared" si="3"/>
        <v>0.4926582278481012</v>
      </c>
      <c r="T87" s="24">
        <f t="shared" si="4"/>
        <v>-0.4926582278481012</v>
      </c>
      <c r="U87" s="24">
        <f t="shared" si="9"/>
        <v>16.699240506329112</v>
      </c>
      <c r="W87">
        <v>877.2</v>
      </c>
      <c r="Y87">
        <f t="shared" si="6"/>
        <v>51585.80000000001</v>
      </c>
      <c r="AA87">
        <v>10.23135836511514</v>
      </c>
    </row>
    <row r="88" spans="1:27" x14ac:dyDescent="0.25">
      <c r="A88">
        <v>5560</v>
      </c>
      <c r="B88">
        <v>22250</v>
      </c>
      <c r="C88" s="1">
        <v>42666</v>
      </c>
      <c r="F88" s="49"/>
      <c r="G88">
        <v>9.6999999999999993</v>
      </c>
      <c r="H88">
        <v>5</v>
      </c>
      <c r="I88">
        <v>12.9</v>
      </c>
      <c r="J88">
        <f t="shared" si="5"/>
        <v>697.30000000000007</v>
      </c>
      <c r="M88">
        <v>25.5</v>
      </c>
      <c r="N88">
        <v>0.3</v>
      </c>
      <c r="O88">
        <f t="shared" si="2"/>
        <v>25.2</v>
      </c>
      <c r="P88">
        <f t="shared" si="8"/>
        <v>20.699999999999996</v>
      </c>
      <c r="Q88">
        <v>49</v>
      </c>
      <c r="R88">
        <f t="shared" si="7"/>
        <v>0.71202531645569622</v>
      </c>
      <c r="S88">
        <f t="shared" si="3"/>
        <v>0.21360759493670886</v>
      </c>
      <c r="T88" s="24">
        <f t="shared" si="4"/>
        <v>25.286392405063292</v>
      </c>
      <c r="U88" s="24">
        <f t="shared" si="9"/>
        <v>41.985632911392401</v>
      </c>
      <c r="W88">
        <v>139.6</v>
      </c>
      <c r="Y88">
        <f t="shared" si="6"/>
        <v>51725.400000000009</v>
      </c>
      <c r="AA88">
        <v>10.178505013905102</v>
      </c>
    </row>
    <row r="89" spans="1:27" x14ac:dyDescent="0.25">
      <c r="A89">
        <v>5560</v>
      </c>
      <c r="B89">
        <v>22250</v>
      </c>
      <c r="C89" s="1">
        <v>42667</v>
      </c>
      <c r="F89" s="49"/>
      <c r="G89">
        <v>13.1</v>
      </c>
      <c r="H89">
        <v>12</v>
      </c>
      <c r="I89">
        <v>14.6</v>
      </c>
      <c r="J89">
        <f t="shared" si="5"/>
        <v>710.40000000000009</v>
      </c>
      <c r="M89">
        <v>5.8</v>
      </c>
      <c r="N89">
        <v>0.5</v>
      </c>
      <c r="O89">
        <f t="shared" si="2"/>
        <v>5.3</v>
      </c>
      <c r="P89">
        <f t="shared" si="8"/>
        <v>25.999999999999996</v>
      </c>
      <c r="Q89">
        <v>50</v>
      </c>
      <c r="R89">
        <f t="shared" si="7"/>
        <v>0.72025316455696209</v>
      </c>
      <c r="S89">
        <f t="shared" si="3"/>
        <v>0.36012658227848104</v>
      </c>
      <c r="T89" s="24">
        <f t="shared" si="4"/>
        <v>5.4398734177215191</v>
      </c>
      <c r="U89" s="24">
        <f t="shared" si="9"/>
        <v>47.425506329113922</v>
      </c>
      <c r="W89">
        <v>153.1</v>
      </c>
      <c r="Y89">
        <f t="shared" si="6"/>
        <v>51878.500000000007</v>
      </c>
      <c r="AA89">
        <v>10.125992441192741</v>
      </c>
    </row>
    <row r="90" spans="1:27" x14ac:dyDescent="0.25">
      <c r="A90">
        <v>5560</v>
      </c>
      <c r="B90">
        <v>22250</v>
      </c>
      <c r="C90" s="1">
        <v>42668</v>
      </c>
      <c r="F90" s="49"/>
      <c r="G90">
        <v>11.7</v>
      </c>
      <c r="H90">
        <v>6.6</v>
      </c>
      <c r="I90">
        <v>14.6</v>
      </c>
      <c r="J90">
        <f t="shared" si="5"/>
        <v>722.10000000000014</v>
      </c>
      <c r="M90">
        <v>0</v>
      </c>
      <c r="N90">
        <v>0.5</v>
      </c>
      <c r="O90">
        <f t="shared" si="2"/>
        <v>-0.5</v>
      </c>
      <c r="P90">
        <f t="shared" si="8"/>
        <v>25.499999999999996</v>
      </c>
      <c r="Q90">
        <v>51</v>
      </c>
      <c r="R90">
        <f t="shared" si="7"/>
        <v>0.72848101265822784</v>
      </c>
      <c r="S90">
        <f t="shared" si="3"/>
        <v>0.36424050632911392</v>
      </c>
      <c r="T90" s="24">
        <f t="shared" si="4"/>
        <v>-0.36424050632911392</v>
      </c>
      <c r="U90" s="24">
        <f t="shared" si="9"/>
        <v>47.061265822784812</v>
      </c>
      <c r="W90">
        <v>548.9</v>
      </c>
      <c r="Y90">
        <f t="shared" si="6"/>
        <v>52427.400000000009</v>
      </c>
      <c r="AA90">
        <v>10.073835839787554</v>
      </c>
    </row>
    <row r="91" spans="1:27" x14ac:dyDescent="0.25">
      <c r="A91">
        <v>5560</v>
      </c>
      <c r="B91">
        <v>22250</v>
      </c>
      <c r="C91" s="1">
        <v>42669</v>
      </c>
      <c r="F91" s="49"/>
      <c r="G91">
        <v>12</v>
      </c>
      <c r="H91">
        <v>10.8</v>
      </c>
      <c r="I91">
        <v>14.7</v>
      </c>
      <c r="J91">
        <f t="shared" si="5"/>
        <v>734.10000000000014</v>
      </c>
      <c r="M91">
        <v>0</v>
      </c>
      <c r="N91">
        <v>1</v>
      </c>
      <c r="O91">
        <f t="shared" si="2"/>
        <v>-1</v>
      </c>
      <c r="P91">
        <f t="shared" si="8"/>
        <v>24.499999999999996</v>
      </c>
      <c r="Q91">
        <v>52</v>
      </c>
      <c r="R91">
        <f t="shared" si="7"/>
        <v>0.7367088607594936</v>
      </c>
      <c r="S91">
        <f t="shared" si="3"/>
        <v>0.7367088607594936</v>
      </c>
      <c r="T91" s="24">
        <f t="shared" si="4"/>
        <v>-0.7367088607594936</v>
      </c>
      <c r="U91" s="24">
        <f t="shared" si="9"/>
        <v>46.324556962025319</v>
      </c>
      <c r="W91">
        <v>422.3</v>
      </c>
      <c r="Y91">
        <f t="shared" si="6"/>
        <v>52849.700000000012</v>
      </c>
      <c r="AA91">
        <v>10.022050780743539</v>
      </c>
    </row>
    <row r="92" spans="1:27" x14ac:dyDescent="0.25">
      <c r="A92">
        <v>5560</v>
      </c>
      <c r="B92">
        <v>22250</v>
      </c>
      <c r="C92" s="1">
        <v>42670</v>
      </c>
      <c r="F92" s="49"/>
      <c r="G92">
        <v>8.9</v>
      </c>
      <c r="H92">
        <v>8.1999999999999993</v>
      </c>
      <c r="I92">
        <v>11.2</v>
      </c>
      <c r="J92">
        <f t="shared" si="5"/>
        <v>743.00000000000011</v>
      </c>
      <c r="M92">
        <v>0.2</v>
      </c>
      <c r="N92">
        <v>0.8</v>
      </c>
      <c r="O92">
        <f t="shared" si="2"/>
        <v>-0.60000000000000009</v>
      </c>
      <c r="P92">
        <f t="shared" si="8"/>
        <v>23.899999999999995</v>
      </c>
      <c r="Q92">
        <v>53</v>
      </c>
      <c r="R92">
        <f t="shared" si="7"/>
        <v>0.74493670886075947</v>
      </c>
      <c r="S92">
        <f t="shared" si="3"/>
        <v>0.59594936708860757</v>
      </c>
      <c r="T92" s="24">
        <f t="shared" si="4"/>
        <v>-0.39594936708860756</v>
      </c>
      <c r="U92" s="24">
        <f t="shared" si="9"/>
        <v>45.928607594936715</v>
      </c>
      <c r="W92">
        <v>374.3</v>
      </c>
      <c r="Y92">
        <f t="shared" si="6"/>
        <v>53224.000000000015</v>
      </c>
      <c r="AA92">
        <v>9.9706532159306729</v>
      </c>
    </row>
    <row r="93" spans="1:27" x14ac:dyDescent="0.25">
      <c r="A93">
        <v>5560</v>
      </c>
      <c r="B93">
        <v>22250</v>
      </c>
      <c r="C93" s="1">
        <v>42671</v>
      </c>
      <c r="F93" s="49"/>
      <c r="G93">
        <v>8.6999999999999993</v>
      </c>
      <c r="H93">
        <v>4.7</v>
      </c>
      <c r="I93">
        <v>13</v>
      </c>
      <c r="J93">
        <f t="shared" si="5"/>
        <v>751.70000000000016</v>
      </c>
      <c r="M93">
        <v>0.1</v>
      </c>
      <c r="N93">
        <v>1</v>
      </c>
      <c r="O93">
        <f t="shared" si="2"/>
        <v>-0.9</v>
      </c>
      <c r="P93">
        <f t="shared" si="8"/>
        <v>22.999999999999996</v>
      </c>
      <c r="Q93">
        <v>54</v>
      </c>
      <c r="R93">
        <f t="shared" si="7"/>
        <v>0.75316455696202533</v>
      </c>
      <c r="S93">
        <f t="shared" si="3"/>
        <v>0.75316455696202533</v>
      </c>
      <c r="T93" s="24">
        <f t="shared" si="4"/>
        <v>-0.65316455696202536</v>
      </c>
      <c r="U93" s="24">
        <f t="shared" si="9"/>
        <v>45.275443037974689</v>
      </c>
      <c r="W93">
        <v>737.9</v>
      </c>
      <c r="Y93">
        <f t="shared" si="6"/>
        <v>53961.900000000016</v>
      </c>
      <c r="AA93">
        <v>9.9196594795887343</v>
      </c>
    </row>
    <row r="94" spans="1:27" x14ac:dyDescent="0.25">
      <c r="A94">
        <v>5560</v>
      </c>
      <c r="B94">
        <v>22250</v>
      </c>
      <c r="C94" s="1">
        <v>42672</v>
      </c>
      <c r="F94" s="49"/>
      <c r="G94">
        <v>7.4</v>
      </c>
      <c r="H94">
        <v>6.1</v>
      </c>
      <c r="I94">
        <v>9</v>
      </c>
      <c r="J94">
        <f t="shared" si="5"/>
        <v>759.10000000000014</v>
      </c>
      <c r="M94">
        <v>0</v>
      </c>
      <c r="N94">
        <v>0.6</v>
      </c>
      <c r="O94">
        <f t="shared" si="2"/>
        <v>-0.6</v>
      </c>
      <c r="P94">
        <f t="shared" si="8"/>
        <v>22.399999999999995</v>
      </c>
      <c r="Q94">
        <v>55</v>
      </c>
      <c r="R94">
        <f t="shared" si="7"/>
        <v>0.7613924050632912</v>
      </c>
      <c r="S94">
        <f t="shared" si="3"/>
        <v>0.45683544303797469</v>
      </c>
      <c r="T94" s="24">
        <f t="shared" si="4"/>
        <v>-0.45683544303797469</v>
      </c>
      <c r="U94" s="24">
        <f t="shared" si="9"/>
        <v>44.818607594936715</v>
      </c>
      <c r="W94">
        <v>269.5</v>
      </c>
      <c r="Y94">
        <f t="shared" si="6"/>
        <v>54231.400000000016</v>
      </c>
      <c r="AA94">
        <v>9.8690862888042883</v>
      </c>
    </row>
    <row r="95" spans="1:27" x14ac:dyDescent="0.25">
      <c r="A95">
        <v>5560</v>
      </c>
      <c r="B95">
        <v>22250</v>
      </c>
      <c r="C95" s="1">
        <v>42673</v>
      </c>
      <c r="F95" s="49"/>
      <c r="G95">
        <v>10.199999999999999</v>
      </c>
      <c r="H95">
        <v>7.7</v>
      </c>
      <c r="I95">
        <v>12.8</v>
      </c>
      <c r="J95">
        <f t="shared" si="5"/>
        <v>769.30000000000018</v>
      </c>
      <c r="M95">
        <v>0</v>
      </c>
      <c r="N95">
        <v>1.4</v>
      </c>
      <c r="O95">
        <f t="shared" si="2"/>
        <v>-1.4</v>
      </c>
      <c r="P95">
        <f t="shared" si="8"/>
        <v>20.999999999999996</v>
      </c>
      <c r="Q95">
        <v>56</v>
      </c>
      <c r="R95">
        <f t="shared" si="7"/>
        <v>0.76962025316455696</v>
      </c>
      <c r="S95">
        <f t="shared" si="3"/>
        <v>1.0774683544303796</v>
      </c>
      <c r="T95" s="24">
        <f t="shared" si="4"/>
        <v>-1.0774683544303796</v>
      </c>
      <c r="U95" s="24">
        <f t="shared" si="9"/>
        <v>43.741139240506335</v>
      </c>
      <c r="W95">
        <v>907</v>
      </c>
      <c r="Y95">
        <f t="shared" si="6"/>
        <v>55138.400000000016</v>
      </c>
      <c r="AA95">
        <v>9.8189507428505891</v>
      </c>
    </row>
    <row r="96" spans="1:27" x14ac:dyDescent="0.25">
      <c r="A96">
        <v>5560</v>
      </c>
      <c r="B96">
        <v>22250</v>
      </c>
      <c r="C96" s="1">
        <v>42674</v>
      </c>
      <c r="F96" s="49"/>
      <c r="G96">
        <v>8.9</v>
      </c>
      <c r="H96">
        <v>5.6</v>
      </c>
      <c r="I96">
        <v>13.9</v>
      </c>
      <c r="J96">
        <f t="shared" si="5"/>
        <v>778.20000000000016</v>
      </c>
      <c r="M96">
        <v>0</v>
      </c>
      <c r="N96">
        <v>1.6</v>
      </c>
      <c r="O96">
        <f t="shared" si="2"/>
        <v>-1.6</v>
      </c>
      <c r="P96">
        <f t="shared" si="8"/>
        <v>19.399999999999995</v>
      </c>
      <c r="Q96">
        <v>57</v>
      </c>
      <c r="R96">
        <f t="shared" si="7"/>
        <v>0.77784810126582271</v>
      </c>
      <c r="S96">
        <f t="shared" si="3"/>
        <v>1.2445569620253165</v>
      </c>
      <c r="T96" s="24">
        <f t="shared" si="4"/>
        <v>-1.2445569620253165</v>
      </c>
      <c r="U96" s="24">
        <f t="shared" si="9"/>
        <v>42.496582278481021</v>
      </c>
      <c r="W96">
        <v>1002.9</v>
      </c>
      <c r="Y96">
        <f t="shared" si="6"/>
        <v>56141.300000000017</v>
      </c>
      <c r="AA96">
        <v>9.7692703213295964</v>
      </c>
    </row>
    <row r="97" spans="1:27" x14ac:dyDescent="0.25">
      <c r="A97">
        <v>5560</v>
      </c>
      <c r="B97">
        <v>22250</v>
      </c>
      <c r="C97" s="1">
        <v>42675</v>
      </c>
      <c r="F97" s="49"/>
      <c r="G97">
        <v>8.1999999999999993</v>
      </c>
      <c r="H97">
        <v>2.4</v>
      </c>
      <c r="I97">
        <v>15.1</v>
      </c>
      <c r="J97">
        <f t="shared" si="5"/>
        <v>786.4000000000002</v>
      </c>
      <c r="M97">
        <v>0</v>
      </c>
      <c r="N97">
        <v>1.3</v>
      </c>
      <c r="O97">
        <f t="shared" si="2"/>
        <v>-1.3</v>
      </c>
      <c r="P97">
        <f t="shared" si="8"/>
        <v>18.099999999999994</v>
      </c>
      <c r="Q97">
        <v>58</v>
      </c>
      <c r="R97">
        <f t="shared" si="7"/>
        <v>0.78607594936708858</v>
      </c>
      <c r="S97">
        <f t="shared" si="3"/>
        <v>1.0218987341772152</v>
      </c>
      <c r="T97" s="24">
        <f t="shared" si="4"/>
        <v>-1.0218987341772152</v>
      </c>
      <c r="U97" s="24">
        <f t="shared" si="9"/>
        <v>41.474683544303808</v>
      </c>
      <c r="W97">
        <v>872.4</v>
      </c>
      <c r="Y97">
        <f t="shared" si="6"/>
        <v>57013.700000000019</v>
      </c>
      <c r="AA97">
        <v>9.7200628810548562</v>
      </c>
    </row>
    <row r="98" spans="1:27" x14ac:dyDescent="0.25">
      <c r="A98">
        <v>5560</v>
      </c>
      <c r="B98">
        <v>22250</v>
      </c>
      <c r="C98" s="1">
        <v>42676</v>
      </c>
      <c r="F98" s="49"/>
      <c r="G98">
        <v>6.9</v>
      </c>
      <c r="H98">
        <v>4.2</v>
      </c>
      <c r="I98">
        <v>8.8000000000000007</v>
      </c>
      <c r="J98">
        <f t="shared" si="5"/>
        <v>793.30000000000018</v>
      </c>
      <c r="M98">
        <v>0.1</v>
      </c>
      <c r="N98">
        <v>0.2</v>
      </c>
      <c r="O98">
        <f t="shared" si="2"/>
        <v>-0.1</v>
      </c>
      <c r="P98">
        <f t="shared" si="8"/>
        <v>17.999999999999993</v>
      </c>
      <c r="Q98">
        <v>59</v>
      </c>
      <c r="R98">
        <f t="shared" si="7"/>
        <v>0.79430379746835444</v>
      </c>
      <c r="S98">
        <f t="shared" si="3"/>
        <v>0.1588607594936709</v>
      </c>
      <c r="T98" s="24">
        <f t="shared" si="4"/>
        <v>-5.8860759493670894E-2</v>
      </c>
      <c r="U98" s="24">
        <f t="shared" si="9"/>
        <v>41.415822784810139</v>
      </c>
      <c r="W98">
        <v>197.5</v>
      </c>
      <c r="Y98">
        <f t="shared" si="6"/>
        <v>57211.200000000019</v>
      </c>
      <c r="AA98">
        <v>9.671346651613959</v>
      </c>
    </row>
    <row r="99" spans="1:27" x14ac:dyDescent="0.25">
      <c r="A99">
        <v>5560</v>
      </c>
      <c r="B99">
        <v>22250</v>
      </c>
      <c r="C99" s="1">
        <v>42677</v>
      </c>
      <c r="F99" s="49"/>
      <c r="G99">
        <v>5</v>
      </c>
      <c r="H99">
        <v>1.6</v>
      </c>
      <c r="I99">
        <v>8.3000000000000007</v>
      </c>
      <c r="J99">
        <f t="shared" si="5"/>
        <v>798.30000000000018</v>
      </c>
      <c r="M99">
        <v>0</v>
      </c>
      <c r="N99">
        <v>0.7</v>
      </c>
      <c r="O99">
        <f t="shared" si="2"/>
        <v>-0.7</v>
      </c>
      <c r="P99">
        <f t="shared" si="8"/>
        <v>17.299999999999994</v>
      </c>
      <c r="Q99">
        <v>60</v>
      </c>
      <c r="R99">
        <f t="shared" si="7"/>
        <v>0.80253164556962031</v>
      </c>
      <c r="S99">
        <f t="shared" si="3"/>
        <v>0.5617721518987342</v>
      </c>
      <c r="T99" s="24">
        <f t="shared" si="4"/>
        <v>-0.5617721518987342</v>
      </c>
      <c r="U99" s="24">
        <f t="shared" si="9"/>
        <v>40.854050632911402</v>
      </c>
      <c r="W99">
        <v>545.6</v>
      </c>
      <c r="Y99">
        <f t="shared" si="6"/>
        <v>57756.800000000017</v>
      </c>
      <c r="AA99">
        <v>9.6231402295496942</v>
      </c>
    </row>
    <row r="100" spans="1:27" x14ac:dyDescent="0.25">
      <c r="A100">
        <v>5560</v>
      </c>
      <c r="B100">
        <v>22250</v>
      </c>
      <c r="C100" s="1">
        <v>42678</v>
      </c>
      <c r="F100" s="49"/>
      <c r="G100">
        <v>8</v>
      </c>
      <c r="H100">
        <v>0.6</v>
      </c>
      <c r="I100">
        <v>12.8</v>
      </c>
      <c r="J100">
        <f t="shared" si="5"/>
        <v>806.30000000000018</v>
      </c>
      <c r="M100">
        <v>14.3</v>
      </c>
      <c r="N100">
        <v>0.5</v>
      </c>
      <c r="O100">
        <f t="shared" si="2"/>
        <v>13.8</v>
      </c>
      <c r="P100">
        <f t="shared" si="8"/>
        <v>31.099999999999994</v>
      </c>
      <c r="Q100">
        <v>61</v>
      </c>
      <c r="R100">
        <f t="shared" si="7"/>
        <v>0.81075949367088607</v>
      </c>
      <c r="S100">
        <f t="shared" si="3"/>
        <v>0.40537974683544303</v>
      </c>
      <c r="T100" s="24">
        <f t="shared" si="4"/>
        <v>13.894620253164558</v>
      </c>
      <c r="U100" s="24">
        <f t="shared" si="9"/>
        <v>54.748670886075956</v>
      </c>
      <c r="W100">
        <v>534.6</v>
      </c>
      <c r="Y100">
        <f t="shared" si="6"/>
        <v>58291.400000000016</v>
      </c>
      <c r="AA100">
        <v>9.5754625710997914</v>
      </c>
    </row>
    <row r="101" spans="1:27" x14ac:dyDescent="0.25">
      <c r="A101">
        <v>5560</v>
      </c>
      <c r="B101">
        <v>22250</v>
      </c>
      <c r="C101" s="1">
        <v>42679</v>
      </c>
      <c r="F101" s="49"/>
      <c r="G101">
        <v>8.1</v>
      </c>
      <c r="H101">
        <v>6.1</v>
      </c>
      <c r="I101">
        <v>9.9</v>
      </c>
      <c r="J101">
        <f t="shared" si="5"/>
        <v>814.4000000000002</v>
      </c>
      <c r="M101">
        <v>3.1</v>
      </c>
      <c r="N101">
        <v>0.2</v>
      </c>
      <c r="O101">
        <f t="shared" si="2"/>
        <v>2.9</v>
      </c>
      <c r="P101">
        <f t="shared" si="8"/>
        <v>33.999999999999993</v>
      </c>
      <c r="Q101">
        <v>62</v>
      </c>
      <c r="R101">
        <f t="shared" si="7"/>
        <v>0.81898734177215182</v>
      </c>
      <c r="S101">
        <f t="shared" si="3"/>
        <v>0.16379746835443038</v>
      </c>
      <c r="T101" s="24">
        <f t="shared" si="4"/>
        <v>2.9362025316455695</v>
      </c>
      <c r="U101" s="24">
        <f t="shared" si="9"/>
        <v>57.684873417721526</v>
      </c>
      <c r="W101">
        <v>225.6</v>
      </c>
      <c r="Y101">
        <f t="shared" si="6"/>
        <v>58517.000000000015</v>
      </c>
      <c r="AA101">
        <v>9.5283329834364263</v>
      </c>
    </row>
    <row r="102" spans="1:27" x14ac:dyDescent="0.25">
      <c r="A102">
        <v>5560</v>
      </c>
      <c r="B102">
        <v>22250</v>
      </c>
      <c r="C102" s="1">
        <v>42680</v>
      </c>
      <c r="F102" s="49"/>
      <c r="G102">
        <v>4.5999999999999996</v>
      </c>
      <c r="H102">
        <v>3.9</v>
      </c>
      <c r="I102">
        <v>7.7</v>
      </c>
      <c r="J102">
        <f t="shared" si="5"/>
        <v>819.00000000000023</v>
      </c>
      <c r="M102">
        <v>2.5</v>
      </c>
      <c r="N102">
        <v>0.7</v>
      </c>
      <c r="O102">
        <f t="shared" si="2"/>
        <v>1.8</v>
      </c>
      <c r="P102">
        <f t="shared" si="8"/>
        <v>35.79999999999999</v>
      </c>
      <c r="Q102">
        <v>63</v>
      </c>
      <c r="R102">
        <f t="shared" si="7"/>
        <v>0.82721518987341769</v>
      </c>
      <c r="S102">
        <f t="shared" si="3"/>
        <v>0.57905063291139236</v>
      </c>
      <c r="T102" s="24">
        <f t="shared" si="4"/>
        <v>1.9209493670886078</v>
      </c>
      <c r="U102" s="24">
        <f t="shared" si="9"/>
        <v>59.605822784810137</v>
      </c>
      <c r="W102">
        <v>509.5</v>
      </c>
      <c r="Y102">
        <f t="shared" si="6"/>
        <v>59026.500000000015</v>
      </c>
      <c r="AA102">
        <v>9.4817711143484473</v>
      </c>
    </row>
    <row r="103" spans="1:27" x14ac:dyDescent="0.25">
      <c r="A103">
        <v>5560</v>
      </c>
      <c r="B103">
        <v>22250</v>
      </c>
      <c r="C103" s="1">
        <v>42681</v>
      </c>
      <c r="F103" s="49"/>
      <c r="G103">
        <v>3.1</v>
      </c>
      <c r="H103">
        <v>-0.6</v>
      </c>
      <c r="I103">
        <v>6.3</v>
      </c>
      <c r="J103">
        <f t="shared" si="5"/>
        <v>822.10000000000025</v>
      </c>
      <c r="M103">
        <v>4.8</v>
      </c>
      <c r="N103">
        <v>0.2</v>
      </c>
      <c r="O103">
        <f t="shared" si="2"/>
        <v>4.5999999999999996</v>
      </c>
      <c r="P103">
        <f t="shared" si="8"/>
        <v>40.399999999999991</v>
      </c>
      <c r="Q103">
        <v>64</v>
      </c>
      <c r="R103">
        <f t="shared" si="7"/>
        <v>0.83544303797468356</v>
      </c>
      <c r="S103">
        <f t="shared" si="3"/>
        <v>0.16708860759493671</v>
      </c>
      <c r="T103" s="24">
        <f t="shared" si="4"/>
        <v>4.6329113924050631</v>
      </c>
      <c r="U103" s="24">
        <f t="shared" si="9"/>
        <v>64.238734177215207</v>
      </c>
      <c r="W103">
        <v>172.9</v>
      </c>
      <c r="Y103">
        <f t="shared" si="6"/>
        <v>59199.400000000016</v>
      </c>
      <c r="AA103">
        <v>9.4357969403116506</v>
      </c>
    </row>
    <row r="104" spans="1:27" x14ac:dyDescent="0.25">
      <c r="A104">
        <v>5560</v>
      </c>
      <c r="B104">
        <v>22250</v>
      </c>
      <c r="C104" s="1">
        <v>42682</v>
      </c>
      <c r="F104" s="49"/>
      <c r="G104">
        <v>5</v>
      </c>
      <c r="H104">
        <v>3.5</v>
      </c>
      <c r="I104">
        <v>7.5</v>
      </c>
      <c r="J104">
        <f t="shared" si="5"/>
        <v>827.10000000000025</v>
      </c>
      <c r="M104">
        <v>5.7</v>
      </c>
      <c r="N104">
        <v>0.6</v>
      </c>
      <c r="O104">
        <f t="shared" si="2"/>
        <v>5.1000000000000005</v>
      </c>
      <c r="P104">
        <f t="shared" si="8"/>
        <v>45.499999999999993</v>
      </c>
      <c r="Q104">
        <v>65</v>
      </c>
      <c r="R104">
        <f t="shared" si="7"/>
        <v>0.84367088607594942</v>
      </c>
      <c r="S104">
        <f t="shared" si="3"/>
        <v>0.50620253164556961</v>
      </c>
      <c r="T104" s="24">
        <f t="shared" si="4"/>
        <v>5.1937974683544308</v>
      </c>
      <c r="U104" s="24">
        <f t="shared" si="9"/>
        <v>69.43253164556964</v>
      </c>
      <c r="W104">
        <v>262.10000000000002</v>
      </c>
      <c r="Y104">
        <f t="shared" si="6"/>
        <v>59461.500000000015</v>
      </c>
      <c r="AA104">
        <v>9.390430752895357</v>
      </c>
    </row>
    <row r="105" spans="1:27" x14ac:dyDescent="0.25">
      <c r="A105">
        <v>5560</v>
      </c>
      <c r="B105">
        <v>22250</v>
      </c>
      <c r="C105" s="1">
        <v>42683</v>
      </c>
      <c r="F105" s="49"/>
      <c r="G105">
        <v>8.3000000000000007</v>
      </c>
      <c r="H105">
        <v>5.6</v>
      </c>
      <c r="I105">
        <v>10.1</v>
      </c>
      <c r="J105">
        <f t="shared" si="5"/>
        <v>835.4000000000002</v>
      </c>
      <c r="M105">
        <v>6.4</v>
      </c>
      <c r="N105">
        <v>0.8</v>
      </c>
      <c r="O105">
        <f t="shared" ref="O105:O168" si="10">M105-N105</f>
        <v>5.6000000000000005</v>
      </c>
      <c r="P105">
        <f t="shared" si="8"/>
        <v>51.099999999999994</v>
      </c>
      <c r="Q105">
        <v>66</v>
      </c>
      <c r="R105">
        <f t="shared" si="7"/>
        <v>0.85189873417721518</v>
      </c>
      <c r="S105">
        <f t="shared" ref="S105:S168" si="11">R105*N105</f>
        <v>0.68151898734177219</v>
      </c>
      <c r="T105" s="24">
        <f t="shared" ref="T105:T168" si="12">M105-S105</f>
        <v>5.7184810126582279</v>
      </c>
      <c r="U105" s="24">
        <f t="shared" si="9"/>
        <v>75.15101265822787</v>
      </c>
      <c r="W105">
        <v>122</v>
      </c>
      <c r="Y105">
        <f t="shared" si="6"/>
        <v>59583.500000000015</v>
      </c>
      <c r="AA105">
        <v>9.3456931434572006</v>
      </c>
    </row>
    <row r="106" spans="1:27" x14ac:dyDescent="0.25">
      <c r="A106">
        <v>5560</v>
      </c>
      <c r="B106">
        <v>22250</v>
      </c>
      <c r="C106" s="1">
        <v>42684</v>
      </c>
      <c r="F106" s="49"/>
      <c r="G106">
        <v>9.6</v>
      </c>
      <c r="H106">
        <v>7.6</v>
      </c>
      <c r="I106">
        <v>11.1</v>
      </c>
      <c r="J106">
        <f t="shared" ref="J106:J169" si="13">J105+G106</f>
        <v>845.00000000000023</v>
      </c>
      <c r="M106">
        <v>1.8</v>
      </c>
      <c r="N106">
        <v>0.6</v>
      </c>
      <c r="O106">
        <f t="shared" si="10"/>
        <v>1.2000000000000002</v>
      </c>
      <c r="P106">
        <f t="shared" ref="P106:P169" si="14">P105+O106</f>
        <v>52.3</v>
      </c>
      <c r="Q106">
        <v>67</v>
      </c>
      <c r="R106">
        <f t="shared" si="7"/>
        <v>0.86012658227848093</v>
      </c>
      <c r="S106">
        <f t="shared" si="11"/>
        <v>0.51607594936708856</v>
      </c>
      <c r="T106" s="24">
        <f t="shared" si="12"/>
        <v>1.2839240506329115</v>
      </c>
      <c r="U106" s="24">
        <f t="shared" si="9"/>
        <v>76.434936708860775</v>
      </c>
      <c r="W106">
        <v>123.9</v>
      </c>
      <c r="Y106">
        <f t="shared" ref="Y106:Y169" si="15">Y105+W106</f>
        <v>59707.400000000016</v>
      </c>
      <c r="AA106">
        <v>9.3016049860822481</v>
      </c>
    </row>
    <row r="107" spans="1:27" x14ac:dyDescent="0.25">
      <c r="A107">
        <v>5560</v>
      </c>
      <c r="B107">
        <v>22250</v>
      </c>
      <c r="C107" s="1">
        <v>42685</v>
      </c>
      <c r="F107" s="49"/>
      <c r="G107">
        <v>6</v>
      </c>
      <c r="H107">
        <v>4.5</v>
      </c>
      <c r="I107">
        <v>9.5</v>
      </c>
      <c r="J107">
        <f t="shared" si="13"/>
        <v>851.00000000000023</v>
      </c>
      <c r="M107">
        <v>0</v>
      </c>
      <c r="N107">
        <v>0.7</v>
      </c>
      <c r="O107">
        <f t="shared" si="10"/>
        <v>-0.7</v>
      </c>
      <c r="P107">
        <f t="shared" si="14"/>
        <v>51.599999999999994</v>
      </c>
      <c r="Q107">
        <v>68</v>
      </c>
      <c r="R107">
        <f t="shared" si="7"/>
        <v>0.8683544303797468</v>
      </c>
      <c r="S107">
        <f t="shared" si="11"/>
        <v>0.60784810126582267</v>
      </c>
      <c r="T107" s="24">
        <f t="shared" si="12"/>
        <v>-0.60784810126582267</v>
      </c>
      <c r="U107" s="24">
        <f t="shared" si="9"/>
        <v>75.827088607594959</v>
      </c>
      <c r="W107">
        <v>343.8</v>
      </c>
      <c r="Y107">
        <f t="shared" si="15"/>
        <v>60051.200000000019</v>
      </c>
      <c r="AA107">
        <v>9.2581874187276298</v>
      </c>
    </row>
    <row r="108" spans="1:27" x14ac:dyDescent="0.25">
      <c r="A108">
        <v>5560</v>
      </c>
      <c r="B108">
        <v>22250</v>
      </c>
      <c r="C108" s="1">
        <v>42686</v>
      </c>
      <c r="F108" s="49"/>
      <c r="G108">
        <v>5.2</v>
      </c>
      <c r="H108">
        <v>-1</v>
      </c>
      <c r="I108">
        <v>9.1</v>
      </c>
      <c r="J108">
        <f t="shared" si="13"/>
        <v>856.20000000000027</v>
      </c>
      <c r="M108">
        <v>6.3</v>
      </c>
      <c r="N108">
        <v>0.3</v>
      </c>
      <c r="O108">
        <f t="shared" si="10"/>
        <v>6</v>
      </c>
      <c r="P108">
        <f t="shared" si="14"/>
        <v>57.599999999999994</v>
      </c>
      <c r="Q108">
        <v>69</v>
      </c>
      <c r="R108">
        <f t="shared" si="7"/>
        <v>0.87658227848101267</v>
      </c>
      <c r="S108">
        <f t="shared" si="11"/>
        <v>0.26297468354430381</v>
      </c>
      <c r="T108" s="24">
        <f t="shared" si="12"/>
        <v>6.0370253164556962</v>
      </c>
      <c r="U108" s="24">
        <f t="shared" si="9"/>
        <v>81.864113924050656</v>
      </c>
      <c r="W108">
        <v>402.1</v>
      </c>
      <c r="Y108">
        <f t="shared" si="15"/>
        <v>60453.300000000017</v>
      </c>
      <c r="AA108">
        <v>9.2154618225396074</v>
      </c>
    </row>
    <row r="109" spans="1:27" x14ac:dyDescent="0.25">
      <c r="A109">
        <v>5560</v>
      </c>
      <c r="B109">
        <v>22250</v>
      </c>
      <c r="C109" s="1">
        <v>42687</v>
      </c>
      <c r="F109" s="49"/>
      <c r="G109">
        <v>8.8000000000000007</v>
      </c>
      <c r="H109">
        <v>7.9</v>
      </c>
      <c r="I109">
        <v>9.1999999999999993</v>
      </c>
      <c r="J109">
        <f t="shared" si="13"/>
        <v>865.00000000000023</v>
      </c>
      <c r="M109">
        <v>0.8</v>
      </c>
      <c r="N109">
        <v>0.2</v>
      </c>
      <c r="O109">
        <f t="shared" si="10"/>
        <v>0.60000000000000009</v>
      </c>
      <c r="P109">
        <f t="shared" si="14"/>
        <v>58.199999999999996</v>
      </c>
      <c r="Q109">
        <v>70</v>
      </c>
      <c r="R109">
        <f t="shared" si="7"/>
        <v>0.88481012658227853</v>
      </c>
      <c r="S109">
        <f t="shared" si="11"/>
        <v>0.17696202531645572</v>
      </c>
      <c r="T109" s="24">
        <f t="shared" si="12"/>
        <v>0.62303797468354438</v>
      </c>
      <c r="U109" s="24">
        <f t="shared" si="9"/>
        <v>82.487151898734197</v>
      </c>
      <c r="W109">
        <v>148.80000000000001</v>
      </c>
      <c r="Y109">
        <f t="shared" si="15"/>
        <v>60602.10000000002</v>
      </c>
      <c r="AA109">
        <v>9.1734497993164705</v>
      </c>
    </row>
    <row r="110" spans="1:27" x14ac:dyDescent="0.25">
      <c r="A110">
        <v>5560</v>
      </c>
      <c r="B110">
        <v>22250</v>
      </c>
      <c r="C110" s="1">
        <v>42688</v>
      </c>
      <c r="F110" s="49"/>
      <c r="G110">
        <v>6.7</v>
      </c>
      <c r="H110">
        <v>6.3</v>
      </c>
      <c r="I110">
        <v>7.2</v>
      </c>
      <c r="J110">
        <f t="shared" si="13"/>
        <v>871.70000000000027</v>
      </c>
      <c r="M110">
        <v>0</v>
      </c>
      <c r="N110">
        <v>0.4</v>
      </c>
      <c r="O110">
        <f t="shared" si="10"/>
        <v>-0.4</v>
      </c>
      <c r="P110">
        <f t="shared" si="14"/>
        <v>57.8</v>
      </c>
      <c r="Q110">
        <v>71</v>
      </c>
      <c r="R110">
        <f t="shared" ref="R110:R123" si="16">0.35+((Q110-5)/79)*(1-0.35)</f>
        <v>0.89303797468354429</v>
      </c>
      <c r="S110">
        <f t="shared" si="11"/>
        <v>0.35721518987341772</v>
      </c>
      <c r="T110" s="24">
        <f t="shared" si="12"/>
        <v>-0.35721518987341772</v>
      </c>
      <c r="U110" s="24">
        <f t="shared" si="9"/>
        <v>82.129936708860782</v>
      </c>
      <c r="W110">
        <v>146.6</v>
      </c>
      <c r="Y110">
        <f t="shared" si="15"/>
        <v>60748.700000000019</v>
      </c>
      <c r="AA110">
        <v>9.1321731470980883</v>
      </c>
    </row>
    <row r="111" spans="1:27" x14ac:dyDescent="0.25">
      <c r="A111">
        <v>5560</v>
      </c>
      <c r="B111">
        <v>22250</v>
      </c>
      <c r="C111" s="1">
        <v>42689</v>
      </c>
      <c r="F111" s="49"/>
      <c r="G111">
        <v>7.9</v>
      </c>
      <c r="H111">
        <v>5.6</v>
      </c>
      <c r="I111">
        <v>10.1</v>
      </c>
      <c r="J111">
        <f t="shared" si="13"/>
        <v>879.60000000000025</v>
      </c>
      <c r="M111">
        <v>0.8</v>
      </c>
      <c r="N111">
        <v>0.5</v>
      </c>
      <c r="O111">
        <f t="shared" si="10"/>
        <v>0.30000000000000004</v>
      </c>
      <c r="P111">
        <f t="shared" si="14"/>
        <v>58.099999999999994</v>
      </c>
      <c r="Q111">
        <v>72</v>
      </c>
      <c r="R111">
        <f t="shared" si="16"/>
        <v>0.90126582278481016</v>
      </c>
      <c r="S111">
        <f t="shared" si="11"/>
        <v>0.45063291139240508</v>
      </c>
      <c r="T111" s="24">
        <f t="shared" si="12"/>
        <v>0.34936708860759497</v>
      </c>
      <c r="U111" s="24">
        <f t="shared" si="9"/>
        <v>82.479303797468376</v>
      </c>
      <c r="W111">
        <v>160.80000000000001</v>
      </c>
      <c r="Y111">
        <f t="shared" si="15"/>
        <v>60909.500000000022</v>
      </c>
      <c r="AA111">
        <v>9.0916538338709412</v>
      </c>
    </row>
    <row r="112" spans="1:27" x14ac:dyDescent="0.25">
      <c r="A112">
        <v>5560</v>
      </c>
      <c r="B112">
        <v>22250</v>
      </c>
      <c r="C112" s="1">
        <v>42690</v>
      </c>
      <c r="F112" s="49"/>
      <c r="G112">
        <v>10.7</v>
      </c>
      <c r="H112">
        <v>9.3000000000000007</v>
      </c>
      <c r="I112">
        <v>11.4</v>
      </c>
      <c r="J112">
        <f t="shared" si="13"/>
        <v>890.3000000000003</v>
      </c>
      <c r="M112">
        <v>4</v>
      </c>
      <c r="N112">
        <v>0.3</v>
      </c>
      <c r="O112">
        <f t="shared" si="10"/>
        <v>3.7</v>
      </c>
      <c r="P112">
        <f t="shared" si="14"/>
        <v>61.8</v>
      </c>
      <c r="Q112">
        <v>73</v>
      </c>
      <c r="R112">
        <f t="shared" si="16"/>
        <v>0.90949367088607602</v>
      </c>
      <c r="S112">
        <f t="shared" si="11"/>
        <v>0.27284810126582282</v>
      </c>
      <c r="T112" s="24">
        <f t="shared" si="12"/>
        <v>3.727151898734177</v>
      </c>
      <c r="U112" s="24">
        <f t="shared" si="9"/>
        <v>86.206455696202553</v>
      </c>
      <c r="W112">
        <v>122.4</v>
      </c>
      <c r="Y112">
        <f t="shared" si="15"/>
        <v>61031.900000000023</v>
      </c>
      <c r="AA112">
        <v>9.0519139693865718</v>
      </c>
    </row>
    <row r="113" spans="1:28" x14ac:dyDescent="0.25">
      <c r="A113">
        <v>5560</v>
      </c>
      <c r="B113">
        <v>22250</v>
      </c>
      <c r="C113" s="1">
        <v>42691</v>
      </c>
      <c r="F113" s="49"/>
      <c r="G113">
        <v>11.2</v>
      </c>
      <c r="H113">
        <v>10.199999999999999</v>
      </c>
      <c r="I113">
        <v>11.8</v>
      </c>
      <c r="J113">
        <f t="shared" si="13"/>
        <v>901.50000000000034</v>
      </c>
      <c r="M113">
        <v>6.3</v>
      </c>
      <c r="N113">
        <v>0.4</v>
      </c>
      <c r="O113">
        <f t="shared" si="10"/>
        <v>5.8999999999999995</v>
      </c>
      <c r="P113">
        <f t="shared" si="14"/>
        <v>67.7</v>
      </c>
      <c r="Q113">
        <v>74</v>
      </c>
      <c r="R113">
        <f t="shared" si="16"/>
        <v>0.91772151898734178</v>
      </c>
      <c r="S113">
        <f t="shared" si="11"/>
        <v>0.36708860759493672</v>
      </c>
      <c r="T113" s="24">
        <f t="shared" si="12"/>
        <v>5.9329113924050629</v>
      </c>
      <c r="U113" s="24">
        <f t="shared" si="9"/>
        <v>92.139367088607614</v>
      </c>
      <c r="W113">
        <v>150.9</v>
      </c>
      <c r="Y113">
        <f t="shared" si="15"/>
        <v>61182.800000000025</v>
      </c>
      <c r="AA113">
        <v>9.0129757751009887</v>
      </c>
    </row>
    <row r="114" spans="1:28" x14ac:dyDescent="0.25">
      <c r="A114">
        <v>5560</v>
      </c>
      <c r="B114">
        <v>22250</v>
      </c>
      <c r="C114" s="1">
        <v>42692</v>
      </c>
      <c r="E114" t="s">
        <v>61</v>
      </c>
      <c r="F114" s="49"/>
      <c r="G114">
        <v>9.4</v>
      </c>
      <c r="H114">
        <v>6.9</v>
      </c>
      <c r="I114">
        <v>11.3</v>
      </c>
      <c r="J114">
        <f t="shared" si="13"/>
        <v>910.90000000000032</v>
      </c>
      <c r="M114">
        <v>6.6</v>
      </c>
      <c r="N114">
        <v>0.9</v>
      </c>
      <c r="O114">
        <f t="shared" si="10"/>
        <v>5.6999999999999993</v>
      </c>
      <c r="P114">
        <f t="shared" si="14"/>
        <v>73.400000000000006</v>
      </c>
      <c r="Q114">
        <v>75</v>
      </c>
      <c r="R114">
        <f t="shared" si="16"/>
        <v>0.92594936708860753</v>
      </c>
      <c r="S114">
        <f t="shared" si="11"/>
        <v>0.83335443037974677</v>
      </c>
      <c r="T114" s="24">
        <f t="shared" si="12"/>
        <v>5.7666455696202528</v>
      </c>
      <c r="U114" s="24">
        <f t="shared" ref="U114:U177" si="17">MIN(122.1,U113+T114)</f>
        <v>97.906012658227866</v>
      </c>
      <c r="W114">
        <v>517.20000000000005</v>
      </c>
      <c r="Y114">
        <f t="shared" si="15"/>
        <v>61700.000000000022</v>
      </c>
      <c r="AA114" s="36">
        <v>8.9748615522532464</v>
      </c>
    </row>
    <row r="115" spans="1:28" x14ac:dyDescent="0.25">
      <c r="A115">
        <v>5560</v>
      </c>
      <c r="B115">
        <v>22250</v>
      </c>
      <c r="C115" s="1">
        <v>42693</v>
      </c>
      <c r="F115" s="49"/>
      <c r="G115">
        <v>7.5</v>
      </c>
      <c r="H115">
        <v>4.7</v>
      </c>
      <c r="I115">
        <v>12.5</v>
      </c>
      <c r="J115">
        <f t="shared" si="13"/>
        <v>918.40000000000032</v>
      </c>
      <c r="M115">
        <v>0</v>
      </c>
      <c r="N115">
        <v>1.4</v>
      </c>
      <c r="O115">
        <f t="shared" si="10"/>
        <v>-1.4</v>
      </c>
      <c r="P115">
        <f t="shared" si="14"/>
        <v>72</v>
      </c>
      <c r="Q115">
        <v>76</v>
      </c>
      <c r="R115">
        <f t="shared" si="16"/>
        <v>0.9341772151898734</v>
      </c>
      <c r="S115">
        <f t="shared" si="11"/>
        <v>1.3078481012658227</v>
      </c>
      <c r="T115" s="24">
        <f t="shared" si="12"/>
        <v>-1.3078481012658227</v>
      </c>
      <c r="U115" s="24">
        <f t="shared" si="17"/>
        <v>96.598164556962047</v>
      </c>
      <c r="W115">
        <v>398.1</v>
      </c>
      <c r="Y115">
        <f t="shared" si="15"/>
        <v>62098.10000000002</v>
      </c>
      <c r="AA115" s="36">
        <v>8.9375936481126743</v>
      </c>
    </row>
    <row r="116" spans="1:28" x14ac:dyDescent="0.25">
      <c r="A116">
        <v>5560</v>
      </c>
      <c r="B116">
        <v>22250</v>
      </c>
      <c r="C116" s="1">
        <v>42694</v>
      </c>
      <c r="F116" s="49"/>
      <c r="G116">
        <v>12.9</v>
      </c>
      <c r="H116">
        <v>7.8</v>
      </c>
      <c r="I116">
        <v>15.3</v>
      </c>
      <c r="J116">
        <f t="shared" si="13"/>
        <v>931.3000000000003</v>
      </c>
      <c r="M116">
        <v>1.4</v>
      </c>
      <c r="N116">
        <v>1.9</v>
      </c>
      <c r="O116">
        <f t="shared" si="10"/>
        <v>-0.5</v>
      </c>
      <c r="P116">
        <f t="shared" si="14"/>
        <v>71.5</v>
      </c>
      <c r="Q116">
        <v>77</v>
      </c>
      <c r="R116">
        <f t="shared" si="16"/>
        <v>0.94240506329113927</v>
      </c>
      <c r="S116">
        <f t="shared" si="11"/>
        <v>1.7905696202531645</v>
      </c>
      <c r="T116" s="24">
        <f t="shared" si="12"/>
        <v>-0.39056962025316455</v>
      </c>
      <c r="U116" s="24">
        <f t="shared" si="17"/>
        <v>96.207594936708887</v>
      </c>
      <c r="W116">
        <v>155.6</v>
      </c>
      <c r="Y116">
        <f t="shared" si="15"/>
        <v>62253.700000000019</v>
      </c>
      <c r="AA116" s="36">
        <v>8.901194420436358</v>
      </c>
    </row>
    <row r="117" spans="1:28" x14ac:dyDescent="0.25">
      <c r="A117">
        <v>5560</v>
      </c>
      <c r="B117">
        <v>22250</v>
      </c>
      <c r="C117" s="1">
        <v>42695</v>
      </c>
      <c r="F117" s="49"/>
      <c r="G117">
        <v>11</v>
      </c>
      <c r="H117">
        <v>10.4</v>
      </c>
      <c r="I117">
        <v>11.8</v>
      </c>
      <c r="J117">
        <f t="shared" si="13"/>
        <v>942.3000000000003</v>
      </c>
      <c r="M117">
        <v>2.7</v>
      </c>
      <c r="N117">
        <v>0.8</v>
      </c>
      <c r="O117">
        <f t="shared" si="10"/>
        <v>1.9000000000000001</v>
      </c>
      <c r="P117">
        <f t="shared" si="14"/>
        <v>73.400000000000006</v>
      </c>
      <c r="Q117">
        <v>78</v>
      </c>
      <c r="R117">
        <f t="shared" si="16"/>
        <v>0.95063291139240513</v>
      </c>
      <c r="S117">
        <f t="shared" si="11"/>
        <v>0.76050632911392413</v>
      </c>
      <c r="T117" s="24">
        <f t="shared" si="12"/>
        <v>1.9394936708860762</v>
      </c>
      <c r="U117" s="24">
        <f t="shared" si="17"/>
        <v>98.147088607594966</v>
      </c>
      <c r="W117">
        <v>152.4</v>
      </c>
      <c r="Y117">
        <f t="shared" si="15"/>
        <v>62406.10000000002</v>
      </c>
      <c r="AA117" s="36">
        <v>8.8656862001911421</v>
      </c>
    </row>
    <row r="118" spans="1:28" x14ac:dyDescent="0.25">
      <c r="A118">
        <v>5560</v>
      </c>
      <c r="B118">
        <v>22250</v>
      </c>
      <c r="C118" s="1">
        <v>42696</v>
      </c>
      <c r="F118" s="49"/>
      <c r="G118">
        <v>9</v>
      </c>
      <c r="H118">
        <v>7</v>
      </c>
      <c r="I118">
        <v>10.7</v>
      </c>
      <c r="J118">
        <f t="shared" si="13"/>
        <v>951.3000000000003</v>
      </c>
      <c r="M118">
        <v>14.1</v>
      </c>
      <c r="N118">
        <v>0.5</v>
      </c>
      <c r="O118">
        <f t="shared" si="10"/>
        <v>13.6</v>
      </c>
      <c r="P118">
        <f t="shared" si="14"/>
        <v>87</v>
      </c>
      <c r="Q118">
        <v>79</v>
      </c>
      <c r="R118">
        <f t="shared" si="16"/>
        <v>0.95886075949367089</v>
      </c>
      <c r="S118">
        <f t="shared" si="11"/>
        <v>0.47943037974683544</v>
      </c>
      <c r="T118" s="24">
        <f t="shared" si="12"/>
        <v>13.620569620253164</v>
      </c>
      <c r="U118" s="24">
        <f t="shared" si="17"/>
        <v>111.76765822784813</v>
      </c>
      <c r="W118">
        <v>100.6</v>
      </c>
      <c r="Y118">
        <f t="shared" si="15"/>
        <v>62506.700000000019</v>
      </c>
      <c r="AA118" s="36">
        <v>8.8310912526078464</v>
      </c>
    </row>
    <row r="119" spans="1:28" x14ac:dyDescent="0.25">
      <c r="A119">
        <v>5560</v>
      </c>
      <c r="B119">
        <v>22250</v>
      </c>
      <c r="C119" s="1">
        <v>42697</v>
      </c>
      <c r="F119" s="49"/>
      <c r="G119">
        <v>11.1</v>
      </c>
      <c r="H119">
        <v>8.6</v>
      </c>
      <c r="I119">
        <v>13.2</v>
      </c>
      <c r="J119">
        <f t="shared" si="13"/>
        <v>962.40000000000032</v>
      </c>
      <c r="M119">
        <v>0</v>
      </c>
      <c r="N119">
        <v>0.6</v>
      </c>
      <c r="O119">
        <f t="shared" si="10"/>
        <v>-0.6</v>
      </c>
      <c r="P119">
        <f t="shared" si="14"/>
        <v>86.4</v>
      </c>
      <c r="Q119">
        <v>80</v>
      </c>
      <c r="R119">
        <f t="shared" si="16"/>
        <v>0.96708860759493664</v>
      </c>
      <c r="S119">
        <f t="shared" si="11"/>
        <v>0.58025316455696196</v>
      </c>
      <c r="T119" s="24">
        <f t="shared" si="12"/>
        <v>-0.58025316455696196</v>
      </c>
      <c r="U119" s="24">
        <f t="shared" si="17"/>
        <v>111.18740506329117</v>
      </c>
      <c r="W119">
        <v>102.2</v>
      </c>
      <c r="Y119">
        <f t="shared" si="15"/>
        <v>62608.900000000016</v>
      </c>
      <c r="AA119" s="36">
        <v>8.7974317366491732</v>
      </c>
    </row>
    <row r="120" spans="1:28" x14ac:dyDescent="0.25">
      <c r="A120">
        <v>5560</v>
      </c>
      <c r="B120">
        <v>22250</v>
      </c>
      <c r="C120" s="1">
        <v>42698</v>
      </c>
      <c r="F120" s="49"/>
      <c r="G120">
        <v>11.1</v>
      </c>
      <c r="H120">
        <v>10.9</v>
      </c>
      <c r="I120">
        <v>12.2</v>
      </c>
      <c r="J120">
        <f t="shared" si="13"/>
        <v>973.50000000000034</v>
      </c>
      <c r="M120">
        <v>0.4</v>
      </c>
      <c r="N120">
        <v>1.1000000000000001</v>
      </c>
      <c r="O120">
        <f t="shared" si="10"/>
        <v>-0.70000000000000007</v>
      </c>
      <c r="P120">
        <f t="shared" si="14"/>
        <v>85.7</v>
      </c>
      <c r="Q120">
        <v>81</v>
      </c>
      <c r="R120">
        <f t="shared" si="16"/>
        <v>0.97531645569620251</v>
      </c>
      <c r="S120">
        <f t="shared" si="11"/>
        <v>1.0728481012658229</v>
      </c>
      <c r="T120" s="24">
        <f t="shared" si="12"/>
        <v>-0.67284810126582284</v>
      </c>
      <c r="U120" s="24">
        <f t="shared" si="17"/>
        <v>110.51455696202534</v>
      </c>
      <c r="W120">
        <v>283.7</v>
      </c>
      <c r="Y120">
        <f t="shared" si="15"/>
        <v>62892.600000000013</v>
      </c>
      <c r="AA120" s="36">
        <v>8.7647296629872073</v>
      </c>
    </row>
    <row r="121" spans="1:28" x14ac:dyDescent="0.25">
      <c r="A121">
        <v>5560</v>
      </c>
      <c r="B121">
        <v>22250</v>
      </c>
      <c r="C121" s="1">
        <v>42699</v>
      </c>
      <c r="F121" s="49"/>
      <c r="G121">
        <v>7.9</v>
      </c>
      <c r="H121">
        <v>8</v>
      </c>
      <c r="I121">
        <v>8.4</v>
      </c>
      <c r="J121">
        <f t="shared" si="13"/>
        <v>981.40000000000032</v>
      </c>
      <c r="M121">
        <v>0.1</v>
      </c>
      <c r="N121">
        <v>0.3</v>
      </c>
      <c r="O121">
        <f t="shared" si="10"/>
        <v>-0.19999999999999998</v>
      </c>
      <c r="P121">
        <f t="shared" si="14"/>
        <v>85.5</v>
      </c>
      <c r="Q121">
        <v>82</v>
      </c>
      <c r="R121">
        <f t="shared" si="16"/>
        <v>0.98354430379746838</v>
      </c>
      <c r="S121">
        <f t="shared" si="11"/>
        <v>0.29506329113924051</v>
      </c>
      <c r="T121" s="24">
        <f t="shared" si="12"/>
        <v>-0.19506329113924051</v>
      </c>
      <c r="U121" s="24">
        <f t="shared" si="17"/>
        <v>110.3194936708861</v>
      </c>
      <c r="W121">
        <v>83.5</v>
      </c>
      <c r="Y121">
        <f t="shared" si="15"/>
        <v>62976.100000000013</v>
      </c>
      <c r="AA121" s="36">
        <v>8.7330068506009368</v>
      </c>
    </row>
    <row r="122" spans="1:28" x14ac:dyDescent="0.25">
      <c r="A122">
        <v>5560</v>
      </c>
      <c r="B122">
        <v>22250</v>
      </c>
      <c r="C122" s="1">
        <v>42700</v>
      </c>
      <c r="F122" s="49"/>
      <c r="G122">
        <v>6.1</v>
      </c>
      <c r="H122">
        <v>4.0999999999999996</v>
      </c>
      <c r="I122">
        <v>7.5</v>
      </c>
      <c r="J122">
        <f t="shared" si="13"/>
        <v>987.50000000000034</v>
      </c>
      <c r="M122">
        <v>0.1</v>
      </c>
      <c r="N122">
        <v>0.4</v>
      </c>
      <c r="O122">
        <f t="shared" si="10"/>
        <v>-0.30000000000000004</v>
      </c>
      <c r="P122">
        <f t="shared" si="14"/>
        <v>85.2</v>
      </c>
      <c r="Q122">
        <v>83</v>
      </c>
      <c r="R122">
        <f t="shared" si="16"/>
        <v>0.99177215189873424</v>
      </c>
      <c r="S122">
        <f t="shared" si="11"/>
        <v>0.39670886075949374</v>
      </c>
      <c r="T122" s="24">
        <f t="shared" si="12"/>
        <v>-0.29670886075949376</v>
      </c>
      <c r="U122" s="24">
        <f t="shared" si="17"/>
        <v>110.02278481012661</v>
      </c>
      <c r="W122">
        <v>448.3</v>
      </c>
      <c r="Y122">
        <f t="shared" si="15"/>
        <v>63424.400000000016</v>
      </c>
      <c r="AA122" s="36">
        <v>8.7022848821190149</v>
      </c>
    </row>
    <row r="123" spans="1:28" s="32" customFormat="1" ht="15.75" thickBot="1" x14ac:dyDescent="0.3">
      <c r="A123" s="32">
        <v>5560</v>
      </c>
      <c r="B123" s="32">
        <v>22250</v>
      </c>
      <c r="C123" s="33">
        <v>42701</v>
      </c>
      <c r="F123" s="49"/>
      <c r="G123" s="32">
        <v>5.4</v>
      </c>
      <c r="H123" s="32">
        <v>2.5</v>
      </c>
      <c r="I123" s="32">
        <v>6.8</v>
      </c>
      <c r="J123" s="32">
        <f t="shared" si="13"/>
        <v>992.90000000000032</v>
      </c>
      <c r="L123" s="34"/>
      <c r="M123" s="32">
        <v>0</v>
      </c>
      <c r="N123" s="32">
        <v>0</v>
      </c>
      <c r="O123" s="32">
        <f t="shared" si="10"/>
        <v>0</v>
      </c>
      <c r="P123" s="32">
        <f t="shared" si="14"/>
        <v>85.2</v>
      </c>
      <c r="Q123" s="32">
        <v>84</v>
      </c>
      <c r="R123" s="32">
        <f t="shared" si="16"/>
        <v>1</v>
      </c>
      <c r="S123" s="32">
        <f t="shared" si="11"/>
        <v>0</v>
      </c>
      <c r="T123" s="35">
        <f t="shared" si="12"/>
        <v>0</v>
      </c>
      <c r="U123" s="35">
        <f t="shared" si="17"/>
        <v>110.02278481012661</v>
      </c>
      <c r="W123" s="32">
        <v>205.9</v>
      </c>
      <c r="Y123" s="32">
        <f t="shared" si="15"/>
        <v>63630.300000000017</v>
      </c>
      <c r="AA123" s="37">
        <v>8.6725850580479591</v>
      </c>
    </row>
    <row r="124" spans="1:28" x14ac:dyDescent="0.25">
      <c r="A124">
        <v>5560</v>
      </c>
      <c r="B124">
        <v>22250</v>
      </c>
      <c r="C124" s="1">
        <v>42702</v>
      </c>
      <c r="D124" t="s">
        <v>36</v>
      </c>
      <c r="E124" s="36">
        <v>1</v>
      </c>
      <c r="F124" s="48" t="s">
        <v>51</v>
      </c>
      <c r="G124">
        <v>4</v>
      </c>
      <c r="H124">
        <v>2.9</v>
      </c>
      <c r="I124">
        <v>7.4</v>
      </c>
      <c r="J124">
        <f t="shared" si="13"/>
        <v>996.90000000000032</v>
      </c>
      <c r="K124">
        <f>G124</f>
        <v>4</v>
      </c>
      <c r="L124" s="14" t="s">
        <v>38</v>
      </c>
      <c r="M124">
        <v>0</v>
      </c>
      <c r="N124">
        <v>1.3</v>
      </c>
      <c r="O124">
        <f t="shared" si="10"/>
        <v>-1.3</v>
      </c>
      <c r="P124">
        <f t="shared" si="14"/>
        <v>83.9</v>
      </c>
      <c r="Q124">
        <v>85</v>
      </c>
      <c r="R124">
        <v>1</v>
      </c>
      <c r="S124">
        <f t="shared" si="11"/>
        <v>1.3</v>
      </c>
      <c r="T124" s="24">
        <f t="shared" si="12"/>
        <v>-1.3</v>
      </c>
      <c r="U124" s="24">
        <f t="shared" si="17"/>
        <v>108.72278481012661</v>
      </c>
      <c r="V124" s="26" t="s">
        <v>53</v>
      </c>
      <c r="W124">
        <v>678.8</v>
      </c>
      <c r="Y124">
        <f t="shared" si="15"/>
        <v>64309.10000000002</v>
      </c>
      <c r="Z124">
        <f>W124</f>
        <v>678.8</v>
      </c>
      <c r="AA124" s="36">
        <v>8.6439283500404809</v>
      </c>
      <c r="AB124" s="26" t="s">
        <v>58</v>
      </c>
    </row>
    <row r="125" spans="1:28" x14ac:dyDescent="0.25">
      <c r="A125">
        <v>5560</v>
      </c>
      <c r="B125">
        <v>22250</v>
      </c>
      <c r="C125" s="1">
        <v>42703</v>
      </c>
      <c r="E125" s="36">
        <v>2</v>
      </c>
      <c r="F125" s="48"/>
      <c r="G125">
        <v>0.4</v>
      </c>
      <c r="H125">
        <v>-2.7</v>
      </c>
      <c r="I125">
        <v>3.1</v>
      </c>
      <c r="J125">
        <f t="shared" si="13"/>
        <v>997.3000000000003</v>
      </c>
      <c r="K125">
        <f>K124+G125</f>
        <v>4.4000000000000004</v>
      </c>
      <c r="L125" s="12">
        <v>159.6</v>
      </c>
      <c r="M125">
        <v>0</v>
      </c>
      <c r="N125">
        <v>0.8</v>
      </c>
      <c r="O125">
        <f t="shared" si="10"/>
        <v>-0.8</v>
      </c>
      <c r="P125">
        <f t="shared" si="14"/>
        <v>83.100000000000009</v>
      </c>
      <c r="Q125">
        <v>86</v>
      </c>
      <c r="R125">
        <v>1</v>
      </c>
      <c r="S125">
        <f t="shared" si="11"/>
        <v>0.8</v>
      </c>
      <c r="T125" s="24">
        <f t="shared" si="12"/>
        <v>-0.8</v>
      </c>
      <c r="U125" s="24">
        <f t="shared" si="17"/>
        <v>107.92278481012661</v>
      </c>
      <c r="V125">
        <v>0</v>
      </c>
      <c r="W125">
        <v>405.7</v>
      </c>
      <c r="Y125">
        <f t="shared" si="15"/>
        <v>64714.800000000017</v>
      </c>
      <c r="Z125">
        <f>Z124+W125</f>
        <v>1084.5</v>
      </c>
      <c r="AA125" s="36">
        <v>8.6163353533733282</v>
      </c>
      <c r="AB125">
        <v>22792.400000000001</v>
      </c>
    </row>
    <row r="126" spans="1:28" x14ac:dyDescent="0.25">
      <c r="A126">
        <v>5560</v>
      </c>
      <c r="B126">
        <v>22250</v>
      </c>
      <c r="C126" s="1">
        <v>42704</v>
      </c>
      <c r="E126" s="36">
        <v>3</v>
      </c>
      <c r="F126" s="48"/>
      <c r="G126">
        <v>2.7</v>
      </c>
      <c r="H126">
        <v>-0.9</v>
      </c>
      <c r="I126">
        <v>7.6</v>
      </c>
      <c r="J126">
        <f t="shared" si="13"/>
        <v>1000.0000000000003</v>
      </c>
      <c r="K126">
        <f t="shared" ref="K126:K189" si="18">K125+G126</f>
        <v>7.1000000000000005</v>
      </c>
      <c r="L126" s="14" t="s">
        <v>39</v>
      </c>
      <c r="M126">
        <v>0</v>
      </c>
      <c r="N126">
        <v>0.9</v>
      </c>
      <c r="O126">
        <f t="shared" si="10"/>
        <v>-0.9</v>
      </c>
      <c r="P126">
        <f t="shared" si="14"/>
        <v>82.2</v>
      </c>
      <c r="Q126">
        <v>87</v>
      </c>
      <c r="R126">
        <v>1</v>
      </c>
      <c r="S126">
        <f t="shared" si="11"/>
        <v>0.9</v>
      </c>
      <c r="T126" s="24">
        <f t="shared" si="12"/>
        <v>-0.9</v>
      </c>
      <c r="U126" s="24">
        <f t="shared" si="17"/>
        <v>107.02278481012661</v>
      </c>
      <c r="V126" s="26" t="s">
        <v>54</v>
      </c>
      <c r="W126">
        <v>684.9</v>
      </c>
      <c r="Y126">
        <f t="shared" si="15"/>
        <v>65399.700000000019</v>
      </c>
      <c r="Z126">
        <f t="shared" ref="Z126:Z189" si="19">Z125+W126</f>
        <v>1769.4</v>
      </c>
      <c r="AA126" s="36">
        <v>8.589826238817718</v>
      </c>
      <c r="AB126" s="26" t="s">
        <v>59</v>
      </c>
    </row>
    <row r="127" spans="1:28" x14ac:dyDescent="0.25">
      <c r="A127">
        <v>5560</v>
      </c>
      <c r="B127">
        <v>22250</v>
      </c>
      <c r="C127" s="1">
        <v>42705</v>
      </c>
      <c r="E127" s="36">
        <v>4</v>
      </c>
      <c r="F127" s="48"/>
      <c r="G127">
        <v>-1.3</v>
      </c>
      <c r="H127">
        <v>-2.8</v>
      </c>
      <c r="I127">
        <v>0.3</v>
      </c>
      <c r="J127">
        <v>1000</v>
      </c>
      <c r="K127">
        <v>7.1</v>
      </c>
      <c r="L127" s="12">
        <f>AVERAGE(G124:G183)</f>
        <v>2.0500000000000012</v>
      </c>
      <c r="M127">
        <v>0</v>
      </c>
      <c r="N127">
        <v>0.3</v>
      </c>
      <c r="O127">
        <f t="shared" si="10"/>
        <v>-0.3</v>
      </c>
      <c r="P127">
        <f t="shared" si="14"/>
        <v>81.900000000000006</v>
      </c>
      <c r="Q127">
        <v>88</v>
      </c>
      <c r="R127">
        <v>1</v>
      </c>
      <c r="S127">
        <f t="shared" si="11"/>
        <v>0.3</v>
      </c>
      <c r="T127" s="24">
        <f t="shared" si="12"/>
        <v>-0.3</v>
      </c>
      <c r="U127" s="24">
        <f t="shared" si="17"/>
        <v>106.72278481012661</v>
      </c>
      <c r="V127">
        <v>0</v>
      </c>
      <c r="W127">
        <v>337.4</v>
      </c>
      <c r="Y127">
        <f t="shared" si="15"/>
        <v>65737.10000000002</v>
      </c>
      <c r="Z127">
        <f t="shared" si="19"/>
        <v>2106.8000000000002</v>
      </c>
      <c r="AA127" s="36">
        <v>8.5644207040989073</v>
      </c>
      <c r="AB127">
        <f>(AB125/100)/L125</f>
        <v>1.4280952380952381</v>
      </c>
    </row>
    <row r="128" spans="1:28" x14ac:dyDescent="0.25">
      <c r="A128">
        <v>5560</v>
      </c>
      <c r="B128">
        <v>22250</v>
      </c>
      <c r="C128" s="1">
        <v>42706</v>
      </c>
      <c r="E128" s="36">
        <v>5</v>
      </c>
      <c r="F128" s="48"/>
      <c r="G128">
        <v>-0.9</v>
      </c>
      <c r="H128">
        <v>-4.0999999999999996</v>
      </c>
      <c r="I128">
        <v>1.9</v>
      </c>
      <c r="J128">
        <v>1000</v>
      </c>
      <c r="K128">
        <v>7.1</v>
      </c>
      <c r="L128" s="14" t="s">
        <v>40</v>
      </c>
      <c r="M128">
        <v>0</v>
      </c>
      <c r="N128">
        <v>0.3</v>
      </c>
      <c r="O128">
        <f t="shared" si="10"/>
        <v>-0.3</v>
      </c>
      <c r="P128">
        <f t="shared" si="14"/>
        <v>81.600000000000009</v>
      </c>
      <c r="Q128">
        <v>89</v>
      </c>
      <c r="R128">
        <v>1</v>
      </c>
      <c r="S128">
        <f t="shared" si="11"/>
        <v>0.3</v>
      </c>
      <c r="T128" s="24">
        <f t="shared" si="12"/>
        <v>-0.3</v>
      </c>
      <c r="U128" s="24">
        <f t="shared" si="17"/>
        <v>106.42278481012661</v>
      </c>
      <c r="V128" s="26" t="s">
        <v>55</v>
      </c>
      <c r="W128">
        <v>214.1</v>
      </c>
      <c r="Y128">
        <f t="shared" si="15"/>
        <v>65951.200000000026</v>
      </c>
      <c r="Z128">
        <f t="shared" si="19"/>
        <v>2320.9</v>
      </c>
      <c r="AA128" s="36">
        <v>8.5401379251537488</v>
      </c>
      <c r="AB128" s="26" t="s">
        <v>60</v>
      </c>
    </row>
    <row r="129" spans="1:28" x14ac:dyDescent="0.25">
      <c r="A129">
        <v>5560</v>
      </c>
      <c r="B129">
        <v>22250</v>
      </c>
      <c r="C129" s="1">
        <v>42707</v>
      </c>
      <c r="E129" s="36">
        <v>6</v>
      </c>
      <c r="F129" s="48"/>
      <c r="G129">
        <v>1.9</v>
      </c>
      <c r="H129">
        <v>1.1000000000000001</v>
      </c>
      <c r="I129">
        <v>2.5</v>
      </c>
      <c r="J129">
        <f t="shared" si="13"/>
        <v>1001.9</v>
      </c>
      <c r="K129">
        <f t="shared" si="18"/>
        <v>9</v>
      </c>
      <c r="L129" s="13">
        <f>MIN(H124:H183)</f>
        <v>-6.8</v>
      </c>
      <c r="M129">
        <v>0</v>
      </c>
      <c r="N129">
        <v>0.3</v>
      </c>
      <c r="O129">
        <f t="shared" si="10"/>
        <v>-0.3</v>
      </c>
      <c r="P129">
        <f t="shared" si="14"/>
        <v>81.300000000000011</v>
      </c>
      <c r="Q129">
        <v>90</v>
      </c>
      <c r="R129">
        <v>1</v>
      </c>
      <c r="S129">
        <f t="shared" si="11"/>
        <v>0.3</v>
      </c>
      <c r="T129" s="24">
        <f t="shared" si="12"/>
        <v>-0.3</v>
      </c>
      <c r="U129" s="24">
        <f t="shared" si="17"/>
        <v>106.12278481012662</v>
      </c>
      <c r="V129" s="24">
        <f>MIN(U124:U183)</f>
        <v>98.222784810126655</v>
      </c>
      <c r="W129">
        <v>175.7</v>
      </c>
      <c r="Y129">
        <f t="shared" si="15"/>
        <v>66126.900000000023</v>
      </c>
      <c r="Z129">
        <f t="shared" si="19"/>
        <v>2496.6</v>
      </c>
      <c r="AA129" s="36">
        <v>8.5169965074064766</v>
      </c>
      <c r="AB129">
        <v>59</v>
      </c>
    </row>
    <row r="130" spans="1:28" x14ac:dyDescent="0.25">
      <c r="A130">
        <v>5560</v>
      </c>
      <c r="B130">
        <v>22250</v>
      </c>
      <c r="C130" s="1">
        <v>42708</v>
      </c>
      <c r="E130" s="36">
        <v>7</v>
      </c>
      <c r="F130" s="48"/>
      <c r="G130">
        <v>3</v>
      </c>
      <c r="H130">
        <v>0</v>
      </c>
      <c r="I130">
        <v>6.3</v>
      </c>
      <c r="J130">
        <f t="shared" si="13"/>
        <v>1004.9</v>
      </c>
      <c r="K130">
        <f t="shared" si="18"/>
        <v>12</v>
      </c>
      <c r="L130" s="14" t="s">
        <v>41</v>
      </c>
      <c r="M130">
        <v>0</v>
      </c>
      <c r="N130">
        <v>0.5</v>
      </c>
      <c r="O130">
        <f t="shared" si="10"/>
        <v>-0.5</v>
      </c>
      <c r="P130">
        <f t="shared" si="14"/>
        <v>80.800000000000011</v>
      </c>
      <c r="Q130">
        <v>91</v>
      </c>
      <c r="R130">
        <v>1</v>
      </c>
      <c r="S130">
        <f t="shared" si="11"/>
        <v>0.5</v>
      </c>
      <c r="T130" s="24">
        <f t="shared" si="12"/>
        <v>-0.5</v>
      </c>
      <c r="U130" s="24">
        <f t="shared" si="17"/>
        <v>105.62278481012662</v>
      </c>
      <c r="V130" s="26" t="s">
        <v>56</v>
      </c>
      <c r="W130">
        <v>181.5</v>
      </c>
      <c r="Y130">
        <f t="shared" si="15"/>
        <v>66308.400000000023</v>
      </c>
      <c r="Z130">
        <f t="shared" si="19"/>
        <v>2678.1</v>
      </c>
      <c r="AA130" s="36">
        <v>8.495014437292939</v>
      </c>
      <c r="AB130" t="s">
        <v>62</v>
      </c>
    </row>
    <row r="131" spans="1:28" x14ac:dyDescent="0.25">
      <c r="A131">
        <v>5560</v>
      </c>
      <c r="B131">
        <v>22250</v>
      </c>
      <c r="C131" s="1">
        <v>42709</v>
      </c>
      <c r="F131" s="48"/>
      <c r="G131">
        <v>6.5</v>
      </c>
      <c r="H131">
        <v>4.4000000000000004</v>
      </c>
      <c r="I131">
        <v>11.1</v>
      </c>
      <c r="J131">
        <f t="shared" si="13"/>
        <v>1011.4</v>
      </c>
      <c r="K131">
        <f t="shared" si="18"/>
        <v>18.5</v>
      </c>
      <c r="L131" s="12">
        <f>MAX(I124:I183)</f>
        <v>11.5</v>
      </c>
      <c r="M131">
        <v>0</v>
      </c>
      <c r="N131">
        <v>1</v>
      </c>
      <c r="O131">
        <f t="shared" si="10"/>
        <v>-1</v>
      </c>
      <c r="P131">
        <f t="shared" si="14"/>
        <v>79.800000000000011</v>
      </c>
      <c r="Q131">
        <v>92</v>
      </c>
      <c r="R131">
        <v>1</v>
      </c>
      <c r="S131">
        <f t="shared" si="11"/>
        <v>1</v>
      </c>
      <c r="T131" s="24">
        <f t="shared" si="12"/>
        <v>-1</v>
      </c>
      <c r="U131" s="24">
        <f t="shared" si="17"/>
        <v>104.62278481012662</v>
      </c>
      <c r="V131" s="24">
        <f>MAX(U124:U183)</f>
        <v>121.92278481012664</v>
      </c>
      <c r="W131">
        <v>632</v>
      </c>
      <c r="Y131">
        <f t="shared" si="15"/>
        <v>66940.400000000023</v>
      </c>
      <c r="Z131">
        <f t="shared" si="19"/>
        <v>3310.1</v>
      </c>
      <c r="AA131" s="36">
        <v>8.4742090342722207</v>
      </c>
      <c r="AB131">
        <v>43</v>
      </c>
    </row>
    <row r="132" spans="1:28" x14ac:dyDescent="0.25">
      <c r="A132">
        <v>5560</v>
      </c>
      <c r="B132">
        <v>22250</v>
      </c>
      <c r="C132" s="1">
        <v>42710</v>
      </c>
      <c r="F132" s="48"/>
      <c r="G132">
        <v>5.0999999999999996</v>
      </c>
      <c r="H132">
        <v>0.5</v>
      </c>
      <c r="I132">
        <v>11.2</v>
      </c>
      <c r="J132">
        <f t="shared" si="13"/>
        <v>1016.5</v>
      </c>
      <c r="K132">
        <f t="shared" si="18"/>
        <v>23.6</v>
      </c>
      <c r="L132" s="14" t="s">
        <v>42</v>
      </c>
      <c r="M132">
        <v>0</v>
      </c>
      <c r="N132">
        <v>0.7</v>
      </c>
      <c r="O132">
        <f t="shared" si="10"/>
        <v>-0.7</v>
      </c>
      <c r="P132">
        <f t="shared" si="14"/>
        <v>79.100000000000009</v>
      </c>
      <c r="Q132">
        <v>93</v>
      </c>
      <c r="R132">
        <v>1</v>
      </c>
      <c r="S132">
        <f t="shared" si="11"/>
        <v>0.7</v>
      </c>
      <c r="T132" s="24">
        <f t="shared" si="12"/>
        <v>-0.7</v>
      </c>
      <c r="U132" s="24">
        <f t="shared" si="17"/>
        <v>103.92278481012661</v>
      </c>
      <c r="V132" s="26" t="s">
        <v>57</v>
      </c>
      <c r="W132">
        <v>646.79999999999995</v>
      </c>
      <c r="Y132">
        <f t="shared" si="15"/>
        <v>67587.200000000026</v>
      </c>
      <c r="Z132">
        <f t="shared" si="19"/>
        <v>3956.8999999999996</v>
      </c>
      <c r="AA132" s="36">
        <v>8.4545969035713178</v>
      </c>
    </row>
    <row r="133" spans="1:28" x14ac:dyDescent="0.25">
      <c r="A133">
        <v>5560</v>
      </c>
      <c r="B133">
        <v>22250</v>
      </c>
      <c r="C133" s="1">
        <v>42711</v>
      </c>
      <c r="E133" s="36">
        <v>8</v>
      </c>
      <c r="F133" s="48"/>
      <c r="G133">
        <v>3.5</v>
      </c>
      <c r="H133">
        <v>0.6</v>
      </c>
      <c r="I133">
        <v>8.4</v>
      </c>
      <c r="J133">
        <f t="shared" si="13"/>
        <v>1020</v>
      </c>
      <c r="K133">
        <f t="shared" si="18"/>
        <v>27.1</v>
      </c>
      <c r="L133" s="12">
        <v>0</v>
      </c>
      <c r="M133">
        <v>0</v>
      </c>
      <c r="N133">
        <v>0.6</v>
      </c>
      <c r="O133">
        <f t="shared" si="10"/>
        <v>-0.6</v>
      </c>
      <c r="P133">
        <f t="shared" si="14"/>
        <v>78.500000000000014</v>
      </c>
      <c r="Q133">
        <v>94</v>
      </c>
      <c r="R133">
        <v>1</v>
      </c>
      <c r="S133">
        <f t="shared" si="11"/>
        <v>0.6</v>
      </c>
      <c r="T133" s="24">
        <f t="shared" si="12"/>
        <v>-0.6</v>
      </c>
      <c r="U133" s="24">
        <f t="shared" si="17"/>
        <v>103.32278481012662</v>
      </c>
      <c r="V133" s="24">
        <f>AVERAGE(U124:U183)</f>
        <v>108.54111814346</v>
      </c>
      <c r="W133">
        <v>552.9</v>
      </c>
      <c r="Y133">
        <f t="shared" si="15"/>
        <v>68140.10000000002</v>
      </c>
      <c r="Z133">
        <f t="shared" si="19"/>
        <v>4509.7999999999993</v>
      </c>
      <c r="AA133" s="36">
        <v>8.4361938899137972</v>
      </c>
    </row>
    <row r="134" spans="1:28" x14ac:dyDescent="0.25">
      <c r="A134">
        <v>5560</v>
      </c>
      <c r="B134">
        <v>22250</v>
      </c>
      <c r="C134" s="1">
        <v>42712</v>
      </c>
      <c r="E134" s="36">
        <v>9</v>
      </c>
      <c r="F134" s="48"/>
      <c r="G134">
        <v>3.8</v>
      </c>
      <c r="H134">
        <v>-0.8</v>
      </c>
      <c r="I134">
        <v>10.5</v>
      </c>
      <c r="J134">
        <f t="shared" si="13"/>
        <v>1023.8</v>
      </c>
      <c r="K134">
        <f t="shared" si="18"/>
        <v>30.900000000000002</v>
      </c>
      <c r="L134" s="14" t="s">
        <v>43</v>
      </c>
      <c r="M134">
        <v>0</v>
      </c>
      <c r="N134">
        <v>0.6</v>
      </c>
      <c r="O134">
        <f t="shared" si="10"/>
        <v>-0.6</v>
      </c>
      <c r="P134">
        <f t="shared" si="14"/>
        <v>77.90000000000002</v>
      </c>
      <c r="Q134">
        <v>95</v>
      </c>
      <c r="R134">
        <v>1</v>
      </c>
      <c r="S134">
        <f t="shared" si="11"/>
        <v>0.6</v>
      </c>
      <c r="T134" s="24">
        <f t="shared" si="12"/>
        <v>-0.6</v>
      </c>
      <c r="U134" s="24">
        <f t="shared" si="17"/>
        <v>102.72278481012663</v>
      </c>
      <c r="W134">
        <v>502.7</v>
      </c>
      <c r="Y134">
        <f t="shared" si="15"/>
        <v>68642.800000000017</v>
      </c>
      <c r="Z134">
        <f t="shared" si="19"/>
        <v>5012.4999999999991</v>
      </c>
      <c r="AA134" s="36">
        <v>8.4190150324862412</v>
      </c>
    </row>
    <row r="135" spans="1:28" x14ac:dyDescent="0.25">
      <c r="A135">
        <v>5560</v>
      </c>
      <c r="B135">
        <v>22250</v>
      </c>
      <c r="C135" s="1">
        <v>42713</v>
      </c>
      <c r="E135" s="36">
        <v>10</v>
      </c>
      <c r="F135" s="48"/>
      <c r="G135">
        <v>3.2</v>
      </c>
      <c r="H135">
        <v>0.5</v>
      </c>
      <c r="I135">
        <v>9</v>
      </c>
      <c r="J135">
        <f t="shared" si="13"/>
        <v>1027</v>
      </c>
      <c r="K135">
        <f t="shared" si="18"/>
        <v>34.1</v>
      </c>
      <c r="L135" s="12">
        <v>26</v>
      </c>
      <c r="M135">
        <v>0</v>
      </c>
      <c r="N135">
        <v>0.8</v>
      </c>
      <c r="O135">
        <f t="shared" si="10"/>
        <v>-0.8</v>
      </c>
      <c r="P135">
        <f t="shared" si="14"/>
        <v>77.100000000000023</v>
      </c>
      <c r="Q135">
        <v>96</v>
      </c>
      <c r="R135">
        <v>1</v>
      </c>
      <c r="S135">
        <f t="shared" si="11"/>
        <v>0.8</v>
      </c>
      <c r="T135" s="24">
        <f t="shared" si="12"/>
        <v>-0.8</v>
      </c>
      <c r="U135" s="24">
        <f t="shared" si="17"/>
        <v>101.92278481012663</v>
      </c>
      <c r="V135">
        <f>(V133*100)/122.1</f>
        <v>88.895264654758392</v>
      </c>
      <c r="W135">
        <v>575.29999999999995</v>
      </c>
      <c r="Y135">
        <f t="shared" si="15"/>
        <v>69218.10000000002</v>
      </c>
      <c r="Z135">
        <f t="shared" si="19"/>
        <v>5587.7999999999993</v>
      </c>
      <c r="AA135" s="36">
        <v>8.4030745213972899</v>
      </c>
    </row>
    <row r="136" spans="1:28" x14ac:dyDescent="0.25">
      <c r="A136">
        <v>5560</v>
      </c>
      <c r="B136">
        <v>22250</v>
      </c>
      <c r="C136" s="1">
        <v>42714</v>
      </c>
      <c r="E136" s="36">
        <v>11</v>
      </c>
      <c r="F136" s="48"/>
      <c r="G136">
        <v>3.1</v>
      </c>
      <c r="H136">
        <v>-1.5</v>
      </c>
      <c r="I136">
        <v>10.3</v>
      </c>
      <c r="J136">
        <f t="shared" si="13"/>
        <v>1030.0999999999999</v>
      </c>
      <c r="K136">
        <f t="shared" si="18"/>
        <v>37.200000000000003</v>
      </c>
      <c r="L136" s="14" t="s">
        <v>44</v>
      </c>
      <c r="M136">
        <v>0.1</v>
      </c>
      <c r="N136">
        <v>0.8</v>
      </c>
      <c r="O136">
        <f t="shared" si="10"/>
        <v>-0.70000000000000007</v>
      </c>
      <c r="P136">
        <f t="shared" si="14"/>
        <v>76.40000000000002</v>
      </c>
      <c r="Q136">
        <v>97</v>
      </c>
      <c r="R136">
        <v>1</v>
      </c>
      <c r="S136">
        <f t="shared" si="11"/>
        <v>0.8</v>
      </c>
      <c r="T136" s="24">
        <f t="shared" si="12"/>
        <v>-0.70000000000000007</v>
      </c>
      <c r="U136" s="24">
        <f t="shared" si="17"/>
        <v>101.22278481012663</v>
      </c>
      <c r="W136">
        <v>675.4</v>
      </c>
      <c r="Y136">
        <f t="shared" si="15"/>
        <v>69893.500000000015</v>
      </c>
      <c r="Z136">
        <f t="shared" si="19"/>
        <v>6263.1999999999989</v>
      </c>
      <c r="AA136" s="36">
        <v>8.3883856558826313</v>
      </c>
    </row>
    <row r="137" spans="1:28" x14ac:dyDescent="0.25">
      <c r="A137">
        <v>5560</v>
      </c>
      <c r="B137">
        <v>22250</v>
      </c>
      <c r="C137" s="1">
        <v>42715</v>
      </c>
      <c r="F137" s="48"/>
      <c r="G137">
        <v>5.0999999999999996</v>
      </c>
      <c r="H137">
        <v>0.5</v>
      </c>
      <c r="I137">
        <v>7.2</v>
      </c>
      <c r="J137">
        <f t="shared" si="13"/>
        <v>1035.1999999999998</v>
      </c>
      <c r="K137">
        <f t="shared" si="18"/>
        <v>42.300000000000004</v>
      </c>
      <c r="L137" s="12">
        <v>30</v>
      </c>
      <c r="M137">
        <v>0.4</v>
      </c>
      <c r="N137">
        <v>0.3</v>
      </c>
      <c r="O137">
        <f t="shared" si="10"/>
        <v>0.10000000000000003</v>
      </c>
      <c r="P137">
        <f t="shared" si="14"/>
        <v>76.500000000000014</v>
      </c>
      <c r="Q137">
        <v>98</v>
      </c>
      <c r="R137">
        <v>1</v>
      </c>
      <c r="S137">
        <f t="shared" si="11"/>
        <v>0.3</v>
      </c>
      <c r="T137" s="24">
        <f t="shared" si="12"/>
        <v>0.10000000000000003</v>
      </c>
      <c r="U137" s="24">
        <f t="shared" si="17"/>
        <v>101.32278481012662</v>
      </c>
      <c r="W137">
        <v>209.3</v>
      </c>
      <c r="Y137">
        <f t="shared" si="15"/>
        <v>70102.800000000017</v>
      </c>
      <c r="Z137">
        <f t="shared" si="19"/>
        <v>6472.4999999999991</v>
      </c>
      <c r="AA137" s="36">
        <v>8.3749608045055943</v>
      </c>
    </row>
    <row r="138" spans="1:28" x14ac:dyDescent="0.25">
      <c r="A138">
        <v>5560</v>
      </c>
      <c r="B138">
        <v>22250</v>
      </c>
      <c r="C138" s="1">
        <v>42716</v>
      </c>
      <c r="F138" s="48"/>
      <c r="G138">
        <v>5.4</v>
      </c>
      <c r="H138">
        <v>4.2</v>
      </c>
      <c r="I138">
        <v>6.8</v>
      </c>
      <c r="J138">
        <f t="shared" si="13"/>
        <v>1040.5999999999999</v>
      </c>
      <c r="K138">
        <f t="shared" si="18"/>
        <v>47.7</v>
      </c>
      <c r="M138">
        <v>0</v>
      </c>
      <c r="N138">
        <v>0.3</v>
      </c>
      <c r="O138">
        <f t="shared" si="10"/>
        <v>-0.3</v>
      </c>
      <c r="P138">
        <f t="shared" si="14"/>
        <v>76.200000000000017</v>
      </c>
      <c r="Q138">
        <v>99</v>
      </c>
      <c r="R138">
        <v>1</v>
      </c>
      <c r="S138">
        <f t="shared" si="11"/>
        <v>0.3</v>
      </c>
      <c r="T138" s="24">
        <f t="shared" si="12"/>
        <v>-0.3</v>
      </c>
      <c r="U138" s="24">
        <f t="shared" si="17"/>
        <v>101.02278481012662</v>
      </c>
      <c r="W138">
        <v>199.6</v>
      </c>
      <c r="Y138">
        <f t="shared" si="15"/>
        <v>70302.400000000023</v>
      </c>
      <c r="Z138">
        <f t="shared" si="19"/>
        <v>6672.0999999999995</v>
      </c>
      <c r="AA138" s="36">
        <v>8.3628113675966986</v>
      </c>
    </row>
    <row r="139" spans="1:28" x14ac:dyDescent="0.25">
      <c r="A139">
        <v>5560</v>
      </c>
      <c r="B139">
        <v>22250</v>
      </c>
      <c r="C139" s="1">
        <v>42717</v>
      </c>
      <c r="E139" s="36">
        <v>12</v>
      </c>
      <c r="F139" s="48"/>
      <c r="G139">
        <v>4.3</v>
      </c>
      <c r="H139">
        <v>2.2999999999999998</v>
      </c>
      <c r="I139">
        <v>7.9</v>
      </c>
      <c r="J139">
        <f t="shared" si="13"/>
        <v>1044.8999999999999</v>
      </c>
      <c r="K139">
        <f t="shared" si="18"/>
        <v>52</v>
      </c>
      <c r="M139">
        <v>0</v>
      </c>
      <c r="N139">
        <v>0.6</v>
      </c>
      <c r="O139">
        <f t="shared" si="10"/>
        <v>-0.6</v>
      </c>
      <c r="P139">
        <f t="shared" si="14"/>
        <v>75.600000000000023</v>
      </c>
      <c r="Q139">
        <v>100</v>
      </c>
      <c r="R139">
        <v>1</v>
      </c>
      <c r="S139">
        <f t="shared" si="11"/>
        <v>0.6</v>
      </c>
      <c r="T139" s="24">
        <f t="shared" si="12"/>
        <v>-0.6</v>
      </c>
      <c r="U139" s="24">
        <f t="shared" si="17"/>
        <v>100.42278481012663</v>
      </c>
      <c r="W139">
        <v>391.9</v>
      </c>
      <c r="Y139">
        <f t="shared" si="15"/>
        <v>70694.300000000017</v>
      </c>
      <c r="Z139">
        <f t="shared" si="19"/>
        <v>7063.9999999999991</v>
      </c>
      <c r="AA139" s="36">
        <v>8.3519477421669759</v>
      </c>
    </row>
    <row r="140" spans="1:28" x14ac:dyDescent="0.25">
      <c r="A140">
        <v>5560</v>
      </c>
      <c r="B140">
        <v>22250</v>
      </c>
      <c r="C140" s="1">
        <v>42718</v>
      </c>
      <c r="E140" s="36">
        <v>13</v>
      </c>
      <c r="F140" s="48"/>
      <c r="G140">
        <v>2.5</v>
      </c>
      <c r="H140">
        <v>-0.9</v>
      </c>
      <c r="I140">
        <v>6.9</v>
      </c>
      <c r="J140">
        <f t="shared" si="13"/>
        <v>1047.3999999999999</v>
      </c>
      <c r="K140">
        <f t="shared" si="18"/>
        <v>54.5</v>
      </c>
      <c r="M140">
        <v>0.1</v>
      </c>
      <c r="N140">
        <v>0.7</v>
      </c>
      <c r="O140">
        <f t="shared" si="10"/>
        <v>-0.6</v>
      </c>
      <c r="P140">
        <f t="shared" si="14"/>
        <v>75.000000000000028</v>
      </c>
      <c r="Q140">
        <v>101</v>
      </c>
      <c r="R140">
        <v>1</v>
      </c>
      <c r="S140">
        <f t="shared" si="11"/>
        <v>0.7</v>
      </c>
      <c r="T140" s="24">
        <f t="shared" si="12"/>
        <v>-0.6</v>
      </c>
      <c r="U140" s="24">
        <f t="shared" si="17"/>
        <v>99.822784810126635</v>
      </c>
      <c r="W140">
        <v>642.29999999999995</v>
      </c>
      <c r="Y140">
        <f t="shared" si="15"/>
        <v>71336.60000000002</v>
      </c>
      <c r="Z140">
        <f t="shared" si="19"/>
        <v>7706.2999999999993</v>
      </c>
      <c r="AA140" s="36">
        <v>8.3423792895186732</v>
      </c>
    </row>
    <row r="141" spans="1:28" x14ac:dyDescent="0.25">
      <c r="A141">
        <v>5560</v>
      </c>
      <c r="B141">
        <v>22250</v>
      </c>
      <c r="C141" s="1">
        <v>42719</v>
      </c>
      <c r="E141" s="36">
        <v>14</v>
      </c>
      <c r="F141" s="48"/>
      <c r="G141">
        <v>2.4</v>
      </c>
      <c r="H141">
        <v>-1.1000000000000001</v>
      </c>
      <c r="I141">
        <v>5.0999999999999996</v>
      </c>
      <c r="J141">
        <f t="shared" si="13"/>
        <v>1049.8</v>
      </c>
      <c r="K141">
        <f t="shared" si="18"/>
        <v>56.9</v>
      </c>
      <c r="M141">
        <v>0</v>
      </c>
      <c r="N141">
        <v>0.2</v>
      </c>
      <c r="O141">
        <f t="shared" si="10"/>
        <v>-0.2</v>
      </c>
      <c r="P141">
        <f t="shared" si="14"/>
        <v>74.800000000000026</v>
      </c>
      <c r="Q141">
        <v>102</v>
      </c>
      <c r="R141">
        <v>1</v>
      </c>
      <c r="S141">
        <f t="shared" si="11"/>
        <v>0.2</v>
      </c>
      <c r="T141" s="24">
        <f t="shared" si="12"/>
        <v>-0.2</v>
      </c>
      <c r="U141" s="24">
        <f t="shared" si="17"/>
        <v>99.622784810126632</v>
      </c>
      <c r="W141">
        <v>181.8</v>
      </c>
      <c r="Y141">
        <f t="shared" si="15"/>
        <v>71518.400000000023</v>
      </c>
      <c r="Z141">
        <f t="shared" si="19"/>
        <v>7888.0999999999995</v>
      </c>
      <c r="AA141" s="36">
        <v>8.334114305763519</v>
      </c>
    </row>
    <row r="142" spans="1:28" x14ac:dyDescent="0.25">
      <c r="A142">
        <v>5560</v>
      </c>
      <c r="B142">
        <v>22250</v>
      </c>
      <c r="C142" s="1">
        <v>42720</v>
      </c>
      <c r="F142" s="48"/>
      <c r="G142">
        <v>6.3</v>
      </c>
      <c r="H142">
        <v>3.3</v>
      </c>
      <c r="I142">
        <v>10.6</v>
      </c>
      <c r="J142">
        <f t="shared" si="13"/>
        <v>1056.0999999999999</v>
      </c>
      <c r="K142">
        <f t="shared" si="18"/>
        <v>63.199999999999996</v>
      </c>
      <c r="M142">
        <v>0</v>
      </c>
      <c r="N142">
        <v>0.6</v>
      </c>
      <c r="O142">
        <f t="shared" si="10"/>
        <v>-0.6</v>
      </c>
      <c r="P142">
        <f t="shared" si="14"/>
        <v>74.200000000000031</v>
      </c>
      <c r="Q142">
        <v>103</v>
      </c>
      <c r="R142">
        <v>1</v>
      </c>
      <c r="S142">
        <f t="shared" si="11"/>
        <v>0.6</v>
      </c>
      <c r="T142" s="24">
        <f t="shared" si="12"/>
        <v>-0.6</v>
      </c>
      <c r="U142" s="24">
        <f t="shared" si="17"/>
        <v>99.022784810126637</v>
      </c>
      <c r="W142">
        <v>520.70000000000005</v>
      </c>
      <c r="Y142">
        <f t="shared" si="15"/>
        <v>72039.10000000002</v>
      </c>
      <c r="Z142">
        <f t="shared" si="19"/>
        <v>8408.7999999999993</v>
      </c>
      <c r="AA142" s="36">
        <v>8.3271599954427824</v>
      </c>
    </row>
    <row r="143" spans="1:28" x14ac:dyDescent="0.25">
      <c r="A143">
        <v>5560</v>
      </c>
      <c r="B143">
        <v>22250</v>
      </c>
      <c r="C143" s="1">
        <v>42721</v>
      </c>
      <c r="E143" s="36">
        <v>15</v>
      </c>
      <c r="F143" s="48"/>
      <c r="G143">
        <v>3</v>
      </c>
      <c r="H143">
        <v>0.8</v>
      </c>
      <c r="I143">
        <v>7.2</v>
      </c>
      <c r="J143">
        <f t="shared" si="13"/>
        <v>1059.0999999999999</v>
      </c>
      <c r="K143">
        <f t="shared" si="18"/>
        <v>66.199999999999989</v>
      </c>
      <c r="M143">
        <v>0</v>
      </c>
      <c r="N143">
        <v>0.5</v>
      </c>
      <c r="O143">
        <f t="shared" si="10"/>
        <v>-0.5</v>
      </c>
      <c r="P143">
        <f t="shared" si="14"/>
        <v>73.700000000000031</v>
      </c>
      <c r="Q143">
        <v>104</v>
      </c>
      <c r="R143">
        <v>1</v>
      </c>
      <c r="S143">
        <f t="shared" si="11"/>
        <v>0.5</v>
      </c>
      <c r="T143" s="24">
        <f t="shared" si="12"/>
        <v>-0.5</v>
      </c>
      <c r="U143" s="24">
        <f t="shared" si="17"/>
        <v>98.522784810126637</v>
      </c>
      <c r="W143">
        <v>332</v>
      </c>
      <c r="Y143">
        <f t="shared" si="15"/>
        <v>72371.10000000002</v>
      </c>
      <c r="Z143">
        <f t="shared" si="19"/>
        <v>8740.7999999999993</v>
      </c>
      <c r="AA143" s="36">
        <v>8.3215224484255241</v>
      </c>
    </row>
    <row r="144" spans="1:28" x14ac:dyDescent="0.25">
      <c r="A144">
        <v>5560</v>
      </c>
      <c r="B144">
        <v>22250</v>
      </c>
      <c r="C144" s="1">
        <v>42722</v>
      </c>
      <c r="E144" s="36">
        <v>16</v>
      </c>
      <c r="F144" s="48"/>
      <c r="G144">
        <v>0.3</v>
      </c>
      <c r="H144">
        <v>-0.4</v>
      </c>
      <c r="I144">
        <v>0.7</v>
      </c>
      <c r="J144">
        <f t="shared" si="13"/>
        <v>1059.3999999999999</v>
      </c>
      <c r="K144">
        <f t="shared" si="18"/>
        <v>66.499999999999986</v>
      </c>
      <c r="M144">
        <v>0.1</v>
      </c>
      <c r="N144">
        <v>0.2</v>
      </c>
      <c r="O144">
        <f t="shared" si="10"/>
        <v>-0.1</v>
      </c>
      <c r="P144">
        <f t="shared" si="14"/>
        <v>73.600000000000037</v>
      </c>
      <c r="Q144">
        <v>105</v>
      </c>
      <c r="R144">
        <v>1</v>
      </c>
      <c r="S144">
        <f t="shared" si="11"/>
        <v>0.2</v>
      </c>
      <c r="T144" s="24">
        <f t="shared" si="12"/>
        <v>-0.1</v>
      </c>
      <c r="U144" s="24">
        <f t="shared" si="17"/>
        <v>98.422784810126643</v>
      </c>
      <c r="W144">
        <v>308.3</v>
      </c>
      <c r="Y144">
        <f t="shared" si="15"/>
        <v>72679.400000000023</v>
      </c>
      <c r="Z144">
        <f t="shared" si="19"/>
        <v>9049.0999999999985</v>
      </c>
      <c r="AA144" s="36">
        <v>8.3172066202411834</v>
      </c>
    </row>
    <row r="145" spans="1:27" x14ac:dyDescent="0.25">
      <c r="A145">
        <v>5560</v>
      </c>
      <c r="B145">
        <v>22250</v>
      </c>
      <c r="C145" s="1">
        <v>42723</v>
      </c>
      <c r="E145" s="36">
        <v>17</v>
      </c>
      <c r="F145" s="48"/>
      <c r="G145">
        <v>1.7</v>
      </c>
      <c r="H145">
        <v>0.2</v>
      </c>
      <c r="I145">
        <v>2.7</v>
      </c>
      <c r="J145">
        <f t="shared" si="13"/>
        <v>1061.0999999999999</v>
      </c>
      <c r="K145">
        <f t="shared" si="18"/>
        <v>68.199999999999989</v>
      </c>
      <c r="M145">
        <v>0</v>
      </c>
      <c r="N145">
        <v>0.1</v>
      </c>
      <c r="O145">
        <f t="shared" si="10"/>
        <v>-0.1</v>
      </c>
      <c r="P145">
        <f t="shared" si="14"/>
        <v>73.500000000000043</v>
      </c>
      <c r="Q145">
        <v>106</v>
      </c>
      <c r="R145">
        <v>1</v>
      </c>
      <c r="S145">
        <f t="shared" si="11"/>
        <v>0.1</v>
      </c>
      <c r="T145" s="24">
        <f t="shared" si="12"/>
        <v>-0.1</v>
      </c>
      <c r="U145" s="24">
        <f t="shared" si="17"/>
        <v>98.322784810126649</v>
      </c>
      <c r="W145">
        <v>80.900000000000006</v>
      </c>
      <c r="Y145">
        <f t="shared" si="15"/>
        <v>72760.300000000017</v>
      </c>
      <c r="Z145">
        <f t="shared" si="19"/>
        <v>9129.9999999999982</v>
      </c>
      <c r="AA145" s="36">
        <v>8.3142163159809748</v>
      </c>
    </row>
    <row r="146" spans="1:27" x14ac:dyDescent="0.25">
      <c r="A146">
        <v>5560</v>
      </c>
      <c r="B146">
        <v>22250</v>
      </c>
      <c r="C146" s="1">
        <v>42724</v>
      </c>
      <c r="E146" s="36">
        <v>18</v>
      </c>
      <c r="F146" s="48"/>
      <c r="G146">
        <v>3.5</v>
      </c>
      <c r="H146">
        <v>2.2000000000000002</v>
      </c>
      <c r="I146">
        <v>4.8</v>
      </c>
      <c r="J146">
        <f t="shared" si="13"/>
        <v>1064.5999999999999</v>
      </c>
      <c r="K146">
        <f t="shared" si="18"/>
        <v>71.699999999999989</v>
      </c>
      <c r="M146">
        <v>0</v>
      </c>
      <c r="N146">
        <v>0.1</v>
      </c>
      <c r="O146">
        <f t="shared" si="10"/>
        <v>-0.1</v>
      </c>
      <c r="P146">
        <f t="shared" si="14"/>
        <v>73.400000000000048</v>
      </c>
      <c r="Q146">
        <v>107</v>
      </c>
      <c r="R146">
        <v>1</v>
      </c>
      <c r="S146">
        <f t="shared" si="11"/>
        <v>0.1</v>
      </c>
      <c r="T146" s="24">
        <f t="shared" si="12"/>
        <v>-0.1</v>
      </c>
      <c r="U146" s="24">
        <f t="shared" si="17"/>
        <v>98.222784810126655</v>
      </c>
      <c r="W146">
        <v>123.3</v>
      </c>
      <c r="Y146">
        <f t="shared" si="15"/>
        <v>72883.60000000002</v>
      </c>
      <c r="Z146">
        <f t="shared" si="19"/>
        <v>9253.2999999999975</v>
      </c>
      <c r="AA146" s="36">
        <v>8.3125541778789476</v>
      </c>
    </row>
    <row r="147" spans="1:27" x14ac:dyDescent="0.25">
      <c r="A147">
        <v>5560</v>
      </c>
      <c r="B147">
        <v>22250</v>
      </c>
      <c r="C147" s="1">
        <v>42725</v>
      </c>
      <c r="E147" s="36">
        <v>19</v>
      </c>
      <c r="F147" s="48"/>
      <c r="G147">
        <v>4.4000000000000004</v>
      </c>
      <c r="H147">
        <v>2.6</v>
      </c>
      <c r="I147">
        <v>6.3</v>
      </c>
      <c r="J147">
        <f t="shared" si="13"/>
        <v>1069</v>
      </c>
      <c r="K147">
        <f t="shared" si="18"/>
        <v>76.099999999999994</v>
      </c>
      <c r="M147">
        <v>2.8</v>
      </c>
      <c r="N147">
        <v>0.5</v>
      </c>
      <c r="O147">
        <f t="shared" si="10"/>
        <v>2.2999999999999998</v>
      </c>
      <c r="P147">
        <f t="shared" si="14"/>
        <v>75.700000000000045</v>
      </c>
      <c r="Q147">
        <v>108</v>
      </c>
      <c r="R147">
        <v>1</v>
      </c>
      <c r="S147">
        <f t="shared" si="11"/>
        <v>0.5</v>
      </c>
      <c r="T147" s="24">
        <f t="shared" si="12"/>
        <v>2.2999999999999998</v>
      </c>
      <c r="U147" s="24">
        <f t="shared" si="17"/>
        <v>100.52278481012665</v>
      </c>
      <c r="W147">
        <v>400.9</v>
      </c>
      <c r="Y147">
        <f t="shared" si="15"/>
        <v>73284.500000000015</v>
      </c>
      <c r="Z147">
        <f t="shared" si="19"/>
        <v>9654.1999999999971</v>
      </c>
      <c r="AA147" s="36">
        <v>8.3122216766588775</v>
      </c>
    </row>
    <row r="148" spans="1:27" x14ac:dyDescent="0.25">
      <c r="A148">
        <v>5560</v>
      </c>
      <c r="B148">
        <v>22250</v>
      </c>
      <c r="C148" s="1">
        <v>42726</v>
      </c>
      <c r="F148" s="48"/>
      <c r="G148">
        <v>7.2</v>
      </c>
      <c r="H148">
        <v>4.5</v>
      </c>
      <c r="I148">
        <v>8.5</v>
      </c>
      <c r="J148">
        <f t="shared" si="13"/>
        <v>1076.2</v>
      </c>
      <c r="K148">
        <f t="shared" si="18"/>
        <v>83.3</v>
      </c>
      <c r="M148">
        <v>6</v>
      </c>
      <c r="N148">
        <v>0.2</v>
      </c>
      <c r="O148">
        <f t="shared" si="10"/>
        <v>5.8</v>
      </c>
      <c r="P148">
        <f t="shared" si="14"/>
        <v>81.500000000000043</v>
      </c>
      <c r="Q148">
        <v>109</v>
      </c>
      <c r="R148">
        <v>1</v>
      </c>
      <c r="S148">
        <f t="shared" si="11"/>
        <v>0.2</v>
      </c>
      <c r="T148" s="24">
        <f t="shared" si="12"/>
        <v>5.8</v>
      </c>
      <c r="U148" s="24">
        <f t="shared" si="17"/>
        <v>106.32278481012665</v>
      </c>
      <c r="W148">
        <v>71.400000000000006</v>
      </c>
      <c r="Y148">
        <f t="shared" si="15"/>
        <v>73355.900000000009</v>
      </c>
      <c r="Z148">
        <f t="shared" si="19"/>
        <v>9725.5999999999967</v>
      </c>
      <c r="AA148" s="36">
        <v>8.3132191067073204</v>
      </c>
    </row>
    <row r="149" spans="1:27" x14ac:dyDescent="0.25">
      <c r="A149">
        <v>5560</v>
      </c>
      <c r="B149">
        <v>22250</v>
      </c>
      <c r="C149" s="1">
        <v>42727</v>
      </c>
      <c r="F149" s="48"/>
      <c r="G149">
        <v>6.5</v>
      </c>
      <c r="H149">
        <v>6</v>
      </c>
      <c r="I149">
        <v>9.6</v>
      </c>
      <c r="J149">
        <f t="shared" si="13"/>
        <v>1082.7</v>
      </c>
      <c r="K149">
        <f t="shared" si="18"/>
        <v>89.8</v>
      </c>
      <c r="M149">
        <v>1.2</v>
      </c>
      <c r="N149">
        <v>0.4</v>
      </c>
      <c r="O149">
        <f t="shared" si="10"/>
        <v>0.79999999999999993</v>
      </c>
      <c r="P149">
        <f t="shared" si="14"/>
        <v>82.30000000000004</v>
      </c>
      <c r="Q149">
        <v>110</v>
      </c>
      <c r="R149">
        <v>1</v>
      </c>
      <c r="S149">
        <f t="shared" si="11"/>
        <v>0.4</v>
      </c>
      <c r="T149" s="24">
        <f t="shared" si="12"/>
        <v>0.79999999999999993</v>
      </c>
      <c r="U149" s="24">
        <f t="shared" si="17"/>
        <v>107.12278481012665</v>
      </c>
      <c r="W149">
        <v>145.6</v>
      </c>
      <c r="Y149">
        <f t="shared" si="15"/>
        <v>73501.500000000015</v>
      </c>
      <c r="Z149">
        <f t="shared" si="19"/>
        <v>9871.1999999999971</v>
      </c>
      <c r="AA149" s="36">
        <v>8.3155455851065021</v>
      </c>
    </row>
    <row r="150" spans="1:27" x14ac:dyDescent="0.25">
      <c r="A150">
        <v>5560</v>
      </c>
      <c r="B150">
        <v>22250</v>
      </c>
      <c r="C150" s="1">
        <v>42728</v>
      </c>
      <c r="F150" s="48"/>
      <c r="G150">
        <v>8</v>
      </c>
      <c r="H150">
        <v>6.2</v>
      </c>
      <c r="I150">
        <v>11.5</v>
      </c>
      <c r="J150">
        <f t="shared" si="13"/>
        <v>1090.7</v>
      </c>
      <c r="K150">
        <f t="shared" si="18"/>
        <v>97.8</v>
      </c>
      <c r="M150">
        <v>0.9</v>
      </c>
      <c r="N150">
        <v>0.6</v>
      </c>
      <c r="O150">
        <f t="shared" si="10"/>
        <v>0.30000000000000004</v>
      </c>
      <c r="P150">
        <f t="shared" si="14"/>
        <v>82.600000000000037</v>
      </c>
      <c r="Q150">
        <v>111</v>
      </c>
      <c r="R150">
        <v>1</v>
      </c>
      <c r="S150">
        <f t="shared" si="11"/>
        <v>0.6</v>
      </c>
      <c r="T150" s="24">
        <f t="shared" si="12"/>
        <v>0.30000000000000004</v>
      </c>
      <c r="U150" s="24">
        <f t="shared" si="17"/>
        <v>107.42278481012664</v>
      </c>
      <c r="W150">
        <v>189.4</v>
      </c>
      <c r="Y150">
        <f t="shared" si="15"/>
        <v>73690.900000000009</v>
      </c>
      <c r="Z150">
        <f t="shared" si="19"/>
        <v>10060.599999999997</v>
      </c>
      <c r="AA150" s="36">
        <v>8.3191990545339021</v>
      </c>
    </row>
    <row r="151" spans="1:27" x14ac:dyDescent="0.25">
      <c r="A151">
        <v>5560</v>
      </c>
      <c r="B151">
        <v>22250</v>
      </c>
      <c r="C151" s="1">
        <v>42729</v>
      </c>
      <c r="F151" s="48"/>
      <c r="G151">
        <v>8.1999999999999993</v>
      </c>
      <c r="H151">
        <v>3.4</v>
      </c>
      <c r="I151">
        <v>9.6999999999999993</v>
      </c>
      <c r="J151">
        <f t="shared" si="13"/>
        <v>1098.9000000000001</v>
      </c>
      <c r="K151">
        <f t="shared" si="18"/>
        <v>106</v>
      </c>
      <c r="M151">
        <v>1.2</v>
      </c>
      <c r="N151">
        <v>0.2</v>
      </c>
      <c r="O151">
        <f t="shared" si="10"/>
        <v>1</v>
      </c>
      <c r="P151">
        <f t="shared" si="14"/>
        <v>83.600000000000037</v>
      </c>
      <c r="Q151">
        <v>112</v>
      </c>
      <c r="R151">
        <v>1</v>
      </c>
      <c r="S151">
        <f t="shared" si="11"/>
        <v>0.2</v>
      </c>
      <c r="T151" s="24">
        <f t="shared" si="12"/>
        <v>1</v>
      </c>
      <c r="U151" s="24">
        <f t="shared" si="17"/>
        <v>108.42278481012664</v>
      </c>
      <c r="W151">
        <v>88.2</v>
      </c>
      <c r="Y151">
        <f t="shared" si="15"/>
        <v>73779.100000000006</v>
      </c>
      <c r="Z151">
        <f t="shared" si="19"/>
        <v>10148.799999999997</v>
      </c>
      <c r="AA151" s="36">
        <v>8.3241762900081646</v>
      </c>
    </row>
    <row r="152" spans="1:27" x14ac:dyDescent="0.25">
      <c r="A152">
        <v>5560</v>
      </c>
      <c r="B152">
        <v>22250</v>
      </c>
      <c r="C152" s="1">
        <v>42730</v>
      </c>
      <c r="F152" s="48"/>
      <c r="G152">
        <v>9</v>
      </c>
      <c r="H152">
        <v>9</v>
      </c>
      <c r="I152">
        <v>11.5</v>
      </c>
      <c r="J152">
        <f t="shared" si="13"/>
        <v>1107.9000000000001</v>
      </c>
      <c r="K152">
        <f t="shared" si="18"/>
        <v>115</v>
      </c>
      <c r="M152">
        <v>0.7</v>
      </c>
      <c r="N152">
        <v>0.4</v>
      </c>
      <c r="O152">
        <f t="shared" si="10"/>
        <v>0.29999999999999993</v>
      </c>
      <c r="P152">
        <f t="shared" si="14"/>
        <v>83.900000000000034</v>
      </c>
      <c r="Q152">
        <v>113</v>
      </c>
      <c r="R152">
        <v>1</v>
      </c>
      <c r="S152">
        <f t="shared" si="11"/>
        <v>0.4</v>
      </c>
      <c r="T152" s="24">
        <f t="shared" si="12"/>
        <v>0.29999999999999993</v>
      </c>
      <c r="U152" s="24">
        <f t="shared" si="17"/>
        <v>108.72278481012664</v>
      </c>
      <c r="W152">
        <v>101.8</v>
      </c>
      <c r="Y152">
        <f t="shared" si="15"/>
        <v>73880.900000000009</v>
      </c>
      <c r="Z152">
        <f t="shared" si="19"/>
        <v>10250.599999999997</v>
      </c>
      <c r="AA152" s="36">
        <v>8.3304729094343024</v>
      </c>
    </row>
    <row r="153" spans="1:27" x14ac:dyDescent="0.25">
      <c r="A153">
        <v>5560</v>
      </c>
      <c r="B153">
        <v>22250</v>
      </c>
      <c r="C153" s="1">
        <v>42731</v>
      </c>
      <c r="E153" s="36">
        <v>20</v>
      </c>
      <c r="F153" s="48"/>
      <c r="G153">
        <v>3</v>
      </c>
      <c r="H153">
        <v>1.4</v>
      </c>
      <c r="I153">
        <v>5.6</v>
      </c>
      <c r="J153">
        <f t="shared" si="13"/>
        <v>1110.9000000000001</v>
      </c>
      <c r="K153">
        <f t="shared" si="18"/>
        <v>118</v>
      </c>
      <c r="M153">
        <v>0</v>
      </c>
      <c r="N153">
        <v>0.5</v>
      </c>
      <c r="O153">
        <f t="shared" si="10"/>
        <v>-0.5</v>
      </c>
      <c r="P153">
        <f t="shared" si="14"/>
        <v>83.400000000000034</v>
      </c>
      <c r="Q153">
        <v>114</v>
      </c>
      <c r="R153">
        <v>1</v>
      </c>
      <c r="S153">
        <f t="shared" si="11"/>
        <v>0.5</v>
      </c>
      <c r="T153" s="24">
        <f t="shared" si="12"/>
        <v>-0.5</v>
      </c>
      <c r="U153" s="24">
        <f t="shared" si="17"/>
        <v>108.22278481012664</v>
      </c>
      <c r="W153">
        <v>486.6</v>
      </c>
      <c r="Y153">
        <f t="shared" si="15"/>
        <v>74367.500000000015</v>
      </c>
      <c r="Z153">
        <f t="shared" si="19"/>
        <v>10737.199999999997</v>
      </c>
      <c r="AA153" s="36">
        <v>8.3380833878748071</v>
      </c>
    </row>
    <row r="154" spans="1:27" x14ac:dyDescent="0.25">
      <c r="A154">
        <v>5560</v>
      </c>
      <c r="B154">
        <v>22250</v>
      </c>
      <c r="C154" s="1">
        <v>42732</v>
      </c>
      <c r="E154" s="36">
        <v>21</v>
      </c>
      <c r="F154" s="48"/>
      <c r="G154">
        <v>2.2000000000000002</v>
      </c>
      <c r="H154">
        <v>-0.6</v>
      </c>
      <c r="I154">
        <v>5.2</v>
      </c>
      <c r="J154">
        <f t="shared" si="13"/>
        <v>1113.1000000000001</v>
      </c>
      <c r="K154">
        <f t="shared" si="18"/>
        <v>120.2</v>
      </c>
      <c r="M154">
        <v>0</v>
      </c>
      <c r="N154">
        <v>0.7</v>
      </c>
      <c r="O154">
        <f t="shared" si="10"/>
        <v>-0.7</v>
      </c>
      <c r="P154">
        <f t="shared" si="14"/>
        <v>82.700000000000031</v>
      </c>
      <c r="Q154">
        <v>115</v>
      </c>
      <c r="R154">
        <v>1</v>
      </c>
      <c r="S154">
        <f t="shared" si="11"/>
        <v>0.7</v>
      </c>
      <c r="T154" s="24">
        <f t="shared" si="12"/>
        <v>-0.7</v>
      </c>
      <c r="U154" s="24">
        <f t="shared" si="17"/>
        <v>107.52278481012664</v>
      </c>
      <c r="W154">
        <v>573.4</v>
      </c>
      <c r="Y154">
        <f t="shared" si="15"/>
        <v>74940.900000000009</v>
      </c>
      <c r="Z154">
        <f t="shared" si="19"/>
        <v>11310.599999999997</v>
      </c>
      <c r="AA154" s="36">
        <v>8.3470010754480235</v>
      </c>
    </row>
    <row r="155" spans="1:27" x14ac:dyDescent="0.25">
      <c r="A155">
        <v>5560</v>
      </c>
      <c r="B155">
        <v>22250</v>
      </c>
      <c r="C155" s="1">
        <v>42733</v>
      </c>
      <c r="E155" s="36">
        <v>22</v>
      </c>
      <c r="F155" s="48"/>
      <c r="G155">
        <v>-0.2</v>
      </c>
      <c r="H155">
        <v>-1.9</v>
      </c>
      <c r="I155">
        <v>4.2</v>
      </c>
      <c r="J155">
        <v>1113.0999999999999</v>
      </c>
      <c r="K155">
        <v>120.2</v>
      </c>
      <c r="M155">
        <v>0</v>
      </c>
      <c r="N155">
        <v>0.7</v>
      </c>
      <c r="O155">
        <f t="shared" si="10"/>
        <v>-0.7</v>
      </c>
      <c r="P155">
        <f t="shared" si="14"/>
        <v>82.000000000000028</v>
      </c>
      <c r="Q155">
        <v>116</v>
      </c>
      <c r="R155">
        <v>1</v>
      </c>
      <c r="S155">
        <f t="shared" si="11"/>
        <v>0.7</v>
      </c>
      <c r="T155" s="24">
        <f t="shared" si="12"/>
        <v>-0.7</v>
      </c>
      <c r="U155" s="24">
        <f t="shared" si="17"/>
        <v>106.82278481012663</v>
      </c>
      <c r="W155">
        <v>637.79999999999995</v>
      </c>
      <c r="Y155">
        <f t="shared" si="15"/>
        <v>75578.700000000012</v>
      </c>
      <c r="Z155">
        <f t="shared" si="19"/>
        <v>11948.399999999996</v>
      </c>
      <c r="AA155" s="36">
        <v>8.3572182187309458</v>
      </c>
    </row>
    <row r="156" spans="1:27" x14ac:dyDescent="0.25">
      <c r="A156">
        <v>5560</v>
      </c>
      <c r="B156">
        <v>22250</v>
      </c>
      <c r="C156" s="1">
        <v>42734</v>
      </c>
      <c r="E156" s="36">
        <v>23</v>
      </c>
      <c r="F156" s="48"/>
      <c r="G156">
        <v>-3.1</v>
      </c>
      <c r="H156">
        <v>-3.9</v>
      </c>
      <c r="I156">
        <v>-2.5</v>
      </c>
      <c r="J156">
        <v>1113.0999999999999</v>
      </c>
      <c r="K156">
        <v>120.2</v>
      </c>
      <c r="M156">
        <v>0</v>
      </c>
      <c r="N156">
        <v>0.2</v>
      </c>
      <c r="O156">
        <f t="shared" si="10"/>
        <v>-0.2</v>
      </c>
      <c r="P156">
        <f t="shared" si="14"/>
        <v>81.800000000000026</v>
      </c>
      <c r="Q156">
        <v>117</v>
      </c>
      <c r="R156">
        <v>1</v>
      </c>
      <c r="S156">
        <f t="shared" si="11"/>
        <v>0.2</v>
      </c>
      <c r="T156" s="24">
        <f t="shared" si="12"/>
        <v>-0.2</v>
      </c>
      <c r="U156" s="24">
        <f t="shared" si="17"/>
        <v>106.62278481012663</v>
      </c>
      <c r="W156">
        <v>321.7</v>
      </c>
      <c r="Y156">
        <f t="shared" si="15"/>
        <v>75900.400000000009</v>
      </c>
      <c r="Z156">
        <f t="shared" si="19"/>
        <v>12270.099999999997</v>
      </c>
      <c r="AA156" s="36">
        <v>8.3687259855208769</v>
      </c>
    </row>
    <row r="157" spans="1:27" x14ac:dyDescent="0.25">
      <c r="A157">
        <v>5560</v>
      </c>
      <c r="B157">
        <v>22250</v>
      </c>
      <c r="C157" s="1">
        <v>42735</v>
      </c>
      <c r="E157" s="36">
        <v>24</v>
      </c>
      <c r="F157" s="48"/>
      <c r="G157">
        <v>-3.1</v>
      </c>
      <c r="H157">
        <v>-3.7</v>
      </c>
      <c r="I157">
        <v>-1.7</v>
      </c>
      <c r="J157">
        <v>1113.0999999999999</v>
      </c>
      <c r="K157">
        <v>120.2</v>
      </c>
      <c r="M157">
        <v>0</v>
      </c>
      <c r="N157">
        <v>0.3</v>
      </c>
      <c r="O157">
        <f t="shared" si="10"/>
        <v>-0.3</v>
      </c>
      <c r="P157">
        <f t="shared" si="14"/>
        <v>81.500000000000028</v>
      </c>
      <c r="Q157">
        <v>118</v>
      </c>
      <c r="R157">
        <v>1</v>
      </c>
      <c r="S157">
        <f t="shared" si="11"/>
        <v>0.3</v>
      </c>
      <c r="T157" s="24">
        <f t="shared" si="12"/>
        <v>-0.3</v>
      </c>
      <c r="U157" s="24">
        <f t="shared" si="17"/>
        <v>106.32278481012663</v>
      </c>
      <c r="W157">
        <v>326.39999999999998</v>
      </c>
      <c r="Y157">
        <f t="shared" si="15"/>
        <v>76226.8</v>
      </c>
      <c r="Z157">
        <f t="shared" si="19"/>
        <v>12596.499999999996</v>
      </c>
      <c r="AA157" s="36">
        <v>8.3815144927894867</v>
      </c>
    </row>
    <row r="158" spans="1:27" x14ac:dyDescent="0.25">
      <c r="A158">
        <v>5560</v>
      </c>
      <c r="B158">
        <v>22250</v>
      </c>
      <c r="C158" s="1">
        <v>42736</v>
      </c>
      <c r="E158" s="36">
        <v>25</v>
      </c>
      <c r="F158" s="48"/>
      <c r="G158">
        <v>-0.6</v>
      </c>
      <c r="H158">
        <v>-3.4</v>
      </c>
      <c r="I158">
        <v>0.4</v>
      </c>
      <c r="J158">
        <v>1113.0999999999999</v>
      </c>
      <c r="K158">
        <v>120.2</v>
      </c>
      <c r="M158">
        <v>0.2</v>
      </c>
      <c r="N158">
        <v>0.1</v>
      </c>
      <c r="O158">
        <f t="shared" si="10"/>
        <v>0.1</v>
      </c>
      <c r="P158">
        <f t="shared" si="14"/>
        <v>81.600000000000023</v>
      </c>
      <c r="Q158">
        <v>119</v>
      </c>
      <c r="R158">
        <v>1</v>
      </c>
      <c r="S158">
        <f t="shared" si="11"/>
        <v>0.1</v>
      </c>
      <c r="T158" s="24">
        <f t="shared" si="12"/>
        <v>0.1</v>
      </c>
      <c r="U158" s="24">
        <f t="shared" si="17"/>
        <v>106.42278481012663</v>
      </c>
      <c r="W158">
        <v>124</v>
      </c>
      <c r="Y158">
        <f t="shared" si="15"/>
        <v>76350.8</v>
      </c>
      <c r="Z158">
        <f t="shared" si="19"/>
        <v>12720.499999999996</v>
      </c>
      <c r="AA158" s="36">
        <v>8.3955728376436554</v>
      </c>
    </row>
    <row r="159" spans="1:27" x14ac:dyDescent="0.25">
      <c r="A159">
        <v>5560</v>
      </c>
      <c r="B159">
        <v>22250</v>
      </c>
      <c r="C159" s="1">
        <v>42737</v>
      </c>
      <c r="E159" s="36">
        <v>26</v>
      </c>
      <c r="F159" s="48"/>
      <c r="G159">
        <v>1.8</v>
      </c>
      <c r="H159">
        <v>0.3</v>
      </c>
      <c r="I159">
        <v>3</v>
      </c>
      <c r="J159">
        <f t="shared" si="13"/>
        <v>1114.8999999999999</v>
      </c>
      <c r="K159">
        <f t="shared" si="18"/>
        <v>122</v>
      </c>
      <c r="M159">
        <v>0</v>
      </c>
      <c r="N159">
        <v>0</v>
      </c>
      <c r="O159">
        <f t="shared" si="10"/>
        <v>0</v>
      </c>
      <c r="P159">
        <f t="shared" si="14"/>
        <v>81.600000000000023</v>
      </c>
      <c r="Q159">
        <v>120</v>
      </c>
      <c r="R159">
        <v>1</v>
      </c>
      <c r="S159">
        <f t="shared" si="11"/>
        <v>0</v>
      </c>
      <c r="T159" s="24">
        <f t="shared" si="12"/>
        <v>0</v>
      </c>
      <c r="U159" s="24">
        <f t="shared" si="17"/>
        <v>106.42278481012663</v>
      </c>
      <c r="W159">
        <v>125.4</v>
      </c>
      <c r="Y159">
        <f t="shared" si="15"/>
        <v>76476.2</v>
      </c>
      <c r="Z159">
        <f t="shared" si="19"/>
        <v>12845.899999999996</v>
      </c>
      <c r="AA159" s="36">
        <v>8.4108891310906291</v>
      </c>
    </row>
    <row r="160" spans="1:27" x14ac:dyDescent="0.25">
      <c r="A160">
        <v>5560</v>
      </c>
      <c r="B160">
        <v>22250</v>
      </c>
      <c r="C160" s="1">
        <v>42738</v>
      </c>
      <c r="E160" s="36">
        <v>27</v>
      </c>
      <c r="F160" s="48"/>
      <c r="G160">
        <v>-0.6</v>
      </c>
      <c r="H160">
        <v>-0.8</v>
      </c>
      <c r="I160">
        <v>-0.5</v>
      </c>
      <c r="J160">
        <v>1114.9000000000001</v>
      </c>
      <c r="K160">
        <v>122</v>
      </c>
      <c r="M160">
        <v>0</v>
      </c>
      <c r="N160">
        <v>0.1</v>
      </c>
      <c r="O160">
        <f t="shared" si="10"/>
        <v>-0.1</v>
      </c>
      <c r="P160">
        <f t="shared" si="14"/>
        <v>81.500000000000028</v>
      </c>
      <c r="Q160">
        <v>121</v>
      </c>
      <c r="R160">
        <v>1</v>
      </c>
      <c r="S160">
        <f t="shared" si="11"/>
        <v>0.1</v>
      </c>
      <c r="T160" s="24">
        <f t="shared" si="12"/>
        <v>-0.1</v>
      </c>
      <c r="U160" s="24">
        <f t="shared" si="17"/>
        <v>106.32278481012663</v>
      </c>
      <c r="W160">
        <v>98.7</v>
      </c>
      <c r="Y160">
        <f t="shared" si="15"/>
        <v>76574.899999999994</v>
      </c>
      <c r="Z160">
        <f t="shared" si="19"/>
        <v>12944.599999999997</v>
      </c>
      <c r="AA160" s="36">
        <v>8.4274505343902977</v>
      </c>
    </row>
    <row r="161" spans="1:27" x14ac:dyDescent="0.25">
      <c r="A161">
        <v>5560</v>
      </c>
      <c r="B161">
        <v>22250</v>
      </c>
      <c r="C161" s="1">
        <v>42739</v>
      </c>
      <c r="E161" s="36">
        <v>28</v>
      </c>
      <c r="F161" s="48"/>
      <c r="G161">
        <v>-0.4</v>
      </c>
      <c r="H161">
        <v>-2.5</v>
      </c>
      <c r="I161">
        <v>2.5</v>
      </c>
      <c r="J161">
        <v>1114.9000000000001</v>
      </c>
      <c r="K161">
        <v>122</v>
      </c>
      <c r="M161">
        <v>0.1</v>
      </c>
      <c r="N161">
        <v>0.2</v>
      </c>
      <c r="O161">
        <f t="shared" si="10"/>
        <v>-0.1</v>
      </c>
      <c r="P161">
        <f t="shared" si="14"/>
        <v>81.400000000000034</v>
      </c>
      <c r="Q161">
        <v>122</v>
      </c>
      <c r="R161">
        <v>1</v>
      </c>
      <c r="S161">
        <f t="shared" si="11"/>
        <v>0.2</v>
      </c>
      <c r="T161" s="24">
        <f t="shared" si="12"/>
        <v>-0.1</v>
      </c>
      <c r="U161" s="24">
        <f t="shared" si="17"/>
        <v>106.22278481012664</v>
      </c>
      <c r="W161">
        <v>132.19999999999999</v>
      </c>
      <c r="Y161">
        <f t="shared" si="15"/>
        <v>76707.099999999991</v>
      </c>
      <c r="Z161">
        <f t="shared" si="19"/>
        <v>13076.799999999997</v>
      </c>
      <c r="AA161" s="36">
        <v>8.4452432977650442</v>
      </c>
    </row>
    <row r="162" spans="1:27" x14ac:dyDescent="0.25">
      <c r="A162">
        <v>5560</v>
      </c>
      <c r="B162">
        <v>22250</v>
      </c>
      <c r="C162" s="1">
        <v>42740</v>
      </c>
      <c r="E162" s="36">
        <v>29</v>
      </c>
      <c r="F162" s="48"/>
      <c r="G162">
        <v>1</v>
      </c>
      <c r="H162">
        <v>-0.3</v>
      </c>
      <c r="I162">
        <v>1.9</v>
      </c>
      <c r="J162">
        <f t="shared" si="13"/>
        <v>1115.9000000000001</v>
      </c>
      <c r="K162">
        <f t="shared" si="18"/>
        <v>123</v>
      </c>
      <c r="M162">
        <v>0</v>
      </c>
      <c r="N162">
        <v>0.1</v>
      </c>
      <c r="O162">
        <f t="shared" si="10"/>
        <v>-0.1</v>
      </c>
      <c r="P162">
        <f t="shared" si="14"/>
        <v>81.30000000000004</v>
      </c>
      <c r="Q162">
        <v>123</v>
      </c>
      <c r="R162">
        <v>1</v>
      </c>
      <c r="S162">
        <f t="shared" si="11"/>
        <v>0.1</v>
      </c>
      <c r="T162" s="24">
        <f t="shared" si="12"/>
        <v>-0.1</v>
      </c>
      <c r="U162" s="24">
        <f t="shared" si="17"/>
        <v>106.12278481012665</v>
      </c>
      <c r="W162">
        <v>128.30000000000001</v>
      </c>
      <c r="Y162">
        <f t="shared" si="15"/>
        <v>76835.399999999994</v>
      </c>
      <c r="Z162">
        <f t="shared" si="19"/>
        <v>13205.099999999997</v>
      </c>
      <c r="AA162" s="36">
        <v>8.4642528012278646</v>
      </c>
    </row>
    <row r="163" spans="1:27" x14ac:dyDescent="0.25">
      <c r="A163">
        <v>5560</v>
      </c>
      <c r="B163">
        <v>22250</v>
      </c>
      <c r="C163" s="1">
        <v>42741</v>
      </c>
      <c r="E163" s="36">
        <v>30</v>
      </c>
      <c r="F163" s="48"/>
      <c r="G163">
        <v>-2</v>
      </c>
      <c r="H163">
        <v>-2.7</v>
      </c>
      <c r="I163">
        <v>0</v>
      </c>
      <c r="J163">
        <v>1115.9000000000001</v>
      </c>
      <c r="K163">
        <v>123</v>
      </c>
      <c r="M163">
        <v>0</v>
      </c>
      <c r="N163">
        <v>0.3</v>
      </c>
      <c r="O163">
        <f t="shared" si="10"/>
        <v>-0.3</v>
      </c>
      <c r="P163">
        <f t="shared" si="14"/>
        <v>81.000000000000043</v>
      </c>
      <c r="Q163">
        <v>124</v>
      </c>
      <c r="R163">
        <v>1</v>
      </c>
      <c r="S163">
        <f t="shared" si="11"/>
        <v>0.3</v>
      </c>
      <c r="T163" s="24">
        <f t="shared" si="12"/>
        <v>-0.3</v>
      </c>
      <c r="U163" s="24">
        <f t="shared" si="17"/>
        <v>105.82278481012665</v>
      </c>
      <c r="W163">
        <v>541.1</v>
      </c>
      <c r="Y163">
        <f t="shared" si="15"/>
        <v>77376.5</v>
      </c>
      <c r="Z163">
        <f t="shared" si="19"/>
        <v>13746.199999999997</v>
      </c>
      <c r="AA163" s="36">
        <v>8.4844635972818097</v>
      </c>
    </row>
    <row r="164" spans="1:27" x14ac:dyDescent="0.25">
      <c r="A164">
        <v>5560</v>
      </c>
      <c r="B164">
        <v>22250</v>
      </c>
      <c r="C164" s="1">
        <v>42742</v>
      </c>
      <c r="E164" s="36">
        <v>31</v>
      </c>
      <c r="F164" s="48"/>
      <c r="G164">
        <v>-1.3</v>
      </c>
      <c r="H164">
        <v>-6</v>
      </c>
      <c r="I164">
        <v>1.2</v>
      </c>
      <c r="J164">
        <v>1115.9000000000001</v>
      </c>
      <c r="K164">
        <v>123</v>
      </c>
      <c r="M164">
        <v>0.8</v>
      </c>
      <c r="N164">
        <v>0.5</v>
      </c>
      <c r="O164">
        <f t="shared" si="10"/>
        <v>0.30000000000000004</v>
      </c>
      <c r="P164">
        <f t="shared" si="14"/>
        <v>81.30000000000004</v>
      </c>
      <c r="Q164">
        <v>125</v>
      </c>
      <c r="R164">
        <v>1</v>
      </c>
      <c r="S164">
        <f t="shared" si="11"/>
        <v>0.5</v>
      </c>
      <c r="T164" s="24">
        <f t="shared" si="12"/>
        <v>0.30000000000000004</v>
      </c>
      <c r="U164" s="24">
        <f t="shared" si="17"/>
        <v>106.12278481012665</v>
      </c>
      <c r="W164">
        <v>550.79999999999995</v>
      </c>
      <c r="Y164">
        <f t="shared" si="15"/>
        <v>77927.3</v>
      </c>
      <c r="Z164">
        <f t="shared" si="19"/>
        <v>14296.999999999996</v>
      </c>
      <c r="AA164" s="36">
        <v>8.5058594552390687</v>
      </c>
    </row>
    <row r="165" spans="1:27" x14ac:dyDescent="0.25">
      <c r="A165">
        <v>5560</v>
      </c>
      <c r="B165">
        <v>22250</v>
      </c>
      <c r="C165" s="1">
        <v>42743</v>
      </c>
      <c r="E165" s="36">
        <v>32</v>
      </c>
      <c r="F165" s="48"/>
      <c r="G165">
        <v>2.7</v>
      </c>
      <c r="H165">
        <v>0.3</v>
      </c>
      <c r="I165">
        <v>4.0999999999999996</v>
      </c>
      <c r="J165">
        <f t="shared" si="13"/>
        <v>1118.6000000000001</v>
      </c>
      <c r="K165">
        <f t="shared" si="18"/>
        <v>125.7</v>
      </c>
      <c r="M165">
        <v>0.1</v>
      </c>
      <c r="N165">
        <v>0.2</v>
      </c>
      <c r="O165">
        <f t="shared" si="10"/>
        <v>-0.1</v>
      </c>
      <c r="P165">
        <f t="shared" si="14"/>
        <v>81.200000000000045</v>
      </c>
      <c r="Q165">
        <v>126</v>
      </c>
      <c r="R165">
        <v>1</v>
      </c>
      <c r="S165">
        <f t="shared" si="11"/>
        <v>0.2</v>
      </c>
      <c r="T165" s="24">
        <f t="shared" si="12"/>
        <v>-0.1</v>
      </c>
      <c r="U165" s="24">
        <f t="shared" si="17"/>
        <v>106.02278481012665</v>
      </c>
      <c r="W165">
        <v>227.2</v>
      </c>
      <c r="Y165">
        <f t="shared" si="15"/>
        <v>78154.5</v>
      </c>
      <c r="Z165">
        <f t="shared" si="19"/>
        <v>14524.199999999997</v>
      </c>
      <c r="AA165" s="36">
        <v>8.5284234069052598</v>
      </c>
    </row>
    <row r="166" spans="1:27" x14ac:dyDescent="0.25">
      <c r="A166">
        <v>5560</v>
      </c>
      <c r="B166">
        <v>22250</v>
      </c>
      <c r="C166" s="1">
        <v>42744</v>
      </c>
      <c r="F166" s="48"/>
      <c r="G166">
        <v>5.0999999999999996</v>
      </c>
      <c r="H166">
        <v>2.7</v>
      </c>
      <c r="I166">
        <v>6.9</v>
      </c>
      <c r="J166">
        <f t="shared" si="13"/>
        <v>1123.7</v>
      </c>
      <c r="K166">
        <f t="shared" si="18"/>
        <v>130.80000000000001</v>
      </c>
      <c r="M166">
        <v>6.3</v>
      </c>
      <c r="N166">
        <v>0.1</v>
      </c>
      <c r="O166">
        <f t="shared" si="10"/>
        <v>6.2</v>
      </c>
      <c r="P166">
        <f t="shared" si="14"/>
        <v>87.400000000000048</v>
      </c>
      <c r="Q166">
        <v>127</v>
      </c>
      <c r="R166">
        <v>1</v>
      </c>
      <c r="S166">
        <f t="shared" si="11"/>
        <v>0.1</v>
      </c>
      <c r="T166" s="24">
        <f t="shared" si="12"/>
        <v>6.2</v>
      </c>
      <c r="U166" s="24">
        <f t="shared" si="17"/>
        <v>112.22278481012665</v>
      </c>
      <c r="W166">
        <v>94.4</v>
      </c>
      <c r="Y166">
        <f t="shared" si="15"/>
        <v>78248.899999999994</v>
      </c>
      <c r="Z166">
        <f t="shared" si="19"/>
        <v>14618.599999999997</v>
      </c>
      <c r="AA166" s="36">
        <v>8.5521377933743548</v>
      </c>
    </row>
    <row r="167" spans="1:27" x14ac:dyDescent="0.25">
      <c r="A167">
        <v>5560</v>
      </c>
      <c r="B167">
        <v>22250</v>
      </c>
      <c r="C167" s="1">
        <v>42745</v>
      </c>
      <c r="F167" s="48"/>
      <c r="G167">
        <v>5.0999999999999996</v>
      </c>
      <c r="H167">
        <v>3.9</v>
      </c>
      <c r="I167">
        <v>6.2</v>
      </c>
      <c r="J167">
        <f t="shared" si="13"/>
        <v>1128.8</v>
      </c>
      <c r="K167">
        <f t="shared" si="18"/>
        <v>135.9</v>
      </c>
      <c r="M167">
        <v>1.1000000000000001</v>
      </c>
      <c r="N167">
        <v>0.1</v>
      </c>
      <c r="O167">
        <f t="shared" si="10"/>
        <v>1</v>
      </c>
      <c r="P167">
        <f t="shared" si="14"/>
        <v>88.400000000000048</v>
      </c>
      <c r="Q167">
        <v>128</v>
      </c>
      <c r="R167">
        <v>1</v>
      </c>
      <c r="S167">
        <f t="shared" si="11"/>
        <v>0.1</v>
      </c>
      <c r="T167" s="24">
        <f t="shared" si="12"/>
        <v>1</v>
      </c>
      <c r="U167" s="24">
        <f t="shared" si="17"/>
        <v>113.22278481012665</v>
      </c>
      <c r="W167">
        <v>152.1</v>
      </c>
      <c r="Y167">
        <f t="shared" si="15"/>
        <v>78401</v>
      </c>
      <c r="Z167">
        <f t="shared" si="19"/>
        <v>14770.699999999997</v>
      </c>
      <c r="AA167" s="36">
        <v>8.5769843126816152</v>
      </c>
    </row>
    <row r="168" spans="1:27" x14ac:dyDescent="0.25">
      <c r="A168">
        <v>5560</v>
      </c>
      <c r="B168">
        <v>22250</v>
      </c>
      <c r="C168" s="1">
        <v>42746</v>
      </c>
      <c r="F168" s="48"/>
      <c r="G168">
        <v>7.2</v>
      </c>
      <c r="H168">
        <v>4</v>
      </c>
      <c r="I168">
        <v>9.4</v>
      </c>
      <c r="J168">
        <f t="shared" si="13"/>
        <v>1136</v>
      </c>
      <c r="K168">
        <f t="shared" si="18"/>
        <v>143.1</v>
      </c>
      <c r="M168">
        <v>0.6</v>
      </c>
      <c r="N168">
        <v>0</v>
      </c>
      <c r="O168">
        <f t="shared" si="10"/>
        <v>0.6</v>
      </c>
      <c r="P168">
        <f t="shared" si="14"/>
        <v>89.000000000000043</v>
      </c>
      <c r="Q168">
        <v>129</v>
      </c>
      <c r="R168">
        <v>1</v>
      </c>
      <c r="S168">
        <f t="shared" si="11"/>
        <v>0</v>
      </c>
      <c r="T168" s="24">
        <f t="shared" si="12"/>
        <v>0.6</v>
      </c>
      <c r="U168" s="24">
        <f t="shared" si="17"/>
        <v>113.82278481012665</v>
      </c>
      <c r="W168">
        <v>140.30000000000001</v>
      </c>
      <c r="Y168">
        <f t="shared" si="15"/>
        <v>78541.3</v>
      </c>
      <c r="Z168">
        <f t="shared" si="19"/>
        <v>14910.999999999996</v>
      </c>
      <c r="AA168" s="36">
        <v>8.6029440680659963</v>
      </c>
    </row>
    <row r="169" spans="1:27" x14ac:dyDescent="0.25">
      <c r="A169">
        <v>5560</v>
      </c>
      <c r="B169">
        <v>22250</v>
      </c>
      <c r="C169" s="1">
        <v>42747</v>
      </c>
      <c r="F169" s="48"/>
      <c r="G169">
        <v>7.3</v>
      </c>
      <c r="H169">
        <v>5.7</v>
      </c>
      <c r="I169">
        <v>9.6999999999999993</v>
      </c>
      <c r="J169">
        <f t="shared" si="13"/>
        <v>1143.3</v>
      </c>
      <c r="K169">
        <f t="shared" si="18"/>
        <v>150.4</v>
      </c>
      <c r="M169">
        <v>5.4</v>
      </c>
      <c r="N169">
        <v>0.6</v>
      </c>
      <c r="O169">
        <f t="shared" ref="O169:O232" si="20">M169-N169</f>
        <v>4.8000000000000007</v>
      </c>
      <c r="P169">
        <f t="shared" si="14"/>
        <v>93.80000000000004</v>
      </c>
      <c r="Q169">
        <v>130</v>
      </c>
      <c r="R169">
        <v>1</v>
      </c>
      <c r="S169">
        <f t="shared" ref="S169:S232" si="21">R169*N169</f>
        <v>0.6</v>
      </c>
      <c r="T169" s="24">
        <f t="shared" ref="T169:T232" si="22">M169-S169</f>
        <v>4.8000000000000007</v>
      </c>
      <c r="U169" s="24">
        <f t="shared" si="17"/>
        <v>118.62278481012665</v>
      </c>
      <c r="W169">
        <v>108.7</v>
      </c>
      <c r="Y169">
        <f t="shared" si="15"/>
        <v>78650</v>
      </c>
      <c r="Z169">
        <f t="shared" si="19"/>
        <v>15019.699999999997</v>
      </c>
      <c r="AA169" s="36">
        <v>8.6299976165994909</v>
      </c>
    </row>
    <row r="170" spans="1:27" x14ac:dyDescent="0.25">
      <c r="A170">
        <v>5560</v>
      </c>
      <c r="B170">
        <v>22250</v>
      </c>
      <c r="C170" s="1">
        <v>42748</v>
      </c>
      <c r="E170" s="36">
        <v>33</v>
      </c>
      <c r="F170" s="48"/>
      <c r="G170">
        <v>2.6</v>
      </c>
      <c r="H170">
        <v>1.3</v>
      </c>
      <c r="I170">
        <v>4.2</v>
      </c>
      <c r="J170">
        <f t="shared" ref="J170:J233" si="23">J169+G170</f>
        <v>1145.8999999999999</v>
      </c>
      <c r="K170">
        <f t="shared" si="18"/>
        <v>153</v>
      </c>
      <c r="M170">
        <v>0.4</v>
      </c>
      <c r="N170">
        <v>0.6</v>
      </c>
      <c r="O170">
        <f t="shared" si="20"/>
        <v>-0.19999999999999996</v>
      </c>
      <c r="P170">
        <f t="shared" ref="P170:P233" si="24">P169+O170</f>
        <v>93.600000000000037</v>
      </c>
      <c r="Q170">
        <v>131</v>
      </c>
      <c r="R170">
        <v>1</v>
      </c>
      <c r="S170">
        <f t="shared" si="21"/>
        <v>0.6</v>
      </c>
      <c r="T170" s="24">
        <f t="shared" si="22"/>
        <v>-0.19999999999999996</v>
      </c>
      <c r="U170" s="24">
        <f t="shared" si="17"/>
        <v>118.42278481012664</v>
      </c>
      <c r="W170">
        <v>204.8</v>
      </c>
      <c r="Y170">
        <f t="shared" ref="Y170:Y233" si="25">Y169+W170</f>
        <v>78854.8</v>
      </c>
      <c r="Z170">
        <f t="shared" si="19"/>
        <v>15224.499999999996</v>
      </c>
      <c r="AA170" s="36">
        <v>8.6581250179486435</v>
      </c>
    </row>
    <row r="171" spans="1:27" x14ac:dyDescent="0.25">
      <c r="A171">
        <v>5560</v>
      </c>
      <c r="B171">
        <v>22250</v>
      </c>
      <c r="C171" s="1">
        <v>42749</v>
      </c>
      <c r="E171" s="36">
        <v>34</v>
      </c>
      <c r="F171" s="48"/>
      <c r="G171">
        <v>2.4</v>
      </c>
      <c r="H171">
        <v>0.6</v>
      </c>
      <c r="I171">
        <v>4</v>
      </c>
      <c r="J171">
        <f t="shared" si="23"/>
        <v>1148.3</v>
      </c>
      <c r="K171">
        <f t="shared" si="18"/>
        <v>155.4</v>
      </c>
      <c r="M171">
        <v>0.6</v>
      </c>
      <c r="N171">
        <v>0.4</v>
      </c>
      <c r="O171">
        <f t="shared" si="20"/>
        <v>0.19999999999999996</v>
      </c>
      <c r="P171">
        <f t="shared" si="24"/>
        <v>93.80000000000004</v>
      </c>
      <c r="Q171">
        <v>132</v>
      </c>
      <c r="R171">
        <v>1</v>
      </c>
      <c r="S171">
        <f t="shared" si="21"/>
        <v>0.4</v>
      </c>
      <c r="T171" s="24">
        <f t="shared" si="22"/>
        <v>0.19999999999999996</v>
      </c>
      <c r="U171" s="24">
        <f t="shared" si="17"/>
        <v>118.62278481012665</v>
      </c>
      <c r="W171">
        <v>514.79999999999995</v>
      </c>
      <c r="Y171">
        <f t="shared" si="25"/>
        <v>79369.600000000006</v>
      </c>
      <c r="Z171">
        <f t="shared" si="19"/>
        <v>15739.299999999996</v>
      </c>
      <c r="AA171" s="36">
        <v>8.6873058830428516</v>
      </c>
    </row>
    <row r="172" spans="1:27" x14ac:dyDescent="0.25">
      <c r="A172">
        <v>5560</v>
      </c>
      <c r="B172">
        <v>22250</v>
      </c>
      <c r="C172" s="1">
        <v>42750</v>
      </c>
      <c r="E172" s="36">
        <v>35</v>
      </c>
      <c r="F172" s="48"/>
      <c r="G172">
        <v>2.5</v>
      </c>
      <c r="H172">
        <v>0.3</v>
      </c>
      <c r="I172">
        <v>4.2</v>
      </c>
      <c r="J172">
        <f t="shared" si="23"/>
        <v>1150.8</v>
      </c>
      <c r="K172">
        <f t="shared" si="18"/>
        <v>157.9</v>
      </c>
      <c r="M172">
        <v>3.4</v>
      </c>
      <c r="N172">
        <v>0.1</v>
      </c>
      <c r="O172">
        <f t="shared" si="20"/>
        <v>3.3</v>
      </c>
      <c r="P172">
        <f t="shared" si="24"/>
        <v>97.100000000000037</v>
      </c>
      <c r="Q172">
        <v>133</v>
      </c>
      <c r="R172">
        <v>1</v>
      </c>
      <c r="S172">
        <f t="shared" si="21"/>
        <v>0.1</v>
      </c>
      <c r="T172" s="24">
        <f t="shared" si="22"/>
        <v>3.3</v>
      </c>
      <c r="U172" s="24">
        <f t="shared" si="17"/>
        <v>121.92278481012664</v>
      </c>
      <c r="W172">
        <v>126.6</v>
      </c>
      <c r="Y172">
        <f t="shared" si="25"/>
        <v>79496.200000000012</v>
      </c>
      <c r="Z172">
        <f t="shared" si="19"/>
        <v>15865.899999999996</v>
      </c>
      <c r="AA172" s="36">
        <v>8.7175194224346892</v>
      </c>
    </row>
    <row r="173" spans="1:27" x14ac:dyDescent="0.25">
      <c r="A173">
        <v>5560</v>
      </c>
      <c r="B173">
        <v>22250</v>
      </c>
      <c r="C173" s="1">
        <v>42751</v>
      </c>
      <c r="E173" s="36">
        <v>36</v>
      </c>
      <c r="F173" s="48"/>
      <c r="G173">
        <v>1.7</v>
      </c>
      <c r="H173">
        <v>-0.1</v>
      </c>
      <c r="I173">
        <v>3.2</v>
      </c>
      <c r="J173">
        <f t="shared" si="23"/>
        <v>1152.5</v>
      </c>
      <c r="K173">
        <f t="shared" si="18"/>
        <v>159.6</v>
      </c>
      <c r="M173">
        <v>0</v>
      </c>
      <c r="N173">
        <v>0.1</v>
      </c>
      <c r="O173">
        <f t="shared" si="20"/>
        <v>-0.1</v>
      </c>
      <c r="P173">
        <f t="shared" si="24"/>
        <v>97.000000000000043</v>
      </c>
      <c r="Q173">
        <v>134</v>
      </c>
      <c r="R173">
        <v>1</v>
      </c>
      <c r="S173">
        <f t="shared" si="21"/>
        <v>0.1</v>
      </c>
      <c r="T173" s="24">
        <f t="shared" si="22"/>
        <v>-0.1</v>
      </c>
      <c r="U173" s="24">
        <f t="shared" si="17"/>
        <v>121.82278481012665</v>
      </c>
      <c r="W173">
        <v>187.8</v>
      </c>
      <c r="Y173">
        <f t="shared" si="25"/>
        <v>79684.000000000015</v>
      </c>
      <c r="Z173">
        <f t="shared" si="19"/>
        <v>16053.699999999995</v>
      </c>
      <c r="AA173" s="36">
        <v>8.74874449414955</v>
      </c>
    </row>
    <row r="174" spans="1:27" x14ac:dyDescent="0.25">
      <c r="A174">
        <v>5560</v>
      </c>
      <c r="B174">
        <v>22250</v>
      </c>
      <c r="C174" s="1">
        <v>42752</v>
      </c>
      <c r="E174" s="36">
        <v>37</v>
      </c>
      <c r="F174" s="48"/>
      <c r="G174">
        <v>-2.5</v>
      </c>
      <c r="H174">
        <v>-3.9</v>
      </c>
      <c r="I174">
        <v>0.2</v>
      </c>
      <c r="J174">
        <v>1152.5</v>
      </c>
      <c r="K174">
        <v>159.6</v>
      </c>
      <c r="M174">
        <v>0</v>
      </c>
      <c r="N174">
        <v>0.6</v>
      </c>
      <c r="O174">
        <f t="shared" si="20"/>
        <v>-0.6</v>
      </c>
      <c r="P174">
        <f t="shared" si="24"/>
        <v>96.400000000000048</v>
      </c>
      <c r="Q174">
        <v>135</v>
      </c>
      <c r="R174">
        <v>1</v>
      </c>
      <c r="S174">
        <f t="shared" si="21"/>
        <v>0.6</v>
      </c>
      <c r="T174" s="24">
        <f t="shared" si="22"/>
        <v>-0.6</v>
      </c>
      <c r="U174" s="24">
        <f t="shared" si="17"/>
        <v>121.22278481012665</v>
      </c>
      <c r="W174">
        <v>820.7</v>
      </c>
      <c r="Y174">
        <f t="shared" si="25"/>
        <v>80504.700000000012</v>
      </c>
      <c r="Z174">
        <f t="shared" si="19"/>
        <v>16874.399999999994</v>
      </c>
      <c r="AA174" s="36">
        <v>8.780959650834582</v>
      </c>
    </row>
    <row r="175" spans="1:27" x14ac:dyDescent="0.25">
      <c r="A175">
        <v>5560</v>
      </c>
      <c r="B175">
        <v>22250</v>
      </c>
      <c r="C175" s="1">
        <v>42753</v>
      </c>
      <c r="E175" s="36">
        <v>38</v>
      </c>
      <c r="F175" s="48"/>
      <c r="G175">
        <v>-3.7</v>
      </c>
      <c r="H175">
        <v>-5.6</v>
      </c>
      <c r="I175">
        <v>-1.5</v>
      </c>
      <c r="J175">
        <v>1152.5</v>
      </c>
      <c r="K175">
        <v>159.6</v>
      </c>
      <c r="M175">
        <v>0</v>
      </c>
      <c r="N175">
        <v>0.5</v>
      </c>
      <c r="O175">
        <f t="shared" si="20"/>
        <v>-0.5</v>
      </c>
      <c r="P175">
        <f t="shared" si="24"/>
        <v>95.900000000000048</v>
      </c>
      <c r="Q175">
        <v>136</v>
      </c>
      <c r="R175">
        <v>1</v>
      </c>
      <c r="S175">
        <f t="shared" si="21"/>
        <v>0.5</v>
      </c>
      <c r="T175" s="24">
        <f t="shared" si="22"/>
        <v>-0.5</v>
      </c>
      <c r="U175" s="24">
        <f t="shared" si="17"/>
        <v>120.72278481012665</v>
      </c>
      <c r="W175">
        <v>501.2</v>
      </c>
      <c r="Y175">
        <f t="shared" si="25"/>
        <v>81005.900000000009</v>
      </c>
      <c r="Z175">
        <f t="shared" si="19"/>
        <v>17375.599999999995</v>
      </c>
      <c r="AA175" s="36">
        <v>8.8141431860306909</v>
      </c>
    </row>
    <row r="176" spans="1:27" x14ac:dyDescent="0.25">
      <c r="A176">
        <v>5560</v>
      </c>
      <c r="B176">
        <v>22250</v>
      </c>
      <c r="C176" s="1">
        <v>42754</v>
      </c>
      <c r="E176" s="36">
        <v>39</v>
      </c>
      <c r="F176" s="48"/>
      <c r="G176">
        <v>-4.0999999999999996</v>
      </c>
      <c r="H176">
        <v>-6.3</v>
      </c>
      <c r="I176">
        <v>-1.6</v>
      </c>
      <c r="J176">
        <v>1152.5</v>
      </c>
      <c r="K176">
        <v>159.6</v>
      </c>
      <c r="M176">
        <v>0</v>
      </c>
      <c r="N176">
        <v>0.5</v>
      </c>
      <c r="O176">
        <f t="shared" si="20"/>
        <v>-0.5</v>
      </c>
      <c r="P176">
        <f t="shared" si="24"/>
        <v>95.400000000000048</v>
      </c>
      <c r="Q176">
        <v>137</v>
      </c>
      <c r="R176">
        <v>1</v>
      </c>
      <c r="S176">
        <f t="shared" si="21"/>
        <v>0.5</v>
      </c>
      <c r="T176" s="24">
        <f t="shared" si="22"/>
        <v>-0.5</v>
      </c>
      <c r="U176" s="24">
        <f t="shared" si="17"/>
        <v>120.22278481012665</v>
      </c>
      <c r="W176">
        <v>853</v>
      </c>
      <c r="Y176">
        <f t="shared" si="25"/>
        <v>81858.900000000009</v>
      </c>
      <c r="Z176">
        <f t="shared" si="19"/>
        <v>18228.599999999995</v>
      </c>
      <c r="AA176" s="36">
        <v>8.8482731794054992</v>
      </c>
    </row>
    <row r="177" spans="1:28" x14ac:dyDescent="0.25">
      <c r="A177">
        <v>5560</v>
      </c>
      <c r="B177">
        <v>22250</v>
      </c>
      <c r="C177" s="1">
        <v>42755</v>
      </c>
      <c r="E177" s="36">
        <v>40</v>
      </c>
      <c r="F177" s="48"/>
      <c r="G177">
        <v>-3.7</v>
      </c>
      <c r="H177">
        <v>-6.8</v>
      </c>
      <c r="I177">
        <v>-0.9</v>
      </c>
      <c r="J177">
        <v>1152.5</v>
      </c>
      <c r="K177">
        <v>159.6</v>
      </c>
      <c r="M177">
        <v>0</v>
      </c>
      <c r="N177">
        <v>0.5</v>
      </c>
      <c r="O177">
        <f t="shared" si="20"/>
        <v>-0.5</v>
      </c>
      <c r="P177">
        <f t="shared" si="24"/>
        <v>94.900000000000048</v>
      </c>
      <c r="Q177">
        <v>138</v>
      </c>
      <c r="R177">
        <v>1</v>
      </c>
      <c r="S177">
        <f t="shared" si="21"/>
        <v>0.5</v>
      </c>
      <c r="T177" s="24">
        <f t="shared" si="22"/>
        <v>-0.5</v>
      </c>
      <c r="U177" s="24">
        <f t="shared" si="17"/>
        <v>119.72278481012665</v>
      </c>
      <c r="W177">
        <v>825</v>
      </c>
      <c r="Y177">
        <f t="shared" si="25"/>
        <v>82683.900000000009</v>
      </c>
      <c r="Z177">
        <f t="shared" si="19"/>
        <v>19053.599999999995</v>
      </c>
      <c r="AA177" s="36">
        <v>8.8833275407997885</v>
      </c>
    </row>
    <row r="178" spans="1:28" x14ac:dyDescent="0.25">
      <c r="A178">
        <v>5560</v>
      </c>
      <c r="B178">
        <v>22250</v>
      </c>
      <c r="C178" s="1">
        <v>42756</v>
      </c>
      <c r="E178" s="36">
        <v>41</v>
      </c>
      <c r="F178" s="48"/>
      <c r="G178">
        <v>-1.2</v>
      </c>
      <c r="H178">
        <v>-6</v>
      </c>
      <c r="I178">
        <v>3.4</v>
      </c>
      <c r="J178">
        <v>1152.5</v>
      </c>
      <c r="K178">
        <v>159.6</v>
      </c>
      <c r="M178">
        <v>0</v>
      </c>
      <c r="N178">
        <v>0.6</v>
      </c>
      <c r="O178">
        <f t="shared" si="20"/>
        <v>-0.6</v>
      </c>
      <c r="P178">
        <f t="shared" si="24"/>
        <v>94.300000000000054</v>
      </c>
      <c r="Q178">
        <v>139</v>
      </c>
      <c r="R178">
        <v>1</v>
      </c>
      <c r="S178">
        <f t="shared" si="21"/>
        <v>0.6</v>
      </c>
      <c r="T178" s="24">
        <f t="shared" si="22"/>
        <v>-0.6</v>
      </c>
      <c r="U178" s="24">
        <f t="shared" ref="U178:U241" si="26">MIN(122.1,U177+T178)</f>
        <v>119.12278481012666</v>
      </c>
      <c r="W178">
        <v>872.5</v>
      </c>
      <c r="Y178">
        <f t="shared" si="25"/>
        <v>83556.400000000009</v>
      </c>
      <c r="Z178">
        <f t="shared" si="19"/>
        <v>19926.099999999995</v>
      </c>
      <c r="AA178" s="36">
        <v>8.9192840529547244</v>
      </c>
    </row>
    <row r="179" spans="1:28" x14ac:dyDescent="0.25">
      <c r="A179">
        <v>5560</v>
      </c>
      <c r="B179">
        <v>22250</v>
      </c>
      <c r="C179" s="1">
        <v>42757</v>
      </c>
      <c r="E179" s="36">
        <v>42</v>
      </c>
      <c r="F179" s="48"/>
      <c r="G179">
        <v>-0.8</v>
      </c>
      <c r="H179">
        <v>-4.5999999999999996</v>
      </c>
      <c r="I179">
        <v>2.9</v>
      </c>
      <c r="J179">
        <v>1152.5</v>
      </c>
      <c r="K179">
        <v>159.6</v>
      </c>
      <c r="M179">
        <v>0</v>
      </c>
      <c r="N179">
        <v>0.5</v>
      </c>
      <c r="O179">
        <f t="shared" si="20"/>
        <v>-0.5</v>
      </c>
      <c r="P179">
        <f t="shared" si="24"/>
        <v>93.800000000000054</v>
      </c>
      <c r="Q179">
        <v>140</v>
      </c>
      <c r="R179">
        <v>1</v>
      </c>
      <c r="S179">
        <f t="shared" si="21"/>
        <v>0.5</v>
      </c>
      <c r="T179" s="24">
        <f t="shared" si="22"/>
        <v>-0.5</v>
      </c>
      <c r="U179" s="24">
        <f t="shared" si="26"/>
        <v>118.62278481012666</v>
      </c>
      <c r="W179">
        <v>700.3</v>
      </c>
      <c r="Y179">
        <f t="shared" si="25"/>
        <v>84256.700000000012</v>
      </c>
      <c r="Z179">
        <f t="shared" si="19"/>
        <v>20626.399999999994</v>
      </c>
      <c r="AA179" s="36">
        <v>8.956120412802024</v>
      </c>
    </row>
    <row r="180" spans="1:28" x14ac:dyDescent="0.25">
      <c r="A180">
        <v>5560</v>
      </c>
      <c r="B180">
        <v>22250</v>
      </c>
      <c r="C180" s="1">
        <v>42758</v>
      </c>
      <c r="E180" s="36">
        <v>43</v>
      </c>
      <c r="F180" s="48"/>
      <c r="G180">
        <v>-1.1000000000000001</v>
      </c>
      <c r="H180">
        <v>-3.6</v>
      </c>
      <c r="I180">
        <v>3.2</v>
      </c>
      <c r="J180">
        <v>1152.5</v>
      </c>
      <c r="K180">
        <v>159.6</v>
      </c>
      <c r="M180">
        <v>0</v>
      </c>
      <c r="N180">
        <v>0.7</v>
      </c>
      <c r="O180">
        <f t="shared" si="20"/>
        <v>-0.7</v>
      </c>
      <c r="P180">
        <f t="shared" si="24"/>
        <v>93.100000000000051</v>
      </c>
      <c r="Q180">
        <v>141</v>
      </c>
      <c r="R180">
        <v>1</v>
      </c>
      <c r="S180">
        <f t="shared" si="21"/>
        <v>0.7</v>
      </c>
      <c r="T180" s="24">
        <f t="shared" si="22"/>
        <v>-0.7</v>
      </c>
      <c r="U180" s="24">
        <f t="shared" si="26"/>
        <v>117.92278481012666</v>
      </c>
      <c r="W180">
        <v>762.7</v>
      </c>
      <c r="Y180">
        <f t="shared" si="25"/>
        <v>85019.400000000009</v>
      </c>
      <c r="Z180">
        <f t="shared" si="19"/>
        <v>21389.099999999995</v>
      </c>
      <c r="AA180" s="36">
        <v>8.9938142712139975</v>
      </c>
    </row>
    <row r="181" spans="1:28" x14ac:dyDescent="0.25">
      <c r="A181">
        <v>5560</v>
      </c>
      <c r="B181">
        <v>22250</v>
      </c>
      <c r="C181" s="1">
        <v>42759</v>
      </c>
      <c r="F181" s="48"/>
      <c r="G181">
        <v>-2.9</v>
      </c>
      <c r="H181">
        <v>-5.4</v>
      </c>
      <c r="I181">
        <v>-0.7</v>
      </c>
      <c r="J181">
        <v>1152.5</v>
      </c>
      <c r="K181">
        <v>159.6</v>
      </c>
      <c r="M181">
        <v>0</v>
      </c>
      <c r="N181">
        <v>0.2</v>
      </c>
      <c r="O181">
        <f t="shared" si="20"/>
        <v>-0.2</v>
      </c>
      <c r="P181">
        <f t="shared" si="24"/>
        <v>92.900000000000048</v>
      </c>
      <c r="Q181">
        <v>142</v>
      </c>
      <c r="R181">
        <v>1</v>
      </c>
      <c r="S181">
        <f t="shared" si="21"/>
        <v>0.2</v>
      </c>
      <c r="T181" s="24">
        <f t="shared" si="22"/>
        <v>-0.2</v>
      </c>
      <c r="U181" s="24">
        <f t="shared" si="26"/>
        <v>117.72278481012665</v>
      </c>
      <c r="W181">
        <v>291.39999999999998</v>
      </c>
      <c r="Y181">
        <f t="shared" si="25"/>
        <v>85310.8</v>
      </c>
      <c r="Z181">
        <f t="shared" si="19"/>
        <v>21680.499999999996</v>
      </c>
      <c r="AA181">
        <v>9.03234327112472</v>
      </c>
    </row>
    <row r="182" spans="1:28" x14ac:dyDescent="0.25">
      <c r="A182">
        <v>5560</v>
      </c>
      <c r="B182">
        <v>22250</v>
      </c>
      <c r="C182" s="1">
        <v>42760</v>
      </c>
      <c r="F182" s="48"/>
      <c r="G182">
        <v>-2</v>
      </c>
      <c r="H182">
        <v>-2.2000000000000002</v>
      </c>
      <c r="I182">
        <v>-0.9</v>
      </c>
      <c r="J182">
        <v>1152.5</v>
      </c>
      <c r="K182">
        <v>159.6</v>
      </c>
      <c r="M182">
        <v>0</v>
      </c>
      <c r="N182">
        <v>0.4</v>
      </c>
      <c r="O182">
        <f t="shared" si="20"/>
        <v>-0.4</v>
      </c>
      <c r="P182">
        <f t="shared" si="24"/>
        <v>92.500000000000043</v>
      </c>
      <c r="Q182">
        <v>143</v>
      </c>
      <c r="R182">
        <v>1</v>
      </c>
      <c r="S182">
        <f t="shared" si="21"/>
        <v>0.4</v>
      </c>
      <c r="T182" s="24">
        <f t="shared" si="22"/>
        <v>-0.4</v>
      </c>
      <c r="U182" s="24">
        <f t="shared" si="26"/>
        <v>117.32278481012665</v>
      </c>
      <c r="W182">
        <v>179.5</v>
      </c>
      <c r="Y182">
        <f t="shared" si="25"/>
        <v>85490.3</v>
      </c>
      <c r="Z182">
        <f t="shared" si="19"/>
        <v>21859.999999999996</v>
      </c>
      <c r="AA182">
        <v>9.0716850839479282</v>
      </c>
    </row>
    <row r="183" spans="1:28" s="32" customFormat="1" ht="15.75" thickBot="1" x14ac:dyDescent="0.3">
      <c r="A183" s="32">
        <v>5560</v>
      </c>
      <c r="B183" s="32">
        <v>22250</v>
      </c>
      <c r="C183" s="33">
        <v>42761</v>
      </c>
      <c r="D183" s="32" t="s">
        <v>37</v>
      </c>
      <c r="F183" s="48"/>
      <c r="G183" s="32">
        <v>-1.1000000000000001</v>
      </c>
      <c r="H183" s="32">
        <v>-6.5</v>
      </c>
      <c r="I183" s="32">
        <v>3.3</v>
      </c>
      <c r="J183" s="32">
        <v>1152.5</v>
      </c>
      <c r="K183" s="32">
        <v>159.6</v>
      </c>
      <c r="L183" s="34"/>
      <c r="M183" s="32">
        <v>0</v>
      </c>
      <c r="N183" s="32">
        <v>0.7</v>
      </c>
      <c r="O183" s="32">
        <f t="shared" si="20"/>
        <v>-0.7</v>
      </c>
      <c r="P183" s="32">
        <f t="shared" si="24"/>
        <v>91.80000000000004</v>
      </c>
      <c r="Q183" s="32">
        <v>144</v>
      </c>
      <c r="R183" s="32">
        <v>1</v>
      </c>
      <c r="S183" s="32">
        <f t="shared" si="21"/>
        <v>0.7</v>
      </c>
      <c r="T183" s="35">
        <f t="shared" si="22"/>
        <v>-0.7</v>
      </c>
      <c r="U183" s="35">
        <f t="shared" si="26"/>
        <v>116.62278481012665</v>
      </c>
      <c r="W183" s="32">
        <v>932.4</v>
      </c>
      <c r="Y183" s="32">
        <f t="shared" si="25"/>
        <v>86422.7</v>
      </c>
      <c r="Z183" s="32">
        <f t="shared" si="19"/>
        <v>22792.399999999998</v>
      </c>
      <c r="AA183" s="32">
        <v>9.1118174442306259</v>
      </c>
    </row>
    <row r="184" spans="1:28" ht="15" customHeight="1" x14ac:dyDescent="0.25">
      <c r="A184">
        <v>5560</v>
      </c>
      <c r="B184">
        <v>22250</v>
      </c>
      <c r="C184" s="1">
        <v>42762</v>
      </c>
      <c r="F184" s="50" t="s">
        <v>50</v>
      </c>
      <c r="G184">
        <v>5.3</v>
      </c>
      <c r="H184">
        <v>0.4</v>
      </c>
      <c r="I184">
        <v>8.6999999999999993</v>
      </c>
      <c r="J184">
        <f t="shared" si="23"/>
        <v>1157.8</v>
      </c>
      <c r="K184">
        <v>5.3</v>
      </c>
      <c r="L184" s="15" t="s">
        <v>38</v>
      </c>
      <c r="M184">
        <v>0</v>
      </c>
      <c r="N184">
        <v>0.7</v>
      </c>
      <c r="O184">
        <f t="shared" si="20"/>
        <v>-0.7</v>
      </c>
      <c r="P184">
        <f t="shared" si="24"/>
        <v>91.100000000000037</v>
      </c>
      <c r="Q184">
        <v>145</v>
      </c>
      <c r="R184">
        <f>1+((Q184-144)/64)*(1.15-1)</f>
        <v>1.0023437500000001</v>
      </c>
      <c r="S184">
        <f t="shared" si="21"/>
        <v>0.70164062500000002</v>
      </c>
      <c r="T184" s="24">
        <f t="shared" si="22"/>
        <v>-0.70164062500000002</v>
      </c>
      <c r="U184" s="24">
        <f t="shared" si="26"/>
        <v>115.92114418512665</v>
      </c>
      <c r="V184" s="27" t="s">
        <v>53</v>
      </c>
      <c r="W184">
        <v>139.19999999999999</v>
      </c>
      <c r="Y184">
        <f t="shared" si="25"/>
        <v>86561.9</v>
      </c>
      <c r="Z184">
        <f>W184</f>
        <v>139.19999999999999</v>
      </c>
      <c r="AA184">
        <v>9.152718182494608</v>
      </c>
      <c r="AB184" s="27" t="s">
        <v>58</v>
      </c>
    </row>
    <row r="185" spans="1:28" x14ac:dyDescent="0.25">
      <c r="A185">
        <v>5560</v>
      </c>
      <c r="B185">
        <v>22250</v>
      </c>
      <c r="C185" s="1">
        <v>42763</v>
      </c>
      <c r="F185" s="50"/>
      <c r="G185">
        <v>5.7</v>
      </c>
      <c r="H185">
        <v>3.9</v>
      </c>
      <c r="I185">
        <v>8.1999999999999993</v>
      </c>
      <c r="J185">
        <f t="shared" si="23"/>
        <v>1163.5</v>
      </c>
      <c r="K185">
        <f t="shared" si="18"/>
        <v>11</v>
      </c>
      <c r="L185" s="12">
        <v>529.70000000000005</v>
      </c>
      <c r="M185">
        <v>0.1</v>
      </c>
      <c r="N185">
        <v>0.6</v>
      </c>
      <c r="O185">
        <f t="shared" si="20"/>
        <v>-0.5</v>
      </c>
      <c r="P185">
        <f t="shared" si="24"/>
        <v>90.600000000000037</v>
      </c>
      <c r="Q185">
        <v>146</v>
      </c>
      <c r="R185">
        <f t="shared" ref="R185:R247" si="27">1+((Q185-144)/64)*(1.15-1)</f>
        <v>1.0046875</v>
      </c>
      <c r="S185">
        <f t="shared" si="21"/>
        <v>0.60281249999999997</v>
      </c>
      <c r="T185" s="24">
        <f t="shared" si="22"/>
        <v>-0.5028125</v>
      </c>
      <c r="U185" s="24">
        <f t="shared" si="26"/>
        <v>115.41833168512665</v>
      </c>
      <c r="V185">
        <v>0</v>
      </c>
      <c r="W185">
        <v>265.60000000000002</v>
      </c>
      <c r="Y185">
        <f t="shared" si="25"/>
        <v>86827.5</v>
      </c>
      <c r="Z185">
        <f t="shared" si="19"/>
        <v>404.8</v>
      </c>
      <c r="AA185">
        <v>9.194365256230423</v>
      </c>
      <c r="AB185">
        <v>39073.300000000003</v>
      </c>
    </row>
    <row r="186" spans="1:28" x14ac:dyDescent="0.25">
      <c r="A186">
        <v>5560</v>
      </c>
      <c r="B186">
        <v>22250</v>
      </c>
      <c r="C186" s="1">
        <v>42764</v>
      </c>
      <c r="F186" s="50"/>
      <c r="G186">
        <v>6.8</v>
      </c>
      <c r="H186">
        <v>3.8</v>
      </c>
      <c r="I186">
        <v>10</v>
      </c>
      <c r="J186">
        <f t="shared" si="23"/>
        <v>1170.3</v>
      </c>
      <c r="K186">
        <f t="shared" si="18"/>
        <v>17.8</v>
      </c>
      <c r="L186" s="15" t="s">
        <v>39</v>
      </c>
      <c r="M186">
        <v>0</v>
      </c>
      <c r="N186">
        <v>0.7</v>
      </c>
      <c r="O186">
        <f t="shared" si="20"/>
        <v>-0.7</v>
      </c>
      <c r="P186">
        <f t="shared" si="24"/>
        <v>89.900000000000034</v>
      </c>
      <c r="Q186">
        <v>147</v>
      </c>
      <c r="R186">
        <f t="shared" si="27"/>
        <v>1.00703125</v>
      </c>
      <c r="S186">
        <f t="shared" si="21"/>
        <v>0.70492187500000003</v>
      </c>
      <c r="T186" s="24">
        <f t="shared" si="22"/>
        <v>-0.70492187500000003</v>
      </c>
      <c r="U186" s="24">
        <f t="shared" si="26"/>
        <v>114.71340981012665</v>
      </c>
      <c r="V186" s="27" t="s">
        <v>54</v>
      </c>
      <c r="W186">
        <v>483.9</v>
      </c>
      <c r="Y186">
        <f t="shared" si="25"/>
        <v>87311.4</v>
      </c>
      <c r="Z186">
        <f t="shared" si="19"/>
        <v>888.7</v>
      </c>
      <c r="AA186">
        <v>9.2367367790200561</v>
      </c>
      <c r="AB186" s="27" t="s">
        <v>59</v>
      </c>
    </row>
    <row r="187" spans="1:28" x14ac:dyDescent="0.25">
      <c r="A187">
        <v>5560</v>
      </c>
      <c r="B187">
        <v>22250</v>
      </c>
      <c r="C187" s="1">
        <v>42765</v>
      </c>
      <c r="F187" s="50"/>
      <c r="G187">
        <v>9.1999999999999993</v>
      </c>
      <c r="H187">
        <v>7.1</v>
      </c>
      <c r="I187">
        <v>9.9</v>
      </c>
      <c r="J187">
        <f t="shared" si="23"/>
        <v>1179.5</v>
      </c>
      <c r="K187">
        <f t="shared" si="18"/>
        <v>27</v>
      </c>
      <c r="L187" s="12">
        <f>AVERAGE(G184:G247)</f>
        <v>8.2765624999999989</v>
      </c>
      <c r="M187">
        <v>6.4</v>
      </c>
      <c r="N187">
        <v>0.3</v>
      </c>
      <c r="O187">
        <f t="shared" si="20"/>
        <v>6.1000000000000005</v>
      </c>
      <c r="P187">
        <f t="shared" si="24"/>
        <v>96.000000000000028</v>
      </c>
      <c r="Q187">
        <v>148</v>
      </c>
      <c r="R187">
        <f t="shared" si="27"/>
        <v>1.0093749999999999</v>
      </c>
      <c r="S187">
        <f t="shared" si="21"/>
        <v>0.30281249999999998</v>
      </c>
      <c r="T187" s="24">
        <f t="shared" si="22"/>
        <v>6.0971875000000004</v>
      </c>
      <c r="U187" s="24">
        <f t="shared" si="26"/>
        <v>120.81059731012665</v>
      </c>
      <c r="V187">
        <v>0</v>
      </c>
      <c r="W187">
        <v>115.7</v>
      </c>
      <c r="Y187">
        <f t="shared" si="25"/>
        <v>87427.099999999991</v>
      </c>
      <c r="Z187">
        <f t="shared" si="19"/>
        <v>1004.4000000000001</v>
      </c>
      <c r="AA187">
        <v>9.2798110477755031</v>
      </c>
      <c r="AB187">
        <f>(AB185/100)/L185</f>
        <v>0.73764961298848397</v>
      </c>
    </row>
    <row r="188" spans="1:28" x14ac:dyDescent="0.25">
      <c r="A188">
        <v>5560</v>
      </c>
      <c r="B188">
        <v>22250</v>
      </c>
      <c r="C188" s="1">
        <v>42766</v>
      </c>
      <c r="F188" s="50"/>
      <c r="G188">
        <v>10.3</v>
      </c>
      <c r="H188">
        <v>9.1</v>
      </c>
      <c r="I188">
        <v>13.6</v>
      </c>
      <c r="J188">
        <f t="shared" si="23"/>
        <v>1189.8</v>
      </c>
      <c r="K188">
        <f t="shared" si="18"/>
        <v>37.299999999999997</v>
      </c>
      <c r="L188" s="15" t="s">
        <v>40</v>
      </c>
      <c r="M188">
        <v>0.1</v>
      </c>
      <c r="N188">
        <v>0.6</v>
      </c>
      <c r="O188">
        <f t="shared" si="20"/>
        <v>-0.5</v>
      </c>
      <c r="P188">
        <f t="shared" si="24"/>
        <v>95.500000000000028</v>
      </c>
      <c r="Q188">
        <v>149</v>
      </c>
      <c r="R188">
        <f t="shared" si="27"/>
        <v>1.01171875</v>
      </c>
      <c r="S188">
        <f t="shared" si="21"/>
        <v>0.60703125000000002</v>
      </c>
      <c r="T188" s="24">
        <f t="shared" si="22"/>
        <v>-0.50703125000000004</v>
      </c>
      <c r="U188" s="24">
        <f t="shared" si="26"/>
        <v>120.30356606012666</v>
      </c>
      <c r="V188" s="27" t="s">
        <v>55</v>
      </c>
      <c r="W188">
        <v>236</v>
      </c>
      <c r="Y188">
        <f t="shared" si="25"/>
        <v>87663.099999999991</v>
      </c>
      <c r="Z188">
        <f t="shared" si="19"/>
        <v>1240.4000000000001</v>
      </c>
      <c r="AA188">
        <v>9.323566568090623</v>
      </c>
      <c r="AB188" s="27" t="s">
        <v>60</v>
      </c>
    </row>
    <row r="189" spans="1:28" x14ac:dyDescent="0.25">
      <c r="A189">
        <v>5560</v>
      </c>
      <c r="B189">
        <v>22250</v>
      </c>
      <c r="C189" s="1">
        <v>42767</v>
      </c>
      <c r="F189" s="50"/>
      <c r="G189">
        <v>8.1</v>
      </c>
      <c r="H189">
        <v>3</v>
      </c>
      <c r="I189">
        <v>12.8</v>
      </c>
      <c r="J189">
        <f t="shared" si="23"/>
        <v>1197.8999999999999</v>
      </c>
      <c r="K189">
        <f t="shared" si="18"/>
        <v>45.4</v>
      </c>
      <c r="L189" s="13">
        <f>MIN(H184:H247)</f>
        <v>-2.1</v>
      </c>
      <c r="M189">
        <v>0</v>
      </c>
      <c r="N189">
        <v>0.3</v>
      </c>
      <c r="O189">
        <f t="shared" si="20"/>
        <v>-0.3</v>
      </c>
      <c r="P189">
        <f t="shared" si="24"/>
        <v>95.200000000000031</v>
      </c>
      <c r="Q189">
        <v>150</v>
      </c>
      <c r="R189">
        <f t="shared" si="27"/>
        <v>1.0140625000000001</v>
      </c>
      <c r="S189">
        <f t="shared" si="21"/>
        <v>0.30421875000000004</v>
      </c>
      <c r="T189" s="24">
        <f t="shared" si="22"/>
        <v>-0.30421875000000004</v>
      </c>
      <c r="U189" s="24">
        <f t="shared" si="26"/>
        <v>119.99934731012665</v>
      </c>
      <c r="V189" s="24">
        <f>MIN(U184:U247)</f>
        <v>108.49140625</v>
      </c>
      <c r="W189">
        <v>194.5</v>
      </c>
      <c r="Y189">
        <f t="shared" si="25"/>
        <v>87857.599999999991</v>
      </c>
      <c r="Z189">
        <f t="shared" si="19"/>
        <v>1434.9</v>
      </c>
      <c r="AA189">
        <v>9.3679820777130089</v>
      </c>
      <c r="AB189">
        <v>48</v>
      </c>
    </row>
    <row r="190" spans="1:28" x14ac:dyDescent="0.25">
      <c r="A190">
        <v>5560</v>
      </c>
      <c r="B190">
        <v>22250</v>
      </c>
      <c r="C190" s="1">
        <v>42768</v>
      </c>
      <c r="F190" s="50"/>
      <c r="G190">
        <v>9.9</v>
      </c>
      <c r="H190">
        <v>6.8</v>
      </c>
      <c r="I190">
        <v>13.8</v>
      </c>
      <c r="J190">
        <f t="shared" si="23"/>
        <v>1207.8</v>
      </c>
      <c r="K190">
        <f t="shared" ref="K190:K253" si="28">K189+G190</f>
        <v>55.3</v>
      </c>
      <c r="L190" s="15" t="s">
        <v>41</v>
      </c>
      <c r="M190">
        <v>1.7</v>
      </c>
      <c r="N190">
        <v>1.2</v>
      </c>
      <c r="O190">
        <f t="shared" si="20"/>
        <v>0.5</v>
      </c>
      <c r="P190">
        <f t="shared" si="24"/>
        <v>95.700000000000031</v>
      </c>
      <c r="Q190">
        <v>151</v>
      </c>
      <c r="R190">
        <f t="shared" si="27"/>
        <v>1.01640625</v>
      </c>
      <c r="S190">
        <f t="shared" si="21"/>
        <v>1.2196874999999998</v>
      </c>
      <c r="T190" s="24">
        <f t="shared" si="22"/>
        <v>0.48031250000000014</v>
      </c>
      <c r="U190" s="24">
        <f t="shared" si="26"/>
        <v>120.47965981012665</v>
      </c>
      <c r="V190" s="27" t="s">
        <v>56</v>
      </c>
      <c r="W190">
        <v>131.9</v>
      </c>
      <c r="Y190">
        <f t="shared" si="25"/>
        <v>87989.499999999985</v>
      </c>
      <c r="Z190">
        <f t="shared" ref="Z190:Z247" si="29">Z189+W190</f>
        <v>1566.8000000000002</v>
      </c>
      <c r="AA190">
        <v>9.413036568151119</v>
      </c>
    </row>
    <row r="191" spans="1:28" x14ac:dyDescent="0.25">
      <c r="A191">
        <v>5560</v>
      </c>
      <c r="B191">
        <v>22250</v>
      </c>
      <c r="C191" s="1">
        <v>42769</v>
      </c>
      <c r="F191" s="50"/>
      <c r="G191">
        <v>6.9</v>
      </c>
      <c r="H191">
        <v>5</v>
      </c>
      <c r="I191">
        <v>8.3000000000000007</v>
      </c>
      <c r="J191">
        <f t="shared" si="23"/>
        <v>1214.7</v>
      </c>
      <c r="K191">
        <f t="shared" si="28"/>
        <v>62.199999999999996</v>
      </c>
      <c r="L191" s="12">
        <f>MAX(I184:I247)</f>
        <v>21.9</v>
      </c>
      <c r="M191">
        <v>5.9</v>
      </c>
      <c r="N191">
        <v>0.6</v>
      </c>
      <c r="O191">
        <f t="shared" si="20"/>
        <v>5.3000000000000007</v>
      </c>
      <c r="P191">
        <f t="shared" si="24"/>
        <v>101.00000000000003</v>
      </c>
      <c r="Q191">
        <v>152</v>
      </c>
      <c r="R191">
        <f t="shared" si="27"/>
        <v>1.01875</v>
      </c>
      <c r="S191">
        <f t="shared" si="21"/>
        <v>0.61124999999999996</v>
      </c>
      <c r="T191" s="24">
        <f t="shared" si="22"/>
        <v>5.2887500000000003</v>
      </c>
      <c r="U191" s="24">
        <f t="shared" si="26"/>
        <v>122.1</v>
      </c>
      <c r="V191" s="24">
        <f>MAX(U184:U247)</f>
        <v>122.1</v>
      </c>
      <c r="W191">
        <v>192.4</v>
      </c>
      <c r="Y191">
        <f t="shared" si="25"/>
        <v>88181.89999999998</v>
      </c>
      <c r="Z191">
        <f t="shared" si="29"/>
        <v>1759.2000000000003</v>
      </c>
      <c r="AA191">
        <v>9.4587093044396866</v>
      </c>
    </row>
    <row r="192" spans="1:28" x14ac:dyDescent="0.25">
      <c r="A192">
        <v>5560</v>
      </c>
      <c r="B192">
        <v>22250</v>
      </c>
      <c r="C192" s="1">
        <v>42770</v>
      </c>
      <c r="F192" s="50"/>
      <c r="G192">
        <v>6.7</v>
      </c>
      <c r="H192">
        <v>4.9000000000000004</v>
      </c>
      <c r="I192">
        <v>9.3000000000000007</v>
      </c>
      <c r="J192">
        <f t="shared" si="23"/>
        <v>1221.4000000000001</v>
      </c>
      <c r="K192">
        <f t="shared" si="28"/>
        <v>68.899999999999991</v>
      </c>
      <c r="L192" s="15" t="s">
        <v>42</v>
      </c>
      <c r="M192">
        <v>9.8000000000000007</v>
      </c>
      <c r="N192">
        <v>0.9</v>
      </c>
      <c r="O192">
        <f t="shared" si="20"/>
        <v>8.9</v>
      </c>
      <c r="P192">
        <f t="shared" si="24"/>
        <v>109.90000000000003</v>
      </c>
      <c r="Q192">
        <v>153</v>
      </c>
      <c r="R192">
        <f t="shared" si="27"/>
        <v>1.0210937499999999</v>
      </c>
      <c r="S192">
        <f t="shared" si="21"/>
        <v>0.91898437499999996</v>
      </c>
      <c r="T192" s="24">
        <f t="shared" si="22"/>
        <v>8.8810156249999999</v>
      </c>
      <c r="U192" s="24">
        <f t="shared" si="26"/>
        <v>122.1</v>
      </c>
      <c r="V192" s="27" t="s">
        <v>57</v>
      </c>
      <c r="W192">
        <v>222.2</v>
      </c>
      <c r="Y192">
        <f t="shared" si="25"/>
        <v>88404.099999999977</v>
      </c>
      <c r="Z192">
        <f t="shared" si="29"/>
        <v>1981.4000000000003</v>
      </c>
      <c r="AA192">
        <v>9.5049798430933237</v>
      </c>
    </row>
    <row r="193" spans="1:29" x14ac:dyDescent="0.25">
      <c r="A193">
        <v>5560</v>
      </c>
      <c r="B193">
        <v>22250</v>
      </c>
      <c r="C193" s="1">
        <v>42771</v>
      </c>
      <c r="F193" s="50"/>
      <c r="G193">
        <v>8.1999999999999993</v>
      </c>
      <c r="H193">
        <v>5.6</v>
      </c>
      <c r="I193">
        <v>10.3</v>
      </c>
      <c r="J193">
        <f t="shared" si="23"/>
        <v>1229.6000000000001</v>
      </c>
      <c r="K193">
        <f t="shared" si="28"/>
        <v>77.099999999999994</v>
      </c>
      <c r="L193" s="12">
        <v>0</v>
      </c>
      <c r="M193">
        <v>2.2999999999999998</v>
      </c>
      <c r="N193">
        <v>0.7</v>
      </c>
      <c r="O193">
        <f t="shared" si="20"/>
        <v>1.5999999999999999</v>
      </c>
      <c r="P193">
        <f t="shared" si="24"/>
        <v>111.50000000000003</v>
      </c>
      <c r="Q193">
        <v>154</v>
      </c>
      <c r="R193">
        <f t="shared" si="27"/>
        <v>1.0234375</v>
      </c>
      <c r="S193">
        <f t="shared" si="21"/>
        <v>0.71640624999999991</v>
      </c>
      <c r="T193" s="24">
        <f t="shared" si="22"/>
        <v>1.5835937499999999</v>
      </c>
      <c r="U193" s="24">
        <f t="shared" si="26"/>
        <v>122.1</v>
      </c>
      <c r="V193" s="24">
        <f>AVERAGE(U184:U247)</f>
        <v>118.20222719602951</v>
      </c>
      <c r="W193">
        <v>315.7</v>
      </c>
      <c r="Y193">
        <f t="shared" si="25"/>
        <v>88719.799999999974</v>
      </c>
      <c r="Z193">
        <f t="shared" si="29"/>
        <v>2297.1000000000004</v>
      </c>
      <c r="AA193">
        <v>9.5518280482843902</v>
      </c>
    </row>
    <row r="194" spans="1:29" x14ac:dyDescent="0.25">
      <c r="A194">
        <v>5560</v>
      </c>
      <c r="B194">
        <v>22250</v>
      </c>
      <c r="C194" s="1">
        <v>42772</v>
      </c>
      <c r="F194" s="50"/>
      <c r="G194">
        <v>6</v>
      </c>
      <c r="H194">
        <v>4.2</v>
      </c>
      <c r="I194">
        <v>7.9</v>
      </c>
      <c r="J194">
        <f t="shared" si="23"/>
        <v>1235.6000000000001</v>
      </c>
      <c r="K194">
        <f t="shared" si="28"/>
        <v>83.1</v>
      </c>
      <c r="L194" s="15" t="s">
        <v>43</v>
      </c>
      <c r="M194">
        <v>6.7</v>
      </c>
      <c r="N194">
        <v>0.7</v>
      </c>
      <c r="O194">
        <f t="shared" si="20"/>
        <v>6</v>
      </c>
      <c r="P194">
        <f t="shared" si="24"/>
        <v>117.50000000000003</v>
      </c>
      <c r="Q194">
        <v>155</v>
      </c>
      <c r="R194">
        <f t="shared" si="27"/>
        <v>1.0257812500000001</v>
      </c>
      <c r="S194">
        <f t="shared" si="21"/>
        <v>0.71804687499999997</v>
      </c>
      <c r="T194" s="24">
        <f t="shared" si="22"/>
        <v>5.9819531250000004</v>
      </c>
      <c r="U194" s="24">
        <f t="shared" si="26"/>
        <v>122.1</v>
      </c>
      <c r="W194">
        <v>450.7</v>
      </c>
      <c r="Y194">
        <f t="shared" si="25"/>
        <v>89170.499999999971</v>
      </c>
      <c r="Z194">
        <f t="shared" si="29"/>
        <v>2747.8</v>
      </c>
      <c r="AA194">
        <v>9.5992341062865396</v>
      </c>
    </row>
    <row r="195" spans="1:29" x14ac:dyDescent="0.25">
      <c r="A195">
        <v>5560</v>
      </c>
      <c r="B195">
        <v>22250</v>
      </c>
      <c r="C195" s="1">
        <v>42773</v>
      </c>
      <c r="F195" s="50"/>
      <c r="G195">
        <v>7.5</v>
      </c>
      <c r="H195">
        <v>5.3</v>
      </c>
      <c r="I195">
        <v>11.3</v>
      </c>
      <c r="J195">
        <f t="shared" si="23"/>
        <v>1243.1000000000001</v>
      </c>
      <c r="K195">
        <f t="shared" si="28"/>
        <v>90.6</v>
      </c>
      <c r="L195" s="12">
        <v>21</v>
      </c>
      <c r="M195">
        <v>0.1</v>
      </c>
      <c r="N195">
        <v>0.9</v>
      </c>
      <c r="O195">
        <f t="shared" si="20"/>
        <v>-0.8</v>
      </c>
      <c r="P195">
        <f t="shared" si="24"/>
        <v>116.70000000000003</v>
      </c>
      <c r="Q195">
        <v>156</v>
      </c>
      <c r="R195">
        <f t="shared" si="27"/>
        <v>1.028125</v>
      </c>
      <c r="S195">
        <f t="shared" si="21"/>
        <v>0.92531249999999998</v>
      </c>
      <c r="T195" s="24">
        <f t="shared" si="22"/>
        <v>-0.8253125</v>
      </c>
      <c r="U195" s="24">
        <f t="shared" si="26"/>
        <v>121.2746875</v>
      </c>
      <c r="V195" s="43">
        <f>(V193*100)/122.1</f>
        <v>96.807720881269049</v>
      </c>
      <c r="W195">
        <v>720.6</v>
      </c>
      <c r="Y195">
        <f t="shared" si="25"/>
        <v>89891.099999999977</v>
      </c>
      <c r="Z195">
        <f t="shared" si="29"/>
        <v>3468.4</v>
      </c>
      <c r="AA195">
        <v>9.6471785382300421</v>
      </c>
    </row>
    <row r="196" spans="1:29" x14ac:dyDescent="0.25">
      <c r="A196">
        <v>5560</v>
      </c>
      <c r="B196">
        <v>22250</v>
      </c>
      <c r="C196" s="1">
        <v>42774</v>
      </c>
      <c r="F196" s="50"/>
      <c r="G196">
        <v>4.4000000000000004</v>
      </c>
      <c r="H196">
        <v>3.8</v>
      </c>
      <c r="I196">
        <v>7</v>
      </c>
      <c r="J196">
        <f t="shared" si="23"/>
        <v>1247.5000000000002</v>
      </c>
      <c r="K196">
        <f t="shared" si="28"/>
        <v>95</v>
      </c>
      <c r="L196" s="15" t="s">
        <v>44</v>
      </c>
      <c r="M196">
        <v>0.2</v>
      </c>
      <c r="N196">
        <v>0.4</v>
      </c>
      <c r="O196">
        <f t="shared" si="20"/>
        <v>-0.2</v>
      </c>
      <c r="P196">
        <f t="shared" si="24"/>
        <v>116.50000000000003</v>
      </c>
      <c r="Q196">
        <v>157</v>
      </c>
      <c r="R196">
        <f t="shared" si="27"/>
        <v>1.03046875</v>
      </c>
      <c r="S196">
        <f t="shared" si="21"/>
        <v>0.41218750000000004</v>
      </c>
      <c r="T196" s="24">
        <f t="shared" si="22"/>
        <v>-0.21218750000000003</v>
      </c>
      <c r="U196" s="24">
        <f t="shared" si="26"/>
        <v>121.0625</v>
      </c>
      <c r="W196">
        <v>197.1</v>
      </c>
      <c r="Y196">
        <f t="shared" si="25"/>
        <v>90088.199999999983</v>
      </c>
      <c r="Z196">
        <f t="shared" si="29"/>
        <v>3665.5</v>
      </c>
      <c r="AA196">
        <v>9.6956422112188676</v>
      </c>
    </row>
    <row r="197" spans="1:29" x14ac:dyDescent="0.25">
      <c r="A197">
        <v>5560</v>
      </c>
      <c r="B197">
        <v>22250</v>
      </c>
      <c r="C197" s="1">
        <v>42775</v>
      </c>
      <c r="F197" s="50"/>
      <c r="G197">
        <v>1.1000000000000001</v>
      </c>
      <c r="H197">
        <v>-0.2</v>
      </c>
      <c r="I197">
        <v>3.8</v>
      </c>
      <c r="J197">
        <f t="shared" si="23"/>
        <v>1248.6000000000001</v>
      </c>
      <c r="K197">
        <f t="shared" si="28"/>
        <v>96.1</v>
      </c>
      <c r="L197" s="12">
        <v>5</v>
      </c>
      <c r="M197">
        <v>0</v>
      </c>
      <c r="N197">
        <v>0.2</v>
      </c>
      <c r="O197">
        <f t="shared" si="20"/>
        <v>-0.2</v>
      </c>
      <c r="P197">
        <f t="shared" si="24"/>
        <v>116.30000000000003</v>
      </c>
      <c r="Q197">
        <v>158</v>
      </c>
      <c r="R197">
        <f t="shared" si="27"/>
        <v>1.0328124999999999</v>
      </c>
      <c r="S197">
        <f t="shared" si="21"/>
        <v>0.20656249999999998</v>
      </c>
      <c r="T197" s="24">
        <f t="shared" si="22"/>
        <v>-0.20656249999999998</v>
      </c>
      <c r="U197" s="24">
        <f t="shared" si="26"/>
        <v>120.8559375</v>
      </c>
      <c r="W197">
        <v>225.8</v>
      </c>
      <c r="Y197">
        <f t="shared" si="25"/>
        <v>90313.999999999985</v>
      </c>
      <c r="Z197">
        <f t="shared" si="29"/>
        <v>3891.3</v>
      </c>
      <c r="AA197">
        <v>9.7446063478628151</v>
      </c>
    </row>
    <row r="198" spans="1:29" x14ac:dyDescent="0.25">
      <c r="A198">
        <v>5560</v>
      </c>
      <c r="B198">
        <v>22250</v>
      </c>
      <c r="C198" s="1">
        <v>42776</v>
      </c>
      <c r="F198" s="50"/>
      <c r="G198">
        <v>0.3</v>
      </c>
      <c r="H198">
        <v>-2</v>
      </c>
      <c r="I198">
        <v>2.4</v>
      </c>
      <c r="J198">
        <f t="shared" si="23"/>
        <v>1248.9000000000001</v>
      </c>
      <c r="K198">
        <f t="shared" si="28"/>
        <v>96.399999999999991</v>
      </c>
      <c r="M198" s="61">
        <v>0</v>
      </c>
      <c r="N198">
        <v>0.3</v>
      </c>
      <c r="O198">
        <f t="shared" si="20"/>
        <v>-0.3</v>
      </c>
      <c r="P198">
        <f t="shared" si="24"/>
        <v>116.00000000000003</v>
      </c>
      <c r="Q198">
        <v>159</v>
      </c>
      <c r="R198">
        <f t="shared" si="27"/>
        <v>1.03515625</v>
      </c>
      <c r="S198">
        <f t="shared" si="21"/>
        <v>0.310546875</v>
      </c>
      <c r="T198" s="24">
        <f t="shared" si="22"/>
        <v>-0.310546875</v>
      </c>
      <c r="U198" s="24">
        <f t="shared" si="26"/>
        <v>120.545390625</v>
      </c>
      <c r="W198">
        <v>310.39999999999998</v>
      </c>
      <c r="Y198">
        <f t="shared" si="25"/>
        <v>90624.39999999998</v>
      </c>
      <c r="Z198">
        <f t="shared" si="29"/>
        <v>4201.7</v>
      </c>
      <c r="AA198">
        <v>9.7940525342806488</v>
      </c>
      <c r="AC198" s="3" t="s">
        <v>64</v>
      </c>
    </row>
    <row r="199" spans="1:29" x14ac:dyDescent="0.25">
      <c r="A199">
        <v>5560</v>
      </c>
      <c r="B199">
        <v>22250</v>
      </c>
      <c r="C199" s="1">
        <v>42777</v>
      </c>
      <c r="F199" s="50"/>
      <c r="G199">
        <v>0.1</v>
      </c>
      <c r="H199">
        <v>-2</v>
      </c>
      <c r="I199">
        <v>2.1</v>
      </c>
      <c r="J199">
        <f t="shared" si="23"/>
        <v>1249</v>
      </c>
      <c r="K199">
        <f t="shared" si="28"/>
        <v>96.499999999999986</v>
      </c>
      <c r="M199" s="61">
        <v>5.2</v>
      </c>
      <c r="N199">
        <v>0.6</v>
      </c>
      <c r="O199">
        <f t="shared" si="20"/>
        <v>4.6000000000000005</v>
      </c>
      <c r="P199">
        <f t="shared" si="24"/>
        <v>120.60000000000002</v>
      </c>
      <c r="Q199">
        <v>160</v>
      </c>
      <c r="R199">
        <f t="shared" si="27"/>
        <v>1.0375000000000001</v>
      </c>
      <c r="S199">
        <f t="shared" si="21"/>
        <v>0.62250000000000005</v>
      </c>
      <c r="T199" s="24">
        <f t="shared" si="22"/>
        <v>4.5775000000000006</v>
      </c>
      <c r="U199" s="24">
        <f t="shared" si="26"/>
        <v>122.1</v>
      </c>
      <c r="W199">
        <v>662.8</v>
      </c>
      <c r="Y199">
        <f t="shared" si="25"/>
        <v>91287.199999999983</v>
      </c>
      <c r="Z199">
        <f t="shared" si="29"/>
        <v>4864.5</v>
      </c>
      <c r="AA199">
        <v>9.8439627266321956</v>
      </c>
      <c r="AC199" s="24">
        <f>AVERAGE(U205:U218)</f>
        <v>118.34921316964282</v>
      </c>
    </row>
    <row r="200" spans="1:29" x14ac:dyDescent="0.25">
      <c r="A200">
        <v>5560</v>
      </c>
      <c r="B200">
        <v>22250</v>
      </c>
      <c r="C200" s="1">
        <v>42778</v>
      </c>
      <c r="F200" s="50"/>
      <c r="G200">
        <v>5.5</v>
      </c>
      <c r="H200">
        <v>0.1</v>
      </c>
      <c r="I200">
        <v>9.5</v>
      </c>
      <c r="J200">
        <f t="shared" si="23"/>
        <v>1254.5</v>
      </c>
      <c r="K200">
        <f t="shared" si="28"/>
        <v>101.99999999999999</v>
      </c>
      <c r="M200" s="61">
        <v>2.2000000000000002</v>
      </c>
      <c r="N200">
        <v>0.3</v>
      </c>
      <c r="O200">
        <f t="shared" si="20"/>
        <v>1.9000000000000001</v>
      </c>
      <c r="P200">
        <f t="shared" si="24"/>
        <v>122.50000000000003</v>
      </c>
      <c r="Q200">
        <v>161</v>
      </c>
      <c r="R200">
        <f t="shared" si="27"/>
        <v>1.03984375</v>
      </c>
      <c r="S200">
        <f t="shared" si="21"/>
        <v>0.311953125</v>
      </c>
      <c r="T200" s="24">
        <f t="shared" si="22"/>
        <v>1.8880468750000001</v>
      </c>
      <c r="U200" s="24">
        <f t="shared" si="26"/>
        <v>122.1</v>
      </c>
      <c r="W200">
        <v>325.3</v>
      </c>
      <c r="Y200">
        <f t="shared" si="25"/>
        <v>91612.499999999985</v>
      </c>
      <c r="Z200">
        <f t="shared" si="29"/>
        <v>5189.8</v>
      </c>
      <c r="AA200">
        <v>9.8943192562389726</v>
      </c>
      <c r="AC200" s="3" t="s">
        <v>65</v>
      </c>
    </row>
    <row r="201" spans="1:29" x14ac:dyDescent="0.25">
      <c r="A201">
        <v>5560</v>
      </c>
      <c r="B201">
        <v>22250</v>
      </c>
      <c r="C201" s="1">
        <v>42779</v>
      </c>
      <c r="F201" s="50"/>
      <c r="G201">
        <v>10.3</v>
      </c>
      <c r="H201">
        <v>7.2</v>
      </c>
      <c r="I201">
        <v>12.8</v>
      </c>
      <c r="J201">
        <f t="shared" si="23"/>
        <v>1264.8</v>
      </c>
      <c r="K201">
        <f t="shared" si="28"/>
        <v>112.29999999999998</v>
      </c>
      <c r="M201" s="61">
        <v>3.8</v>
      </c>
      <c r="N201">
        <v>1.6</v>
      </c>
      <c r="O201">
        <f t="shared" si="20"/>
        <v>2.1999999999999997</v>
      </c>
      <c r="P201">
        <f t="shared" si="24"/>
        <v>124.70000000000003</v>
      </c>
      <c r="Q201">
        <v>162</v>
      </c>
      <c r="R201">
        <f t="shared" si="27"/>
        <v>1.0421875</v>
      </c>
      <c r="S201">
        <f t="shared" si="21"/>
        <v>1.6675000000000002</v>
      </c>
      <c r="T201" s="24">
        <f t="shared" si="22"/>
        <v>2.1324999999999994</v>
      </c>
      <c r="U201" s="24">
        <f t="shared" si="26"/>
        <v>122.1</v>
      </c>
      <c r="W201">
        <v>232.4</v>
      </c>
      <c r="Y201">
        <f t="shared" si="25"/>
        <v>91844.89999999998</v>
      </c>
      <c r="Z201">
        <f t="shared" si="29"/>
        <v>5422.2</v>
      </c>
      <c r="AA201">
        <v>9.9451048333538612</v>
      </c>
      <c r="AC201">
        <v>3</v>
      </c>
    </row>
    <row r="202" spans="1:29" x14ac:dyDescent="0.25">
      <c r="A202">
        <v>5560</v>
      </c>
      <c r="B202">
        <v>22250</v>
      </c>
      <c r="C202" s="1">
        <v>42780</v>
      </c>
      <c r="F202" s="50"/>
      <c r="G202">
        <v>11.1</v>
      </c>
      <c r="H202">
        <v>8.1</v>
      </c>
      <c r="I202">
        <v>14.3</v>
      </c>
      <c r="J202">
        <f t="shared" si="23"/>
        <v>1275.8999999999999</v>
      </c>
      <c r="K202">
        <f t="shared" si="28"/>
        <v>123.39999999999998</v>
      </c>
      <c r="M202" s="61">
        <v>0.5</v>
      </c>
      <c r="N202">
        <v>1.2</v>
      </c>
      <c r="O202">
        <f t="shared" si="20"/>
        <v>-0.7</v>
      </c>
      <c r="P202">
        <f t="shared" si="24"/>
        <v>124.00000000000003</v>
      </c>
      <c r="Q202">
        <v>163</v>
      </c>
      <c r="R202">
        <f t="shared" si="27"/>
        <v>1.0445312499999999</v>
      </c>
      <c r="S202">
        <f t="shared" si="21"/>
        <v>1.2534374999999998</v>
      </c>
      <c r="T202" s="24">
        <f t="shared" si="22"/>
        <v>-0.75343749999999976</v>
      </c>
      <c r="U202" s="24">
        <f t="shared" si="26"/>
        <v>121.34656249999999</v>
      </c>
      <c r="W202">
        <v>624.6</v>
      </c>
      <c r="Y202">
        <f t="shared" si="25"/>
        <v>92469.499999999985</v>
      </c>
      <c r="Z202">
        <f t="shared" si="29"/>
        <v>6046.8</v>
      </c>
      <c r="AA202">
        <v>9.9963025496410101</v>
      </c>
      <c r="AC202" s="3" t="s">
        <v>66</v>
      </c>
    </row>
    <row r="203" spans="1:29" x14ac:dyDescent="0.25">
      <c r="A203">
        <v>5560</v>
      </c>
      <c r="B203">
        <v>22250</v>
      </c>
      <c r="C203" s="1">
        <v>42781</v>
      </c>
      <c r="F203" s="50"/>
      <c r="G203">
        <v>10.3</v>
      </c>
      <c r="H203">
        <v>5.7</v>
      </c>
      <c r="I203">
        <v>16.7</v>
      </c>
      <c r="J203">
        <f t="shared" si="23"/>
        <v>1286.1999999999998</v>
      </c>
      <c r="K203">
        <f t="shared" si="28"/>
        <v>133.69999999999999</v>
      </c>
      <c r="M203" s="61">
        <v>0</v>
      </c>
      <c r="N203">
        <v>1.5</v>
      </c>
      <c r="O203">
        <f t="shared" si="20"/>
        <v>-1.5</v>
      </c>
      <c r="P203">
        <f t="shared" si="24"/>
        <v>122.50000000000003</v>
      </c>
      <c r="Q203">
        <v>164</v>
      </c>
      <c r="R203">
        <f t="shared" si="27"/>
        <v>1.046875</v>
      </c>
      <c r="S203">
        <f t="shared" si="21"/>
        <v>1.5703125</v>
      </c>
      <c r="T203" s="24">
        <f t="shared" si="22"/>
        <v>-1.5703125</v>
      </c>
      <c r="U203" s="24">
        <f t="shared" si="26"/>
        <v>119.77624999999999</v>
      </c>
      <c r="W203">
        <v>1049</v>
      </c>
      <c r="Y203">
        <f t="shared" si="25"/>
        <v>93518.499999999985</v>
      </c>
      <c r="Z203">
        <f t="shared" si="29"/>
        <v>7095.8</v>
      </c>
      <c r="AA203">
        <v>10.047895879427223</v>
      </c>
      <c r="AC203">
        <v>5</v>
      </c>
    </row>
    <row r="204" spans="1:29" x14ac:dyDescent="0.25">
      <c r="A204">
        <v>5560</v>
      </c>
      <c r="B204">
        <v>22250</v>
      </c>
      <c r="C204" s="1">
        <v>42782</v>
      </c>
      <c r="F204" s="50"/>
      <c r="G204">
        <v>9.1999999999999993</v>
      </c>
      <c r="H204">
        <v>5.8</v>
      </c>
      <c r="I204">
        <v>12.9</v>
      </c>
      <c r="J204">
        <f t="shared" si="23"/>
        <v>1295.3999999999999</v>
      </c>
      <c r="K204">
        <f t="shared" si="28"/>
        <v>142.89999999999998</v>
      </c>
      <c r="M204" s="61">
        <v>0.2</v>
      </c>
      <c r="N204">
        <v>0.4</v>
      </c>
      <c r="O204">
        <f t="shared" si="20"/>
        <v>-0.2</v>
      </c>
      <c r="P204">
        <f t="shared" si="24"/>
        <v>122.30000000000003</v>
      </c>
      <c r="Q204">
        <v>165</v>
      </c>
      <c r="R204">
        <f t="shared" si="27"/>
        <v>1.0492187499999999</v>
      </c>
      <c r="S204">
        <f t="shared" si="21"/>
        <v>0.41968749999999999</v>
      </c>
      <c r="T204" s="24">
        <f t="shared" si="22"/>
        <v>-0.21968749999999998</v>
      </c>
      <c r="U204" s="24">
        <f t="shared" si="26"/>
        <v>119.55656249999998</v>
      </c>
      <c r="W204">
        <v>327.39999999999998</v>
      </c>
      <c r="Y204">
        <f t="shared" si="25"/>
        <v>93845.89999999998</v>
      </c>
      <c r="Z204">
        <f t="shared" si="29"/>
        <v>7423.2</v>
      </c>
      <c r="AA204">
        <v>10.099868679785944</v>
      </c>
      <c r="AC204" s="3" t="s">
        <v>67</v>
      </c>
    </row>
    <row r="205" spans="1:29" x14ac:dyDescent="0.25">
      <c r="A205">
        <v>5560</v>
      </c>
      <c r="B205">
        <v>22250</v>
      </c>
      <c r="C205" s="1">
        <v>42783</v>
      </c>
      <c r="F205" s="50"/>
      <c r="G205">
        <v>6.6</v>
      </c>
      <c r="H205">
        <v>5.4</v>
      </c>
      <c r="I205">
        <v>8.1999999999999993</v>
      </c>
      <c r="J205">
        <f t="shared" si="23"/>
        <v>1301.9999999999998</v>
      </c>
      <c r="K205">
        <f t="shared" si="28"/>
        <v>149.49999999999997</v>
      </c>
      <c r="M205" s="61">
        <v>0</v>
      </c>
      <c r="N205">
        <v>0.3</v>
      </c>
      <c r="O205">
        <f t="shared" si="20"/>
        <v>-0.3</v>
      </c>
      <c r="P205">
        <f t="shared" si="24"/>
        <v>122.00000000000003</v>
      </c>
      <c r="Q205">
        <v>166</v>
      </c>
      <c r="R205">
        <f t="shared" si="27"/>
        <v>1.0515625</v>
      </c>
      <c r="S205">
        <f t="shared" si="21"/>
        <v>0.31546874999999996</v>
      </c>
      <c r="T205" s="24">
        <f t="shared" si="22"/>
        <v>-0.31546874999999996</v>
      </c>
      <c r="U205" s="62">
        <f t="shared" si="26"/>
        <v>119.24109374999999</v>
      </c>
      <c r="W205">
        <v>308.8</v>
      </c>
      <c r="Y205">
        <f t="shared" si="25"/>
        <v>94154.699999999983</v>
      </c>
      <c r="Z205">
        <f t="shared" si="29"/>
        <v>7732</v>
      </c>
      <c r="AA205">
        <v>10.15220518951439</v>
      </c>
      <c r="AC205">
        <v>2</v>
      </c>
    </row>
    <row r="206" spans="1:29" x14ac:dyDescent="0.25">
      <c r="A206">
        <v>5560</v>
      </c>
      <c r="B206">
        <v>22250</v>
      </c>
      <c r="C206" s="1">
        <v>42784</v>
      </c>
      <c r="F206" s="50"/>
      <c r="G206">
        <v>5.7</v>
      </c>
      <c r="H206">
        <v>1.5</v>
      </c>
      <c r="I206">
        <v>11.1</v>
      </c>
      <c r="J206">
        <f t="shared" si="23"/>
        <v>1307.6999999999998</v>
      </c>
      <c r="K206">
        <f t="shared" si="28"/>
        <v>155.19999999999996</v>
      </c>
      <c r="M206" s="61">
        <v>0</v>
      </c>
      <c r="N206">
        <v>1.5</v>
      </c>
      <c r="O206">
        <f t="shared" si="20"/>
        <v>-1.5</v>
      </c>
      <c r="P206">
        <f t="shared" si="24"/>
        <v>120.50000000000003</v>
      </c>
      <c r="Q206">
        <v>167</v>
      </c>
      <c r="R206">
        <f t="shared" si="27"/>
        <v>1.05390625</v>
      </c>
      <c r="S206">
        <f t="shared" si="21"/>
        <v>1.5808593750000002</v>
      </c>
      <c r="T206" s="24">
        <f t="shared" si="22"/>
        <v>-1.5808593750000002</v>
      </c>
      <c r="U206" s="62">
        <f t="shared" si="26"/>
        <v>117.66023437499999</v>
      </c>
      <c r="W206">
        <v>1278.3</v>
      </c>
      <c r="Y206">
        <f t="shared" si="25"/>
        <v>95432.999999999985</v>
      </c>
      <c r="Z206">
        <f t="shared" si="29"/>
        <v>9010.2999999999993</v>
      </c>
      <c r="AA206">
        <v>10.204890027063575</v>
      </c>
      <c r="AC206" s="3" t="s">
        <v>68</v>
      </c>
    </row>
    <row r="207" spans="1:29" x14ac:dyDescent="0.25">
      <c r="A207">
        <v>5560</v>
      </c>
      <c r="B207">
        <v>22250</v>
      </c>
      <c r="C207" s="1">
        <v>42785</v>
      </c>
      <c r="F207" s="50"/>
      <c r="G207">
        <v>4.9000000000000004</v>
      </c>
      <c r="H207">
        <v>-1.5</v>
      </c>
      <c r="I207">
        <v>12</v>
      </c>
      <c r="J207">
        <f t="shared" si="23"/>
        <v>1312.6</v>
      </c>
      <c r="K207">
        <f t="shared" si="28"/>
        <v>160.09999999999997</v>
      </c>
      <c r="M207" s="61">
        <v>0</v>
      </c>
      <c r="N207">
        <v>0.9</v>
      </c>
      <c r="O207">
        <f t="shared" si="20"/>
        <v>-0.9</v>
      </c>
      <c r="P207">
        <f t="shared" si="24"/>
        <v>119.60000000000002</v>
      </c>
      <c r="Q207">
        <v>168</v>
      </c>
      <c r="R207">
        <f t="shared" si="27"/>
        <v>1.0562499999999999</v>
      </c>
      <c r="S207">
        <f t="shared" si="21"/>
        <v>0.95062499999999994</v>
      </c>
      <c r="T207" s="24">
        <f t="shared" si="22"/>
        <v>-0.95062499999999994</v>
      </c>
      <c r="U207" s="62">
        <f t="shared" si="26"/>
        <v>116.70960937499999</v>
      </c>
      <c r="W207">
        <v>858.7</v>
      </c>
      <c r="Y207">
        <f t="shared" si="25"/>
        <v>96291.699999999983</v>
      </c>
      <c r="Z207">
        <f t="shared" si="29"/>
        <v>9869</v>
      </c>
      <c r="AA207">
        <v>10.257908187479821</v>
      </c>
      <c r="AC207">
        <f>SUM(M209:M218)</f>
        <v>26.9</v>
      </c>
    </row>
    <row r="208" spans="1:29" s="57" customFormat="1" x14ac:dyDescent="0.25">
      <c r="A208" s="57">
        <v>5560</v>
      </c>
      <c r="B208" s="57">
        <v>22250</v>
      </c>
      <c r="C208" s="58">
        <v>42786</v>
      </c>
      <c r="D208" s="57" t="s">
        <v>63</v>
      </c>
      <c r="F208" s="50"/>
      <c r="G208" s="57">
        <v>6.3</v>
      </c>
      <c r="H208" s="57">
        <v>1.1000000000000001</v>
      </c>
      <c r="I208" s="57">
        <v>9.6</v>
      </c>
      <c r="J208" s="57">
        <f t="shared" si="23"/>
        <v>1318.8999999999999</v>
      </c>
      <c r="K208" s="57">
        <f t="shared" si="28"/>
        <v>166.39999999999998</v>
      </c>
      <c r="L208" s="59"/>
      <c r="M208" s="57">
        <v>1.4</v>
      </c>
      <c r="N208" s="57">
        <v>0.1</v>
      </c>
      <c r="O208" s="57">
        <f t="shared" si="20"/>
        <v>1.2999999999999998</v>
      </c>
      <c r="P208" s="57">
        <f t="shared" si="24"/>
        <v>120.90000000000002</v>
      </c>
      <c r="Q208" s="57">
        <v>169</v>
      </c>
      <c r="R208" s="57">
        <f t="shared" si="27"/>
        <v>1.05859375</v>
      </c>
      <c r="S208" s="57">
        <f t="shared" si="21"/>
        <v>0.10585937500000001</v>
      </c>
      <c r="T208" s="60">
        <f t="shared" si="22"/>
        <v>1.2941406249999998</v>
      </c>
      <c r="U208" s="60">
        <f t="shared" si="26"/>
        <v>118.00374999999998</v>
      </c>
      <c r="W208" s="57">
        <v>218</v>
      </c>
      <c r="Y208" s="57">
        <f t="shared" si="25"/>
        <v>96509.699999999983</v>
      </c>
      <c r="Z208" s="57">
        <f t="shared" si="29"/>
        <v>10087</v>
      </c>
      <c r="AA208" s="57">
        <v>10.311245038415144</v>
      </c>
    </row>
    <row r="209" spans="1:31" x14ac:dyDescent="0.25">
      <c r="A209">
        <v>5560</v>
      </c>
      <c r="B209">
        <v>22250</v>
      </c>
      <c r="C209" s="1">
        <v>42787</v>
      </c>
      <c r="F209" s="50"/>
      <c r="G209">
        <v>10.3</v>
      </c>
      <c r="H209">
        <v>9.1</v>
      </c>
      <c r="I209">
        <v>12.2</v>
      </c>
      <c r="J209">
        <f t="shared" si="23"/>
        <v>1329.1999999999998</v>
      </c>
      <c r="K209">
        <f t="shared" si="28"/>
        <v>176.7</v>
      </c>
      <c r="M209" s="61">
        <v>0.8</v>
      </c>
      <c r="N209">
        <v>0.5</v>
      </c>
      <c r="O209">
        <f t="shared" si="20"/>
        <v>0.30000000000000004</v>
      </c>
      <c r="P209">
        <f t="shared" si="24"/>
        <v>121.20000000000002</v>
      </c>
      <c r="Q209">
        <v>170</v>
      </c>
      <c r="R209">
        <f t="shared" si="27"/>
        <v>1.0609374999999999</v>
      </c>
      <c r="S209">
        <f t="shared" si="21"/>
        <v>0.53046874999999993</v>
      </c>
      <c r="T209" s="24">
        <f t="shared" si="22"/>
        <v>0.26953125000000011</v>
      </c>
      <c r="U209" s="62">
        <f t="shared" si="26"/>
        <v>118.27328124999998</v>
      </c>
      <c r="W209">
        <v>217.2</v>
      </c>
      <c r="Y209">
        <f t="shared" si="25"/>
        <v>96726.89999999998</v>
      </c>
      <c r="Z209">
        <f t="shared" si="29"/>
        <v>10304.200000000001</v>
      </c>
      <c r="AA209">
        <v>10.364886315262305</v>
      </c>
    </row>
    <row r="210" spans="1:31" x14ac:dyDescent="0.25">
      <c r="A210">
        <v>5560</v>
      </c>
      <c r="B210">
        <v>22250</v>
      </c>
      <c r="C210" s="1">
        <v>42788</v>
      </c>
      <c r="F210" s="50"/>
      <c r="G210">
        <v>9</v>
      </c>
      <c r="H210">
        <v>8.1</v>
      </c>
      <c r="I210">
        <v>9.8000000000000007</v>
      </c>
      <c r="J210">
        <f t="shared" si="23"/>
        <v>1338.1999999999998</v>
      </c>
      <c r="K210">
        <f t="shared" si="28"/>
        <v>185.7</v>
      </c>
      <c r="M210" s="61">
        <v>0</v>
      </c>
      <c r="N210">
        <v>0.7</v>
      </c>
      <c r="O210">
        <f t="shared" si="20"/>
        <v>-0.7</v>
      </c>
      <c r="P210">
        <f t="shared" si="24"/>
        <v>120.50000000000001</v>
      </c>
      <c r="Q210">
        <v>171</v>
      </c>
      <c r="R210">
        <f t="shared" si="27"/>
        <v>1.06328125</v>
      </c>
      <c r="S210">
        <f t="shared" si="21"/>
        <v>0.74429687499999997</v>
      </c>
      <c r="T210" s="24">
        <f t="shared" si="22"/>
        <v>-0.74429687499999997</v>
      </c>
      <c r="U210" s="62">
        <f t="shared" si="26"/>
        <v>117.52898437499998</v>
      </c>
      <c r="W210">
        <v>188.8</v>
      </c>
      <c r="Y210">
        <f t="shared" si="25"/>
        <v>96915.699999999983</v>
      </c>
      <c r="Z210">
        <f t="shared" si="29"/>
        <v>10493</v>
      </c>
      <c r="AA210">
        <v>10.418818115468751</v>
      </c>
    </row>
    <row r="211" spans="1:31" x14ac:dyDescent="0.25">
      <c r="A211">
        <v>5560</v>
      </c>
      <c r="B211">
        <v>22250</v>
      </c>
      <c r="C211" s="1">
        <v>42789</v>
      </c>
      <c r="F211" s="50"/>
      <c r="G211">
        <v>8.1999999999999993</v>
      </c>
      <c r="H211">
        <v>7.3</v>
      </c>
      <c r="I211">
        <v>9.3000000000000007</v>
      </c>
      <c r="J211">
        <f t="shared" si="23"/>
        <v>1346.3999999999999</v>
      </c>
      <c r="K211">
        <f t="shared" si="28"/>
        <v>193.89999999999998</v>
      </c>
      <c r="M211" s="61">
        <v>0.7</v>
      </c>
      <c r="N211">
        <v>0.6</v>
      </c>
      <c r="O211">
        <f t="shared" si="20"/>
        <v>9.9999999999999978E-2</v>
      </c>
      <c r="P211">
        <f t="shared" si="24"/>
        <v>120.60000000000001</v>
      </c>
      <c r="Q211">
        <v>172</v>
      </c>
      <c r="R211">
        <f t="shared" si="27"/>
        <v>1.065625</v>
      </c>
      <c r="S211">
        <f t="shared" si="21"/>
        <v>0.63937500000000003</v>
      </c>
      <c r="T211" s="24">
        <f t="shared" si="22"/>
        <v>6.0624999999999929E-2</v>
      </c>
      <c r="U211" s="62">
        <f t="shared" si="26"/>
        <v>117.58960937499998</v>
      </c>
      <c r="W211">
        <v>278.39999999999998</v>
      </c>
      <c r="Y211">
        <f t="shared" si="25"/>
        <v>97194.099999999977</v>
      </c>
      <c r="Z211">
        <f t="shared" si="29"/>
        <v>10771.4</v>
      </c>
      <c r="AA211">
        <v>10.473026892081823</v>
      </c>
    </row>
    <row r="212" spans="1:31" x14ac:dyDescent="0.25">
      <c r="A212">
        <v>5560</v>
      </c>
      <c r="B212">
        <v>22250</v>
      </c>
      <c r="C212" s="1">
        <v>42790</v>
      </c>
      <c r="F212" s="50"/>
      <c r="G212">
        <v>4.7</v>
      </c>
      <c r="H212">
        <v>2.1</v>
      </c>
      <c r="I212">
        <v>8.4</v>
      </c>
      <c r="J212">
        <f t="shared" si="23"/>
        <v>1351.1</v>
      </c>
      <c r="K212">
        <f t="shared" si="28"/>
        <v>198.59999999999997</v>
      </c>
      <c r="M212" s="61">
        <v>0</v>
      </c>
      <c r="N212">
        <v>0.8</v>
      </c>
      <c r="O212">
        <f t="shared" si="20"/>
        <v>-0.8</v>
      </c>
      <c r="P212">
        <f t="shared" si="24"/>
        <v>119.80000000000001</v>
      </c>
      <c r="Q212">
        <v>173</v>
      </c>
      <c r="R212">
        <f t="shared" si="27"/>
        <v>1.0679687499999999</v>
      </c>
      <c r="S212">
        <f t="shared" si="21"/>
        <v>0.854375</v>
      </c>
      <c r="T212" s="24">
        <f t="shared" si="22"/>
        <v>-0.854375</v>
      </c>
      <c r="U212" s="62">
        <f t="shared" si="26"/>
        <v>116.73523437499998</v>
      </c>
      <c r="W212">
        <v>717</v>
      </c>
      <c r="Y212">
        <f t="shared" si="25"/>
        <v>97911.099999999977</v>
      </c>
      <c r="Z212">
        <f t="shared" si="29"/>
        <v>11488.4</v>
      </c>
      <c r="AA212">
        <v>10.527499446575723</v>
      </c>
      <c r="AE212" s="3" t="s">
        <v>64</v>
      </c>
    </row>
    <row r="213" spans="1:31" x14ac:dyDescent="0.25">
      <c r="A213">
        <v>5560</v>
      </c>
      <c r="B213">
        <v>22250</v>
      </c>
      <c r="C213" s="1">
        <v>42791</v>
      </c>
      <c r="F213" s="50"/>
      <c r="G213">
        <v>4.2</v>
      </c>
      <c r="H213">
        <v>-2.1</v>
      </c>
      <c r="I213">
        <v>10.3</v>
      </c>
      <c r="J213">
        <f t="shared" si="23"/>
        <v>1355.3</v>
      </c>
      <c r="K213">
        <f t="shared" si="28"/>
        <v>202.79999999999995</v>
      </c>
      <c r="M213" s="61">
        <v>0</v>
      </c>
      <c r="N213">
        <v>1.2</v>
      </c>
      <c r="O213">
        <f t="shared" si="20"/>
        <v>-1.2</v>
      </c>
      <c r="P213">
        <f t="shared" si="24"/>
        <v>118.60000000000001</v>
      </c>
      <c r="Q213">
        <v>174</v>
      </c>
      <c r="R213">
        <f t="shared" si="27"/>
        <v>1.0703125</v>
      </c>
      <c r="S213">
        <f t="shared" si="21"/>
        <v>1.284375</v>
      </c>
      <c r="T213" s="24">
        <f t="shared" si="22"/>
        <v>-1.284375</v>
      </c>
      <c r="U213" s="62">
        <f t="shared" si="26"/>
        <v>115.45085937499998</v>
      </c>
      <c r="W213">
        <v>1235.3</v>
      </c>
      <c r="Y213">
        <f t="shared" si="25"/>
        <v>99146.39999999998</v>
      </c>
      <c r="Z213">
        <f t="shared" si="29"/>
        <v>12723.699999999999</v>
      </c>
      <c r="AA213">
        <v>10.582222921008835</v>
      </c>
      <c r="AE213" s="24">
        <f>(AC199*(50/100))+(AC223*(50/100))</f>
        <v>116.61989118303569</v>
      </c>
    </row>
    <row r="214" spans="1:31" x14ac:dyDescent="0.25">
      <c r="A214">
        <v>5560</v>
      </c>
      <c r="B214">
        <v>22250</v>
      </c>
      <c r="C214" s="1">
        <v>42792</v>
      </c>
      <c r="F214" s="50"/>
      <c r="G214">
        <v>8.4</v>
      </c>
      <c r="H214">
        <v>3.2</v>
      </c>
      <c r="I214">
        <v>11.1</v>
      </c>
      <c r="J214">
        <f t="shared" si="23"/>
        <v>1363.7</v>
      </c>
      <c r="K214">
        <f t="shared" si="28"/>
        <v>211.19999999999996</v>
      </c>
      <c r="M214" s="61">
        <v>0</v>
      </c>
      <c r="N214">
        <v>0.5</v>
      </c>
      <c r="O214">
        <f t="shared" si="20"/>
        <v>-0.5</v>
      </c>
      <c r="P214">
        <f t="shared" si="24"/>
        <v>118.10000000000001</v>
      </c>
      <c r="Q214">
        <v>175</v>
      </c>
      <c r="R214">
        <f t="shared" si="27"/>
        <v>1.0726562499999999</v>
      </c>
      <c r="S214">
        <f t="shared" si="21"/>
        <v>0.53632812499999993</v>
      </c>
      <c r="T214" s="24">
        <f t="shared" si="22"/>
        <v>-0.53632812499999993</v>
      </c>
      <c r="U214" s="62">
        <f t="shared" si="26"/>
        <v>114.91453124999998</v>
      </c>
      <c r="W214">
        <v>198.9</v>
      </c>
      <c r="Y214">
        <f t="shared" si="25"/>
        <v>99345.299999999974</v>
      </c>
      <c r="Z214">
        <f t="shared" si="29"/>
        <v>12922.599999999999</v>
      </c>
      <c r="AA214">
        <v>10.637184789557864</v>
      </c>
      <c r="AE214" s="3" t="s">
        <v>65</v>
      </c>
    </row>
    <row r="215" spans="1:31" x14ac:dyDescent="0.25">
      <c r="A215">
        <v>5560</v>
      </c>
      <c r="B215">
        <v>22250</v>
      </c>
      <c r="C215" s="1">
        <v>42793</v>
      </c>
      <c r="F215" s="50"/>
      <c r="G215">
        <v>9.8000000000000007</v>
      </c>
      <c r="H215">
        <v>9</v>
      </c>
      <c r="I215">
        <v>13</v>
      </c>
      <c r="J215">
        <f t="shared" si="23"/>
        <v>1373.5</v>
      </c>
      <c r="K215">
        <f t="shared" si="28"/>
        <v>220.99999999999997</v>
      </c>
      <c r="M215" s="61">
        <v>6.8</v>
      </c>
      <c r="N215">
        <v>1.9</v>
      </c>
      <c r="O215">
        <f t="shared" si="20"/>
        <v>4.9000000000000004</v>
      </c>
      <c r="P215">
        <f t="shared" si="24"/>
        <v>123.00000000000001</v>
      </c>
      <c r="Q215">
        <v>176</v>
      </c>
      <c r="R215">
        <f t="shared" si="27"/>
        <v>1.075</v>
      </c>
      <c r="S215">
        <f t="shared" si="21"/>
        <v>2.0425</v>
      </c>
      <c r="T215" s="24">
        <f t="shared" si="22"/>
        <v>4.7575000000000003</v>
      </c>
      <c r="U215" s="62">
        <f t="shared" si="26"/>
        <v>119.67203124999997</v>
      </c>
      <c r="W215">
        <v>365.3</v>
      </c>
      <c r="Y215">
        <f t="shared" si="25"/>
        <v>99710.599999999977</v>
      </c>
      <c r="Z215">
        <f t="shared" si="29"/>
        <v>13287.899999999998</v>
      </c>
      <c r="AA215">
        <v>10.692372849473273</v>
      </c>
      <c r="AE215">
        <f>(AC201*(50/100))+(AC225*(50/100))</f>
        <v>4.5</v>
      </c>
    </row>
    <row r="216" spans="1:31" x14ac:dyDescent="0.25">
      <c r="A216">
        <v>5560</v>
      </c>
      <c r="B216">
        <v>22250</v>
      </c>
      <c r="C216" s="1">
        <v>42794</v>
      </c>
      <c r="F216" s="50"/>
      <c r="G216">
        <v>6.4</v>
      </c>
      <c r="H216">
        <v>5.3</v>
      </c>
      <c r="I216">
        <v>7.4</v>
      </c>
      <c r="J216">
        <f t="shared" si="23"/>
        <v>1379.9</v>
      </c>
      <c r="K216">
        <f t="shared" si="28"/>
        <v>227.39999999999998</v>
      </c>
      <c r="M216" s="61">
        <v>8.1999999999999993</v>
      </c>
      <c r="N216">
        <v>1</v>
      </c>
      <c r="O216">
        <f t="shared" si="20"/>
        <v>7.1999999999999993</v>
      </c>
      <c r="P216">
        <f t="shared" si="24"/>
        <v>130.20000000000002</v>
      </c>
      <c r="Q216">
        <v>177</v>
      </c>
      <c r="R216">
        <f t="shared" si="27"/>
        <v>1.07734375</v>
      </c>
      <c r="S216">
        <f t="shared" si="21"/>
        <v>1.07734375</v>
      </c>
      <c r="T216" s="24">
        <f t="shared" si="22"/>
        <v>7.1226562499999995</v>
      </c>
      <c r="U216" s="62">
        <f t="shared" si="26"/>
        <v>122.1</v>
      </c>
      <c r="W216">
        <v>433.5</v>
      </c>
      <c r="Y216">
        <f t="shared" si="25"/>
        <v>100144.09999999998</v>
      </c>
      <c r="Z216">
        <f t="shared" si="29"/>
        <v>13721.399999999998</v>
      </c>
      <c r="AA216">
        <v>10.747775211498402</v>
      </c>
      <c r="AE216" s="3" t="s">
        <v>66</v>
      </c>
    </row>
    <row r="217" spans="1:31" x14ac:dyDescent="0.25">
      <c r="A217">
        <v>5560</v>
      </c>
      <c r="B217">
        <v>22250</v>
      </c>
      <c r="C217" s="1">
        <v>42795</v>
      </c>
      <c r="F217" s="50"/>
      <c r="G217">
        <v>8.6</v>
      </c>
      <c r="H217">
        <v>6.4</v>
      </c>
      <c r="I217">
        <v>11</v>
      </c>
      <c r="J217">
        <f t="shared" si="23"/>
        <v>1388.5</v>
      </c>
      <c r="K217">
        <f t="shared" si="28"/>
        <v>235.99999999999997</v>
      </c>
      <c r="M217" s="61">
        <v>10.4</v>
      </c>
      <c r="N217">
        <v>0.8</v>
      </c>
      <c r="O217">
        <f t="shared" si="20"/>
        <v>9.6</v>
      </c>
      <c r="P217">
        <f t="shared" si="24"/>
        <v>139.80000000000001</v>
      </c>
      <c r="Q217">
        <v>178</v>
      </c>
      <c r="R217">
        <f t="shared" si="27"/>
        <v>1.0796874999999999</v>
      </c>
      <c r="S217">
        <f t="shared" si="21"/>
        <v>0.86375000000000002</v>
      </c>
      <c r="T217" s="24">
        <f t="shared" si="22"/>
        <v>9.5362500000000008</v>
      </c>
      <c r="U217" s="62">
        <f t="shared" si="26"/>
        <v>122.1</v>
      </c>
      <c r="W217">
        <v>253.7</v>
      </c>
      <c r="Y217">
        <f t="shared" si="25"/>
        <v>100397.79999999997</v>
      </c>
      <c r="Z217">
        <f t="shared" si="29"/>
        <v>13975.099999999999</v>
      </c>
      <c r="AA217">
        <v>10.803380289792498</v>
      </c>
      <c r="AE217">
        <f>(AC203*(50/100))+(AC227*(50/100))</f>
        <v>4.5</v>
      </c>
    </row>
    <row r="218" spans="1:31" x14ac:dyDescent="0.25">
      <c r="A218">
        <v>5560</v>
      </c>
      <c r="B218">
        <v>22250</v>
      </c>
      <c r="C218" s="1">
        <v>42796</v>
      </c>
      <c r="F218" s="50"/>
      <c r="G218">
        <v>7.7</v>
      </c>
      <c r="H218">
        <v>4.2</v>
      </c>
      <c r="I218">
        <v>10.7</v>
      </c>
      <c r="J218">
        <f t="shared" si="23"/>
        <v>1396.2</v>
      </c>
      <c r="K218">
        <f t="shared" si="28"/>
        <v>243.69999999999996</v>
      </c>
      <c r="M218" s="61">
        <v>0</v>
      </c>
      <c r="N218">
        <v>1.1000000000000001</v>
      </c>
      <c r="O218">
        <f t="shared" si="20"/>
        <v>-1.1000000000000001</v>
      </c>
      <c r="P218">
        <f t="shared" si="24"/>
        <v>138.70000000000002</v>
      </c>
      <c r="Q218">
        <v>179</v>
      </c>
      <c r="R218">
        <f t="shared" si="27"/>
        <v>1.08203125</v>
      </c>
      <c r="S218">
        <f t="shared" si="21"/>
        <v>1.1902343750000002</v>
      </c>
      <c r="T218" s="24">
        <f t="shared" si="22"/>
        <v>-1.1902343750000002</v>
      </c>
      <c r="U218" s="62">
        <f t="shared" si="26"/>
        <v>120.90976562499999</v>
      </c>
      <c r="W218">
        <v>1050.5999999999999</v>
      </c>
      <c r="Y218">
        <f t="shared" si="25"/>
        <v>101448.39999999998</v>
      </c>
      <c r="Z218">
        <f t="shared" si="29"/>
        <v>15025.699999999999</v>
      </c>
      <c r="AA218">
        <v>10.859176791395939</v>
      </c>
      <c r="AE218" s="3" t="s">
        <v>67</v>
      </c>
    </row>
    <row r="219" spans="1:31" x14ac:dyDescent="0.25">
      <c r="A219">
        <v>5560</v>
      </c>
      <c r="B219">
        <v>22250</v>
      </c>
      <c r="C219" s="1">
        <v>42797</v>
      </c>
      <c r="F219" s="50"/>
      <c r="G219">
        <v>10.6</v>
      </c>
      <c r="H219">
        <v>5.9</v>
      </c>
      <c r="I219">
        <v>14.3</v>
      </c>
      <c r="J219">
        <f t="shared" si="23"/>
        <v>1406.8</v>
      </c>
      <c r="K219">
        <f t="shared" si="28"/>
        <v>254.29999999999995</v>
      </c>
      <c r="M219">
        <v>8</v>
      </c>
      <c r="N219">
        <v>1.4</v>
      </c>
      <c r="O219">
        <f t="shared" si="20"/>
        <v>6.6</v>
      </c>
      <c r="P219">
        <f t="shared" si="24"/>
        <v>145.30000000000001</v>
      </c>
      <c r="Q219">
        <v>180</v>
      </c>
      <c r="R219">
        <f t="shared" si="27"/>
        <v>1.0843749999999999</v>
      </c>
      <c r="S219">
        <f t="shared" si="21"/>
        <v>1.5181249999999997</v>
      </c>
      <c r="T219" s="24">
        <f t="shared" si="22"/>
        <v>6.4818750000000005</v>
      </c>
      <c r="U219" s="24">
        <f t="shared" si="26"/>
        <v>122.1</v>
      </c>
      <c r="W219">
        <v>1108.2</v>
      </c>
      <c r="Y219">
        <f t="shared" si="25"/>
        <v>102556.59999999998</v>
      </c>
      <c r="Z219">
        <f t="shared" si="29"/>
        <v>16133.9</v>
      </c>
      <c r="AA219">
        <v>10.915153705273763</v>
      </c>
      <c r="AE219">
        <f>(AC205*(50/100))+(AC229*(50/100))</f>
        <v>2</v>
      </c>
    </row>
    <row r="220" spans="1:31" x14ac:dyDescent="0.25">
      <c r="A220">
        <v>5560</v>
      </c>
      <c r="B220">
        <v>22250</v>
      </c>
      <c r="C220" s="1">
        <v>42798</v>
      </c>
      <c r="F220" s="50"/>
      <c r="G220">
        <v>7.4</v>
      </c>
      <c r="H220">
        <v>6</v>
      </c>
      <c r="I220">
        <v>8.4</v>
      </c>
      <c r="J220">
        <f t="shared" si="23"/>
        <v>1414.2</v>
      </c>
      <c r="K220">
        <f t="shared" si="28"/>
        <v>261.69999999999993</v>
      </c>
      <c r="M220">
        <v>8.6999999999999993</v>
      </c>
      <c r="N220">
        <v>0.4</v>
      </c>
      <c r="O220">
        <f t="shared" si="20"/>
        <v>8.2999999999999989</v>
      </c>
      <c r="P220">
        <f t="shared" si="24"/>
        <v>153.60000000000002</v>
      </c>
      <c r="Q220">
        <v>181</v>
      </c>
      <c r="R220">
        <f t="shared" si="27"/>
        <v>1.08671875</v>
      </c>
      <c r="S220">
        <f t="shared" si="21"/>
        <v>0.4346875</v>
      </c>
      <c r="T220" s="24">
        <f t="shared" si="22"/>
        <v>8.2653124999999985</v>
      </c>
      <c r="U220" s="24">
        <f t="shared" si="26"/>
        <v>122.1</v>
      </c>
      <c r="W220">
        <v>343.7</v>
      </c>
      <c r="Y220">
        <f t="shared" si="25"/>
        <v>102900.29999999997</v>
      </c>
      <c r="Z220">
        <f t="shared" si="29"/>
        <v>16477.599999999999</v>
      </c>
      <c r="AA220">
        <v>10.971300290971662</v>
      </c>
      <c r="AE220" s="3" t="s">
        <v>68</v>
      </c>
    </row>
    <row r="221" spans="1:31" x14ac:dyDescent="0.25">
      <c r="A221">
        <v>5560</v>
      </c>
      <c r="B221">
        <v>22250</v>
      </c>
      <c r="C221" s="1">
        <v>42799</v>
      </c>
      <c r="F221" s="50"/>
      <c r="G221">
        <v>7.6</v>
      </c>
      <c r="H221">
        <v>5</v>
      </c>
      <c r="I221">
        <v>9.1</v>
      </c>
      <c r="J221">
        <f t="shared" si="23"/>
        <v>1421.8</v>
      </c>
      <c r="K221">
        <f t="shared" si="28"/>
        <v>269.29999999999995</v>
      </c>
      <c r="M221">
        <v>8.1999999999999993</v>
      </c>
      <c r="N221">
        <v>0.6</v>
      </c>
      <c r="O221">
        <f t="shared" si="20"/>
        <v>7.6</v>
      </c>
      <c r="P221">
        <f t="shared" si="24"/>
        <v>161.20000000000002</v>
      </c>
      <c r="Q221">
        <v>182</v>
      </c>
      <c r="R221">
        <f t="shared" si="27"/>
        <v>1.0890625</v>
      </c>
      <c r="S221">
        <f t="shared" si="21"/>
        <v>0.6534375</v>
      </c>
      <c r="T221" s="24">
        <f t="shared" si="22"/>
        <v>7.5465624999999994</v>
      </c>
      <c r="U221" s="24">
        <f t="shared" si="26"/>
        <v>122.1</v>
      </c>
      <c r="W221">
        <v>230.8</v>
      </c>
      <c r="Y221">
        <f t="shared" si="25"/>
        <v>103131.09999999998</v>
      </c>
      <c r="Z221">
        <f t="shared" si="29"/>
        <v>16708.399999999998</v>
      </c>
      <c r="AA221">
        <v>11.027606066916634</v>
      </c>
      <c r="AE221">
        <f>(AC207*(50/100))+(AC231*(50/100))</f>
        <v>23.799999999999997</v>
      </c>
    </row>
    <row r="222" spans="1:31" x14ac:dyDescent="0.25">
      <c r="A222">
        <v>5560</v>
      </c>
      <c r="B222">
        <v>22250</v>
      </c>
      <c r="C222" s="1">
        <v>42800</v>
      </c>
      <c r="F222" s="50"/>
      <c r="G222">
        <v>7.9</v>
      </c>
      <c r="H222">
        <v>6.8</v>
      </c>
      <c r="I222">
        <v>9.6</v>
      </c>
      <c r="J222">
        <f t="shared" si="23"/>
        <v>1429.7</v>
      </c>
      <c r="K222">
        <f t="shared" si="28"/>
        <v>277.19999999999993</v>
      </c>
      <c r="M222" s="61">
        <v>5.0999999999999996</v>
      </c>
      <c r="N222">
        <v>1</v>
      </c>
      <c r="O222">
        <f t="shared" si="20"/>
        <v>4.0999999999999996</v>
      </c>
      <c r="P222">
        <f t="shared" si="24"/>
        <v>165.3</v>
      </c>
      <c r="Q222">
        <v>183</v>
      </c>
      <c r="R222">
        <f t="shared" si="27"/>
        <v>1.0914062499999999</v>
      </c>
      <c r="S222">
        <f t="shared" si="21"/>
        <v>1.0914062499999999</v>
      </c>
      <c r="T222" s="24">
        <f t="shared" si="22"/>
        <v>4.0085937499999993</v>
      </c>
      <c r="U222" s="24">
        <f t="shared" si="26"/>
        <v>122.1</v>
      </c>
      <c r="W222">
        <v>312</v>
      </c>
      <c r="Y222">
        <f t="shared" si="25"/>
        <v>103443.09999999998</v>
      </c>
      <c r="Z222">
        <f t="shared" si="29"/>
        <v>17020.399999999998</v>
      </c>
      <c r="AA222">
        <v>11.084060798392574</v>
      </c>
      <c r="AC222" s="3" t="s">
        <v>64</v>
      </c>
    </row>
    <row r="223" spans="1:31" x14ac:dyDescent="0.25">
      <c r="A223">
        <v>5560</v>
      </c>
      <c r="B223">
        <v>22250</v>
      </c>
      <c r="C223" s="1">
        <v>42801</v>
      </c>
      <c r="F223" s="50"/>
      <c r="G223">
        <v>6.8</v>
      </c>
      <c r="H223">
        <v>5.4</v>
      </c>
      <c r="I223">
        <v>8.5</v>
      </c>
      <c r="J223">
        <f t="shared" si="23"/>
        <v>1436.5</v>
      </c>
      <c r="K223">
        <f t="shared" si="28"/>
        <v>283.99999999999994</v>
      </c>
      <c r="M223" s="61">
        <v>2.5</v>
      </c>
      <c r="N223">
        <v>0.7</v>
      </c>
      <c r="O223">
        <f t="shared" si="20"/>
        <v>1.8</v>
      </c>
      <c r="P223">
        <f t="shared" si="24"/>
        <v>167.10000000000002</v>
      </c>
      <c r="Q223">
        <v>184</v>
      </c>
      <c r="R223">
        <f t="shared" si="27"/>
        <v>1.09375</v>
      </c>
      <c r="S223">
        <f t="shared" si="21"/>
        <v>0.765625</v>
      </c>
      <c r="T223" s="24">
        <f t="shared" si="22"/>
        <v>1.734375</v>
      </c>
      <c r="U223" s="24">
        <f t="shared" si="26"/>
        <v>122.1</v>
      </c>
      <c r="W223">
        <v>446.7</v>
      </c>
      <c r="Y223">
        <f t="shared" si="25"/>
        <v>103889.79999999997</v>
      </c>
      <c r="Z223">
        <f t="shared" si="29"/>
        <v>17467.099999999999</v>
      </c>
      <c r="AA223">
        <v>11.140654485219201</v>
      </c>
      <c r="AC223" s="24">
        <f>AVERAGE(U229:U242)</f>
        <v>114.89056919642856</v>
      </c>
    </row>
    <row r="224" spans="1:31" x14ac:dyDescent="0.25">
      <c r="A224">
        <v>5560</v>
      </c>
      <c r="B224">
        <v>22250</v>
      </c>
      <c r="C224" s="1">
        <v>42802</v>
      </c>
      <c r="F224" s="50"/>
      <c r="G224">
        <v>10.199999999999999</v>
      </c>
      <c r="H224">
        <v>6.1</v>
      </c>
      <c r="I224">
        <v>12.3</v>
      </c>
      <c r="J224">
        <f t="shared" si="23"/>
        <v>1446.7</v>
      </c>
      <c r="K224">
        <f t="shared" si="28"/>
        <v>294.19999999999993</v>
      </c>
      <c r="M224" s="61">
        <v>0.5</v>
      </c>
      <c r="N224">
        <v>0.2</v>
      </c>
      <c r="O224">
        <f t="shared" si="20"/>
        <v>0.3</v>
      </c>
      <c r="P224">
        <f t="shared" si="24"/>
        <v>167.40000000000003</v>
      </c>
      <c r="Q224">
        <v>185</v>
      </c>
      <c r="R224">
        <f t="shared" si="27"/>
        <v>1.0960937499999999</v>
      </c>
      <c r="S224">
        <f t="shared" si="21"/>
        <v>0.21921874999999999</v>
      </c>
      <c r="T224" s="24">
        <f t="shared" si="22"/>
        <v>0.28078124999999998</v>
      </c>
      <c r="U224" s="24">
        <f t="shared" si="26"/>
        <v>122.1</v>
      </c>
      <c r="W224">
        <v>272.3</v>
      </c>
      <c r="Y224">
        <f t="shared" si="25"/>
        <v>104162.09999999998</v>
      </c>
      <c r="Z224">
        <f t="shared" si="29"/>
        <v>17739.399999999998</v>
      </c>
      <c r="AA224">
        <v>11.197377349161027</v>
      </c>
      <c r="AC224" s="3" t="s">
        <v>65</v>
      </c>
    </row>
    <row r="225" spans="1:29" x14ac:dyDescent="0.25">
      <c r="A225">
        <v>5560</v>
      </c>
      <c r="B225">
        <v>22250</v>
      </c>
      <c r="C225" s="1">
        <v>42803</v>
      </c>
      <c r="F225" s="50"/>
      <c r="G225">
        <v>11.9</v>
      </c>
      <c r="H225">
        <v>10</v>
      </c>
      <c r="I225">
        <v>13.7</v>
      </c>
      <c r="J225">
        <f t="shared" si="23"/>
        <v>1458.6000000000001</v>
      </c>
      <c r="K225">
        <f t="shared" si="28"/>
        <v>306.09999999999991</v>
      </c>
      <c r="M225" s="61">
        <v>0</v>
      </c>
      <c r="N225">
        <v>1.1000000000000001</v>
      </c>
      <c r="O225">
        <f t="shared" si="20"/>
        <v>-1.1000000000000001</v>
      </c>
      <c r="P225">
        <f t="shared" si="24"/>
        <v>166.30000000000004</v>
      </c>
      <c r="Q225">
        <v>186</v>
      </c>
      <c r="R225">
        <f t="shared" si="27"/>
        <v>1.0984375</v>
      </c>
      <c r="S225">
        <f t="shared" si="21"/>
        <v>1.20828125</v>
      </c>
      <c r="T225" s="24">
        <f t="shared" si="22"/>
        <v>-1.20828125</v>
      </c>
      <c r="U225" s="24">
        <f t="shared" si="26"/>
        <v>120.89171875</v>
      </c>
      <c r="W225">
        <v>577.6</v>
      </c>
      <c r="Y225">
        <f t="shared" si="25"/>
        <v>104739.69999999998</v>
      </c>
      <c r="Z225">
        <f t="shared" si="29"/>
        <v>18316.999999999996</v>
      </c>
      <c r="AA225">
        <v>11.254219821091295</v>
      </c>
      <c r="AC225">
        <v>6</v>
      </c>
    </row>
    <row r="226" spans="1:29" x14ac:dyDescent="0.25">
      <c r="A226">
        <v>5560</v>
      </c>
      <c r="B226">
        <v>22250</v>
      </c>
      <c r="C226" s="1">
        <v>42804</v>
      </c>
      <c r="F226" s="50"/>
      <c r="G226">
        <v>11.7</v>
      </c>
      <c r="H226">
        <v>10.3</v>
      </c>
      <c r="I226">
        <v>15</v>
      </c>
      <c r="J226">
        <f t="shared" si="23"/>
        <v>1470.3000000000002</v>
      </c>
      <c r="K226">
        <f t="shared" si="28"/>
        <v>317.7999999999999</v>
      </c>
      <c r="M226" s="61">
        <v>0</v>
      </c>
      <c r="N226">
        <v>1.3</v>
      </c>
      <c r="O226">
        <f t="shared" si="20"/>
        <v>-1.3</v>
      </c>
      <c r="P226">
        <f t="shared" si="24"/>
        <v>165.00000000000003</v>
      </c>
      <c r="Q226">
        <v>187</v>
      </c>
      <c r="R226">
        <f t="shared" si="27"/>
        <v>1.1007812499999998</v>
      </c>
      <c r="S226">
        <f t="shared" si="21"/>
        <v>1.4310156249999999</v>
      </c>
      <c r="T226" s="24">
        <f t="shared" si="22"/>
        <v>-1.4310156249999999</v>
      </c>
      <c r="U226" s="24">
        <f t="shared" si="26"/>
        <v>119.46070312499999</v>
      </c>
      <c r="W226">
        <v>794.6</v>
      </c>
      <c r="Y226">
        <f t="shared" si="25"/>
        <v>105534.29999999999</v>
      </c>
      <c r="Z226">
        <f t="shared" si="29"/>
        <v>19111.599999999995</v>
      </c>
      <c r="AA226">
        <v>11.311172527934247</v>
      </c>
      <c r="AC226" s="3" t="s">
        <v>66</v>
      </c>
    </row>
    <row r="227" spans="1:29" x14ac:dyDescent="0.25">
      <c r="A227">
        <v>5560</v>
      </c>
      <c r="B227">
        <v>22250</v>
      </c>
      <c r="C227" s="1">
        <v>42805</v>
      </c>
      <c r="F227" s="50"/>
      <c r="G227">
        <v>11.1</v>
      </c>
      <c r="H227">
        <v>3.6</v>
      </c>
      <c r="I227">
        <v>16.8</v>
      </c>
      <c r="J227">
        <f t="shared" si="23"/>
        <v>1481.4</v>
      </c>
      <c r="K227">
        <f t="shared" si="28"/>
        <v>328.89999999999992</v>
      </c>
      <c r="M227" s="61">
        <v>0</v>
      </c>
      <c r="N227">
        <v>1.3</v>
      </c>
      <c r="O227">
        <f t="shared" si="20"/>
        <v>-1.3</v>
      </c>
      <c r="P227">
        <f t="shared" si="24"/>
        <v>163.70000000000002</v>
      </c>
      <c r="Q227">
        <v>188</v>
      </c>
      <c r="R227">
        <f t="shared" si="27"/>
        <v>1.1031249999999999</v>
      </c>
      <c r="S227">
        <f t="shared" si="21"/>
        <v>1.4340625</v>
      </c>
      <c r="T227" s="24">
        <f t="shared" si="22"/>
        <v>-1.4340625</v>
      </c>
      <c r="U227" s="24">
        <f t="shared" si="26"/>
        <v>118.026640625</v>
      </c>
      <c r="W227">
        <v>1062</v>
      </c>
      <c r="Y227">
        <f t="shared" si="25"/>
        <v>106596.29999999999</v>
      </c>
      <c r="Z227">
        <f t="shared" si="29"/>
        <v>20173.599999999995</v>
      </c>
      <c r="AA227">
        <v>11.368226279407542</v>
      </c>
      <c r="AC227">
        <v>4</v>
      </c>
    </row>
    <row r="228" spans="1:29" x14ac:dyDescent="0.25">
      <c r="A228">
        <v>5560</v>
      </c>
      <c r="B228">
        <v>22250</v>
      </c>
      <c r="C228" s="1">
        <v>42806</v>
      </c>
      <c r="F228" s="50"/>
      <c r="G228">
        <v>12.1</v>
      </c>
      <c r="H228">
        <v>8.9</v>
      </c>
      <c r="I228">
        <v>16.2</v>
      </c>
      <c r="J228">
        <f t="shared" si="23"/>
        <v>1493.5</v>
      </c>
      <c r="K228">
        <f t="shared" si="28"/>
        <v>340.99999999999994</v>
      </c>
      <c r="M228" s="61">
        <v>0</v>
      </c>
      <c r="N228">
        <v>1.3</v>
      </c>
      <c r="O228">
        <f t="shared" si="20"/>
        <v>-1.3</v>
      </c>
      <c r="P228">
        <f t="shared" si="24"/>
        <v>162.4</v>
      </c>
      <c r="Q228">
        <v>189</v>
      </c>
      <c r="R228">
        <f t="shared" si="27"/>
        <v>1.10546875</v>
      </c>
      <c r="S228">
        <f t="shared" si="21"/>
        <v>1.4371093750000001</v>
      </c>
      <c r="T228" s="24">
        <f t="shared" si="22"/>
        <v>-1.4371093750000001</v>
      </c>
      <c r="U228" s="24">
        <f t="shared" si="26"/>
        <v>116.58953124999999</v>
      </c>
      <c r="W228">
        <v>886.3</v>
      </c>
      <c r="Y228">
        <f t="shared" si="25"/>
        <v>107482.59999999999</v>
      </c>
      <c r="Z228">
        <f t="shared" si="29"/>
        <v>21059.899999999994</v>
      </c>
      <c r="AA228">
        <v>11.425372054585223</v>
      </c>
      <c r="AC228" s="3" t="s">
        <v>67</v>
      </c>
    </row>
    <row r="229" spans="1:29" x14ac:dyDescent="0.25">
      <c r="A229">
        <v>5560</v>
      </c>
      <c r="B229">
        <v>22250</v>
      </c>
      <c r="C229" s="1">
        <v>42807</v>
      </c>
      <c r="F229" s="50"/>
      <c r="G229">
        <v>11</v>
      </c>
      <c r="H229">
        <v>8.1999999999999993</v>
      </c>
      <c r="I229">
        <v>14.3</v>
      </c>
      <c r="J229">
        <f t="shared" si="23"/>
        <v>1504.5</v>
      </c>
      <c r="K229">
        <f t="shared" si="28"/>
        <v>351.99999999999994</v>
      </c>
      <c r="M229" s="61">
        <v>0</v>
      </c>
      <c r="N229">
        <v>2</v>
      </c>
      <c r="O229">
        <f t="shared" si="20"/>
        <v>-2</v>
      </c>
      <c r="P229">
        <f t="shared" si="24"/>
        <v>160.4</v>
      </c>
      <c r="Q229">
        <v>190</v>
      </c>
      <c r="R229">
        <f t="shared" si="27"/>
        <v>1.1078124999999999</v>
      </c>
      <c r="S229">
        <f t="shared" si="21"/>
        <v>2.2156249999999997</v>
      </c>
      <c r="T229" s="24">
        <f t="shared" si="22"/>
        <v>-2.2156249999999997</v>
      </c>
      <c r="U229" s="62">
        <f t="shared" si="26"/>
        <v>114.37390624999999</v>
      </c>
      <c r="W229">
        <v>1476.6</v>
      </c>
      <c r="Y229">
        <f t="shared" si="25"/>
        <v>108959.2</v>
      </c>
      <c r="Z229">
        <f t="shared" si="29"/>
        <v>22536.499999999993</v>
      </c>
      <c r="AA229">
        <v>11.482600988300241</v>
      </c>
      <c r="AC229">
        <v>2</v>
      </c>
    </row>
    <row r="230" spans="1:29" x14ac:dyDescent="0.25">
      <c r="A230">
        <v>5560</v>
      </c>
      <c r="B230">
        <v>22250</v>
      </c>
      <c r="C230" s="1">
        <v>42808</v>
      </c>
      <c r="F230" s="50"/>
      <c r="G230">
        <v>8.9</v>
      </c>
      <c r="H230">
        <v>4.4000000000000004</v>
      </c>
      <c r="I230">
        <v>13</v>
      </c>
      <c r="J230">
        <f t="shared" si="23"/>
        <v>1513.4</v>
      </c>
      <c r="K230">
        <f t="shared" si="28"/>
        <v>360.89999999999992</v>
      </c>
      <c r="M230" s="61">
        <v>0</v>
      </c>
      <c r="N230">
        <v>1.2</v>
      </c>
      <c r="O230">
        <f t="shared" si="20"/>
        <v>-1.2</v>
      </c>
      <c r="P230">
        <f t="shared" si="24"/>
        <v>159.20000000000002</v>
      </c>
      <c r="Q230">
        <v>191</v>
      </c>
      <c r="R230">
        <f t="shared" si="27"/>
        <v>1.11015625</v>
      </c>
      <c r="S230">
        <f t="shared" si="21"/>
        <v>1.3321874999999999</v>
      </c>
      <c r="T230" s="24">
        <f t="shared" si="22"/>
        <v>-1.3321874999999999</v>
      </c>
      <c r="U230" s="62">
        <f t="shared" si="26"/>
        <v>113.04171874999999</v>
      </c>
      <c r="W230">
        <v>1148.7</v>
      </c>
      <c r="Y230">
        <f t="shared" si="25"/>
        <v>110107.9</v>
      </c>
      <c r="Z230">
        <f t="shared" si="29"/>
        <v>23685.199999999993</v>
      </c>
      <c r="AA230">
        <v>11.539904357404392</v>
      </c>
      <c r="AC230" s="3" t="s">
        <v>68</v>
      </c>
    </row>
    <row r="231" spans="1:29" x14ac:dyDescent="0.25">
      <c r="A231">
        <v>5560</v>
      </c>
      <c r="B231">
        <v>22250</v>
      </c>
      <c r="C231" s="1">
        <v>42809</v>
      </c>
      <c r="F231" s="50"/>
      <c r="G231">
        <v>8.1</v>
      </c>
      <c r="H231">
        <v>5.0999999999999996</v>
      </c>
      <c r="I231">
        <v>11.2</v>
      </c>
      <c r="J231">
        <f t="shared" si="23"/>
        <v>1521.5</v>
      </c>
      <c r="K231">
        <f t="shared" si="28"/>
        <v>368.99999999999994</v>
      </c>
      <c r="M231" s="61">
        <v>0.1</v>
      </c>
      <c r="N231">
        <v>0.8</v>
      </c>
      <c r="O231">
        <f t="shared" si="20"/>
        <v>-0.70000000000000007</v>
      </c>
      <c r="P231">
        <f t="shared" si="24"/>
        <v>158.50000000000003</v>
      </c>
      <c r="Q231">
        <v>192</v>
      </c>
      <c r="R231">
        <f t="shared" si="27"/>
        <v>1.1124999999999998</v>
      </c>
      <c r="S231">
        <f t="shared" si="21"/>
        <v>0.8899999999999999</v>
      </c>
      <c r="T231" s="24">
        <f t="shared" si="22"/>
        <v>-0.78999999999999992</v>
      </c>
      <c r="U231" s="62">
        <f t="shared" si="26"/>
        <v>112.25171874999998</v>
      </c>
      <c r="W231">
        <v>806</v>
      </c>
      <c r="Y231">
        <f t="shared" si="25"/>
        <v>110913.9</v>
      </c>
      <c r="Z231">
        <f t="shared" si="29"/>
        <v>24491.199999999993</v>
      </c>
      <c r="AA231">
        <v>11.597273566902258</v>
      </c>
      <c r="AC231">
        <f>SUM(M233:M242)</f>
        <v>20.7</v>
      </c>
    </row>
    <row r="232" spans="1:29" s="57" customFormat="1" x14ac:dyDescent="0.25">
      <c r="A232" s="57">
        <v>5560</v>
      </c>
      <c r="B232" s="57">
        <v>22250</v>
      </c>
      <c r="C232" s="58">
        <v>42810</v>
      </c>
      <c r="D232" s="57" t="s">
        <v>63</v>
      </c>
      <c r="F232" s="50"/>
      <c r="G232" s="57">
        <v>11.3</v>
      </c>
      <c r="H232" s="57">
        <v>3.9</v>
      </c>
      <c r="I232" s="57">
        <v>17.899999999999999</v>
      </c>
      <c r="J232" s="57">
        <f t="shared" si="23"/>
        <v>1532.8</v>
      </c>
      <c r="K232" s="57">
        <f t="shared" si="28"/>
        <v>380.29999999999995</v>
      </c>
      <c r="L232" s="59"/>
      <c r="M232" s="57">
        <v>0</v>
      </c>
      <c r="N232" s="57">
        <v>2.2999999999999998</v>
      </c>
      <c r="O232" s="57">
        <f t="shared" si="20"/>
        <v>-2.2999999999999998</v>
      </c>
      <c r="P232" s="57">
        <f t="shared" si="24"/>
        <v>156.20000000000002</v>
      </c>
      <c r="Q232" s="57">
        <v>193</v>
      </c>
      <c r="R232" s="57">
        <f t="shared" si="27"/>
        <v>1.1148437499999999</v>
      </c>
      <c r="S232" s="57">
        <f t="shared" si="21"/>
        <v>2.5641406249999994</v>
      </c>
      <c r="T232" s="60">
        <f t="shared" si="22"/>
        <v>-2.5641406249999994</v>
      </c>
      <c r="U232" s="60">
        <f t="shared" si="26"/>
        <v>109.68757812499999</v>
      </c>
      <c r="W232" s="57">
        <v>1623.4</v>
      </c>
      <c r="Y232" s="57">
        <f t="shared" si="25"/>
        <v>112537.29999999999</v>
      </c>
      <c r="Z232" s="57">
        <f t="shared" si="29"/>
        <v>26114.599999999995</v>
      </c>
      <c r="AA232" s="57">
        <v>11.654700135974776</v>
      </c>
    </row>
    <row r="233" spans="1:29" x14ac:dyDescent="0.25">
      <c r="A233">
        <v>5560</v>
      </c>
      <c r="B233">
        <v>22250</v>
      </c>
      <c r="C233" s="1">
        <v>42811</v>
      </c>
      <c r="F233" s="50"/>
      <c r="G233">
        <v>8.1</v>
      </c>
      <c r="H233">
        <v>5.4</v>
      </c>
      <c r="I233">
        <v>10.3</v>
      </c>
      <c r="J233">
        <f t="shared" si="23"/>
        <v>1540.8999999999999</v>
      </c>
      <c r="K233">
        <f t="shared" si="28"/>
        <v>388.4</v>
      </c>
      <c r="M233" s="61">
        <v>0</v>
      </c>
      <c r="N233">
        <v>0.4</v>
      </c>
      <c r="O233">
        <f t="shared" ref="O233:O296" si="30">M233-N233</f>
        <v>-0.4</v>
      </c>
      <c r="P233">
        <f t="shared" si="24"/>
        <v>155.80000000000001</v>
      </c>
      <c r="Q233">
        <v>194</v>
      </c>
      <c r="R233">
        <f t="shared" si="27"/>
        <v>1.1171875</v>
      </c>
      <c r="S233">
        <f t="shared" ref="S233:S296" si="31">R233*N233</f>
        <v>0.44687500000000002</v>
      </c>
      <c r="T233" s="24">
        <f t="shared" ref="T233:T296" si="32">M233-S233</f>
        <v>-0.44687500000000002</v>
      </c>
      <c r="U233" s="62">
        <f t="shared" si="26"/>
        <v>109.24070312499998</v>
      </c>
      <c r="W233">
        <v>485.8</v>
      </c>
      <c r="Y233">
        <f t="shared" si="25"/>
        <v>113023.09999999999</v>
      </c>
      <c r="Z233">
        <f t="shared" si="29"/>
        <v>26600.399999999994</v>
      </c>
      <c r="AA233">
        <v>11.712175683907134</v>
      </c>
    </row>
    <row r="234" spans="1:29" x14ac:dyDescent="0.25">
      <c r="A234">
        <v>5560</v>
      </c>
      <c r="B234">
        <v>22250</v>
      </c>
      <c r="C234" s="1">
        <v>42812</v>
      </c>
      <c r="F234" s="50"/>
      <c r="G234">
        <v>8.8000000000000007</v>
      </c>
      <c r="H234">
        <v>5.8</v>
      </c>
      <c r="I234">
        <v>10.7</v>
      </c>
      <c r="J234">
        <f t="shared" ref="J234:J297" si="33">J233+G234</f>
        <v>1549.6999999999998</v>
      </c>
      <c r="K234">
        <f t="shared" si="28"/>
        <v>397.2</v>
      </c>
      <c r="M234" s="61">
        <v>0</v>
      </c>
      <c r="N234">
        <v>0.5</v>
      </c>
      <c r="O234">
        <f t="shared" si="30"/>
        <v>-0.5</v>
      </c>
      <c r="P234">
        <f t="shared" ref="P234:P297" si="34">P233+O234</f>
        <v>155.30000000000001</v>
      </c>
      <c r="Q234">
        <v>195</v>
      </c>
      <c r="R234">
        <f t="shared" si="27"/>
        <v>1.1195312499999999</v>
      </c>
      <c r="S234">
        <f t="shared" si="31"/>
        <v>0.55976562499999993</v>
      </c>
      <c r="T234" s="24">
        <f t="shared" si="32"/>
        <v>-0.55976562499999993</v>
      </c>
      <c r="U234" s="62">
        <f t="shared" si="26"/>
        <v>108.68093749999998</v>
      </c>
      <c r="W234">
        <v>196.5</v>
      </c>
      <c r="Y234">
        <f t="shared" ref="Y234:Y297" si="35">Y233+W234</f>
        <v>113219.59999999999</v>
      </c>
      <c r="Z234">
        <f t="shared" si="29"/>
        <v>26796.899999999994</v>
      </c>
      <c r="AA234">
        <v>11.769691915934725</v>
      </c>
    </row>
    <row r="235" spans="1:29" x14ac:dyDescent="0.25">
      <c r="A235">
        <v>5560</v>
      </c>
      <c r="B235">
        <v>22250</v>
      </c>
      <c r="C235" s="1">
        <v>42813</v>
      </c>
      <c r="F235" s="50"/>
      <c r="G235">
        <v>10.6</v>
      </c>
      <c r="H235">
        <v>9.6</v>
      </c>
      <c r="I235">
        <v>11.6</v>
      </c>
      <c r="J235">
        <f t="shared" si="33"/>
        <v>1560.2999999999997</v>
      </c>
      <c r="K235">
        <f t="shared" si="28"/>
        <v>407.8</v>
      </c>
      <c r="M235" s="61">
        <v>1</v>
      </c>
      <c r="N235">
        <v>0.4</v>
      </c>
      <c r="O235">
        <f t="shared" si="30"/>
        <v>0.6</v>
      </c>
      <c r="P235">
        <f t="shared" si="34"/>
        <v>155.9</v>
      </c>
      <c r="Q235">
        <v>196</v>
      </c>
      <c r="R235">
        <f t="shared" si="27"/>
        <v>1.121875</v>
      </c>
      <c r="S235">
        <f t="shared" si="31"/>
        <v>0.44874999999999998</v>
      </c>
      <c r="T235" s="24">
        <f t="shared" si="32"/>
        <v>0.55125000000000002</v>
      </c>
      <c r="U235" s="62">
        <f t="shared" si="26"/>
        <v>109.23218749999998</v>
      </c>
      <c r="W235">
        <v>253.2</v>
      </c>
      <c r="Y235">
        <f t="shared" si="35"/>
        <v>113472.79999999999</v>
      </c>
      <c r="Z235">
        <f t="shared" si="29"/>
        <v>27050.099999999995</v>
      </c>
      <c r="AA235">
        <v>11.827240609020324</v>
      </c>
    </row>
    <row r="236" spans="1:29" x14ac:dyDescent="0.25">
      <c r="A236">
        <v>5560</v>
      </c>
      <c r="B236">
        <v>22250</v>
      </c>
      <c r="C236" s="1">
        <v>42814</v>
      </c>
      <c r="F236" s="50"/>
      <c r="G236">
        <v>10.199999999999999</v>
      </c>
      <c r="H236">
        <v>8.5</v>
      </c>
      <c r="I236">
        <v>11.8</v>
      </c>
      <c r="J236">
        <f t="shared" si="33"/>
        <v>1570.4999999999998</v>
      </c>
      <c r="K236">
        <f t="shared" si="28"/>
        <v>418</v>
      </c>
      <c r="M236" s="61">
        <v>1.8</v>
      </c>
      <c r="N236">
        <v>0.9</v>
      </c>
      <c r="O236">
        <f t="shared" si="30"/>
        <v>0.9</v>
      </c>
      <c r="P236">
        <f t="shared" si="34"/>
        <v>156.80000000000001</v>
      </c>
      <c r="Q236">
        <v>197</v>
      </c>
      <c r="R236">
        <f t="shared" si="27"/>
        <v>1.1242187499999998</v>
      </c>
      <c r="S236">
        <f t="shared" si="31"/>
        <v>1.0117968749999999</v>
      </c>
      <c r="T236" s="24">
        <f t="shared" si="32"/>
        <v>0.78820312500000012</v>
      </c>
      <c r="U236" s="62">
        <f t="shared" si="26"/>
        <v>110.02039062499998</v>
      </c>
      <c r="W236">
        <v>312.39999999999998</v>
      </c>
      <c r="Y236">
        <f t="shared" si="35"/>
        <v>113785.19999999998</v>
      </c>
      <c r="Z236">
        <f t="shared" si="29"/>
        <v>27362.499999999996</v>
      </c>
      <c r="AA236">
        <v>11.884813597574846</v>
      </c>
    </row>
    <row r="237" spans="1:29" x14ac:dyDescent="0.25">
      <c r="A237">
        <v>5560</v>
      </c>
      <c r="B237">
        <v>22250</v>
      </c>
      <c r="C237" s="1">
        <v>42815</v>
      </c>
      <c r="F237" s="50"/>
      <c r="G237">
        <v>7.5</v>
      </c>
      <c r="H237">
        <v>6.8</v>
      </c>
      <c r="I237">
        <v>8.9</v>
      </c>
      <c r="J237">
        <f t="shared" si="33"/>
        <v>1577.9999999999998</v>
      </c>
      <c r="K237">
        <f t="shared" si="28"/>
        <v>425.5</v>
      </c>
      <c r="M237" s="61">
        <v>7.9</v>
      </c>
      <c r="N237">
        <v>0.6</v>
      </c>
      <c r="O237">
        <f t="shared" si="30"/>
        <v>7.3000000000000007</v>
      </c>
      <c r="P237">
        <f t="shared" si="34"/>
        <v>164.10000000000002</v>
      </c>
      <c r="Q237">
        <v>198</v>
      </c>
      <c r="R237">
        <f t="shared" si="27"/>
        <v>1.1265624999999999</v>
      </c>
      <c r="S237">
        <f t="shared" si="31"/>
        <v>0.67593749999999997</v>
      </c>
      <c r="T237" s="24">
        <f t="shared" si="32"/>
        <v>7.2240625000000005</v>
      </c>
      <c r="U237" s="62">
        <f t="shared" si="26"/>
        <v>117.24445312499998</v>
      </c>
      <c r="W237">
        <v>380.9</v>
      </c>
      <c r="Y237">
        <f t="shared" si="35"/>
        <v>114166.09999999998</v>
      </c>
      <c r="Z237">
        <f t="shared" si="29"/>
        <v>27743.399999999998</v>
      </c>
      <c r="AA237">
        <v>11.942402759133676</v>
      </c>
    </row>
    <row r="238" spans="1:29" x14ac:dyDescent="0.25">
      <c r="A238">
        <v>5560</v>
      </c>
      <c r="B238">
        <v>22250</v>
      </c>
      <c r="C238" s="1">
        <v>42816</v>
      </c>
      <c r="F238" s="50"/>
      <c r="G238">
        <v>6.6</v>
      </c>
      <c r="H238">
        <v>0.6</v>
      </c>
      <c r="I238">
        <v>12.1</v>
      </c>
      <c r="J238">
        <f t="shared" si="33"/>
        <v>1584.5999999999997</v>
      </c>
      <c r="K238">
        <f t="shared" si="28"/>
        <v>432.1</v>
      </c>
      <c r="M238" s="61">
        <v>6.2</v>
      </c>
      <c r="N238">
        <v>1.6</v>
      </c>
      <c r="O238">
        <f t="shared" si="30"/>
        <v>4.5999999999999996</v>
      </c>
      <c r="P238">
        <f t="shared" si="34"/>
        <v>168.70000000000002</v>
      </c>
      <c r="Q238">
        <v>199</v>
      </c>
      <c r="R238">
        <f t="shared" si="27"/>
        <v>1.12890625</v>
      </c>
      <c r="S238">
        <f t="shared" si="31"/>
        <v>1.8062500000000001</v>
      </c>
      <c r="T238" s="24">
        <f t="shared" si="32"/>
        <v>4.3937499999999998</v>
      </c>
      <c r="U238" s="62">
        <f t="shared" si="26"/>
        <v>121.63820312499998</v>
      </c>
      <c r="W238">
        <v>1593.9</v>
      </c>
      <c r="Y238">
        <f t="shared" si="35"/>
        <v>115759.99999999997</v>
      </c>
      <c r="Z238">
        <f t="shared" si="29"/>
        <v>29337.3</v>
      </c>
      <c r="AA238">
        <v>12</v>
      </c>
    </row>
    <row r="239" spans="1:29" x14ac:dyDescent="0.25">
      <c r="A239">
        <v>5560</v>
      </c>
      <c r="B239">
        <v>22250</v>
      </c>
      <c r="C239" s="1">
        <v>42817</v>
      </c>
      <c r="F239" s="50"/>
      <c r="G239">
        <v>5.8</v>
      </c>
      <c r="H239">
        <v>5.0999999999999996</v>
      </c>
      <c r="I239">
        <v>7.1</v>
      </c>
      <c r="J239">
        <f t="shared" si="33"/>
        <v>1590.3999999999996</v>
      </c>
      <c r="K239">
        <f t="shared" si="28"/>
        <v>437.90000000000003</v>
      </c>
      <c r="M239" s="61">
        <v>2.6</v>
      </c>
      <c r="N239">
        <v>0.4</v>
      </c>
      <c r="O239">
        <f t="shared" si="30"/>
        <v>2.2000000000000002</v>
      </c>
      <c r="P239">
        <f t="shared" si="34"/>
        <v>170.9</v>
      </c>
      <c r="Q239">
        <v>200</v>
      </c>
      <c r="R239">
        <f t="shared" si="27"/>
        <v>1.1312499999999999</v>
      </c>
      <c r="S239">
        <f t="shared" si="31"/>
        <v>0.45249999999999996</v>
      </c>
      <c r="T239" s="24">
        <f t="shared" si="32"/>
        <v>2.1475</v>
      </c>
      <c r="U239" s="62">
        <f t="shared" si="26"/>
        <v>122.1</v>
      </c>
      <c r="W239">
        <v>313.39999999999998</v>
      </c>
      <c r="Y239">
        <f t="shared" si="35"/>
        <v>116073.39999999997</v>
      </c>
      <c r="Z239">
        <f t="shared" si="29"/>
        <v>29650.7</v>
      </c>
      <c r="AA239">
        <v>12.057597240866322</v>
      </c>
    </row>
    <row r="240" spans="1:29" x14ac:dyDescent="0.25">
      <c r="A240">
        <v>5560</v>
      </c>
      <c r="B240">
        <v>22250</v>
      </c>
      <c r="C240" s="1">
        <v>42818</v>
      </c>
      <c r="F240" s="50"/>
      <c r="G240">
        <v>7.7</v>
      </c>
      <c r="H240">
        <v>2.2999999999999998</v>
      </c>
      <c r="I240">
        <v>10.8</v>
      </c>
      <c r="J240">
        <f t="shared" si="33"/>
        <v>1598.0999999999997</v>
      </c>
      <c r="K240">
        <f t="shared" si="28"/>
        <v>445.6</v>
      </c>
      <c r="M240" s="61">
        <v>1.2</v>
      </c>
      <c r="N240">
        <v>0.1</v>
      </c>
      <c r="O240">
        <f t="shared" si="30"/>
        <v>1.0999999999999999</v>
      </c>
      <c r="P240">
        <f t="shared" si="34"/>
        <v>172</v>
      </c>
      <c r="Q240">
        <v>201</v>
      </c>
      <c r="R240">
        <f t="shared" si="27"/>
        <v>1.13359375</v>
      </c>
      <c r="S240">
        <f t="shared" si="31"/>
        <v>0.113359375</v>
      </c>
      <c r="T240" s="24">
        <f t="shared" si="32"/>
        <v>1.086640625</v>
      </c>
      <c r="U240" s="62">
        <f t="shared" si="26"/>
        <v>122.1</v>
      </c>
      <c r="W240">
        <v>375.4</v>
      </c>
      <c r="Y240">
        <f t="shared" si="35"/>
        <v>116448.79999999996</v>
      </c>
      <c r="Z240">
        <f t="shared" si="29"/>
        <v>30026.100000000002</v>
      </c>
      <c r="AA240">
        <v>12.115186402425154</v>
      </c>
    </row>
    <row r="241" spans="1:28" x14ac:dyDescent="0.25">
      <c r="A241">
        <v>5560</v>
      </c>
      <c r="B241">
        <v>22250</v>
      </c>
      <c r="C241" s="1">
        <v>42819</v>
      </c>
      <c r="F241" s="50"/>
      <c r="G241">
        <v>10.4</v>
      </c>
      <c r="H241">
        <v>5.4</v>
      </c>
      <c r="I241">
        <v>14.2</v>
      </c>
      <c r="J241">
        <f t="shared" si="33"/>
        <v>1608.4999999999998</v>
      </c>
      <c r="K241">
        <f t="shared" si="28"/>
        <v>456</v>
      </c>
      <c r="M241" s="61">
        <v>0</v>
      </c>
      <c r="N241">
        <v>1.3</v>
      </c>
      <c r="O241">
        <f t="shared" si="30"/>
        <v>-1.3</v>
      </c>
      <c r="P241">
        <f t="shared" si="34"/>
        <v>170.7</v>
      </c>
      <c r="Q241">
        <v>202</v>
      </c>
      <c r="R241">
        <f t="shared" si="27"/>
        <v>1.1359374999999998</v>
      </c>
      <c r="S241">
        <f t="shared" si="31"/>
        <v>1.4767187499999999</v>
      </c>
      <c r="T241" s="24">
        <f t="shared" si="32"/>
        <v>-1.4767187499999999</v>
      </c>
      <c r="U241" s="62">
        <f t="shared" si="26"/>
        <v>120.62328124999999</v>
      </c>
      <c r="W241">
        <v>1182.3</v>
      </c>
      <c r="Y241">
        <f t="shared" si="35"/>
        <v>117631.09999999996</v>
      </c>
      <c r="Z241">
        <f t="shared" si="29"/>
        <v>31208.400000000001</v>
      </c>
      <c r="AA241">
        <v>12.172759390979675</v>
      </c>
    </row>
    <row r="242" spans="1:28" x14ac:dyDescent="0.25">
      <c r="A242">
        <v>5560</v>
      </c>
      <c r="B242">
        <v>22250</v>
      </c>
      <c r="C242" s="1">
        <v>42820</v>
      </c>
      <c r="F242" s="50"/>
      <c r="G242">
        <v>10.8</v>
      </c>
      <c r="H242">
        <v>7</v>
      </c>
      <c r="I242">
        <v>16</v>
      </c>
      <c r="J242">
        <f t="shared" si="33"/>
        <v>1619.2999999999997</v>
      </c>
      <c r="K242">
        <f t="shared" si="28"/>
        <v>466.8</v>
      </c>
      <c r="M242" s="61">
        <v>0</v>
      </c>
      <c r="N242">
        <v>2.1</v>
      </c>
      <c r="O242">
        <f t="shared" si="30"/>
        <v>-2.1</v>
      </c>
      <c r="P242">
        <f t="shared" si="34"/>
        <v>168.6</v>
      </c>
      <c r="Q242">
        <v>203</v>
      </c>
      <c r="R242">
        <f t="shared" si="27"/>
        <v>1.1382812499999999</v>
      </c>
      <c r="S242">
        <f t="shared" si="31"/>
        <v>2.3903906249999998</v>
      </c>
      <c r="T242" s="24">
        <f t="shared" si="32"/>
        <v>-2.3903906249999998</v>
      </c>
      <c r="U242" s="62">
        <f t="shared" ref="U242:U305" si="36">MIN(122.1,U241+T242)</f>
        <v>118.232890625</v>
      </c>
      <c r="W242">
        <v>1557.7</v>
      </c>
      <c r="Y242">
        <f t="shared" si="35"/>
        <v>119188.79999999996</v>
      </c>
      <c r="Z242">
        <f t="shared" si="29"/>
        <v>32766.100000000002</v>
      </c>
      <c r="AA242">
        <v>12.230308084065273</v>
      </c>
    </row>
    <row r="243" spans="1:28" x14ac:dyDescent="0.25">
      <c r="A243">
        <v>5560</v>
      </c>
      <c r="B243">
        <v>22250</v>
      </c>
      <c r="C243" s="1">
        <v>42821</v>
      </c>
      <c r="F243" s="50"/>
      <c r="G243">
        <v>11.6</v>
      </c>
      <c r="H243">
        <v>5.4</v>
      </c>
      <c r="I243">
        <v>16.8</v>
      </c>
      <c r="J243">
        <f t="shared" si="33"/>
        <v>1630.8999999999996</v>
      </c>
      <c r="K243">
        <f t="shared" si="28"/>
        <v>478.40000000000003</v>
      </c>
      <c r="M243">
        <v>0</v>
      </c>
      <c r="N243">
        <v>2.4</v>
      </c>
      <c r="O243">
        <f t="shared" si="30"/>
        <v>-2.4</v>
      </c>
      <c r="P243">
        <f t="shared" si="34"/>
        <v>166.2</v>
      </c>
      <c r="Q243">
        <v>204</v>
      </c>
      <c r="R243">
        <f t="shared" si="27"/>
        <v>1.140625</v>
      </c>
      <c r="S243">
        <f t="shared" si="31"/>
        <v>2.7374999999999998</v>
      </c>
      <c r="T243" s="24">
        <f t="shared" si="32"/>
        <v>-2.7374999999999998</v>
      </c>
      <c r="U243" s="24">
        <f t="shared" si="36"/>
        <v>115.495390625</v>
      </c>
      <c r="W243">
        <v>1828.4</v>
      </c>
      <c r="Y243">
        <f t="shared" si="35"/>
        <v>121017.19999999995</v>
      </c>
      <c r="Z243">
        <f t="shared" si="29"/>
        <v>34594.5</v>
      </c>
      <c r="AA243">
        <v>12.287824316092866</v>
      </c>
    </row>
    <row r="244" spans="1:28" x14ac:dyDescent="0.25">
      <c r="A244">
        <v>5560</v>
      </c>
      <c r="B244">
        <v>22250</v>
      </c>
      <c r="C244" s="1">
        <v>42822</v>
      </c>
      <c r="F244" s="50"/>
      <c r="G244">
        <v>12.2</v>
      </c>
      <c r="H244">
        <v>9.1</v>
      </c>
      <c r="I244">
        <v>16.399999999999999</v>
      </c>
      <c r="J244">
        <f t="shared" si="33"/>
        <v>1643.0999999999997</v>
      </c>
      <c r="K244">
        <f t="shared" si="28"/>
        <v>490.6</v>
      </c>
      <c r="M244">
        <v>0.1</v>
      </c>
      <c r="N244">
        <v>1.3</v>
      </c>
      <c r="O244">
        <f t="shared" si="30"/>
        <v>-1.2</v>
      </c>
      <c r="P244">
        <f t="shared" si="34"/>
        <v>165</v>
      </c>
      <c r="Q244">
        <v>205</v>
      </c>
      <c r="R244">
        <f t="shared" si="27"/>
        <v>1.1429687499999999</v>
      </c>
      <c r="S244">
        <f t="shared" si="31"/>
        <v>1.485859375</v>
      </c>
      <c r="T244" s="24">
        <f t="shared" si="32"/>
        <v>-1.3858593749999999</v>
      </c>
      <c r="U244" s="24">
        <f t="shared" si="36"/>
        <v>114.10953125</v>
      </c>
      <c r="W244">
        <v>952.8</v>
      </c>
      <c r="Y244">
        <f t="shared" si="35"/>
        <v>121969.99999999996</v>
      </c>
      <c r="Z244">
        <f t="shared" si="29"/>
        <v>35547.300000000003</v>
      </c>
      <c r="AA244">
        <v>12.345299864025222</v>
      </c>
    </row>
    <row r="245" spans="1:28" x14ac:dyDescent="0.25">
      <c r="A245">
        <v>5560</v>
      </c>
      <c r="B245">
        <v>22250</v>
      </c>
      <c r="C245" s="1">
        <v>42823</v>
      </c>
      <c r="F245" s="50"/>
      <c r="G245">
        <v>12.2</v>
      </c>
      <c r="H245">
        <v>3.7</v>
      </c>
      <c r="I245">
        <v>19.600000000000001</v>
      </c>
      <c r="J245">
        <f t="shared" si="33"/>
        <v>1655.2999999999997</v>
      </c>
      <c r="K245">
        <f t="shared" si="28"/>
        <v>502.8</v>
      </c>
      <c r="M245">
        <v>0</v>
      </c>
      <c r="N245">
        <v>2.2999999999999998</v>
      </c>
      <c r="O245">
        <f t="shared" si="30"/>
        <v>-2.2999999999999998</v>
      </c>
      <c r="P245">
        <f t="shared" si="34"/>
        <v>162.69999999999999</v>
      </c>
      <c r="Q245">
        <v>206</v>
      </c>
      <c r="R245">
        <f t="shared" si="27"/>
        <v>1.1453125</v>
      </c>
      <c r="S245">
        <f t="shared" si="31"/>
        <v>2.6342187499999996</v>
      </c>
      <c r="T245" s="24">
        <f t="shared" si="32"/>
        <v>-2.6342187499999996</v>
      </c>
      <c r="U245" s="24">
        <f t="shared" si="36"/>
        <v>111.4753125</v>
      </c>
      <c r="W245">
        <v>1656.5</v>
      </c>
      <c r="Y245">
        <f t="shared" si="35"/>
        <v>123626.49999999996</v>
      </c>
      <c r="Z245">
        <f t="shared" si="29"/>
        <v>37203.800000000003</v>
      </c>
      <c r="AA245">
        <v>12.402726433097742</v>
      </c>
    </row>
    <row r="246" spans="1:28" x14ac:dyDescent="0.25">
      <c r="A246">
        <v>5560</v>
      </c>
      <c r="B246">
        <v>22250</v>
      </c>
      <c r="C246" s="1">
        <v>42824</v>
      </c>
      <c r="F246" s="50"/>
      <c r="G246">
        <v>14.6</v>
      </c>
      <c r="H246">
        <v>6.5</v>
      </c>
      <c r="I246">
        <v>21.9</v>
      </c>
      <c r="J246">
        <f t="shared" si="33"/>
        <v>1669.8999999999996</v>
      </c>
      <c r="K246">
        <f t="shared" si="28"/>
        <v>517.4</v>
      </c>
      <c r="M246">
        <v>0</v>
      </c>
      <c r="N246">
        <v>2.6</v>
      </c>
      <c r="O246">
        <f t="shared" si="30"/>
        <v>-2.6</v>
      </c>
      <c r="P246">
        <f t="shared" si="34"/>
        <v>160.1</v>
      </c>
      <c r="Q246">
        <v>207</v>
      </c>
      <c r="R246">
        <f t="shared" si="27"/>
        <v>1.1476562499999998</v>
      </c>
      <c r="S246">
        <f t="shared" si="31"/>
        <v>2.9839062499999995</v>
      </c>
      <c r="T246" s="24">
        <f t="shared" si="32"/>
        <v>-2.9839062499999995</v>
      </c>
      <c r="U246" s="24">
        <f t="shared" si="36"/>
        <v>108.49140625</v>
      </c>
      <c r="W246">
        <v>1575.7</v>
      </c>
      <c r="Y246">
        <f t="shared" si="35"/>
        <v>125202.19999999995</v>
      </c>
      <c r="Z246">
        <f t="shared" si="29"/>
        <v>38779.5</v>
      </c>
      <c r="AA246">
        <v>12.460095642595606</v>
      </c>
    </row>
    <row r="247" spans="1:28" s="32" customFormat="1" ht="15.75" thickBot="1" x14ac:dyDescent="0.3">
      <c r="A247" s="32">
        <v>5560</v>
      </c>
      <c r="B247" s="32">
        <v>22250</v>
      </c>
      <c r="C247" s="33">
        <v>42825</v>
      </c>
      <c r="F247" s="50"/>
      <c r="G247" s="32">
        <v>12.3</v>
      </c>
      <c r="H247" s="32">
        <v>11.4</v>
      </c>
      <c r="I247" s="32">
        <v>14.3</v>
      </c>
      <c r="J247" s="32">
        <f t="shared" si="33"/>
        <v>1682.1999999999996</v>
      </c>
      <c r="K247" s="32">
        <f t="shared" si="28"/>
        <v>529.69999999999993</v>
      </c>
      <c r="L247" s="34"/>
      <c r="M247" s="32">
        <v>8.8000000000000007</v>
      </c>
      <c r="N247" s="32">
        <v>1.4</v>
      </c>
      <c r="O247" s="32">
        <f t="shared" si="30"/>
        <v>7.4</v>
      </c>
      <c r="P247" s="32">
        <f t="shared" si="34"/>
        <v>167.5</v>
      </c>
      <c r="Q247" s="32">
        <v>208</v>
      </c>
      <c r="R247">
        <f t="shared" si="27"/>
        <v>1.1499999999999999</v>
      </c>
      <c r="S247" s="32">
        <f t="shared" si="31"/>
        <v>1.6099999999999999</v>
      </c>
      <c r="T247" s="35">
        <f t="shared" si="32"/>
        <v>7.1900000000000013</v>
      </c>
      <c r="U247" s="24">
        <f t="shared" si="36"/>
        <v>115.68140624999999</v>
      </c>
      <c r="W247" s="32">
        <v>293.8</v>
      </c>
      <c r="Y247" s="32">
        <f t="shared" si="35"/>
        <v>125495.99999999996</v>
      </c>
      <c r="Z247" s="32">
        <f t="shared" si="29"/>
        <v>39073.300000000003</v>
      </c>
      <c r="AA247" s="32">
        <v>12.517399011699757</v>
      </c>
    </row>
    <row r="248" spans="1:28" s="39" customFormat="1" x14ac:dyDescent="0.25">
      <c r="A248" s="39">
        <v>5560</v>
      </c>
      <c r="B248" s="39">
        <v>22250</v>
      </c>
      <c r="C248" s="40">
        <v>42826</v>
      </c>
      <c r="D248" t="s">
        <v>34</v>
      </c>
      <c r="F248" s="51" t="s">
        <v>49</v>
      </c>
      <c r="G248" s="39">
        <v>10.5</v>
      </c>
      <c r="H248" s="39">
        <v>8.1999999999999993</v>
      </c>
      <c r="I248" s="39">
        <v>13.6</v>
      </c>
      <c r="J248" s="39">
        <f t="shared" si="33"/>
        <v>1692.6999999999996</v>
      </c>
      <c r="K248" s="39">
        <f>G248</f>
        <v>10.5</v>
      </c>
      <c r="L248" s="16" t="s">
        <v>38</v>
      </c>
      <c r="M248" s="39">
        <v>1</v>
      </c>
      <c r="N248" s="39">
        <v>1.5</v>
      </c>
      <c r="O248" s="39">
        <f t="shared" si="30"/>
        <v>-0.5</v>
      </c>
      <c r="P248" s="39">
        <f t="shared" si="34"/>
        <v>167</v>
      </c>
      <c r="Q248" s="39">
        <v>209</v>
      </c>
      <c r="R248" s="39">
        <v>1.1499999999999999</v>
      </c>
      <c r="S248" s="39">
        <f t="shared" si="31"/>
        <v>1.7249999999999999</v>
      </c>
      <c r="T248" s="41">
        <f t="shared" si="32"/>
        <v>-0.72499999999999987</v>
      </c>
      <c r="U248" s="24">
        <f t="shared" si="36"/>
        <v>114.95640625</v>
      </c>
      <c r="V248" s="28" t="s">
        <v>53</v>
      </c>
      <c r="W248" s="39">
        <v>1056.4000000000001</v>
      </c>
      <c r="Y248" s="39">
        <f t="shared" si="35"/>
        <v>126552.39999999995</v>
      </c>
      <c r="Z248" s="39">
        <f>W248</f>
        <v>1056.4000000000001</v>
      </c>
      <c r="AA248" s="39">
        <v>12.574627945414777</v>
      </c>
      <c r="AB248" s="28" t="s">
        <v>58</v>
      </c>
    </row>
    <row r="249" spans="1:28" ht="15" customHeight="1" x14ac:dyDescent="0.25">
      <c r="A249">
        <v>5560</v>
      </c>
      <c r="B249">
        <v>22250</v>
      </c>
      <c r="C249" s="1">
        <v>42827</v>
      </c>
      <c r="F249" s="51"/>
      <c r="G249">
        <v>10.6</v>
      </c>
      <c r="H249">
        <v>7.4</v>
      </c>
      <c r="I249">
        <v>14.1</v>
      </c>
      <c r="J249">
        <f t="shared" si="33"/>
        <v>1703.2999999999995</v>
      </c>
      <c r="K249">
        <f>K248+G249</f>
        <v>21.1</v>
      </c>
      <c r="L249" s="12">
        <v>220.6</v>
      </c>
      <c r="M249">
        <v>2.1</v>
      </c>
      <c r="N249">
        <v>1.5</v>
      </c>
      <c r="O249">
        <f t="shared" si="30"/>
        <v>0.60000000000000009</v>
      </c>
      <c r="P249">
        <f t="shared" si="34"/>
        <v>167.6</v>
      </c>
      <c r="Q249">
        <v>210</v>
      </c>
      <c r="R249">
        <v>1.1499999999999999</v>
      </c>
      <c r="S249">
        <f t="shared" si="31"/>
        <v>1.7249999999999999</v>
      </c>
      <c r="T249" s="24">
        <f t="shared" si="32"/>
        <v>0.37500000000000022</v>
      </c>
      <c r="U249" s="24">
        <f t="shared" si="36"/>
        <v>115.33140625</v>
      </c>
      <c r="V249">
        <v>0</v>
      </c>
      <c r="W249">
        <v>1000.1</v>
      </c>
      <c r="Y249">
        <f t="shared" si="35"/>
        <v>127552.49999999996</v>
      </c>
      <c r="Z249">
        <f>Z248+W249</f>
        <v>2056.5</v>
      </c>
      <c r="AA249">
        <v>12.631773720592458</v>
      </c>
      <c r="AB249">
        <v>35556.800000000003</v>
      </c>
    </row>
    <row r="250" spans="1:28" x14ac:dyDescent="0.25">
      <c r="A250">
        <v>5560</v>
      </c>
      <c r="B250">
        <v>22250</v>
      </c>
      <c r="C250" s="1">
        <v>42828</v>
      </c>
      <c r="F250" s="51"/>
      <c r="G250">
        <v>12.1</v>
      </c>
      <c r="H250">
        <v>5.9</v>
      </c>
      <c r="I250">
        <v>17.899999999999999</v>
      </c>
      <c r="J250">
        <f t="shared" si="33"/>
        <v>1715.3999999999994</v>
      </c>
      <c r="K250">
        <f t="shared" si="28"/>
        <v>33.200000000000003</v>
      </c>
      <c r="L250" s="16" t="s">
        <v>39</v>
      </c>
      <c r="M250">
        <v>0</v>
      </c>
      <c r="N250">
        <v>2.8</v>
      </c>
      <c r="O250">
        <f t="shared" si="30"/>
        <v>-2.8</v>
      </c>
      <c r="P250">
        <f t="shared" si="34"/>
        <v>164.79999999999998</v>
      </c>
      <c r="Q250">
        <v>211</v>
      </c>
      <c r="R250">
        <v>1.1499999999999999</v>
      </c>
      <c r="S250">
        <f t="shared" si="31"/>
        <v>3.2199999999999998</v>
      </c>
      <c r="T250" s="24">
        <f t="shared" si="32"/>
        <v>-3.2199999999999998</v>
      </c>
      <c r="U250" s="24">
        <f t="shared" si="36"/>
        <v>112.11140625</v>
      </c>
      <c r="V250" s="28" t="s">
        <v>54</v>
      </c>
      <c r="W250">
        <v>1789</v>
      </c>
      <c r="Y250">
        <f t="shared" si="35"/>
        <v>129341.49999999996</v>
      </c>
      <c r="Z250">
        <f t="shared" ref="Z250:Z313" si="37">Z249+W250</f>
        <v>3845.5</v>
      </c>
      <c r="AA250">
        <v>12.688827472065753</v>
      </c>
      <c r="AB250" s="28" t="s">
        <v>59</v>
      </c>
    </row>
    <row r="251" spans="1:28" x14ac:dyDescent="0.25">
      <c r="A251">
        <v>5560</v>
      </c>
      <c r="B251">
        <v>22250</v>
      </c>
      <c r="C251" s="1">
        <v>42829</v>
      </c>
      <c r="F251" s="51"/>
      <c r="G251">
        <v>12.4</v>
      </c>
      <c r="H251">
        <v>8.6999999999999993</v>
      </c>
      <c r="I251">
        <v>17</v>
      </c>
      <c r="J251">
        <f t="shared" si="33"/>
        <v>1727.7999999999995</v>
      </c>
      <c r="K251">
        <f t="shared" si="28"/>
        <v>45.6</v>
      </c>
      <c r="L251" s="17">
        <f>AVERAGE(G248:G268)</f>
        <v>10.504761904761905</v>
      </c>
      <c r="M251">
        <v>0</v>
      </c>
      <c r="N251">
        <v>1.8</v>
      </c>
      <c r="O251">
        <f t="shared" si="30"/>
        <v>-1.8</v>
      </c>
      <c r="P251">
        <f t="shared" si="34"/>
        <v>162.99999999999997</v>
      </c>
      <c r="Q251">
        <v>212</v>
      </c>
      <c r="R251">
        <v>1.1499999999999999</v>
      </c>
      <c r="S251">
        <f t="shared" si="31"/>
        <v>2.0699999999999998</v>
      </c>
      <c r="T251" s="24">
        <f t="shared" si="32"/>
        <v>-2.0699999999999998</v>
      </c>
      <c r="U251" s="24">
        <f t="shared" si="36"/>
        <v>110.04140625000001</v>
      </c>
      <c r="V251">
        <v>0</v>
      </c>
      <c r="W251">
        <v>797.3</v>
      </c>
      <c r="Y251">
        <f t="shared" si="35"/>
        <v>130138.79999999996</v>
      </c>
      <c r="Z251">
        <f t="shared" si="37"/>
        <v>4642.8</v>
      </c>
      <c r="AA251">
        <v>12.745780178908705</v>
      </c>
      <c r="AB251" s="24">
        <f>(AB249/100)/L249</f>
        <v>1.611822302810517</v>
      </c>
    </row>
    <row r="252" spans="1:28" x14ac:dyDescent="0.25">
      <c r="A252">
        <v>5560</v>
      </c>
      <c r="B252">
        <v>22250</v>
      </c>
      <c r="C252" s="1">
        <v>42830</v>
      </c>
      <c r="F252" s="51"/>
      <c r="G252">
        <v>10.8</v>
      </c>
      <c r="H252">
        <v>7.6</v>
      </c>
      <c r="I252">
        <v>14.4</v>
      </c>
      <c r="J252">
        <f t="shared" si="33"/>
        <v>1738.5999999999995</v>
      </c>
      <c r="K252">
        <f t="shared" si="28"/>
        <v>56.400000000000006</v>
      </c>
      <c r="L252" s="16" t="s">
        <v>40</v>
      </c>
      <c r="M252">
        <v>0</v>
      </c>
      <c r="N252">
        <v>2.1</v>
      </c>
      <c r="O252">
        <f t="shared" si="30"/>
        <v>-2.1</v>
      </c>
      <c r="P252">
        <f t="shared" si="34"/>
        <v>160.89999999999998</v>
      </c>
      <c r="Q252">
        <v>213</v>
      </c>
      <c r="R252">
        <v>1.1499999999999999</v>
      </c>
      <c r="S252">
        <f t="shared" si="31"/>
        <v>2.415</v>
      </c>
      <c r="T252" s="24">
        <f t="shared" si="32"/>
        <v>-2.415</v>
      </c>
      <c r="U252" s="24">
        <f t="shared" si="36"/>
        <v>107.62640625</v>
      </c>
      <c r="V252" s="28" t="s">
        <v>55</v>
      </c>
      <c r="W252">
        <v>1662.7</v>
      </c>
      <c r="Y252">
        <f t="shared" si="35"/>
        <v>131801.49999999997</v>
      </c>
      <c r="Z252">
        <f t="shared" si="37"/>
        <v>6305.5</v>
      </c>
      <c r="AA252">
        <v>12.802622650838973</v>
      </c>
      <c r="AB252" s="28" t="s">
        <v>60</v>
      </c>
    </row>
    <row r="253" spans="1:28" x14ac:dyDescent="0.25">
      <c r="A253">
        <v>5560</v>
      </c>
      <c r="B253">
        <v>22250</v>
      </c>
      <c r="C253" s="1">
        <v>42831</v>
      </c>
      <c r="F253" s="51"/>
      <c r="G253">
        <v>8.1999999999999993</v>
      </c>
      <c r="H253">
        <v>4.2</v>
      </c>
      <c r="I253">
        <v>13</v>
      </c>
      <c r="J253">
        <f t="shared" si="33"/>
        <v>1746.7999999999995</v>
      </c>
      <c r="K253">
        <f t="shared" si="28"/>
        <v>64.600000000000009</v>
      </c>
      <c r="L253" s="13">
        <f>MIN(H248:H268)</f>
        <v>0.4</v>
      </c>
      <c r="M253">
        <v>0</v>
      </c>
      <c r="N253">
        <v>2.8</v>
      </c>
      <c r="O253">
        <f t="shared" si="30"/>
        <v>-2.8</v>
      </c>
      <c r="P253">
        <f t="shared" si="34"/>
        <v>158.09999999999997</v>
      </c>
      <c r="Q253">
        <v>214</v>
      </c>
      <c r="R253">
        <v>1.1499999999999999</v>
      </c>
      <c r="S253">
        <f t="shared" si="31"/>
        <v>3.2199999999999998</v>
      </c>
      <c r="T253" s="24">
        <f t="shared" si="32"/>
        <v>-3.2199999999999998</v>
      </c>
      <c r="U253" s="24">
        <f t="shared" si="36"/>
        <v>104.40640625</v>
      </c>
      <c r="V253" s="24">
        <f>MIN(U248:U268)</f>
        <v>58.176406250000007</v>
      </c>
      <c r="W253">
        <v>2056.1</v>
      </c>
      <c r="Y253">
        <f t="shared" si="35"/>
        <v>133857.59999999998</v>
      </c>
      <c r="Z253">
        <f t="shared" si="37"/>
        <v>8361.6</v>
      </c>
      <c r="AA253">
        <v>12.859345514780797</v>
      </c>
      <c r="AB253">
        <v>3</v>
      </c>
    </row>
    <row r="254" spans="1:28" x14ac:dyDescent="0.25">
      <c r="A254">
        <v>5560</v>
      </c>
      <c r="B254">
        <v>22250</v>
      </c>
      <c r="C254" s="1">
        <v>42832</v>
      </c>
      <c r="F254" s="51"/>
      <c r="G254">
        <v>10</v>
      </c>
      <c r="H254">
        <v>2.7</v>
      </c>
      <c r="I254">
        <v>15.8</v>
      </c>
      <c r="J254">
        <f t="shared" si="33"/>
        <v>1756.7999999999995</v>
      </c>
      <c r="K254">
        <f t="shared" ref="K254:K317" si="38">K253+G254</f>
        <v>74.600000000000009</v>
      </c>
      <c r="L254" s="16" t="s">
        <v>41</v>
      </c>
      <c r="M254">
        <v>0</v>
      </c>
      <c r="N254">
        <v>3.2</v>
      </c>
      <c r="O254">
        <f t="shared" si="30"/>
        <v>-3.2</v>
      </c>
      <c r="P254">
        <f t="shared" si="34"/>
        <v>154.89999999999998</v>
      </c>
      <c r="Q254">
        <v>215</v>
      </c>
      <c r="R254">
        <v>1.1499999999999999</v>
      </c>
      <c r="S254">
        <f t="shared" si="31"/>
        <v>3.6799999999999997</v>
      </c>
      <c r="T254" s="24">
        <f t="shared" si="32"/>
        <v>-3.6799999999999997</v>
      </c>
      <c r="U254" s="24">
        <f t="shared" si="36"/>
        <v>100.72640625</v>
      </c>
      <c r="V254" s="28" t="s">
        <v>56</v>
      </c>
      <c r="W254">
        <v>2322</v>
      </c>
      <c r="Y254">
        <f t="shared" si="35"/>
        <v>136179.59999999998</v>
      </c>
      <c r="Z254">
        <f t="shared" si="37"/>
        <v>10683.6</v>
      </c>
      <c r="AA254">
        <v>12.915939201607424</v>
      </c>
    </row>
    <row r="255" spans="1:28" x14ac:dyDescent="0.25">
      <c r="A255">
        <v>5560</v>
      </c>
      <c r="B255">
        <v>22250</v>
      </c>
      <c r="C255" s="1">
        <v>42833</v>
      </c>
      <c r="F255" s="51"/>
      <c r="G255">
        <v>13.2</v>
      </c>
      <c r="H255">
        <v>5.6</v>
      </c>
      <c r="I255">
        <v>19.7</v>
      </c>
      <c r="J255">
        <f t="shared" si="33"/>
        <v>1769.9999999999995</v>
      </c>
      <c r="K255">
        <f t="shared" si="38"/>
        <v>87.800000000000011</v>
      </c>
      <c r="L255" s="12">
        <f>MAX(I248:I268)</f>
        <v>23.1</v>
      </c>
      <c r="M255">
        <v>0</v>
      </c>
      <c r="N255">
        <v>3.5</v>
      </c>
      <c r="O255">
        <f t="shared" si="30"/>
        <v>-3.5</v>
      </c>
      <c r="P255">
        <f t="shared" si="34"/>
        <v>151.39999999999998</v>
      </c>
      <c r="Q255">
        <v>216</v>
      </c>
      <c r="R255">
        <v>1.1499999999999999</v>
      </c>
      <c r="S255">
        <f t="shared" si="31"/>
        <v>4.0249999999999995</v>
      </c>
      <c r="T255" s="24">
        <f t="shared" si="32"/>
        <v>-4.0249999999999995</v>
      </c>
      <c r="U255" s="24">
        <f t="shared" si="36"/>
        <v>96.701406249999991</v>
      </c>
      <c r="V255" s="24">
        <f>MAX(U248:U268)</f>
        <v>115.33140625</v>
      </c>
      <c r="W255">
        <v>2084.5</v>
      </c>
      <c r="Y255">
        <f t="shared" si="35"/>
        <v>138264.09999999998</v>
      </c>
      <c r="Z255">
        <f t="shared" si="37"/>
        <v>12768.1</v>
      </c>
      <c r="AA255">
        <v>12.972393933083364</v>
      </c>
    </row>
    <row r="256" spans="1:28" x14ac:dyDescent="0.25">
      <c r="A256">
        <v>5560</v>
      </c>
      <c r="B256">
        <v>22250</v>
      </c>
      <c r="C256" s="1">
        <v>42834</v>
      </c>
      <c r="F256" s="51"/>
      <c r="G256">
        <v>16.100000000000001</v>
      </c>
      <c r="H256">
        <v>7.7</v>
      </c>
      <c r="I256">
        <v>23.1</v>
      </c>
      <c r="J256">
        <f t="shared" si="33"/>
        <v>1786.0999999999995</v>
      </c>
      <c r="K256">
        <f t="shared" si="38"/>
        <v>103.9</v>
      </c>
      <c r="L256" s="16" t="s">
        <v>42</v>
      </c>
      <c r="M256">
        <v>0</v>
      </c>
      <c r="N256">
        <v>4</v>
      </c>
      <c r="O256">
        <f t="shared" si="30"/>
        <v>-4</v>
      </c>
      <c r="P256">
        <f t="shared" si="34"/>
        <v>147.39999999999998</v>
      </c>
      <c r="Q256">
        <v>217</v>
      </c>
      <c r="R256">
        <v>1.1499999999999999</v>
      </c>
      <c r="S256">
        <f t="shared" si="31"/>
        <v>4.5999999999999996</v>
      </c>
      <c r="T256" s="24">
        <f t="shared" si="32"/>
        <v>-4.5999999999999996</v>
      </c>
      <c r="U256" s="24">
        <f t="shared" si="36"/>
        <v>92.101406249999997</v>
      </c>
      <c r="V256" s="28" t="s">
        <v>57</v>
      </c>
      <c r="W256">
        <v>2378.6999999999998</v>
      </c>
      <c r="Y256">
        <f t="shared" si="35"/>
        <v>140642.79999999999</v>
      </c>
      <c r="Z256">
        <f t="shared" si="37"/>
        <v>15146.8</v>
      </c>
      <c r="AA256">
        <v>13.028699709028336</v>
      </c>
    </row>
    <row r="257" spans="1:28" x14ac:dyDescent="0.25">
      <c r="A257">
        <v>5560</v>
      </c>
      <c r="B257">
        <v>22250</v>
      </c>
      <c r="C257" s="1">
        <v>42835</v>
      </c>
      <c r="F257" s="51"/>
      <c r="G257">
        <v>12.1</v>
      </c>
      <c r="H257">
        <v>8.6999999999999993</v>
      </c>
      <c r="I257">
        <v>15.8</v>
      </c>
      <c r="J257">
        <f t="shared" si="33"/>
        <v>1798.1999999999994</v>
      </c>
      <c r="K257">
        <f t="shared" si="38"/>
        <v>116</v>
      </c>
      <c r="L257" s="12">
        <v>0</v>
      </c>
      <c r="M257">
        <v>0</v>
      </c>
      <c r="N257">
        <v>2.6</v>
      </c>
      <c r="O257">
        <f t="shared" si="30"/>
        <v>-2.6</v>
      </c>
      <c r="P257">
        <f t="shared" si="34"/>
        <v>144.79999999999998</v>
      </c>
      <c r="Q257">
        <v>218</v>
      </c>
      <c r="R257">
        <v>1.1499999999999999</v>
      </c>
      <c r="S257">
        <f t="shared" si="31"/>
        <v>2.9899999999999998</v>
      </c>
      <c r="T257" s="24">
        <f t="shared" si="32"/>
        <v>-2.9899999999999998</v>
      </c>
      <c r="U257" s="24">
        <f t="shared" si="36"/>
        <v>89.111406250000002</v>
      </c>
      <c r="V257" s="24">
        <f>AVERAGE(U248:U268)</f>
        <v>88.179025297619063</v>
      </c>
      <c r="W257">
        <v>1962.5</v>
      </c>
      <c r="Y257">
        <f t="shared" si="35"/>
        <v>142605.29999999999</v>
      </c>
      <c r="Z257">
        <f t="shared" si="37"/>
        <v>17109.3</v>
      </c>
      <c r="AA257">
        <v>13.084846294726235</v>
      </c>
    </row>
    <row r="258" spans="1:28" x14ac:dyDescent="0.25">
      <c r="A258">
        <v>5560</v>
      </c>
      <c r="B258">
        <v>22250</v>
      </c>
      <c r="C258" s="1">
        <v>42836</v>
      </c>
      <c r="F258" s="51"/>
      <c r="G258">
        <v>9.8000000000000007</v>
      </c>
      <c r="H258">
        <v>4.4000000000000004</v>
      </c>
      <c r="I258">
        <v>14.5</v>
      </c>
      <c r="J258">
        <f t="shared" si="33"/>
        <v>1807.9999999999993</v>
      </c>
      <c r="K258">
        <f t="shared" si="38"/>
        <v>125.8</v>
      </c>
      <c r="L258" s="16" t="s">
        <v>43</v>
      </c>
      <c r="M258">
        <v>0</v>
      </c>
      <c r="N258">
        <v>2.5</v>
      </c>
      <c r="O258">
        <f t="shared" si="30"/>
        <v>-2.5</v>
      </c>
      <c r="P258">
        <f t="shared" si="34"/>
        <v>142.29999999999998</v>
      </c>
      <c r="Q258">
        <v>219</v>
      </c>
      <c r="R258">
        <v>1.1499999999999999</v>
      </c>
      <c r="S258">
        <f t="shared" si="31"/>
        <v>2.875</v>
      </c>
      <c r="T258" s="24">
        <f t="shared" si="32"/>
        <v>-2.875</v>
      </c>
      <c r="U258" s="24">
        <f t="shared" si="36"/>
        <v>86.236406250000002</v>
      </c>
      <c r="W258">
        <v>1872</v>
      </c>
      <c r="Y258">
        <f t="shared" si="35"/>
        <v>144477.29999999999</v>
      </c>
      <c r="Z258">
        <f t="shared" si="37"/>
        <v>18981.3</v>
      </c>
      <c r="AA258">
        <v>13.14082320860406</v>
      </c>
    </row>
    <row r="259" spans="1:28" x14ac:dyDescent="0.25">
      <c r="A259">
        <v>5560</v>
      </c>
      <c r="B259">
        <v>22250</v>
      </c>
      <c r="C259" s="1">
        <v>42837</v>
      </c>
      <c r="F259" s="51"/>
      <c r="G259">
        <v>10.9</v>
      </c>
      <c r="H259">
        <v>2.7</v>
      </c>
      <c r="I259">
        <v>17.2</v>
      </c>
      <c r="J259">
        <f t="shared" si="33"/>
        <v>1818.8999999999994</v>
      </c>
      <c r="K259">
        <f t="shared" si="38"/>
        <v>136.69999999999999</v>
      </c>
      <c r="L259" s="12">
        <v>10</v>
      </c>
      <c r="M259">
        <v>0</v>
      </c>
      <c r="N259">
        <v>2.9</v>
      </c>
      <c r="O259">
        <f t="shared" si="30"/>
        <v>-2.9</v>
      </c>
      <c r="P259">
        <f t="shared" si="34"/>
        <v>139.39999999999998</v>
      </c>
      <c r="Q259">
        <v>220</v>
      </c>
      <c r="R259">
        <v>1.1499999999999999</v>
      </c>
      <c r="S259">
        <f t="shared" si="31"/>
        <v>3.3349999999999995</v>
      </c>
      <c r="T259" s="24">
        <f t="shared" si="32"/>
        <v>-3.3349999999999995</v>
      </c>
      <c r="U259" s="24">
        <f t="shared" si="36"/>
        <v>82.901406250000008</v>
      </c>
      <c r="V259" s="43">
        <f>(V257*100)/122.1</f>
        <v>72.218693937443959</v>
      </c>
      <c r="W259">
        <v>2069.6999999999998</v>
      </c>
      <c r="Y259">
        <f t="shared" si="35"/>
        <v>146547</v>
      </c>
      <c r="Z259">
        <f t="shared" si="37"/>
        <v>21051</v>
      </c>
      <c r="AA259">
        <v>13.1966197102075</v>
      </c>
    </row>
    <row r="260" spans="1:28" x14ac:dyDescent="0.25">
      <c r="A260">
        <v>5560</v>
      </c>
      <c r="B260">
        <v>22250</v>
      </c>
      <c r="C260" s="1">
        <v>42838</v>
      </c>
      <c r="F260" s="51"/>
      <c r="G260">
        <v>11.6</v>
      </c>
      <c r="H260">
        <v>4.5999999999999996</v>
      </c>
      <c r="I260">
        <v>17.899999999999999</v>
      </c>
      <c r="J260">
        <f t="shared" si="33"/>
        <v>1830.4999999999993</v>
      </c>
      <c r="K260">
        <f t="shared" si="38"/>
        <v>148.29999999999998</v>
      </c>
      <c r="L260" s="16" t="s">
        <v>44</v>
      </c>
      <c r="M260">
        <v>0</v>
      </c>
      <c r="N260">
        <v>2.7</v>
      </c>
      <c r="O260">
        <f t="shared" si="30"/>
        <v>-2.7</v>
      </c>
      <c r="P260">
        <f t="shared" si="34"/>
        <v>136.69999999999999</v>
      </c>
      <c r="Q260">
        <v>221</v>
      </c>
      <c r="R260">
        <v>1.1499999999999999</v>
      </c>
      <c r="S260">
        <f t="shared" si="31"/>
        <v>3.105</v>
      </c>
      <c r="T260" s="24">
        <f t="shared" si="32"/>
        <v>-3.105</v>
      </c>
      <c r="U260" s="24">
        <f t="shared" si="36"/>
        <v>79.796406250000004</v>
      </c>
      <c r="W260">
        <v>2068.6999999999998</v>
      </c>
      <c r="Y260">
        <f t="shared" si="35"/>
        <v>148615.70000000001</v>
      </c>
      <c r="Z260">
        <f t="shared" si="37"/>
        <v>23119.7</v>
      </c>
      <c r="AA260">
        <v>13.252224788501596</v>
      </c>
    </row>
    <row r="261" spans="1:28" x14ac:dyDescent="0.25">
      <c r="A261">
        <v>5560</v>
      </c>
      <c r="B261">
        <v>22250</v>
      </c>
      <c r="C261" s="1">
        <v>42839</v>
      </c>
      <c r="F261" s="51"/>
      <c r="G261">
        <v>12.4</v>
      </c>
      <c r="H261">
        <v>6.7</v>
      </c>
      <c r="I261">
        <v>17.7</v>
      </c>
      <c r="J261">
        <f t="shared" si="33"/>
        <v>1842.8999999999994</v>
      </c>
      <c r="K261">
        <f t="shared" si="38"/>
        <v>160.69999999999999</v>
      </c>
      <c r="L261" s="18">
        <v>0</v>
      </c>
      <c r="M261">
        <v>0</v>
      </c>
      <c r="N261">
        <v>2.2999999999999998</v>
      </c>
      <c r="O261">
        <f t="shared" si="30"/>
        <v>-2.2999999999999998</v>
      </c>
      <c r="P261">
        <f t="shared" si="34"/>
        <v>134.39999999999998</v>
      </c>
      <c r="Q261">
        <v>222</v>
      </c>
      <c r="R261">
        <v>1.1499999999999999</v>
      </c>
      <c r="S261">
        <f t="shared" si="31"/>
        <v>2.6449999999999996</v>
      </c>
      <c r="T261" s="24">
        <f t="shared" si="32"/>
        <v>-2.6449999999999996</v>
      </c>
      <c r="U261" s="24">
        <f t="shared" si="36"/>
        <v>77.151406250000008</v>
      </c>
      <c r="W261">
        <v>1655.6</v>
      </c>
      <c r="Y261">
        <f t="shared" si="35"/>
        <v>150271.30000000002</v>
      </c>
      <c r="Z261">
        <f t="shared" si="37"/>
        <v>24775.3</v>
      </c>
      <c r="AA261">
        <v>13.307627150526725</v>
      </c>
    </row>
    <row r="262" spans="1:28" x14ac:dyDescent="0.25">
      <c r="A262">
        <v>5560</v>
      </c>
      <c r="B262">
        <v>22250</v>
      </c>
      <c r="C262" s="1">
        <v>42840</v>
      </c>
      <c r="F262" s="51"/>
      <c r="G262">
        <v>10.9</v>
      </c>
      <c r="H262">
        <v>8.6</v>
      </c>
      <c r="I262">
        <v>12.5</v>
      </c>
      <c r="J262">
        <f t="shared" si="33"/>
        <v>1853.7999999999995</v>
      </c>
      <c r="K262">
        <f t="shared" si="38"/>
        <v>171.6</v>
      </c>
      <c r="M262">
        <v>0</v>
      </c>
      <c r="N262">
        <v>0.8</v>
      </c>
      <c r="O262">
        <f t="shared" si="30"/>
        <v>-0.8</v>
      </c>
      <c r="P262">
        <f t="shared" si="34"/>
        <v>133.59999999999997</v>
      </c>
      <c r="Q262">
        <v>223</v>
      </c>
      <c r="R262">
        <v>1.1499999999999999</v>
      </c>
      <c r="S262">
        <f t="shared" si="31"/>
        <v>0.91999999999999993</v>
      </c>
      <c r="T262" s="24">
        <f t="shared" si="32"/>
        <v>-0.91999999999999993</v>
      </c>
      <c r="U262" s="24">
        <f t="shared" si="36"/>
        <v>76.231406250000006</v>
      </c>
      <c r="W262">
        <v>366.6</v>
      </c>
      <c r="Y262">
        <f t="shared" si="35"/>
        <v>150637.90000000002</v>
      </c>
      <c r="Z262">
        <f t="shared" si="37"/>
        <v>25141.899999999998</v>
      </c>
      <c r="AA262">
        <v>13.362815210442136</v>
      </c>
    </row>
    <row r="263" spans="1:28" x14ac:dyDescent="0.25">
      <c r="A263">
        <v>5560</v>
      </c>
      <c r="B263">
        <v>22250</v>
      </c>
      <c r="C263" s="1">
        <v>42841</v>
      </c>
      <c r="F263" s="51"/>
      <c r="G263">
        <v>10.7</v>
      </c>
      <c r="H263">
        <v>8.1</v>
      </c>
      <c r="I263">
        <v>12.7</v>
      </c>
      <c r="J263">
        <f t="shared" si="33"/>
        <v>1864.4999999999995</v>
      </c>
      <c r="K263">
        <f t="shared" si="38"/>
        <v>182.29999999999998</v>
      </c>
      <c r="M263">
        <v>0</v>
      </c>
      <c r="N263">
        <v>1.1000000000000001</v>
      </c>
      <c r="O263">
        <f t="shared" si="30"/>
        <v>-1.1000000000000001</v>
      </c>
      <c r="P263">
        <f t="shared" si="34"/>
        <v>132.49999999999997</v>
      </c>
      <c r="Q263">
        <v>224</v>
      </c>
      <c r="R263">
        <v>1.1499999999999999</v>
      </c>
      <c r="S263">
        <f t="shared" si="31"/>
        <v>1.2649999999999999</v>
      </c>
      <c r="T263" s="24">
        <f t="shared" si="32"/>
        <v>-1.2649999999999999</v>
      </c>
      <c r="U263" s="24">
        <f t="shared" si="36"/>
        <v>74.966406250000006</v>
      </c>
      <c r="W263">
        <v>594.4</v>
      </c>
      <c r="Y263">
        <f t="shared" si="35"/>
        <v>151232.30000000002</v>
      </c>
      <c r="Z263">
        <f t="shared" si="37"/>
        <v>25736.3</v>
      </c>
      <c r="AA263">
        <v>13.417777078991163</v>
      </c>
    </row>
    <row r="264" spans="1:28" x14ac:dyDescent="0.25">
      <c r="A264">
        <v>5560</v>
      </c>
      <c r="B264">
        <v>22250</v>
      </c>
      <c r="C264" s="1">
        <v>42842</v>
      </c>
      <c r="F264" s="51"/>
      <c r="G264">
        <v>9.9</v>
      </c>
      <c r="H264">
        <v>4.4000000000000004</v>
      </c>
      <c r="I264">
        <v>14.9</v>
      </c>
      <c r="J264">
        <f t="shared" si="33"/>
        <v>1874.3999999999996</v>
      </c>
      <c r="K264">
        <f t="shared" si="38"/>
        <v>192.2</v>
      </c>
      <c r="M264">
        <v>0</v>
      </c>
      <c r="N264">
        <v>1.3</v>
      </c>
      <c r="O264">
        <f t="shared" si="30"/>
        <v>-1.3</v>
      </c>
      <c r="P264">
        <f t="shared" si="34"/>
        <v>131.19999999999996</v>
      </c>
      <c r="Q264">
        <v>225</v>
      </c>
      <c r="R264">
        <v>1.1499999999999999</v>
      </c>
      <c r="S264">
        <f t="shared" si="31"/>
        <v>1.4949999999999999</v>
      </c>
      <c r="T264" s="24">
        <f t="shared" si="32"/>
        <v>-1.4949999999999999</v>
      </c>
      <c r="U264" s="24">
        <f t="shared" si="36"/>
        <v>73.471406250000001</v>
      </c>
      <c r="W264">
        <v>993.1</v>
      </c>
      <c r="Y264">
        <f t="shared" si="35"/>
        <v>152225.40000000002</v>
      </c>
      <c r="Z264">
        <f t="shared" si="37"/>
        <v>26729.399999999998</v>
      </c>
      <c r="AA264">
        <v>13.472500553424275</v>
      </c>
    </row>
    <row r="265" spans="1:28" x14ac:dyDescent="0.25">
      <c r="A265">
        <v>5560</v>
      </c>
      <c r="B265">
        <v>22250</v>
      </c>
      <c r="C265" s="1">
        <v>42843</v>
      </c>
      <c r="F265" s="51"/>
      <c r="G265">
        <v>7.3</v>
      </c>
      <c r="H265">
        <v>4</v>
      </c>
      <c r="I265">
        <v>12.7</v>
      </c>
      <c r="J265">
        <f t="shared" si="33"/>
        <v>1881.6999999999996</v>
      </c>
      <c r="K265">
        <f t="shared" si="38"/>
        <v>199.5</v>
      </c>
      <c r="M265">
        <v>0</v>
      </c>
      <c r="N265">
        <v>2.9</v>
      </c>
      <c r="O265">
        <f t="shared" si="30"/>
        <v>-2.9</v>
      </c>
      <c r="P265">
        <f t="shared" si="34"/>
        <v>128.29999999999995</v>
      </c>
      <c r="Q265">
        <v>226</v>
      </c>
      <c r="R265">
        <v>1.1499999999999999</v>
      </c>
      <c r="S265">
        <f t="shared" si="31"/>
        <v>3.3349999999999995</v>
      </c>
      <c r="T265" s="24">
        <f t="shared" si="32"/>
        <v>-3.3349999999999995</v>
      </c>
      <c r="U265" s="24">
        <f t="shared" si="36"/>
        <v>70.136406250000007</v>
      </c>
      <c r="W265">
        <v>1920.3</v>
      </c>
      <c r="Y265">
        <f t="shared" si="35"/>
        <v>154145.70000000001</v>
      </c>
      <c r="Z265">
        <f t="shared" si="37"/>
        <v>28649.699999999997</v>
      </c>
      <c r="AA265">
        <v>13.526973107918176</v>
      </c>
    </row>
    <row r="266" spans="1:28" x14ac:dyDescent="0.25">
      <c r="A266">
        <v>5560</v>
      </c>
      <c r="B266">
        <v>22250</v>
      </c>
      <c r="C266" s="1">
        <v>42844</v>
      </c>
      <c r="F266" s="51"/>
      <c r="G266">
        <v>6</v>
      </c>
      <c r="H266">
        <v>1.5</v>
      </c>
      <c r="I266">
        <v>11.7</v>
      </c>
      <c r="J266">
        <f t="shared" si="33"/>
        <v>1887.6999999999996</v>
      </c>
      <c r="K266">
        <f t="shared" si="38"/>
        <v>205.5</v>
      </c>
      <c r="M266">
        <v>0</v>
      </c>
      <c r="N266">
        <v>3</v>
      </c>
      <c r="O266">
        <f t="shared" si="30"/>
        <v>-3</v>
      </c>
      <c r="P266">
        <f t="shared" si="34"/>
        <v>125.29999999999995</v>
      </c>
      <c r="Q266">
        <v>227</v>
      </c>
      <c r="R266">
        <v>1.1499999999999999</v>
      </c>
      <c r="S266">
        <f t="shared" si="31"/>
        <v>3.4499999999999997</v>
      </c>
      <c r="T266" s="24">
        <f t="shared" si="32"/>
        <v>-3.4499999999999997</v>
      </c>
      <c r="U266" s="24">
        <f t="shared" si="36"/>
        <v>66.686406250000005</v>
      </c>
      <c r="W266">
        <v>2033.3</v>
      </c>
      <c r="Y266">
        <f t="shared" si="35"/>
        <v>156179</v>
      </c>
      <c r="Z266">
        <f t="shared" si="37"/>
        <v>30682.999999999996</v>
      </c>
      <c r="AA266">
        <v>13.581181884531247</v>
      </c>
    </row>
    <row r="267" spans="1:28" x14ac:dyDescent="0.25">
      <c r="A267">
        <v>5560</v>
      </c>
      <c r="B267">
        <v>22250</v>
      </c>
      <c r="C267" s="1">
        <v>42845</v>
      </c>
      <c r="F267" s="51"/>
      <c r="G267">
        <v>5.9</v>
      </c>
      <c r="H267">
        <v>0.4</v>
      </c>
      <c r="I267">
        <v>10.7</v>
      </c>
      <c r="J267">
        <f t="shared" si="33"/>
        <v>1893.5999999999997</v>
      </c>
      <c r="K267">
        <f t="shared" si="38"/>
        <v>211.4</v>
      </c>
      <c r="M267">
        <v>0</v>
      </c>
      <c r="N267">
        <v>3.3</v>
      </c>
      <c r="O267">
        <f t="shared" si="30"/>
        <v>-3.3</v>
      </c>
      <c r="P267">
        <f t="shared" si="34"/>
        <v>121.99999999999996</v>
      </c>
      <c r="Q267">
        <v>228</v>
      </c>
      <c r="R267">
        <v>1.1499999999999999</v>
      </c>
      <c r="S267">
        <f t="shared" si="31"/>
        <v>3.7949999999999995</v>
      </c>
      <c r="T267" s="24">
        <f t="shared" si="32"/>
        <v>-3.7949999999999995</v>
      </c>
      <c r="U267" s="24">
        <f t="shared" si="36"/>
        <v>62.891406250000003</v>
      </c>
      <c r="W267">
        <v>2441.6999999999998</v>
      </c>
      <c r="Y267">
        <f t="shared" si="35"/>
        <v>158620.70000000001</v>
      </c>
      <c r="Z267">
        <f t="shared" si="37"/>
        <v>33124.699999999997</v>
      </c>
      <c r="AA267">
        <v>13.635113684737695</v>
      </c>
    </row>
    <row r="268" spans="1:28" s="32" customFormat="1" ht="15.75" thickBot="1" x14ac:dyDescent="0.3">
      <c r="A268" s="32">
        <v>5560</v>
      </c>
      <c r="B268" s="32">
        <v>22250</v>
      </c>
      <c r="C268" s="33">
        <v>42846</v>
      </c>
      <c r="D268" s="32" t="s">
        <v>35</v>
      </c>
      <c r="F268" s="51"/>
      <c r="G268" s="32">
        <v>9.1999999999999993</v>
      </c>
      <c r="H268" s="32">
        <v>2.2000000000000002</v>
      </c>
      <c r="I268" s="32">
        <v>15.7</v>
      </c>
      <c r="J268" s="32">
        <f t="shared" si="33"/>
        <v>1902.7999999999997</v>
      </c>
      <c r="K268" s="32">
        <f t="shared" si="38"/>
        <v>220.6</v>
      </c>
      <c r="L268" s="34"/>
      <c r="M268" s="32">
        <v>0</v>
      </c>
      <c r="N268" s="32">
        <v>4.0999999999999996</v>
      </c>
      <c r="O268" s="32">
        <f t="shared" si="30"/>
        <v>-4.0999999999999996</v>
      </c>
      <c r="P268" s="32">
        <f t="shared" si="34"/>
        <v>117.89999999999996</v>
      </c>
      <c r="Q268" s="32">
        <v>229</v>
      </c>
      <c r="R268" s="32">
        <v>1.1499999999999999</v>
      </c>
      <c r="S268" s="32">
        <f t="shared" si="31"/>
        <v>4.714999999999999</v>
      </c>
      <c r="T268" s="35">
        <f t="shared" si="32"/>
        <v>-4.714999999999999</v>
      </c>
      <c r="U268" s="24">
        <f t="shared" si="36"/>
        <v>58.176406250000007</v>
      </c>
      <c r="W268" s="32">
        <v>2432.1</v>
      </c>
      <c r="Y268" s="32">
        <f t="shared" si="35"/>
        <v>161052.80000000002</v>
      </c>
      <c r="Z268" s="32">
        <f t="shared" si="37"/>
        <v>35556.799999999996</v>
      </c>
      <c r="AA268" s="32">
        <v>13.688754961584854</v>
      </c>
    </row>
    <row r="269" spans="1:28" s="39" customFormat="1" x14ac:dyDescent="0.25">
      <c r="A269" s="39">
        <v>5560</v>
      </c>
      <c r="B269" s="39">
        <v>22250</v>
      </c>
      <c r="C269" s="40">
        <v>42847</v>
      </c>
      <c r="F269" s="52" t="s">
        <v>48</v>
      </c>
      <c r="G269" s="39">
        <v>11.5</v>
      </c>
      <c r="H269" s="39">
        <v>4.4000000000000004</v>
      </c>
      <c r="I269" s="39">
        <v>18.3</v>
      </c>
      <c r="J269" s="39">
        <f t="shared" si="33"/>
        <v>1914.2999999999997</v>
      </c>
      <c r="K269">
        <f>G269</f>
        <v>11.5</v>
      </c>
      <c r="L269" s="19" t="s">
        <v>38</v>
      </c>
      <c r="M269" s="39">
        <v>0</v>
      </c>
      <c r="N269" s="39">
        <v>3.7</v>
      </c>
      <c r="O269" s="39">
        <f t="shared" si="30"/>
        <v>-3.7</v>
      </c>
      <c r="P269" s="39">
        <f t="shared" si="34"/>
        <v>114.19999999999996</v>
      </c>
      <c r="Q269" s="39">
        <v>230</v>
      </c>
      <c r="R269" s="39">
        <v>1.1499999999999999</v>
      </c>
      <c r="S269" s="39">
        <f t="shared" si="31"/>
        <v>4.2549999999999999</v>
      </c>
      <c r="T269" s="41">
        <f t="shared" si="32"/>
        <v>-4.2549999999999999</v>
      </c>
      <c r="U269" s="24">
        <f t="shared" si="36"/>
        <v>53.921406250000004</v>
      </c>
      <c r="V269" s="29" t="s">
        <v>53</v>
      </c>
      <c r="W269" s="39">
        <v>2183.5</v>
      </c>
      <c r="Y269" s="39">
        <f t="shared" si="35"/>
        <v>163236.30000000002</v>
      </c>
      <c r="Z269">
        <f>W269</f>
        <v>2183.5</v>
      </c>
      <c r="AA269" s="39">
        <v>13.742091812520178</v>
      </c>
      <c r="AB269" s="29" t="s">
        <v>58</v>
      </c>
    </row>
    <row r="270" spans="1:28" ht="15" customHeight="1" x14ac:dyDescent="0.25">
      <c r="A270">
        <v>5560</v>
      </c>
      <c r="B270">
        <v>22250</v>
      </c>
      <c r="C270" s="1">
        <v>42848</v>
      </c>
      <c r="F270" s="52"/>
      <c r="G270">
        <v>10.199999999999999</v>
      </c>
      <c r="H270">
        <v>6.3</v>
      </c>
      <c r="I270">
        <v>15.2</v>
      </c>
      <c r="J270">
        <f t="shared" si="33"/>
        <v>1924.4999999999998</v>
      </c>
      <c r="K270">
        <f t="shared" si="38"/>
        <v>21.7</v>
      </c>
      <c r="L270" s="12">
        <v>303.60000000000002</v>
      </c>
      <c r="M270">
        <v>0</v>
      </c>
      <c r="N270">
        <v>3.9</v>
      </c>
      <c r="O270">
        <f t="shared" si="30"/>
        <v>-3.9</v>
      </c>
      <c r="P270">
        <f t="shared" si="34"/>
        <v>110.29999999999995</v>
      </c>
      <c r="Q270">
        <v>231</v>
      </c>
      <c r="R270">
        <v>1.1499999999999999</v>
      </c>
      <c r="S270">
        <f t="shared" si="31"/>
        <v>4.4849999999999994</v>
      </c>
      <c r="T270" s="24">
        <f t="shared" si="32"/>
        <v>-4.4849999999999994</v>
      </c>
      <c r="U270" s="24">
        <f t="shared" si="36"/>
        <v>49.436406250000005</v>
      </c>
      <c r="V270">
        <v>0</v>
      </c>
      <c r="W270">
        <v>2281.6</v>
      </c>
      <c r="Y270">
        <f t="shared" si="35"/>
        <v>165517.90000000002</v>
      </c>
      <c r="Z270">
        <f t="shared" si="37"/>
        <v>4465.1000000000004</v>
      </c>
      <c r="AA270">
        <v>13.795109972936423</v>
      </c>
      <c r="AB270">
        <v>34483.5</v>
      </c>
    </row>
    <row r="271" spans="1:28" x14ac:dyDescent="0.25">
      <c r="A271">
        <v>5560</v>
      </c>
      <c r="B271">
        <v>22250</v>
      </c>
      <c r="C271" s="1">
        <v>42849</v>
      </c>
      <c r="F271" s="52"/>
      <c r="G271">
        <v>10.8</v>
      </c>
      <c r="H271">
        <v>4.3</v>
      </c>
      <c r="I271">
        <v>17.3</v>
      </c>
      <c r="J271">
        <f t="shared" si="33"/>
        <v>1935.2999999999997</v>
      </c>
      <c r="K271">
        <f t="shared" si="38"/>
        <v>32.5</v>
      </c>
      <c r="L271" s="19" t="s">
        <v>39</v>
      </c>
      <c r="M271">
        <v>0</v>
      </c>
      <c r="N271">
        <v>3.2</v>
      </c>
      <c r="O271">
        <f t="shared" si="30"/>
        <v>-3.2</v>
      </c>
      <c r="P271">
        <f t="shared" si="34"/>
        <v>107.09999999999995</v>
      </c>
      <c r="Q271">
        <v>232</v>
      </c>
      <c r="R271">
        <v>1.1499999999999999</v>
      </c>
      <c r="S271">
        <f t="shared" si="31"/>
        <v>3.6799999999999997</v>
      </c>
      <c r="T271" s="24">
        <f t="shared" si="32"/>
        <v>-3.6799999999999997</v>
      </c>
      <c r="U271" s="24">
        <f t="shared" si="36"/>
        <v>45.756406250000005</v>
      </c>
      <c r="V271" s="29" t="s">
        <v>54</v>
      </c>
      <c r="W271">
        <v>1863.8</v>
      </c>
      <c r="Y271">
        <f t="shared" si="35"/>
        <v>167381.70000000001</v>
      </c>
      <c r="Z271">
        <f t="shared" si="37"/>
        <v>6328.9000000000005</v>
      </c>
      <c r="AA271">
        <v>13.84779481048561</v>
      </c>
      <c r="AB271" s="29" t="s">
        <v>59</v>
      </c>
    </row>
    <row r="272" spans="1:28" x14ac:dyDescent="0.25">
      <c r="A272">
        <v>5560</v>
      </c>
      <c r="B272">
        <v>22250</v>
      </c>
      <c r="C272" s="1">
        <v>42850</v>
      </c>
      <c r="F272" s="52"/>
      <c r="G272">
        <v>5.8</v>
      </c>
      <c r="H272">
        <v>4.5</v>
      </c>
      <c r="I272">
        <v>7.8</v>
      </c>
      <c r="J272">
        <f t="shared" si="33"/>
        <v>1941.0999999999997</v>
      </c>
      <c r="K272">
        <f t="shared" si="38"/>
        <v>38.299999999999997</v>
      </c>
      <c r="L272" s="17">
        <f>AVERAGE(G269:G294)</f>
        <v>11.676923076923078</v>
      </c>
      <c r="M272">
        <v>6.4</v>
      </c>
      <c r="N272">
        <v>0.9</v>
      </c>
      <c r="O272">
        <f t="shared" si="30"/>
        <v>5.5</v>
      </c>
      <c r="P272">
        <f t="shared" si="34"/>
        <v>112.59999999999995</v>
      </c>
      <c r="Q272">
        <v>233</v>
      </c>
      <c r="R272">
        <v>1.1499999999999999</v>
      </c>
      <c r="S272">
        <f t="shared" si="31"/>
        <v>1.0349999999999999</v>
      </c>
      <c r="T272" s="24">
        <f t="shared" si="32"/>
        <v>5.3650000000000002</v>
      </c>
      <c r="U272" s="24">
        <f t="shared" si="36"/>
        <v>51.121406250000007</v>
      </c>
      <c r="V272">
        <v>0</v>
      </c>
      <c r="W272">
        <v>607</v>
      </c>
      <c r="Y272">
        <f t="shared" si="35"/>
        <v>167988.7</v>
      </c>
      <c r="Z272">
        <f t="shared" si="37"/>
        <v>6935.9000000000005</v>
      </c>
      <c r="AA272">
        <v>13.900131320214056</v>
      </c>
      <c r="AB272">
        <f>(AB270/100)/L270</f>
        <v>1.1358201581027667</v>
      </c>
    </row>
    <row r="273" spans="1:28" x14ac:dyDescent="0.25">
      <c r="A273">
        <v>5560</v>
      </c>
      <c r="B273">
        <v>22250</v>
      </c>
      <c r="C273" s="1">
        <v>42851</v>
      </c>
      <c r="F273" s="52"/>
      <c r="G273">
        <v>4.7</v>
      </c>
      <c r="H273">
        <v>3.9</v>
      </c>
      <c r="I273">
        <v>7.7</v>
      </c>
      <c r="J273">
        <f t="shared" si="33"/>
        <v>1945.7999999999997</v>
      </c>
      <c r="K273">
        <f t="shared" si="38"/>
        <v>43</v>
      </c>
      <c r="L273" s="19" t="s">
        <v>40</v>
      </c>
      <c r="M273">
        <v>1.8</v>
      </c>
      <c r="N273">
        <v>1</v>
      </c>
      <c r="O273">
        <f t="shared" si="30"/>
        <v>0.8</v>
      </c>
      <c r="P273">
        <f t="shared" si="34"/>
        <v>113.39999999999995</v>
      </c>
      <c r="Q273">
        <v>234</v>
      </c>
      <c r="R273">
        <v>1.1499999999999999</v>
      </c>
      <c r="S273">
        <f t="shared" si="31"/>
        <v>1.1499999999999999</v>
      </c>
      <c r="T273" s="24">
        <f t="shared" si="32"/>
        <v>0.65000000000000013</v>
      </c>
      <c r="U273" s="24">
        <f t="shared" si="36"/>
        <v>51.771406250000005</v>
      </c>
      <c r="V273" s="29" t="s">
        <v>55</v>
      </c>
      <c r="W273">
        <v>641.6</v>
      </c>
      <c r="Y273">
        <f t="shared" si="35"/>
        <v>168630.30000000002</v>
      </c>
      <c r="Z273">
        <f t="shared" si="37"/>
        <v>7577.5000000000009</v>
      </c>
      <c r="AA273">
        <v>13.952104120572777</v>
      </c>
      <c r="AB273" s="29" t="s">
        <v>60</v>
      </c>
    </row>
    <row r="274" spans="1:28" x14ac:dyDescent="0.25">
      <c r="A274">
        <v>5560</v>
      </c>
      <c r="B274">
        <v>22250</v>
      </c>
      <c r="C274" s="1">
        <v>42852</v>
      </c>
      <c r="F274" s="52"/>
      <c r="G274">
        <v>5.4</v>
      </c>
      <c r="H274">
        <v>1.3</v>
      </c>
      <c r="I274">
        <v>10.1</v>
      </c>
      <c r="J274">
        <f t="shared" si="33"/>
        <v>1951.1999999999998</v>
      </c>
      <c r="K274">
        <f t="shared" si="38"/>
        <v>48.4</v>
      </c>
      <c r="L274" s="13">
        <f>MIN(H269:H294)</f>
        <v>1.3</v>
      </c>
      <c r="M274">
        <v>0.4</v>
      </c>
      <c r="N274">
        <v>1.4</v>
      </c>
      <c r="O274">
        <f t="shared" si="30"/>
        <v>-0.99999999999999989</v>
      </c>
      <c r="P274">
        <f t="shared" si="34"/>
        <v>112.39999999999995</v>
      </c>
      <c r="Q274">
        <v>235</v>
      </c>
      <c r="R274">
        <v>1.1499999999999999</v>
      </c>
      <c r="S274">
        <f t="shared" si="31"/>
        <v>1.6099999999999999</v>
      </c>
      <c r="T274" s="24">
        <f t="shared" si="32"/>
        <v>-1.21</v>
      </c>
      <c r="U274" s="24">
        <f t="shared" si="36"/>
        <v>50.561406250000005</v>
      </c>
      <c r="V274" s="24">
        <f>MIN(U269:U294)</f>
        <v>44.696406250000003</v>
      </c>
      <c r="W274">
        <v>1186</v>
      </c>
      <c r="Y274">
        <f t="shared" si="35"/>
        <v>169816.30000000002</v>
      </c>
      <c r="Z274">
        <f t="shared" si="37"/>
        <v>8763.5</v>
      </c>
      <c r="AA274">
        <v>14.00369745035899</v>
      </c>
      <c r="AB274">
        <v>7</v>
      </c>
    </row>
    <row r="275" spans="1:28" x14ac:dyDescent="0.25">
      <c r="A275">
        <v>5560</v>
      </c>
      <c r="B275">
        <v>22250</v>
      </c>
      <c r="C275" s="1">
        <v>42853</v>
      </c>
      <c r="F275" s="52"/>
      <c r="G275">
        <v>7.1</v>
      </c>
      <c r="H275">
        <v>1.9</v>
      </c>
      <c r="I275">
        <v>12.1</v>
      </c>
      <c r="J275">
        <f t="shared" si="33"/>
        <v>1958.2999999999997</v>
      </c>
      <c r="K275">
        <f t="shared" si="38"/>
        <v>55.5</v>
      </c>
      <c r="L275" s="19" t="s">
        <v>41</v>
      </c>
      <c r="M275">
        <v>0</v>
      </c>
      <c r="N275">
        <v>1.8</v>
      </c>
      <c r="O275">
        <f t="shared" si="30"/>
        <v>-1.8</v>
      </c>
      <c r="P275">
        <f t="shared" si="34"/>
        <v>110.59999999999995</v>
      </c>
      <c r="Q275">
        <v>236</v>
      </c>
      <c r="R275">
        <v>1.1499999999999999</v>
      </c>
      <c r="S275">
        <f t="shared" si="31"/>
        <v>2.0699999999999998</v>
      </c>
      <c r="T275" s="24">
        <f t="shared" si="32"/>
        <v>-2.0699999999999998</v>
      </c>
      <c r="U275" s="24">
        <f t="shared" si="36"/>
        <v>48.491406250000004</v>
      </c>
      <c r="V275" s="29" t="s">
        <v>56</v>
      </c>
      <c r="W275">
        <v>1563.3</v>
      </c>
      <c r="Y275">
        <f t="shared" si="35"/>
        <v>171379.6</v>
      </c>
      <c r="Z275">
        <f t="shared" si="37"/>
        <v>10326.799999999999</v>
      </c>
      <c r="AA275">
        <v>14.054895166646137</v>
      </c>
    </row>
    <row r="276" spans="1:28" x14ac:dyDescent="0.25">
      <c r="A276">
        <v>5560</v>
      </c>
      <c r="B276">
        <v>22250</v>
      </c>
      <c r="C276" s="1">
        <v>42854</v>
      </c>
      <c r="F276" s="52"/>
      <c r="G276">
        <v>9.5</v>
      </c>
      <c r="H276">
        <v>1.9</v>
      </c>
      <c r="I276">
        <v>16.2</v>
      </c>
      <c r="J276">
        <f t="shared" si="33"/>
        <v>1967.7999999999997</v>
      </c>
      <c r="K276">
        <f t="shared" si="38"/>
        <v>65</v>
      </c>
      <c r="L276" s="12">
        <f>MAX(I269:I294)</f>
        <v>27.9</v>
      </c>
      <c r="M276">
        <v>0</v>
      </c>
      <c r="N276">
        <v>3.3</v>
      </c>
      <c r="O276">
        <f t="shared" si="30"/>
        <v>-3.3</v>
      </c>
      <c r="P276">
        <f t="shared" si="34"/>
        <v>107.29999999999995</v>
      </c>
      <c r="Q276">
        <v>237</v>
      </c>
      <c r="R276">
        <v>1.1499999999999999</v>
      </c>
      <c r="S276">
        <f t="shared" si="31"/>
        <v>3.7949999999999995</v>
      </c>
      <c r="T276" s="24">
        <f t="shared" si="32"/>
        <v>-3.7949999999999995</v>
      </c>
      <c r="U276" s="24">
        <f t="shared" si="36"/>
        <v>44.696406250000003</v>
      </c>
      <c r="V276" s="24">
        <f>MAX(U269:U294)</f>
        <v>64.456406250000001</v>
      </c>
      <c r="W276">
        <v>2325.8000000000002</v>
      </c>
      <c r="Y276">
        <f t="shared" si="35"/>
        <v>173705.4</v>
      </c>
      <c r="Z276">
        <f t="shared" si="37"/>
        <v>12652.599999999999</v>
      </c>
      <c r="AA276">
        <v>14.105680743761026</v>
      </c>
    </row>
    <row r="277" spans="1:28" x14ac:dyDescent="0.25">
      <c r="A277">
        <v>5560</v>
      </c>
      <c r="B277">
        <v>22250</v>
      </c>
      <c r="C277" s="1">
        <v>42855</v>
      </c>
      <c r="F277" s="52"/>
      <c r="G277">
        <v>10.1</v>
      </c>
      <c r="H277">
        <v>5.5</v>
      </c>
      <c r="I277">
        <v>19.3</v>
      </c>
      <c r="J277">
        <f t="shared" si="33"/>
        <v>1977.8999999999996</v>
      </c>
      <c r="K277">
        <f t="shared" si="38"/>
        <v>75.099999999999994</v>
      </c>
      <c r="L277" s="19" t="s">
        <v>42</v>
      </c>
      <c r="M277">
        <v>9.1999999999999993</v>
      </c>
      <c r="N277">
        <v>2.8</v>
      </c>
      <c r="O277">
        <f t="shared" si="30"/>
        <v>6.3999999999999995</v>
      </c>
      <c r="P277">
        <f t="shared" si="34"/>
        <v>113.69999999999996</v>
      </c>
      <c r="Q277">
        <v>238</v>
      </c>
      <c r="R277">
        <v>1.1499999999999999</v>
      </c>
      <c r="S277">
        <f t="shared" si="31"/>
        <v>3.2199999999999998</v>
      </c>
      <c r="T277" s="24">
        <f t="shared" si="32"/>
        <v>5.9799999999999995</v>
      </c>
      <c r="U277" s="24">
        <f t="shared" si="36"/>
        <v>50.676406249999999</v>
      </c>
      <c r="V277" s="29" t="s">
        <v>57</v>
      </c>
      <c r="W277">
        <v>981.4</v>
      </c>
      <c r="Y277">
        <f t="shared" si="35"/>
        <v>174686.8</v>
      </c>
      <c r="Z277">
        <f t="shared" si="37"/>
        <v>13633.999999999998</v>
      </c>
      <c r="AA277">
        <v>14.156037273367803</v>
      </c>
    </row>
    <row r="278" spans="1:28" x14ac:dyDescent="0.25">
      <c r="A278">
        <v>5560</v>
      </c>
      <c r="B278">
        <v>22250</v>
      </c>
      <c r="C278" s="1">
        <v>42856</v>
      </c>
      <c r="F278" s="52"/>
      <c r="G278">
        <v>9.6</v>
      </c>
      <c r="H278">
        <v>7.2</v>
      </c>
      <c r="I278">
        <v>12.1</v>
      </c>
      <c r="J278">
        <f t="shared" si="33"/>
        <v>1987.4999999999995</v>
      </c>
      <c r="K278">
        <f t="shared" si="38"/>
        <v>84.699999999999989</v>
      </c>
      <c r="L278" s="12">
        <v>2</v>
      </c>
      <c r="M278">
        <v>10.7</v>
      </c>
      <c r="N278">
        <v>2.2000000000000002</v>
      </c>
      <c r="O278">
        <f t="shared" si="30"/>
        <v>8.5</v>
      </c>
      <c r="P278">
        <f t="shared" si="34"/>
        <v>122.19999999999996</v>
      </c>
      <c r="Q278">
        <v>239</v>
      </c>
      <c r="R278">
        <v>1.1499999999999999</v>
      </c>
      <c r="S278">
        <f t="shared" si="31"/>
        <v>2.5299999999999998</v>
      </c>
      <c r="T278" s="24">
        <f t="shared" si="32"/>
        <v>8.17</v>
      </c>
      <c r="U278" s="24">
        <f t="shared" si="36"/>
        <v>58.846406250000001</v>
      </c>
      <c r="V278" s="24">
        <f>AVERAGE(U269:U294)</f>
        <v>56.328521634615399</v>
      </c>
      <c r="W278">
        <v>1855.5</v>
      </c>
      <c r="Y278">
        <f t="shared" si="35"/>
        <v>176542.3</v>
      </c>
      <c r="Z278">
        <f t="shared" si="37"/>
        <v>15489.499999999998</v>
      </c>
      <c r="AA278">
        <v>14.205947465719351</v>
      </c>
    </row>
    <row r="279" spans="1:28" x14ac:dyDescent="0.25">
      <c r="A279">
        <v>5560</v>
      </c>
      <c r="B279">
        <v>22250</v>
      </c>
      <c r="C279" s="1">
        <v>42857</v>
      </c>
      <c r="F279" s="52"/>
      <c r="G279">
        <v>9.9</v>
      </c>
      <c r="H279">
        <v>7.7</v>
      </c>
      <c r="I279">
        <v>12.4</v>
      </c>
      <c r="J279">
        <f t="shared" si="33"/>
        <v>1997.3999999999996</v>
      </c>
      <c r="K279">
        <f t="shared" si="38"/>
        <v>94.6</v>
      </c>
      <c r="L279" s="19" t="s">
        <v>43</v>
      </c>
      <c r="M279">
        <v>0.8</v>
      </c>
      <c r="N279">
        <v>0.6</v>
      </c>
      <c r="O279">
        <f t="shared" si="30"/>
        <v>0.20000000000000007</v>
      </c>
      <c r="P279">
        <f t="shared" si="34"/>
        <v>122.39999999999996</v>
      </c>
      <c r="Q279">
        <v>240</v>
      </c>
      <c r="R279">
        <v>1.1499999999999999</v>
      </c>
      <c r="S279">
        <f t="shared" si="31"/>
        <v>0.69</v>
      </c>
      <c r="T279" s="24">
        <f t="shared" si="32"/>
        <v>0.1100000000000001</v>
      </c>
      <c r="U279" s="24">
        <f t="shared" si="36"/>
        <v>58.956406250000001</v>
      </c>
      <c r="W279">
        <v>445.7</v>
      </c>
      <c r="Y279">
        <f t="shared" si="35"/>
        <v>176988</v>
      </c>
      <c r="Z279">
        <f t="shared" si="37"/>
        <v>15935.199999999999</v>
      </c>
      <c r="AA279">
        <v>14.255393652137185</v>
      </c>
    </row>
    <row r="280" spans="1:28" x14ac:dyDescent="0.25">
      <c r="A280">
        <v>5560</v>
      </c>
      <c r="B280">
        <v>22250</v>
      </c>
      <c r="C280" s="1">
        <v>42858</v>
      </c>
      <c r="F280" s="52"/>
      <c r="G280">
        <v>10</v>
      </c>
      <c r="H280">
        <v>6.9</v>
      </c>
      <c r="I280">
        <v>13.5</v>
      </c>
      <c r="J280">
        <f t="shared" si="33"/>
        <v>2007.3999999999996</v>
      </c>
      <c r="K280">
        <f t="shared" si="38"/>
        <v>104.6</v>
      </c>
      <c r="L280" s="12">
        <v>7</v>
      </c>
      <c r="M280">
        <v>1.4</v>
      </c>
      <c r="N280">
        <v>1.4</v>
      </c>
      <c r="O280">
        <f t="shared" si="30"/>
        <v>0</v>
      </c>
      <c r="P280">
        <f t="shared" si="34"/>
        <v>122.39999999999996</v>
      </c>
      <c r="Q280">
        <v>241</v>
      </c>
      <c r="R280">
        <v>1.1499999999999999</v>
      </c>
      <c r="S280">
        <f t="shared" si="31"/>
        <v>1.6099999999999999</v>
      </c>
      <c r="T280" s="24">
        <f t="shared" si="32"/>
        <v>-0.20999999999999996</v>
      </c>
      <c r="U280" s="24">
        <f t="shared" si="36"/>
        <v>58.74640625</v>
      </c>
      <c r="V280" s="43">
        <f>(V278*100)/122.1</f>
        <v>46.133105351855363</v>
      </c>
      <c r="W280">
        <v>1137.2</v>
      </c>
      <c r="Y280">
        <f t="shared" si="35"/>
        <v>178125.2</v>
      </c>
      <c r="Z280">
        <f t="shared" si="37"/>
        <v>17072.399999999998</v>
      </c>
      <c r="AA280">
        <v>14.304357788781132</v>
      </c>
    </row>
    <row r="281" spans="1:28" x14ac:dyDescent="0.25">
      <c r="A281">
        <v>5560</v>
      </c>
      <c r="B281">
        <v>22250</v>
      </c>
      <c r="C281" s="1">
        <v>42859</v>
      </c>
      <c r="F281" s="52"/>
      <c r="G281">
        <v>11</v>
      </c>
      <c r="H281">
        <v>8.3000000000000007</v>
      </c>
      <c r="I281">
        <v>14.9</v>
      </c>
      <c r="J281">
        <f t="shared" si="33"/>
        <v>2018.3999999999996</v>
      </c>
      <c r="K281">
        <f t="shared" si="38"/>
        <v>115.6</v>
      </c>
      <c r="L281" s="19" t="s">
        <v>44</v>
      </c>
      <c r="M281">
        <v>0</v>
      </c>
      <c r="N281">
        <v>1.6</v>
      </c>
      <c r="O281">
        <f t="shared" si="30"/>
        <v>-1.6</v>
      </c>
      <c r="P281">
        <f t="shared" si="34"/>
        <v>120.79999999999997</v>
      </c>
      <c r="Q281">
        <v>242</v>
      </c>
      <c r="R281">
        <v>1.1499999999999999</v>
      </c>
      <c r="S281">
        <f t="shared" si="31"/>
        <v>1.8399999999999999</v>
      </c>
      <c r="T281" s="24">
        <f t="shared" si="32"/>
        <v>-1.8399999999999999</v>
      </c>
      <c r="U281" s="24">
        <f t="shared" si="36"/>
        <v>56.906406250000003</v>
      </c>
      <c r="W281">
        <v>1093.0999999999999</v>
      </c>
      <c r="Y281">
        <f t="shared" si="35"/>
        <v>179218.30000000002</v>
      </c>
      <c r="Z281">
        <f t="shared" si="37"/>
        <v>18165.499999999996</v>
      </c>
      <c r="AA281">
        <v>14.352821461769956</v>
      </c>
    </row>
    <row r="282" spans="1:28" x14ac:dyDescent="0.25">
      <c r="A282">
        <v>5560</v>
      </c>
      <c r="B282">
        <v>22250</v>
      </c>
      <c r="C282" s="1">
        <v>42860</v>
      </c>
      <c r="F282" s="52"/>
      <c r="G282">
        <v>13.2</v>
      </c>
      <c r="H282">
        <v>5.8</v>
      </c>
      <c r="I282">
        <v>17.899999999999999</v>
      </c>
      <c r="J282">
        <f t="shared" si="33"/>
        <v>2031.5999999999997</v>
      </c>
      <c r="K282">
        <f t="shared" si="38"/>
        <v>128.79999999999998</v>
      </c>
      <c r="L282" s="18">
        <v>0</v>
      </c>
      <c r="M282">
        <v>7.5</v>
      </c>
      <c r="N282">
        <v>1.9</v>
      </c>
      <c r="O282">
        <f t="shared" si="30"/>
        <v>5.6</v>
      </c>
      <c r="P282">
        <f t="shared" si="34"/>
        <v>126.39999999999996</v>
      </c>
      <c r="Q282">
        <v>243</v>
      </c>
      <c r="R282">
        <v>1.1499999999999999</v>
      </c>
      <c r="S282">
        <f t="shared" si="31"/>
        <v>2.1849999999999996</v>
      </c>
      <c r="T282" s="24">
        <f t="shared" si="32"/>
        <v>5.3150000000000004</v>
      </c>
      <c r="U282" s="24">
        <f t="shared" si="36"/>
        <v>62.221406250000001</v>
      </c>
      <c r="W282">
        <v>1125.7</v>
      </c>
      <c r="Y282">
        <f t="shared" si="35"/>
        <v>180344.00000000003</v>
      </c>
      <c r="Z282">
        <f t="shared" si="37"/>
        <v>19291.199999999997</v>
      </c>
      <c r="AA282">
        <v>14.400765893713459</v>
      </c>
    </row>
    <row r="283" spans="1:28" x14ac:dyDescent="0.25">
      <c r="A283">
        <v>5560</v>
      </c>
      <c r="B283">
        <v>22250</v>
      </c>
      <c r="C283" s="1">
        <v>42861</v>
      </c>
      <c r="F283" s="52"/>
      <c r="G283">
        <v>13.5</v>
      </c>
      <c r="H283">
        <v>11.7</v>
      </c>
      <c r="I283">
        <v>15.7</v>
      </c>
      <c r="J283">
        <f t="shared" si="33"/>
        <v>2045.0999999999997</v>
      </c>
      <c r="K283">
        <f t="shared" si="38"/>
        <v>142.29999999999998</v>
      </c>
      <c r="M283">
        <v>0.8</v>
      </c>
      <c r="N283">
        <v>1.8</v>
      </c>
      <c r="O283">
        <f t="shared" si="30"/>
        <v>-1</v>
      </c>
      <c r="P283">
        <f t="shared" si="34"/>
        <v>125.39999999999996</v>
      </c>
      <c r="Q283">
        <v>244</v>
      </c>
      <c r="R283">
        <v>1.1499999999999999</v>
      </c>
      <c r="S283">
        <f t="shared" si="31"/>
        <v>2.0699999999999998</v>
      </c>
      <c r="T283" s="24">
        <f t="shared" si="32"/>
        <v>-1.2699999999999998</v>
      </c>
      <c r="U283" s="24">
        <f t="shared" si="36"/>
        <v>60.951406249999998</v>
      </c>
      <c r="W283">
        <v>1006.7</v>
      </c>
      <c r="Y283">
        <f t="shared" si="35"/>
        <v>181350.70000000004</v>
      </c>
      <c r="Z283">
        <f t="shared" si="37"/>
        <v>20297.899999999998</v>
      </c>
      <c r="AA283">
        <v>14.44817195171561</v>
      </c>
    </row>
    <row r="284" spans="1:28" x14ac:dyDescent="0.25">
      <c r="A284">
        <v>5560</v>
      </c>
      <c r="B284">
        <v>22250</v>
      </c>
      <c r="C284" s="1">
        <v>42862</v>
      </c>
      <c r="F284" s="52"/>
      <c r="G284">
        <v>11.8</v>
      </c>
      <c r="H284">
        <v>11.1</v>
      </c>
      <c r="I284">
        <v>14.5</v>
      </c>
      <c r="J284">
        <f t="shared" si="33"/>
        <v>2056.8999999999996</v>
      </c>
      <c r="K284">
        <f t="shared" si="38"/>
        <v>154.1</v>
      </c>
      <c r="M284">
        <v>3.7</v>
      </c>
      <c r="N284">
        <v>1.1000000000000001</v>
      </c>
      <c r="O284">
        <f t="shared" si="30"/>
        <v>2.6</v>
      </c>
      <c r="P284">
        <f t="shared" si="34"/>
        <v>127.99999999999996</v>
      </c>
      <c r="Q284">
        <v>245</v>
      </c>
      <c r="R284">
        <v>1.1499999999999999</v>
      </c>
      <c r="S284">
        <f t="shared" si="31"/>
        <v>1.2649999999999999</v>
      </c>
      <c r="T284" s="24">
        <f t="shared" si="32"/>
        <v>2.4350000000000005</v>
      </c>
      <c r="U284" s="24">
        <f t="shared" si="36"/>
        <v>63.38640625</v>
      </c>
      <c r="W284">
        <v>585.79999999999995</v>
      </c>
      <c r="Y284">
        <f t="shared" si="35"/>
        <v>181936.50000000003</v>
      </c>
      <c r="Z284">
        <f t="shared" si="37"/>
        <v>20883.699999999997</v>
      </c>
      <c r="AA284">
        <v>14.495020156906675</v>
      </c>
    </row>
    <row r="285" spans="1:28" x14ac:dyDescent="0.25">
      <c r="A285">
        <v>5560</v>
      </c>
      <c r="B285">
        <v>22250</v>
      </c>
      <c r="C285" s="1">
        <v>42863</v>
      </c>
      <c r="F285" s="52"/>
      <c r="G285">
        <v>10.5</v>
      </c>
      <c r="H285">
        <v>7.4</v>
      </c>
      <c r="I285">
        <v>14</v>
      </c>
      <c r="J285">
        <f t="shared" si="33"/>
        <v>2067.3999999999996</v>
      </c>
      <c r="K285">
        <f t="shared" si="38"/>
        <v>164.6</v>
      </c>
      <c r="M285">
        <v>0</v>
      </c>
      <c r="N285">
        <v>1.4</v>
      </c>
      <c r="O285">
        <f t="shared" si="30"/>
        <v>-1.4</v>
      </c>
      <c r="P285">
        <f t="shared" si="34"/>
        <v>126.59999999999995</v>
      </c>
      <c r="Q285">
        <v>246</v>
      </c>
      <c r="R285">
        <v>1.1499999999999999</v>
      </c>
      <c r="S285">
        <f t="shared" si="31"/>
        <v>1.6099999999999999</v>
      </c>
      <c r="T285" s="24">
        <f t="shared" si="32"/>
        <v>-1.6099999999999999</v>
      </c>
      <c r="U285" s="24">
        <f t="shared" si="36"/>
        <v>61.776406250000001</v>
      </c>
      <c r="W285">
        <v>851.3</v>
      </c>
      <c r="Y285">
        <f t="shared" si="35"/>
        <v>182787.80000000002</v>
      </c>
      <c r="Z285">
        <f t="shared" si="37"/>
        <v>21734.999999999996</v>
      </c>
      <c r="AA285">
        <v>14.541290695560313</v>
      </c>
    </row>
    <row r="286" spans="1:28" x14ac:dyDescent="0.25">
      <c r="A286">
        <v>5560</v>
      </c>
      <c r="B286">
        <v>22250</v>
      </c>
      <c r="C286" s="1">
        <v>42864</v>
      </c>
      <c r="F286" s="52"/>
      <c r="G286">
        <v>11.6</v>
      </c>
      <c r="H286">
        <v>8.4</v>
      </c>
      <c r="I286">
        <v>15.3</v>
      </c>
      <c r="J286">
        <f t="shared" si="33"/>
        <v>2078.9999999999995</v>
      </c>
      <c r="K286">
        <f t="shared" si="38"/>
        <v>176.2</v>
      </c>
      <c r="M286">
        <v>0</v>
      </c>
      <c r="N286">
        <v>2</v>
      </c>
      <c r="O286">
        <f t="shared" si="30"/>
        <v>-2</v>
      </c>
      <c r="P286">
        <f t="shared" si="34"/>
        <v>124.59999999999995</v>
      </c>
      <c r="Q286">
        <v>247</v>
      </c>
      <c r="R286">
        <v>1.1499999999999999</v>
      </c>
      <c r="S286">
        <f t="shared" si="31"/>
        <v>2.2999999999999998</v>
      </c>
      <c r="T286" s="24">
        <f t="shared" si="32"/>
        <v>-2.2999999999999998</v>
      </c>
      <c r="U286" s="24">
        <f t="shared" si="36"/>
        <v>59.476406250000004</v>
      </c>
      <c r="W286">
        <v>1098.9000000000001</v>
      </c>
      <c r="Y286">
        <f t="shared" si="35"/>
        <v>183886.7</v>
      </c>
      <c r="Z286">
        <f t="shared" si="37"/>
        <v>22833.899999999998</v>
      </c>
      <c r="AA286">
        <v>14.586963431848879</v>
      </c>
    </row>
    <row r="287" spans="1:28" x14ac:dyDescent="0.25">
      <c r="A287">
        <v>5560</v>
      </c>
      <c r="B287">
        <v>22250</v>
      </c>
      <c r="C287" s="1">
        <v>42865</v>
      </c>
      <c r="F287" s="52"/>
      <c r="G287">
        <v>13.5</v>
      </c>
      <c r="H287">
        <v>7.1</v>
      </c>
      <c r="I287">
        <v>19.899999999999999</v>
      </c>
      <c r="J287">
        <f t="shared" si="33"/>
        <v>2092.4999999999995</v>
      </c>
      <c r="K287">
        <f t="shared" si="38"/>
        <v>189.7</v>
      </c>
      <c r="M287">
        <v>0</v>
      </c>
      <c r="N287">
        <v>3.8</v>
      </c>
      <c r="O287">
        <f t="shared" si="30"/>
        <v>-3.8</v>
      </c>
      <c r="P287">
        <f t="shared" si="34"/>
        <v>120.79999999999995</v>
      </c>
      <c r="Q287">
        <v>248</v>
      </c>
      <c r="R287">
        <v>1.1499999999999999</v>
      </c>
      <c r="S287">
        <f t="shared" si="31"/>
        <v>4.3699999999999992</v>
      </c>
      <c r="T287" s="24">
        <f t="shared" si="32"/>
        <v>-4.3699999999999992</v>
      </c>
      <c r="U287" s="24">
        <f t="shared" si="36"/>
        <v>55.106406250000006</v>
      </c>
      <c r="W287">
        <v>2376.1999999999998</v>
      </c>
      <c r="Y287">
        <f t="shared" si="35"/>
        <v>186262.90000000002</v>
      </c>
      <c r="Z287">
        <f t="shared" si="37"/>
        <v>25210.1</v>
      </c>
      <c r="AA287">
        <v>14.632017922286991</v>
      </c>
    </row>
    <row r="288" spans="1:28" x14ac:dyDescent="0.25">
      <c r="A288">
        <v>5560</v>
      </c>
      <c r="B288">
        <v>22250</v>
      </c>
      <c r="C288" s="1">
        <v>42866</v>
      </c>
      <c r="F288" s="52"/>
      <c r="G288">
        <v>12.7</v>
      </c>
      <c r="H288">
        <v>10.3</v>
      </c>
      <c r="I288">
        <v>16.2</v>
      </c>
      <c r="J288">
        <f t="shared" si="33"/>
        <v>2105.1999999999994</v>
      </c>
      <c r="K288">
        <f t="shared" si="38"/>
        <v>202.39999999999998</v>
      </c>
      <c r="M288">
        <v>10.5</v>
      </c>
      <c r="N288">
        <v>1</v>
      </c>
      <c r="O288">
        <f t="shared" si="30"/>
        <v>9.5</v>
      </c>
      <c r="P288">
        <f t="shared" si="34"/>
        <v>130.29999999999995</v>
      </c>
      <c r="Q288">
        <v>249</v>
      </c>
      <c r="R288">
        <v>1.1499999999999999</v>
      </c>
      <c r="S288">
        <f t="shared" si="31"/>
        <v>1.1499999999999999</v>
      </c>
      <c r="T288" s="24">
        <f t="shared" si="32"/>
        <v>9.35</v>
      </c>
      <c r="U288" s="24">
        <f t="shared" si="36"/>
        <v>64.456406250000001</v>
      </c>
      <c r="W288">
        <v>658.7</v>
      </c>
      <c r="Y288">
        <f t="shared" si="35"/>
        <v>186921.60000000003</v>
      </c>
      <c r="Z288">
        <f t="shared" si="37"/>
        <v>25868.799999999999</v>
      </c>
      <c r="AA288">
        <v>14.676433431909377</v>
      </c>
    </row>
    <row r="289" spans="1:28" x14ac:dyDescent="0.25">
      <c r="A289">
        <v>5560</v>
      </c>
      <c r="B289">
        <v>22250</v>
      </c>
      <c r="C289" s="1">
        <v>42867</v>
      </c>
      <c r="F289" s="52"/>
      <c r="G289">
        <v>14.7</v>
      </c>
      <c r="H289">
        <v>11.7</v>
      </c>
      <c r="I289">
        <v>19.899999999999999</v>
      </c>
      <c r="J289">
        <f t="shared" si="33"/>
        <v>2119.8999999999992</v>
      </c>
      <c r="K289">
        <f t="shared" si="38"/>
        <v>217.09999999999997</v>
      </c>
      <c r="M289">
        <v>1.8</v>
      </c>
      <c r="N289">
        <v>2.7</v>
      </c>
      <c r="O289">
        <f t="shared" si="30"/>
        <v>-0.90000000000000013</v>
      </c>
      <c r="P289">
        <f t="shared" si="34"/>
        <v>129.39999999999995</v>
      </c>
      <c r="Q289">
        <v>250</v>
      </c>
      <c r="R289">
        <v>1.1499999999999999</v>
      </c>
      <c r="S289">
        <f t="shared" si="31"/>
        <v>3.105</v>
      </c>
      <c r="T289" s="24">
        <f t="shared" si="32"/>
        <v>-1.3049999999999999</v>
      </c>
      <c r="U289" s="24">
        <f t="shared" si="36"/>
        <v>63.151406250000001</v>
      </c>
      <c r="W289">
        <v>1645.9</v>
      </c>
      <c r="Y289">
        <f t="shared" si="35"/>
        <v>188567.50000000003</v>
      </c>
      <c r="Z289">
        <f t="shared" si="37"/>
        <v>27514.7</v>
      </c>
      <c r="AA289">
        <v>14.720188952224495</v>
      </c>
    </row>
    <row r="290" spans="1:28" x14ac:dyDescent="0.25">
      <c r="A290">
        <v>5560</v>
      </c>
      <c r="B290">
        <v>22250</v>
      </c>
      <c r="C290" s="1">
        <v>42868</v>
      </c>
      <c r="F290" s="52"/>
      <c r="G290">
        <v>14.6</v>
      </c>
      <c r="H290">
        <v>9.3000000000000007</v>
      </c>
      <c r="I290">
        <v>18.5</v>
      </c>
      <c r="J290">
        <f t="shared" si="33"/>
        <v>2134.4999999999991</v>
      </c>
      <c r="K290">
        <f t="shared" si="38"/>
        <v>231.69999999999996</v>
      </c>
      <c r="M290">
        <v>0.2</v>
      </c>
      <c r="N290">
        <v>1.1000000000000001</v>
      </c>
      <c r="O290">
        <f t="shared" si="30"/>
        <v>-0.90000000000000013</v>
      </c>
      <c r="P290">
        <f t="shared" si="34"/>
        <v>128.49999999999994</v>
      </c>
      <c r="Q290">
        <v>251</v>
      </c>
      <c r="R290">
        <v>1.1499999999999999</v>
      </c>
      <c r="S290">
        <f t="shared" si="31"/>
        <v>1.2649999999999999</v>
      </c>
      <c r="T290" s="24">
        <f t="shared" si="32"/>
        <v>-1.0649999999999999</v>
      </c>
      <c r="U290" s="24">
        <f t="shared" si="36"/>
        <v>62.086406250000003</v>
      </c>
      <c r="W290">
        <v>940.4</v>
      </c>
      <c r="Y290">
        <f t="shared" si="35"/>
        <v>189507.90000000002</v>
      </c>
      <c r="Z290">
        <f t="shared" si="37"/>
        <v>28455.100000000002</v>
      </c>
      <c r="AA290">
        <v>14.763263220979942</v>
      </c>
    </row>
    <row r="291" spans="1:28" x14ac:dyDescent="0.25">
      <c r="A291">
        <v>5560</v>
      </c>
      <c r="B291">
        <v>22250</v>
      </c>
      <c r="C291" s="1">
        <v>42869</v>
      </c>
      <c r="F291" s="52"/>
      <c r="G291">
        <v>15.3</v>
      </c>
      <c r="H291">
        <v>11.6</v>
      </c>
      <c r="I291">
        <v>20.399999999999999</v>
      </c>
      <c r="J291">
        <f t="shared" si="33"/>
        <v>2149.7999999999993</v>
      </c>
      <c r="K291">
        <f t="shared" si="38"/>
        <v>246.99999999999997</v>
      </c>
      <c r="M291">
        <v>0.8</v>
      </c>
      <c r="N291">
        <v>1.9</v>
      </c>
      <c r="O291">
        <f t="shared" si="30"/>
        <v>-1.0999999999999999</v>
      </c>
      <c r="P291">
        <f t="shared" si="34"/>
        <v>127.39999999999995</v>
      </c>
      <c r="Q291">
        <v>252</v>
      </c>
      <c r="R291">
        <v>1.1499999999999999</v>
      </c>
      <c r="S291">
        <f t="shared" si="31"/>
        <v>2.1849999999999996</v>
      </c>
      <c r="T291" s="24">
        <f t="shared" si="32"/>
        <v>-1.3849999999999996</v>
      </c>
      <c r="U291" s="24">
        <f t="shared" si="36"/>
        <v>60.701406250000005</v>
      </c>
      <c r="W291">
        <v>868.5</v>
      </c>
      <c r="Y291">
        <f t="shared" si="35"/>
        <v>190376.40000000002</v>
      </c>
      <c r="Z291">
        <f t="shared" si="37"/>
        <v>29323.600000000002</v>
      </c>
      <c r="AA291">
        <v>14.805634743769577</v>
      </c>
    </row>
    <row r="292" spans="1:28" x14ac:dyDescent="0.25">
      <c r="A292">
        <v>5560</v>
      </c>
      <c r="B292">
        <v>22250</v>
      </c>
      <c r="C292" s="1">
        <v>42870</v>
      </c>
      <c r="F292" s="52"/>
      <c r="G292">
        <v>17.2</v>
      </c>
      <c r="H292">
        <v>8.3000000000000007</v>
      </c>
      <c r="I292">
        <v>23.3</v>
      </c>
      <c r="J292">
        <f t="shared" si="33"/>
        <v>2166.9999999999991</v>
      </c>
      <c r="K292">
        <f t="shared" si="38"/>
        <v>264.2</v>
      </c>
      <c r="M292">
        <v>0</v>
      </c>
      <c r="N292">
        <v>3.1</v>
      </c>
      <c r="O292">
        <f t="shared" si="30"/>
        <v>-3.1</v>
      </c>
      <c r="P292">
        <f t="shared" si="34"/>
        <v>124.29999999999995</v>
      </c>
      <c r="Q292">
        <v>253</v>
      </c>
      <c r="R292">
        <v>1.1499999999999999</v>
      </c>
      <c r="S292">
        <f t="shared" si="31"/>
        <v>3.5649999999999999</v>
      </c>
      <c r="T292" s="24">
        <f t="shared" si="32"/>
        <v>-3.5649999999999999</v>
      </c>
      <c r="U292" s="24">
        <f t="shared" si="36"/>
        <v>57.136406250000007</v>
      </c>
      <c r="W292">
        <v>1932.5</v>
      </c>
      <c r="Y292">
        <f t="shared" si="35"/>
        <v>192308.90000000002</v>
      </c>
      <c r="Z292">
        <f t="shared" si="37"/>
        <v>31256.100000000002</v>
      </c>
      <c r="AA292">
        <v>14.847281817505392</v>
      </c>
    </row>
    <row r="293" spans="1:28" x14ac:dyDescent="0.25">
      <c r="A293">
        <v>5560</v>
      </c>
      <c r="B293">
        <v>22250</v>
      </c>
      <c r="C293" s="1">
        <v>42871</v>
      </c>
      <c r="F293" s="52"/>
      <c r="G293">
        <v>19.100000000000001</v>
      </c>
      <c r="H293">
        <v>12.1</v>
      </c>
      <c r="I293">
        <v>25.2</v>
      </c>
      <c r="J293">
        <f t="shared" si="33"/>
        <v>2186.099999999999</v>
      </c>
      <c r="K293">
        <f t="shared" si="38"/>
        <v>283.3</v>
      </c>
      <c r="M293">
        <v>0</v>
      </c>
      <c r="N293">
        <v>3.2</v>
      </c>
      <c r="O293">
        <f t="shared" si="30"/>
        <v>-3.2</v>
      </c>
      <c r="P293">
        <f t="shared" si="34"/>
        <v>121.09999999999995</v>
      </c>
      <c r="Q293">
        <v>254</v>
      </c>
      <c r="R293">
        <v>1.1499999999999999</v>
      </c>
      <c r="S293">
        <f t="shared" si="31"/>
        <v>3.6799999999999997</v>
      </c>
      <c r="T293" s="24">
        <f t="shared" si="32"/>
        <v>-3.6799999999999997</v>
      </c>
      <c r="U293" s="24">
        <f t="shared" si="36"/>
        <v>53.456406250000008</v>
      </c>
      <c r="W293">
        <v>1695.2</v>
      </c>
      <c r="Y293">
        <f t="shared" si="35"/>
        <v>194004.10000000003</v>
      </c>
      <c r="Z293">
        <f t="shared" si="37"/>
        <v>32951.300000000003</v>
      </c>
      <c r="AA293">
        <v>14.888182555769374</v>
      </c>
    </row>
    <row r="294" spans="1:28" s="32" customFormat="1" ht="15.75" thickBot="1" x14ac:dyDescent="0.3">
      <c r="A294" s="32">
        <v>5560</v>
      </c>
      <c r="B294" s="32">
        <v>22250</v>
      </c>
      <c r="C294" s="33">
        <v>42872</v>
      </c>
      <c r="D294" s="32">
        <v>300</v>
      </c>
      <c r="F294" s="52"/>
      <c r="G294" s="32">
        <v>20.3</v>
      </c>
      <c r="H294" s="32">
        <v>12.7</v>
      </c>
      <c r="I294" s="32">
        <v>27.9</v>
      </c>
      <c r="J294" s="32">
        <f t="shared" si="33"/>
        <v>2206.3999999999992</v>
      </c>
      <c r="K294" s="32">
        <f t="shared" si="38"/>
        <v>303.60000000000002</v>
      </c>
      <c r="L294" s="34"/>
      <c r="M294" s="32">
        <v>11.2</v>
      </c>
      <c r="N294" s="32">
        <v>3.4</v>
      </c>
      <c r="O294" s="32">
        <f t="shared" si="30"/>
        <v>7.7999999999999989</v>
      </c>
      <c r="P294" s="32">
        <f t="shared" si="34"/>
        <v>128.89999999999995</v>
      </c>
      <c r="Q294" s="32">
        <v>255</v>
      </c>
      <c r="R294" s="32">
        <v>1.1499999999999999</v>
      </c>
      <c r="S294" s="32">
        <f t="shared" si="31"/>
        <v>3.9099999999999997</v>
      </c>
      <c r="T294" s="35">
        <f t="shared" si="32"/>
        <v>7.2899999999999991</v>
      </c>
      <c r="U294" s="24">
        <f t="shared" si="36"/>
        <v>60.746406250000007</v>
      </c>
      <c r="W294" s="32">
        <v>1532.2</v>
      </c>
      <c r="Y294" s="32">
        <f t="shared" si="35"/>
        <v>195536.30000000005</v>
      </c>
      <c r="Z294" s="32">
        <f t="shared" si="37"/>
        <v>34483.5</v>
      </c>
      <c r="AA294" s="32">
        <v>14.92831491605207</v>
      </c>
    </row>
    <row r="295" spans="1:28" s="39" customFormat="1" x14ac:dyDescent="0.25">
      <c r="A295" s="39">
        <v>5560</v>
      </c>
      <c r="B295" s="39">
        <v>22250</v>
      </c>
      <c r="C295" s="40">
        <v>42873</v>
      </c>
      <c r="F295" s="53" t="s">
        <v>47</v>
      </c>
      <c r="G295" s="39">
        <v>14.2</v>
      </c>
      <c r="H295" s="39">
        <v>11.4</v>
      </c>
      <c r="I295" s="39">
        <v>18.100000000000001</v>
      </c>
      <c r="J295" s="39">
        <f t="shared" si="33"/>
        <v>2220.599999999999</v>
      </c>
      <c r="K295">
        <f>G295</f>
        <v>14.2</v>
      </c>
      <c r="L295" s="20" t="s">
        <v>38</v>
      </c>
      <c r="M295" s="39">
        <v>18.600000000000001</v>
      </c>
      <c r="N295" s="39">
        <v>0.9</v>
      </c>
      <c r="O295" s="39">
        <f t="shared" si="30"/>
        <v>17.700000000000003</v>
      </c>
      <c r="P295" s="39">
        <f t="shared" si="34"/>
        <v>146.59999999999997</v>
      </c>
      <c r="Q295" s="39">
        <v>256</v>
      </c>
      <c r="R295">
        <f>1.15+((Q295-255)/48)*(0.35-1.15)</f>
        <v>1.1333333333333333</v>
      </c>
      <c r="S295" s="39">
        <f t="shared" si="31"/>
        <v>1.02</v>
      </c>
      <c r="T295" s="41">
        <f t="shared" si="32"/>
        <v>17.580000000000002</v>
      </c>
      <c r="U295" s="24">
        <f t="shared" si="36"/>
        <v>78.326406250000005</v>
      </c>
      <c r="V295" s="30" t="s">
        <v>53</v>
      </c>
      <c r="W295" s="39">
        <v>565.5</v>
      </c>
      <c r="Y295" s="39">
        <f t="shared" si="35"/>
        <v>196101.80000000005</v>
      </c>
      <c r="Z295">
        <f>W295</f>
        <v>565.5</v>
      </c>
      <c r="AA295" s="39">
        <v>14.96765672887528</v>
      </c>
      <c r="AB295" s="30" t="s">
        <v>58</v>
      </c>
    </row>
    <row r="296" spans="1:28" ht="15" customHeight="1" x14ac:dyDescent="0.25">
      <c r="A296">
        <v>5560</v>
      </c>
      <c r="B296">
        <v>22250</v>
      </c>
      <c r="C296" s="1">
        <v>42874</v>
      </c>
      <c r="F296" s="53"/>
      <c r="G296">
        <v>10.8</v>
      </c>
      <c r="H296">
        <v>9.5</v>
      </c>
      <c r="I296">
        <v>14.4</v>
      </c>
      <c r="J296">
        <f t="shared" si="33"/>
        <v>2231.3999999999992</v>
      </c>
      <c r="K296">
        <f t="shared" si="38"/>
        <v>25</v>
      </c>
      <c r="L296" s="12">
        <v>313.60000000000002</v>
      </c>
      <c r="M296">
        <v>6.4</v>
      </c>
      <c r="N296">
        <v>2.4</v>
      </c>
      <c r="O296">
        <f t="shared" si="30"/>
        <v>4</v>
      </c>
      <c r="P296">
        <f t="shared" si="34"/>
        <v>150.59999999999997</v>
      </c>
      <c r="Q296">
        <v>257</v>
      </c>
      <c r="R296">
        <f t="shared" ref="R296:R342" si="39">1.15+((Q296-255)/48)*(0.35-1.15)</f>
        <v>1.1166666666666667</v>
      </c>
      <c r="S296">
        <f t="shared" si="31"/>
        <v>2.68</v>
      </c>
      <c r="T296" s="24">
        <f t="shared" si="32"/>
        <v>3.72</v>
      </c>
      <c r="U296" s="24">
        <f t="shared" si="36"/>
        <v>82.046406250000004</v>
      </c>
      <c r="V296">
        <v>0</v>
      </c>
      <c r="W296">
        <v>1584</v>
      </c>
      <c r="Y296">
        <f t="shared" si="35"/>
        <v>197685.80000000005</v>
      </c>
      <c r="Z296">
        <f t="shared" si="37"/>
        <v>2149.5</v>
      </c>
      <c r="AA296">
        <v>15.006185728786003</v>
      </c>
      <c r="AB296">
        <v>30256.3</v>
      </c>
    </row>
    <row r="297" spans="1:28" x14ac:dyDescent="0.25">
      <c r="A297">
        <v>5560</v>
      </c>
      <c r="B297">
        <v>22250</v>
      </c>
      <c r="C297" s="1">
        <v>42875</v>
      </c>
      <c r="F297" s="53"/>
      <c r="G297">
        <v>11.9</v>
      </c>
      <c r="H297">
        <v>8.6999999999999993</v>
      </c>
      <c r="I297">
        <v>15.4</v>
      </c>
      <c r="J297">
        <f t="shared" si="33"/>
        <v>2243.2999999999993</v>
      </c>
      <c r="K297">
        <f t="shared" si="38"/>
        <v>36.9</v>
      </c>
      <c r="L297" s="20" t="s">
        <v>39</v>
      </c>
      <c r="M297">
        <v>0.2</v>
      </c>
      <c r="N297">
        <v>1.8</v>
      </c>
      <c r="O297">
        <f t="shared" ref="O297:O342" si="40">M297-N297</f>
        <v>-1.6</v>
      </c>
      <c r="P297">
        <f t="shared" si="34"/>
        <v>148.99999999999997</v>
      </c>
      <c r="Q297">
        <v>258</v>
      </c>
      <c r="R297">
        <f t="shared" si="39"/>
        <v>1.0999999999999999</v>
      </c>
      <c r="S297">
        <f t="shared" ref="S297:S342" si="41">R297*N297</f>
        <v>1.9799999999999998</v>
      </c>
      <c r="T297" s="24">
        <f t="shared" ref="T297:T342" si="42">M297-S297</f>
        <v>-1.7799999999999998</v>
      </c>
      <c r="U297" s="24">
        <f t="shared" si="36"/>
        <v>80.266406250000003</v>
      </c>
      <c r="V297" s="30" t="s">
        <v>54</v>
      </c>
      <c r="W297">
        <v>1240.0999999999999</v>
      </c>
      <c r="Y297">
        <f t="shared" si="35"/>
        <v>198925.90000000005</v>
      </c>
      <c r="Z297">
        <f t="shared" si="37"/>
        <v>3389.6</v>
      </c>
      <c r="AA297">
        <v>15.043879587197974</v>
      </c>
      <c r="AB297" s="30" t="s">
        <v>59</v>
      </c>
    </row>
    <row r="298" spans="1:28" x14ac:dyDescent="0.25">
      <c r="A298">
        <v>5560</v>
      </c>
      <c r="B298">
        <v>22250</v>
      </c>
      <c r="C298" s="1">
        <v>42876</v>
      </c>
      <c r="F298" s="53"/>
      <c r="G298">
        <v>14.2</v>
      </c>
      <c r="H298">
        <v>7.3</v>
      </c>
      <c r="I298">
        <v>19.5</v>
      </c>
      <c r="J298">
        <f t="shared" ref="J298:J342" si="43">J297+G298</f>
        <v>2257.4999999999991</v>
      </c>
      <c r="K298">
        <f t="shared" si="38"/>
        <v>51.099999999999994</v>
      </c>
      <c r="L298" s="17">
        <f>AVERAGE(G295:G311)</f>
        <v>18.44705882352941</v>
      </c>
      <c r="M298">
        <v>0</v>
      </c>
      <c r="N298">
        <v>3</v>
      </c>
      <c r="O298">
        <f t="shared" si="40"/>
        <v>-3</v>
      </c>
      <c r="P298">
        <f t="shared" ref="P298:P342" si="44">P297+O298</f>
        <v>145.99999999999997</v>
      </c>
      <c r="Q298">
        <v>259</v>
      </c>
      <c r="R298">
        <f t="shared" si="39"/>
        <v>1.0833333333333333</v>
      </c>
      <c r="S298">
        <f t="shared" si="41"/>
        <v>3.25</v>
      </c>
      <c r="T298" s="24">
        <f t="shared" si="42"/>
        <v>-3.25</v>
      </c>
      <c r="U298" s="24">
        <f t="shared" si="36"/>
        <v>77.016406250000003</v>
      </c>
      <c r="V298">
        <v>3</v>
      </c>
      <c r="W298">
        <v>2112.4</v>
      </c>
      <c r="Y298">
        <f t="shared" ref="Y298:Y342" si="45">Y297+W298</f>
        <v>201038.30000000005</v>
      </c>
      <c r="Z298">
        <f t="shared" si="37"/>
        <v>5502</v>
      </c>
      <c r="AA298">
        <v>15.080715947045276</v>
      </c>
      <c r="AB298">
        <f>(AB296/100)/L296</f>
        <v>0.96480548469387739</v>
      </c>
    </row>
    <row r="299" spans="1:28" x14ac:dyDescent="0.25">
      <c r="A299">
        <v>5560</v>
      </c>
      <c r="B299">
        <v>22250</v>
      </c>
      <c r="C299" s="1">
        <v>42877</v>
      </c>
      <c r="F299" s="53"/>
      <c r="G299">
        <v>18</v>
      </c>
      <c r="H299">
        <v>10.6</v>
      </c>
      <c r="I299">
        <v>25.2</v>
      </c>
      <c r="J299">
        <f t="shared" si="43"/>
        <v>2275.4999999999991</v>
      </c>
      <c r="K299">
        <f t="shared" si="38"/>
        <v>69.099999999999994</v>
      </c>
      <c r="L299" s="20" t="s">
        <v>40</v>
      </c>
      <c r="M299">
        <v>0</v>
      </c>
      <c r="N299">
        <v>4.0999999999999996</v>
      </c>
      <c r="O299">
        <f t="shared" si="40"/>
        <v>-4.0999999999999996</v>
      </c>
      <c r="P299">
        <f t="shared" si="44"/>
        <v>141.89999999999998</v>
      </c>
      <c r="Q299">
        <v>260</v>
      </c>
      <c r="R299">
        <f t="shared" si="39"/>
        <v>1.0666666666666667</v>
      </c>
      <c r="S299">
        <f t="shared" si="41"/>
        <v>4.3733333333333331</v>
      </c>
      <c r="T299" s="24">
        <f t="shared" si="42"/>
        <v>-4.3733333333333331</v>
      </c>
      <c r="U299" s="24">
        <f t="shared" si="36"/>
        <v>72.643072916666668</v>
      </c>
      <c r="V299" s="30" t="s">
        <v>55</v>
      </c>
      <c r="W299">
        <v>2183.6999999999998</v>
      </c>
      <c r="Y299">
        <f t="shared" si="45"/>
        <v>203222.00000000006</v>
      </c>
      <c r="Z299">
        <f t="shared" si="37"/>
        <v>7685.7</v>
      </c>
      <c r="AA299">
        <v>15.11667245920021</v>
      </c>
      <c r="AB299" s="30" t="s">
        <v>60</v>
      </c>
    </row>
    <row r="300" spans="1:28" x14ac:dyDescent="0.25">
      <c r="A300">
        <v>5560</v>
      </c>
      <c r="B300">
        <v>22250</v>
      </c>
      <c r="C300" s="1">
        <v>42878</v>
      </c>
      <c r="F300" s="53"/>
      <c r="G300">
        <v>16.899999999999999</v>
      </c>
      <c r="H300">
        <v>13.8</v>
      </c>
      <c r="I300">
        <v>21.5</v>
      </c>
      <c r="J300">
        <f t="shared" si="43"/>
        <v>2292.3999999999992</v>
      </c>
      <c r="K300">
        <f t="shared" si="38"/>
        <v>86</v>
      </c>
      <c r="L300" s="13">
        <f>MIN(H295:H311)</f>
        <v>7.3</v>
      </c>
      <c r="M300">
        <v>0</v>
      </c>
      <c r="N300">
        <v>2.1</v>
      </c>
      <c r="O300">
        <f t="shared" si="40"/>
        <v>-2.1</v>
      </c>
      <c r="P300">
        <f t="shared" si="44"/>
        <v>139.79999999999998</v>
      </c>
      <c r="Q300">
        <v>261</v>
      </c>
      <c r="R300">
        <f t="shared" si="39"/>
        <v>1.0499999999999998</v>
      </c>
      <c r="S300">
        <f t="shared" si="41"/>
        <v>2.2049999999999996</v>
      </c>
      <c r="T300" s="24">
        <f t="shared" si="42"/>
        <v>-2.2049999999999996</v>
      </c>
      <c r="U300" s="24">
        <f t="shared" si="36"/>
        <v>70.43807291666667</v>
      </c>
      <c r="V300" s="24">
        <f>MIN(U295:U311)</f>
        <v>32.574739583333347</v>
      </c>
      <c r="W300">
        <v>1048</v>
      </c>
      <c r="Y300">
        <f t="shared" si="45"/>
        <v>204270.00000000006</v>
      </c>
      <c r="Z300">
        <f t="shared" si="37"/>
        <v>8733.7000000000007</v>
      </c>
      <c r="AA300">
        <v>15.151726820594499</v>
      </c>
      <c r="AB300">
        <v>3</v>
      </c>
    </row>
    <row r="301" spans="1:28" x14ac:dyDescent="0.25">
      <c r="A301">
        <v>5560</v>
      </c>
      <c r="B301">
        <v>22250</v>
      </c>
      <c r="C301" s="1">
        <v>42879</v>
      </c>
      <c r="F301" s="53"/>
      <c r="G301">
        <v>19.3</v>
      </c>
      <c r="H301">
        <v>14.2</v>
      </c>
      <c r="I301">
        <v>23.8</v>
      </c>
      <c r="J301">
        <f t="shared" si="43"/>
        <v>2311.6999999999994</v>
      </c>
      <c r="K301">
        <f t="shared" si="38"/>
        <v>105.3</v>
      </c>
      <c r="L301" s="20" t="s">
        <v>41</v>
      </c>
      <c r="M301">
        <v>0</v>
      </c>
      <c r="N301">
        <v>3.5</v>
      </c>
      <c r="O301">
        <f t="shared" si="40"/>
        <v>-3.5</v>
      </c>
      <c r="P301">
        <f t="shared" si="44"/>
        <v>136.29999999999998</v>
      </c>
      <c r="Q301">
        <v>262</v>
      </c>
      <c r="R301">
        <f t="shared" si="39"/>
        <v>1.0333333333333332</v>
      </c>
      <c r="S301">
        <f t="shared" si="41"/>
        <v>3.6166666666666663</v>
      </c>
      <c r="T301" s="24">
        <f t="shared" si="42"/>
        <v>-3.6166666666666663</v>
      </c>
      <c r="U301" s="24">
        <f t="shared" si="36"/>
        <v>66.82140625000001</v>
      </c>
      <c r="V301" s="30" t="s">
        <v>56</v>
      </c>
      <c r="W301">
        <v>2067.8000000000002</v>
      </c>
      <c r="Y301">
        <f t="shared" si="45"/>
        <v>206337.80000000005</v>
      </c>
      <c r="Z301">
        <f t="shared" si="37"/>
        <v>10801.5</v>
      </c>
      <c r="AA301">
        <v>15.185856813969309</v>
      </c>
    </row>
    <row r="302" spans="1:28" x14ac:dyDescent="0.25">
      <c r="A302">
        <v>5560</v>
      </c>
      <c r="B302">
        <v>22250</v>
      </c>
      <c r="C302" s="1">
        <v>42880</v>
      </c>
      <c r="F302" s="53"/>
      <c r="G302">
        <v>20.100000000000001</v>
      </c>
      <c r="H302">
        <v>14.8</v>
      </c>
      <c r="I302">
        <v>25.3</v>
      </c>
      <c r="J302">
        <f t="shared" si="43"/>
        <v>2331.7999999999993</v>
      </c>
      <c r="K302">
        <f t="shared" si="38"/>
        <v>125.4</v>
      </c>
      <c r="L302" s="12">
        <f>MAX(I295:I311)</f>
        <v>29.8</v>
      </c>
      <c r="M302">
        <v>0</v>
      </c>
      <c r="N302">
        <v>5.7</v>
      </c>
      <c r="O302">
        <f t="shared" si="40"/>
        <v>-5.7</v>
      </c>
      <c r="P302">
        <f t="shared" si="44"/>
        <v>130.6</v>
      </c>
      <c r="Q302">
        <v>263</v>
      </c>
      <c r="R302">
        <f t="shared" si="39"/>
        <v>1.0166666666666666</v>
      </c>
      <c r="S302">
        <f t="shared" si="41"/>
        <v>5.7949999999999999</v>
      </c>
      <c r="T302" s="24">
        <f t="shared" si="42"/>
        <v>-5.7949999999999999</v>
      </c>
      <c r="U302" s="24">
        <f t="shared" si="36"/>
        <v>61.026406250000008</v>
      </c>
      <c r="V302" s="24">
        <f>MAX(U295:U311)</f>
        <v>82.046406250000004</v>
      </c>
      <c r="W302">
        <v>2866</v>
      </c>
      <c r="Y302">
        <f t="shared" si="45"/>
        <v>209203.80000000005</v>
      </c>
      <c r="Z302">
        <f t="shared" si="37"/>
        <v>13667.5</v>
      </c>
      <c r="AA302">
        <v>15.219040349165416</v>
      </c>
    </row>
    <row r="303" spans="1:28" x14ac:dyDescent="0.25">
      <c r="A303">
        <v>5560</v>
      </c>
      <c r="B303">
        <v>22250</v>
      </c>
      <c r="C303" s="1">
        <v>42881</v>
      </c>
      <c r="F303" s="53"/>
      <c r="G303">
        <v>21.2</v>
      </c>
      <c r="H303">
        <v>14.3</v>
      </c>
      <c r="I303">
        <v>27.2</v>
      </c>
      <c r="J303">
        <f t="shared" si="43"/>
        <v>2352.9999999999991</v>
      </c>
      <c r="K303">
        <f t="shared" si="38"/>
        <v>146.6</v>
      </c>
      <c r="L303" s="20" t="s">
        <v>42</v>
      </c>
      <c r="M303">
        <v>0</v>
      </c>
      <c r="N303">
        <v>5.3</v>
      </c>
      <c r="O303">
        <f t="shared" si="40"/>
        <v>-5.3</v>
      </c>
      <c r="P303">
        <f t="shared" si="44"/>
        <v>125.3</v>
      </c>
      <c r="Q303">
        <v>264</v>
      </c>
      <c r="R303">
        <f t="shared" si="39"/>
        <v>0.99999999999999989</v>
      </c>
      <c r="S303">
        <f t="shared" si="41"/>
        <v>5.2999999999999989</v>
      </c>
      <c r="T303" s="24">
        <f t="shared" si="42"/>
        <v>-5.2999999999999989</v>
      </c>
      <c r="U303" s="24">
        <f t="shared" si="36"/>
        <v>55.726406250000011</v>
      </c>
      <c r="V303" s="30" t="s">
        <v>57</v>
      </c>
      <c r="W303">
        <v>2804.8</v>
      </c>
      <c r="Y303">
        <f t="shared" si="45"/>
        <v>212008.60000000003</v>
      </c>
      <c r="Z303">
        <f t="shared" si="37"/>
        <v>16472.3</v>
      </c>
      <c r="AA303">
        <v>15.251255505850448</v>
      </c>
    </row>
    <row r="304" spans="1:28" x14ac:dyDescent="0.25">
      <c r="A304">
        <v>5560</v>
      </c>
      <c r="B304">
        <v>22250</v>
      </c>
      <c r="C304" s="1">
        <v>42882</v>
      </c>
      <c r="F304" s="53"/>
      <c r="G304">
        <v>23.1</v>
      </c>
      <c r="H304">
        <v>17.100000000000001</v>
      </c>
      <c r="I304">
        <v>27.7</v>
      </c>
      <c r="J304">
        <f t="shared" si="43"/>
        <v>2376.099999999999</v>
      </c>
      <c r="K304">
        <f t="shared" si="38"/>
        <v>169.7</v>
      </c>
      <c r="L304" s="12">
        <v>8</v>
      </c>
      <c r="M304">
        <v>0</v>
      </c>
      <c r="N304">
        <v>5.0999999999999996</v>
      </c>
      <c r="O304">
        <f t="shared" si="40"/>
        <v>-5.0999999999999996</v>
      </c>
      <c r="P304">
        <f t="shared" si="44"/>
        <v>120.2</v>
      </c>
      <c r="Q304">
        <v>265</v>
      </c>
      <c r="R304">
        <f t="shared" si="39"/>
        <v>0.98333333333333328</v>
      </c>
      <c r="S304">
        <f t="shared" si="41"/>
        <v>5.0149999999999997</v>
      </c>
      <c r="T304" s="24">
        <f t="shared" si="42"/>
        <v>-5.0149999999999997</v>
      </c>
      <c r="U304" s="24">
        <f t="shared" si="36"/>
        <v>50.71140625000001</v>
      </c>
      <c r="V304" s="24">
        <f>AVERAGE(U295:U311)</f>
        <v>57.301896446078437</v>
      </c>
      <c r="W304">
        <v>2544.1</v>
      </c>
      <c r="Y304">
        <f t="shared" si="45"/>
        <v>214552.70000000004</v>
      </c>
      <c r="Z304">
        <f t="shared" si="37"/>
        <v>19016.399999999998</v>
      </c>
      <c r="AA304">
        <v>15.282480577565307</v>
      </c>
    </row>
    <row r="305" spans="1:28" x14ac:dyDescent="0.25">
      <c r="A305">
        <v>5560</v>
      </c>
      <c r="B305">
        <v>22250</v>
      </c>
      <c r="C305" s="1">
        <v>42883</v>
      </c>
      <c r="F305" s="53"/>
      <c r="G305">
        <v>24</v>
      </c>
      <c r="H305">
        <v>18</v>
      </c>
      <c r="I305">
        <v>29.8</v>
      </c>
      <c r="J305">
        <f t="shared" si="43"/>
        <v>2400.099999999999</v>
      </c>
      <c r="K305">
        <f t="shared" si="38"/>
        <v>193.7</v>
      </c>
      <c r="L305" s="20" t="s">
        <v>43</v>
      </c>
      <c r="M305">
        <v>0</v>
      </c>
      <c r="N305">
        <v>5.0999999999999996</v>
      </c>
      <c r="O305">
        <f t="shared" si="40"/>
        <v>-5.0999999999999996</v>
      </c>
      <c r="P305">
        <f t="shared" si="44"/>
        <v>115.10000000000001</v>
      </c>
      <c r="Q305">
        <v>266</v>
      </c>
      <c r="R305">
        <f t="shared" si="39"/>
        <v>0.96666666666666656</v>
      </c>
      <c r="S305">
        <f t="shared" si="41"/>
        <v>4.9299999999999988</v>
      </c>
      <c r="T305" s="24">
        <f t="shared" si="42"/>
        <v>-4.9299999999999988</v>
      </c>
      <c r="U305" s="24">
        <f t="shared" si="36"/>
        <v>45.781406250000011</v>
      </c>
      <c r="W305">
        <v>2490.3000000000002</v>
      </c>
      <c r="Y305">
        <f t="shared" si="45"/>
        <v>217043.00000000003</v>
      </c>
      <c r="Z305">
        <f t="shared" si="37"/>
        <v>21506.699999999997</v>
      </c>
      <c r="AA305">
        <v>15.312694116957148</v>
      </c>
    </row>
    <row r="306" spans="1:28" x14ac:dyDescent="0.25">
      <c r="A306">
        <v>5560</v>
      </c>
      <c r="B306">
        <v>22250</v>
      </c>
      <c r="C306" s="1">
        <v>42884</v>
      </c>
      <c r="F306" s="53"/>
      <c r="G306">
        <v>21.3</v>
      </c>
      <c r="H306">
        <v>18.8</v>
      </c>
      <c r="I306">
        <v>25.2</v>
      </c>
      <c r="J306">
        <f t="shared" si="43"/>
        <v>2421.3999999999992</v>
      </c>
      <c r="K306">
        <f t="shared" si="38"/>
        <v>215</v>
      </c>
      <c r="L306" s="12">
        <v>0</v>
      </c>
      <c r="M306">
        <v>0</v>
      </c>
      <c r="N306">
        <v>3.5</v>
      </c>
      <c r="O306">
        <f t="shared" si="40"/>
        <v>-3.5</v>
      </c>
      <c r="P306">
        <f t="shared" si="44"/>
        <v>111.60000000000001</v>
      </c>
      <c r="Q306">
        <v>267</v>
      </c>
      <c r="R306">
        <f t="shared" si="39"/>
        <v>0.95</v>
      </c>
      <c r="S306">
        <f t="shared" si="41"/>
        <v>3.3249999999999997</v>
      </c>
      <c r="T306" s="24">
        <f t="shared" si="42"/>
        <v>-3.3249999999999997</v>
      </c>
      <c r="U306" s="24">
        <f t="shared" ref="U306:U342" si="46">MIN(122.1,U305+T306)</f>
        <v>42.456406250000008</v>
      </c>
      <c r="V306" s="43">
        <f>(V304*100)/122.1</f>
        <v>46.93030011963836</v>
      </c>
      <c r="W306">
        <v>1720</v>
      </c>
      <c r="Y306">
        <f t="shared" si="45"/>
        <v>218763.00000000003</v>
      </c>
      <c r="Z306">
        <f t="shared" si="37"/>
        <v>23226.699999999997</v>
      </c>
      <c r="AA306">
        <v>15.341874982051356</v>
      </c>
    </row>
    <row r="307" spans="1:28" x14ac:dyDescent="0.25">
      <c r="A307">
        <v>5560</v>
      </c>
      <c r="B307">
        <v>22250</v>
      </c>
      <c r="C307" s="1">
        <v>42885</v>
      </c>
      <c r="F307" s="53"/>
      <c r="G307">
        <v>19.600000000000001</v>
      </c>
      <c r="H307">
        <v>17.2</v>
      </c>
      <c r="I307">
        <v>22.6</v>
      </c>
      <c r="J307">
        <f t="shared" si="43"/>
        <v>2440.9999999999991</v>
      </c>
      <c r="K307">
        <f t="shared" si="38"/>
        <v>234.6</v>
      </c>
      <c r="L307" s="20" t="s">
        <v>44</v>
      </c>
      <c r="M307">
        <v>0</v>
      </c>
      <c r="N307">
        <v>1.5</v>
      </c>
      <c r="O307">
        <f t="shared" si="40"/>
        <v>-1.5</v>
      </c>
      <c r="P307">
        <f t="shared" si="44"/>
        <v>110.10000000000001</v>
      </c>
      <c r="Q307">
        <v>268</v>
      </c>
      <c r="R307">
        <f t="shared" si="39"/>
        <v>0.93333333333333324</v>
      </c>
      <c r="S307">
        <f t="shared" si="41"/>
        <v>1.4</v>
      </c>
      <c r="T307" s="24">
        <f t="shared" si="42"/>
        <v>-1.4</v>
      </c>
      <c r="U307" s="24">
        <f t="shared" si="46"/>
        <v>41.056406250000009</v>
      </c>
      <c r="W307">
        <v>681.3</v>
      </c>
      <c r="Y307">
        <f t="shared" si="45"/>
        <v>219444.30000000002</v>
      </c>
      <c r="Z307">
        <f t="shared" si="37"/>
        <v>23907.999999999996</v>
      </c>
      <c r="AA307">
        <v>15.370002383400509</v>
      </c>
    </row>
    <row r="308" spans="1:28" x14ac:dyDescent="0.25">
      <c r="A308">
        <v>5560</v>
      </c>
      <c r="B308">
        <v>22250</v>
      </c>
      <c r="C308" s="1">
        <v>42886</v>
      </c>
      <c r="F308" s="53"/>
      <c r="G308">
        <v>19.600000000000001</v>
      </c>
      <c r="H308">
        <v>16.2</v>
      </c>
      <c r="I308">
        <v>23.7</v>
      </c>
      <c r="J308">
        <f t="shared" si="43"/>
        <v>2460.599999999999</v>
      </c>
      <c r="K308">
        <f t="shared" si="38"/>
        <v>254.2</v>
      </c>
      <c r="L308" s="18">
        <v>0</v>
      </c>
      <c r="M308">
        <v>0.9</v>
      </c>
      <c r="N308">
        <v>2.5</v>
      </c>
      <c r="O308">
        <f t="shared" si="40"/>
        <v>-1.6</v>
      </c>
      <c r="P308">
        <f t="shared" si="44"/>
        <v>108.50000000000001</v>
      </c>
      <c r="Q308">
        <v>269</v>
      </c>
      <c r="R308">
        <f t="shared" si="39"/>
        <v>0.91666666666666652</v>
      </c>
      <c r="S308">
        <f t="shared" si="41"/>
        <v>2.2916666666666661</v>
      </c>
      <c r="T308" s="24">
        <f t="shared" si="42"/>
        <v>-1.3916666666666662</v>
      </c>
      <c r="U308" s="24">
        <f t="shared" si="46"/>
        <v>39.664739583333343</v>
      </c>
      <c r="W308">
        <v>1304.8</v>
      </c>
      <c r="Y308">
        <f t="shared" si="45"/>
        <v>220749.1</v>
      </c>
      <c r="Z308">
        <f t="shared" si="37"/>
        <v>25212.799999999996</v>
      </c>
      <c r="AA308">
        <v>15.397055931934</v>
      </c>
    </row>
    <row r="309" spans="1:28" x14ac:dyDescent="0.25">
      <c r="A309">
        <v>5560</v>
      </c>
      <c r="B309">
        <v>22250</v>
      </c>
      <c r="C309" s="1">
        <v>42887</v>
      </c>
      <c r="F309" s="53"/>
      <c r="G309">
        <v>20.8</v>
      </c>
      <c r="H309">
        <v>16.2</v>
      </c>
      <c r="I309">
        <v>25.7</v>
      </c>
      <c r="J309">
        <f t="shared" si="43"/>
        <v>2481.3999999999992</v>
      </c>
      <c r="K309">
        <f t="shared" si="38"/>
        <v>275</v>
      </c>
      <c r="M309">
        <v>0</v>
      </c>
      <c r="N309">
        <v>3.5</v>
      </c>
      <c r="O309">
        <f t="shared" si="40"/>
        <v>-3.5</v>
      </c>
      <c r="P309">
        <f t="shared" si="44"/>
        <v>105.00000000000001</v>
      </c>
      <c r="Q309">
        <v>270</v>
      </c>
      <c r="R309">
        <f t="shared" si="39"/>
        <v>0.89999999999999991</v>
      </c>
      <c r="S309">
        <f t="shared" si="41"/>
        <v>3.1499999999999995</v>
      </c>
      <c r="T309" s="24">
        <f t="shared" si="42"/>
        <v>-3.1499999999999995</v>
      </c>
      <c r="U309" s="24">
        <f t="shared" si="46"/>
        <v>36.514739583333345</v>
      </c>
      <c r="W309">
        <v>1836.5</v>
      </c>
      <c r="Y309">
        <f t="shared" si="45"/>
        <v>222585.60000000001</v>
      </c>
      <c r="Z309">
        <f t="shared" si="37"/>
        <v>27049.299999999996</v>
      </c>
      <c r="AA309">
        <v>15.423015687318385</v>
      </c>
    </row>
    <row r="310" spans="1:28" x14ac:dyDescent="0.25">
      <c r="A310">
        <v>5560</v>
      </c>
      <c r="B310">
        <v>22250</v>
      </c>
      <c r="C310" s="1">
        <v>42888</v>
      </c>
      <c r="F310" s="53"/>
      <c r="G310">
        <v>22.2</v>
      </c>
      <c r="H310">
        <v>15.4</v>
      </c>
      <c r="I310">
        <v>27.4</v>
      </c>
      <c r="J310">
        <f t="shared" si="43"/>
        <v>2503.599999999999</v>
      </c>
      <c r="K310">
        <f t="shared" si="38"/>
        <v>297.2</v>
      </c>
      <c r="M310">
        <v>0.3</v>
      </c>
      <c r="N310">
        <v>4.8</v>
      </c>
      <c r="O310">
        <f t="shared" si="40"/>
        <v>-4.5</v>
      </c>
      <c r="P310">
        <f t="shared" si="44"/>
        <v>100.50000000000001</v>
      </c>
      <c r="Q310">
        <v>271</v>
      </c>
      <c r="R310">
        <f t="shared" si="39"/>
        <v>0.8833333333333333</v>
      </c>
      <c r="S310">
        <f t="shared" si="41"/>
        <v>4.2399999999999993</v>
      </c>
      <c r="T310" s="24">
        <f t="shared" si="42"/>
        <v>-3.9399999999999995</v>
      </c>
      <c r="U310" s="24">
        <f t="shared" si="46"/>
        <v>32.574739583333347</v>
      </c>
      <c r="W310">
        <v>2457.1</v>
      </c>
      <c r="Y310">
        <f t="shared" si="45"/>
        <v>225042.7</v>
      </c>
      <c r="Z310">
        <f t="shared" si="37"/>
        <v>29506.399999999994</v>
      </c>
      <c r="AA310">
        <v>15.447862206625645</v>
      </c>
    </row>
    <row r="311" spans="1:28" s="32" customFormat="1" ht="15.75" thickBot="1" x14ac:dyDescent="0.3">
      <c r="A311" s="32">
        <v>5560</v>
      </c>
      <c r="B311" s="32">
        <v>22250</v>
      </c>
      <c r="C311" s="33">
        <v>42889</v>
      </c>
      <c r="D311" s="32">
        <v>600</v>
      </c>
      <c r="F311" s="53"/>
      <c r="G311" s="32">
        <v>16.399999999999999</v>
      </c>
      <c r="H311" s="32">
        <v>15.9</v>
      </c>
      <c r="I311" s="32">
        <v>17.8</v>
      </c>
      <c r="J311" s="32">
        <f t="shared" si="43"/>
        <v>2519.9999999999991</v>
      </c>
      <c r="K311" s="32">
        <f t="shared" si="38"/>
        <v>313.59999999999997</v>
      </c>
      <c r="L311" s="34"/>
      <c r="M311" s="32">
        <v>9.6999999999999993</v>
      </c>
      <c r="N311" s="32">
        <v>1.4</v>
      </c>
      <c r="O311" s="32">
        <f t="shared" si="40"/>
        <v>8.2999999999999989</v>
      </c>
      <c r="P311" s="32">
        <f t="shared" si="44"/>
        <v>108.80000000000001</v>
      </c>
      <c r="Q311" s="32">
        <v>272</v>
      </c>
      <c r="R311">
        <f t="shared" si="39"/>
        <v>0.86666666666666659</v>
      </c>
      <c r="S311" s="32">
        <f t="shared" si="41"/>
        <v>1.2133333333333332</v>
      </c>
      <c r="T311" s="35">
        <f t="shared" si="42"/>
        <v>8.4866666666666664</v>
      </c>
      <c r="U311" s="24">
        <f t="shared" si="46"/>
        <v>41.061406250000012</v>
      </c>
      <c r="W311" s="32">
        <v>749.9</v>
      </c>
      <c r="Y311" s="32">
        <f t="shared" si="45"/>
        <v>225792.6</v>
      </c>
      <c r="Z311" s="32">
        <f t="shared" si="37"/>
        <v>30256.299999999996</v>
      </c>
      <c r="AA311" s="32">
        <v>15.47157659309474</v>
      </c>
    </row>
    <row r="312" spans="1:28" s="39" customFormat="1" x14ac:dyDescent="0.25">
      <c r="A312" s="39">
        <v>5560</v>
      </c>
      <c r="B312" s="39">
        <v>22250</v>
      </c>
      <c r="C312" s="40">
        <v>42890</v>
      </c>
      <c r="F312" s="54" t="s">
        <v>46</v>
      </c>
      <c r="G312" s="39">
        <v>16.2</v>
      </c>
      <c r="H312" s="39">
        <v>11.8</v>
      </c>
      <c r="I312" s="39">
        <v>20.8</v>
      </c>
      <c r="J312" s="39">
        <f t="shared" si="43"/>
        <v>2536.1999999999989</v>
      </c>
      <c r="K312">
        <f>G312</f>
        <v>16.2</v>
      </c>
      <c r="L312" s="21" t="s">
        <v>38</v>
      </c>
      <c r="M312" s="39">
        <v>0</v>
      </c>
      <c r="N312" s="39">
        <v>1.7</v>
      </c>
      <c r="O312" s="39">
        <f t="shared" si="40"/>
        <v>-1.7</v>
      </c>
      <c r="P312" s="39">
        <f t="shared" si="44"/>
        <v>107.10000000000001</v>
      </c>
      <c r="Q312" s="39">
        <v>273</v>
      </c>
      <c r="R312">
        <f t="shared" si="39"/>
        <v>0.84999999999999987</v>
      </c>
      <c r="S312" s="39">
        <f t="shared" si="41"/>
        <v>1.4449999999999998</v>
      </c>
      <c r="T312" s="41">
        <f t="shared" si="42"/>
        <v>-1.4449999999999998</v>
      </c>
      <c r="U312" s="24">
        <f t="shared" si="46"/>
        <v>39.616406250000011</v>
      </c>
      <c r="V312" s="31" t="s">
        <v>53</v>
      </c>
      <c r="W312" s="39">
        <v>1138.9000000000001</v>
      </c>
      <c r="Y312" s="39">
        <f t="shared" si="45"/>
        <v>226931.5</v>
      </c>
      <c r="Z312">
        <f>W312</f>
        <v>1138.9000000000001</v>
      </c>
      <c r="AA312" s="39">
        <v>15.494140544760931</v>
      </c>
      <c r="AB312" s="31" t="s">
        <v>58</v>
      </c>
    </row>
    <row r="313" spans="1:28" ht="15" customHeight="1" x14ac:dyDescent="0.25">
      <c r="A313">
        <v>5560</v>
      </c>
      <c r="B313">
        <v>22250</v>
      </c>
      <c r="C313" s="1">
        <v>42891</v>
      </c>
      <c r="F313" s="54"/>
      <c r="G313">
        <v>17.100000000000001</v>
      </c>
      <c r="H313">
        <v>12.6</v>
      </c>
      <c r="I313">
        <v>21.3</v>
      </c>
      <c r="J313">
        <f t="shared" si="43"/>
        <v>2553.2999999999988</v>
      </c>
      <c r="K313">
        <f t="shared" si="38"/>
        <v>33.299999999999997</v>
      </c>
      <c r="L313" s="12">
        <v>405.9</v>
      </c>
      <c r="M313">
        <v>8.3000000000000007</v>
      </c>
      <c r="N313">
        <v>3.4</v>
      </c>
      <c r="O313">
        <f t="shared" si="40"/>
        <v>4.9000000000000004</v>
      </c>
      <c r="P313">
        <f t="shared" si="44"/>
        <v>112.00000000000001</v>
      </c>
      <c r="Q313">
        <v>274</v>
      </c>
      <c r="R313">
        <f t="shared" si="39"/>
        <v>0.83333333333333326</v>
      </c>
      <c r="S313">
        <f t="shared" si="41"/>
        <v>2.833333333333333</v>
      </c>
      <c r="T313" s="24">
        <f t="shared" si="42"/>
        <v>5.4666666666666677</v>
      </c>
      <c r="U313" s="24">
        <f t="shared" si="46"/>
        <v>45.08307291666668</v>
      </c>
      <c r="V313">
        <v>1</v>
      </c>
      <c r="W313">
        <v>1769.7</v>
      </c>
      <c r="Y313">
        <f t="shared" si="45"/>
        <v>228701.2</v>
      </c>
      <c r="Z313">
        <f t="shared" si="37"/>
        <v>2908.6000000000004</v>
      </c>
      <c r="AA313">
        <v>15.515536402718189</v>
      </c>
      <c r="AB313">
        <v>40835.699999999997</v>
      </c>
    </row>
    <row r="314" spans="1:28" x14ac:dyDescent="0.25">
      <c r="A314">
        <v>5560</v>
      </c>
      <c r="B314">
        <v>22250</v>
      </c>
      <c r="C314" s="1">
        <v>42892</v>
      </c>
      <c r="F314" s="54"/>
      <c r="G314">
        <v>13.5</v>
      </c>
      <c r="H314">
        <v>12</v>
      </c>
      <c r="I314">
        <v>17</v>
      </c>
      <c r="J314">
        <f t="shared" si="43"/>
        <v>2566.7999999999988</v>
      </c>
      <c r="K314">
        <f t="shared" si="38"/>
        <v>46.8</v>
      </c>
      <c r="L314" s="21" t="s">
        <v>39</v>
      </c>
      <c r="M314">
        <v>2.8</v>
      </c>
      <c r="N314">
        <v>4.0999999999999996</v>
      </c>
      <c r="O314">
        <f t="shared" si="40"/>
        <v>-1.2999999999999998</v>
      </c>
      <c r="P314">
        <f t="shared" si="44"/>
        <v>110.70000000000002</v>
      </c>
      <c r="Q314">
        <v>275</v>
      </c>
      <c r="R314">
        <f t="shared" si="39"/>
        <v>0.81666666666666665</v>
      </c>
      <c r="S314">
        <f t="shared" si="41"/>
        <v>3.3483333333333332</v>
      </c>
      <c r="T314" s="24">
        <f t="shared" si="42"/>
        <v>-0.54833333333333334</v>
      </c>
      <c r="U314" s="24">
        <f t="shared" si="46"/>
        <v>44.534739583333348</v>
      </c>
      <c r="V314" s="31" t="s">
        <v>54</v>
      </c>
      <c r="W314">
        <v>2450.5</v>
      </c>
      <c r="Y314">
        <f t="shared" si="45"/>
        <v>231151.7</v>
      </c>
      <c r="Z314">
        <f t="shared" ref="Z314:Z342" si="47">Z313+W314</f>
        <v>5359.1</v>
      </c>
      <c r="AA314">
        <v>15.535747198772134</v>
      </c>
      <c r="AB314" s="31" t="s">
        <v>59</v>
      </c>
    </row>
    <row r="315" spans="1:28" x14ac:dyDescent="0.25">
      <c r="A315">
        <v>5560</v>
      </c>
      <c r="B315">
        <v>22250</v>
      </c>
      <c r="C315" s="1">
        <v>42893</v>
      </c>
      <c r="F315" s="54"/>
      <c r="G315">
        <v>15</v>
      </c>
      <c r="H315">
        <v>10.1</v>
      </c>
      <c r="I315">
        <v>19.7</v>
      </c>
      <c r="J315">
        <f t="shared" si="43"/>
        <v>2581.7999999999988</v>
      </c>
      <c r="K315">
        <f t="shared" si="38"/>
        <v>61.8</v>
      </c>
      <c r="L315" s="12">
        <f>AVERAGE(G312:G330)</f>
        <v>21.363157894736844</v>
      </c>
      <c r="M315">
        <v>0</v>
      </c>
      <c r="N315">
        <v>3.4</v>
      </c>
      <c r="O315">
        <f t="shared" si="40"/>
        <v>-3.4</v>
      </c>
      <c r="P315">
        <f t="shared" si="44"/>
        <v>107.30000000000001</v>
      </c>
      <c r="Q315">
        <v>276</v>
      </c>
      <c r="R315">
        <f t="shared" si="39"/>
        <v>0.79999999999999993</v>
      </c>
      <c r="S315">
        <f t="shared" si="41"/>
        <v>2.7199999999999998</v>
      </c>
      <c r="T315" s="24">
        <f t="shared" si="42"/>
        <v>-2.7199999999999998</v>
      </c>
      <c r="U315" s="24">
        <f t="shared" si="46"/>
        <v>41.814739583333349</v>
      </c>
      <c r="V315">
        <v>14</v>
      </c>
      <c r="W315">
        <v>2102</v>
      </c>
      <c r="Y315">
        <f t="shared" si="45"/>
        <v>233253.7</v>
      </c>
      <c r="Z315">
        <f t="shared" si="47"/>
        <v>7461.1</v>
      </c>
      <c r="AA315">
        <v>15.554756702234952</v>
      </c>
      <c r="AB315">
        <f>(AB313/100)/L313</f>
        <v>1.0060532150776054</v>
      </c>
    </row>
    <row r="316" spans="1:28" x14ac:dyDescent="0.25">
      <c r="A316">
        <v>5560</v>
      </c>
      <c r="B316">
        <v>22250</v>
      </c>
      <c r="C316" s="1">
        <v>42894</v>
      </c>
      <c r="F316" s="54"/>
      <c r="G316">
        <v>20.100000000000001</v>
      </c>
      <c r="H316">
        <v>10.8</v>
      </c>
      <c r="I316">
        <v>26.1</v>
      </c>
      <c r="J316">
        <f t="shared" si="43"/>
        <v>2601.8999999999987</v>
      </c>
      <c r="K316">
        <f t="shared" si="38"/>
        <v>81.900000000000006</v>
      </c>
      <c r="L316" s="21" t="s">
        <v>40</v>
      </c>
      <c r="M316">
        <v>3.1</v>
      </c>
      <c r="N316">
        <v>4.5</v>
      </c>
      <c r="O316">
        <f t="shared" si="40"/>
        <v>-1.4</v>
      </c>
      <c r="P316">
        <f t="shared" si="44"/>
        <v>105.9</v>
      </c>
      <c r="Q316">
        <v>277</v>
      </c>
      <c r="R316">
        <f t="shared" si="39"/>
        <v>0.78333333333333321</v>
      </c>
      <c r="S316">
        <f t="shared" si="41"/>
        <v>3.5249999999999995</v>
      </c>
      <c r="T316" s="24">
        <f t="shared" si="42"/>
        <v>-0.42499999999999938</v>
      </c>
      <c r="U316" s="24">
        <f t="shared" si="46"/>
        <v>41.389739583333352</v>
      </c>
      <c r="V316" s="31" t="s">
        <v>55</v>
      </c>
      <c r="W316">
        <v>2396.6</v>
      </c>
      <c r="Y316">
        <f t="shared" si="45"/>
        <v>235650.30000000002</v>
      </c>
      <c r="Z316">
        <f t="shared" si="47"/>
        <v>9857.7000000000007</v>
      </c>
      <c r="AA316">
        <v>15.572549465609704</v>
      </c>
      <c r="AB316" s="31" t="s">
        <v>60</v>
      </c>
    </row>
    <row r="317" spans="1:28" x14ac:dyDescent="0.25">
      <c r="A317">
        <v>5560</v>
      </c>
      <c r="B317">
        <v>22250</v>
      </c>
      <c r="C317" s="1">
        <v>42895</v>
      </c>
      <c r="F317" s="54"/>
      <c r="G317">
        <v>18.899999999999999</v>
      </c>
      <c r="H317">
        <v>16.5</v>
      </c>
      <c r="I317">
        <v>21.7</v>
      </c>
      <c r="J317">
        <f t="shared" si="43"/>
        <v>2620.7999999999988</v>
      </c>
      <c r="K317">
        <f t="shared" si="38"/>
        <v>100.80000000000001</v>
      </c>
      <c r="L317" s="12">
        <f>MIN(H312:H330)</f>
        <v>10.1</v>
      </c>
      <c r="M317">
        <v>0</v>
      </c>
      <c r="N317">
        <v>2.1</v>
      </c>
      <c r="O317">
        <f t="shared" si="40"/>
        <v>-2.1</v>
      </c>
      <c r="P317">
        <f t="shared" si="44"/>
        <v>103.80000000000001</v>
      </c>
      <c r="Q317">
        <v>278</v>
      </c>
      <c r="R317">
        <f t="shared" si="39"/>
        <v>0.76666666666666661</v>
      </c>
      <c r="S317">
        <f t="shared" si="41"/>
        <v>1.6099999999999999</v>
      </c>
      <c r="T317" s="24">
        <f t="shared" si="42"/>
        <v>-1.6099999999999999</v>
      </c>
      <c r="U317" s="24">
        <f t="shared" si="46"/>
        <v>39.779739583333352</v>
      </c>
      <c r="V317">
        <v>0</v>
      </c>
      <c r="W317">
        <v>931.3</v>
      </c>
      <c r="Y317">
        <f t="shared" si="45"/>
        <v>236581.6</v>
      </c>
      <c r="Z317">
        <f t="shared" si="47"/>
        <v>10789</v>
      </c>
      <c r="AA317">
        <v>15.589110868909371</v>
      </c>
      <c r="AB317">
        <v>0</v>
      </c>
    </row>
    <row r="318" spans="1:28" x14ac:dyDescent="0.25">
      <c r="A318">
        <v>5560</v>
      </c>
      <c r="B318">
        <v>22250</v>
      </c>
      <c r="C318" s="1">
        <v>42896</v>
      </c>
      <c r="F318" s="54"/>
      <c r="G318">
        <v>20.5</v>
      </c>
      <c r="H318">
        <v>14.5</v>
      </c>
      <c r="I318">
        <v>27.6</v>
      </c>
      <c r="J318">
        <f t="shared" si="43"/>
        <v>2641.2999999999988</v>
      </c>
      <c r="K318">
        <f t="shared" ref="K318:K342" si="48">K317+G318</f>
        <v>121.30000000000001</v>
      </c>
      <c r="L318" s="21" t="s">
        <v>41</v>
      </c>
      <c r="M318">
        <v>0</v>
      </c>
      <c r="N318">
        <v>5.4</v>
      </c>
      <c r="O318">
        <f t="shared" si="40"/>
        <v>-5.4</v>
      </c>
      <c r="P318">
        <f t="shared" si="44"/>
        <v>98.4</v>
      </c>
      <c r="Q318">
        <v>279</v>
      </c>
      <c r="R318">
        <f t="shared" si="39"/>
        <v>0.75</v>
      </c>
      <c r="S318">
        <f t="shared" si="41"/>
        <v>4.0500000000000007</v>
      </c>
      <c r="T318" s="24">
        <f t="shared" si="42"/>
        <v>-4.0500000000000007</v>
      </c>
      <c r="U318" s="24">
        <f t="shared" si="46"/>
        <v>35.729739583333355</v>
      </c>
      <c r="V318" s="31" t="s">
        <v>56</v>
      </c>
      <c r="W318">
        <v>2542.8000000000002</v>
      </c>
      <c r="Y318">
        <f t="shared" si="45"/>
        <v>239124.4</v>
      </c>
      <c r="Z318">
        <f t="shared" si="47"/>
        <v>13331.8</v>
      </c>
      <c r="AA318">
        <v>15.604427162356345</v>
      </c>
    </row>
    <row r="319" spans="1:28" x14ac:dyDescent="0.25">
      <c r="A319">
        <v>5560</v>
      </c>
      <c r="B319">
        <v>22250</v>
      </c>
      <c r="C319" s="1">
        <v>42897</v>
      </c>
      <c r="F319" s="54"/>
      <c r="G319">
        <v>23.3</v>
      </c>
      <c r="H319">
        <v>14.5</v>
      </c>
      <c r="I319">
        <v>29.5</v>
      </c>
      <c r="J319">
        <f t="shared" si="43"/>
        <v>2664.599999999999</v>
      </c>
      <c r="K319">
        <f t="shared" si="48"/>
        <v>144.60000000000002</v>
      </c>
      <c r="L319" s="12">
        <f>MAX(I312:I330)</f>
        <v>35.700000000000003</v>
      </c>
      <c r="M319">
        <v>0</v>
      </c>
      <c r="N319">
        <v>4.3</v>
      </c>
      <c r="O319">
        <f t="shared" si="40"/>
        <v>-4.3</v>
      </c>
      <c r="P319">
        <f t="shared" si="44"/>
        <v>94.100000000000009</v>
      </c>
      <c r="Q319">
        <v>280</v>
      </c>
      <c r="R319">
        <f t="shared" si="39"/>
        <v>0.73333333333333317</v>
      </c>
      <c r="S319">
        <f t="shared" si="41"/>
        <v>3.1533333333333324</v>
      </c>
      <c r="T319" s="24">
        <f t="shared" si="42"/>
        <v>-3.1533333333333324</v>
      </c>
      <c r="U319" s="24">
        <f t="shared" si="46"/>
        <v>32.576406250000019</v>
      </c>
      <c r="V319" s="24">
        <f>MAX(U312:U330)</f>
        <v>45.08307291666668</v>
      </c>
      <c r="W319">
        <v>1952.7</v>
      </c>
      <c r="Y319">
        <f t="shared" si="45"/>
        <v>241077.1</v>
      </c>
      <c r="Z319">
        <f t="shared" si="47"/>
        <v>15284.5</v>
      </c>
      <c r="AA319">
        <v>15.618485507210513</v>
      </c>
    </row>
    <row r="320" spans="1:28" x14ac:dyDescent="0.25">
      <c r="A320">
        <v>5560</v>
      </c>
      <c r="B320">
        <v>22250</v>
      </c>
      <c r="C320" s="1">
        <v>42898</v>
      </c>
      <c r="F320" s="54"/>
      <c r="G320">
        <v>19.8</v>
      </c>
      <c r="H320">
        <v>16.8</v>
      </c>
      <c r="I320">
        <v>23.7</v>
      </c>
      <c r="J320">
        <f t="shared" si="43"/>
        <v>2684.3999999999992</v>
      </c>
      <c r="K320">
        <f t="shared" si="48"/>
        <v>164.40000000000003</v>
      </c>
      <c r="L320" s="21" t="s">
        <v>42</v>
      </c>
      <c r="M320">
        <v>0</v>
      </c>
      <c r="N320">
        <v>4.9000000000000004</v>
      </c>
      <c r="O320">
        <f t="shared" si="40"/>
        <v>-4.9000000000000004</v>
      </c>
      <c r="P320">
        <f t="shared" si="44"/>
        <v>89.2</v>
      </c>
      <c r="Q320">
        <v>281</v>
      </c>
      <c r="R320">
        <f t="shared" si="39"/>
        <v>0.71666666666666656</v>
      </c>
      <c r="S320">
        <f t="shared" si="41"/>
        <v>3.5116666666666663</v>
      </c>
      <c r="T320" s="24">
        <f t="shared" si="42"/>
        <v>-3.5116666666666663</v>
      </c>
      <c r="U320" s="24">
        <f t="shared" si="46"/>
        <v>29.064739583333353</v>
      </c>
      <c r="V320" s="31" t="s">
        <v>57</v>
      </c>
      <c r="W320">
        <v>2354.9</v>
      </c>
      <c r="Y320">
        <f t="shared" si="45"/>
        <v>243432</v>
      </c>
      <c r="Z320">
        <f t="shared" si="47"/>
        <v>17639.400000000001</v>
      </c>
      <c r="AA320">
        <v>15.631274014479123</v>
      </c>
    </row>
    <row r="321" spans="1:27" x14ac:dyDescent="0.25">
      <c r="A321">
        <v>5560</v>
      </c>
      <c r="B321">
        <v>22250</v>
      </c>
      <c r="C321" s="1">
        <v>42899</v>
      </c>
      <c r="F321" s="54"/>
      <c r="G321">
        <v>19.899999999999999</v>
      </c>
      <c r="H321">
        <v>13.7</v>
      </c>
      <c r="I321">
        <v>25.3</v>
      </c>
      <c r="J321">
        <f t="shared" si="43"/>
        <v>2704.2999999999993</v>
      </c>
      <c r="K321">
        <f t="shared" si="48"/>
        <v>184.30000000000004</v>
      </c>
      <c r="L321" s="12">
        <v>12</v>
      </c>
      <c r="M321">
        <v>0.2</v>
      </c>
      <c r="N321">
        <v>3.3</v>
      </c>
      <c r="O321">
        <f t="shared" si="40"/>
        <v>-3.0999999999999996</v>
      </c>
      <c r="P321">
        <f t="shared" si="44"/>
        <v>86.100000000000009</v>
      </c>
      <c r="Q321">
        <v>282</v>
      </c>
      <c r="R321">
        <f t="shared" si="39"/>
        <v>0.7</v>
      </c>
      <c r="S321">
        <f t="shared" si="41"/>
        <v>2.3099999999999996</v>
      </c>
      <c r="T321" s="24">
        <f t="shared" si="42"/>
        <v>-2.1099999999999994</v>
      </c>
      <c r="U321" s="24">
        <f t="shared" si="46"/>
        <v>26.954739583333353</v>
      </c>
      <c r="V321" s="24">
        <f>AVERAGE(U312:U330)</f>
        <v>25.244139254385985</v>
      </c>
      <c r="W321">
        <v>1373.6</v>
      </c>
      <c r="Y321">
        <f t="shared" si="45"/>
        <v>244805.6</v>
      </c>
      <c r="Z321">
        <f t="shared" si="47"/>
        <v>19013</v>
      </c>
      <c r="AA321">
        <v>15.642781781269052</v>
      </c>
    </row>
    <row r="322" spans="1:27" x14ac:dyDescent="0.25">
      <c r="A322">
        <v>5560</v>
      </c>
      <c r="B322">
        <v>22250</v>
      </c>
      <c r="C322" s="1">
        <v>42900</v>
      </c>
      <c r="F322" s="54"/>
      <c r="G322">
        <v>22.6</v>
      </c>
      <c r="H322">
        <v>17.899999999999999</v>
      </c>
      <c r="I322">
        <v>29</v>
      </c>
      <c r="J322">
        <f t="shared" si="43"/>
        <v>2726.8999999999992</v>
      </c>
      <c r="K322">
        <f t="shared" si="48"/>
        <v>206.90000000000003</v>
      </c>
      <c r="L322" s="21" t="s">
        <v>43</v>
      </c>
      <c r="M322">
        <v>0</v>
      </c>
      <c r="N322">
        <v>3.8</v>
      </c>
      <c r="O322">
        <f t="shared" si="40"/>
        <v>-3.8</v>
      </c>
      <c r="P322">
        <f t="shared" si="44"/>
        <v>82.300000000000011</v>
      </c>
      <c r="Q322">
        <v>283</v>
      </c>
      <c r="R322">
        <f t="shared" si="39"/>
        <v>0.68333333333333324</v>
      </c>
      <c r="S322">
        <f t="shared" si="41"/>
        <v>2.5966666666666662</v>
      </c>
      <c r="T322" s="24">
        <f t="shared" si="42"/>
        <v>-2.5966666666666662</v>
      </c>
      <c r="U322" s="24">
        <f t="shared" si="46"/>
        <v>24.358072916666686</v>
      </c>
      <c r="W322">
        <v>1984.4</v>
      </c>
      <c r="Y322">
        <f t="shared" si="45"/>
        <v>246790</v>
      </c>
      <c r="Z322">
        <f t="shared" si="47"/>
        <v>20997.4</v>
      </c>
      <c r="AA322">
        <v>15.652998924551973</v>
      </c>
    </row>
    <row r="323" spans="1:27" x14ac:dyDescent="0.25">
      <c r="A323">
        <v>5560</v>
      </c>
      <c r="B323">
        <v>22250</v>
      </c>
      <c r="C323" s="1">
        <v>42901</v>
      </c>
      <c r="F323" s="54"/>
      <c r="G323">
        <v>23.4</v>
      </c>
      <c r="H323">
        <v>17.2</v>
      </c>
      <c r="I323">
        <v>29.3</v>
      </c>
      <c r="J323">
        <f t="shared" si="43"/>
        <v>2750.2999999999993</v>
      </c>
      <c r="K323">
        <f t="shared" si="48"/>
        <v>230.30000000000004</v>
      </c>
      <c r="L323" s="12">
        <v>0</v>
      </c>
      <c r="M323">
        <v>0</v>
      </c>
      <c r="N323">
        <v>5</v>
      </c>
      <c r="O323">
        <f t="shared" si="40"/>
        <v>-5</v>
      </c>
      <c r="P323">
        <f t="shared" si="44"/>
        <v>77.300000000000011</v>
      </c>
      <c r="Q323">
        <v>284</v>
      </c>
      <c r="R323">
        <f t="shared" si="39"/>
        <v>0.66666666666666663</v>
      </c>
      <c r="S323">
        <f t="shared" si="41"/>
        <v>3.333333333333333</v>
      </c>
      <c r="T323" s="24">
        <f t="shared" si="42"/>
        <v>-3.333333333333333</v>
      </c>
      <c r="U323" s="24">
        <f t="shared" si="46"/>
        <v>21.024739583333353</v>
      </c>
      <c r="V323" s="43">
        <f>(V321*100)/122.1</f>
        <v>20.67497072431285</v>
      </c>
      <c r="W323">
        <v>1990.1</v>
      </c>
      <c r="Y323">
        <f t="shared" si="45"/>
        <v>248780.1</v>
      </c>
      <c r="Z323">
        <f t="shared" si="47"/>
        <v>22987.5</v>
      </c>
      <c r="AA323">
        <v>15.661916612125191</v>
      </c>
    </row>
    <row r="324" spans="1:27" x14ac:dyDescent="0.25">
      <c r="A324">
        <v>5560</v>
      </c>
      <c r="B324">
        <v>22250</v>
      </c>
      <c r="C324" s="1">
        <v>42902</v>
      </c>
      <c r="F324" s="54"/>
      <c r="G324">
        <v>19.8</v>
      </c>
      <c r="H324">
        <v>16</v>
      </c>
      <c r="I324">
        <v>24.1</v>
      </c>
      <c r="J324">
        <f t="shared" si="43"/>
        <v>2770.0999999999995</v>
      </c>
      <c r="K324">
        <f t="shared" si="48"/>
        <v>250.10000000000005</v>
      </c>
      <c r="L324" s="21" t="s">
        <v>44</v>
      </c>
      <c r="M324">
        <v>0</v>
      </c>
      <c r="N324">
        <v>4.8</v>
      </c>
      <c r="O324">
        <f t="shared" si="40"/>
        <v>-4.8</v>
      </c>
      <c r="P324">
        <f t="shared" si="44"/>
        <v>72.500000000000014</v>
      </c>
      <c r="Q324">
        <v>285</v>
      </c>
      <c r="R324">
        <f t="shared" si="39"/>
        <v>0.64999999999999991</v>
      </c>
      <c r="S324">
        <f t="shared" si="41"/>
        <v>3.1199999999999997</v>
      </c>
      <c r="T324" s="24">
        <f t="shared" si="42"/>
        <v>-3.1199999999999997</v>
      </c>
      <c r="U324" s="24">
        <f t="shared" si="46"/>
        <v>17.904739583333352</v>
      </c>
      <c r="W324">
        <v>1966.1</v>
      </c>
      <c r="Y324">
        <f t="shared" si="45"/>
        <v>250746.2</v>
      </c>
      <c r="Z324">
        <f t="shared" si="47"/>
        <v>24953.599999999999</v>
      </c>
      <c r="AA324">
        <v>15.669527090565696</v>
      </c>
    </row>
    <row r="325" spans="1:27" x14ac:dyDescent="0.25">
      <c r="A325">
        <v>5560</v>
      </c>
      <c r="B325">
        <v>22250</v>
      </c>
      <c r="C325" s="1">
        <v>42903</v>
      </c>
      <c r="F325" s="54"/>
      <c r="G325">
        <v>21</v>
      </c>
      <c r="H325">
        <v>14.4</v>
      </c>
      <c r="I325">
        <v>26.1</v>
      </c>
      <c r="J325">
        <f t="shared" si="43"/>
        <v>2791.0999999999995</v>
      </c>
      <c r="K325">
        <f t="shared" si="48"/>
        <v>271.10000000000002</v>
      </c>
      <c r="L325" s="12">
        <v>0</v>
      </c>
      <c r="M325">
        <v>0</v>
      </c>
      <c r="N325">
        <v>6.2</v>
      </c>
      <c r="O325">
        <f t="shared" si="40"/>
        <v>-6.2</v>
      </c>
      <c r="P325">
        <f t="shared" si="44"/>
        <v>66.300000000000011</v>
      </c>
      <c r="Q325">
        <v>286</v>
      </c>
      <c r="R325">
        <f t="shared" si="39"/>
        <v>0.6333333333333333</v>
      </c>
      <c r="S325">
        <f t="shared" si="41"/>
        <v>3.9266666666666667</v>
      </c>
      <c r="T325" s="24">
        <f t="shared" si="42"/>
        <v>-3.9266666666666667</v>
      </c>
      <c r="U325" s="24">
        <f t="shared" si="46"/>
        <v>13.978072916666687</v>
      </c>
      <c r="W325">
        <v>2807.7</v>
      </c>
      <c r="Y325">
        <f t="shared" si="45"/>
        <v>253553.90000000002</v>
      </c>
      <c r="Z325">
        <f t="shared" si="47"/>
        <v>27761.3</v>
      </c>
      <c r="AA325">
        <v>15.675823709991835</v>
      </c>
    </row>
    <row r="326" spans="1:27" x14ac:dyDescent="0.25">
      <c r="A326">
        <v>5560</v>
      </c>
      <c r="B326">
        <v>22250</v>
      </c>
      <c r="C326" s="1">
        <v>42904</v>
      </c>
      <c r="F326" s="54"/>
      <c r="G326">
        <v>23.9</v>
      </c>
      <c r="H326">
        <v>17.2</v>
      </c>
      <c r="I326">
        <v>29.4</v>
      </c>
      <c r="J326">
        <f t="shared" si="43"/>
        <v>2814.9999999999995</v>
      </c>
      <c r="K326">
        <f t="shared" si="48"/>
        <v>295</v>
      </c>
      <c r="M326">
        <v>0</v>
      </c>
      <c r="N326">
        <v>7.1</v>
      </c>
      <c r="O326">
        <f t="shared" si="40"/>
        <v>-7.1</v>
      </c>
      <c r="P326">
        <f t="shared" si="44"/>
        <v>59.20000000000001</v>
      </c>
      <c r="Q326">
        <v>287</v>
      </c>
      <c r="R326">
        <f t="shared" si="39"/>
        <v>0.6166666666666667</v>
      </c>
      <c r="S326">
        <f t="shared" si="41"/>
        <v>4.378333333333333</v>
      </c>
      <c r="T326" s="24">
        <f t="shared" si="42"/>
        <v>-4.378333333333333</v>
      </c>
      <c r="U326" s="24">
        <f t="shared" si="46"/>
        <v>9.5997395833333528</v>
      </c>
      <c r="W326">
        <v>2802.3</v>
      </c>
      <c r="Y326">
        <f t="shared" si="45"/>
        <v>256356.2</v>
      </c>
      <c r="Z326">
        <f t="shared" si="47"/>
        <v>30563.599999999999</v>
      </c>
      <c r="AA326">
        <v>15.6808009454661</v>
      </c>
    </row>
    <row r="327" spans="1:27" x14ac:dyDescent="0.25">
      <c r="A327">
        <v>5560</v>
      </c>
      <c r="B327">
        <v>22250</v>
      </c>
      <c r="C327" s="1">
        <v>42905</v>
      </c>
      <c r="F327" s="54"/>
      <c r="G327">
        <v>26.7</v>
      </c>
      <c r="H327">
        <v>18.399999999999999</v>
      </c>
      <c r="I327">
        <v>33.700000000000003</v>
      </c>
      <c r="J327">
        <f t="shared" si="43"/>
        <v>2841.6999999999994</v>
      </c>
      <c r="K327">
        <f t="shared" si="48"/>
        <v>321.7</v>
      </c>
      <c r="M327">
        <v>0</v>
      </c>
      <c r="N327">
        <v>7.2</v>
      </c>
      <c r="O327">
        <f t="shared" si="40"/>
        <v>-7.2</v>
      </c>
      <c r="P327">
        <f t="shared" si="44"/>
        <v>52.000000000000007</v>
      </c>
      <c r="Q327">
        <v>288</v>
      </c>
      <c r="R327">
        <f t="shared" si="39"/>
        <v>0.6</v>
      </c>
      <c r="S327">
        <f t="shared" si="41"/>
        <v>4.32</v>
      </c>
      <c r="T327" s="24">
        <f t="shared" si="42"/>
        <v>-4.32</v>
      </c>
      <c r="U327" s="24">
        <f t="shared" si="46"/>
        <v>5.2797395833333525</v>
      </c>
      <c r="W327">
        <v>2724.5</v>
      </c>
      <c r="Y327">
        <f t="shared" si="45"/>
        <v>259080.7</v>
      </c>
      <c r="Z327">
        <f t="shared" si="47"/>
        <v>33288.1</v>
      </c>
      <c r="AA327">
        <v>15.684454414893498</v>
      </c>
    </row>
    <row r="328" spans="1:27" x14ac:dyDescent="0.25">
      <c r="A328">
        <v>5560</v>
      </c>
      <c r="B328">
        <v>22250</v>
      </c>
      <c r="C328" s="1">
        <v>42906</v>
      </c>
      <c r="F328" s="54"/>
      <c r="G328">
        <v>27.3</v>
      </c>
      <c r="H328">
        <v>20.2</v>
      </c>
      <c r="I328">
        <v>34.700000000000003</v>
      </c>
      <c r="J328">
        <f t="shared" si="43"/>
        <v>2868.9999999999995</v>
      </c>
      <c r="K328">
        <f t="shared" si="48"/>
        <v>349</v>
      </c>
      <c r="M328">
        <v>6</v>
      </c>
      <c r="N328">
        <v>6.6</v>
      </c>
      <c r="O328">
        <f t="shared" si="40"/>
        <v>-0.59999999999999964</v>
      </c>
      <c r="P328">
        <f t="shared" si="44"/>
        <v>51.400000000000006</v>
      </c>
      <c r="Q328">
        <v>289</v>
      </c>
      <c r="R328">
        <f t="shared" si="39"/>
        <v>0.58333333333333326</v>
      </c>
      <c r="S328">
        <f t="shared" si="41"/>
        <v>3.8499999999999992</v>
      </c>
      <c r="T328" s="24">
        <f t="shared" si="42"/>
        <v>2.1500000000000008</v>
      </c>
      <c r="U328" s="24">
        <f t="shared" si="46"/>
        <v>7.4297395833333528</v>
      </c>
      <c r="W328">
        <v>2478</v>
      </c>
      <c r="Y328">
        <f t="shared" si="45"/>
        <v>261558.7</v>
      </c>
      <c r="Z328">
        <f t="shared" si="47"/>
        <v>35766.1</v>
      </c>
      <c r="AA328">
        <v>15.68678089329268</v>
      </c>
    </row>
    <row r="329" spans="1:27" x14ac:dyDescent="0.25">
      <c r="A329">
        <v>5560</v>
      </c>
      <c r="B329">
        <v>22250</v>
      </c>
      <c r="C329" s="1">
        <v>42907</v>
      </c>
      <c r="F329" s="54"/>
      <c r="G329">
        <v>28.8</v>
      </c>
      <c r="H329">
        <v>20.9</v>
      </c>
      <c r="I329">
        <v>35.700000000000003</v>
      </c>
      <c r="J329">
        <f t="shared" si="43"/>
        <v>2897.7999999999997</v>
      </c>
      <c r="K329">
        <f t="shared" si="48"/>
        <v>377.8</v>
      </c>
      <c r="M329">
        <v>0</v>
      </c>
      <c r="N329">
        <v>6.9</v>
      </c>
      <c r="O329">
        <f t="shared" si="40"/>
        <v>-6.9</v>
      </c>
      <c r="P329">
        <f t="shared" si="44"/>
        <v>44.500000000000007</v>
      </c>
      <c r="Q329">
        <v>290</v>
      </c>
      <c r="R329">
        <f t="shared" si="39"/>
        <v>0.56666666666666665</v>
      </c>
      <c r="S329">
        <f t="shared" si="41"/>
        <v>3.91</v>
      </c>
      <c r="T329" s="24">
        <f t="shared" si="42"/>
        <v>-3.91</v>
      </c>
      <c r="U329" s="24">
        <f t="shared" si="46"/>
        <v>3.5197395833333527</v>
      </c>
      <c r="W329">
        <v>2495.8000000000002</v>
      </c>
      <c r="Y329">
        <f t="shared" si="45"/>
        <v>264054.5</v>
      </c>
      <c r="Z329">
        <f t="shared" si="47"/>
        <v>38261.9</v>
      </c>
      <c r="AA329">
        <v>15.687778323341121</v>
      </c>
    </row>
    <row r="330" spans="1:27" s="32" customFormat="1" ht="15.75" thickBot="1" x14ac:dyDescent="0.3">
      <c r="A330" s="32">
        <v>5560</v>
      </c>
      <c r="B330" s="32">
        <v>22250</v>
      </c>
      <c r="C330" s="33">
        <v>42908</v>
      </c>
      <c r="D330" s="32">
        <v>1000</v>
      </c>
      <c r="F330" s="54"/>
      <c r="G330" s="32">
        <v>28.1</v>
      </c>
      <c r="H330" s="32">
        <v>21.6</v>
      </c>
      <c r="I330" s="32">
        <v>33.9</v>
      </c>
      <c r="J330" s="32">
        <f t="shared" si="43"/>
        <v>2925.8999999999996</v>
      </c>
      <c r="K330" s="32">
        <f t="shared" si="48"/>
        <v>405.90000000000003</v>
      </c>
      <c r="L330" s="34"/>
      <c r="M330" s="32">
        <v>0</v>
      </c>
      <c r="N330" s="32">
        <v>8.3000000000000007</v>
      </c>
      <c r="O330" s="32">
        <f t="shared" si="40"/>
        <v>-8.3000000000000007</v>
      </c>
      <c r="P330" s="32">
        <f t="shared" si="44"/>
        <v>36.200000000000003</v>
      </c>
      <c r="Q330" s="32">
        <v>291</v>
      </c>
      <c r="R330">
        <f t="shared" si="39"/>
        <v>0.54999999999999993</v>
      </c>
      <c r="S330" s="32">
        <f t="shared" si="41"/>
        <v>4.5649999999999995</v>
      </c>
      <c r="T330" s="35">
        <f t="shared" si="42"/>
        <v>-4.5649999999999995</v>
      </c>
      <c r="U330" s="24">
        <v>0</v>
      </c>
      <c r="W330" s="32">
        <v>2573.8000000000002</v>
      </c>
      <c r="Y330" s="32">
        <f t="shared" si="45"/>
        <v>266628.3</v>
      </c>
      <c r="Z330" s="32">
        <f t="shared" si="47"/>
        <v>40835.700000000004</v>
      </c>
      <c r="AA330" s="32">
        <v>15.687445822121051</v>
      </c>
    </row>
    <row r="331" spans="1:27" s="39" customFormat="1" x14ac:dyDescent="0.25">
      <c r="A331" s="39">
        <v>5560</v>
      </c>
      <c r="B331" s="39">
        <v>22250</v>
      </c>
      <c r="C331" s="40">
        <v>42909</v>
      </c>
      <c r="D331" s="47" t="s">
        <v>45</v>
      </c>
      <c r="E331" s="47"/>
      <c r="F331" s="47"/>
      <c r="G331" s="39">
        <v>21.6</v>
      </c>
      <c r="H331" s="39">
        <v>18.899999999999999</v>
      </c>
      <c r="I331" s="39">
        <v>25.2</v>
      </c>
      <c r="J331" s="39">
        <f t="shared" si="43"/>
        <v>2947.4999999999995</v>
      </c>
      <c r="K331">
        <f t="shared" si="48"/>
        <v>427.50000000000006</v>
      </c>
      <c r="M331" s="39">
        <v>0</v>
      </c>
      <c r="N331" s="39">
        <v>2.8</v>
      </c>
      <c r="O331" s="39">
        <f t="shared" si="40"/>
        <v>-2.8</v>
      </c>
      <c r="P331" s="39">
        <f t="shared" si="44"/>
        <v>33.400000000000006</v>
      </c>
      <c r="Q331" s="39">
        <v>292</v>
      </c>
      <c r="R331">
        <f t="shared" si="39"/>
        <v>0.53333333333333321</v>
      </c>
      <c r="S331" s="39">
        <f t="shared" si="41"/>
        <v>1.493333333333333</v>
      </c>
      <c r="T331" s="41">
        <f t="shared" si="42"/>
        <v>-1.493333333333333</v>
      </c>
      <c r="U331" s="24">
        <v>0</v>
      </c>
      <c r="W331" s="39">
        <v>814</v>
      </c>
      <c r="Y331" s="39">
        <f t="shared" si="45"/>
        <v>267442.3</v>
      </c>
      <c r="Z331">
        <f t="shared" si="47"/>
        <v>41649.700000000004</v>
      </c>
      <c r="AA331" s="39">
        <v>15.685783684019022</v>
      </c>
    </row>
    <row r="332" spans="1:27" x14ac:dyDescent="0.25">
      <c r="A332">
        <v>5560</v>
      </c>
      <c r="B332">
        <v>22250</v>
      </c>
      <c r="C332" s="1">
        <v>42910</v>
      </c>
      <c r="G332">
        <v>20.5</v>
      </c>
      <c r="H332">
        <v>16.100000000000001</v>
      </c>
      <c r="I332">
        <v>24.7</v>
      </c>
      <c r="J332">
        <f t="shared" si="43"/>
        <v>2967.9999999999995</v>
      </c>
      <c r="K332">
        <f t="shared" si="48"/>
        <v>448.00000000000006</v>
      </c>
      <c r="M332">
        <v>0</v>
      </c>
      <c r="N332">
        <v>4.3</v>
      </c>
      <c r="O332">
        <f t="shared" si="40"/>
        <v>-4.3</v>
      </c>
      <c r="P332">
        <f t="shared" si="44"/>
        <v>29.100000000000005</v>
      </c>
      <c r="Q332">
        <v>293</v>
      </c>
      <c r="R332">
        <f t="shared" si="39"/>
        <v>0.51666666666666661</v>
      </c>
      <c r="S332">
        <f t="shared" si="41"/>
        <v>2.2216666666666662</v>
      </c>
      <c r="T332" s="24">
        <f t="shared" si="42"/>
        <v>-2.2216666666666662</v>
      </c>
      <c r="U332" s="24">
        <v>0</v>
      </c>
      <c r="W332">
        <v>1814.5</v>
      </c>
      <c r="Y332">
        <f t="shared" si="45"/>
        <v>269256.8</v>
      </c>
      <c r="Z332">
        <f t="shared" si="47"/>
        <v>43464.200000000004</v>
      </c>
      <c r="AA332">
        <v>15.682793379758817</v>
      </c>
    </row>
    <row r="333" spans="1:27" x14ac:dyDescent="0.25">
      <c r="A333">
        <v>5560</v>
      </c>
      <c r="B333">
        <v>22250</v>
      </c>
      <c r="C333" s="1">
        <v>42911</v>
      </c>
      <c r="G333">
        <v>20.3</v>
      </c>
      <c r="H333">
        <v>15.8</v>
      </c>
      <c r="I333">
        <v>26.3</v>
      </c>
      <c r="J333">
        <f t="shared" si="43"/>
        <v>2988.2999999999997</v>
      </c>
      <c r="K333">
        <f t="shared" si="48"/>
        <v>468.30000000000007</v>
      </c>
      <c r="M333">
        <v>0</v>
      </c>
      <c r="N333">
        <v>2.7</v>
      </c>
      <c r="O333">
        <f t="shared" si="40"/>
        <v>-2.7</v>
      </c>
      <c r="P333">
        <f t="shared" si="44"/>
        <v>26.400000000000006</v>
      </c>
      <c r="Q333">
        <v>294</v>
      </c>
      <c r="R333">
        <f t="shared" si="39"/>
        <v>0.5</v>
      </c>
      <c r="S333">
        <f t="shared" si="41"/>
        <v>1.35</v>
      </c>
      <c r="T333" s="24">
        <f t="shared" si="42"/>
        <v>-1.35</v>
      </c>
      <c r="U333" s="24">
        <v>0</v>
      </c>
      <c r="W333">
        <v>1036.5</v>
      </c>
      <c r="Y333">
        <f t="shared" si="45"/>
        <v>270293.3</v>
      </c>
      <c r="Z333">
        <f t="shared" si="47"/>
        <v>44500.700000000004</v>
      </c>
      <c r="AA333">
        <v>15.678477551574476</v>
      </c>
    </row>
    <row r="334" spans="1:27" x14ac:dyDescent="0.25">
      <c r="A334">
        <v>5560</v>
      </c>
      <c r="B334">
        <v>22250</v>
      </c>
      <c r="C334" s="1">
        <v>42912</v>
      </c>
      <c r="G334">
        <v>20.9</v>
      </c>
      <c r="H334">
        <v>15.3</v>
      </c>
      <c r="I334">
        <v>24.3</v>
      </c>
      <c r="J334">
        <f t="shared" si="43"/>
        <v>3009.2</v>
      </c>
      <c r="K334">
        <f t="shared" si="48"/>
        <v>489.20000000000005</v>
      </c>
      <c r="M334">
        <v>0.9</v>
      </c>
      <c r="N334">
        <v>1.3</v>
      </c>
      <c r="O334">
        <f t="shared" si="40"/>
        <v>-0.4</v>
      </c>
      <c r="P334">
        <f t="shared" si="44"/>
        <v>26.000000000000007</v>
      </c>
      <c r="Q334">
        <v>295</v>
      </c>
      <c r="R334">
        <f t="shared" si="39"/>
        <v>0.48333333333333328</v>
      </c>
      <c r="S334">
        <f t="shared" si="41"/>
        <v>0.6283333333333333</v>
      </c>
      <c r="T334" s="24">
        <f t="shared" si="42"/>
        <v>0.27166666666666672</v>
      </c>
      <c r="U334" s="24">
        <f t="shared" si="46"/>
        <v>0.27166666666666672</v>
      </c>
      <c r="W334">
        <v>777.6</v>
      </c>
      <c r="Y334">
        <f t="shared" si="45"/>
        <v>271070.89999999997</v>
      </c>
      <c r="Z334">
        <f t="shared" si="47"/>
        <v>45278.3</v>
      </c>
      <c r="AA334">
        <v>15.672840004557216</v>
      </c>
    </row>
    <row r="335" spans="1:27" x14ac:dyDescent="0.25">
      <c r="A335">
        <v>5560</v>
      </c>
      <c r="B335">
        <v>22250</v>
      </c>
      <c r="C335" s="1">
        <v>42913</v>
      </c>
      <c r="G335">
        <v>21.7</v>
      </c>
      <c r="H335">
        <v>18.100000000000001</v>
      </c>
      <c r="I335">
        <v>26.7</v>
      </c>
      <c r="J335">
        <f t="shared" si="43"/>
        <v>3030.8999999999996</v>
      </c>
      <c r="K335">
        <f t="shared" si="48"/>
        <v>510.90000000000003</v>
      </c>
      <c r="M335">
        <v>0.8</v>
      </c>
      <c r="N335">
        <v>3.9</v>
      </c>
      <c r="O335">
        <f t="shared" si="40"/>
        <v>-3.0999999999999996</v>
      </c>
      <c r="P335">
        <f t="shared" si="44"/>
        <v>22.900000000000006</v>
      </c>
      <c r="Q335">
        <v>296</v>
      </c>
      <c r="R335">
        <f t="shared" si="39"/>
        <v>0.46666666666666667</v>
      </c>
      <c r="S335">
        <f t="shared" si="41"/>
        <v>1.82</v>
      </c>
      <c r="T335" s="24">
        <f t="shared" si="42"/>
        <v>-1.02</v>
      </c>
      <c r="U335" s="24">
        <v>0</v>
      </c>
      <c r="W335">
        <v>1507.6</v>
      </c>
      <c r="Y335">
        <f t="shared" si="45"/>
        <v>272578.49999999994</v>
      </c>
      <c r="Z335">
        <f t="shared" si="47"/>
        <v>46785.9</v>
      </c>
      <c r="AA335">
        <v>15.665885694236481</v>
      </c>
    </row>
    <row r="336" spans="1:27" x14ac:dyDescent="0.25">
      <c r="A336">
        <v>5560</v>
      </c>
      <c r="B336">
        <v>22250</v>
      </c>
      <c r="C336" s="1">
        <v>42914</v>
      </c>
      <c r="G336">
        <v>18.8</v>
      </c>
      <c r="H336">
        <v>16.899999999999999</v>
      </c>
      <c r="I336">
        <v>21.1</v>
      </c>
      <c r="J336">
        <f t="shared" si="43"/>
        <v>3049.7</v>
      </c>
      <c r="K336">
        <f t="shared" si="48"/>
        <v>529.70000000000005</v>
      </c>
      <c r="M336">
        <v>3.6</v>
      </c>
      <c r="N336">
        <v>3.7</v>
      </c>
      <c r="O336">
        <f t="shared" si="40"/>
        <v>-0.10000000000000009</v>
      </c>
      <c r="P336">
        <f t="shared" si="44"/>
        <v>22.800000000000004</v>
      </c>
      <c r="Q336">
        <v>297</v>
      </c>
      <c r="R336">
        <f t="shared" si="39"/>
        <v>0.44999999999999996</v>
      </c>
      <c r="S336">
        <f t="shared" si="41"/>
        <v>1.6649999999999998</v>
      </c>
      <c r="T336" s="24">
        <f t="shared" si="42"/>
        <v>1.9350000000000003</v>
      </c>
      <c r="U336" s="24">
        <f t="shared" si="46"/>
        <v>1.9350000000000003</v>
      </c>
      <c r="W336">
        <v>1937.5</v>
      </c>
      <c r="Y336">
        <f t="shared" si="45"/>
        <v>274515.99999999994</v>
      </c>
      <c r="Z336">
        <f t="shared" si="47"/>
        <v>48723.4</v>
      </c>
      <c r="AA336">
        <v>15.657620710481325</v>
      </c>
    </row>
    <row r="337" spans="1:27" x14ac:dyDescent="0.25">
      <c r="A337">
        <v>5560</v>
      </c>
      <c r="B337">
        <v>22250</v>
      </c>
      <c r="C337" s="1">
        <v>42915</v>
      </c>
      <c r="G337">
        <v>15.8</v>
      </c>
      <c r="H337">
        <v>14.2</v>
      </c>
      <c r="I337">
        <v>18.899999999999999</v>
      </c>
      <c r="J337">
        <f t="shared" si="43"/>
        <v>3065.5</v>
      </c>
      <c r="K337">
        <f t="shared" si="48"/>
        <v>545.5</v>
      </c>
      <c r="M337">
        <v>5.7</v>
      </c>
      <c r="N337">
        <v>3.1</v>
      </c>
      <c r="O337">
        <f t="shared" si="40"/>
        <v>2.6</v>
      </c>
      <c r="P337">
        <f t="shared" si="44"/>
        <v>25.400000000000006</v>
      </c>
      <c r="Q337">
        <v>298</v>
      </c>
      <c r="R337">
        <f t="shared" si="39"/>
        <v>0.43333333333333324</v>
      </c>
      <c r="S337">
        <f t="shared" si="41"/>
        <v>1.343333333333333</v>
      </c>
      <c r="T337" s="24">
        <f t="shared" si="42"/>
        <v>4.3566666666666674</v>
      </c>
      <c r="U337" s="24">
        <f t="shared" si="46"/>
        <v>6.2916666666666679</v>
      </c>
      <c r="W337">
        <v>1567.8</v>
      </c>
      <c r="Y337">
        <f t="shared" si="45"/>
        <v>276083.79999999993</v>
      </c>
      <c r="Z337">
        <f t="shared" si="47"/>
        <v>50291.200000000004</v>
      </c>
      <c r="AA337">
        <v>15.648052257833026</v>
      </c>
    </row>
    <row r="338" spans="1:27" x14ac:dyDescent="0.25">
      <c r="A338">
        <v>5560</v>
      </c>
      <c r="B338">
        <v>22250</v>
      </c>
      <c r="C338" s="1">
        <v>42916</v>
      </c>
      <c r="G338">
        <v>14.3</v>
      </c>
      <c r="H338">
        <v>13.1</v>
      </c>
      <c r="I338">
        <v>16.3</v>
      </c>
      <c r="J338">
        <f t="shared" si="43"/>
        <v>3079.8</v>
      </c>
      <c r="K338">
        <f t="shared" si="48"/>
        <v>559.79999999999995</v>
      </c>
      <c r="M338">
        <v>7.5</v>
      </c>
      <c r="N338">
        <v>1.2</v>
      </c>
      <c r="O338">
        <f t="shared" si="40"/>
        <v>6.3</v>
      </c>
      <c r="P338">
        <f t="shared" si="44"/>
        <v>31.700000000000006</v>
      </c>
      <c r="Q338">
        <v>299</v>
      </c>
      <c r="R338">
        <f t="shared" si="39"/>
        <v>0.41666666666666663</v>
      </c>
      <c r="S338">
        <f t="shared" si="41"/>
        <v>0.49999999999999994</v>
      </c>
      <c r="T338" s="24">
        <f t="shared" si="42"/>
        <v>7</v>
      </c>
      <c r="U338" s="24">
        <f t="shared" si="46"/>
        <v>13.291666666666668</v>
      </c>
      <c r="W338">
        <v>513.29999999999995</v>
      </c>
      <c r="Y338">
        <f t="shared" si="45"/>
        <v>276597.09999999992</v>
      </c>
      <c r="Z338">
        <f t="shared" si="47"/>
        <v>50804.500000000007</v>
      </c>
      <c r="AA338">
        <v>15.637188632403301</v>
      </c>
    </row>
    <row r="339" spans="1:27" x14ac:dyDescent="0.25">
      <c r="A339">
        <v>5560</v>
      </c>
      <c r="B339">
        <v>22250</v>
      </c>
      <c r="C339" s="1">
        <v>42917</v>
      </c>
      <c r="G339">
        <v>15.3</v>
      </c>
      <c r="H339">
        <v>13.1</v>
      </c>
      <c r="I339">
        <v>18.2</v>
      </c>
      <c r="J339">
        <f t="shared" si="43"/>
        <v>3095.1000000000004</v>
      </c>
      <c r="K339">
        <f t="shared" si="48"/>
        <v>575.09999999999991</v>
      </c>
      <c r="M339">
        <v>3.6</v>
      </c>
      <c r="N339">
        <v>1.7</v>
      </c>
      <c r="O339">
        <f t="shared" si="40"/>
        <v>1.9000000000000001</v>
      </c>
      <c r="P339">
        <f t="shared" si="44"/>
        <v>33.600000000000009</v>
      </c>
      <c r="Q339">
        <v>300</v>
      </c>
      <c r="R339">
        <f t="shared" si="39"/>
        <v>0.4</v>
      </c>
      <c r="S339">
        <f t="shared" si="41"/>
        <v>0.68</v>
      </c>
      <c r="T339" s="24">
        <f t="shared" si="42"/>
        <v>2.92</v>
      </c>
      <c r="U339" s="24">
        <f t="shared" si="46"/>
        <v>16.211666666666666</v>
      </c>
      <c r="W339">
        <v>858.3</v>
      </c>
      <c r="Y339">
        <f t="shared" si="45"/>
        <v>277455.39999999991</v>
      </c>
      <c r="Z339">
        <f t="shared" si="47"/>
        <v>51662.80000000001</v>
      </c>
      <c r="AA339">
        <v>15.625039195494406</v>
      </c>
    </row>
    <row r="340" spans="1:27" x14ac:dyDescent="0.25">
      <c r="A340">
        <v>5560</v>
      </c>
      <c r="B340">
        <v>22250</v>
      </c>
      <c r="C340" s="1">
        <v>42918</v>
      </c>
      <c r="G340">
        <v>16</v>
      </c>
      <c r="H340">
        <v>13.9</v>
      </c>
      <c r="I340">
        <v>18</v>
      </c>
      <c r="J340">
        <f t="shared" si="43"/>
        <v>3111.1000000000004</v>
      </c>
      <c r="K340">
        <f t="shared" si="48"/>
        <v>591.09999999999991</v>
      </c>
      <c r="M340">
        <v>0.8</v>
      </c>
      <c r="N340">
        <v>1</v>
      </c>
      <c r="O340">
        <f t="shared" si="40"/>
        <v>-0.19999999999999996</v>
      </c>
      <c r="P340">
        <f t="shared" si="44"/>
        <v>33.400000000000006</v>
      </c>
      <c r="Q340">
        <v>301</v>
      </c>
      <c r="R340">
        <f t="shared" si="39"/>
        <v>0.3833333333333333</v>
      </c>
      <c r="S340">
        <f t="shared" si="41"/>
        <v>0.3833333333333333</v>
      </c>
      <c r="T340" s="24">
        <f t="shared" si="42"/>
        <v>0.41666666666666674</v>
      </c>
      <c r="U340" s="24">
        <f t="shared" si="46"/>
        <v>16.628333333333334</v>
      </c>
      <c r="W340">
        <v>633.6</v>
      </c>
      <c r="Y340">
        <f t="shared" si="45"/>
        <v>278088.99999999988</v>
      </c>
      <c r="Z340">
        <f t="shared" si="47"/>
        <v>52296.400000000009</v>
      </c>
      <c r="AA340">
        <v>15.61161434411737</v>
      </c>
    </row>
    <row r="341" spans="1:27" x14ac:dyDescent="0.25">
      <c r="A341">
        <v>5560</v>
      </c>
      <c r="B341">
        <v>22250</v>
      </c>
      <c r="C341" s="1">
        <v>42919</v>
      </c>
      <c r="G341">
        <v>18.600000000000001</v>
      </c>
      <c r="H341">
        <v>15.2</v>
      </c>
      <c r="I341">
        <v>24.8</v>
      </c>
      <c r="J341">
        <f t="shared" si="43"/>
        <v>3129.7000000000003</v>
      </c>
      <c r="K341">
        <f t="shared" si="48"/>
        <v>609.69999999999993</v>
      </c>
      <c r="M341">
        <v>0</v>
      </c>
      <c r="N341">
        <v>2.2999999999999998</v>
      </c>
      <c r="O341">
        <f t="shared" si="40"/>
        <v>-2.2999999999999998</v>
      </c>
      <c r="P341">
        <f t="shared" si="44"/>
        <v>31.100000000000005</v>
      </c>
      <c r="Q341">
        <v>302</v>
      </c>
      <c r="R341">
        <f t="shared" si="39"/>
        <v>0.3666666666666667</v>
      </c>
      <c r="S341">
        <f t="shared" si="41"/>
        <v>0.84333333333333338</v>
      </c>
      <c r="T341" s="24">
        <f t="shared" si="42"/>
        <v>-0.84333333333333338</v>
      </c>
      <c r="U341" s="24">
        <f t="shared" si="46"/>
        <v>15.785</v>
      </c>
      <c r="W341">
        <v>921.1</v>
      </c>
      <c r="Y341">
        <f t="shared" si="45"/>
        <v>279010.09999999986</v>
      </c>
      <c r="Z341">
        <f t="shared" si="47"/>
        <v>53217.500000000007</v>
      </c>
      <c r="AA341">
        <v>15.596925478602712</v>
      </c>
    </row>
    <row r="342" spans="1:27" x14ac:dyDescent="0.25">
      <c r="A342">
        <v>5560</v>
      </c>
      <c r="B342">
        <v>22250</v>
      </c>
      <c r="C342" s="1">
        <v>42920</v>
      </c>
      <c r="G342">
        <v>22.3</v>
      </c>
      <c r="H342">
        <v>13.5</v>
      </c>
      <c r="I342">
        <v>29.6</v>
      </c>
      <c r="J342">
        <f t="shared" si="43"/>
        <v>3152.0000000000005</v>
      </c>
      <c r="K342">
        <f t="shared" si="48"/>
        <v>631.99999999999989</v>
      </c>
      <c r="M342">
        <v>0</v>
      </c>
      <c r="N342">
        <v>5.7</v>
      </c>
      <c r="O342">
        <f t="shared" si="40"/>
        <v>-5.7</v>
      </c>
      <c r="P342">
        <f t="shared" si="44"/>
        <v>25.400000000000006</v>
      </c>
      <c r="Q342">
        <v>303</v>
      </c>
      <c r="R342">
        <f t="shared" si="39"/>
        <v>0.35</v>
      </c>
      <c r="S342">
        <f t="shared" si="41"/>
        <v>1.9949999999999999</v>
      </c>
      <c r="T342" s="24">
        <f t="shared" si="42"/>
        <v>-1.9949999999999999</v>
      </c>
      <c r="U342" s="24">
        <f t="shared" si="46"/>
        <v>13.790000000000001</v>
      </c>
      <c r="W342">
        <v>2606.4</v>
      </c>
      <c r="Y342">
        <f t="shared" si="45"/>
        <v>281616.49999999988</v>
      </c>
      <c r="Z342">
        <f t="shared" si="47"/>
        <v>55823.900000000009</v>
      </c>
      <c r="AA342">
        <v>15.580984967513755</v>
      </c>
    </row>
    <row r="343" spans="1:27" s="10" customFormat="1" x14ac:dyDescent="0.25">
      <c r="A343" s="46" t="s">
        <v>33</v>
      </c>
      <c r="B343" s="46"/>
      <c r="C343" s="46"/>
      <c r="D343" s="46"/>
      <c r="E343" s="46"/>
      <c r="F343" s="46"/>
      <c r="L343" s="23"/>
    </row>
    <row r="344" spans="1:27" x14ac:dyDescent="0.25">
      <c r="A344">
        <v>5560</v>
      </c>
      <c r="B344">
        <v>22250</v>
      </c>
      <c r="C344" s="1">
        <v>42921</v>
      </c>
      <c r="G344">
        <v>26.2</v>
      </c>
      <c r="H344">
        <v>16.3</v>
      </c>
      <c r="I344">
        <v>33.799999999999997</v>
      </c>
      <c r="M344">
        <v>0</v>
      </c>
      <c r="N344">
        <v>7</v>
      </c>
      <c r="W344">
        <v>2654.3</v>
      </c>
    </row>
    <row r="345" spans="1:27" x14ac:dyDescent="0.25">
      <c r="A345">
        <v>5560</v>
      </c>
      <c r="B345">
        <v>22250</v>
      </c>
      <c r="C345" s="1">
        <v>42922</v>
      </c>
      <c r="G345">
        <v>26.9</v>
      </c>
      <c r="H345">
        <v>19.899999999999999</v>
      </c>
      <c r="I345">
        <v>33.5</v>
      </c>
      <c r="M345">
        <v>0</v>
      </c>
      <c r="N345">
        <v>4.4000000000000004</v>
      </c>
      <c r="W345">
        <v>1306.4000000000001</v>
      </c>
    </row>
    <row r="346" spans="1:27" x14ac:dyDescent="0.25">
      <c r="A346">
        <v>5560</v>
      </c>
      <c r="B346">
        <v>22250</v>
      </c>
      <c r="C346" s="1">
        <v>42923</v>
      </c>
      <c r="G346">
        <v>26.9</v>
      </c>
      <c r="H346">
        <v>21.9</v>
      </c>
      <c r="I346">
        <v>33</v>
      </c>
      <c r="M346">
        <v>0</v>
      </c>
      <c r="N346">
        <v>5.9</v>
      </c>
      <c r="W346">
        <v>2396</v>
      </c>
    </row>
    <row r="347" spans="1:27" x14ac:dyDescent="0.25">
      <c r="A347">
        <v>5560</v>
      </c>
      <c r="B347">
        <v>22250</v>
      </c>
      <c r="C347" s="1">
        <v>42924</v>
      </c>
      <c r="G347">
        <v>25.9</v>
      </c>
      <c r="H347">
        <v>20.9</v>
      </c>
      <c r="I347">
        <v>31.3</v>
      </c>
      <c r="M347">
        <v>0.4</v>
      </c>
      <c r="N347">
        <v>3.1</v>
      </c>
      <c r="W347">
        <v>971.7</v>
      </c>
    </row>
    <row r="348" spans="1:27" x14ac:dyDescent="0.25">
      <c r="A348">
        <v>5560</v>
      </c>
      <c r="B348">
        <v>22250</v>
      </c>
      <c r="C348" s="1">
        <v>42925</v>
      </c>
      <c r="G348">
        <v>21.5</v>
      </c>
      <c r="H348">
        <v>19.399999999999999</v>
      </c>
      <c r="I348">
        <v>27.8</v>
      </c>
      <c r="M348">
        <v>9.8000000000000007</v>
      </c>
      <c r="N348">
        <v>2.2000000000000002</v>
      </c>
      <c r="W348">
        <v>849.5</v>
      </c>
    </row>
    <row r="349" spans="1:27" x14ac:dyDescent="0.25">
      <c r="A349">
        <v>5560</v>
      </c>
      <c r="B349">
        <v>22250</v>
      </c>
      <c r="C349" s="1">
        <v>42926</v>
      </c>
      <c r="G349">
        <v>18.899999999999999</v>
      </c>
      <c r="H349">
        <v>17.7</v>
      </c>
      <c r="I349">
        <v>21.9</v>
      </c>
      <c r="M349">
        <v>6.3</v>
      </c>
      <c r="N349">
        <v>2.6</v>
      </c>
      <c r="W349">
        <v>1198.8</v>
      </c>
    </row>
    <row r="350" spans="1:27" x14ac:dyDescent="0.25">
      <c r="A350">
        <v>5560</v>
      </c>
      <c r="B350">
        <v>22250</v>
      </c>
      <c r="C350" s="1">
        <v>42927</v>
      </c>
      <c r="G350">
        <v>19.3</v>
      </c>
      <c r="H350">
        <v>14.7</v>
      </c>
      <c r="I350">
        <v>23.5</v>
      </c>
      <c r="M350">
        <v>0.3</v>
      </c>
      <c r="N350">
        <v>3.1</v>
      </c>
      <c r="W350">
        <v>1158.2</v>
      </c>
    </row>
    <row r="351" spans="1:27" x14ac:dyDescent="0.25">
      <c r="A351">
        <v>5560</v>
      </c>
      <c r="B351">
        <v>22250</v>
      </c>
      <c r="C351" s="1">
        <v>42928</v>
      </c>
      <c r="G351">
        <v>19.2</v>
      </c>
      <c r="H351">
        <v>18</v>
      </c>
      <c r="I351">
        <v>20.6</v>
      </c>
      <c r="M351">
        <v>0.8</v>
      </c>
      <c r="N351">
        <v>1.9</v>
      </c>
      <c r="W351">
        <v>597</v>
      </c>
    </row>
    <row r="352" spans="1:27" x14ac:dyDescent="0.25">
      <c r="A352">
        <v>5560</v>
      </c>
      <c r="B352">
        <v>22250</v>
      </c>
      <c r="C352" s="1">
        <v>42929</v>
      </c>
      <c r="G352">
        <v>20.399999999999999</v>
      </c>
      <c r="H352">
        <v>17.5</v>
      </c>
      <c r="I352">
        <v>23.9</v>
      </c>
      <c r="M352">
        <v>0</v>
      </c>
      <c r="N352">
        <v>3.6</v>
      </c>
      <c r="W352">
        <v>1747.1</v>
      </c>
    </row>
    <row r="353" spans="1:23" x14ac:dyDescent="0.25">
      <c r="A353">
        <v>5560</v>
      </c>
      <c r="B353">
        <v>22250</v>
      </c>
      <c r="C353" s="1">
        <v>42930</v>
      </c>
      <c r="G353">
        <v>20.100000000000001</v>
      </c>
      <c r="H353">
        <v>16.3</v>
      </c>
      <c r="I353">
        <v>24.3</v>
      </c>
      <c r="M353">
        <v>0</v>
      </c>
      <c r="N353">
        <v>4.2</v>
      </c>
      <c r="W353">
        <v>1794.3</v>
      </c>
    </row>
    <row r="354" spans="1:23" x14ac:dyDescent="0.25">
      <c r="A354">
        <v>5560</v>
      </c>
      <c r="B354">
        <v>22250</v>
      </c>
      <c r="C354" s="1">
        <v>42931</v>
      </c>
      <c r="G354">
        <v>19.899999999999999</v>
      </c>
      <c r="H354">
        <v>14.7</v>
      </c>
      <c r="I354">
        <v>25.5</v>
      </c>
      <c r="M354">
        <v>0</v>
      </c>
      <c r="N354">
        <v>5</v>
      </c>
      <c r="W354">
        <v>2393.4</v>
      </c>
    </row>
    <row r="355" spans="1:23" x14ac:dyDescent="0.25">
      <c r="A355">
        <v>5560</v>
      </c>
      <c r="B355">
        <v>22250</v>
      </c>
      <c r="C355" s="1">
        <v>42932</v>
      </c>
      <c r="G355">
        <v>23.9</v>
      </c>
      <c r="H355">
        <v>15.4</v>
      </c>
      <c r="I355">
        <v>29.3</v>
      </c>
      <c r="M355">
        <v>0</v>
      </c>
      <c r="N355">
        <v>5.8</v>
      </c>
      <c r="W355">
        <v>2580.1999999999998</v>
      </c>
    </row>
    <row r="356" spans="1:23" x14ac:dyDescent="0.25">
      <c r="A356">
        <v>5560</v>
      </c>
      <c r="B356">
        <v>22250</v>
      </c>
      <c r="C356" s="1">
        <v>42933</v>
      </c>
      <c r="G356">
        <v>25.8</v>
      </c>
      <c r="H356">
        <v>18.8</v>
      </c>
      <c r="I356">
        <v>31.4</v>
      </c>
      <c r="M356">
        <v>0</v>
      </c>
      <c r="N356">
        <v>5.7</v>
      </c>
      <c r="W356">
        <v>1973.1</v>
      </c>
    </row>
    <row r="357" spans="1:23" x14ac:dyDescent="0.25">
      <c r="A357">
        <v>5560</v>
      </c>
      <c r="B357">
        <v>22250</v>
      </c>
      <c r="C357" s="1">
        <v>42934</v>
      </c>
      <c r="G357">
        <v>28.2</v>
      </c>
      <c r="H357">
        <v>20.7</v>
      </c>
      <c r="I357">
        <v>33.5</v>
      </c>
      <c r="M357">
        <v>0</v>
      </c>
      <c r="N357">
        <v>6.7</v>
      </c>
      <c r="W357">
        <v>2056.1</v>
      </c>
    </row>
    <row r="358" spans="1:23" x14ac:dyDescent="0.25">
      <c r="A358">
        <v>5560</v>
      </c>
      <c r="B358">
        <v>22250</v>
      </c>
      <c r="C358" s="1">
        <v>42935</v>
      </c>
      <c r="G358">
        <v>24.3</v>
      </c>
      <c r="H358">
        <v>22.7</v>
      </c>
      <c r="I358">
        <v>27.8</v>
      </c>
      <c r="M358">
        <v>1.1000000000000001</v>
      </c>
      <c r="N358">
        <v>5.6</v>
      </c>
      <c r="W358">
        <v>1805.9</v>
      </c>
    </row>
    <row r="359" spans="1:23" x14ac:dyDescent="0.25">
      <c r="A359">
        <v>5560</v>
      </c>
      <c r="B359">
        <v>22250</v>
      </c>
      <c r="C359" s="1">
        <v>42936</v>
      </c>
      <c r="G359">
        <v>20</v>
      </c>
      <c r="H359">
        <v>18.7</v>
      </c>
      <c r="I359">
        <v>22.6</v>
      </c>
      <c r="M359">
        <v>0</v>
      </c>
      <c r="N359">
        <v>4.0999999999999996</v>
      </c>
      <c r="W359">
        <v>1436.6</v>
      </c>
    </row>
    <row r="360" spans="1:23" x14ac:dyDescent="0.25">
      <c r="A360">
        <v>5560</v>
      </c>
      <c r="B360">
        <v>22250</v>
      </c>
      <c r="C360" s="1">
        <v>42937</v>
      </c>
      <c r="G360">
        <v>18.600000000000001</v>
      </c>
      <c r="H360">
        <v>13.9</v>
      </c>
      <c r="I360">
        <v>22.4</v>
      </c>
      <c r="M360">
        <v>0</v>
      </c>
      <c r="N360">
        <v>4.5</v>
      </c>
      <c r="W360">
        <v>2075.1999999999998</v>
      </c>
    </row>
    <row r="361" spans="1:23" x14ac:dyDescent="0.25">
      <c r="A361">
        <v>5560</v>
      </c>
      <c r="B361">
        <v>22250</v>
      </c>
      <c r="C361" s="1">
        <v>42938</v>
      </c>
      <c r="G361">
        <v>18.2</v>
      </c>
      <c r="H361">
        <v>16.899999999999999</v>
      </c>
      <c r="I361">
        <v>20.100000000000001</v>
      </c>
      <c r="M361">
        <v>0.6</v>
      </c>
      <c r="N361">
        <v>2.8</v>
      </c>
      <c r="W361">
        <v>1140.2</v>
      </c>
    </row>
    <row r="362" spans="1:23" x14ac:dyDescent="0.25">
      <c r="A362">
        <v>5560</v>
      </c>
      <c r="B362">
        <v>22250</v>
      </c>
      <c r="C362" s="1">
        <v>42939</v>
      </c>
      <c r="G362">
        <v>18.7</v>
      </c>
      <c r="H362">
        <v>14.4</v>
      </c>
      <c r="I362">
        <v>22.8</v>
      </c>
      <c r="M362">
        <v>7.4</v>
      </c>
      <c r="N362">
        <v>3.3</v>
      </c>
      <c r="W362">
        <v>1369.6</v>
      </c>
    </row>
    <row r="363" spans="1:23" x14ac:dyDescent="0.25">
      <c r="A363">
        <v>5560</v>
      </c>
      <c r="B363">
        <v>22250</v>
      </c>
      <c r="C363" s="1">
        <v>42940</v>
      </c>
      <c r="G363">
        <v>17</v>
      </c>
      <c r="H363">
        <v>14.4</v>
      </c>
      <c r="I363">
        <v>19</v>
      </c>
      <c r="M363">
        <v>0.5</v>
      </c>
      <c r="N363">
        <v>1.5</v>
      </c>
      <c r="W363">
        <v>685.3</v>
      </c>
    </row>
    <row r="364" spans="1:23" x14ac:dyDescent="0.25">
      <c r="A364">
        <v>5560</v>
      </c>
      <c r="B364">
        <v>22250</v>
      </c>
      <c r="C364" s="1">
        <v>42941</v>
      </c>
      <c r="G364">
        <v>17.899999999999999</v>
      </c>
      <c r="H364">
        <v>14.9</v>
      </c>
      <c r="I364">
        <v>22.3</v>
      </c>
      <c r="M364">
        <v>0.1</v>
      </c>
      <c r="N364">
        <v>2</v>
      </c>
      <c r="W364">
        <v>822.3</v>
      </c>
    </row>
    <row r="365" spans="1:23" x14ac:dyDescent="0.25">
      <c r="A365">
        <v>5560</v>
      </c>
      <c r="B365">
        <v>22250</v>
      </c>
      <c r="C365" s="1">
        <v>42942</v>
      </c>
      <c r="G365">
        <v>18.2</v>
      </c>
      <c r="H365">
        <v>14.6</v>
      </c>
      <c r="I365">
        <v>21.5</v>
      </c>
      <c r="M365">
        <v>1.4</v>
      </c>
      <c r="N365">
        <v>1.8</v>
      </c>
      <c r="W365">
        <v>768.7</v>
      </c>
    </row>
    <row r="366" spans="1:23" x14ac:dyDescent="0.25">
      <c r="A366">
        <v>5560</v>
      </c>
      <c r="B366">
        <v>22250</v>
      </c>
      <c r="C366" s="1">
        <v>42943</v>
      </c>
      <c r="G366">
        <v>18.899999999999999</v>
      </c>
      <c r="H366">
        <v>16.399999999999999</v>
      </c>
      <c r="I366">
        <v>22.7</v>
      </c>
      <c r="M366">
        <v>2.2999999999999998</v>
      </c>
      <c r="N366">
        <v>1.9</v>
      </c>
      <c r="W366">
        <v>653.6</v>
      </c>
    </row>
    <row r="367" spans="1:23" x14ac:dyDescent="0.25">
      <c r="A367">
        <v>5560</v>
      </c>
      <c r="B367">
        <v>22250</v>
      </c>
      <c r="C367" s="1">
        <v>42944</v>
      </c>
      <c r="G367">
        <v>19.2</v>
      </c>
      <c r="H367">
        <v>14.6</v>
      </c>
      <c r="I367">
        <v>23.5</v>
      </c>
      <c r="M367">
        <v>0</v>
      </c>
      <c r="N367">
        <v>3.2</v>
      </c>
      <c r="W367">
        <v>1388.4</v>
      </c>
    </row>
    <row r="368" spans="1:23" x14ac:dyDescent="0.25">
      <c r="A368">
        <v>5560</v>
      </c>
      <c r="B368">
        <v>22250</v>
      </c>
      <c r="C368" s="1">
        <v>42945</v>
      </c>
      <c r="G368">
        <v>22.4</v>
      </c>
      <c r="H368">
        <v>15.7</v>
      </c>
      <c r="I368">
        <v>28</v>
      </c>
      <c r="M368">
        <v>0.6</v>
      </c>
      <c r="N368">
        <v>4.4000000000000004</v>
      </c>
      <c r="W368">
        <v>1822.4</v>
      </c>
    </row>
    <row r="369" spans="1:23" x14ac:dyDescent="0.25">
      <c r="A369">
        <v>5560</v>
      </c>
      <c r="B369">
        <v>22250</v>
      </c>
      <c r="C369" s="1">
        <v>42946</v>
      </c>
      <c r="G369">
        <v>21.4</v>
      </c>
      <c r="H369">
        <v>19</v>
      </c>
      <c r="I369">
        <v>24</v>
      </c>
      <c r="M369">
        <v>0</v>
      </c>
      <c r="N369">
        <v>3.3</v>
      </c>
      <c r="W369">
        <v>1104.3</v>
      </c>
    </row>
    <row r="370" spans="1:23" x14ac:dyDescent="0.25">
      <c r="A370">
        <v>5560</v>
      </c>
      <c r="B370">
        <v>22250</v>
      </c>
      <c r="C370" s="1">
        <v>42947</v>
      </c>
      <c r="G370">
        <v>20.3</v>
      </c>
      <c r="H370">
        <v>16.600000000000001</v>
      </c>
      <c r="I370">
        <v>23.3</v>
      </c>
      <c r="M370">
        <v>2.8</v>
      </c>
      <c r="N370">
        <v>1.6</v>
      </c>
      <c r="W370">
        <v>570.5</v>
      </c>
    </row>
    <row r="371" spans="1:23" x14ac:dyDescent="0.25">
      <c r="A371">
        <v>5560</v>
      </c>
      <c r="B371">
        <v>22250</v>
      </c>
      <c r="C371" s="1">
        <v>42948</v>
      </c>
      <c r="G371">
        <v>21.9</v>
      </c>
      <c r="H371">
        <v>17</v>
      </c>
      <c r="I371">
        <v>27.3</v>
      </c>
      <c r="M371">
        <v>1.1000000000000001</v>
      </c>
      <c r="N371">
        <v>2.9</v>
      </c>
      <c r="W371">
        <v>1256.0999999999999</v>
      </c>
    </row>
    <row r="372" spans="1:23" x14ac:dyDescent="0.25">
      <c r="A372">
        <v>5560</v>
      </c>
      <c r="B372">
        <v>22250</v>
      </c>
      <c r="C372" s="1">
        <v>42949</v>
      </c>
      <c r="G372">
        <v>23.3</v>
      </c>
      <c r="H372">
        <v>15.9</v>
      </c>
      <c r="I372">
        <v>29.6</v>
      </c>
      <c r="M372">
        <v>0</v>
      </c>
      <c r="N372">
        <v>5.6</v>
      </c>
      <c r="W372">
        <v>2439.3000000000002</v>
      </c>
    </row>
    <row r="373" spans="1:23" x14ac:dyDescent="0.25">
      <c r="A373">
        <v>5560</v>
      </c>
      <c r="B373">
        <v>22250</v>
      </c>
      <c r="C373" s="1">
        <v>42950</v>
      </c>
      <c r="G373">
        <v>21.4</v>
      </c>
      <c r="H373">
        <v>18.399999999999999</v>
      </c>
      <c r="I373">
        <v>24.6</v>
      </c>
      <c r="M373">
        <v>0</v>
      </c>
      <c r="N373">
        <v>3.2</v>
      </c>
      <c r="W373">
        <v>860.3</v>
      </c>
    </row>
    <row r="374" spans="1:23" x14ac:dyDescent="0.25">
      <c r="A374">
        <v>5560</v>
      </c>
      <c r="B374">
        <v>22250</v>
      </c>
      <c r="C374" s="1">
        <v>42951</v>
      </c>
      <c r="G374">
        <v>21.5</v>
      </c>
      <c r="H374">
        <v>16.8</v>
      </c>
      <c r="I374">
        <v>25</v>
      </c>
      <c r="M374">
        <v>0</v>
      </c>
      <c r="N374">
        <v>3.3</v>
      </c>
      <c r="W374">
        <v>1084.7</v>
      </c>
    </row>
    <row r="375" spans="1:23" x14ac:dyDescent="0.25">
      <c r="A375">
        <v>5560</v>
      </c>
      <c r="B375">
        <v>22250</v>
      </c>
      <c r="C375" s="1">
        <v>42952</v>
      </c>
      <c r="G375">
        <v>20.2</v>
      </c>
      <c r="H375">
        <v>18.8</v>
      </c>
      <c r="I375">
        <v>22.3</v>
      </c>
      <c r="M375">
        <v>0</v>
      </c>
      <c r="N375">
        <v>3.8</v>
      </c>
      <c r="W375">
        <v>1308.2</v>
      </c>
    </row>
    <row r="376" spans="1:23" x14ac:dyDescent="0.25">
      <c r="A376">
        <v>5560</v>
      </c>
      <c r="B376">
        <v>22250</v>
      </c>
      <c r="C376" s="1">
        <v>42953</v>
      </c>
      <c r="G376">
        <v>18.5</v>
      </c>
      <c r="H376">
        <v>13.3</v>
      </c>
      <c r="I376">
        <v>23.9</v>
      </c>
      <c r="M376">
        <v>0</v>
      </c>
      <c r="N376">
        <v>5.9</v>
      </c>
      <c r="W376">
        <v>2712.2</v>
      </c>
    </row>
    <row r="377" spans="1:23" x14ac:dyDescent="0.25">
      <c r="A377">
        <v>5560</v>
      </c>
      <c r="B377">
        <v>22250</v>
      </c>
      <c r="C377" s="1">
        <v>42954</v>
      </c>
      <c r="G377">
        <v>19.399999999999999</v>
      </c>
      <c r="H377">
        <v>13.3</v>
      </c>
      <c r="I377">
        <v>26</v>
      </c>
      <c r="M377">
        <v>5.3</v>
      </c>
      <c r="N377">
        <v>4.5</v>
      </c>
      <c r="W377">
        <v>2071.3000000000002</v>
      </c>
    </row>
    <row r="378" spans="1:23" x14ac:dyDescent="0.25">
      <c r="A378">
        <v>5560</v>
      </c>
      <c r="B378">
        <v>22250</v>
      </c>
      <c r="C378" s="1">
        <v>42955</v>
      </c>
      <c r="G378">
        <v>16.3</v>
      </c>
      <c r="H378">
        <v>15.3</v>
      </c>
      <c r="I378">
        <v>18.600000000000001</v>
      </c>
      <c r="M378">
        <v>4.5</v>
      </c>
      <c r="N378">
        <v>1.8</v>
      </c>
      <c r="W378">
        <v>648.6</v>
      </c>
    </row>
    <row r="379" spans="1:23" x14ac:dyDescent="0.25">
      <c r="A379">
        <v>5560</v>
      </c>
      <c r="B379">
        <v>22250</v>
      </c>
      <c r="C379" s="1">
        <v>42956</v>
      </c>
      <c r="G379">
        <v>15.5</v>
      </c>
      <c r="H379">
        <v>13.5</v>
      </c>
      <c r="I379">
        <v>18.899999999999999</v>
      </c>
      <c r="M379">
        <v>2.2999999999999998</v>
      </c>
      <c r="N379">
        <v>2.4</v>
      </c>
      <c r="W379">
        <v>1147.4000000000001</v>
      </c>
    </row>
    <row r="380" spans="1:23" x14ac:dyDescent="0.25">
      <c r="A380">
        <v>5560</v>
      </c>
      <c r="B380">
        <v>22250</v>
      </c>
      <c r="C380" s="1">
        <v>42957</v>
      </c>
      <c r="G380">
        <v>14.3</v>
      </c>
      <c r="H380">
        <v>11.3</v>
      </c>
      <c r="I380">
        <v>17.899999999999999</v>
      </c>
      <c r="M380">
        <v>6.3</v>
      </c>
      <c r="N380">
        <v>2.2000000000000002</v>
      </c>
      <c r="W380">
        <v>1259.4000000000001</v>
      </c>
    </row>
    <row r="381" spans="1:23" x14ac:dyDescent="0.25">
      <c r="A381">
        <v>5560</v>
      </c>
      <c r="B381">
        <v>22250</v>
      </c>
      <c r="C381" s="1">
        <v>42958</v>
      </c>
      <c r="G381">
        <v>15.7</v>
      </c>
      <c r="H381">
        <v>11.8</v>
      </c>
      <c r="I381">
        <v>19.8</v>
      </c>
      <c r="M381">
        <v>3.7</v>
      </c>
      <c r="N381">
        <v>1.7</v>
      </c>
      <c r="W381">
        <v>895.7</v>
      </c>
    </row>
    <row r="382" spans="1:23" x14ac:dyDescent="0.25">
      <c r="A382">
        <v>5560</v>
      </c>
      <c r="B382">
        <v>22250</v>
      </c>
      <c r="C382" s="1">
        <v>42959</v>
      </c>
      <c r="G382">
        <v>17.100000000000001</v>
      </c>
      <c r="H382">
        <v>12.8</v>
      </c>
      <c r="I382">
        <v>20.8</v>
      </c>
      <c r="M382">
        <v>0</v>
      </c>
      <c r="N382">
        <v>1.9</v>
      </c>
      <c r="W382">
        <v>663.7</v>
      </c>
    </row>
    <row r="383" spans="1:23" x14ac:dyDescent="0.25">
      <c r="A383">
        <v>5560</v>
      </c>
      <c r="B383">
        <v>22250</v>
      </c>
      <c r="C383" s="1">
        <v>42960</v>
      </c>
      <c r="G383">
        <v>19.399999999999999</v>
      </c>
      <c r="H383">
        <v>16.399999999999999</v>
      </c>
      <c r="I383">
        <v>23.4</v>
      </c>
      <c r="M383">
        <v>0</v>
      </c>
      <c r="N383">
        <v>1.8</v>
      </c>
      <c r="W383">
        <v>958.9</v>
      </c>
    </row>
    <row r="384" spans="1:23" x14ac:dyDescent="0.25">
      <c r="A384">
        <v>5560</v>
      </c>
      <c r="B384">
        <v>22250</v>
      </c>
      <c r="C384" s="1">
        <v>42961</v>
      </c>
      <c r="G384">
        <v>22.5</v>
      </c>
      <c r="H384">
        <v>14.8</v>
      </c>
      <c r="I384">
        <v>29</v>
      </c>
      <c r="M384">
        <v>0</v>
      </c>
      <c r="N384">
        <v>4.5</v>
      </c>
      <c r="W384">
        <v>2202.8000000000002</v>
      </c>
    </row>
    <row r="385" spans="1:23" x14ac:dyDescent="0.25">
      <c r="A385">
        <v>5560</v>
      </c>
      <c r="B385">
        <v>22250</v>
      </c>
      <c r="C385" s="1">
        <v>42962</v>
      </c>
      <c r="G385">
        <v>22.2</v>
      </c>
      <c r="H385">
        <v>21.3</v>
      </c>
      <c r="I385">
        <v>23.5</v>
      </c>
      <c r="M385">
        <v>2.8</v>
      </c>
      <c r="N385">
        <v>2.2000000000000002</v>
      </c>
      <c r="W385">
        <v>951.9</v>
      </c>
    </row>
    <row r="386" spans="1:23" x14ac:dyDescent="0.25">
      <c r="A386">
        <v>5560</v>
      </c>
      <c r="B386">
        <v>22250</v>
      </c>
      <c r="C386" s="1">
        <v>42963</v>
      </c>
      <c r="G386">
        <v>20.7</v>
      </c>
      <c r="H386">
        <v>16</v>
      </c>
      <c r="I386">
        <v>25.6</v>
      </c>
      <c r="M386">
        <v>0</v>
      </c>
      <c r="N386">
        <v>4.2</v>
      </c>
      <c r="W386">
        <v>1956.7</v>
      </c>
    </row>
    <row r="387" spans="1:23" x14ac:dyDescent="0.25">
      <c r="A387">
        <v>5560</v>
      </c>
      <c r="B387">
        <v>22250</v>
      </c>
      <c r="C387" s="1">
        <v>42964</v>
      </c>
      <c r="G387">
        <v>20.7</v>
      </c>
      <c r="H387">
        <v>16.5</v>
      </c>
      <c r="I387">
        <v>24.3</v>
      </c>
      <c r="M387">
        <v>0</v>
      </c>
      <c r="N387">
        <v>2.6</v>
      </c>
      <c r="W387">
        <v>1053.5</v>
      </c>
    </row>
    <row r="388" spans="1:23" x14ac:dyDescent="0.25">
      <c r="A388">
        <v>5560</v>
      </c>
      <c r="B388">
        <v>22250</v>
      </c>
      <c r="C388" s="1">
        <v>42965</v>
      </c>
      <c r="G388">
        <v>17.899999999999999</v>
      </c>
      <c r="H388">
        <v>18.100000000000001</v>
      </c>
      <c r="I388">
        <v>19.5</v>
      </c>
      <c r="M388">
        <v>11.1</v>
      </c>
      <c r="N388">
        <v>1.4</v>
      </c>
      <c r="W388">
        <v>538.6</v>
      </c>
    </row>
    <row r="389" spans="1:23" x14ac:dyDescent="0.25">
      <c r="A389">
        <v>5560</v>
      </c>
      <c r="B389">
        <v>22250</v>
      </c>
      <c r="C389" s="1">
        <v>42966</v>
      </c>
      <c r="G389">
        <v>15.9</v>
      </c>
      <c r="H389">
        <v>11.7</v>
      </c>
      <c r="I389">
        <v>20.100000000000001</v>
      </c>
      <c r="M389">
        <v>0</v>
      </c>
      <c r="N389">
        <v>3.2</v>
      </c>
      <c r="W389">
        <v>1787.7</v>
      </c>
    </row>
    <row r="390" spans="1:23" x14ac:dyDescent="0.25">
      <c r="A390">
        <v>5560</v>
      </c>
      <c r="B390">
        <v>22250</v>
      </c>
      <c r="C390" s="1">
        <v>42967</v>
      </c>
      <c r="G390">
        <v>17.2</v>
      </c>
      <c r="H390">
        <v>10.9</v>
      </c>
      <c r="I390">
        <v>22.9</v>
      </c>
      <c r="M390">
        <v>0</v>
      </c>
      <c r="N390">
        <v>3.5</v>
      </c>
      <c r="W390">
        <v>1856</v>
      </c>
    </row>
    <row r="391" spans="1:23" x14ac:dyDescent="0.25">
      <c r="A391">
        <v>5560</v>
      </c>
      <c r="B391">
        <v>22250</v>
      </c>
      <c r="C391" s="1">
        <v>42968</v>
      </c>
      <c r="G391">
        <v>20.9</v>
      </c>
      <c r="H391">
        <v>13.7</v>
      </c>
      <c r="I391">
        <v>26.5</v>
      </c>
      <c r="M391">
        <v>0</v>
      </c>
      <c r="N391">
        <v>4.5</v>
      </c>
      <c r="W391">
        <v>2086.9</v>
      </c>
    </row>
    <row r="392" spans="1:23" x14ac:dyDescent="0.25">
      <c r="A392">
        <v>5560</v>
      </c>
      <c r="B392">
        <v>22250</v>
      </c>
      <c r="C392" s="1">
        <v>42969</v>
      </c>
      <c r="G392">
        <v>23.8</v>
      </c>
      <c r="H392">
        <v>16.399999999999999</v>
      </c>
      <c r="I392">
        <v>29.9</v>
      </c>
      <c r="M392">
        <v>0</v>
      </c>
      <c r="N392">
        <v>5.0999999999999996</v>
      </c>
      <c r="W392">
        <v>2151.6999999999998</v>
      </c>
    </row>
    <row r="393" spans="1:23" x14ac:dyDescent="0.25">
      <c r="A393">
        <v>5560</v>
      </c>
      <c r="B393">
        <v>22250</v>
      </c>
      <c r="C393" s="1">
        <v>42970</v>
      </c>
      <c r="G393">
        <v>22</v>
      </c>
      <c r="H393">
        <v>19.7</v>
      </c>
      <c r="I393">
        <v>25.6</v>
      </c>
      <c r="M393">
        <v>0</v>
      </c>
      <c r="N393">
        <v>2.7</v>
      </c>
      <c r="W393">
        <v>932.1</v>
      </c>
    </row>
    <row r="394" spans="1:23" x14ac:dyDescent="0.25">
      <c r="A394">
        <v>5560</v>
      </c>
      <c r="B394">
        <v>22250</v>
      </c>
      <c r="C394" s="1">
        <v>42971</v>
      </c>
      <c r="G394">
        <v>23.5</v>
      </c>
      <c r="H394">
        <v>17.2</v>
      </c>
      <c r="I394">
        <v>29.3</v>
      </c>
      <c r="M394">
        <v>0</v>
      </c>
      <c r="N394">
        <v>3.7</v>
      </c>
      <c r="W394">
        <v>1815.3</v>
      </c>
    </row>
    <row r="395" spans="1:23" x14ac:dyDescent="0.25">
      <c r="A395">
        <v>5560</v>
      </c>
      <c r="B395">
        <v>22250</v>
      </c>
      <c r="C395" s="1">
        <v>42972</v>
      </c>
      <c r="G395">
        <v>23</v>
      </c>
      <c r="H395">
        <v>18.8</v>
      </c>
      <c r="I395">
        <v>28.2</v>
      </c>
      <c r="M395">
        <v>0</v>
      </c>
      <c r="N395">
        <v>3.3</v>
      </c>
      <c r="W395">
        <v>1289.5</v>
      </c>
    </row>
    <row r="396" spans="1:23" x14ac:dyDescent="0.25">
      <c r="A396">
        <v>5560</v>
      </c>
      <c r="B396">
        <v>22250</v>
      </c>
      <c r="C396" s="1">
        <v>42973</v>
      </c>
      <c r="G396">
        <v>23.7</v>
      </c>
      <c r="H396">
        <v>15.5</v>
      </c>
      <c r="I396">
        <v>30.2</v>
      </c>
      <c r="M396">
        <v>0</v>
      </c>
      <c r="N396">
        <v>3.7</v>
      </c>
      <c r="W396">
        <v>1852.6</v>
      </c>
    </row>
    <row r="397" spans="1:23" x14ac:dyDescent="0.25">
      <c r="A397">
        <v>5560</v>
      </c>
      <c r="B397">
        <v>22250</v>
      </c>
      <c r="C397" s="1">
        <v>42974</v>
      </c>
      <c r="G397">
        <v>25.6</v>
      </c>
      <c r="H397">
        <v>17.5</v>
      </c>
      <c r="I397">
        <v>31</v>
      </c>
      <c r="M397">
        <v>0</v>
      </c>
      <c r="N397">
        <v>3.5</v>
      </c>
      <c r="W397">
        <v>1675.5</v>
      </c>
    </row>
    <row r="398" spans="1:23" x14ac:dyDescent="0.25">
      <c r="A398">
        <v>5560</v>
      </c>
      <c r="B398">
        <v>22250</v>
      </c>
      <c r="C398" s="1">
        <v>42975</v>
      </c>
      <c r="G398">
        <v>27.5</v>
      </c>
      <c r="H398">
        <v>22.6</v>
      </c>
      <c r="I398">
        <v>32.6</v>
      </c>
      <c r="M398">
        <v>0</v>
      </c>
      <c r="N398">
        <v>3.8</v>
      </c>
      <c r="W398">
        <v>577.4</v>
      </c>
    </row>
    <row r="399" spans="1:23" x14ac:dyDescent="0.25">
      <c r="A399">
        <v>5560</v>
      </c>
      <c r="B399">
        <v>22250</v>
      </c>
      <c r="C399" s="1">
        <v>42976</v>
      </c>
      <c r="G399">
        <v>26.7</v>
      </c>
      <c r="H399">
        <v>20</v>
      </c>
      <c r="I399">
        <v>34.799999999999997</v>
      </c>
      <c r="M399">
        <v>0</v>
      </c>
      <c r="N399">
        <v>6.9</v>
      </c>
      <c r="W399">
        <v>2317.4</v>
      </c>
    </row>
    <row r="400" spans="1:23" x14ac:dyDescent="0.25">
      <c r="A400">
        <v>5560</v>
      </c>
      <c r="B400">
        <v>22250</v>
      </c>
      <c r="C400" s="1">
        <v>42977</v>
      </c>
      <c r="G400">
        <v>20</v>
      </c>
      <c r="H400">
        <v>19.600000000000001</v>
      </c>
      <c r="I400">
        <v>23.1</v>
      </c>
      <c r="M400">
        <v>1.2</v>
      </c>
      <c r="N400">
        <v>2.5</v>
      </c>
      <c r="W400">
        <v>740.9</v>
      </c>
    </row>
    <row r="401" spans="1:23" x14ac:dyDescent="0.25">
      <c r="A401">
        <v>5560</v>
      </c>
      <c r="B401">
        <v>22250</v>
      </c>
      <c r="C401" s="1">
        <v>42978</v>
      </c>
      <c r="G401">
        <v>16.2</v>
      </c>
      <c r="H401">
        <v>11.4</v>
      </c>
      <c r="I401">
        <v>20.399999999999999</v>
      </c>
      <c r="M401">
        <v>0</v>
      </c>
      <c r="N401">
        <v>2.8</v>
      </c>
      <c r="W401">
        <v>1295</v>
      </c>
    </row>
  </sheetData>
  <mergeCells count="14">
    <mergeCell ref="W1:AB1"/>
    <mergeCell ref="A39:F39"/>
    <mergeCell ref="A343:F343"/>
    <mergeCell ref="D331:F331"/>
    <mergeCell ref="F124:F183"/>
    <mergeCell ref="F40:F123"/>
    <mergeCell ref="G1:L1"/>
    <mergeCell ref="F184:F247"/>
    <mergeCell ref="F248:F268"/>
    <mergeCell ref="F269:F294"/>
    <mergeCell ref="F295:F311"/>
    <mergeCell ref="F312:F330"/>
    <mergeCell ref="M1:P1"/>
    <mergeCell ref="Q1:U1"/>
  </mergeCells>
  <conditionalFormatting sqref="O2">
    <cfRule type="cellIs" dxfId="53" priority="27" operator="lessThan">
      <formula>0</formula>
    </cfRule>
  </conditionalFormatting>
  <conditionalFormatting sqref="O1:O2">
    <cfRule type="cellIs" dxfId="52" priority="26" operator="lessThan">
      <formula>0</formula>
    </cfRule>
  </conditionalFormatting>
  <conditionalFormatting sqref="G1:I2">
    <cfRule type="cellIs" dxfId="51" priority="23" operator="greaterThanOrEqual">
      <formula>25</formula>
    </cfRule>
    <cfRule type="cellIs" dxfId="50" priority="24" operator="between">
      <formula>0</formula>
      <formula>5</formula>
    </cfRule>
    <cfRule type="cellIs" dxfId="49" priority="25" operator="lessThan">
      <formula>0</formula>
    </cfRule>
  </conditionalFormatting>
  <conditionalFormatting sqref="O1:O2">
    <cfRule type="cellIs" dxfId="48" priority="22" operator="lessThan">
      <formula>0</formula>
    </cfRule>
  </conditionalFormatting>
  <conditionalFormatting sqref="W1:W2">
    <cfRule type="cellIs" dxfId="47" priority="21" operator="lessThan">
      <formula>900</formula>
    </cfRule>
  </conditionalFormatting>
  <conditionalFormatting sqref="G1:I1048576">
    <cfRule type="cellIs" dxfId="46" priority="18" operator="greaterThanOrEqual">
      <formula>25</formula>
    </cfRule>
    <cfRule type="cellIs" dxfId="45" priority="19" operator="between">
      <formula>0</formula>
      <formula>5</formula>
    </cfRule>
    <cfRule type="cellIs" dxfId="44" priority="20" operator="lessThanOrEqual">
      <formula>0</formula>
    </cfRule>
  </conditionalFormatting>
  <conditionalFormatting sqref="L41 L49 L53 L51">
    <cfRule type="cellIs" dxfId="43" priority="16" operator="lessThanOrEqual">
      <formula>0</formula>
    </cfRule>
    <cfRule type="cellIs" dxfId="42" priority="17" operator="lessThanOrEqual">
      <formula>5</formula>
    </cfRule>
  </conditionalFormatting>
  <conditionalFormatting sqref="L125 L133 L137 L135">
    <cfRule type="cellIs" dxfId="41" priority="14" operator="lessThanOrEqual">
      <formula>0</formula>
    </cfRule>
    <cfRule type="cellIs" dxfId="40" priority="15" operator="lessThanOrEqual">
      <formula>5</formula>
    </cfRule>
  </conditionalFormatting>
  <conditionalFormatting sqref="L185 L193 L197 L195">
    <cfRule type="cellIs" dxfId="39" priority="12" operator="lessThanOrEqual">
      <formula>0</formula>
    </cfRule>
    <cfRule type="cellIs" dxfId="38" priority="13" operator="lessThanOrEqual">
      <formula>5</formula>
    </cfRule>
  </conditionalFormatting>
  <conditionalFormatting sqref="L249 L261 L259 L257">
    <cfRule type="cellIs" dxfId="37" priority="10" operator="lessThanOrEqual">
      <formula>0</formula>
    </cfRule>
    <cfRule type="cellIs" dxfId="36" priority="11" operator="lessThanOrEqual">
      <formula>5</formula>
    </cfRule>
  </conditionalFormatting>
  <conditionalFormatting sqref="L270 L278 L280 L282">
    <cfRule type="cellIs" dxfId="35" priority="8" operator="lessThanOrEqual">
      <formula>0</formula>
    </cfRule>
    <cfRule type="cellIs" dxfId="34" priority="9" operator="lessThanOrEqual">
      <formula>5</formula>
    </cfRule>
  </conditionalFormatting>
  <conditionalFormatting sqref="L296 L306">
    <cfRule type="cellIs" dxfId="33" priority="6" operator="lessThanOrEqual">
      <formula>0</formula>
    </cfRule>
    <cfRule type="cellIs" dxfId="32" priority="7" operator="lessThanOrEqual">
      <formula>5</formula>
    </cfRule>
  </conditionalFormatting>
  <conditionalFormatting sqref="O1:O1048576">
    <cfRule type="cellIs" dxfId="31" priority="5" operator="lessThan">
      <formula>0</formula>
    </cfRule>
  </conditionalFormatting>
  <conditionalFormatting sqref="T40:T342 U40:U48">
    <cfRule type="cellIs" dxfId="30" priority="4" operator="lessThan">
      <formula>0</formula>
    </cfRule>
  </conditionalFormatting>
  <conditionalFormatting sqref="W40:W342">
    <cfRule type="cellIs" dxfId="29" priority="3" operator="lessThan">
      <formula>900</formula>
    </cfRule>
  </conditionalFormatting>
  <conditionalFormatting sqref="U40:U342">
    <cfRule type="cellIs" dxfId="28" priority="1" operator="equal">
      <formula>0</formula>
    </cfRule>
    <cfRule type="cellIs" dxfId="27" priority="2" operator="lessThanOrEqual">
      <formula>40.7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1"/>
  <sheetViews>
    <sheetView zoomScale="70" zoomScaleNormal="70" workbookViewId="0">
      <pane xSplit="6" ySplit="2" topLeftCell="G280" activePane="bottomRight" state="frozen"/>
      <selection pane="topRight" activeCell="G1" sqref="G1"/>
      <selection pane="bottomLeft" activeCell="A3" sqref="A3"/>
      <selection pane="bottomRight" activeCell="V195" sqref="V195"/>
    </sheetView>
  </sheetViews>
  <sheetFormatPr baseColWidth="10" defaultRowHeight="15" x14ac:dyDescent="0.25"/>
  <cols>
    <col min="12" max="12" width="11.42578125" style="12"/>
  </cols>
  <sheetData>
    <row r="1" spans="1:28" x14ac:dyDescent="0.25">
      <c r="G1" s="44" t="s">
        <v>9</v>
      </c>
      <c r="H1" s="44"/>
      <c r="I1" s="44"/>
      <c r="J1" s="44"/>
      <c r="K1" s="44"/>
      <c r="L1" s="44"/>
      <c r="M1" s="44" t="s">
        <v>10</v>
      </c>
      <c r="N1" s="44"/>
      <c r="O1" s="44"/>
      <c r="P1" s="44"/>
      <c r="Q1" s="44" t="s">
        <v>11</v>
      </c>
      <c r="R1" s="44"/>
      <c r="S1" s="44"/>
      <c r="T1" s="44"/>
      <c r="U1" s="44"/>
      <c r="V1" s="38"/>
      <c r="W1" s="44" t="s">
        <v>12</v>
      </c>
      <c r="X1" s="44"/>
      <c r="Y1" s="44"/>
      <c r="Z1" s="44"/>
      <c r="AA1" s="44"/>
      <c r="AB1" s="44"/>
    </row>
    <row r="2" spans="1:28" x14ac:dyDescent="0.25">
      <c r="A2" s="3" t="s">
        <v>0</v>
      </c>
      <c r="B2" s="3" t="s">
        <v>1</v>
      </c>
      <c r="C2" s="3" t="s">
        <v>2</v>
      </c>
      <c r="D2" s="3" t="s">
        <v>13</v>
      </c>
      <c r="E2" s="3" t="s">
        <v>14</v>
      </c>
      <c r="F2" s="3" t="s">
        <v>15</v>
      </c>
      <c r="G2" s="3" t="s">
        <v>4</v>
      </c>
      <c r="H2" s="3" t="s">
        <v>7</v>
      </c>
      <c r="I2" s="3" t="s">
        <v>8</v>
      </c>
      <c r="J2" s="4" t="s">
        <v>16</v>
      </c>
      <c r="K2" s="4" t="s">
        <v>17</v>
      </c>
      <c r="L2" s="5" t="s">
        <v>18</v>
      </c>
      <c r="M2" s="6" t="s">
        <v>3</v>
      </c>
      <c r="N2" s="6" t="s">
        <v>6</v>
      </c>
      <c r="O2" s="7" t="s">
        <v>19</v>
      </c>
      <c r="P2" s="8" t="s">
        <v>20</v>
      </c>
      <c r="Q2" s="8" t="s">
        <v>21</v>
      </c>
      <c r="R2" s="8" t="s">
        <v>22</v>
      </c>
      <c r="S2" s="8" t="s">
        <v>23</v>
      </c>
      <c r="T2" s="7" t="s">
        <v>24</v>
      </c>
      <c r="U2" s="8" t="s">
        <v>25</v>
      </c>
      <c r="V2" s="5" t="s">
        <v>26</v>
      </c>
      <c r="W2" s="6" t="s">
        <v>5</v>
      </c>
      <c r="X2" s="6" t="s">
        <v>27</v>
      </c>
      <c r="Y2" s="6" t="s">
        <v>28</v>
      </c>
      <c r="Z2" s="6" t="s">
        <v>29</v>
      </c>
      <c r="AA2" s="6" t="s">
        <v>30</v>
      </c>
      <c r="AB2" s="6" t="s">
        <v>31</v>
      </c>
    </row>
    <row r="3" spans="1:28" x14ac:dyDescent="0.25">
      <c r="A3">
        <v>5560</v>
      </c>
      <c r="B3">
        <v>22250</v>
      </c>
      <c r="C3" s="1">
        <v>42582</v>
      </c>
      <c r="G3">
        <v>20</v>
      </c>
      <c r="H3">
        <v>16.3</v>
      </c>
      <c r="I3">
        <v>23.9</v>
      </c>
      <c r="M3">
        <v>0</v>
      </c>
      <c r="N3">
        <v>3.3</v>
      </c>
      <c r="O3">
        <f>M3-N3</f>
        <v>-3.3</v>
      </c>
      <c r="P3">
        <v>0</v>
      </c>
      <c r="W3">
        <v>1207.9000000000001</v>
      </c>
    </row>
    <row r="4" spans="1:28" x14ac:dyDescent="0.25">
      <c r="A4">
        <v>5560</v>
      </c>
      <c r="B4">
        <v>22250</v>
      </c>
      <c r="C4" s="1">
        <v>42583</v>
      </c>
      <c r="G4">
        <v>20.100000000000001</v>
      </c>
      <c r="H4">
        <v>14.8</v>
      </c>
      <c r="I4">
        <v>24.9</v>
      </c>
      <c r="M4">
        <v>0</v>
      </c>
      <c r="N4">
        <v>4.2</v>
      </c>
      <c r="O4">
        <f t="shared" ref="O4:O38" si="0">M4-N4</f>
        <v>-4.2</v>
      </c>
      <c r="P4">
        <v>0</v>
      </c>
      <c r="W4">
        <v>1807.8</v>
      </c>
    </row>
    <row r="5" spans="1:28" x14ac:dyDescent="0.25">
      <c r="A5">
        <v>5560</v>
      </c>
      <c r="B5">
        <v>22250</v>
      </c>
      <c r="C5" s="1">
        <v>42584</v>
      </c>
      <c r="G5">
        <v>19.2</v>
      </c>
      <c r="H5">
        <v>15.9</v>
      </c>
      <c r="I5">
        <v>23.7</v>
      </c>
      <c r="M5">
        <v>0</v>
      </c>
      <c r="N5">
        <v>2.7</v>
      </c>
      <c r="O5">
        <f t="shared" si="0"/>
        <v>-2.7</v>
      </c>
      <c r="P5">
        <v>0</v>
      </c>
      <c r="W5">
        <v>925.6</v>
      </c>
    </row>
    <row r="6" spans="1:28" x14ac:dyDescent="0.25">
      <c r="A6">
        <v>5560</v>
      </c>
      <c r="B6">
        <v>22250</v>
      </c>
      <c r="C6" s="1">
        <v>42585</v>
      </c>
      <c r="G6">
        <v>21.3</v>
      </c>
      <c r="H6">
        <v>14.8</v>
      </c>
      <c r="I6">
        <v>26.9</v>
      </c>
      <c r="M6">
        <v>0.2</v>
      </c>
      <c r="N6">
        <v>4.7</v>
      </c>
      <c r="O6">
        <f t="shared" si="0"/>
        <v>-4.5</v>
      </c>
      <c r="P6">
        <v>0</v>
      </c>
      <c r="W6">
        <v>2029.8</v>
      </c>
    </row>
    <row r="7" spans="1:28" x14ac:dyDescent="0.25">
      <c r="A7">
        <v>5560</v>
      </c>
      <c r="B7">
        <v>22250</v>
      </c>
      <c r="C7" s="1">
        <v>42586</v>
      </c>
      <c r="G7">
        <v>17.600000000000001</v>
      </c>
      <c r="H7">
        <v>17.600000000000001</v>
      </c>
      <c r="I7">
        <v>18.399999999999999</v>
      </c>
      <c r="M7">
        <v>4.3</v>
      </c>
      <c r="N7">
        <v>1.3</v>
      </c>
      <c r="O7">
        <f t="shared" si="0"/>
        <v>3</v>
      </c>
      <c r="P7">
        <f>P6+O7</f>
        <v>3</v>
      </c>
      <c r="W7">
        <v>694.9</v>
      </c>
    </row>
    <row r="8" spans="1:28" x14ac:dyDescent="0.25">
      <c r="A8">
        <v>5560</v>
      </c>
      <c r="B8">
        <v>22250</v>
      </c>
      <c r="C8" s="1">
        <v>42587</v>
      </c>
      <c r="G8">
        <v>17.2</v>
      </c>
      <c r="H8">
        <v>13.5</v>
      </c>
      <c r="I8">
        <v>21.5</v>
      </c>
      <c r="M8">
        <v>0</v>
      </c>
      <c r="N8">
        <v>3</v>
      </c>
      <c r="O8">
        <f t="shared" si="0"/>
        <v>-3</v>
      </c>
      <c r="P8">
        <f t="shared" ref="P8" si="1">P7+O8</f>
        <v>0</v>
      </c>
      <c r="W8">
        <v>1523.5</v>
      </c>
    </row>
    <row r="9" spans="1:28" x14ac:dyDescent="0.25">
      <c r="A9">
        <v>5560</v>
      </c>
      <c r="B9">
        <v>22250</v>
      </c>
      <c r="C9" s="1">
        <v>42588</v>
      </c>
      <c r="G9">
        <v>18.399999999999999</v>
      </c>
      <c r="H9">
        <v>13</v>
      </c>
      <c r="I9">
        <v>24</v>
      </c>
      <c r="M9">
        <v>0</v>
      </c>
      <c r="N9">
        <v>3.8</v>
      </c>
      <c r="O9">
        <f t="shared" si="0"/>
        <v>-3.8</v>
      </c>
      <c r="P9">
        <v>0</v>
      </c>
      <c r="W9">
        <v>1860.1</v>
      </c>
    </row>
    <row r="10" spans="1:28" x14ac:dyDescent="0.25">
      <c r="A10">
        <v>5560</v>
      </c>
      <c r="B10">
        <v>22250</v>
      </c>
      <c r="C10" s="1">
        <v>42589</v>
      </c>
      <c r="G10">
        <v>21.9</v>
      </c>
      <c r="H10">
        <v>15.1</v>
      </c>
      <c r="I10">
        <v>28.5</v>
      </c>
      <c r="M10">
        <v>0</v>
      </c>
      <c r="N10">
        <v>6.1</v>
      </c>
      <c r="O10">
        <f t="shared" si="0"/>
        <v>-6.1</v>
      </c>
      <c r="P10">
        <v>0</v>
      </c>
      <c r="W10">
        <v>2910.5</v>
      </c>
    </row>
    <row r="11" spans="1:28" x14ac:dyDescent="0.25">
      <c r="A11">
        <v>5560</v>
      </c>
      <c r="B11">
        <v>22250</v>
      </c>
      <c r="C11" s="1">
        <v>42590</v>
      </c>
      <c r="G11">
        <v>19.8</v>
      </c>
      <c r="H11">
        <v>17.399999999999999</v>
      </c>
      <c r="I11">
        <v>22.4</v>
      </c>
      <c r="M11">
        <v>0.3</v>
      </c>
      <c r="N11">
        <v>2.4</v>
      </c>
      <c r="O11">
        <f t="shared" si="0"/>
        <v>-2.1</v>
      </c>
      <c r="P11">
        <v>0</v>
      </c>
      <c r="W11">
        <v>1253</v>
      </c>
    </row>
    <row r="12" spans="1:28" x14ac:dyDescent="0.25">
      <c r="A12">
        <v>5560</v>
      </c>
      <c r="B12">
        <v>22250</v>
      </c>
      <c r="C12" s="1">
        <v>42591</v>
      </c>
      <c r="G12">
        <v>17.5</v>
      </c>
      <c r="H12">
        <v>14</v>
      </c>
      <c r="I12">
        <v>21.2</v>
      </c>
      <c r="M12">
        <v>0</v>
      </c>
      <c r="N12">
        <v>4</v>
      </c>
      <c r="O12">
        <f t="shared" si="0"/>
        <v>-4</v>
      </c>
      <c r="P12">
        <v>0</v>
      </c>
      <c r="W12">
        <v>1668.5</v>
      </c>
    </row>
    <row r="13" spans="1:28" x14ac:dyDescent="0.25">
      <c r="A13">
        <v>5560</v>
      </c>
      <c r="B13">
        <v>22250</v>
      </c>
      <c r="C13" s="1">
        <v>42592</v>
      </c>
      <c r="G13">
        <v>14.6</v>
      </c>
      <c r="H13">
        <v>10.199999999999999</v>
      </c>
      <c r="I13">
        <v>18.5</v>
      </c>
      <c r="M13">
        <v>0</v>
      </c>
      <c r="N13">
        <v>2.4</v>
      </c>
      <c r="O13">
        <f t="shared" si="0"/>
        <v>-2.4</v>
      </c>
      <c r="P13">
        <v>0</v>
      </c>
      <c r="W13">
        <v>1183.9000000000001</v>
      </c>
    </row>
    <row r="14" spans="1:28" x14ac:dyDescent="0.25">
      <c r="A14">
        <v>5560</v>
      </c>
      <c r="B14">
        <v>22250</v>
      </c>
      <c r="C14" s="1">
        <v>42593</v>
      </c>
      <c r="G14">
        <v>16.2</v>
      </c>
      <c r="H14">
        <v>10.1</v>
      </c>
      <c r="I14">
        <v>21.8</v>
      </c>
      <c r="M14">
        <v>0</v>
      </c>
      <c r="N14">
        <v>3.5</v>
      </c>
      <c r="O14">
        <f t="shared" si="0"/>
        <v>-3.5</v>
      </c>
      <c r="P14">
        <v>0</v>
      </c>
      <c r="W14">
        <v>1815.4</v>
      </c>
    </row>
    <row r="15" spans="1:28" x14ac:dyDescent="0.25">
      <c r="A15">
        <v>5560</v>
      </c>
      <c r="B15">
        <v>22250</v>
      </c>
      <c r="C15" s="1">
        <v>42594</v>
      </c>
      <c r="G15">
        <v>19.8</v>
      </c>
      <c r="H15">
        <v>12.4</v>
      </c>
      <c r="I15">
        <v>26.9</v>
      </c>
      <c r="M15">
        <v>0</v>
      </c>
      <c r="N15">
        <v>5.7</v>
      </c>
      <c r="O15">
        <f t="shared" si="0"/>
        <v>-5.7</v>
      </c>
      <c r="P15">
        <v>0</v>
      </c>
      <c r="W15">
        <v>2778.4</v>
      </c>
    </row>
    <row r="16" spans="1:28" x14ac:dyDescent="0.25">
      <c r="A16">
        <v>5560</v>
      </c>
      <c r="B16">
        <v>22250</v>
      </c>
      <c r="C16" s="1">
        <v>42595</v>
      </c>
      <c r="G16">
        <v>22.9</v>
      </c>
      <c r="H16">
        <v>15.3</v>
      </c>
      <c r="I16">
        <v>30</v>
      </c>
      <c r="M16">
        <v>0</v>
      </c>
      <c r="N16">
        <v>5.4</v>
      </c>
      <c r="O16">
        <f t="shared" si="0"/>
        <v>-5.4</v>
      </c>
      <c r="P16">
        <v>0</v>
      </c>
      <c r="W16">
        <v>2365.5</v>
      </c>
    </row>
    <row r="17" spans="1:23" x14ac:dyDescent="0.25">
      <c r="A17">
        <v>5560</v>
      </c>
      <c r="B17">
        <v>22250</v>
      </c>
      <c r="C17" s="1">
        <v>42596</v>
      </c>
      <c r="G17">
        <v>24.1</v>
      </c>
      <c r="H17">
        <v>17</v>
      </c>
      <c r="I17">
        <v>30.5</v>
      </c>
      <c r="M17">
        <v>0</v>
      </c>
      <c r="N17">
        <v>7.2</v>
      </c>
      <c r="O17">
        <f t="shared" si="0"/>
        <v>-7.2</v>
      </c>
      <c r="P17">
        <v>0</v>
      </c>
      <c r="W17">
        <v>2792.8</v>
      </c>
    </row>
    <row r="18" spans="1:23" x14ac:dyDescent="0.25">
      <c r="A18">
        <v>5560</v>
      </c>
      <c r="B18">
        <v>22250</v>
      </c>
      <c r="C18" s="1">
        <v>42597</v>
      </c>
      <c r="G18">
        <v>24.1</v>
      </c>
      <c r="H18">
        <v>17.3</v>
      </c>
      <c r="I18">
        <v>30.1</v>
      </c>
      <c r="M18">
        <v>0</v>
      </c>
      <c r="N18">
        <v>5.9</v>
      </c>
      <c r="O18">
        <f t="shared" si="0"/>
        <v>-5.9</v>
      </c>
      <c r="P18">
        <v>0</v>
      </c>
      <c r="W18">
        <v>2076.6</v>
      </c>
    </row>
    <row r="19" spans="1:23" x14ac:dyDescent="0.25">
      <c r="A19">
        <v>5560</v>
      </c>
      <c r="B19">
        <v>22250</v>
      </c>
      <c r="C19" s="1">
        <v>42598</v>
      </c>
      <c r="G19">
        <v>25.2</v>
      </c>
      <c r="H19">
        <v>17.899999999999999</v>
      </c>
      <c r="I19">
        <v>31.3</v>
      </c>
      <c r="M19">
        <v>0</v>
      </c>
      <c r="N19">
        <v>4.9000000000000004</v>
      </c>
      <c r="O19">
        <f t="shared" si="0"/>
        <v>-4.9000000000000004</v>
      </c>
      <c r="P19">
        <v>0</v>
      </c>
      <c r="W19">
        <v>2079.3000000000002</v>
      </c>
    </row>
    <row r="20" spans="1:23" x14ac:dyDescent="0.25">
      <c r="A20">
        <v>5560</v>
      </c>
      <c r="B20">
        <v>22250</v>
      </c>
      <c r="C20" s="1">
        <v>42599</v>
      </c>
      <c r="G20">
        <v>24.3</v>
      </c>
      <c r="H20">
        <v>18.2</v>
      </c>
      <c r="I20">
        <v>30</v>
      </c>
      <c r="M20">
        <v>0</v>
      </c>
      <c r="N20">
        <v>6.5</v>
      </c>
      <c r="O20">
        <f t="shared" si="0"/>
        <v>-6.5</v>
      </c>
      <c r="P20">
        <v>0</v>
      </c>
      <c r="W20">
        <v>2595.6999999999998</v>
      </c>
    </row>
    <row r="21" spans="1:23" x14ac:dyDescent="0.25">
      <c r="A21">
        <v>5560</v>
      </c>
      <c r="B21">
        <v>22250</v>
      </c>
      <c r="C21" s="1">
        <v>42600</v>
      </c>
      <c r="G21">
        <v>20.3</v>
      </c>
      <c r="H21">
        <v>19.3</v>
      </c>
      <c r="I21">
        <v>23</v>
      </c>
      <c r="M21">
        <v>0.2</v>
      </c>
      <c r="N21">
        <v>3</v>
      </c>
      <c r="O21">
        <f t="shared" si="0"/>
        <v>-2.8</v>
      </c>
      <c r="P21">
        <v>0</v>
      </c>
      <c r="W21">
        <v>913</v>
      </c>
    </row>
    <row r="22" spans="1:23" x14ac:dyDescent="0.25">
      <c r="A22">
        <v>5560</v>
      </c>
      <c r="B22">
        <v>22250</v>
      </c>
      <c r="C22" s="1">
        <v>42601</v>
      </c>
      <c r="G22">
        <v>19.100000000000001</v>
      </c>
      <c r="H22">
        <v>13</v>
      </c>
      <c r="I22">
        <v>23.9</v>
      </c>
      <c r="M22">
        <v>0.3</v>
      </c>
      <c r="N22">
        <v>2</v>
      </c>
      <c r="O22">
        <f t="shared" si="0"/>
        <v>-1.7</v>
      </c>
      <c r="P22">
        <v>0</v>
      </c>
      <c r="W22">
        <v>562.9</v>
      </c>
    </row>
    <row r="23" spans="1:23" x14ac:dyDescent="0.25">
      <c r="A23">
        <v>5560</v>
      </c>
      <c r="B23">
        <v>22250</v>
      </c>
      <c r="C23" s="1">
        <v>42602</v>
      </c>
      <c r="G23">
        <v>20</v>
      </c>
      <c r="H23">
        <v>17</v>
      </c>
      <c r="I23">
        <v>24.1</v>
      </c>
      <c r="M23">
        <v>0.1</v>
      </c>
      <c r="N23">
        <v>5.0999999999999996</v>
      </c>
      <c r="O23">
        <f t="shared" si="0"/>
        <v>-5</v>
      </c>
      <c r="P23">
        <v>0</v>
      </c>
      <c r="W23">
        <v>1839.2</v>
      </c>
    </row>
    <row r="24" spans="1:23" x14ac:dyDescent="0.25">
      <c r="A24">
        <v>5560</v>
      </c>
      <c r="B24">
        <v>22250</v>
      </c>
      <c r="C24" s="1">
        <v>42603</v>
      </c>
      <c r="G24">
        <v>17.7</v>
      </c>
      <c r="H24">
        <v>13.8</v>
      </c>
      <c r="I24">
        <v>22.3</v>
      </c>
      <c r="M24">
        <v>0</v>
      </c>
      <c r="N24">
        <v>3.5</v>
      </c>
      <c r="O24">
        <f t="shared" si="0"/>
        <v>-3.5</v>
      </c>
      <c r="P24">
        <v>0</v>
      </c>
      <c r="W24">
        <v>1236.5999999999999</v>
      </c>
    </row>
    <row r="25" spans="1:23" x14ac:dyDescent="0.25">
      <c r="A25">
        <v>5560</v>
      </c>
      <c r="B25">
        <v>22250</v>
      </c>
      <c r="C25" s="1">
        <v>42604</v>
      </c>
      <c r="G25">
        <v>20</v>
      </c>
      <c r="H25">
        <v>12</v>
      </c>
      <c r="I25">
        <v>26.9</v>
      </c>
      <c r="M25">
        <v>0</v>
      </c>
      <c r="N25">
        <v>6</v>
      </c>
      <c r="O25">
        <f t="shared" si="0"/>
        <v>-6</v>
      </c>
      <c r="P25">
        <v>0</v>
      </c>
      <c r="W25">
        <v>2651.3</v>
      </c>
    </row>
    <row r="26" spans="1:23" x14ac:dyDescent="0.25">
      <c r="A26">
        <v>5560</v>
      </c>
      <c r="B26">
        <v>22250</v>
      </c>
      <c r="C26" s="1">
        <v>42605</v>
      </c>
      <c r="G26">
        <v>25.3</v>
      </c>
      <c r="H26">
        <v>17.2</v>
      </c>
      <c r="I26">
        <v>32.299999999999997</v>
      </c>
      <c r="M26">
        <v>0</v>
      </c>
      <c r="N26">
        <v>7.9</v>
      </c>
      <c r="O26">
        <f t="shared" si="0"/>
        <v>-7.9</v>
      </c>
      <c r="P26">
        <v>0</v>
      </c>
      <c r="W26">
        <v>2607.9</v>
      </c>
    </row>
    <row r="27" spans="1:23" x14ac:dyDescent="0.25">
      <c r="A27">
        <v>5560</v>
      </c>
      <c r="B27">
        <v>22250</v>
      </c>
      <c r="C27" s="1">
        <v>42606</v>
      </c>
      <c r="G27">
        <v>27.2</v>
      </c>
      <c r="H27">
        <v>18.100000000000001</v>
      </c>
      <c r="I27">
        <v>34.799999999999997</v>
      </c>
      <c r="M27">
        <v>0</v>
      </c>
      <c r="N27">
        <v>6.9</v>
      </c>
      <c r="O27">
        <f t="shared" si="0"/>
        <v>-6.9</v>
      </c>
      <c r="P27">
        <v>0</v>
      </c>
      <c r="W27">
        <v>2590.3000000000002</v>
      </c>
    </row>
    <row r="28" spans="1:23" x14ac:dyDescent="0.25">
      <c r="A28">
        <v>5560</v>
      </c>
      <c r="B28">
        <v>22250</v>
      </c>
      <c r="C28" s="1">
        <v>42607</v>
      </c>
      <c r="G28">
        <v>27.4</v>
      </c>
      <c r="H28">
        <v>19.8</v>
      </c>
      <c r="I28">
        <v>34</v>
      </c>
      <c r="M28">
        <v>0</v>
      </c>
      <c r="N28">
        <v>6.8</v>
      </c>
      <c r="O28">
        <f t="shared" si="0"/>
        <v>-6.8</v>
      </c>
      <c r="P28">
        <v>0</v>
      </c>
      <c r="W28">
        <v>2575.1</v>
      </c>
    </row>
    <row r="29" spans="1:23" x14ac:dyDescent="0.25">
      <c r="A29">
        <v>5560</v>
      </c>
      <c r="B29">
        <v>22250</v>
      </c>
      <c r="C29" s="1">
        <v>42608</v>
      </c>
      <c r="G29">
        <v>27.2</v>
      </c>
      <c r="H29">
        <v>21.2</v>
      </c>
      <c r="I29">
        <v>34.200000000000003</v>
      </c>
      <c r="M29">
        <v>0</v>
      </c>
      <c r="N29">
        <v>6.8</v>
      </c>
      <c r="O29">
        <f t="shared" si="0"/>
        <v>-6.8</v>
      </c>
      <c r="P29">
        <v>0</v>
      </c>
      <c r="W29">
        <v>2155.9</v>
      </c>
    </row>
    <row r="30" spans="1:23" x14ac:dyDescent="0.25">
      <c r="A30">
        <v>5560</v>
      </c>
      <c r="B30">
        <v>22250</v>
      </c>
      <c r="C30" s="1">
        <v>42609</v>
      </c>
      <c r="G30">
        <v>26.5</v>
      </c>
      <c r="H30">
        <v>19.7</v>
      </c>
      <c r="I30">
        <v>32.799999999999997</v>
      </c>
      <c r="M30">
        <v>0</v>
      </c>
      <c r="N30">
        <v>6.4</v>
      </c>
      <c r="O30">
        <f t="shared" si="0"/>
        <v>-6.4</v>
      </c>
      <c r="P30">
        <v>0</v>
      </c>
      <c r="W30">
        <v>2206.1</v>
      </c>
    </row>
    <row r="31" spans="1:23" x14ac:dyDescent="0.25">
      <c r="A31">
        <v>5560</v>
      </c>
      <c r="B31">
        <v>22250</v>
      </c>
      <c r="C31" s="1">
        <v>42610</v>
      </c>
      <c r="G31">
        <v>22.1</v>
      </c>
      <c r="H31">
        <v>18</v>
      </c>
      <c r="I31">
        <v>26.2</v>
      </c>
      <c r="M31">
        <v>0</v>
      </c>
      <c r="N31">
        <v>4.9000000000000004</v>
      </c>
      <c r="O31">
        <f t="shared" si="0"/>
        <v>-4.9000000000000004</v>
      </c>
      <c r="P31">
        <v>0</v>
      </c>
      <c r="W31">
        <v>1767.5</v>
      </c>
    </row>
    <row r="32" spans="1:23" x14ac:dyDescent="0.25">
      <c r="A32">
        <v>5560</v>
      </c>
      <c r="B32">
        <v>22250</v>
      </c>
      <c r="C32" s="1">
        <v>42611</v>
      </c>
      <c r="G32">
        <v>18.899999999999999</v>
      </c>
      <c r="H32">
        <v>16.100000000000001</v>
      </c>
      <c r="I32">
        <v>22</v>
      </c>
      <c r="M32">
        <v>0</v>
      </c>
      <c r="N32">
        <v>3.2</v>
      </c>
      <c r="O32">
        <f t="shared" si="0"/>
        <v>-3.2</v>
      </c>
      <c r="P32">
        <v>0</v>
      </c>
      <c r="W32">
        <v>1631.6</v>
      </c>
    </row>
    <row r="33" spans="1:28" x14ac:dyDescent="0.25">
      <c r="A33">
        <v>5560</v>
      </c>
      <c r="B33">
        <v>22250</v>
      </c>
      <c r="C33" s="1">
        <v>42612</v>
      </c>
      <c r="G33">
        <v>20.3</v>
      </c>
      <c r="H33">
        <v>14.8</v>
      </c>
      <c r="I33">
        <v>25.1</v>
      </c>
      <c r="M33">
        <v>0</v>
      </c>
      <c r="N33">
        <v>3.9</v>
      </c>
      <c r="O33">
        <f t="shared" si="0"/>
        <v>-3.9</v>
      </c>
      <c r="P33">
        <v>0</v>
      </c>
      <c r="W33">
        <v>1738.7</v>
      </c>
    </row>
    <row r="34" spans="1:28" x14ac:dyDescent="0.25">
      <c r="A34">
        <v>5560</v>
      </c>
      <c r="B34">
        <v>22250</v>
      </c>
      <c r="C34" s="1">
        <v>42613</v>
      </c>
      <c r="G34">
        <v>22.2</v>
      </c>
      <c r="H34">
        <v>17.3</v>
      </c>
      <c r="I34">
        <v>27.9</v>
      </c>
      <c r="M34">
        <v>0</v>
      </c>
      <c r="N34">
        <v>3.3</v>
      </c>
      <c r="O34">
        <f t="shared" si="0"/>
        <v>-3.3</v>
      </c>
      <c r="P34">
        <v>0</v>
      </c>
      <c r="W34">
        <v>975</v>
      </c>
    </row>
    <row r="35" spans="1:28" x14ac:dyDescent="0.25">
      <c r="A35">
        <v>5560</v>
      </c>
      <c r="B35">
        <v>22250</v>
      </c>
      <c r="C35" s="1">
        <v>42614</v>
      </c>
      <c r="G35">
        <v>21.5</v>
      </c>
      <c r="H35">
        <v>13.1</v>
      </c>
      <c r="I35">
        <v>28.8</v>
      </c>
      <c r="M35">
        <v>0</v>
      </c>
      <c r="N35">
        <v>3.9</v>
      </c>
      <c r="O35">
        <f t="shared" si="0"/>
        <v>-3.9</v>
      </c>
      <c r="P35">
        <v>0</v>
      </c>
      <c r="W35">
        <v>1804.3</v>
      </c>
    </row>
    <row r="36" spans="1:28" x14ac:dyDescent="0.25">
      <c r="A36">
        <v>5560</v>
      </c>
      <c r="B36">
        <v>22250</v>
      </c>
      <c r="C36" s="1">
        <v>42615</v>
      </c>
      <c r="G36">
        <v>22.2</v>
      </c>
      <c r="H36">
        <v>14.2</v>
      </c>
      <c r="I36">
        <v>29.6</v>
      </c>
      <c r="M36">
        <v>0</v>
      </c>
      <c r="N36">
        <v>4.2</v>
      </c>
      <c r="O36">
        <f t="shared" si="0"/>
        <v>-4.2</v>
      </c>
      <c r="P36">
        <v>0</v>
      </c>
      <c r="W36">
        <v>1752.8</v>
      </c>
    </row>
    <row r="37" spans="1:28" x14ac:dyDescent="0.25">
      <c r="A37">
        <v>5560</v>
      </c>
      <c r="B37">
        <v>22250</v>
      </c>
      <c r="C37" s="1">
        <v>42616</v>
      </c>
      <c r="G37">
        <v>21.9</v>
      </c>
      <c r="H37">
        <v>14.6</v>
      </c>
      <c r="I37">
        <v>27.9</v>
      </c>
      <c r="M37">
        <v>0</v>
      </c>
      <c r="N37">
        <v>3.7</v>
      </c>
      <c r="O37">
        <f t="shared" si="0"/>
        <v>-3.7</v>
      </c>
      <c r="P37">
        <v>0</v>
      </c>
      <c r="V37">
        <v>122.1</v>
      </c>
      <c r="W37">
        <v>1316.2</v>
      </c>
    </row>
    <row r="38" spans="1:28" x14ac:dyDescent="0.25">
      <c r="A38">
        <v>5560</v>
      </c>
      <c r="B38">
        <v>22250</v>
      </c>
      <c r="C38" s="1">
        <v>42617</v>
      </c>
      <c r="G38">
        <v>20.5</v>
      </c>
      <c r="H38">
        <v>16.5</v>
      </c>
      <c r="I38">
        <v>24.5</v>
      </c>
      <c r="M38">
        <v>0</v>
      </c>
      <c r="N38">
        <v>2.4</v>
      </c>
      <c r="O38">
        <f t="shared" si="0"/>
        <v>-2.4</v>
      </c>
      <c r="P38">
        <v>0</v>
      </c>
      <c r="V38">
        <f>V37/3</f>
        <v>40.699999999999996</v>
      </c>
      <c r="W38">
        <v>574</v>
      </c>
    </row>
    <row r="39" spans="1:28" s="9" customFormat="1" x14ac:dyDescent="0.25">
      <c r="A39" s="45" t="s">
        <v>32</v>
      </c>
      <c r="B39" s="45"/>
      <c r="C39" s="45"/>
      <c r="D39" s="45"/>
      <c r="E39" s="45"/>
      <c r="F39" s="45"/>
      <c r="L39" s="22"/>
    </row>
    <row r="40" spans="1:28" x14ac:dyDescent="0.25">
      <c r="A40">
        <v>5560</v>
      </c>
      <c r="B40">
        <v>22250</v>
      </c>
      <c r="C40" s="1">
        <v>42618</v>
      </c>
      <c r="F40" s="49" t="s">
        <v>52</v>
      </c>
      <c r="G40">
        <v>21</v>
      </c>
      <c r="H40">
        <v>18.8</v>
      </c>
      <c r="I40">
        <v>23.4</v>
      </c>
      <c r="J40">
        <f>G40</f>
        <v>21</v>
      </c>
      <c r="L40" s="11" t="s">
        <v>38</v>
      </c>
      <c r="M40">
        <v>0</v>
      </c>
      <c r="N40">
        <v>1.9</v>
      </c>
      <c r="O40">
        <f>M40-N40</f>
        <v>-1.9</v>
      </c>
      <c r="P40">
        <v>0</v>
      </c>
      <c r="Q40">
        <v>1</v>
      </c>
      <c r="R40">
        <v>0.35</v>
      </c>
      <c r="S40">
        <f>R40*N40</f>
        <v>0.66499999999999992</v>
      </c>
      <c r="T40" s="24">
        <f>M40-S40</f>
        <v>-0.66499999999999992</v>
      </c>
      <c r="U40" s="24">
        <v>0</v>
      </c>
      <c r="V40" s="25" t="s">
        <v>53</v>
      </c>
      <c r="W40">
        <v>594.4</v>
      </c>
      <c r="Y40">
        <f>W40</f>
        <v>594.4</v>
      </c>
      <c r="AA40">
        <v>12.887659111420684</v>
      </c>
      <c r="AB40" s="25" t="s">
        <v>58</v>
      </c>
    </row>
    <row r="41" spans="1:28" x14ac:dyDescent="0.25">
      <c r="A41">
        <v>5560</v>
      </c>
      <c r="B41">
        <v>22250</v>
      </c>
      <c r="C41" s="1">
        <v>42619</v>
      </c>
      <c r="F41" s="49"/>
      <c r="G41">
        <v>21.3</v>
      </c>
      <c r="H41">
        <v>18</v>
      </c>
      <c r="I41">
        <v>25.1</v>
      </c>
      <c r="J41">
        <f>J40+G41</f>
        <v>42.3</v>
      </c>
      <c r="L41" s="12">
        <v>992.9</v>
      </c>
      <c r="M41">
        <v>0</v>
      </c>
      <c r="N41">
        <v>2.9</v>
      </c>
      <c r="O41">
        <f t="shared" ref="O41:O104" si="2">M41-N41</f>
        <v>-2.9</v>
      </c>
      <c r="P41">
        <v>0</v>
      </c>
      <c r="Q41">
        <v>2</v>
      </c>
      <c r="R41">
        <v>0.35</v>
      </c>
      <c r="S41">
        <f t="shared" ref="S41:S104" si="3">R41*N41</f>
        <v>1.0149999999999999</v>
      </c>
      <c r="T41" s="24">
        <f t="shared" ref="T41:T104" si="4">M41-S41</f>
        <v>-1.0149999999999999</v>
      </c>
      <c r="U41" s="24">
        <v>0</v>
      </c>
      <c r="V41">
        <v>9</v>
      </c>
      <c r="W41">
        <v>1149</v>
      </c>
      <c r="Y41">
        <f>Y40+W41</f>
        <v>1743.4</v>
      </c>
      <c r="AA41">
        <v>12.830999627129868</v>
      </c>
      <c r="AB41">
        <v>63630.3</v>
      </c>
    </row>
    <row r="42" spans="1:28" x14ac:dyDescent="0.25">
      <c r="A42">
        <v>5560</v>
      </c>
      <c r="B42">
        <v>22250</v>
      </c>
      <c r="C42" s="1">
        <v>42620</v>
      </c>
      <c r="F42" s="49"/>
      <c r="G42">
        <v>20.5</v>
      </c>
      <c r="H42">
        <v>13.6</v>
      </c>
      <c r="I42">
        <v>26.3</v>
      </c>
      <c r="J42">
        <f t="shared" ref="J42:J105" si="5">J41+G42</f>
        <v>62.8</v>
      </c>
      <c r="L42" s="11" t="s">
        <v>39</v>
      </c>
      <c r="M42">
        <v>0</v>
      </c>
      <c r="N42">
        <v>4.9000000000000004</v>
      </c>
      <c r="O42">
        <f t="shared" si="2"/>
        <v>-4.9000000000000004</v>
      </c>
      <c r="P42">
        <v>0</v>
      </c>
      <c r="Q42">
        <v>3</v>
      </c>
      <c r="R42">
        <v>0.35</v>
      </c>
      <c r="S42">
        <f t="shared" si="3"/>
        <v>1.7150000000000001</v>
      </c>
      <c r="T42" s="24">
        <f t="shared" si="4"/>
        <v>-1.7150000000000001</v>
      </c>
      <c r="U42" s="24">
        <v>0</v>
      </c>
      <c r="V42" s="25" t="s">
        <v>54</v>
      </c>
      <c r="W42">
        <v>1989.1</v>
      </c>
      <c r="Y42">
        <f t="shared" ref="Y42:Y105" si="6">Y41+W42</f>
        <v>3732.5</v>
      </c>
      <c r="AA42">
        <v>12.77421577561465</v>
      </c>
      <c r="AB42" s="25" t="s">
        <v>59</v>
      </c>
    </row>
    <row r="43" spans="1:28" x14ac:dyDescent="0.25">
      <c r="A43">
        <v>5560</v>
      </c>
      <c r="B43">
        <v>22250</v>
      </c>
      <c r="C43" s="1">
        <v>42621</v>
      </c>
      <c r="F43" s="49"/>
      <c r="G43">
        <v>20.399999999999999</v>
      </c>
      <c r="H43">
        <v>15.7</v>
      </c>
      <c r="I43">
        <v>23.8</v>
      </c>
      <c r="J43">
        <f t="shared" si="5"/>
        <v>83.199999999999989</v>
      </c>
      <c r="L43" s="12">
        <f>AVERAGE(G40:G123)</f>
        <v>11.8202380952381</v>
      </c>
      <c r="M43">
        <v>0</v>
      </c>
      <c r="N43">
        <v>3.7</v>
      </c>
      <c r="O43">
        <f t="shared" si="2"/>
        <v>-3.7</v>
      </c>
      <c r="P43">
        <v>0</v>
      </c>
      <c r="Q43">
        <v>4</v>
      </c>
      <c r="R43">
        <v>0.35</v>
      </c>
      <c r="S43">
        <f t="shared" si="3"/>
        <v>1.2949999999999999</v>
      </c>
      <c r="T43" s="24">
        <f t="shared" si="4"/>
        <v>-1.2949999999999999</v>
      </c>
      <c r="U43" s="24">
        <v>0</v>
      </c>
      <c r="V43">
        <v>39</v>
      </c>
      <c r="W43">
        <v>1121.0999999999999</v>
      </c>
      <c r="Y43">
        <f t="shared" si="6"/>
        <v>4853.6000000000004</v>
      </c>
      <c r="AA43">
        <v>12.717317026331083</v>
      </c>
      <c r="AB43">
        <f>(AB41/100)/L41</f>
        <v>0.64085305670258841</v>
      </c>
    </row>
    <row r="44" spans="1:28" x14ac:dyDescent="0.25">
      <c r="A44">
        <v>5560</v>
      </c>
      <c r="B44">
        <v>22250</v>
      </c>
      <c r="C44" s="1">
        <v>42622</v>
      </c>
      <c r="F44" s="49"/>
      <c r="G44">
        <v>18.399999999999999</v>
      </c>
      <c r="H44">
        <v>10</v>
      </c>
      <c r="I44">
        <v>25.2</v>
      </c>
      <c r="J44">
        <f t="shared" si="5"/>
        <v>101.6</v>
      </c>
      <c r="L44" s="11" t="s">
        <v>40</v>
      </c>
      <c r="M44">
        <v>0</v>
      </c>
      <c r="N44">
        <v>3.8</v>
      </c>
      <c r="O44">
        <f t="shared" si="2"/>
        <v>-3.8</v>
      </c>
      <c r="P44">
        <v>0</v>
      </c>
      <c r="Q44">
        <v>5</v>
      </c>
      <c r="R44">
        <v>0.35</v>
      </c>
      <c r="S44">
        <f t="shared" si="3"/>
        <v>1.3299999999999998</v>
      </c>
      <c r="T44" s="24">
        <f t="shared" si="4"/>
        <v>-1.3299999999999998</v>
      </c>
      <c r="U44" s="24">
        <v>0</v>
      </c>
      <c r="V44" s="25" t="s">
        <v>55</v>
      </c>
      <c r="W44">
        <v>1836.1</v>
      </c>
      <c r="Y44">
        <f t="shared" si="6"/>
        <v>6689.7000000000007</v>
      </c>
      <c r="AA44">
        <v>12.660312659289341</v>
      </c>
      <c r="AB44" s="25" t="s">
        <v>60</v>
      </c>
    </row>
    <row r="45" spans="1:28" x14ac:dyDescent="0.25">
      <c r="A45">
        <v>5560</v>
      </c>
      <c r="B45">
        <v>22250</v>
      </c>
      <c r="C45" s="1">
        <v>42623</v>
      </c>
      <c r="F45" s="49"/>
      <c r="G45">
        <v>18.600000000000001</v>
      </c>
      <c r="H45">
        <v>10.8</v>
      </c>
      <c r="I45">
        <v>24.8</v>
      </c>
      <c r="J45">
        <f t="shared" si="5"/>
        <v>120.19999999999999</v>
      </c>
      <c r="L45" s="13">
        <f>MIN(H40:H123)</f>
        <v>-1</v>
      </c>
      <c r="M45">
        <v>0</v>
      </c>
      <c r="N45">
        <v>3.4</v>
      </c>
      <c r="O45">
        <f t="shared" si="2"/>
        <v>-3.4</v>
      </c>
      <c r="P45">
        <v>0</v>
      </c>
      <c r="Q45">
        <v>6</v>
      </c>
      <c r="R45">
        <f>0.35+((Q45-5)/79)*(1-0.35)</f>
        <v>0.35822784810126579</v>
      </c>
      <c r="S45">
        <f t="shared" si="3"/>
        <v>1.2179746835443037</v>
      </c>
      <c r="T45" s="24">
        <f t="shared" si="4"/>
        <v>-1.2179746835443037</v>
      </c>
      <c r="U45" s="24">
        <v>0</v>
      </c>
      <c r="V45">
        <v>0</v>
      </c>
      <c r="W45">
        <v>1740.5</v>
      </c>
      <c r="Y45">
        <f t="shared" si="6"/>
        <v>8430.2000000000007</v>
      </c>
      <c r="AA45">
        <v>12.603211778403486</v>
      </c>
      <c r="AB45">
        <v>51</v>
      </c>
    </row>
    <row r="46" spans="1:28" x14ac:dyDescent="0.25">
      <c r="A46">
        <v>5560</v>
      </c>
      <c r="B46">
        <v>22250</v>
      </c>
      <c r="C46" s="1">
        <v>42624</v>
      </c>
      <c r="F46" s="49"/>
      <c r="G46">
        <v>21.1</v>
      </c>
      <c r="H46">
        <v>15.8</v>
      </c>
      <c r="I46">
        <v>26.3</v>
      </c>
      <c r="J46">
        <f t="shared" si="5"/>
        <v>141.29999999999998</v>
      </c>
      <c r="L46" s="11" t="s">
        <v>41</v>
      </c>
      <c r="M46">
        <v>0</v>
      </c>
      <c r="N46">
        <v>2.4</v>
      </c>
      <c r="O46">
        <f t="shared" si="2"/>
        <v>-2.4</v>
      </c>
      <c r="P46">
        <v>0</v>
      </c>
      <c r="Q46">
        <v>7</v>
      </c>
      <c r="R46">
        <f t="shared" ref="R46:R109" si="7">0.35+((Q46-5)/79)*(1-0.35)</f>
        <v>0.3664556962025316</v>
      </c>
      <c r="S46">
        <f t="shared" si="3"/>
        <v>0.87949367088607577</v>
      </c>
      <c r="T46" s="24">
        <f t="shared" si="4"/>
        <v>-0.87949367088607577</v>
      </c>
      <c r="U46" s="24">
        <v>0</v>
      </c>
      <c r="V46" s="25" t="s">
        <v>56</v>
      </c>
      <c r="W46">
        <v>1222.0999999999999</v>
      </c>
      <c r="Y46">
        <f t="shared" si="6"/>
        <v>9652.3000000000011</v>
      </c>
      <c r="AA46">
        <v>12.546023325011022</v>
      </c>
    </row>
    <row r="47" spans="1:28" x14ac:dyDescent="0.25">
      <c r="A47">
        <v>5560</v>
      </c>
      <c r="B47">
        <v>22250</v>
      </c>
      <c r="C47" s="1">
        <v>42625</v>
      </c>
      <c r="F47" s="49"/>
      <c r="G47">
        <v>23.2</v>
      </c>
      <c r="H47">
        <v>15.3</v>
      </c>
      <c r="I47">
        <v>30.3</v>
      </c>
      <c r="J47">
        <f t="shared" si="5"/>
        <v>164.49999999999997</v>
      </c>
      <c r="L47" s="12">
        <f>MAX(I40:I123)</f>
        <v>32.4</v>
      </c>
      <c r="M47">
        <v>0</v>
      </c>
      <c r="N47">
        <v>3.4</v>
      </c>
      <c r="O47">
        <f t="shared" si="2"/>
        <v>-3.4</v>
      </c>
      <c r="P47">
        <v>0</v>
      </c>
      <c r="Q47">
        <v>8</v>
      </c>
      <c r="R47">
        <f t="shared" si="7"/>
        <v>0.37468354430379747</v>
      </c>
      <c r="S47">
        <f t="shared" si="3"/>
        <v>1.2739240506329113</v>
      </c>
      <c r="T47" s="24">
        <f t="shared" si="4"/>
        <v>-1.2739240506329113</v>
      </c>
      <c r="U47" s="24">
        <v>0</v>
      </c>
      <c r="V47" s="24">
        <f>MAX(U40:U123)</f>
        <v>111.76765822784813</v>
      </c>
      <c r="W47">
        <v>1368.4</v>
      </c>
      <c r="Y47">
        <f t="shared" si="6"/>
        <v>11020.7</v>
      </c>
      <c r="AA47">
        <v>12.488756091543813</v>
      </c>
    </row>
    <row r="48" spans="1:28" x14ac:dyDescent="0.25">
      <c r="A48">
        <v>5560</v>
      </c>
      <c r="B48">
        <v>22250</v>
      </c>
      <c r="C48" s="1">
        <v>42626</v>
      </c>
      <c r="F48" s="49"/>
      <c r="G48">
        <v>24.8</v>
      </c>
      <c r="H48">
        <v>18.399999999999999</v>
      </c>
      <c r="I48">
        <v>32.4</v>
      </c>
      <c r="J48">
        <f t="shared" si="5"/>
        <v>189.29999999999998</v>
      </c>
      <c r="L48" s="11" t="s">
        <v>42</v>
      </c>
      <c r="M48">
        <v>0</v>
      </c>
      <c r="N48">
        <v>4.5</v>
      </c>
      <c r="O48">
        <f t="shared" si="2"/>
        <v>-4.5</v>
      </c>
      <c r="P48">
        <v>0</v>
      </c>
      <c r="Q48">
        <v>9</v>
      </c>
      <c r="R48">
        <f t="shared" si="7"/>
        <v>0.38291139240506328</v>
      </c>
      <c r="S48">
        <f t="shared" si="3"/>
        <v>1.7231012658227847</v>
      </c>
      <c r="T48" s="24">
        <f t="shared" si="4"/>
        <v>-1.7231012658227847</v>
      </c>
      <c r="U48" s="24">
        <v>0</v>
      </c>
      <c r="V48" s="25" t="s">
        <v>57</v>
      </c>
      <c r="W48">
        <v>1540.3</v>
      </c>
      <c r="Y48">
        <f t="shared" si="6"/>
        <v>12561</v>
      </c>
      <c r="AA48">
        <v>12.43141873533316</v>
      </c>
    </row>
    <row r="49" spans="1:27" x14ac:dyDescent="0.25">
      <c r="A49">
        <v>5560</v>
      </c>
      <c r="B49">
        <v>22250</v>
      </c>
      <c r="C49" s="1">
        <v>42627</v>
      </c>
      <c r="F49" s="49"/>
      <c r="G49">
        <v>16.600000000000001</v>
      </c>
      <c r="H49">
        <v>15.6</v>
      </c>
      <c r="I49">
        <v>17.600000000000001</v>
      </c>
      <c r="J49">
        <f t="shared" si="5"/>
        <v>205.89999999999998</v>
      </c>
      <c r="L49" s="12">
        <v>8</v>
      </c>
      <c r="M49">
        <v>14.7</v>
      </c>
      <c r="N49">
        <v>1.3</v>
      </c>
      <c r="O49">
        <f t="shared" si="2"/>
        <v>13.399999999999999</v>
      </c>
      <c r="P49">
        <f t="shared" ref="P49:P112" si="8">P48+O49</f>
        <v>13.399999999999999</v>
      </c>
      <c r="Q49">
        <v>10</v>
      </c>
      <c r="R49">
        <f t="shared" si="7"/>
        <v>0.39113924050632909</v>
      </c>
      <c r="S49">
        <f t="shared" si="3"/>
        <v>0.50848101265822787</v>
      </c>
      <c r="T49" s="24">
        <f t="shared" si="4"/>
        <v>14.191518987341771</v>
      </c>
      <c r="U49" s="24">
        <f>MIN(122.1,U48+T49)</f>
        <v>14.191518987341771</v>
      </c>
      <c r="V49" s="24">
        <f>AVERAGE(U40:U123)</f>
        <v>38.155864978902969</v>
      </c>
      <c r="W49">
        <v>754.8</v>
      </c>
      <c r="Y49">
        <f t="shared" si="6"/>
        <v>13315.8</v>
      </c>
      <c r="AA49">
        <v>12.374019792532945</v>
      </c>
    </row>
    <row r="50" spans="1:27" x14ac:dyDescent="0.25">
      <c r="A50">
        <v>5560</v>
      </c>
      <c r="B50">
        <v>22250</v>
      </c>
      <c r="C50" s="1">
        <v>42628</v>
      </c>
      <c r="F50" s="49"/>
      <c r="G50">
        <v>16</v>
      </c>
      <c r="H50">
        <v>13.6</v>
      </c>
      <c r="I50">
        <v>18.600000000000001</v>
      </c>
      <c r="J50">
        <f t="shared" si="5"/>
        <v>221.89999999999998</v>
      </c>
      <c r="L50" s="11" t="s">
        <v>43</v>
      </c>
      <c r="M50">
        <v>0.9</v>
      </c>
      <c r="N50">
        <v>2.1</v>
      </c>
      <c r="O50">
        <f t="shared" si="2"/>
        <v>-1.2000000000000002</v>
      </c>
      <c r="P50">
        <f t="shared" si="8"/>
        <v>12.2</v>
      </c>
      <c r="Q50">
        <v>11</v>
      </c>
      <c r="R50">
        <f t="shared" si="7"/>
        <v>0.3993670886075949</v>
      </c>
      <c r="S50">
        <f t="shared" si="3"/>
        <v>0.83867088607594931</v>
      </c>
      <c r="T50" s="24">
        <f t="shared" si="4"/>
        <v>6.1329113924050715E-2</v>
      </c>
      <c r="U50" s="24">
        <f t="shared" ref="U50:U113" si="9">MIN(122.1,U49+T50)</f>
        <v>14.252848101265823</v>
      </c>
      <c r="W50">
        <v>1165</v>
      </c>
      <c r="Y50">
        <f t="shared" si="6"/>
        <v>14480.8</v>
      </c>
      <c r="AA50">
        <v>12.316567692145647</v>
      </c>
    </row>
    <row r="51" spans="1:27" x14ac:dyDescent="0.25">
      <c r="A51">
        <v>5560</v>
      </c>
      <c r="B51">
        <v>22250</v>
      </c>
      <c r="C51" s="1">
        <v>42629</v>
      </c>
      <c r="F51" s="49"/>
      <c r="G51">
        <v>13.4</v>
      </c>
      <c r="H51">
        <v>10.199999999999999</v>
      </c>
      <c r="I51">
        <v>16.2</v>
      </c>
      <c r="J51">
        <f t="shared" si="5"/>
        <v>235.29999999999998</v>
      </c>
      <c r="L51" s="12">
        <v>20</v>
      </c>
      <c r="M51">
        <v>6.2</v>
      </c>
      <c r="N51">
        <v>0.9</v>
      </c>
      <c r="O51">
        <f t="shared" si="2"/>
        <v>5.3</v>
      </c>
      <c r="P51">
        <f t="shared" si="8"/>
        <v>17.5</v>
      </c>
      <c r="Q51">
        <v>12</v>
      </c>
      <c r="R51">
        <f t="shared" si="7"/>
        <v>0.40759493670886071</v>
      </c>
      <c r="S51">
        <f t="shared" si="3"/>
        <v>0.36683544303797466</v>
      </c>
      <c r="T51" s="24">
        <f t="shared" si="4"/>
        <v>5.8331645569620258</v>
      </c>
      <c r="U51" s="24">
        <f t="shared" si="9"/>
        <v>20.086012658227848</v>
      </c>
      <c r="V51">
        <f>(V49*100)/122.1</f>
        <v>31.2496846674062</v>
      </c>
      <c r="W51">
        <v>625.5</v>
      </c>
      <c r="Y51">
        <f t="shared" si="6"/>
        <v>15106.3</v>
      </c>
      <c r="AA51">
        <v>12.259070770137125</v>
      </c>
    </row>
    <row r="52" spans="1:27" x14ac:dyDescent="0.25">
      <c r="A52">
        <v>5560</v>
      </c>
      <c r="B52">
        <v>22250</v>
      </c>
      <c r="C52" s="1">
        <v>42630</v>
      </c>
      <c r="F52" s="49"/>
      <c r="G52">
        <v>14.6</v>
      </c>
      <c r="H52">
        <v>11.9</v>
      </c>
      <c r="I52">
        <v>17.399999999999999</v>
      </c>
      <c r="J52">
        <f t="shared" si="5"/>
        <v>249.89999999999998</v>
      </c>
      <c r="L52" s="11" t="s">
        <v>44</v>
      </c>
      <c r="M52">
        <v>0.6</v>
      </c>
      <c r="N52">
        <v>2.2999999999999998</v>
      </c>
      <c r="O52">
        <f t="shared" si="2"/>
        <v>-1.6999999999999997</v>
      </c>
      <c r="P52">
        <f t="shared" si="8"/>
        <v>15.8</v>
      </c>
      <c r="Q52">
        <v>13</v>
      </c>
      <c r="R52">
        <f t="shared" si="7"/>
        <v>0.41582278481012658</v>
      </c>
      <c r="S52">
        <f t="shared" si="3"/>
        <v>0.95639240506329104</v>
      </c>
      <c r="T52" s="24">
        <f t="shared" si="4"/>
        <v>-0.35639240506329106</v>
      </c>
      <c r="U52" s="24">
        <f t="shared" si="9"/>
        <v>19.729620253164555</v>
      </c>
      <c r="W52">
        <v>1226.4000000000001</v>
      </c>
      <c r="Y52">
        <f t="shared" si="6"/>
        <v>16332.699999999999</v>
      </c>
      <c r="AA52">
        <v>12.201537283626632</v>
      </c>
    </row>
    <row r="53" spans="1:27" x14ac:dyDescent="0.25">
      <c r="A53">
        <v>5560</v>
      </c>
      <c r="B53">
        <v>22250</v>
      </c>
      <c r="C53" s="1">
        <v>42631</v>
      </c>
      <c r="F53" s="49"/>
      <c r="G53">
        <v>15.4</v>
      </c>
      <c r="H53">
        <v>12.9</v>
      </c>
      <c r="I53">
        <v>17.3</v>
      </c>
      <c r="J53">
        <f t="shared" si="5"/>
        <v>265.29999999999995</v>
      </c>
      <c r="L53" s="12">
        <v>2</v>
      </c>
      <c r="M53">
        <v>0</v>
      </c>
      <c r="N53">
        <v>0.8</v>
      </c>
      <c r="O53">
        <f t="shared" si="2"/>
        <v>-0.8</v>
      </c>
      <c r="P53">
        <f t="shared" si="8"/>
        <v>15</v>
      </c>
      <c r="Q53">
        <v>14</v>
      </c>
      <c r="R53">
        <f t="shared" si="7"/>
        <v>0.42405063291139239</v>
      </c>
      <c r="S53">
        <f t="shared" si="3"/>
        <v>0.33924050632911396</v>
      </c>
      <c r="T53" s="24">
        <f t="shared" si="4"/>
        <v>-0.33924050632911396</v>
      </c>
      <c r="U53" s="24">
        <f t="shared" si="9"/>
        <v>19.390379746835443</v>
      </c>
      <c r="W53">
        <v>409.8</v>
      </c>
      <c r="Y53">
        <f t="shared" si="6"/>
        <v>16742.5</v>
      </c>
      <c r="AA53">
        <v>12.14397542513937</v>
      </c>
    </row>
    <row r="54" spans="1:27" x14ac:dyDescent="0.25">
      <c r="A54">
        <v>5560</v>
      </c>
      <c r="B54">
        <v>22250</v>
      </c>
      <c r="C54" s="1">
        <v>42632</v>
      </c>
      <c r="F54" s="49"/>
      <c r="G54">
        <v>16.3</v>
      </c>
      <c r="H54">
        <v>13.6</v>
      </c>
      <c r="I54">
        <v>19.2</v>
      </c>
      <c r="J54">
        <f t="shared" si="5"/>
        <v>281.59999999999997</v>
      </c>
      <c r="M54">
        <v>0</v>
      </c>
      <c r="N54">
        <v>2.2000000000000002</v>
      </c>
      <c r="O54">
        <f t="shared" si="2"/>
        <v>-2.2000000000000002</v>
      </c>
      <c r="P54">
        <f t="shared" si="8"/>
        <v>12.8</v>
      </c>
      <c r="Q54">
        <v>15</v>
      </c>
      <c r="R54">
        <f t="shared" si="7"/>
        <v>0.4322784810126582</v>
      </c>
      <c r="S54">
        <f t="shared" si="3"/>
        <v>0.95101265822784808</v>
      </c>
      <c r="T54" s="24">
        <f t="shared" si="4"/>
        <v>-0.95101265822784808</v>
      </c>
      <c r="U54" s="24">
        <f t="shared" si="9"/>
        <v>18.439367088607593</v>
      </c>
      <c r="W54">
        <v>1334.5</v>
      </c>
      <c r="Y54">
        <f t="shared" si="6"/>
        <v>18077</v>
      </c>
      <c r="AA54">
        <v>12.086393336909399</v>
      </c>
    </row>
    <row r="55" spans="1:27" x14ac:dyDescent="0.25">
      <c r="A55">
        <v>5560</v>
      </c>
      <c r="B55">
        <v>22250</v>
      </c>
      <c r="C55" s="1">
        <v>42633</v>
      </c>
      <c r="F55" s="49"/>
      <c r="G55">
        <v>15.8</v>
      </c>
      <c r="H55">
        <v>10.9</v>
      </c>
      <c r="I55">
        <v>20.6</v>
      </c>
      <c r="J55">
        <f t="shared" si="5"/>
        <v>297.39999999999998</v>
      </c>
      <c r="M55">
        <v>0</v>
      </c>
      <c r="N55">
        <v>2.2000000000000002</v>
      </c>
      <c r="O55">
        <f t="shared" si="2"/>
        <v>-2.2000000000000002</v>
      </c>
      <c r="P55">
        <f t="shared" si="8"/>
        <v>10.600000000000001</v>
      </c>
      <c r="Q55">
        <v>16</v>
      </c>
      <c r="R55">
        <f t="shared" si="7"/>
        <v>0.44050632911392401</v>
      </c>
      <c r="S55">
        <f t="shared" si="3"/>
        <v>0.9691139240506329</v>
      </c>
      <c r="T55" s="24">
        <f t="shared" si="4"/>
        <v>-0.9691139240506329</v>
      </c>
      <c r="U55" s="24">
        <f t="shared" si="9"/>
        <v>17.470253164556961</v>
      </c>
      <c r="W55">
        <v>1230.8</v>
      </c>
      <c r="Y55">
        <f t="shared" si="6"/>
        <v>19307.8</v>
      </c>
      <c r="AA55">
        <v>12.028799125221227</v>
      </c>
    </row>
    <row r="56" spans="1:27" x14ac:dyDescent="0.25">
      <c r="A56">
        <v>5560</v>
      </c>
      <c r="B56">
        <v>22250</v>
      </c>
      <c r="C56" s="1">
        <v>42634</v>
      </c>
      <c r="F56" s="49"/>
      <c r="G56">
        <v>15.3</v>
      </c>
      <c r="H56">
        <v>8.5</v>
      </c>
      <c r="I56">
        <v>20.3</v>
      </c>
      <c r="J56">
        <f t="shared" si="5"/>
        <v>312.7</v>
      </c>
      <c r="M56">
        <v>0</v>
      </c>
      <c r="N56">
        <v>2.6</v>
      </c>
      <c r="O56">
        <f t="shared" si="2"/>
        <v>-2.6</v>
      </c>
      <c r="P56">
        <f t="shared" si="8"/>
        <v>8.0000000000000018</v>
      </c>
      <c r="Q56">
        <v>17</v>
      </c>
      <c r="R56">
        <f t="shared" si="7"/>
        <v>0.44873417721518988</v>
      </c>
      <c r="S56">
        <f t="shared" si="3"/>
        <v>1.1667088607594938</v>
      </c>
      <c r="T56" s="24">
        <f t="shared" si="4"/>
        <v>-1.1667088607594938</v>
      </c>
      <c r="U56" s="24">
        <f t="shared" si="9"/>
        <v>16.303544303797466</v>
      </c>
      <c r="W56">
        <v>1603.7</v>
      </c>
      <c r="Y56">
        <f t="shared" si="6"/>
        <v>20911.5</v>
      </c>
      <c r="AA56">
        <v>11.971200874778772</v>
      </c>
    </row>
    <row r="57" spans="1:27" x14ac:dyDescent="0.25">
      <c r="A57">
        <v>5560</v>
      </c>
      <c r="B57">
        <v>22250</v>
      </c>
      <c r="C57" s="1">
        <v>42635</v>
      </c>
      <c r="F57" s="49"/>
      <c r="G57">
        <v>15.8</v>
      </c>
      <c r="H57">
        <v>8.6999999999999993</v>
      </c>
      <c r="I57">
        <v>22.8</v>
      </c>
      <c r="J57">
        <f t="shared" si="5"/>
        <v>328.5</v>
      </c>
      <c r="M57">
        <v>0</v>
      </c>
      <c r="N57">
        <v>1.9</v>
      </c>
      <c r="O57">
        <f t="shared" si="2"/>
        <v>-1.9</v>
      </c>
      <c r="P57">
        <f t="shared" si="8"/>
        <v>6.1000000000000014</v>
      </c>
      <c r="Q57">
        <v>18</v>
      </c>
      <c r="R57">
        <f t="shared" si="7"/>
        <v>0.45696202531645569</v>
      </c>
      <c r="S57">
        <f t="shared" si="3"/>
        <v>0.86822784810126574</v>
      </c>
      <c r="T57" s="24">
        <f t="shared" si="4"/>
        <v>-0.86822784810126574</v>
      </c>
      <c r="U57" s="24">
        <f t="shared" si="9"/>
        <v>15.435316455696199</v>
      </c>
      <c r="W57">
        <v>1278.0999999999999</v>
      </c>
      <c r="Y57">
        <f t="shared" si="6"/>
        <v>22189.599999999999</v>
      </c>
      <c r="AA57">
        <v>11.913606663090601</v>
      </c>
    </row>
    <row r="58" spans="1:27" x14ac:dyDescent="0.25">
      <c r="A58">
        <v>5560</v>
      </c>
      <c r="B58">
        <v>22250</v>
      </c>
      <c r="C58" s="1">
        <v>42636</v>
      </c>
      <c r="F58" s="49"/>
      <c r="G58">
        <v>16.7</v>
      </c>
      <c r="H58">
        <v>11.8</v>
      </c>
      <c r="I58">
        <v>22.8</v>
      </c>
      <c r="J58">
        <f t="shared" si="5"/>
        <v>345.2</v>
      </c>
      <c r="M58">
        <v>0</v>
      </c>
      <c r="N58">
        <v>1.9</v>
      </c>
      <c r="O58">
        <f t="shared" si="2"/>
        <v>-1.9</v>
      </c>
      <c r="P58">
        <f t="shared" si="8"/>
        <v>4.2000000000000011</v>
      </c>
      <c r="Q58">
        <v>19</v>
      </c>
      <c r="R58">
        <f t="shared" si="7"/>
        <v>0.4651898734177215</v>
      </c>
      <c r="S58">
        <f t="shared" si="3"/>
        <v>0.88386075949367082</v>
      </c>
      <c r="T58" s="24">
        <f t="shared" si="4"/>
        <v>-0.88386075949367082</v>
      </c>
      <c r="U58" s="24">
        <f t="shared" si="9"/>
        <v>14.551455696202529</v>
      </c>
      <c r="W58">
        <v>1216.7</v>
      </c>
      <c r="Y58">
        <f t="shared" si="6"/>
        <v>23406.3</v>
      </c>
      <c r="AA58">
        <v>11.85602457486063</v>
      </c>
    </row>
    <row r="59" spans="1:27" x14ac:dyDescent="0.25">
      <c r="A59">
        <v>5560</v>
      </c>
      <c r="B59">
        <v>22250</v>
      </c>
      <c r="C59" s="1">
        <v>42637</v>
      </c>
      <c r="F59" s="49"/>
      <c r="G59">
        <v>17.5</v>
      </c>
      <c r="H59">
        <v>9.3000000000000007</v>
      </c>
      <c r="I59">
        <v>25.6</v>
      </c>
      <c r="J59">
        <f t="shared" si="5"/>
        <v>362.7</v>
      </c>
      <c r="M59">
        <v>0</v>
      </c>
      <c r="N59">
        <v>3.6</v>
      </c>
      <c r="O59">
        <f t="shared" si="2"/>
        <v>-3.6</v>
      </c>
      <c r="P59">
        <f t="shared" si="8"/>
        <v>0.60000000000000098</v>
      </c>
      <c r="Q59">
        <v>20</v>
      </c>
      <c r="R59">
        <f t="shared" si="7"/>
        <v>0.47341772151898731</v>
      </c>
      <c r="S59">
        <f t="shared" si="3"/>
        <v>1.7043037974683544</v>
      </c>
      <c r="T59" s="24">
        <f t="shared" si="4"/>
        <v>-1.7043037974683544</v>
      </c>
      <c r="U59" s="24">
        <f t="shared" si="9"/>
        <v>12.847151898734175</v>
      </c>
      <c r="W59">
        <v>1690</v>
      </c>
      <c r="Y59">
        <f t="shared" si="6"/>
        <v>25096.3</v>
      </c>
      <c r="AA59">
        <v>11.798462716373367</v>
      </c>
    </row>
    <row r="60" spans="1:27" x14ac:dyDescent="0.25">
      <c r="A60">
        <v>5560</v>
      </c>
      <c r="B60">
        <v>22250</v>
      </c>
      <c r="C60" s="1">
        <v>42638</v>
      </c>
      <c r="F60" s="49"/>
      <c r="G60">
        <v>14.8</v>
      </c>
      <c r="H60">
        <v>13.2</v>
      </c>
      <c r="I60">
        <v>18.100000000000001</v>
      </c>
      <c r="J60">
        <f t="shared" si="5"/>
        <v>377.5</v>
      </c>
      <c r="M60">
        <v>1.1000000000000001</v>
      </c>
      <c r="N60">
        <v>1.6</v>
      </c>
      <c r="O60">
        <f t="shared" si="2"/>
        <v>-0.5</v>
      </c>
      <c r="P60">
        <f t="shared" si="8"/>
        <v>0.10000000000000098</v>
      </c>
      <c r="Q60">
        <v>21</v>
      </c>
      <c r="R60">
        <f t="shared" si="7"/>
        <v>0.48164556962025318</v>
      </c>
      <c r="S60">
        <f t="shared" si="3"/>
        <v>0.77063291139240508</v>
      </c>
      <c r="T60" s="24">
        <f t="shared" si="4"/>
        <v>0.329367088607595</v>
      </c>
      <c r="U60" s="24">
        <f t="shared" si="9"/>
        <v>13.176518987341771</v>
      </c>
      <c r="W60">
        <v>855.6</v>
      </c>
      <c r="Y60">
        <f t="shared" si="6"/>
        <v>25951.899999999998</v>
      </c>
      <c r="AA60">
        <v>11.740929229862875</v>
      </c>
    </row>
    <row r="61" spans="1:27" x14ac:dyDescent="0.25">
      <c r="A61">
        <v>5560</v>
      </c>
      <c r="B61">
        <v>22250</v>
      </c>
      <c r="C61" s="1">
        <v>42639</v>
      </c>
      <c r="F61" s="49"/>
      <c r="G61">
        <v>14.2</v>
      </c>
      <c r="H61">
        <v>8.1999999999999993</v>
      </c>
      <c r="I61">
        <v>20.5</v>
      </c>
      <c r="J61">
        <f t="shared" si="5"/>
        <v>391.7</v>
      </c>
      <c r="M61">
        <v>0</v>
      </c>
      <c r="N61">
        <v>1.8</v>
      </c>
      <c r="O61">
        <f t="shared" si="2"/>
        <v>-1.8</v>
      </c>
      <c r="P61">
        <v>0</v>
      </c>
      <c r="Q61">
        <v>22</v>
      </c>
      <c r="R61">
        <f t="shared" si="7"/>
        <v>0.48987341772151899</v>
      </c>
      <c r="S61">
        <f t="shared" si="3"/>
        <v>0.88177215189873415</v>
      </c>
      <c r="T61" s="24">
        <f t="shared" si="4"/>
        <v>-0.88177215189873415</v>
      </c>
      <c r="U61" s="24">
        <f t="shared" si="9"/>
        <v>12.294746835443037</v>
      </c>
      <c r="W61">
        <v>1028.2</v>
      </c>
      <c r="Y61">
        <f t="shared" si="6"/>
        <v>26980.1</v>
      </c>
      <c r="AA61">
        <v>11.683432307854352</v>
      </c>
    </row>
    <row r="62" spans="1:27" x14ac:dyDescent="0.25">
      <c r="A62">
        <v>5560</v>
      </c>
      <c r="B62">
        <v>22250</v>
      </c>
      <c r="C62" s="1">
        <v>42640</v>
      </c>
      <c r="F62" s="49"/>
      <c r="G62">
        <v>15.1</v>
      </c>
      <c r="H62">
        <v>7.4</v>
      </c>
      <c r="I62">
        <v>22.9</v>
      </c>
      <c r="J62">
        <f t="shared" si="5"/>
        <v>406.8</v>
      </c>
      <c r="M62">
        <v>0</v>
      </c>
      <c r="N62">
        <v>2.6</v>
      </c>
      <c r="O62">
        <f t="shared" si="2"/>
        <v>-2.6</v>
      </c>
      <c r="P62">
        <v>0</v>
      </c>
      <c r="Q62">
        <v>23</v>
      </c>
      <c r="R62">
        <f t="shared" si="7"/>
        <v>0.4981012658227848</v>
      </c>
      <c r="S62">
        <f t="shared" si="3"/>
        <v>1.2950632911392406</v>
      </c>
      <c r="T62" s="24">
        <f t="shared" si="4"/>
        <v>-1.2950632911392406</v>
      </c>
      <c r="U62" s="24">
        <f t="shared" si="9"/>
        <v>10.999683544303796</v>
      </c>
      <c r="W62">
        <v>1468.8</v>
      </c>
      <c r="Y62">
        <f t="shared" si="6"/>
        <v>28448.899999999998</v>
      </c>
      <c r="AA62">
        <v>11.625980207467055</v>
      </c>
    </row>
    <row r="63" spans="1:27" x14ac:dyDescent="0.25">
      <c r="A63">
        <v>5560</v>
      </c>
      <c r="B63">
        <v>22250</v>
      </c>
      <c r="C63" s="1">
        <v>42641</v>
      </c>
      <c r="F63" s="49"/>
      <c r="G63">
        <v>16.100000000000001</v>
      </c>
      <c r="H63">
        <v>9</v>
      </c>
      <c r="I63">
        <v>23.3</v>
      </c>
      <c r="J63">
        <f t="shared" si="5"/>
        <v>422.90000000000003</v>
      </c>
      <c r="M63">
        <v>0</v>
      </c>
      <c r="N63">
        <v>2.6</v>
      </c>
      <c r="O63">
        <f t="shared" si="2"/>
        <v>-2.6</v>
      </c>
      <c r="P63">
        <v>0</v>
      </c>
      <c r="Q63">
        <v>24</v>
      </c>
      <c r="R63">
        <f t="shared" si="7"/>
        <v>0.50632911392405067</v>
      </c>
      <c r="S63">
        <f t="shared" si="3"/>
        <v>1.3164556962025318</v>
      </c>
      <c r="T63" s="24">
        <f t="shared" si="4"/>
        <v>-1.3164556962025318</v>
      </c>
      <c r="U63" s="24">
        <f t="shared" si="9"/>
        <v>9.6832278481012644</v>
      </c>
      <c r="W63">
        <v>1364.7</v>
      </c>
      <c r="Y63">
        <f t="shared" si="6"/>
        <v>29813.599999999999</v>
      </c>
      <c r="AA63">
        <v>11.568581264666836</v>
      </c>
    </row>
    <row r="64" spans="1:27" x14ac:dyDescent="0.25">
      <c r="A64">
        <v>5560</v>
      </c>
      <c r="B64">
        <v>22250</v>
      </c>
      <c r="C64" s="1">
        <v>42642</v>
      </c>
      <c r="F64" s="49"/>
      <c r="G64">
        <v>18.2</v>
      </c>
      <c r="H64">
        <v>10.8</v>
      </c>
      <c r="I64">
        <v>26.1</v>
      </c>
      <c r="J64">
        <f t="shared" si="5"/>
        <v>441.1</v>
      </c>
      <c r="M64">
        <v>0</v>
      </c>
      <c r="N64">
        <v>4.2</v>
      </c>
      <c r="O64">
        <f t="shared" si="2"/>
        <v>-4.2</v>
      </c>
      <c r="P64">
        <v>0</v>
      </c>
      <c r="Q64">
        <v>25</v>
      </c>
      <c r="R64">
        <f t="shared" si="7"/>
        <v>0.51455696202531642</v>
      </c>
      <c r="S64">
        <f t="shared" si="3"/>
        <v>2.161139240506329</v>
      </c>
      <c r="T64" s="24">
        <f t="shared" si="4"/>
        <v>-2.161139240506329</v>
      </c>
      <c r="U64" s="24">
        <f t="shared" si="9"/>
        <v>7.5220886075949354</v>
      </c>
      <c r="W64">
        <v>1743.3</v>
      </c>
      <c r="Y64">
        <f t="shared" si="6"/>
        <v>31556.899999999998</v>
      </c>
      <c r="AA64">
        <v>11.511243908456187</v>
      </c>
    </row>
    <row r="65" spans="1:27" x14ac:dyDescent="0.25">
      <c r="A65">
        <v>5560</v>
      </c>
      <c r="B65">
        <v>22250</v>
      </c>
      <c r="C65" s="1">
        <v>42643</v>
      </c>
      <c r="F65" s="49"/>
      <c r="G65">
        <v>16.600000000000001</v>
      </c>
      <c r="H65">
        <v>14.4</v>
      </c>
      <c r="I65">
        <v>19.899999999999999</v>
      </c>
      <c r="J65">
        <f t="shared" si="5"/>
        <v>457.70000000000005</v>
      </c>
      <c r="M65">
        <v>12.5</v>
      </c>
      <c r="N65">
        <v>1.3</v>
      </c>
      <c r="O65">
        <f t="shared" si="2"/>
        <v>11.2</v>
      </c>
      <c r="P65">
        <f t="shared" si="8"/>
        <v>11.2</v>
      </c>
      <c r="Q65">
        <v>26</v>
      </c>
      <c r="R65">
        <f t="shared" si="7"/>
        <v>0.52278481012658218</v>
      </c>
      <c r="S65">
        <f t="shared" si="3"/>
        <v>0.67962025316455688</v>
      </c>
      <c r="T65" s="24">
        <f t="shared" si="4"/>
        <v>11.820379746835442</v>
      </c>
      <c r="U65" s="24">
        <f t="shared" si="9"/>
        <v>19.342468354430377</v>
      </c>
      <c r="W65">
        <v>311.7</v>
      </c>
      <c r="Y65">
        <f t="shared" si="6"/>
        <v>31868.6</v>
      </c>
      <c r="AA65">
        <v>11.453976674988979</v>
      </c>
    </row>
    <row r="66" spans="1:27" x14ac:dyDescent="0.25">
      <c r="A66">
        <v>5560</v>
      </c>
      <c r="B66">
        <v>22250</v>
      </c>
      <c r="C66" s="1">
        <v>42644</v>
      </c>
      <c r="F66" s="49"/>
      <c r="G66">
        <v>14.9</v>
      </c>
      <c r="H66">
        <v>13.1</v>
      </c>
      <c r="I66">
        <v>18.8</v>
      </c>
      <c r="J66">
        <f t="shared" si="5"/>
        <v>472.6</v>
      </c>
      <c r="M66">
        <v>1</v>
      </c>
      <c r="N66">
        <v>1.9</v>
      </c>
      <c r="O66">
        <f t="shared" si="2"/>
        <v>-0.89999999999999991</v>
      </c>
      <c r="P66">
        <f t="shared" si="8"/>
        <v>10.299999999999999</v>
      </c>
      <c r="Q66">
        <v>27</v>
      </c>
      <c r="R66">
        <f t="shared" si="7"/>
        <v>0.53101265822784804</v>
      </c>
      <c r="S66">
        <f t="shared" si="3"/>
        <v>1.0089240506329111</v>
      </c>
      <c r="T66" s="24">
        <f t="shared" si="4"/>
        <v>-8.9240506329111291E-3</v>
      </c>
      <c r="U66" s="24">
        <f t="shared" si="9"/>
        <v>19.333544303797467</v>
      </c>
      <c r="W66">
        <v>773.4</v>
      </c>
      <c r="Y66">
        <f t="shared" si="6"/>
        <v>32642</v>
      </c>
      <c r="AA66">
        <v>11.396788221596513</v>
      </c>
    </row>
    <row r="67" spans="1:27" x14ac:dyDescent="0.25">
      <c r="A67">
        <v>5560</v>
      </c>
      <c r="B67">
        <v>22250</v>
      </c>
      <c r="C67" s="1">
        <v>42645</v>
      </c>
      <c r="F67" s="49"/>
      <c r="G67">
        <v>11</v>
      </c>
      <c r="H67">
        <v>7.2</v>
      </c>
      <c r="I67">
        <v>15.9</v>
      </c>
      <c r="J67">
        <f t="shared" si="5"/>
        <v>483.6</v>
      </c>
      <c r="M67">
        <v>0</v>
      </c>
      <c r="N67">
        <v>2.2000000000000002</v>
      </c>
      <c r="O67">
        <f t="shared" si="2"/>
        <v>-2.2000000000000002</v>
      </c>
      <c r="P67">
        <f t="shared" si="8"/>
        <v>8.0999999999999979</v>
      </c>
      <c r="Q67">
        <v>28</v>
      </c>
      <c r="R67">
        <f t="shared" si="7"/>
        <v>0.53924050632911391</v>
      </c>
      <c r="S67">
        <f t="shared" si="3"/>
        <v>1.1863291139240506</v>
      </c>
      <c r="T67" s="24">
        <f t="shared" si="4"/>
        <v>-1.1863291139240506</v>
      </c>
      <c r="U67" s="24">
        <f t="shared" si="9"/>
        <v>18.147215189873418</v>
      </c>
      <c r="W67">
        <v>1478.2</v>
      </c>
      <c r="Y67">
        <f t="shared" si="6"/>
        <v>34120.199999999997</v>
      </c>
      <c r="AA67">
        <v>11.339687340710658</v>
      </c>
    </row>
    <row r="68" spans="1:27" x14ac:dyDescent="0.25">
      <c r="A68">
        <v>5560</v>
      </c>
      <c r="B68">
        <v>22250</v>
      </c>
      <c r="C68" s="1">
        <v>42646</v>
      </c>
      <c r="F68" s="49"/>
      <c r="G68">
        <v>11.3</v>
      </c>
      <c r="H68">
        <v>4.3</v>
      </c>
      <c r="I68">
        <v>18</v>
      </c>
      <c r="J68">
        <f t="shared" si="5"/>
        <v>494.90000000000003</v>
      </c>
      <c r="M68">
        <v>0</v>
      </c>
      <c r="N68">
        <v>2.4</v>
      </c>
      <c r="O68">
        <f t="shared" si="2"/>
        <v>-2.4</v>
      </c>
      <c r="P68">
        <f t="shared" si="8"/>
        <v>5.6999999999999975</v>
      </c>
      <c r="Q68">
        <v>29</v>
      </c>
      <c r="R68">
        <f t="shared" si="7"/>
        <v>0.54746835443037978</v>
      </c>
      <c r="S68">
        <f t="shared" si="3"/>
        <v>1.3139240506329115</v>
      </c>
      <c r="T68" s="24">
        <f t="shared" si="4"/>
        <v>-1.3139240506329115</v>
      </c>
      <c r="U68" s="24">
        <f t="shared" si="9"/>
        <v>16.833291139240504</v>
      </c>
      <c r="W68">
        <v>1417.3</v>
      </c>
      <c r="Y68">
        <f t="shared" si="6"/>
        <v>35537.5</v>
      </c>
      <c r="AA68">
        <v>11.282682973668916</v>
      </c>
    </row>
    <row r="69" spans="1:27" x14ac:dyDescent="0.25">
      <c r="A69">
        <v>5560</v>
      </c>
      <c r="B69">
        <v>22250</v>
      </c>
      <c r="C69" s="1">
        <v>42647</v>
      </c>
      <c r="F69" s="49"/>
      <c r="G69">
        <v>13</v>
      </c>
      <c r="H69">
        <v>6.7</v>
      </c>
      <c r="I69">
        <v>19.100000000000001</v>
      </c>
      <c r="J69">
        <f t="shared" si="5"/>
        <v>507.90000000000003</v>
      </c>
      <c r="M69">
        <v>0</v>
      </c>
      <c r="N69">
        <v>2.8</v>
      </c>
      <c r="O69">
        <f t="shared" si="2"/>
        <v>-2.8</v>
      </c>
      <c r="P69">
        <f t="shared" si="8"/>
        <v>2.8999999999999977</v>
      </c>
      <c r="Q69">
        <v>30</v>
      </c>
      <c r="R69">
        <f t="shared" si="7"/>
        <v>0.55569620253164553</v>
      </c>
      <c r="S69">
        <f t="shared" si="3"/>
        <v>1.5559493670886073</v>
      </c>
      <c r="T69" s="24">
        <f t="shared" si="4"/>
        <v>-1.5559493670886073</v>
      </c>
      <c r="U69" s="24">
        <f t="shared" si="9"/>
        <v>15.277341772151898</v>
      </c>
      <c r="W69">
        <v>1293.3</v>
      </c>
      <c r="Y69">
        <f t="shared" si="6"/>
        <v>36830.800000000003</v>
      </c>
      <c r="AA69">
        <v>11.22578422438535</v>
      </c>
    </row>
    <row r="70" spans="1:27" x14ac:dyDescent="0.25">
      <c r="A70">
        <v>5560</v>
      </c>
      <c r="B70">
        <v>22250</v>
      </c>
      <c r="C70" s="1">
        <v>42648</v>
      </c>
      <c r="F70" s="49"/>
      <c r="G70">
        <v>11.9</v>
      </c>
      <c r="H70">
        <v>6.6</v>
      </c>
      <c r="I70">
        <v>17.899999999999999</v>
      </c>
      <c r="J70">
        <f t="shared" si="5"/>
        <v>519.80000000000007</v>
      </c>
      <c r="M70">
        <v>0</v>
      </c>
      <c r="N70">
        <v>2.4</v>
      </c>
      <c r="O70">
        <f t="shared" si="2"/>
        <v>-2.4</v>
      </c>
      <c r="P70">
        <f t="shared" si="8"/>
        <v>0.49999999999999778</v>
      </c>
      <c r="Q70">
        <v>31</v>
      </c>
      <c r="R70">
        <f t="shared" si="7"/>
        <v>0.5639240506329114</v>
      </c>
      <c r="S70">
        <f t="shared" si="3"/>
        <v>1.3534177215189873</v>
      </c>
      <c r="T70" s="24">
        <f t="shared" si="4"/>
        <v>-1.3534177215189873</v>
      </c>
      <c r="U70" s="24">
        <f t="shared" si="9"/>
        <v>13.923924050632911</v>
      </c>
      <c r="W70">
        <v>1346.1</v>
      </c>
      <c r="Y70">
        <f t="shared" si="6"/>
        <v>38176.9</v>
      </c>
      <c r="AA70">
        <v>11.16900037287013</v>
      </c>
    </row>
    <row r="71" spans="1:27" x14ac:dyDescent="0.25">
      <c r="A71">
        <v>5560</v>
      </c>
      <c r="B71">
        <v>22250</v>
      </c>
      <c r="C71" s="1">
        <v>42649</v>
      </c>
      <c r="F71" s="49"/>
      <c r="G71">
        <v>8.9</v>
      </c>
      <c r="H71">
        <v>3.1</v>
      </c>
      <c r="I71">
        <v>13.4</v>
      </c>
      <c r="J71">
        <f t="shared" si="5"/>
        <v>528.70000000000005</v>
      </c>
      <c r="M71">
        <v>0</v>
      </c>
      <c r="N71">
        <v>2.2000000000000002</v>
      </c>
      <c r="O71">
        <f t="shared" si="2"/>
        <v>-2.2000000000000002</v>
      </c>
      <c r="P71">
        <f t="shared" si="8"/>
        <v>-1.7000000000000024</v>
      </c>
      <c r="Q71">
        <v>32</v>
      </c>
      <c r="R71">
        <f t="shared" si="7"/>
        <v>0.57215189873417716</v>
      </c>
      <c r="S71">
        <f t="shared" si="3"/>
        <v>1.2587341772151899</v>
      </c>
      <c r="T71" s="24">
        <f t="shared" si="4"/>
        <v>-1.2587341772151899</v>
      </c>
      <c r="U71" s="24">
        <f t="shared" si="9"/>
        <v>12.66518987341772</v>
      </c>
      <c r="W71">
        <v>1482.4</v>
      </c>
      <c r="Y71">
        <f t="shared" si="6"/>
        <v>39659.300000000003</v>
      </c>
      <c r="AA71">
        <v>11.112340888579316</v>
      </c>
    </row>
    <row r="72" spans="1:27" x14ac:dyDescent="0.25">
      <c r="A72">
        <v>5560</v>
      </c>
      <c r="B72">
        <v>22250</v>
      </c>
      <c r="C72" s="1">
        <v>42650</v>
      </c>
      <c r="F72" s="49"/>
      <c r="G72">
        <v>9.1999999999999993</v>
      </c>
      <c r="H72">
        <v>4</v>
      </c>
      <c r="I72">
        <v>14</v>
      </c>
      <c r="J72">
        <f t="shared" si="5"/>
        <v>537.90000000000009</v>
      </c>
      <c r="M72">
        <v>0</v>
      </c>
      <c r="N72">
        <v>1.5</v>
      </c>
      <c r="O72">
        <f t="shared" si="2"/>
        <v>-1.5</v>
      </c>
      <c r="P72">
        <f t="shared" si="8"/>
        <v>-3.2000000000000024</v>
      </c>
      <c r="Q72">
        <v>33</v>
      </c>
      <c r="R72">
        <f t="shared" si="7"/>
        <v>0.58037974683544302</v>
      </c>
      <c r="S72">
        <f t="shared" si="3"/>
        <v>0.87056962025316453</v>
      </c>
      <c r="T72" s="24">
        <f t="shared" si="4"/>
        <v>-0.87056962025316453</v>
      </c>
      <c r="U72" s="24">
        <f t="shared" si="9"/>
        <v>11.794620253164556</v>
      </c>
      <c r="W72">
        <v>1176</v>
      </c>
      <c r="Y72">
        <f t="shared" si="6"/>
        <v>40835.300000000003</v>
      </c>
      <c r="AA72">
        <v>11.05581544357514</v>
      </c>
    </row>
    <row r="73" spans="1:27" x14ac:dyDescent="0.25">
      <c r="A73">
        <v>5560</v>
      </c>
      <c r="B73">
        <v>22250</v>
      </c>
      <c r="C73" s="1">
        <v>42651</v>
      </c>
      <c r="F73" s="49"/>
      <c r="G73">
        <v>11.6</v>
      </c>
      <c r="H73">
        <v>7.6</v>
      </c>
      <c r="I73">
        <v>15.5</v>
      </c>
      <c r="J73">
        <f t="shared" si="5"/>
        <v>549.50000000000011</v>
      </c>
      <c r="M73">
        <v>0</v>
      </c>
      <c r="N73">
        <v>1.5</v>
      </c>
      <c r="O73">
        <f t="shared" si="2"/>
        <v>-1.5</v>
      </c>
      <c r="P73">
        <f t="shared" si="8"/>
        <v>-4.7000000000000028</v>
      </c>
      <c r="Q73">
        <v>34</v>
      </c>
      <c r="R73">
        <f t="shared" si="7"/>
        <v>0.58860759493670889</v>
      </c>
      <c r="S73">
        <f t="shared" si="3"/>
        <v>0.88291139240506333</v>
      </c>
      <c r="T73" s="24">
        <f t="shared" si="4"/>
        <v>-0.88291139240506333</v>
      </c>
      <c r="U73" s="24">
        <f t="shared" si="9"/>
        <v>10.911708860759493</v>
      </c>
      <c r="W73">
        <v>1056.0999999999999</v>
      </c>
      <c r="Y73">
        <f t="shared" si="6"/>
        <v>41891.4</v>
      </c>
      <c r="AA73">
        <v>10.999433925475724</v>
      </c>
    </row>
    <row r="74" spans="1:27" x14ac:dyDescent="0.25">
      <c r="A74">
        <v>5560</v>
      </c>
      <c r="B74">
        <v>22250</v>
      </c>
      <c r="C74" s="1">
        <v>42652</v>
      </c>
      <c r="F74" s="49"/>
      <c r="G74">
        <v>9.1</v>
      </c>
      <c r="H74">
        <v>4.4000000000000004</v>
      </c>
      <c r="I74">
        <v>14.9</v>
      </c>
      <c r="J74">
        <f t="shared" si="5"/>
        <v>558.60000000000014</v>
      </c>
      <c r="M74">
        <v>0</v>
      </c>
      <c r="N74">
        <v>2</v>
      </c>
      <c r="O74">
        <f t="shared" si="2"/>
        <v>-2</v>
      </c>
      <c r="P74">
        <f t="shared" si="8"/>
        <v>-6.7000000000000028</v>
      </c>
      <c r="Q74">
        <v>35</v>
      </c>
      <c r="R74">
        <f t="shared" si="7"/>
        <v>0.59683544303797476</v>
      </c>
      <c r="S74">
        <f t="shared" si="3"/>
        <v>1.1936708860759495</v>
      </c>
      <c r="T74" s="24">
        <f t="shared" si="4"/>
        <v>-1.1936708860759495</v>
      </c>
      <c r="U74" s="24">
        <f t="shared" si="9"/>
        <v>9.7180379746835435</v>
      </c>
      <c r="W74">
        <v>1140</v>
      </c>
      <c r="Y74">
        <f t="shared" si="6"/>
        <v>43031.4</v>
      </c>
      <c r="AA74">
        <v>10.943206450171651</v>
      </c>
    </row>
    <row r="75" spans="1:27" x14ac:dyDescent="0.25">
      <c r="A75">
        <v>5560</v>
      </c>
      <c r="B75">
        <v>22250</v>
      </c>
      <c r="C75" s="1">
        <v>42653</v>
      </c>
      <c r="F75" s="49"/>
      <c r="G75">
        <v>8</v>
      </c>
      <c r="H75">
        <v>2.2999999999999998</v>
      </c>
      <c r="I75">
        <v>13.9</v>
      </c>
      <c r="J75">
        <f t="shared" si="5"/>
        <v>566.60000000000014</v>
      </c>
      <c r="M75">
        <v>0</v>
      </c>
      <c r="N75">
        <v>1.3</v>
      </c>
      <c r="O75">
        <f t="shared" si="2"/>
        <v>-1.3</v>
      </c>
      <c r="P75">
        <f t="shared" si="8"/>
        <v>-8.0000000000000036</v>
      </c>
      <c r="Q75">
        <v>36</v>
      </c>
      <c r="R75">
        <f t="shared" si="7"/>
        <v>0.6050632911392404</v>
      </c>
      <c r="S75">
        <f t="shared" si="3"/>
        <v>0.78658227848101259</v>
      </c>
      <c r="T75" s="24">
        <f t="shared" si="4"/>
        <v>-0.78658227848101259</v>
      </c>
      <c r="U75" s="24">
        <f t="shared" si="9"/>
        <v>8.93145569620253</v>
      </c>
      <c r="W75">
        <v>635.6</v>
      </c>
      <c r="Y75">
        <f t="shared" si="6"/>
        <v>43667</v>
      </c>
      <c r="AA75">
        <v>10.887143374285239</v>
      </c>
    </row>
    <row r="76" spans="1:27" x14ac:dyDescent="0.25">
      <c r="A76">
        <v>5560</v>
      </c>
      <c r="B76">
        <v>22250</v>
      </c>
      <c r="C76" s="1">
        <v>42654</v>
      </c>
      <c r="F76" s="49"/>
      <c r="G76">
        <v>7.8</v>
      </c>
      <c r="H76">
        <v>3.4</v>
      </c>
      <c r="I76">
        <v>13.6</v>
      </c>
      <c r="J76">
        <f t="shared" si="5"/>
        <v>574.40000000000009</v>
      </c>
      <c r="M76">
        <v>0</v>
      </c>
      <c r="N76">
        <v>1.9</v>
      </c>
      <c r="O76">
        <f t="shared" si="2"/>
        <v>-1.9</v>
      </c>
      <c r="P76">
        <f t="shared" si="8"/>
        <v>-9.9000000000000039</v>
      </c>
      <c r="Q76">
        <v>37</v>
      </c>
      <c r="R76">
        <f t="shared" si="7"/>
        <v>0.61329113924050627</v>
      </c>
      <c r="S76">
        <f t="shared" si="3"/>
        <v>1.1652531645569619</v>
      </c>
      <c r="T76" s="24">
        <f t="shared" si="4"/>
        <v>-1.1652531645569619</v>
      </c>
      <c r="U76" s="24">
        <f t="shared" si="9"/>
        <v>7.7662025316455683</v>
      </c>
      <c r="W76">
        <v>1126.9000000000001</v>
      </c>
      <c r="Y76">
        <f t="shared" si="6"/>
        <v>44793.9</v>
      </c>
      <c r="AA76">
        <v>10.831255307346721</v>
      </c>
    </row>
    <row r="77" spans="1:27" x14ac:dyDescent="0.25">
      <c r="A77">
        <v>5560</v>
      </c>
      <c r="B77">
        <v>22250</v>
      </c>
      <c r="C77" s="1">
        <v>42655</v>
      </c>
      <c r="F77" s="49"/>
      <c r="G77">
        <v>7.8</v>
      </c>
      <c r="H77">
        <v>1.7</v>
      </c>
      <c r="I77">
        <v>13</v>
      </c>
      <c r="J77">
        <f t="shared" si="5"/>
        <v>582.20000000000005</v>
      </c>
      <c r="M77">
        <v>0</v>
      </c>
      <c r="N77">
        <v>1.6</v>
      </c>
      <c r="O77">
        <f t="shared" si="2"/>
        <v>-1.6</v>
      </c>
      <c r="P77">
        <f t="shared" si="8"/>
        <v>-11.500000000000004</v>
      </c>
      <c r="Q77">
        <v>38</v>
      </c>
      <c r="R77">
        <f t="shared" si="7"/>
        <v>0.62151898734177213</v>
      </c>
      <c r="S77">
        <f t="shared" si="3"/>
        <v>0.99443037974683546</v>
      </c>
      <c r="T77" s="24">
        <f t="shared" si="4"/>
        <v>-0.99443037974683546</v>
      </c>
      <c r="U77" s="24">
        <f t="shared" si="9"/>
        <v>6.771772151898733</v>
      </c>
      <c r="W77">
        <v>716.5</v>
      </c>
      <c r="Y77">
        <f t="shared" si="6"/>
        <v>45510.400000000001</v>
      </c>
      <c r="AA77">
        <v>10.775553123659785</v>
      </c>
    </row>
    <row r="78" spans="1:27" x14ac:dyDescent="0.25">
      <c r="A78">
        <v>5560</v>
      </c>
      <c r="B78">
        <v>22250</v>
      </c>
      <c r="C78" s="1">
        <v>42656</v>
      </c>
      <c r="F78" s="49"/>
      <c r="G78">
        <v>9.1999999999999993</v>
      </c>
      <c r="H78">
        <v>6.6</v>
      </c>
      <c r="I78">
        <v>11.6</v>
      </c>
      <c r="J78">
        <f t="shared" si="5"/>
        <v>591.40000000000009</v>
      </c>
      <c r="M78">
        <v>5.2</v>
      </c>
      <c r="N78">
        <v>0.7</v>
      </c>
      <c r="O78">
        <f t="shared" si="2"/>
        <v>4.5</v>
      </c>
      <c r="P78">
        <f t="shared" si="8"/>
        <v>-7.0000000000000036</v>
      </c>
      <c r="Q78">
        <v>39</v>
      </c>
      <c r="R78">
        <f t="shared" si="7"/>
        <v>0.629746835443038</v>
      </c>
      <c r="S78">
        <f t="shared" si="3"/>
        <v>0.44082278481012654</v>
      </c>
      <c r="T78" s="24">
        <f t="shared" si="4"/>
        <v>4.7591772151898732</v>
      </c>
      <c r="U78" s="24">
        <f t="shared" si="9"/>
        <v>11.530949367088606</v>
      </c>
      <c r="W78">
        <v>215.9</v>
      </c>
      <c r="Y78">
        <f t="shared" si="6"/>
        <v>45726.3</v>
      </c>
      <c r="AA78">
        <v>10.720047973827173</v>
      </c>
    </row>
    <row r="79" spans="1:27" x14ac:dyDescent="0.25">
      <c r="A79">
        <v>5560</v>
      </c>
      <c r="B79">
        <v>22250</v>
      </c>
      <c r="C79" s="1">
        <v>42657</v>
      </c>
      <c r="F79" s="49"/>
      <c r="G79">
        <v>10.1</v>
      </c>
      <c r="H79">
        <v>8.8000000000000007</v>
      </c>
      <c r="I79">
        <v>11.4</v>
      </c>
      <c r="J79">
        <f t="shared" si="5"/>
        <v>601.50000000000011</v>
      </c>
      <c r="M79">
        <v>8.1</v>
      </c>
      <c r="N79">
        <v>0.4</v>
      </c>
      <c r="O79">
        <f t="shared" si="2"/>
        <v>7.6999999999999993</v>
      </c>
      <c r="P79">
        <f t="shared" si="8"/>
        <v>0.69999999999999574</v>
      </c>
      <c r="Q79">
        <v>40</v>
      </c>
      <c r="R79">
        <f t="shared" si="7"/>
        <v>0.63797468354430376</v>
      </c>
      <c r="S79">
        <f t="shared" si="3"/>
        <v>0.25518987341772154</v>
      </c>
      <c r="T79" s="24">
        <f t="shared" si="4"/>
        <v>7.8448101265822778</v>
      </c>
      <c r="U79" s="24">
        <f t="shared" si="9"/>
        <v>19.375759493670884</v>
      </c>
      <c r="W79">
        <v>186.8</v>
      </c>
      <c r="Y79">
        <f t="shared" si="6"/>
        <v>45913.100000000006</v>
      </c>
      <c r="AA79">
        <v>10.664751295905038</v>
      </c>
    </row>
    <row r="80" spans="1:27" x14ac:dyDescent="0.25">
      <c r="A80">
        <v>5560</v>
      </c>
      <c r="B80">
        <v>22250</v>
      </c>
      <c r="C80" s="1">
        <v>42658</v>
      </c>
      <c r="F80" s="49"/>
      <c r="G80">
        <v>11.8</v>
      </c>
      <c r="H80">
        <v>5.7</v>
      </c>
      <c r="I80">
        <v>16.899999999999999</v>
      </c>
      <c r="J80">
        <f t="shared" si="5"/>
        <v>613.30000000000007</v>
      </c>
      <c r="M80">
        <v>0</v>
      </c>
      <c r="N80">
        <v>1.5</v>
      </c>
      <c r="O80">
        <f t="shared" si="2"/>
        <v>-1.5</v>
      </c>
      <c r="P80">
        <f t="shared" si="8"/>
        <v>-0.80000000000000426</v>
      </c>
      <c r="Q80">
        <v>41</v>
      </c>
      <c r="R80">
        <f t="shared" si="7"/>
        <v>0.64620253164556962</v>
      </c>
      <c r="S80">
        <f t="shared" si="3"/>
        <v>0.96930379746835449</v>
      </c>
      <c r="T80" s="24">
        <f t="shared" si="4"/>
        <v>-0.96930379746835449</v>
      </c>
      <c r="U80" s="24">
        <f t="shared" si="9"/>
        <v>18.406455696202528</v>
      </c>
      <c r="W80">
        <v>1199.4000000000001</v>
      </c>
      <c r="Y80">
        <f t="shared" si="6"/>
        <v>47112.500000000007</v>
      </c>
      <c r="AA80">
        <v>10.60967482615299</v>
      </c>
    </row>
    <row r="81" spans="1:27" x14ac:dyDescent="0.25">
      <c r="A81">
        <v>5560</v>
      </c>
      <c r="B81">
        <v>22250</v>
      </c>
      <c r="C81" s="1">
        <v>42659</v>
      </c>
      <c r="F81" s="49"/>
      <c r="G81">
        <v>13.5</v>
      </c>
      <c r="H81">
        <v>7.2</v>
      </c>
      <c r="I81">
        <v>18.600000000000001</v>
      </c>
      <c r="J81">
        <f t="shared" si="5"/>
        <v>626.80000000000007</v>
      </c>
      <c r="M81">
        <v>0</v>
      </c>
      <c r="N81">
        <v>1.1000000000000001</v>
      </c>
      <c r="O81">
        <f t="shared" si="2"/>
        <v>-1.1000000000000001</v>
      </c>
      <c r="P81">
        <f t="shared" si="8"/>
        <v>-1.9000000000000044</v>
      </c>
      <c r="Q81">
        <v>42</v>
      </c>
      <c r="R81">
        <f t="shared" si="7"/>
        <v>0.65443037974683538</v>
      </c>
      <c r="S81">
        <f t="shared" si="3"/>
        <v>0.71987341772151903</v>
      </c>
      <c r="T81" s="24">
        <f t="shared" si="4"/>
        <v>-0.71987341772151903</v>
      </c>
      <c r="U81" s="24">
        <f t="shared" si="9"/>
        <v>17.686582278481009</v>
      </c>
      <c r="W81">
        <v>584.29999999999995</v>
      </c>
      <c r="Y81">
        <f t="shared" si="6"/>
        <v>47696.80000000001</v>
      </c>
      <c r="AA81">
        <v>10.554830609344586</v>
      </c>
    </row>
    <row r="82" spans="1:27" x14ac:dyDescent="0.25">
      <c r="A82">
        <v>5560</v>
      </c>
      <c r="B82">
        <v>22250</v>
      </c>
      <c r="C82" s="1">
        <v>42660</v>
      </c>
      <c r="F82" s="49"/>
      <c r="G82">
        <v>13.5</v>
      </c>
      <c r="H82">
        <v>12.3</v>
      </c>
      <c r="I82">
        <v>17.399999999999999</v>
      </c>
      <c r="J82">
        <f t="shared" si="5"/>
        <v>640.30000000000007</v>
      </c>
      <c r="M82">
        <v>2.1</v>
      </c>
      <c r="N82">
        <v>1.1000000000000001</v>
      </c>
      <c r="O82">
        <f t="shared" si="2"/>
        <v>1</v>
      </c>
      <c r="P82">
        <f t="shared" si="8"/>
        <v>-0.90000000000000435</v>
      </c>
      <c r="Q82">
        <v>43</v>
      </c>
      <c r="R82">
        <f t="shared" si="7"/>
        <v>0.66265822784810124</v>
      </c>
      <c r="S82">
        <f t="shared" si="3"/>
        <v>0.72892405063291144</v>
      </c>
      <c r="T82" s="24">
        <f t="shared" si="4"/>
        <v>1.3710759493670888</v>
      </c>
      <c r="U82" s="24">
        <f t="shared" si="9"/>
        <v>19.057658227848098</v>
      </c>
      <c r="W82">
        <v>679.6</v>
      </c>
      <c r="Y82">
        <f t="shared" si="6"/>
        <v>48376.400000000009</v>
      </c>
      <c r="AA82">
        <v>10.500231008601185</v>
      </c>
    </row>
    <row r="83" spans="1:27" x14ac:dyDescent="0.25">
      <c r="A83">
        <v>5560</v>
      </c>
      <c r="B83">
        <v>22250</v>
      </c>
      <c r="C83" s="1">
        <v>42661</v>
      </c>
      <c r="F83" s="49"/>
      <c r="G83">
        <v>10</v>
      </c>
      <c r="H83">
        <v>6.1</v>
      </c>
      <c r="I83">
        <v>12.1</v>
      </c>
      <c r="J83">
        <f t="shared" si="5"/>
        <v>650.30000000000007</v>
      </c>
      <c r="M83">
        <v>0.1</v>
      </c>
      <c r="N83">
        <v>0.3</v>
      </c>
      <c r="O83">
        <f t="shared" si="2"/>
        <v>-0.19999999999999998</v>
      </c>
      <c r="P83">
        <f t="shared" si="8"/>
        <v>-1.1000000000000043</v>
      </c>
      <c r="Q83">
        <v>44</v>
      </c>
      <c r="R83">
        <f t="shared" si="7"/>
        <v>0.67088607594936711</v>
      </c>
      <c r="S83">
        <f t="shared" si="3"/>
        <v>0.20126582278481012</v>
      </c>
      <c r="T83" s="24">
        <f t="shared" si="4"/>
        <v>-0.10126582278481011</v>
      </c>
      <c r="U83" s="24">
        <f t="shared" si="9"/>
        <v>18.956392405063287</v>
      </c>
      <c r="W83">
        <v>419.3</v>
      </c>
      <c r="Y83">
        <f t="shared" si="6"/>
        <v>48795.700000000012</v>
      </c>
      <c r="AA83">
        <v>10.445888714709822</v>
      </c>
    </row>
    <row r="84" spans="1:27" x14ac:dyDescent="0.25">
      <c r="A84">
        <v>5560</v>
      </c>
      <c r="B84">
        <v>22250</v>
      </c>
      <c r="C84" s="1">
        <v>42662</v>
      </c>
      <c r="F84" s="49"/>
      <c r="G84">
        <v>10.4</v>
      </c>
      <c r="H84">
        <v>9</v>
      </c>
      <c r="I84">
        <v>12.6</v>
      </c>
      <c r="J84">
        <f t="shared" si="5"/>
        <v>660.7</v>
      </c>
      <c r="M84">
        <v>0.1</v>
      </c>
      <c r="N84">
        <v>0.9</v>
      </c>
      <c r="O84">
        <f t="shared" si="2"/>
        <v>-0.8</v>
      </c>
      <c r="P84">
        <f t="shared" si="8"/>
        <v>-1.9000000000000044</v>
      </c>
      <c r="Q84">
        <v>45</v>
      </c>
      <c r="R84">
        <f t="shared" si="7"/>
        <v>0.67911392405063298</v>
      </c>
      <c r="S84">
        <f t="shared" si="3"/>
        <v>0.6112025316455697</v>
      </c>
      <c r="T84" s="24">
        <f t="shared" si="4"/>
        <v>-0.51120253164556972</v>
      </c>
      <c r="U84" s="24">
        <f t="shared" si="9"/>
        <v>18.445189873417718</v>
      </c>
      <c r="W84">
        <v>473.9</v>
      </c>
      <c r="Y84">
        <f t="shared" si="6"/>
        <v>49269.600000000013</v>
      </c>
      <c r="AA84">
        <v>10.391816754883861</v>
      </c>
    </row>
    <row r="85" spans="1:27" x14ac:dyDescent="0.25">
      <c r="A85">
        <v>5560</v>
      </c>
      <c r="B85">
        <v>22250</v>
      </c>
      <c r="C85" s="1">
        <v>42663</v>
      </c>
      <c r="F85" s="49"/>
      <c r="G85">
        <v>9.8000000000000007</v>
      </c>
      <c r="H85">
        <v>6.9</v>
      </c>
      <c r="I85">
        <v>13.6</v>
      </c>
      <c r="J85">
        <f t="shared" si="5"/>
        <v>670.5</v>
      </c>
      <c r="M85">
        <v>0.2</v>
      </c>
      <c r="N85">
        <v>0.9</v>
      </c>
      <c r="O85">
        <f t="shared" si="2"/>
        <v>-0.7</v>
      </c>
      <c r="P85">
        <f t="shared" si="8"/>
        <v>-2.6000000000000041</v>
      </c>
      <c r="Q85">
        <v>46</v>
      </c>
      <c r="R85">
        <f t="shared" si="7"/>
        <v>0.68734177215189873</v>
      </c>
      <c r="S85">
        <f t="shared" si="3"/>
        <v>0.61860759493670892</v>
      </c>
      <c r="T85" s="24">
        <f t="shared" si="4"/>
        <v>-0.4186075949367089</v>
      </c>
      <c r="U85" s="24">
        <f t="shared" si="9"/>
        <v>18.026582278481008</v>
      </c>
      <c r="W85">
        <v>497.2</v>
      </c>
      <c r="Y85">
        <f t="shared" si="6"/>
        <v>49766.80000000001</v>
      </c>
      <c r="AA85">
        <v>10.338028500922924</v>
      </c>
    </row>
    <row r="86" spans="1:27" x14ac:dyDescent="0.25">
      <c r="A86">
        <v>5560</v>
      </c>
      <c r="B86">
        <v>22250</v>
      </c>
      <c r="C86" s="1">
        <v>42664</v>
      </c>
      <c r="F86" s="49"/>
      <c r="G86">
        <v>10.199999999999999</v>
      </c>
      <c r="H86">
        <v>8.6</v>
      </c>
      <c r="I86">
        <v>13.4</v>
      </c>
      <c r="J86">
        <f t="shared" si="5"/>
        <v>680.7</v>
      </c>
      <c r="M86">
        <v>0</v>
      </c>
      <c r="N86">
        <v>1.2</v>
      </c>
      <c r="O86">
        <f t="shared" si="2"/>
        <v>-1.2</v>
      </c>
      <c r="P86">
        <f t="shared" si="8"/>
        <v>-3.8000000000000043</v>
      </c>
      <c r="Q86">
        <v>47</v>
      </c>
      <c r="R86">
        <f t="shared" si="7"/>
        <v>0.69556962025316449</v>
      </c>
      <c r="S86">
        <f t="shared" si="3"/>
        <v>0.83468354430379732</v>
      </c>
      <c r="T86" s="24">
        <f t="shared" si="4"/>
        <v>-0.83468354430379732</v>
      </c>
      <c r="U86" s="24">
        <f t="shared" si="9"/>
        <v>17.191898734177212</v>
      </c>
      <c r="W86">
        <v>941.8</v>
      </c>
      <c r="Y86">
        <f t="shared" si="6"/>
        <v>50708.600000000013</v>
      </c>
      <c r="AA86">
        <v>10.284537676726721</v>
      </c>
    </row>
    <row r="87" spans="1:27" x14ac:dyDescent="0.25">
      <c r="A87">
        <v>5560</v>
      </c>
      <c r="B87">
        <v>22250</v>
      </c>
      <c r="C87" s="1">
        <v>42665</v>
      </c>
      <c r="F87" s="49"/>
      <c r="G87">
        <v>6.9</v>
      </c>
      <c r="H87">
        <v>3</v>
      </c>
      <c r="I87">
        <v>9.9</v>
      </c>
      <c r="J87">
        <f t="shared" si="5"/>
        <v>687.6</v>
      </c>
      <c r="M87">
        <v>0</v>
      </c>
      <c r="N87">
        <v>0.7</v>
      </c>
      <c r="O87">
        <f t="shared" si="2"/>
        <v>-0.7</v>
      </c>
      <c r="P87">
        <f t="shared" si="8"/>
        <v>-4.5000000000000044</v>
      </c>
      <c r="Q87">
        <v>48</v>
      </c>
      <c r="R87">
        <f t="shared" si="7"/>
        <v>0.70379746835443036</v>
      </c>
      <c r="S87">
        <f t="shared" si="3"/>
        <v>0.4926582278481012</v>
      </c>
      <c r="T87" s="24">
        <f t="shared" si="4"/>
        <v>-0.4926582278481012</v>
      </c>
      <c r="U87" s="24">
        <f t="shared" si="9"/>
        <v>16.699240506329112</v>
      </c>
      <c r="W87">
        <v>877.2</v>
      </c>
      <c r="Y87">
        <f t="shared" si="6"/>
        <v>51585.80000000001</v>
      </c>
      <c r="AA87">
        <v>10.23135836511514</v>
      </c>
    </row>
    <row r="88" spans="1:27" x14ac:dyDescent="0.25">
      <c r="A88">
        <v>5560</v>
      </c>
      <c r="B88">
        <v>22250</v>
      </c>
      <c r="C88" s="1">
        <v>42666</v>
      </c>
      <c r="F88" s="49"/>
      <c r="G88">
        <v>9.6999999999999993</v>
      </c>
      <c r="H88">
        <v>5</v>
      </c>
      <c r="I88">
        <v>12.9</v>
      </c>
      <c r="J88">
        <f t="shared" si="5"/>
        <v>697.30000000000007</v>
      </c>
      <c r="M88">
        <v>25.5</v>
      </c>
      <c r="N88">
        <v>0.3</v>
      </c>
      <c r="O88">
        <f t="shared" si="2"/>
        <v>25.2</v>
      </c>
      <c r="P88">
        <f t="shared" si="8"/>
        <v>20.699999999999996</v>
      </c>
      <c r="Q88">
        <v>49</v>
      </c>
      <c r="R88">
        <f t="shared" si="7"/>
        <v>0.71202531645569622</v>
      </c>
      <c r="S88">
        <f t="shared" si="3"/>
        <v>0.21360759493670886</v>
      </c>
      <c r="T88" s="24">
        <f t="shared" si="4"/>
        <v>25.286392405063292</v>
      </c>
      <c r="U88" s="24">
        <f t="shared" si="9"/>
        <v>41.985632911392401</v>
      </c>
      <c r="W88">
        <v>139.6</v>
      </c>
      <c r="Y88">
        <f t="shared" si="6"/>
        <v>51725.400000000009</v>
      </c>
      <c r="AA88">
        <v>10.178505013905102</v>
      </c>
    </row>
    <row r="89" spans="1:27" x14ac:dyDescent="0.25">
      <c r="A89">
        <v>5560</v>
      </c>
      <c r="B89">
        <v>22250</v>
      </c>
      <c r="C89" s="1">
        <v>42667</v>
      </c>
      <c r="F89" s="49"/>
      <c r="G89">
        <v>13.1</v>
      </c>
      <c r="H89">
        <v>12</v>
      </c>
      <c r="I89">
        <v>14.6</v>
      </c>
      <c r="J89">
        <f t="shared" si="5"/>
        <v>710.40000000000009</v>
      </c>
      <c r="M89">
        <v>5.8</v>
      </c>
      <c r="N89">
        <v>0.5</v>
      </c>
      <c r="O89">
        <f t="shared" si="2"/>
        <v>5.3</v>
      </c>
      <c r="P89">
        <f t="shared" si="8"/>
        <v>25.999999999999996</v>
      </c>
      <c r="Q89">
        <v>50</v>
      </c>
      <c r="R89">
        <f t="shared" si="7"/>
        <v>0.72025316455696209</v>
      </c>
      <c r="S89">
        <f t="shared" si="3"/>
        <v>0.36012658227848104</v>
      </c>
      <c r="T89" s="24">
        <f t="shared" si="4"/>
        <v>5.4398734177215191</v>
      </c>
      <c r="U89" s="24">
        <f t="shared" si="9"/>
        <v>47.425506329113922</v>
      </c>
      <c r="W89">
        <v>153.1</v>
      </c>
      <c r="Y89">
        <f t="shared" si="6"/>
        <v>51878.500000000007</v>
      </c>
      <c r="AA89">
        <v>10.125992441192741</v>
      </c>
    </row>
    <row r="90" spans="1:27" x14ac:dyDescent="0.25">
      <c r="A90">
        <v>5560</v>
      </c>
      <c r="B90">
        <v>22250</v>
      </c>
      <c r="C90" s="1">
        <v>42668</v>
      </c>
      <c r="F90" s="49"/>
      <c r="G90">
        <v>11.7</v>
      </c>
      <c r="H90">
        <v>6.6</v>
      </c>
      <c r="I90">
        <v>14.6</v>
      </c>
      <c r="J90">
        <f t="shared" si="5"/>
        <v>722.10000000000014</v>
      </c>
      <c r="M90">
        <v>0</v>
      </c>
      <c r="N90">
        <v>0.5</v>
      </c>
      <c r="O90">
        <f t="shared" si="2"/>
        <v>-0.5</v>
      </c>
      <c r="P90">
        <f t="shared" si="8"/>
        <v>25.499999999999996</v>
      </c>
      <c r="Q90">
        <v>51</v>
      </c>
      <c r="R90">
        <f t="shared" si="7"/>
        <v>0.72848101265822784</v>
      </c>
      <c r="S90">
        <f t="shared" si="3"/>
        <v>0.36424050632911392</v>
      </c>
      <c r="T90" s="24">
        <f t="shared" si="4"/>
        <v>-0.36424050632911392</v>
      </c>
      <c r="U90" s="24">
        <f t="shared" si="9"/>
        <v>47.061265822784812</v>
      </c>
      <c r="W90">
        <v>548.9</v>
      </c>
      <c r="Y90">
        <f t="shared" si="6"/>
        <v>52427.400000000009</v>
      </c>
      <c r="AA90">
        <v>10.073835839787554</v>
      </c>
    </row>
    <row r="91" spans="1:27" x14ac:dyDescent="0.25">
      <c r="A91">
        <v>5560</v>
      </c>
      <c r="B91">
        <v>22250</v>
      </c>
      <c r="C91" s="1">
        <v>42669</v>
      </c>
      <c r="F91" s="49"/>
      <c r="G91">
        <v>12</v>
      </c>
      <c r="H91">
        <v>10.8</v>
      </c>
      <c r="I91">
        <v>14.7</v>
      </c>
      <c r="J91">
        <f t="shared" si="5"/>
        <v>734.10000000000014</v>
      </c>
      <c r="M91">
        <v>0</v>
      </c>
      <c r="N91">
        <v>1</v>
      </c>
      <c r="O91">
        <f t="shared" si="2"/>
        <v>-1</v>
      </c>
      <c r="P91">
        <f t="shared" si="8"/>
        <v>24.499999999999996</v>
      </c>
      <c r="Q91">
        <v>52</v>
      </c>
      <c r="R91">
        <f t="shared" si="7"/>
        <v>0.7367088607594936</v>
      </c>
      <c r="S91">
        <f t="shared" si="3"/>
        <v>0.7367088607594936</v>
      </c>
      <c r="T91" s="24">
        <f t="shared" si="4"/>
        <v>-0.7367088607594936</v>
      </c>
      <c r="U91" s="24">
        <f t="shared" si="9"/>
        <v>46.324556962025319</v>
      </c>
      <c r="W91">
        <v>422.3</v>
      </c>
      <c r="Y91">
        <f t="shared" si="6"/>
        <v>52849.700000000012</v>
      </c>
      <c r="AA91">
        <v>10.022050780743539</v>
      </c>
    </row>
    <row r="92" spans="1:27" x14ac:dyDescent="0.25">
      <c r="A92">
        <v>5560</v>
      </c>
      <c r="B92">
        <v>22250</v>
      </c>
      <c r="C92" s="1">
        <v>42670</v>
      </c>
      <c r="F92" s="49"/>
      <c r="G92">
        <v>8.9</v>
      </c>
      <c r="H92">
        <v>8.1999999999999993</v>
      </c>
      <c r="I92">
        <v>11.2</v>
      </c>
      <c r="J92">
        <f t="shared" si="5"/>
        <v>743.00000000000011</v>
      </c>
      <c r="M92">
        <v>0.2</v>
      </c>
      <c r="N92">
        <v>0.8</v>
      </c>
      <c r="O92">
        <f t="shared" si="2"/>
        <v>-0.60000000000000009</v>
      </c>
      <c r="P92">
        <f t="shared" si="8"/>
        <v>23.899999999999995</v>
      </c>
      <c r="Q92">
        <v>53</v>
      </c>
      <c r="R92">
        <f t="shared" si="7"/>
        <v>0.74493670886075947</v>
      </c>
      <c r="S92">
        <f t="shared" si="3"/>
        <v>0.59594936708860757</v>
      </c>
      <c r="T92" s="24">
        <f t="shared" si="4"/>
        <v>-0.39594936708860756</v>
      </c>
      <c r="U92" s="24">
        <f t="shared" si="9"/>
        <v>45.928607594936715</v>
      </c>
      <c r="W92">
        <v>374.3</v>
      </c>
      <c r="Y92">
        <f t="shared" si="6"/>
        <v>53224.000000000015</v>
      </c>
      <c r="AA92">
        <v>9.9706532159306729</v>
      </c>
    </row>
    <row r="93" spans="1:27" x14ac:dyDescent="0.25">
      <c r="A93">
        <v>5560</v>
      </c>
      <c r="B93">
        <v>22250</v>
      </c>
      <c r="C93" s="1">
        <v>42671</v>
      </c>
      <c r="F93" s="49"/>
      <c r="G93">
        <v>8.6999999999999993</v>
      </c>
      <c r="H93">
        <v>4.7</v>
      </c>
      <c r="I93">
        <v>13</v>
      </c>
      <c r="J93">
        <f t="shared" si="5"/>
        <v>751.70000000000016</v>
      </c>
      <c r="M93">
        <v>0.1</v>
      </c>
      <c r="N93">
        <v>1</v>
      </c>
      <c r="O93">
        <f t="shared" si="2"/>
        <v>-0.9</v>
      </c>
      <c r="P93">
        <f t="shared" si="8"/>
        <v>22.999999999999996</v>
      </c>
      <c r="Q93">
        <v>54</v>
      </c>
      <c r="R93">
        <f t="shared" si="7"/>
        <v>0.75316455696202533</v>
      </c>
      <c r="S93">
        <f t="shared" si="3"/>
        <v>0.75316455696202533</v>
      </c>
      <c r="T93" s="24">
        <f t="shared" si="4"/>
        <v>-0.65316455696202536</v>
      </c>
      <c r="U93" s="24">
        <f t="shared" si="9"/>
        <v>45.275443037974689</v>
      </c>
      <c r="W93">
        <v>737.9</v>
      </c>
      <c r="Y93">
        <f t="shared" si="6"/>
        <v>53961.900000000016</v>
      </c>
      <c r="AA93">
        <v>9.9196594795887343</v>
      </c>
    </row>
    <row r="94" spans="1:27" x14ac:dyDescent="0.25">
      <c r="A94">
        <v>5560</v>
      </c>
      <c r="B94">
        <v>22250</v>
      </c>
      <c r="C94" s="1">
        <v>42672</v>
      </c>
      <c r="F94" s="49"/>
      <c r="G94">
        <v>7.4</v>
      </c>
      <c r="H94">
        <v>6.1</v>
      </c>
      <c r="I94">
        <v>9</v>
      </c>
      <c r="J94">
        <f t="shared" si="5"/>
        <v>759.10000000000014</v>
      </c>
      <c r="M94">
        <v>0</v>
      </c>
      <c r="N94">
        <v>0.6</v>
      </c>
      <c r="O94">
        <f t="shared" si="2"/>
        <v>-0.6</v>
      </c>
      <c r="P94">
        <f t="shared" si="8"/>
        <v>22.399999999999995</v>
      </c>
      <c r="Q94">
        <v>55</v>
      </c>
      <c r="R94">
        <f t="shared" si="7"/>
        <v>0.7613924050632912</v>
      </c>
      <c r="S94">
        <f t="shared" si="3"/>
        <v>0.45683544303797469</v>
      </c>
      <c r="T94" s="24">
        <f t="shared" si="4"/>
        <v>-0.45683544303797469</v>
      </c>
      <c r="U94" s="24">
        <f t="shared" si="9"/>
        <v>44.818607594936715</v>
      </c>
      <c r="W94">
        <v>269.5</v>
      </c>
      <c r="Y94">
        <f t="shared" si="6"/>
        <v>54231.400000000016</v>
      </c>
      <c r="AA94">
        <v>9.8690862888042883</v>
      </c>
    </row>
    <row r="95" spans="1:27" x14ac:dyDescent="0.25">
      <c r="A95">
        <v>5560</v>
      </c>
      <c r="B95">
        <v>22250</v>
      </c>
      <c r="C95" s="1">
        <v>42673</v>
      </c>
      <c r="F95" s="49"/>
      <c r="G95">
        <v>10.199999999999999</v>
      </c>
      <c r="H95">
        <v>7.7</v>
      </c>
      <c r="I95">
        <v>12.8</v>
      </c>
      <c r="J95">
        <f t="shared" si="5"/>
        <v>769.30000000000018</v>
      </c>
      <c r="M95">
        <v>0</v>
      </c>
      <c r="N95">
        <v>1.4</v>
      </c>
      <c r="O95">
        <f t="shared" si="2"/>
        <v>-1.4</v>
      </c>
      <c r="P95">
        <f t="shared" si="8"/>
        <v>20.999999999999996</v>
      </c>
      <c r="Q95">
        <v>56</v>
      </c>
      <c r="R95">
        <f t="shared" si="7"/>
        <v>0.76962025316455696</v>
      </c>
      <c r="S95">
        <f t="shared" si="3"/>
        <v>1.0774683544303796</v>
      </c>
      <c r="T95" s="24">
        <f t="shared" si="4"/>
        <v>-1.0774683544303796</v>
      </c>
      <c r="U95" s="24">
        <f t="shared" si="9"/>
        <v>43.741139240506335</v>
      </c>
      <c r="W95">
        <v>907</v>
      </c>
      <c r="Y95">
        <f t="shared" si="6"/>
        <v>55138.400000000016</v>
      </c>
      <c r="AA95">
        <v>9.8189507428505891</v>
      </c>
    </row>
    <row r="96" spans="1:27" x14ac:dyDescent="0.25">
      <c r="A96">
        <v>5560</v>
      </c>
      <c r="B96">
        <v>22250</v>
      </c>
      <c r="C96" s="1">
        <v>42674</v>
      </c>
      <c r="F96" s="49"/>
      <c r="G96">
        <v>8.9</v>
      </c>
      <c r="H96">
        <v>5.6</v>
      </c>
      <c r="I96">
        <v>13.9</v>
      </c>
      <c r="J96">
        <f t="shared" si="5"/>
        <v>778.20000000000016</v>
      </c>
      <c r="M96">
        <v>0</v>
      </c>
      <c r="N96">
        <v>1.6</v>
      </c>
      <c r="O96">
        <f t="shared" si="2"/>
        <v>-1.6</v>
      </c>
      <c r="P96">
        <f t="shared" si="8"/>
        <v>19.399999999999995</v>
      </c>
      <c r="Q96">
        <v>57</v>
      </c>
      <c r="R96">
        <f t="shared" si="7"/>
        <v>0.77784810126582271</v>
      </c>
      <c r="S96">
        <f t="shared" si="3"/>
        <v>1.2445569620253165</v>
      </c>
      <c r="T96" s="24">
        <f t="shared" si="4"/>
        <v>-1.2445569620253165</v>
      </c>
      <c r="U96" s="24">
        <f t="shared" si="9"/>
        <v>42.496582278481021</v>
      </c>
      <c r="W96">
        <v>1002.9</v>
      </c>
      <c r="Y96">
        <f t="shared" si="6"/>
        <v>56141.300000000017</v>
      </c>
      <c r="AA96">
        <v>9.7692703213295964</v>
      </c>
    </row>
    <row r="97" spans="1:27" x14ac:dyDescent="0.25">
      <c r="A97">
        <v>5560</v>
      </c>
      <c r="B97">
        <v>22250</v>
      </c>
      <c r="C97" s="1">
        <v>42675</v>
      </c>
      <c r="F97" s="49"/>
      <c r="G97">
        <v>8.1999999999999993</v>
      </c>
      <c r="H97">
        <v>2.4</v>
      </c>
      <c r="I97">
        <v>15.1</v>
      </c>
      <c r="J97">
        <f t="shared" si="5"/>
        <v>786.4000000000002</v>
      </c>
      <c r="M97">
        <v>0</v>
      </c>
      <c r="N97">
        <v>1.3</v>
      </c>
      <c r="O97">
        <f t="shared" si="2"/>
        <v>-1.3</v>
      </c>
      <c r="P97">
        <f t="shared" si="8"/>
        <v>18.099999999999994</v>
      </c>
      <c r="Q97">
        <v>58</v>
      </c>
      <c r="R97">
        <f t="shared" si="7"/>
        <v>0.78607594936708858</v>
      </c>
      <c r="S97">
        <f t="shared" si="3"/>
        <v>1.0218987341772152</v>
      </c>
      <c r="T97" s="24">
        <f t="shared" si="4"/>
        <v>-1.0218987341772152</v>
      </c>
      <c r="U97" s="24">
        <f t="shared" si="9"/>
        <v>41.474683544303808</v>
      </c>
      <c r="W97">
        <v>872.4</v>
      </c>
      <c r="Y97">
        <f t="shared" si="6"/>
        <v>57013.700000000019</v>
      </c>
      <c r="AA97">
        <v>9.7200628810548562</v>
      </c>
    </row>
    <row r="98" spans="1:27" x14ac:dyDescent="0.25">
      <c r="A98">
        <v>5560</v>
      </c>
      <c r="B98">
        <v>22250</v>
      </c>
      <c r="C98" s="1">
        <v>42676</v>
      </c>
      <c r="F98" s="49"/>
      <c r="G98">
        <v>6.9</v>
      </c>
      <c r="H98">
        <v>4.2</v>
      </c>
      <c r="I98">
        <v>8.8000000000000007</v>
      </c>
      <c r="J98">
        <f t="shared" si="5"/>
        <v>793.30000000000018</v>
      </c>
      <c r="M98">
        <v>0.1</v>
      </c>
      <c r="N98">
        <v>0.2</v>
      </c>
      <c r="O98">
        <f t="shared" si="2"/>
        <v>-0.1</v>
      </c>
      <c r="P98">
        <f t="shared" si="8"/>
        <v>17.999999999999993</v>
      </c>
      <c r="Q98">
        <v>59</v>
      </c>
      <c r="R98">
        <f t="shared" si="7"/>
        <v>0.79430379746835444</v>
      </c>
      <c r="S98">
        <f t="shared" si="3"/>
        <v>0.1588607594936709</v>
      </c>
      <c r="T98" s="24">
        <f t="shared" si="4"/>
        <v>-5.8860759493670894E-2</v>
      </c>
      <c r="U98" s="24">
        <f t="shared" si="9"/>
        <v>41.415822784810139</v>
      </c>
      <c r="W98">
        <v>197.5</v>
      </c>
      <c r="Y98">
        <f t="shared" si="6"/>
        <v>57211.200000000019</v>
      </c>
      <c r="AA98">
        <v>9.671346651613959</v>
      </c>
    </row>
    <row r="99" spans="1:27" x14ac:dyDescent="0.25">
      <c r="A99">
        <v>5560</v>
      </c>
      <c r="B99">
        <v>22250</v>
      </c>
      <c r="C99" s="1">
        <v>42677</v>
      </c>
      <c r="F99" s="49"/>
      <c r="G99">
        <v>5</v>
      </c>
      <c r="H99">
        <v>1.6</v>
      </c>
      <c r="I99">
        <v>8.3000000000000007</v>
      </c>
      <c r="J99">
        <f t="shared" si="5"/>
        <v>798.30000000000018</v>
      </c>
      <c r="M99">
        <v>0</v>
      </c>
      <c r="N99">
        <v>0.7</v>
      </c>
      <c r="O99">
        <f t="shared" si="2"/>
        <v>-0.7</v>
      </c>
      <c r="P99">
        <f t="shared" si="8"/>
        <v>17.299999999999994</v>
      </c>
      <c r="Q99">
        <v>60</v>
      </c>
      <c r="R99">
        <f t="shared" si="7"/>
        <v>0.80253164556962031</v>
      </c>
      <c r="S99">
        <f t="shared" si="3"/>
        <v>0.5617721518987342</v>
      </c>
      <c r="T99" s="24">
        <f t="shared" si="4"/>
        <v>-0.5617721518987342</v>
      </c>
      <c r="U99" s="24">
        <f t="shared" si="9"/>
        <v>40.854050632911402</v>
      </c>
      <c r="W99">
        <v>545.6</v>
      </c>
      <c r="Y99">
        <f t="shared" si="6"/>
        <v>57756.800000000017</v>
      </c>
      <c r="AA99">
        <v>9.6231402295496942</v>
      </c>
    </row>
    <row r="100" spans="1:27" x14ac:dyDescent="0.25">
      <c r="A100">
        <v>5560</v>
      </c>
      <c r="B100">
        <v>22250</v>
      </c>
      <c r="C100" s="1">
        <v>42678</v>
      </c>
      <c r="F100" s="49"/>
      <c r="G100">
        <v>8</v>
      </c>
      <c r="H100">
        <v>0.6</v>
      </c>
      <c r="I100">
        <v>12.8</v>
      </c>
      <c r="J100">
        <f t="shared" si="5"/>
        <v>806.30000000000018</v>
      </c>
      <c r="M100">
        <v>14.3</v>
      </c>
      <c r="N100">
        <v>0.5</v>
      </c>
      <c r="O100">
        <f t="shared" si="2"/>
        <v>13.8</v>
      </c>
      <c r="P100">
        <f t="shared" si="8"/>
        <v>31.099999999999994</v>
      </c>
      <c r="Q100">
        <v>61</v>
      </c>
      <c r="R100">
        <f t="shared" si="7"/>
        <v>0.81075949367088607</v>
      </c>
      <c r="S100">
        <f t="shared" si="3"/>
        <v>0.40537974683544303</v>
      </c>
      <c r="T100" s="24">
        <f t="shared" si="4"/>
        <v>13.894620253164558</v>
      </c>
      <c r="U100" s="24">
        <f t="shared" si="9"/>
        <v>54.748670886075956</v>
      </c>
      <c r="W100">
        <v>534.6</v>
      </c>
      <c r="Y100">
        <f t="shared" si="6"/>
        <v>58291.400000000016</v>
      </c>
      <c r="AA100">
        <v>9.5754625710997914</v>
      </c>
    </row>
    <row r="101" spans="1:27" x14ac:dyDescent="0.25">
      <c r="A101">
        <v>5560</v>
      </c>
      <c r="B101">
        <v>22250</v>
      </c>
      <c r="C101" s="1">
        <v>42679</v>
      </c>
      <c r="F101" s="49"/>
      <c r="G101">
        <v>8.1</v>
      </c>
      <c r="H101">
        <v>6.1</v>
      </c>
      <c r="I101">
        <v>9.9</v>
      </c>
      <c r="J101">
        <f t="shared" si="5"/>
        <v>814.4000000000002</v>
      </c>
      <c r="M101">
        <v>3.1</v>
      </c>
      <c r="N101">
        <v>0.2</v>
      </c>
      <c r="O101">
        <f t="shared" si="2"/>
        <v>2.9</v>
      </c>
      <c r="P101">
        <f t="shared" si="8"/>
        <v>33.999999999999993</v>
      </c>
      <c r="Q101">
        <v>62</v>
      </c>
      <c r="R101">
        <f t="shared" si="7"/>
        <v>0.81898734177215182</v>
      </c>
      <c r="S101">
        <f t="shared" si="3"/>
        <v>0.16379746835443038</v>
      </c>
      <c r="T101" s="24">
        <f t="shared" si="4"/>
        <v>2.9362025316455695</v>
      </c>
      <c r="U101" s="24">
        <f t="shared" si="9"/>
        <v>57.684873417721526</v>
      </c>
      <c r="W101">
        <v>225.6</v>
      </c>
      <c r="Y101">
        <f t="shared" si="6"/>
        <v>58517.000000000015</v>
      </c>
      <c r="AA101">
        <v>9.5283329834364263</v>
      </c>
    </row>
    <row r="102" spans="1:27" x14ac:dyDescent="0.25">
      <c r="A102">
        <v>5560</v>
      </c>
      <c r="B102">
        <v>22250</v>
      </c>
      <c r="C102" s="1">
        <v>42680</v>
      </c>
      <c r="F102" s="49"/>
      <c r="G102">
        <v>4.5999999999999996</v>
      </c>
      <c r="H102">
        <v>3.9</v>
      </c>
      <c r="I102">
        <v>7.7</v>
      </c>
      <c r="J102">
        <f t="shared" si="5"/>
        <v>819.00000000000023</v>
      </c>
      <c r="M102">
        <v>2.5</v>
      </c>
      <c r="N102">
        <v>0.7</v>
      </c>
      <c r="O102">
        <f t="shared" si="2"/>
        <v>1.8</v>
      </c>
      <c r="P102">
        <f t="shared" si="8"/>
        <v>35.79999999999999</v>
      </c>
      <c r="Q102">
        <v>63</v>
      </c>
      <c r="R102">
        <f t="shared" si="7"/>
        <v>0.82721518987341769</v>
      </c>
      <c r="S102">
        <f t="shared" si="3"/>
        <v>0.57905063291139236</v>
      </c>
      <c r="T102" s="24">
        <f t="shared" si="4"/>
        <v>1.9209493670886078</v>
      </c>
      <c r="U102" s="24">
        <f t="shared" si="9"/>
        <v>59.605822784810137</v>
      </c>
      <c r="W102">
        <v>509.5</v>
      </c>
      <c r="Y102">
        <f t="shared" si="6"/>
        <v>59026.500000000015</v>
      </c>
      <c r="AA102">
        <v>9.4817711143484473</v>
      </c>
    </row>
    <row r="103" spans="1:27" x14ac:dyDescent="0.25">
      <c r="A103">
        <v>5560</v>
      </c>
      <c r="B103">
        <v>22250</v>
      </c>
      <c r="C103" s="1">
        <v>42681</v>
      </c>
      <c r="F103" s="49"/>
      <c r="G103">
        <v>3.1</v>
      </c>
      <c r="H103">
        <v>-0.6</v>
      </c>
      <c r="I103">
        <v>6.3</v>
      </c>
      <c r="J103">
        <f t="shared" si="5"/>
        <v>822.10000000000025</v>
      </c>
      <c r="M103">
        <v>4.8</v>
      </c>
      <c r="N103">
        <v>0.2</v>
      </c>
      <c r="O103">
        <f t="shared" si="2"/>
        <v>4.5999999999999996</v>
      </c>
      <c r="P103">
        <f t="shared" si="8"/>
        <v>40.399999999999991</v>
      </c>
      <c r="Q103">
        <v>64</v>
      </c>
      <c r="R103">
        <f t="shared" si="7"/>
        <v>0.83544303797468356</v>
      </c>
      <c r="S103">
        <f t="shared" si="3"/>
        <v>0.16708860759493671</v>
      </c>
      <c r="T103" s="24">
        <f t="shared" si="4"/>
        <v>4.6329113924050631</v>
      </c>
      <c r="U103" s="24">
        <f t="shared" si="9"/>
        <v>64.238734177215207</v>
      </c>
      <c r="W103">
        <v>172.9</v>
      </c>
      <c r="Y103">
        <f t="shared" si="6"/>
        <v>59199.400000000016</v>
      </c>
      <c r="AA103">
        <v>9.4357969403116506</v>
      </c>
    </row>
    <row r="104" spans="1:27" x14ac:dyDescent="0.25">
      <c r="A104">
        <v>5560</v>
      </c>
      <c r="B104">
        <v>22250</v>
      </c>
      <c r="C104" s="1">
        <v>42682</v>
      </c>
      <c r="F104" s="49"/>
      <c r="G104">
        <v>5</v>
      </c>
      <c r="H104">
        <v>3.5</v>
      </c>
      <c r="I104">
        <v>7.5</v>
      </c>
      <c r="J104">
        <f t="shared" si="5"/>
        <v>827.10000000000025</v>
      </c>
      <c r="M104">
        <v>5.7</v>
      </c>
      <c r="N104">
        <v>0.6</v>
      </c>
      <c r="O104">
        <f t="shared" si="2"/>
        <v>5.1000000000000005</v>
      </c>
      <c r="P104">
        <f t="shared" si="8"/>
        <v>45.499999999999993</v>
      </c>
      <c r="Q104">
        <v>65</v>
      </c>
      <c r="R104">
        <f t="shared" si="7"/>
        <v>0.84367088607594942</v>
      </c>
      <c r="S104">
        <f t="shared" si="3"/>
        <v>0.50620253164556961</v>
      </c>
      <c r="T104" s="24">
        <f t="shared" si="4"/>
        <v>5.1937974683544308</v>
      </c>
      <c r="U104" s="24">
        <f t="shared" si="9"/>
        <v>69.43253164556964</v>
      </c>
      <c r="W104">
        <v>262.10000000000002</v>
      </c>
      <c r="Y104">
        <f t="shared" si="6"/>
        <v>59461.500000000015</v>
      </c>
      <c r="AA104">
        <v>9.390430752895357</v>
      </c>
    </row>
    <row r="105" spans="1:27" x14ac:dyDescent="0.25">
      <c r="A105">
        <v>5560</v>
      </c>
      <c r="B105">
        <v>22250</v>
      </c>
      <c r="C105" s="1">
        <v>42683</v>
      </c>
      <c r="F105" s="49"/>
      <c r="G105">
        <v>8.3000000000000007</v>
      </c>
      <c r="H105">
        <v>5.6</v>
      </c>
      <c r="I105">
        <v>10.1</v>
      </c>
      <c r="J105">
        <f t="shared" si="5"/>
        <v>835.4000000000002</v>
      </c>
      <c r="M105">
        <v>6.4</v>
      </c>
      <c r="N105">
        <v>0.8</v>
      </c>
      <c r="O105">
        <f t="shared" ref="O105:O168" si="10">M105-N105</f>
        <v>5.6000000000000005</v>
      </c>
      <c r="P105">
        <f t="shared" si="8"/>
        <v>51.099999999999994</v>
      </c>
      <c r="Q105">
        <v>66</v>
      </c>
      <c r="R105">
        <f t="shared" si="7"/>
        <v>0.85189873417721518</v>
      </c>
      <c r="S105">
        <f t="shared" ref="S105:S168" si="11">R105*N105</f>
        <v>0.68151898734177219</v>
      </c>
      <c r="T105" s="24">
        <f t="shared" ref="T105:T168" si="12">M105-S105</f>
        <v>5.7184810126582279</v>
      </c>
      <c r="U105" s="24">
        <f t="shared" si="9"/>
        <v>75.15101265822787</v>
      </c>
      <c r="W105">
        <v>122</v>
      </c>
      <c r="Y105">
        <f t="shared" si="6"/>
        <v>59583.500000000015</v>
      </c>
      <c r="AA105">
        <v>9.3456931434572006</v>
      </c>
    </row>
    <row r="106" spans="1:27" x14ac:dyDescent="0.25">
      <c r="A106">
        <v>5560</v>
      </c>
      <c r="B106">
        <v>22250</v>
      </c>
      <c r="C106" s="1">
        <v>42684</v>
      </c>
      <c r="F106" s="49"/>
      <c r="G106">
        <v>9.6</v>
      </c>
      <c r="H106">
        <v>7.6</v>
      </c>
      <c r="I106">
        <v>11.1</v>
      </c>
      <c r="J106">
        <f t="shared" ref="J106:J169" si="13">J105+G106</f>
        <v>845.00000000000023</v>
      </c>
      <c r="M106">
        <v>1.8</v>
      </c>
      <c r="N106">
        <v>0.6</v>
      </c>
      <c r="O106">
        <f t="shared" si="10"/>
        <v>1.2000000000000002</v>
      </c>
      <c r="P106">
        <f t="shared" si="8"/>
        <v>52.3</v>
      </c>
      <c r="Q106">
        <v>67</v>
      </c>
      <c r="R106">
        <f t="shared" si="7"/>
        <v>0.86012658227848093</v>
      </c>
      <c r="S106">
        <f t="shared" si="11"/>
        <v>0.51607594936708856</v>
      </c>
      <c r="T106" s="24">
        <f t="shared" si="12"/>
        <v>1.2839240506329115</v>
      </c>
      <c r="U106" s="24">
        <f t="shared" si="9"/>
        <v>76.434936708860775</v>
      </c>
      <c r="W106">
        <v>123.9</v>
      </c>
      <c r="Y106">
        <f t="shared" ref="Y106:Y169" si="14">Y105+W106</f>
        <v>59707.400000000016</v>
      </c>
      <c r="AA106">
        <v>9.3016049860822481</v>
      </c>
    </row>
    <row r="107" spans="1:27" x14ac:dyDescent="0.25">
      <c r="A107">
        <v>5560</v>
      </c>
      <c r="B107">
        <v>22250</v>
      </c>
      <c r="C107" s="1">
        <v>42685</v>
      </c>
      <c r="F107" s="49"/>
      <c r="G107">
        <v>6</v>
      </c>
      <c r="H107">
        <v>4.5</v>
      </c>
      <c r="I107">
        <v>9.5</v>
      </c>
      <c r="J107">
        <f t="shared" si="13"/>
        <v>851.00000000000023</v>
      </c>
      <c r="M107">
        <v>0</v>
      </c>
      <c r="N107">
        <v>0.7</v>
      </c>
      <c r="O107">
        <f t="shared" si="10"/>
        <v>-0.7</v>
      </c>
      <c r="P107">
        <f t="shared" si="8"/>
        <v>51.599999999999994</v>
      </c>
      <c r="Q107">
        <v>68</v>
      </c>
      <c r="R107">
        <f t="shared" si="7"/>
        <v>0.8683544303797468</v>
      </c>
      <c r="S107">
        <f t="shared" si="11"/>
        <v>0.60784810126582267</v>
      </c>
      <c r="T107" s="24">
        <f t="shared" si="12"/>
        <v>-0.60784810126582267</v>
      </c>
      <c r="U107" s="24">
        <f t="shared" si="9"/>
        <v>75.827088607594959</v>
      </c>
      <c r="W107">
        <v>343.8</v>
      </c>
      <c r="Y107">
        <f t="shared" si="14"/>
        <v>60051.200000000019</v>
      </c>
      <c r="AA107">
        <v>9.2581874187276298</v>
      </c>
    </row>
    <row r="108" spans="1:27" x14ac:dyDescent="0.25">
      <c r="A108">
        <v>5560</v>
      </c>
      <c r="B108">
        <v>22250</v>
      </c>
      <c r="C108" s="1">
        <v>42686</v>
      </c>
      <c r="F108" s="49"/>
      <c r="G108">
        <v>5.2</v>
      </c>
      <c r="H108">
        <v>-1</v>
      </c>
      <c r="I108">
        <v>9.1</v>
      </c>
      <c r="J108">
        <f t="shared" si="13"/>
        <v>856.20000000000027</v>
      </c>
      <c r="M108">
        <v>6.3</v>
      </c>
      <c r="N108">
        <v>0.3</v>
      </c>
      <c r="O108">
        <f t="shared" si="10"/>
        <v>6</v>
      </c>
      <c r="P108">
        <f t="shared" si="8"/>
        <v>57.599999999999994</v>
      </c>
      <c r="Q108">
        <v>69</v>
      </c>
      <c r="R108">
        <f t="shared" si="7"/>
        <v>0.87658227848101267</v>
      </c>
      <c r="S108">
        <f t="shared" si="11"/>
        <v>0.26297468354430381</v>
      </c>
      <c r="T108" s="24">
        <f t="shared" si="12"/>
        <v>6.0370253164556962</v>
      </c>
      <c r="U108" s="24">
        <f t="shared" si="9"/>
        <v>81.864113924050656</v>
      </c>
      <c r="W108">
        <v>402.1</v>
      </c>
      <c r="Y108">
        <f t="shared" si="14"/>
        <v>60453.300000000017</v>
      </c>
      <c r="AA108">
        <v>9.2154618225396074</v>
      </c>
    </row>
    <row r="109" spans="1:27" x14ac:dyDescent="0.25">
      <c r="A109">
        <v>5560</v>
      </c>
      <c r="B109">
        <v>22250</v>
      </c>
      <c r="C109" s="1">
        <v>42687</v>
      </c>
      <c r="F109" s="49"/>
      <c r="G109">
        <v>8.8000000000000007</v>
      </c>
      <c r="H109">
        <v>7.9</v>
      </c>
      <c r="I109">
        <v>9.1999999999999993</v>
      </c>
      <c r="J109">
        <f t="shared" si="13"/>
        <v>865.00000000000023</v>
      </c>
      <c r="M109">
        <v>0.8</v>
      </c>
      <c r="N109">
        <v>0.2</v>
      </c>
      <c r="O109">
        <f t="shared" si="10"/>
        <v>0.60000000000000009</v>
      </c>
      <c r="P109">
        <f t="shared" si="8"/>
        <v>58.199999999999996</v>
      </c>
      <c r="Q109">
        <v>70</v>
      </c>
      <c r="R109">
        <f t="shared" si="7"/>
        <v>0.88481012658227853</v>
      </c>
      <c r="S109">
        <f t="shared" si="11"/>
        <v>0.17696202531645572</v>
      </c>
      <c r="T109" s="24">
        <f t="shared" si="12"/>
        <v>0.62303797468354438</v>
      </c>
      <c r="U109" s="24">
        <f t="shared" si="9"/>
        <v>82.487151898734197</v>
      </c>
      <c r="W109">
        <v>148.80000000000001</v>
      </c>
      <c r="Y109">
        <f t="shared" si="14"/>
        <v>60602.10000000002</v>
      </c>
      <c r="AA109">
        <v>9.1734497993164705</v>
      </c>
    </row>
    <row r="110" spans="1:27" x14ac:dyDescent="0.25">
      <c r="A110">
        <v>5560</v>
      </c>
      <c r="B110">
        <v>22250</v>
      </c>
      <c r="C110" s="1">
        <v>42688</v>
      </c>
      <c r="F110" s="49"/>
      <c r="G110">
        <v>6.7</v>
      </c>
      <c r="H110">
        <v>6.3</v>
      </c>
      <c r="I110">
        <v>7.2</v>
      </c>
      <c r="J110">
        <f t="shared" si="13"/>
        <v>871.70000000000027</v>
      </c>
      <c r="M110">
        <v>0</v>
      </c>
      <c r="N110">
        <v>0.4</v>
      </c>
      <c r="O110">
        <f t="shared" si="10"/>
        <v>-0.4</v>
      </c>
      <c r="P110">
        <f t="shared" si="8"/>
        <v>57.8</v>
      </c>
      <c r="Q110">
        <v>71</v>
      </c>
      <c r="R110">
        <f t="shared" ref="R110:R123" si="15">0.35+((Q110-5)/79)*(1-0.35)</f>
        <v>0.89303797468354429</v>
      </c>
      <c r="S110">
        <f t="shared" si="11"/>
        <v>0.35721518987341772</v>
      </c>
      <c r="T110" s="24">
        <f t="shared" si="12"/>
        <v>-0.35721518987341772</v>
      </c>
      <c r="U110" s="24">
        <f t="shared" si="9"/>
        <v>82.129936708860782</v>
      </c>
      <c r="W110">
        <v>146.6</v>
      </c>
      <c r="Y110">
        <f t="shared" si="14"/>
        <v>60748.700000000019</v>
      </c>
      <c r="AA110">
        <v>9.1321731470980883</v>
      </c>
    </row>
    <row r="111" spans="1:27" x14ac:dyDescent="0.25">
      <c r="A111">
        <v>5560</v>
      </c>
      <c r="B111">
        <v>22250</v>
      </c>
      <c r="C111" s="1">
        <v>42689</v>
      </c>
      <c r="F111" s="49"/>
      <c r="G111">
        <v>7.9</v>
      </c>
      <c r="H111">
        <v>5.6</v>
      </c>
      <c r="I111">
        <v>10.1</v>
      </c>
      <c r="J111">
        <f t="shared" si="13"/>
        <v>879.60000000000025</v>
      </c>
      <c r="M111">
        <v>0.8</v>
      </c>
      <c r="N111">
        <v>0.5</v>
      </c>
      <c r="O111">
        <f t="shared" si="10"/>
        <v>0.30000000000000004</v>
      </c>
      <c r="P111">
        <f t="shared" si="8"/>
        <v>58.099999999999994</v>
      </c>
      <c r="Q111">
        <v>72</v>
      </c>
      <c r="R111">
        <f t="shared" si="15"/>
        <v>0.90126582278481016</v>
      </c>
      <c r="S111">
        <f t="shared" si="11"/>
        <v>0.45063291139240508</v>
      </c>
      <c r="T111" s="24">
        <f t="shared" si="12"/>
        <v>0.34936708860759497</v>
      </c>
      <c r="U111" s="24">
        <f t="shared" si="9"/>
        <v>82.479303797468376</v>
      </c>
      <c r="W111">
        <v>160.80000000000001</v>
      </c>
      <c r="Y111">
        <f t="shared" si="14"/>
        <v>60909.500000000022</v>
      </c>
      <c r="AA111">
        <v>9.0916538338709412</v>
      </c>
    </row>
    <row r="112" spans="1:27" x14ac:dyDescent="0.25">
      <c r="A112">
        <v>5560</v>
      </c>
      <c r="B112">
        <v>22250</v>
      </c>
      <c r="C112" s="1">
        <v>42690</v>
      </c>
      <c r="F112" s="49"/>
      <c r="G112">
        <v>10.7</v>
      </c>
      <c r="H112">
        <v>9.3000000000000007</v>
      </c>
      <c r="I112">
        <v>11.4</v>
      </c>
      <c r="J112">
        <f t="shared" si="13"/>
        <v>890.3000000000003</v>
      </c>
      <c r="M112">
        <v>4</v>
      </c>
      <c r="N112">
        <v>0.3</v>
      </c>
      <c r="O112">
        <f t="shared" si="10"/>
        <v>3.7</v>
      </c>
      <c r="P112">
        <f t="shared" si="8"/>
        <v>61.8</v>
      </c>
      <c r="Q112">
        <v>73</v>
      </c>
      <c r="R112">
        <f t="shared" si="15"/>
        <v>0.90949367088607602</v>
      </c>
      <c r="S112">
        <f t="shared" si="11"/>
        <v>0.27284810126582282</v>
      </c>
      <c r="T112" s="24">
        <f t="shared" si="12"/>
        <v>3.727151898734177</v>
      </c>
      <c r="U112" s="24">
        <f t="shared" si="9"/>
        <v>86.206455696202553</v>
      </c>
      <c r="W112">
        <v>122.4</v>
      </c>
      <c r="Y112">
        <f t="shared" si="14"/>
        <v>61031.900000000023</v>
      </c>
      <c r="AA112">
        <v>9.0519139693865718</v>
      </c>
    </row>
    <row r="113" spans="1:28" x14ac:dyDescent="0.25">
      <c r="A113">
        <v>5560</v>
      </c>
      <c r="B113">
        <v>22250</v>
      </c>
      <c r="C113" s="1">
        <v>42691</v>
      </c>
      <c r="F113" s="49"/>
      <c r="G113">
        <v>11.2</v>
      </c>
      <c r="H113">
        <v>10.199999999999999</v>
      </c>
      <c r="I113">
        <v>11.8</v>
      </c>
      <c r="J113">
        <f t="shared" si="13"/>
        <v>901.50000000000034</v>
      </c>
      <c r="M113">
        <v>6.3</v>
      </c>
      <c r="N113">
        <v>0.4</v>
      </c>
      <c r="O113">
        <f t="shared" si="10"/>
        <v>5.8999999999999995</v>
      </c>
      <c r="P113">
        <f t="shared" ref="P113:P176" si="16">P112+O113</f>
        <v>67.7</v>
      </c>
      <c r="Q113">
        <v>74</v>
      </c>
      <c r="R113">
        <f t="shared" si="15"/>
        <v>0.91772151898734178</v>
      </c>
      <c r="S113">
        <f t="shared" si="11"/>
        <v>0.36708860759493672</v>
      </c>
      <c r="T113" s="24">
        <f t="shared" si="12"/>
        <v>5.9329113924050629</v>
      </c>
      <c r="U113" s="24">
        <f t="shared" si="9"/>
        <v>92.139367088607614</v>
      </c>
      <c r="W113">
        <v>150.9</v>
      </c>
      <c r="Y113">
        <f t="shared" si="14"/>
        <v>61182.800000000025</v>
      </c>
      <c r="AA113">
        <v>9.0129757751009887</v>
      </c>
    </row>
    <row r="114" spans="1:28" x14ac:dyDescent="0.25">
      <c r="A114">
        <v>5560</v>
      </c>
      <c r="B114">
        <v>22250</v>
      </c>
      <c r="C114" s="1">
        <v>42692</v>
      </c>
      <c r="E114" t="s">
        <v>61</v>
      </c>
      <c r="F114" s="49"/>
      <c r="G114">
        <v>9.4</v>
      </c>
      <c r="H114">
        <v>6.9</v>
      </c>
      <c r="I114">
        <v>11.3</v>
      </c>
      <c r="J114">
        <f t="shared" si="13"/>
        <v>910.90000000000032</v>
      </c>
      <c r="M114">
        <v>6.6</v>
      </c>
      <c r="N114">
        <v>0.9</v>
      </c>
      <c r="O114">
        <f t="shared" si="10"/>
        <v>5.6999999999999993</v>
      </c>
      <c r="P114">
        <f t="shared" si="16"/>
        <v>73.400000000000006</v>
      </c>
      <c r="Q114">
        <v>75</v>
      </c>
      <c r="R114">
        <f t="shared" si="15"/>
        <v>0.92594936708860753</v>
      </c>
      <c r="S114">
        <f t="shared" si="11"/>
        <v>0.83335443037974677</v>
      </c>
      <c r="T114" s="24">
        <f t="shared" si="12"/>
        <v>5.7666455696202528</v>
      </c>
      <c r="U114" s="24">
        <f t="shared" ref="U114:U177" si="17">MIN(122.1,U113+T114)</f>
        <v>97.906012658227866</v>
      </c>
      <c r="W114">
        <v>517.20000000000005</v>
      </c>
      <c r="Y114">
        <f t="shared" si="14"/>
        <v>61700.000000000022</v>
      </c>
      <c r="AA114" s="36">
        <v>8.9748615522532464</v>
      </c>
    </row>
    <row r="115" spans="1:28" x14ac:dyDescent="0.25">
      <c r="A115">
        <v>5560</v>
      </c>
      <c r="B115">
        <v>22250</v>
      </c>
      <c r="C115" s="1">
        <v>42693</v>
      </c>
      <c r="F115" s="49"/>
      <c r="G115">
        <v>7.5</v>
      </c>
      <c r="H115">
        <v>4.7</v>
      </c>
      <c r="I115">
        <v>12.5</v>
      </c>
      <c r="J115">
        <f t="shared" si="13"/>
        <v>918.40000000000032</v>
      </c>
      <c r="M115">
        <v>0</v>
      </c>
      <c r="N115">
        <v>1.4</v>
      </c>
      <c r="O115">
        <f t="shared" si="10"/>
        <v>-1.4</v>
      </c>
      <c r="P115">
        <f t="shared" si="16"/>
        <v>72</v>
      </c>
      <c r="Q115">
        <v>76</v>
      </c>
      <c r="R115">
        <f t="shared" si="15"/>
        <v>0.9341772151898734</v>
      </c>
      <c r="S115">
        <f t="shared" si="11"/>
        <v>1.3078481012658227</v>
      </c>
      <c r="T115" s="24">
        <f t="shared" si="12"/>
        <v>-1.3078481012658227</v>
      </c>
      <c r="U115" s="24">
        <f t="shared" si="17"/>
        <v>96.598164556962047</v>
      </c>
      <c r="W115">
        <v>398.1</v>
      </c>
      <c r="Y115">
        <f t="shared" si="14"/>
        <v>62098.10000000002</v>
      </c>
      <c r="AA115" s="36">
        <v>8.9375936481126743</v>
      </c>
    </row>
    <row r="116" spans="1:28" x14ac:dyDescent="0.25">
      <c r="A116">
        <v>5560</v>
      </c>
      <c r="B116">
        <v>22250</v>
      </c>
      <c r="C116" s="1">
        <v>42694</v>
      </c>
      <c r="F116" s="49"/>
      <c r="G116">
        <v>12.9</v>
      </c>
      <c r="H116">
        <v>7.8</v>
      </c>
      <c r="I116">
        <v>15.3</v>
      </c>
      <c r="J116">
        <f t="shared" si="13"/>
        <v>931.3000000000003</v>
      </c>
      <c r="M116">
        <v>1.4</v>
      </c>
      <c r="N116">
        <v>1.9</v>
      </c>
      <c r="O116">
        <f t="shared" si="10"/>
        <v>-0.5</v>
      </c>
      <c r="P116">
        <f t="shared" si="16"/>
        <v>71.5</v>
      </c>
      <c r="Q116">
        <v>77</v>
      </c>
      <c r="R116">
        <f t="shared" si="15"/>
        <v>0.94240506329113927</v>
      </c>
      <c r="S116">
        <f t="shared" si="11"/>
        <v>1.7905696202531645</v>
      </c>
      <c r="T116" s="24">
        <f t="shared" si="12"/>
        <v>-0.39056962025316455</v>
      </c>
      <c r="U116" s="24">
        <f t="shared" si="17"/>
        <v>96.207594936708887</v>
      </c>
      <c r="W116">
        <v>155.6</v>
      </c>
      <c r="Y116">
        <f t="shared" si="14"/>
        <v>62253.700000000019</v>
      </c>
      <c r="AA116" s="36">
        <v>8.901194420436358</v>
      </c>
    </row>
    <row r="117" spans="1:28" x14ac:dyDescent="0.25">
      <c r="A117">
        <v>5560</v>
      </c>
      <c r="B117">
        <v>22250</v>
      </c>
      <c r="C117" s="1">
        <v>42695</v>
      </c>
      <c r="F117" s="49"/>
      <c r="G117">
        <v>11</v>
      </c>
      <c r="H117">
        <v>10.4</v>
      </c>
      <c r="I117">
        <v>11.8</v>
      </c>
      <c r="J117">
        <f t="shared" si="13"/>
        <v>942.3000000000003</v>
      </c>
      <c r="M117">
        <v>2.7</v>
      </c>
      <c r="N117">
        <v>0.8</v>
      </c>
      <c r="O117">
        <f t="shared" si="10"/>
        <v>1.9000000000000001</v>
      </c>
      <c r="P117">
        <f t="shared" si="16"/>
        <v>73.400000000000006</v>
      </c>
      <c r="Q117">
        <v>78</v>
      </c>
      <c r="R117">
        <f t="shared" si="15"/>
        <v>0.95063291139240513</v>
      </c>
      <c r="S117">
        <f t="shared" si="11"/>
        <v>0.76050632911392413</v>
      </c>
      <c r="T117" s="24">
        <f t="shared" si="12"/>
        <v>1.9394936708860762</v>
      </c>
      <c r="U117" s="24">
        <f t="shared" si="17"/>
        <v>98.147088607594966</v>
      </c>
      <c r="W117">
        <v>152.4</v>
      </c>
      <c r="Y117">
        <f t="shared" si="14"/>
        <v>62406.10000000002</v>
      </c>
      <c r="AA117" s="36">
        <v>8.8656862001911421</v>
      </c>
    </row>
    <row r="118" spans="1:28" x14ac:dyDescent="0.25">
      <c r="A118">
        <v>5560</v>
      </c>
      <c r="B118">
        <v>22250</v>
      </c>
      <c r="C118" s="1">
        <v>42696</v>
      </c>
      <c r="F118" s="49"/>
      <c r="G118">
        <v>9</v>
      </c>
      <c r="H118">
        <v>7</v>
      </c>
      <c r="I118">
        <v>10.7</v>
      </c>
      <c r="J118">
        <f t="shared" si="13"/>
        <v>951.3000000000003</v>
      </c>
      <c r="M118">
        <v>14.1</v>
      </c>
      <c r="N118">
        <v>0.5</v>
      </c>
      <c r="O118">
        <f t="shared" si="10"/>
        <v>13.6</v>
      </c>
      <c r="P118">
        <f t="shared" si="16"/>
        <v>87</v>
      </c>
      <c r="Q118">
        <v>79</v>
      </c>
      <c r="R118">
        <f t="shared" si="15"/>
        <v>0.95886075949367089</v>
      </c>
      <c r="S118">
        <f t="shared" si="11"/>
        <v>0.47943037974683544</v>
      </c>
      <c r="T118" s="24">
        <f t="shared" si="12"/>
        <v>13.620569620253164</v>
      </c>
      <c r="U118" s="24">
        <f t="shared" si="17"/>
        <v>111.76765822784813</v>
      </c>
      <c r="W118">
        <v>100.6</v>
      </c>
      <c r="Y118">
        <f t="shared" si="14"/>
        <v>62506.700000000019</v>
      </c>
      <c r="AA118" s="36">
        <v>8.8310912526078464</v>
      </c>
    </row>
    <row r="119" spans="1:28" x14ac:dyDescent="0.25">
      <c r="A119">
        <v>5560</v>
      </c>
      <c r="B119">
        <v>22250</v>
      </c>
      <c r="C119" s="1">
        <v>42697</v>
      </c>
      <c r="F119" s="49"/>
      <c r="G119">
        <v>11.1</v>
      </c>
      <c r="H119">
        <v>8.6</v>
      </c>
      <c r="I119">
        <v>13.2</v>
      </c>
      <c r="J119">
        <f t="shared" si="13"/>
        <v>962.40000000000032</v>
      </c>
      <c r="M119">
        <v>0</v>
      </c>
      <c r="N119">
        <v>0.6</v>
      </c>
      <c r="O119">
        <f t="shared" si="10"/>
        <v>-0.6</v>
      </c>
      <c r="P119">
        <f t="shared" si="16"/>
        <v>86.4</v>
      </c>
      <c r="Q119">
        <v>80</v>
      </c>
      <c r="R119">
        <f t="shared" si="15"/>
        <v>0.96708860759493664</v>
      </c>
      <c r="S119">
        <f t="shared" si="11"/>
        <v>0.58025316455696196</v>
      </c>
      <c r="T119" s="24">
        <f t="shared" si="12"/>
        <v>-0.58025316455696196</v>
      </c>
      <c r="U119" s="24">
        <f t="shared" si="17"/>
        <v>111.18740506329117</v>
      </c>
      <c r="W119">
        <v>102.2</v>
      </c>
      <c r="Y119">
        <f t="shared" si="14"/>
        <v>62608.900000000016</v>
      </c>
      <c r="AA119" s="36">
        <v>8.7974317366491732</v>
      </c>
    </row>
    <row r="120" spans="1:28" x14ac:dyDescent="0.25">
      <c r="A120">
        <v>5560</v>
      </c>
      <c r="B120">
        <v>22250</v>
      </c>
      <c r="C120" s="1">
        <v>42698</v>
      </c>
      <c r="F120" s="49"/>
      <c r="G120">
        <v>11.1</v>
      </c>
      <c r="H120">
        <v>10.9</v>
      </c>
      <c r="I120">
        <v>12.2</v>
      </c>
      <c r="J120">
        <f t="shared" si="13"/>
        <v>973.50000000000034</v>
      </c>
      <c r="M120">
        <v>0.4</v>
      </c>
      <c r="N120">
        <v>1.1000000000000001</v>
      </c>
      <c r="O120">
        <f t="shared" si="10"/>
        <v>-0.70000000000000007</v>
      </c>
      <c r="P120">
        <f t="shared" si="16"/>
        <v>85.7</v>
      </c>
      <c r="Q120">
        <v>81</v>
      </c>
      <c r="R120">
        <f t="shared" si="15"/>
        <v>0.97531645569620251</v>
      </c>
      <c r="S120">
        <f t="shared" si="11"/>
        <v>1.0728481012658229</v>
      </c>
      <c r="T120" s="24">
        <f t="shared" si="12"/>
        <v>-0.67284810126582284</v>
      </c>
      <c r="U120" s="24">
        <f t="shared" si="17"/>
        <v>110.51455696202534</v>
      </c>
      <c r="W120">
        <v>283.7</v>
      </c>
      <c r="Y120">
        <f t="shared" si="14"/>
        <v>62892.600000000013</v>
      </c>
      <c r="AA120" s="36">
        <v>8.7647296629872073</v>
      </c>
    </row>
    <row r="121" spans="1:28" x14ac:dyDescent="0.25">
      <c r="A121">
        <v>5560</v>
      </c>
      <c r="B121">
        <v>22250</v>
      </c>
      <c r="C121" s="1">
        <v>42699</v>
      </c>
      <c r="F121" s="49"/>
      <c r="G121">
        <v>7.9</v>
      </c>
      <c r="H121">
        <v>8</v>
      </c>
      <c r="I121">
        <v>8.4</v>
      </c>
      <c r="J121">
        <f t="shared" si="13"/>
        <v>981.40000000000032</v>
      </c>
      <c r="M121">
        <v>0.1</v>
      </c>
      <c r="N121">
        <v>0.3</v>
      </c>
      <c r="O121">
        <f t="shared" si="10"/>
        <v>-0.19999999999999998</v>
      </c>
      <c r="P121">
        <f t="shared" si="16"/>
        <v>85.5</v>
      </c>
      <c r="Q121">
        <v>82</v>
      </c>
      <c r="R121">
        <f t="shared" si="15"/>
        <v>0.98354430379746838</v>
      </c>
      <c r="S121">
        <f t="shared" si="11"/>
        <v>0.29506329113924051</v>
      </c>
      <c r="T121" s="24">
        <f t="shared" si="12"/>
        <v>-0.19506329113924051</v>
      </c>
      <c r="U121" s="24">
        <f t="shared" si="17"/>
        <v>110.3194936708861</v>
      </c>
      <c r="W121">
        <v>83.5</v>
      </c>
      <c r="Y121">
        <f t="shared" si="14"/>
        <v>62976.100000000013</v>
      </c>
      <c r="AA121" s="36">
        <v>8.7330068506009368</v>
      </c>
    </row>
    <row r="122" spans="1:28" x14ac:dyDescent="0.25">
      <c r="A122">
        <v>5560</v>
      </c>
      <c r="B122">
        <v>22250</v>
      </c>
      <c r="C122" s="1">
        <v>42700</v>
      </c>
      <c r="F122" s="49"/>
      <c r="G122">
        <v>6.1</v>
      </c>
      <c r="H122">
        <v>4.0999999999999996</v>
      </c>
      <c r="I122">
        <v>7.5</v>
      </c>
      <c r="J122">
        <f t="shared" si="13"/>
        <v>987.50000000000034</v>
      </c>
      <c r="M122">
        <v>0.1</v>
      </c>
      <c r="N122">
        <v>0.4</v>
      </c>
      <c r="O122">
        <f t="shared" si="10"/>
        <v>-0.30000000000000004</v>
      </c>
      <c r="P122">
        <f t="shared" si="16"/>
        <v>85.2</v>
      </c>
      <c r="Q122">
        <v>83</v>
      </c>
      <c r="R122">
        <f t="shared" si="15"/>
        <v>0.99177215189873424</v>
      </c>
      <c r="S122">
        <f t="shared" si="11"/>
        <v>0.39670886075949374</v>
      </c>
      <c r="T122" s="24">
        <f t="shared" si="12"/>
        <v>-0.29670886075949376</v>
      </c>
      <c r="U122" s="24">
        <f t="shared" si="17"/>
        <v>110.02278481012661</v>
      </c>
      <c r="W122">
        <v>448.3</v>
      </c>
      <c r="Y122">
        <f t="shared" si="14"/>
        <v>63424.400000000016</v>
      </c>
      <c r="AA122" s="36">
        <v>8.7022848821190149</v>
      </c>
    </row>
    <row r="123" spans="1:28" s="32" customFormat="1" ht="15.75" thickBot="1" x14ac:dyDescent="0.3">
      <c r="A123" s="32">
        <v>5560</v>
      </c>
      <c r="B123" s="32">
        <v>22250</v>
      </c>
      <c r="C123" s="33">
        <v>42701</v>
      </c>
      <c r="F123" s="49"/>
      <c r="G123" s="32">
        <v>5.4</v>
      </c>
      <c r="H123" s="32">
        <v>2.5</v>
      </c>
      <c r="I123" s="32">
        <v>6.8</v>
      </c>
      <c r="J123" s="32">
        <f t="shared" si="13"/>
        <v>992.90000000000032</v>
      </c>
      <c r="L123" s="34"/>
      <c r="M123" s="32">
        <v>0</v>
      </c>
      <c r="N123" s="32">
        <v>0</v>
      </c>
      <c r="O123" s="32">
        <f t="shared" si="10"/>
        <v>0</v>
      </c>
      <c r="P123" s="32">
        <f t="shared" si="16"/>
        <v>85.2</v>
      </c>
      <c r="Q123" s="32">
        <v>84</v>
      </c>
      <c r="R123" s="32">
        <f t="shared" si="15"/>
        <v>1</v>
      </c>
      <c r="S123" s="32">
        <f t="shared" si="11"/>
        <v>0</v>
      </c>
      <c r="T123" s="35">
        <f t="shared" si="12"/>
        <v>0</v>
      </c>
      <c r="U123" s="35">
        <f t="shared" si="17"/>
        <v>110.02278481012661</v>
      </c>
      <c r="W123" s="32">
        <v>205.9</v>
      </c>
      <c r="Y123" s="32">
        <f t="shared" si="14"/>
        <v>63630.300000000017</v>
      </c>
      <c r="AA123" s="37">
        <v>8.6725850580479591</v>
      </c>
    </row>
    <row r="124" spans="1:28" x14ac:dyDescent="0.25">
      <c r="A124">
        <v>5560</v>
      </c>
      <c r="B124">
        <v>22250</v>
      </c>
      <c r="C124" s="1">
        <v>42702</v>
      </c>
      <c r="D124" t="s">
        <v>36</v>
      </c>
      <c r="E124" s="36">
        <v>1</v>
      </c>
      <c r="F124" s="48" t="s">
        <v>51</v>
      </c>
      <c r="G124">
        <v>4</v>
      </c>
      <c r="H124">
        <v>2.9</v>
      </c>
      <c r="I124">
        <v>7.4</v>
      </c>
      <c r="J124">
        <f t="shared" si="13"/>
        <v>996.90000000000032</v>
      </c>
      <c r="K124">
        <f>G124</f>
        <v>4</v>
      </c>
      <c r="L124" s="14" t="s">
        <v>38</v>
      </c>
      <c r="M124">
        <v>0</v>
      </c>
      <c r="N124">
        <v>1.3</v>
      </c>
      <c r="O124">
        <f t="shared" si="10"/>
        <v>-1.3</v>
      </c>
      <c r="P124">
        <f t="shared" si="16"/>
        <v>83.9</v>
      </c>
      <c r="Q124">
        <v>85</v>
      </c>
      <c r="R124">
        <v>1</v>
      </c>
      <c r="S124">
        <f t="shared" si="11"/>
        <v>1.3</v>
      </c>
      <c r="T124" s="24">
        <f t="shared" si="12"/>
        <v>-1.3</v>
      </c>
      <c r="U124" s="24">
        <f t="shared" si="17"/>
        <v>108.72278481012661</v>
      </c>
      <c r="V124" s="26" t="s">
        <v>53</v>
      </c>
      <c r="W124">
        <v>678.8</v>
      </c>
      <c r="Y124">
        <f t="shared" si="14"/>
        <v>64309.10000000002</v>
      </c>
      <c r="Z124">
        <f>W124</f>
        <v>678.8</v>
      </c>
      <c r="AA124" s="36">
        <v>8.6439283500404809</v>
      </c>
      <c r="AB124" s="26" t="s">
        <v>58</v>
      </c>
    </row>
    <row r="125" spans="1:28" x14ac:dyDescent="0.25">
      <c r="A125">
        <v>5560</v>
      </c>
      <c r="B125">
        <v>22250</v>
      </c>
      <c r="C125" s="1">
        <v>42703</v>
      </c>
      <c r="E125" s="36">
        <v>2</v>
      </c>
      <c r="F125" s="48"/>
      <c r="G125">
        <v>0.4</v>
      </c>
      <c r="H125">
        <v>-2.7</v>
      </c>
      <c r="I125">
        <v>3.1</v>
      </c>
      <c r="J125">
        <f t="shared" si="13"/>
        <v>997.3000000000003</v>
      </c>
      <c r="K125">
        <f>K124+G125</f>
        <v>4.4000000000000004</v>
      </c>
      <c r="L125" s="12">
        <v>159.6</v>
      </c>
      <c r="M125">
        <v>0</v>
      </c>
      <c r="N125">
        <v>0.8</v>
      </c>
      <c r="O125">
        <f t="shared" si="10"/>
        <v>-0.8</v>
      </c>
      <c r="P125">
        <f t="shared" si="16"/>
        <v>83.100000000000009</v>
      </c>
      <c r="Q125">
        <v>86</v>
      </c>
      <c r="R125">
        <v>1</v>
      </c>
      <c r="S125">
        <f t="shared" si="11"/>
        <v>0.8</v>
      </c>
      <c r="T125" s="24">
        <f t="shared" si="12"/>
        <v>-0.8</v>
      </c>
      <c r="U125" s="24">
        <f t="shared" si="17"/>
        <v>107.92278481012661</v>
      </c>
      <c r="V125">
        <v>0</v>
      </c>
      <c r="W125">
        <v>405.7</v>
      </c>
      <c r="Y125">
        <f t="shared" si="14"/>
        <v>64714.800000000017</v>
      </c>
      <c r="Z125">
        <f>Z124+W125</f>
        <v>1084.5</v>
      </c>
      <c r="AA125" s="36">
        <v>8.6163353533733282</v>
      </c>
      <c r="AB125">
        <v>22792.400000000001</v>
      </c>
    </row>
    <row r="126" spans="1:28" x14ac:dyDescent="0.25">
      <c r="A126">
        <v>5560</v>
      </c>
      <c r="B126">
        <v>22250</v>
      </c>
      <c r="C126" s="1">
        <v>42704</v>
      </c>
      <c r="E126" s="36">
        <v>3</v>
      </c>
      <c r="F126" s="48"/>
      <c r="G126">
        <v>2.7</v>
      </c>
      <c r="H126">
        <v>-0.9</v>
      </c>
      <c r="I126">
        <v>7.6</v>
      </c>
      <c r="J126">
        <f t="shared" si="13"/>
        <v>1000.0000000000003</v>
      </c>
      <c r="K126">
        <f t="shared" ref="K126:K189" si="18">K125+G126</f>
        <v>7.1000000000000005</v>
      </c>
      <c r="L126" s="14" t="s">
        <v>39</v>
      </c>
      <c r="M126">
        <v>0</v>
      </c>
      <c r="N126">
        <v>0.9</v>
      </c>
      <c r="O126">
        <f t="shared" si="10"/>
        <v>-0.9</v>
      </c>
      <c r="P126">
        <f t="shared" si="16"/>
        <v>82.2</v>
      </c>
      <c r="Q126">
        <v>87</v>
      </c>
      <c r="R126">
        <v>1</v>
      </c>
      <c r="S126">
        <f t="shared" si="11"/>
        <v>0.9</v>
      </c>
      <c r="T126" s="24">
        <f t="shared" si="12"/>
        <v>-0.9</v>
      </c>
      <c r="U126" s="24">
        <f t="shared" si="17"/>
        <v>107.02278481012661</v>
      </c>
      <c r="V126" s="26" t="s">
        <v>54</v>
      </c>
      <c r="W126">
        <v>684.9</v>
      </c>
      <c r="Y126">
        <f t="shared" si="14"/>
        <v>65399.700000000019</v>
      </c>
      <c r="Z126">
        <f t="shared" ref="Z126:Z189" si="19">Z125+W126</f>
        <v>1769.4</v>
      </c>
      <c r="AA126" s="36">
        <v>8.589826238817718</v>
      </c>
      <c r="AB126" s="26" t="s">
        <v>59</v>
      </c>
    </row>
    <row r="127" spans="1:28" x14ac:dyDescent="0.25">
      <c r="A127">
        <v>5560</v>
      </c>
      <c r="B127">
        <v>22250</v>
      </c>
      <c r="C127" s="1">
        <v>42705</v>
      </c>
      <c r="E127" s="36">
        <v>4</v>
      </c>
      <c r="F127" s="48"/>
      <c r="G127">
        <v>-1.3</v>
      </c>
      <c r="H127">
        <v>-2.8</v>
      </c>
      <c r="I127">
        <v>0.3</v>
      </c>
      <c r="J127">
        <v>1000</v>
      </c>
      <c r="K127">
        <v>7.1</v>
      </c>
      <c r="L127" s="12">
        <f>AVERAGE(G124:G183)</f>
        <v>2.0500000000000012</v>
      </c>
      <c r="M127">
        <v>0</v>
      </c>
      <c r="N127">
        <v>0.3</v>
      </c>
      <c r="O127">
        <f t="shared" si="10"/>
        <v>-0.3</v>
      </c>
      <c r="P127">
        <f t="shared" si="16"/>
        <v>81.900000000000006</v>
      </c>
      <c r="Q127">
        <v>88</v>
      </c>
      <c r="R127">
        <v>1</v>
      </c>
      <c r="S127">
        <f t="shared" si="11"/>
        <v>0.3</v>
      </c>
      <c r="T127" s="24">
        <f t="shared" si="12"/>
        <v>-0.3</v>
      </c>
      <c r="U127" s="24">
        <f t="shared" si="17"/>
        <v>106.72278481012661</v>
      </c>
      <c r="V127">
        <v>0</v>
      </c>
      <c r="W127">
        <v>337.4</v>
      </c>
      <c r="Y127">
        <f t="shared" si="14"/>
        <v>65737.10000000002</v>
      </c>
      <c r="Z127">
        <f t="shared" si="19"/>
        <v>2106.8000000000002</v>
      </c>
      <c r="AA127" s="36">
        <v>8.5644207040989073</v>
      </c>
      <c r="AB127">
        <f>(AB125/100)/L125</f>
        <v>1.4280952380952381</v>
      </c>
    </row>
    <row r="128" spans="1:28" x14ac:dyDescent="0.25">
      <c r="A128">
        <v>5560</v>
      </c>
      <c r="B128">
        <v>22250</v>
      </c>
      <c r="C128" s="1">
        <v>42706</v>
      </c>
      <c r="E128" s="36">
        <v>5</v>
      </c>
      <c r="F128" s="48"/>
      <c r="G128">
        <v>-0.9</v>
      </c>
      <c r="H128">
        <v>-4.0999999999999996</v>
      </c>
      <c r="I128">
        <v>1.9</v>
      </c>
      <c r="J128">
        <v>1000</v>
      </c>
      <c r="K128">
        <v>7.1</v>
      </c>
      <c r="L128" s="14" t="s">
        <v>40</v>
      </c>
      <c r="M128">
        <v>0</v>
      </c>
      <c r="N128">
        <v>0.3</v>
      </c>
      <c r="O128">
        <f t="shared" si="10"/>
        <v>-0.3</v>
      </c>
      <c r="P128">
        <f t="shared" si="16"/>
        <v>81.600000000000009</v>
      </c>
      <c r="Q128">
        <v>89</v>
      </c>
      <c r="R128">
        <v>1</v>
      </c>
      <c r="S128">
        <f t="shared" si="11"/>
        <v>0.3</v>
      </c>
      <c r="T128" s="24">
        <f t="shared" si="12"/>
        <v>-0.3</v>
      </c>
      <c r="U128" s="24">
        <f t="shared" si="17"/>
        <v>106.42278481012661</v>
      </c>
      <c r="V128" s="26" t="s">
        <v>55</v>
      </c>
      <c r="W128">
        <v>214.1</v>
      </c>
      <c r="Y128">
        <f t="shared" si="14"/>
        <v>65951.200000000026</v>
      </c>
      <c r="Z128">
        <f t="shared" si="19"/>
        <v>2320.9</v>
      </c>
      <c r="AA128" s="36">
        <v>8.5401379251537488</v>
      </c>
      <c r="AB128" s="26" t="s">
        <v>60</v>
      </c>
    </row>
    <row r="129" spans="1:28" x14ac:dyDescent="0.25">
      <c r="A129">
        <v>5560</v>
      </c>
      <c r="B129">
        <v>22250</v>
      </c>
      <c r="C129" s="1">
        <v>42707</v>
      </c>
      <c r="E129" s="36">
        <v>6</v>
      </c>
      <c r="F129" s="48"/>
      <c r="G129">
        <v>1.9</v>
      </c>
      <c r="H129">
        <v>1.1000000000000001</v>
      </c>
      <c r="I129">
        <v>2.5</v>
      </c>
      <c r="J129">
        <f t="shared" si="13"/>
        <v>1001.9</v>
      </c>
      <c r="K129">
        <f t="shared" si="18"/>
        <v>9</v>
      </c>
      <c r="L129" s="13">
        <f>MIN(H124:H183)</f>
        <v>-6.8</v>
      </c>
      <c r="M129">
        <v>0</v>
      </c>
      <c r="N129">
        <v>0.3</v>
      </c>
      <c r="O129">
        <f t="shared" si="10"/>
        <v>-0.3</v>
      </c>
      <c r="P129">
        <f t="shared" si="16"/>
        <v>81.300000000000011</v>
      </c>
      <c r="Q129">
        <v>90</v>
      </c>
      <c r="R129">
        <v>1</v>
      </c>
      <c r="S129">
        <f t="shared" si="11"/>
        <v>0.3</v>
      </c>
      <c r="T129" s="24">
        <f t="shared" si="12"/>
        <v>-0.3</v>
      </c>
      <c r="U129" s="24">
        <f t="shared" si="17"/>
        <v>106.12278481012662</v>
      </c>
      <c r="V129" s="24">
        <f>MIN(U124:U183)</f>
        <v>98.222784810126655</v>
      </c>
      <c r="W129">
        <v>175.7</v>
      </c>
      <c r="Y129">
        <f t="shared" si="14"/>
        <v>66126.900000000023</v>
      </c>
      <c r="Z129">
        <f t="shared" si="19"/>
        <v>2496.6</v>
      </c>
      <c r="AA129" s="36">
        <v>8.5169965074064766</v>
      </c>
      <c r="AB129">
        <v>59</v>
      </c>
    </row>
    <row r="130" spans="1:28" x14ac:dyDescent="0.25">
      <c r="A130">
        <v>5560</v>
      </c>
      <c r="B130">
        <v>22250</v>
      </c>
      <c r="C130" s="1">
        <v>42708</v>
      </c>
      <c r="E130" s="36">
        <v>7</v>
      </c>
      <c r="F130" s="48"/>
      <c r="G130">
        <v>3</v>
      </c>
      <c r="H130">
        <v>0</v>
      </c>
      <c r="I130">
        <v>6.3</v>
      </c>
      <c r="J130">
        <f t="shared" si="13"/>
        <v>1004.9</v>
      </c>
      <c r="K130">
        <f t="shared" si="18"/>
        <v>12</v>
      </c>
      <c r="L130" s="14" t="s">
        <v>41</v>
      </c>
      <c r="M130">
        <v>0</v>
      </c>
      <c r="N130">
        <v>0.5</v>
      </c>
      <c r="O130">
        <f t="shared" si="10"/>
        <v>-0.5</v>
      </c>
      <c r="P130">
        <f t="shared" si="16"/>
        <v>80.800000000000011</v>
      </c>
      <c r="Q130">
        <v>91</v>
      </c>
      <c r="R130">
        <v>1</v>
      </c>
      <c r="S130">
        <f t="shared" si="11"/>
        <v>0.5</v>
      </c>
      <c r="T130" s="24">
        <f t="shared" si="12"/>
        <v>-0.5</v>
      </c>
      <c r="U130" s="24">
        <f t="shared" si="17"/>
        <v>105.62278481012662</v>
      </c>
      <c r="V130" s="26" t="s">
        <v>56</v>
      </c>
      <c r="W130">
        <v>181.5</v>
      </c>
      <c r="Y130">
        <f t="shared" si="14"/>
        <v>66308.400000000023</v>
      </c>
      <c r="Z130">
        <f t="shared" si="19"/>
        <v>2678.1</v>
      </c>
      <c r="AA130" s="36">
        <v>8.495014437292939</v>
      </c>
      <c r="AB130" t="s">
        <v>62</v>
      </c>
    </row>
    <row r="131" spans="1:28" x14ac:dyDescent="0.25">
      <c r="A131">
        <v>5560</v>
      </c>
      <c r="B131">
        <v>22250</v>
      </c>
      <c r="C131" s="1">
        <v>42709</v>
      </c>
      <c r="F131" s="48"/>
      <c r="G131">
        <v>6.5</v>
      </c>
      <c r="H131">
        <v>4.4000000000000004</v>
      </c>
      <c r="I131">
        <v>11.1</v>
      </c>
      <c r="J131">
        <f t="shared" si="13"/>
        <v>1011.4</v>
      </c>
      <c r="K131">
        <f t="shared" si="18"/>
        <v>18.5</v>
      </c>
      <c r="L131" s="12">
        <f>MAX(I124:I183)</f>
        <v>11.5</v>
      </c>
      <c r="M131">
        <v>0</v>
      </c>
      <c r="N131">
        <v>1</v>
      </c>
      <c r="O131">
        <f t="shared" si="10"/>
        <v>-1</v>
      </c>
      <c r="P131">
        <f t="shared" si="16"/>
        <v>79.800000000000011</v>
      </c>
      <c r="Q131">
        <v>92</v>
      </c>
      <c r="R131">
        <v>1</v>
      </c>
      <c r="S131">
        <f t="shared" si="11"/>
        <v>1</v>
      </c>
      <c r="T131" s="24">
        <f t="shared" si="12"/>
        <v>-1</v>
      </c>
      <c r="U131" s="24">
        <f t="shared" si="17"/>
        <v>104.62278481012662</v>
      </c>
      <c r="V131" s="24">
        <f>MAX(U124:U183)</f>
        <v>121.92278481012664</v>
      </c>
      <c r="W131">
        <v>632</v>
      </c>
      <c r="Y131">
        <f t="shared" si="14"/>
        <v>66940.400000000023</v>
      </c>
      <c r="Z131">
        <f t="shared" si="19"/>
        <v>3310.1</v>
      </c>
      <c r="AA131" s="36">
        <v>8.4742090342722207</v>
      </c>
      <c r="AB131">
        <v>43</v>
      </c>
    </row>
    <row r="132" spans="1:28" x14ac:dyDescent="0.25">
      <c r="A132">
        <v>5560</v>
      </c>
      <c r="B132">
        <v>22250</v>
      </c>
      <c r="C132" s="1">
        <v>42710</v>
      </c>
      <c r="F132" s="48"/>
      <c r="G132">
        <v>5.0999999999999996</v>
      </c>
      <c r="H132">
        <v>0.5</v>
      </c>
      <c r="I132">
        <v>11.2</v>
      </c>
      <c r="J132">
        <f t="shared" si="13"/>
        <v>1016.5</v>
      </c>
      <c r="K132">
        <f t="shared" si="18"/>
        <v>23.6</v>
      </c>
      <c r="L132" s="14" t="s">
        <v>42</v>
      </c>
      <c r="M132">
        <v>0</v>
      </c>
      <c r="N132">
        <v>0.7</v>
      </c>
      <c r="O132">
        <f t="shared" si="10"/>
        <v>-0.7</v>
      </c>
      <c r="P132">
        <f t="shared" si="16"/>
        <v>79.100000000000009</v>
      </c>
      <c r="Q132">
        <v>93</v>
      </c>
      <c r="R132">
        <v>1</v>
      </c>
      <c r="S132">
        <f t="shared" si="11"/>
        <v>0.7</v>
      </c>
      <c r="T132" s="24">
        <f t="shared" si="12"/>
        <v>-0.7</v>
      </c>
      <c r="U132" s="24">
        <f t="shared" si="17"/>
        <v>103.92278481012661</v>
      </c>
      <c r="V132" s="26" t="s">
        <v>57</v>
      </c>
      <c r="W132">
        <v>646.79999999999995</v>
      </c>
      <c r="Y132">
        <f t="shared" si="14"/>
        <v>67587.200000000026</v>
      </c>
      <c r="Z132">
        <f t="shared" si="19"/>
        <v>3956.8999999999996</v>
      </c>
      <c r="AA132" s="36">
        <v>8.4545969035713178</v>
      </c>
    </row>
    <row r="133" spans="1:28" x14ac:dyDescent="0.25">
      <c r="A133">
        <v>5560</v>
      </c>
      <c r="B133">
        <v>22250</v>
      </c>
      <c r="C133" s="1">
        <v>42711</v>
      </c>
      <c r="E133" s="36">
        <v>8</v>
      </c>
      <c r="F133" s="48"/>
      <c r="G133">
        <v>3.5</v>
      </c>
      <c r="H133">
        <v>0.6</v>
      </c>
      <c r="I133">
        <v>8.4</v>
      </c>
      <c r="J133">
        <f t="shared" si="13"/>
        <v>1020</v>
      </c>
      <c r="K133">
        <f t="shared" si="18"/>
        <v>27.1</v>
      </c>
      <c r="L133" s="12">
        <v>0</v>
      </c>
      <c r="M133">
        <v>0</v>
      </c>
      <c r="N133">
        <v>0.6</v>
      </c>
      <c r="O133">
        <f t="shared" si="10"/>
        <v>-0.6</v>
      </c>
      <c r="P133">
        <f t="shared" si="16"/>
        <v>78.500000000000014</v>
      </c>
      <c r="Q133">
        <v>94</v>
      </c>
      <c r="R133">
        <v>1</v>
      </c>
      <c r="S133">
        <f t="shared" si="11"/>
        <v>0.6</v>
      </c>
      <c r="T133" s="24">
        <f t="shared" si="12"/>
        <v>-0.6</v>
      </c>
      <c r="U133" s="24">
        <f t="shared" si="17"/>
        <v>103.32278481012662</v>
      </c>
      <c r="V133" s="24">
        <f>AVERAGE(U124:U183)</f>
        <v>108.54111814346</v>
      </c>
      <c r="W133">
        <v>552.9</v>
      </c>
      <c r="Y133">
        <f t="shared" si="14"/>
        <v>68140.10000000002</v>
      </c>
      <c r="Z133">
        <f t="shared" si="19"/>
        <v>4509.7999999999993</v>
      </c>
      <c r="AA133" s="36">
        <v>8.4361938899137972</v>
      </c>
    </row>
    <row r="134" spans="1:28" x14ac:dyDescent="0.25">
      <c r="A134">
        <v>5560</v>
      </c>
      <c r="B134">
        <v>22250</v>
      </c>
      <c r="C134" s="1">
        <v>42712</v>
      </c>
      <c r="E134" s="36">
        <v>9</v>
      </c>
      <c r="F134" s="48"/>
      <c r="G134">
        <v>3.8</v>
      </c>
      <c r="H134">
        <v>-0.8</v>
      </c>
      <c r="I134">
        <v>10.5</v>
      </c>
      <c r="J134">
        <f t="shared" si="13"/>
        <v>1023.8</v>
      </c>
      <c r="K134">
        <f t="shared" si="18"/>
        <v>30.900000000000002</v>
      </c>
      <c r="L134" s="14" t="s">
        <v>43</v>
      </c>
      <c r="M134">
        <v>0</v>
      </c>
      <c r="N134">
        <v>0.6</v>
      </c>
      <c r="O134">
        <f t="shared" si="10"/>
        <v>-0.6</v>
      </c>
      <c r="P134">
        <f t="shared" si="16"/>
        <v>77.90000000000002</v>
      </c>
      <c r="Q134">
        <v>95</v>
      </c>
      <c r="R134">
        <v>1</v>
      </c>
      <c r="S134">
        <f t="shared" si="11"/>
        <v>0.6</v>
      </c>
      <c r="T134" s="24">
        <f t="shared" si="12"/>
        <v>-0.6</v>
      </c>
      <c r="U134" s="24">
        <f t="shared" si="17"/>
        <v>102.72278481012663</v>
      </c>
      <c r="W134">
        <v>502.7</v>
      </c>
      <c r="Y134">
        <f t="shared" si="14"/>
        <v>68642.800000000017</v>
      </c>
      <c r="Z134">
        <f t="shared" si="19"/>
        <v>5012.4999999999991</v>
      </c>
      <c r="AA134" s="36">
        <v>8.4190150324862412</v>
      </c>
    </row>
    <row r="135" spans="1:28" x14ac:dyDescent="0.25">
      <c r="A135">
        <v>5560</v>
      </c>
      <c r="B135">
        <v>22250</v>
      </c>
      <c r="C135" s="1">
        <v>42713</v>
      </c>
      <c r="E135" s="36">
        <v>10</v>
      </c>
      <c r="F135" s="48"/>
      <c r="G135">
        <v>3.2</v>
      </c>
      <c r="H135">
        <v>0.5</v>
      </c>
      <c r="I135">
        <v>9</v>
      </c>
      <c r="J135">
        <f t="shared" si="13"/>
        <v>1027</v>
      </c>
      <c r="K135">
        <f t="shared" si="18"/>
        <v>34.1</v>
      </c>
      <c r="L135" s="12">
        <v>26</v>
      </c>
      <c r="M135">
        <v>0</v>
      </c>
      <c r="N135">
        <v>0.8</v>
      </c>
      <c r="O135">
        <f t="shared" si="10"/>
        <v>-0.8</v>
      </c>
      <c r="P135">
        <f t="shared" si="16"/>
        <v>77.100000000000023</v>
      </c>
      <c r="Q135">
        <v>96</v>
      </c>
      <c r="R135">
        <v>1</v>
      </c>
      <c r="S135">
        <f t="shared" si="11"/>
        <v>0.8</v>
      </c>
      <c r="T135" s="24">
        <f t="shared" si="12"/>
        <v>-0.8</v>
      </c>
      <c r="U135" s="24">
        <f t="shared" si="17"/>
        <v>101.92278481012663</v>
      </c>
      <c r="V135">
        <f>(V133*100)/122.1</f>
        <v>88.895264654758392</v>
      </c>
      <c r="W135">
        <v>575.29999999999995</v>
      </c>
      <c r="Y135">
        <f t="shared" si="14"/>
        <v>69218.10000000002</v>
      </c>
      <c r="Z135">
        <f t="shared" si="19"/>
        <v>5587.7999999999993</v>
      </c>
      <c r="AA135" s="36">
        <v>8.4030745213972899</v>
      </c>
    </row>
    <row r="136" spans="1:28" x14ac:dyDescent="0.25">
      <c r="A136">
        <v>5560</v>
      </c>
      <c r="B136">
        <v>22250</v>
      </c>
      <c r="C136" s="1">
        <v>42714</v>
      </c>
      <c r="E136" s="36">
        <v>11</v>
      </c>
      <c r="F136" s="48"/>
      <c r="G136">
        <v>3.1</v>
      </c>
      <c r="H136">
        <v>-1.5</v>
      </c>
      <c r="I136">
        <v>10.3</v>
      </c>
      <c r="J136">
        <f t="shared" si="13"/>
        <v>1030.0999999999999</v>
      </c>
      <c r="K136">
        <f t="shared" si="18"/>
        <v>37.200000000000003</v>
      </c>
      <c r="L136" s="14" t="s">
        <v>44</v>
      </c>
      <c r="M136">
        <v>0.1</v>
      </c>
      <c r="N136">
        <v>0.8</v>
      </c>
      <c r="O136">
        <f t="shared" si="10"/>
        <v>-0.70000000000000007</v>
      </c>
      <c r="P136">
        <f t="shared" si="16"/>
        <v>76.40000000000002</v>
      </c>
      <c r="Q136">
        <v>97</v>
      </c>
      <c r="R136">
        <v>1</v>
      </c>
      <c r="S136">
        <f t="shared" si="11"/>
        <v>0.8</v>
      </c>
      <c r="T136" s="24">
        <f t="shared" si="12"/>
        <v>-0.70000000000000007</v>
      </c>
      <c r="U136" s="24">
        <f t="shared" si="17"/>
        <v>101.22278481012663</v>
      </c>
      <c r="W136">
        <v>675.4</v>
      </c>
      <c r="Y136">
        <f t="shared" si="14"/>
        <v>69893.500000000015</v>
      </c>
      <c r="Z136">
        <f t="shared" si="19"/>
        <v>6263.1999999999989</v>
      </c>
      <c r="AA136" s="36">
        <v>8.3883856558826313</v>
      </c>
    </row>
    <row r="137" spans="1:28" x14ac:dyDescent="0.25">
      <c r="A137">
        <v>5560</v>
      </c>
      <c r="B137">
        <v>22250</v>
      </c>
      <c r="C137" s="1">
        <v>42715</v>
      </c>
      <c r="F137" s="48"/>
      <c r="G137">
        <v>5.0999999999999996</v>
      </c>
      <c r="H137">
        <v>0.5</v>
      </c>
      <c r="I137">
        <v>7.2</v>
      </c>
      <c r="J137">
        <f t="shared" si="13"/>
        <v>1035.1999999999998</v>
      </c>
      <c r="K137">
        <f t="shared" si="18"/>
        <v>42.300000000000004</v>
      </c>
      <c r="L137" s="12">
        <v>30</v>
      </c>
      <c r="M137">
        <v>0.4</v>
      </c>
      <c r="N137">
        <v>0.3</v>
      </c>
      <c r="O137">
        <f t="shared" si="10"/>
        <v>0.10000000000000003</v>
      </c>
      <c r="P137">
        <f t="shared" si="16"/>
        <v>76.500000000000014</v>
      </c>
      <c r="Q137">
        <v>98</v>
      </c>
      <c r="R137">
        <v>1</v>
      </c>
      <c r="S137">
        <f t="shared" si="11"/>
        <v>0.3</v>
      </c>
      <c r="T137" s="24">
        <f t="shared" si="12"/>
        <v>0.10000000000000003</v>
      </c>
      <c r="U137" s="24">
        <f t="shared" si="17"/>
        <v>101.32278481012662</v>
      </c>
      <c r="W137">
        <v>209.3</v>
      </c>
      <c r="Y137">
        <f t="shared" si="14"/>
        <v>70102.800000000017</v>
      </c>
      <c r="Z137">
        <f t="shared" si="19"/>
        <v>6472.4999999999991</v>
      </c>
      <c r="AA137" s="36">
        <v>8.3749608045055943</v>
      </c>
    </row>
    <row r="138" spans="1:28" x14ac:dyDescent="0.25">
      <c r="A138">
        <v>5560</v>
      </c>
      <c r="B138">
        <v>22250</v>
      </c>
      <c r="C138" s="1">
        <v>42716</v>
      </c>
      <c r="F138" s="48"/>
      <c r="G138">
        <v>5.4</v>
      </c>
      <c r="H138">
        <v>4.2</v>
      </c>
      <c r="I138">
        <v>6.8</v>
      </c>
      <c r="J138">
        <f t="shared" si="13"/>
        <v>1040.5999999999999</v>
      </c>
      <c r="K138">
        <f t="shared" si="18"/>
        <v>47.7</v>
      </c>
      <c r="M138">
        <v>0</v>
      </c>
      <c r="N138">
        <v>0.3</v>
      </c>
      <c r="O138">
        <f t="shared" si="10"/>
        <v>-0.3</v>
      </c>
      <c r="P138">
        <f t="shared" si="16"/>
        <v>76.200000000000017</v>
      </c>
      <c r="Q138">
        <v>99</v>
      </c>
      <c r="R138">
        <v>1</v>
      </c>
      <c r="S138">
        <f t="shared" si="11"/>
        <v>0.3</v>
      </c>
      <c r="T138" s="24">
        <f t="shared" si="12"/>
        <v>-0.3</v>
      </c>
      <c r="U138" s="24">
        <f t="shared" si="17"/>
        <v>101.02278481012662</v>
      </c>
      <c r="W138">
        <v>199.6</v>
      </c>
      <c r="Y138">
        <f t="shared" si="14"/>
        <v>70302.400000000023</v>
      </c>
      <c r="Z138">
        <f t="shared" si="19"/>
        <v>6672.0999999999995</v>
      </c>
      <c r="AA138" s="36">
        <v>8.3628113675966986</v>
      </c>
    </row>
    <row r="139" spans="1:28" x14ac:dyDescent="0.25">
      <c r="A139">
        <v>5560</v>
      </c>
      <c r="B139">
        <v>22250</v>
      </c>
      <c r="C139" s="1">
        <v>42717</v>
      </c>
      <c r="E139" s="36">
        <v>12</v>
      </c>
      <c r="F139" s="48"/>
      <c r="G139">
        <v>4.3</v>
      </c>
      <c r="H139">
        <v>2.2999999999999998</v>
      </c>
      <c r="I139">
        <v>7.9</v>
      </c>
      <c r="J139">
        <f t="shared" si="13"/>
        <v>1044.8999999999999</v>
      </c>
      <c r="K139">
        <f t="shared" si="18"/>
        <v>52</v>
      </c>
      <c r="M139">
        <v>0</v>
      </c>
      <c r="N139">
        <v>0.6</v>
      </c>
      <c r="O139">
        <f t="shared" si="10"/>
        <v>-0.6</v>
      </c>
      <c r="P139">
        <f t="shared" si="16"/>
        <v>75.600000000000023</v>
      </c>
      <c r="Q139">
        <v>100</v>
      </c>
      <c r="R139">
        <v>1</v>
      </c>
      <c r="S139">
        <f t="shared" si="11"/>
        <v>0.6</v>
      </c>
      <c r="T139" s="24">
        <f t="shared" si="12"/>
        <v>-0.6</v>
      </c>
      <c r="U139" s="24">
        <f t="shared" si="17"/>
        <v>100.42278481012663</v>
      </c>
      <c r="W139">
        <v>391.9</v>
      </c>
      <c r="Y139">
        <f t="shared" si="14"/>
        <v>70694.300000000017</v>
      </c>
      <c r="Z139">
        <f t="shared" si="19"/>
        <v>7063.9999999999991</v>
      </c>
      <c r="AA139" s="36">
        <v>8.3519477421669759</v>
      </c>
    </row>
    <row r="140" spans="1:28" x14ac:dyDescent="0.25">
      <c r="A140">
        <v>5560</v>
      </c>
      <c r="B140">
        <v>22250</v>
      </c>
      <c r="C140" s="1">
        <v>42718</v>
      </c>
      <c r="E140" s="36">
        <v>13</v>
      </c>
      <c r="F140" s="48"/>
      <c r="G140">
        <v>2.5</v>
      </c>
      <c r="H140">
        <v>-0.9</v>
      </c>
      <c r="I140">
        <v>6.9</v>
      </c>
      <c r="J140">
        <f t="shared" si="13"/>
        <v>1047.3999999999999</v>
      </c>
      <c r="K140">
        <f t="shared" si="18"/>
        <v>54.5</v>
      </c>
      <c r="M140">
        <v>0.1</v>
      </c>
      <c r="N140">
        <v>0.7</v>
      </c>
      <c r="O140">
        <f t="shared" si="10"/>
        <v>-0.6</v>
      </c>
      <c r="P140">
        <f t="shared" si="16"/>
        <v>75.000000000000028</v>
      </c>
      <c r="Q140">
        <v>101</v>
      </c>
      <c r="R140">
        <v>1</v>
      </c>
      <c r="S140">
        <f t="shared" si="11"/>
        <v>0.7</v>
      </c>
      <c r="T140" s="24">
        <f t="shared" si="12"/>
        <v>-0.6</v>
      </c>
      <c r="U140" s="24">
        <f t="shared" si="17"/>
        <v>99.822784810126635</v>
      </c>
      <c r="W140">
        <v>642.29999999999995</v>
      </c>
      <c r="Y140">
        <f t="shared" si="14"/>
        <v>71336.60000000002</v>
      </c>
      <c r="Z140">
        <f t="shared" si="19"/>
        <v>7706.2999999999993</v>
      </c>
      <c r="AA140" s="36">
        <v>8.3423792895186732</v>
      </c>
    </row>
    <row r="141" spans="1:28" x14ac:dyDescent="0.25">
      <c r="A141">
        <v>5560</v>
      </c>
      <c r="B141">
        <v>22250</v>
      </c>
      <c r="C141" s="1">
        <v>42719</v>
      </c>
      <c r="E141" s="36">
        <v>14</v>
      </c>
      <c r="F141" s="48"/>
      <c r="G141">
        <v>2.4</v>
      </c>
      <c r="H141">
        <v>-1.1000000000000001</v>
      </c>
      <c r="I141">
        <v>5.0999999999999996</v>
      </c>
      <c r="J141">
        <f t="shared" si="13"/>
        <v>1049.8</v>
      </c>
      <c r="K141">
        <f t="shared" si="18"/>
        <v>56.9</v>
      </c>
      <c r="M141">
        <v>0</v>
      </c>
      <c r="N141">
        <v>0.2</v>
      </c>
      <c r="O141">
        <f t="shared" si="10"/>
        <v>-0.2</v>
      </c>
      <c r="P141">
        <f t="shared" si="16"/>
        <v>74.800000000000026</v>
      </c>
      <c r="Q141">
        <v>102</v>
      </c>
      <c r="R141">
        <v>1</v>
      </c>
      <c r="S141">
        <f t="shared" si="11"/>
        <v>0.2</v>
      </c>
      <c r="T141" s="24">
        <f t="shared" si="12"/>
        <v>-0.2</v>
      </c>
      <c r="U141" s="24">
        <f t="shared" si="17"/>
        <v>99.622784810126632</v>
      </c>
      <c r="W141">
        <v>181.8</v>
      </c>
      <c r="Y141">
        <f t="shared" si="14"/>
        <v>71518.400000000023</v>
      </c>
      <c r="Z141">
        <f t="shared" si="19"/>
        <v>7888.0999999999995</v>
      </c>
      <c r="AA141" s="36">
        <v>8.334114305763519</v>
      </c>
    </row>
    <row r="142" spans="1:28" x14ac:dyDescent="0.25">
      <c r="A142">
        <v>5560</v>
      </c>
      <c r="B142">
        <v>22250</v>
      </c>
      <c r="C142" s="1">
        <v>42720</v>
      </c>
      <c r="F142" s="48"/>
      <c r="G142">
        <v>6.3</v>
      </c>
      <c r="H142">
        <v>3.3</v>
      </c>
      <c r="I142">
        <v>10.6</v>
      </c>
      <c r="J142">
        <f t="shared" si="13"/>
        <v>1056.0999999999999</v>
      </c>
      <c r="K142">
        <f t="shared" si="18"/>
        <v>63.199999999999996</v>
      </c>
      <c r="M142">
        <v>0</v>
      </c>
      <c r="N142">
        <v>0.6</v>
      </c>
      <c r="O142">
        <f t="shared" si="10"/>
        <v>-0.6</v>
      </c>
      <c r="P142">
        <f t="shared" si="16"/>
        <v>74.200000000000031</v>
      </c>
      <c r="Q142">
        <v>103</v>
      </c>
      <c r="R142">
        <v>1</v>
      </c>
      <c r="S142">
        <f t="shared" si="11"/>
        <v>0.6</v>
      </c>
      <c r="T142" s="24">
        <f t="shared" si="12"/>
        <v>-0.6</v>
      </c>
      <c r="U142" s="24">
        <f t="shared" si="17"/>
        <v>99.022784810126637</v>
      </c>
      <c r="W142">
        <v>520.70000000000005</v>
      </c>
      <c r="Y142">
        <f t="shared" si="14"/>
        <v>72039.10000000002</v>
      </c>
      <c r="Z142">
        <f t="shared" si="19"/>
        <v>8408.7999999999993</v>
      </c>
      <c r="AA142" s="36">
        <v>8.3271599954427824</v>
      </c>
    </row>
    <row r="143" spans="1:28" x14ac:dyDescent="0.25">
      <c r="A143">
        <v>5560</v>
      </c>
      <c r="B143">
        <v>22250</v>
      </c>
      <c r="C143" s="1">
        <v>42721</v>
      </c>
      <c r="E143" s="36">
        <v>15</v>
      </c>
      <c r="F143" s="48"/>
      <c r="G143">
        <v>3</v>
      </c>
      <c r="H143">
        <v>0.8</v>
      </c>
      <c r="I143">
        <v>7.2</v>
      </c>
      <c r="J143">
        <f t="shared" si="13"/>
        <v>1059.0999999999999</v>
      </c>
      <c r="K143">
        <f t="shared" si="18"/>
        <v>66.199999999999989</v>
      </c>
      <c r="M143">
        <v>0</v>
      </c>
      <c r="N143">
        <v>0.5</v>
      </c>
      <c r="O143">
        <f t="shared" si="10"/>
        <v>-0.5</v>
      </c>
      <c r="P143">
        <f t="shared" si="16"/>
        <v>73.700000000000031</v>
      </c>
      <c r="Q143">
        <v>104</v>
      </c>
      <c r="R143">
        <v>1</v>
      </c>
      <c r="S143">
        <f t="shared" si="11"/>
        <v>0.5</v>
      </c>
      <c r="T143" s="24">
        <f t="shared" si="12"/>
        <v>-0.5</v>
      </c>
      <c r="U143" s="24">
        <f t="shared" si="17"/>
        <v>98.522784810126637</v>
      </c>
      <c r="W143">
        <v>332</v>
      </c>
      <c r="Y143">
        <f t="shared" si="14"/>
        <v>72371.10000000002</v>
      </c>
      <c r="Z143">
        <f t="shared" si="19"/>
        <v>8740.7999999999993</v>
      </c>
      <c r="AA143" s="36">
        <v>8.3215224484255241</v>
      </c>
    </row>
    <row r="144" spans="1:28" x14ac:dyDescent="0.25">
      <c r="A144">
        <v>5560</v>
      </c>
      <c r="B144">
        <v>22250</v>
      </c>
      <c r="C144" s="1">
        <v>42722</v>
      </c>
      <c r="E144" s="36">
        <v>16</v>
      </c>
      <c r="F144" s="48"/>
      <c r="G144">
        <v>0.3</v>
      </c>
      <c r="H144">
        <v>-0.4</v>
      </c>
      <c r="I144">
        <v>0.7</v>
      </c>
      <c r="J144">
        <f t="shared" si="13"/>
        <v>1059.3999999999999</v>
      </c>
      <c r="K144">
        <f t="shared" si="18"/>
        <v>66.499999999999986</v>
      </c>
      <c r="M144">
        <v>0.1</v>
      </c>
      <c r="N144">
        <v>0.2</v>
      </c>
      <c r="O144">
        <f t="shared" si="10"/>
        <v>-0.1</v>
      </c>
      <c r="P144">
        <f t="shared" si="16"/>
        <v>73.600000000000037</v>
      </c>
      <c r="Q144">
        <v>105</v>
      </c>
      <c r="R144">
        <v>1</v>
      </c>
      <c r="S144">
        <f t="shared" si="11"/>
        <v>0.2</v>
      </c>
      <c r="T144" s="24">
        <f t="shared" si="12"/>
        <v>-0.1</v>
      </c>
      <c r="U144" s="24">
        <f t="shared" si="17"/>
        <v>98.422784810126643</v>
      </c>
      <c r="W144">
        <v>308.3</v>
      </c>
      <c r="Y144">
        <f t="shared" si="14"/>
        <v>72679.400000000023</v>
      </c>
      <c r="Z144">
        <f t="shared" si="19"/>
        <v>9049.0999999999985</v>
      </c>
      <c r="AA144" s="36">
        <v>8.3172066202411834</v>
      </c>
    </row>
    <row r="145" spans="1:27" x14ac:dyDescent="0.25">
      <c r="A145">
        <v>5560</v>
      </c>
      <c r="B145">
        <v>22250</v>
      </c>
      <c r="C145" s="1">
        <v>42723</v>
      </c>
      <c r="E145" s="36">
        <v>17</v>
      </c>
      <c r="F145" s="48"/>
      <c r="G145">
        <v>1.7</v>
      </c>
      <c r="H145">
        <v>0.2</v>
      </c>
      <c r="I145">
        <v>2.7</v>
      </c>
      <c r="J145">
        <f t="shared" si="13"/>
        <v>1061.0999999999999</v>
      </c>
      <c r="K145">
        <f t="shared" si="18"/>
        <v>68.199999999999989</v>
      </c>
      <c r="M145">
        <v>0</v>
      </c>
      <c r="N145">
        <v>0.1</v>
      </c>
      <c r="O145">
        <f t="shared" si="10"/>
        <v>-0.1</v>
      </c>
      <c r="P145">
        <f t="shared" si="16"/>
        <v>73.500000000000043</v>
      </c>
      <c r="Q145">
        <v>106</v>
      </c>
      <c r="R145">
        <v>1</v>
      </c>
      <c r="S145">
        <f t="shared" si="11"/>
        <v>0.1</v>
      </c>
      <c r="T145" s="24">
        <f t="shared" si="12"/>
        <v>-0.1</v>
      </c>
      <c r="U145" s="24">
        <f t="shared" si="17"/>
        <v>98.322784810126649</v>
      </c>
      <c r="W145">
        <v>80.900000000000006</v>
      </c>
      <c r="Y145">
        <f t="shared" si="14"/>
        <v>72760.300000000017</v>
      </c>
      <c r="Z145">
        <f t="shared" si="19"/>
        <v>9129.9999999999982</v>
      </c>
      <c r="AA145" s="36">
        <v>8.3142163159809748</v>
      </c>
    </row>
    <row r="146" spans="1:27" x14ac:dyDescent="0.25">
      <c r="A146">
        <v>5560</v>
      </c>
      <c r="B146">
        <v>22250</v>
      </c>
      <c r="C146" s="1">
        <v>42724</v>
      </c>
      <c r="E146" s="36">
        <v>18</v>
      </c>
      <c r="F146" s="48"/>
      <c r="G146">
        <v>3.5</v>
      </c>
      <c r="H146">
        <v>2.2000000000000002</v>
      </c>
      <c r="I146">
        <v>4.8</v>
      </c>
      <c r="J146">
        <f t="shared" si="13"/>
        <v>1064.5999999999999</v>
      </c>
      <c r="K146">
        <f t="shared" si="18"/>
        <v>71.699999999999989</v>
      </c>
      <c r="M146">
        <v>0</v>
      </c>
      <c r="N146">
        <v>0.1</v>
      </c>
      <c r="O146">
        <f t="shared" si="10"/>
        <v>-0.1</v>
      </c>
      <c r="P146">
        <f t="shared" si="16"/>
        <v>73.400000000000048</v>
      </c>
      <c r="Q146">
        <v>107</v>
      </c>
      <c r="R146">
        <v>1</v>
      </c>
      <c r="S146">
        <f t="shared" si="11"/>
        <v>0.1</v>
      </c>
      <c r="T146" s="24">
        <f t="shared" si="12"/>
        <v>-0.1</v>
      </c>
      <c r="U146" s="24">
        <f t="shared" si="17"/>
        <v>98.222784810126655</v>
      </c>
      <c r="W146">
        <v>123.3</v>
      </c>
      <c r="Y146">
        <f t="shared" si="14"/>
        <v>72883.60000000002</v>
      </c>
      <c r="Z146">
        <f t="shared" si="19"/>
        <v>9253.2999999999975</v>
      </c>
      <c r="AA146" s="36">
        <v>8.3125541778789476</v>
      </c>
    </row>
    <row r="147" spans="1:27" x14ac:dyDescent="0.25">
      <c r="A147">
        <v>5560</v>
      </c>
      <c r="B147">
        <v>22250</v>
      </c>
      <c r="C147" s="1">
        <v>42725</v>
      </c>
      <c r="E147" s="36">
        <v>19</v>
      </c>
      <c r="F147" s="48"/>
      <c r="G147">
        <v>4.4000000000000004</v>
      </c>
      <c r="H147">
        <v>2.6</v>
      </c>
      <c r="I147">
        <v>6.3</v>
      </c>
      <c r="J147">
        <f t="shared" si="13"/>
        <v>1069</v>
      </c>
      <c r="K147">
        <f t="shared" si="18"/>
        <v>76.099999999999994</v>
      </c>
      <c r="M147">
        <v>2.8</v>
      </c>
      <c r="N147">
        <v>0.5</v>
      </c>
      <c r="O147">
        <f t="shared" si="10"/>
        <v>2.2999999999999998</v>
      </c>
      <c r="P147">
        <f t="shared" si="16"/>
        <v>75.700000000000045</v>
      </c>
      <c r="Q147">
        <v>108</v>
      </c>
      <c r="R147">
        <v>1</v>
      </c>
      <c r="S147">
        <f t="shared" si="11"/>
        <v>0.5</v>
      </c>
      <c r="T147" s="24">
        <f t="shared" si="12"/>
        <v>2.2999999999999998</v>
      </c>
      <c r="U147" s="24">
        <f t="shared" si="17"/>
        <v>100.52278481012665</v>
      </c>
      <c r="W147">
        <v>400.9</v>
      </c>
      <c r="Y147">
        <f t="shared" si="14"/>
        <v>73284.500000000015</v>
      </c>
      <c r="Z147">
        <f t="shared" si="19"/>
        <v>9654.1999999999971</v>
      </c>
      <c r="AA147" s="36">
        <v>8.3122216766588775</v>
      </c>
    </row>
    <row r="148" spans="1:27" x14ac:dyDescent="0.25">
      <c r="A148">
        <v>5560</v>
      </c>
      <c r="B148">
        <v>22250</v>
      </c>
      <c r="C148" s="1">
        <v>42726</v>
      </c>
      <c r="F148" s="48"/>
      <c r="G148">
        <v>7.2</v>
      </c>
      <c r="H148">
        <v>4.5</v>
      </c>
      <c r="I148">
        <v>8.5</v>
      </c>
      <c r="J148">
        <f t="shared" si="13"/>
        <v>1076.2</v>
      </c>
      <c r="K148">
        <f t="shared" si="18"/>
        <v>83.3</v>
      </c>
      <c r="M148">
        <v>6</v>
      </c>
      <c r="N148">
        <v>0.2</v>
      </c>
      <c r="O148">
        <f t="shared" si="10"/>
        <v>5.8</v>
      </c>
      <c r="P148">
        <f t="shared" si="16"/>
        <v>81.500000000000043</v>
      </c>
      <c r="Q148">
        <v>109</v>
      </c>
      <c r="R148">
        <v>1</v>
      </c>
      <c r="S148">
        <f t="shared" si="11"/>
        <v>0.2</v>
      </c>
      <c r="T148" s="24">
        <f t="shared" si="12"/>
        <v>5.8</v>
      </c>
      <c r="U148" s="24">
        <f t="shared" si="17"/>
        <v>106.32278481012665</v>
      </c>
      <c r="W148">
        <v>71.400000000000006</v>
      </c>
      <c r="Y148">
        <f t="shared" si="14"/>
        <v>73355.900000000009</v>
      </c>
      <c r="Z148">
        <f t="shared" si="19"/>
        <v>9725.5999999999967</v>
      </c>
      <c r="AA148" s="36">
        <v>8.3132191067073204</v>
      </c>
    </row>
    <row r="149" spans="1:27" x14ac:dyDescent="0.25">
      <c r="A149">
        <v>5560</v>
      </c>
      <c r="B149">
        <v>22250</v>
      </c>
      <c r="C149" s="1">
        <v>42727</v>
      </c>
      <c r="F149" s="48"/>
      <c r="G149">
        <v>6.5</v>
      </c>
      <c r="H149">
        <v>6</v>
      </c>
      <c r="I149">
        <v>9.6</v>
      </c>
      <c r="J149">
        <f t="shared" si="13"/>
        <v>1082.7</v>
      </c>
      <c r="K149">
        <f t="shared" si="18"/>
        <v>89.8</v>
      </c>
      <c r="M149">
        <v>1.2</v>
      </c>
      <c r="N149">
        <v>0.4</v>
      </c>
      <c r="O149">
        <f t="shared" si="10"/>
        <v>0.79999999999999993</v>
      </c>
      <c r="P149">
        <f t="shared" si="16"/>
        <v>82.30000000000004</v>
      </c>
      <c r="Q149">
        <v>110</v>
      </c>
      <c r="R149">
        <v>1</v>
      </c>
      <c r="S149">
        <f t="shared" si="11"/>
        <v>0.4</v>
      </c>
      <c r="T149" s="24">
        <f t="shared" si="12"/>
        <v>0.79999999999999993</v>
      </c>
      <c r="U149" s="24">
        <f t="shared" si="17"/>
        <v>107.12278481012665</v>
      </c>
      <c r="W149">
        <v>145.6</v>
      </c>
      <c r="Y149">
        <f t="shared" si="14"/>
        <v>73501.500000000015</v>
      </c>
      <c r="Z149">
        <f t="shared" si="19"/>
        <v>9871.1999999999971</v>
      </c>
      <c r="AA149" s="36">
        <v>8.3155455851065021</v>
      </c>
    </row>
    <row r="150" spans="1:27" x14ac:dyDescent="0.25">
      <c r="A150">
        <v>5560</v>
      </c>
      <c r="B150">
        <v>22250</v>
      </c>
      <c r="C150" s="1">
        <v>42728</v>
      </c>
      <c r="F150" s="48"/>
      <c r="G150">
        <v>8</v>
      </c>
      <c r="H150">
        <v>6.2</v>
      </c>
      <c r="I150">
        <v>11.5</v>
      </c>
      <c r="J150">
        <f t="shared" si="13"/>
        <v>1090.7</v>
      </c>
      <c r="K150">
        <f t="shared" si="18"/>
        <v>97.8</v>
      </c>
      <c r="M150">
        <v>0.9</v>
      </c>
      <c r="N150">
        <v>0.6</v>
      </c>
      <c r="O150">
        <f t="shared" si="10"/>
        <v>0.30000000000000004</v>
      </c>
      <c r="P150">
        <f t="shared" si="16"/>
        <v>82.600000000000037</v>
      </c>
      <c r="Q150">
        <v>111</v>
      </c>
      <c r="R150">
        <v>1</v>
      </c>
      <c r="S150">
        <f t="shared" si="11"/>
        <v>0.6</v>
      </c>
      <c r="T150" s="24">
        <f t="shared" si="12"/>
        <v>0.30000000000000004</v>
      </c>
      <c r="U150" s="24">
        <f t="shared" si="17"/>
        <v>107.42278481012664</v>
      </c>
      <c r="W150">
        <v>189.4</v>
      </c>
      <c r="Y150">
        <f t="shared" si="14"/>
        <v>73690.900000000009</v>
      </c>
      <c r="Z150">
        <f t="shared" si="19"/>
        <v>10060.599999999997</v>
      </c>
      <c r="AA150" s="36">
        <v>8.3191990545339021</v>
      </c>
    </row>
    <row r="151" spans="1:27" x14ac:dyDescent="0.25">
      <c r="A151">
        <v>5560</v>
      </c>
      <c r="B151">
        <v>22250</v>
      </c>
      <c r="C151" s="1">
        <v>42729</v>
      </c>
      <c r="F151" s="48"/>
      <c r="G151">
        <v>8.1999999999999993</v>
      </c>
      <c r="H151">
        <v>3.4</v>
      </c>
      <c r="I151">
        <v>9.6999999999999993</v>
      </c>
      <c r="J151">
        <f t="shared" si="13"/>
        <v>1098.9000000000001</v>
      </c>
      <c r="K151">
        <f t="shared" si="18"/>
        <v>106</v>
      </c>
      <c r="M151">
        <v>1.2</v>
      </c>
      <c r="N151">
        <v>0.2</v>
      </c>
      <c r="O151">
        <f t="shared" si="10"/>
        <v>1</v>
      </c>
      <c r="P151">
        <f t="shared" si="16"/>
        <v>83.600000000000037</v>
      </c>
      <c r="Q151">
        <v>112</v>
      </c>
      <c r="R151">
        <v>1</v>
      </c>
      <c r="S151">
        <f t="shared" si="11"/>
        <v>0.2</v>
      </c>
      <c r="T151" s="24">
        <f t="shared" si="12"/>
        <v>1</v>
      </c>
      <c r="U151" s="24">
        <f t="shared" si="17"/>
        <v>108.42278481012664</v>
      </c>
      <c r="W151">
        <v>88.2</v>
      </c>
      <c r="Y151">
        <f t="shared" si="14"/>
        <v>73779.100000000006</v>
      </c>
      <c r="Z151">
        <f t="shared" si="19"/>
        <v>10148.799999999997</v>
      </c>
      <c r="AA151" s="36">
        <v>8.3241762900081646</v>
      </c>
    </row>
    <row r="152" spans="1:27" x14ac:dyDescent="0.25">
      <c r="A152">
        <v>5560</v>
      </c>
      <c r="B152">
        <v>22250</v>
      </c>
      <c r="C152" s="1">
        <v>42730</v>
      </c>
      <c r="F152" s="48"/>
      <c r="G152">
        <v>9</v>
      </c>
      <c r="H152">
        <v>9</v>
      </c>
      <c r="I152">
        <v>11.5</v>
      </c>
      <c r="J152">
        <f t="shared" si="13"/>
        <v>1107.9000000000001</v>
      </c>
      <c r="K152">
        <f t="shared" si="18"/>
        <v>115</v>
      </c>
      <c r="M152">
        <v>0.7</v>
      </c>
      <c r="N152">
        <v>0.4</v>
      </c>
      <c r="O152">
        <f t="shared" si="10"/>
        <v>0.29999999999999993</v>
      </c>
      <c r="P152">
        <f t="shared" si="16"/>
        <v>83.900000000000034</v>
      </c>
      <c r="Q152">
        <v>113</v>
      </c>
      <c r="R152">
        <v>1</v>
      </c>
      <c r="S152">
        <f t="shared" si="11"/>
        <v>0.4</v>
      </c>
      <c r="T152" s="24">
        <f t="shared" si="12"/>
        <v>0.29999999999999993</v>
      </c>
      <c r="U152" s="24">
        <f t="shared" si="17"/>
        <v>108.72278481012664</v>
      </c>
      <c r="W152">
        <v>101.8</v>
      </c>
      <c r="Y152">
        <f t="shared" si="14"/>
        <v>73880.900000000009</v>
      </c>
      <c r="Z152">
        <f t="shared" si="19"/>
        <v>10250.599999999997</v>
      </c>
      <c r="AA152" s="36">
        <v>8.3304729094343024</v>
      </c>
    </row>
    <row r="153" spans="1:27" x14ac:dyDescent="0.25">
      <c r="A153">
        <v>5560</v>
      </c>
      <c r="B153">
        <v>22250</v>
      </c>
      <c r="C153" s="1">
        <v>42731</v>
      </c>
      <c r="E153" s="36">
        <v>20</v>
      </c>
      <c r="F153" s="48"/>
      <c r="G153">
        <v>3</v>
      </c>
      <c r="H153">
        <v>1.4</v>
      </c>
      <c r="I153">
        <v>5.6</v>
      </c>
      <c r="J153">
        <f t="shared" si="13"/>
        <v>1110.9000000000001</v>
      </c>
      <c r="K153">
        <f t="shared" si="18"/>
        <v>118</v>
      </c>
      <c r="M153">
        <v>0</v>
      </c>
      <c r="N153">
        <v>0.5</v>
      </c>
      <c r="O153">
        <f t="shared" si="10"/>
        <v>-0.5</v>
      </c>
      <c r="P153">
        <f t="shared" si="16"/>
        <v>83.400000000000034</v>
      </c>
      <c r="Q153">
        <v>114</v>
      </c>
      <c r="R153">
        <v>1</v>
      </c>
      <c r="S153">
        <f t="shared" si="11"/>
        <v>0.5</v>
      </c>
      <c r="T153" s="24">
        <f t="shared" si="12"/>
        <v>-0.5</v>
      </c>
      <c r="U153" s="24">
        <f t="shared" si="17"/>
        <v>108.22278481012664</v>
      </c>
      <c r="W153">
        <v>486.6</v>
      </c>
      <c r="Y153">
        <f t="shared" si="14"/>
        <v>74367.500000000015</v>
      </c>
      <c r="Z153">
        <f t="shared" si="19"/>
        <v>10737.199999999997</v>
      </c>
      <c r="AA153" s="36">
        <v>8.3380833878748071</v>
      </c>
    </row>
    <row r="154" spans="1:27" x14ac:dyDescent="0.25">
      <c r="A154">
        <v>5560</v>
      </c>
      <c r="B154">
        <v>22250</v>
      </c>
      <c r="C154" s="1">
        <v>42732</v>
      </c>
      <c r="E154" s="36">
        <v>21</v>
      </c>
      <c r="F154" s="48"/>
      <c r="G154">
        <v>2.2000000000000002</v>
      </c>
      <c r="H154">
        <v>-0.6</v>
      </c>
      <c r="I154">
        <v>5.2</v>
      </c>
      <c r="J154">
        <f t="shared" si="13"/>
        <v>1113.1000000000001</v>
      </c>
      <c r="K154">
        <f t="shared" si="18"/>
        <v>120.2</v>
      </c>
      <c r="M154">
        <v>0</v>
      </c>
      <c r="N154">
        <v>0.7</v>
      </c>
      <c r="O154">
        <f t="shared" si="10"/>
        <v>-0.7</v>
      </c>
      <c r="P154">
        <f t="shared" si="16"/>
        <v>82.700000000000031</v>
      </c>
      <c r="Q154">
        <v>115</v>
      </c>
      <c r="R154">
        <v>1</v>
      </c>
      <c r="S154">
        <f t="shared" si="11"/>
        <v>0.7</v>
      </c>
      <c r="T154" s="24">
        <f t="shared" si="12"/>
        <v>-0.7</v>
      </c>
      <c r="U154" s="24">
        <f t="shared" si="17"/>
        <v>107.52278481012664</v>
      </c>
      <c r="W154">
        <v>573.4</v>
      </c>
      <c r="Y154">
        <f t="shared" si="14"/>
        <v>74940.900000000009</v>
      </c>
      <c r="Z154">
        <f t="shared" si="19"/>
        <v>11310.599999999997</v>
      </c>
      <c r="AA154" s="36">
        <v>8.3470010754480235</v>
      </c>
    </row>
    <row r="155" spans="1:27" x14ac:dyDescent="0.25">
      <c r="A155">
        <v>5560</v>
      </c>
      <c r="B155">
        <v>22250</v>
      </c>
      <c r="C155" s="1">
        <v>42733</v>
      </c>
      <c r="E155" s="36">
        <v>22</v>
      </c>
      <c r="F155" s="48"/>
      <c r="G155">
        <v>-0.2</v>
      </c>
      <c r="H155">
        <v>-1.9</v>
      </c>
      <c r="I155">
        <v>4.2</v>
      </c>
      <c r="J155">
        <v>1113.0999999999999</v>
      </c>
      <c r="K155">
        <v>120.2</v>
      </c>
      <c r="M155">
        <v>0</v>
      </c>
      <c r="N155">
        <v>0.7</v>
      </c>
      <c r="O155">
        <f t="shared" si="10"/>
        <v>-0.7</v>
      </c>
      <c r="P155">
        <f t="shared" si="16"/>
        <v>82.000000000000028</v>
      </c>
      <c r="Q155">
        <v>116</v>
      </c>
      <c r="R155">
        <v>1</v>
      </c>
      <c r="S155">
        <f t="shared" si="11"/>
        <v>0.7</v>
      </c>
      <c r="T155" s="24">
        <f t="shared" si="12"/>
        <v>-0.7</v>
      </c>
      <c r="U155" s="24">
        <f t="shared" si="17"/>
        <v>106.82278481012663</v>
      </c>
      <c r="W155">
        <v>637.79999999999995</v>
      </c>
      <c r="Y155">
        <f t="shared" si="14"/>
        <v>75578.700000000012</v>
      </c>
      <c r="Z155">
        <f t="shared" si="19"/>
        <v>11948.399999999996</v>
      </c>
      <c r="AA155" s="36">
        <v>8.3572182187309458</v>
      </c>
    </row>
    <row r="156" spans="1:27" x14ac:dyDescent="0.25">
      <c r="A156">
        <v>5560</v>
      </c>
      <c r="B156">
        <v>22250</v>
      </c>
      <c r="C156" s="1">
        <v>42734</v>
      </c>
      <c r="E156" s="36">
        <v>23</v>
      </c>
      <c r="F156" s="48"/>
      <c r="G156">
        <v>-3.1</v>
      </c>
      <c r="H156">
        <v>-3.9</v>
      </c>
      <c r="I156">
        <v>-2.5</v>
      </c>
      <c r="J156">
        <v>1113.0999999999999</v>
      </c>
      <c r="K156">
        <v>120.2</v>
      </c>
      <c r="M156">
        <v>0</v>
      </c>
      <c r="N156">
        <v>0.2</v>
      </c>
      <c r="O156">
        <f t="shared" si="10"/>
        <v>-0.2</v>
      </c>
      <c r="P156">
        <f t="shared" si="16"/>
        <v>81.800000000000026</v>
      </c>
      <c r="Q156">
        <v>117</v>
      </c>
      <c r="R156">
        <v>1</v>
      </c>
      <c r="S156">
        <f t="shared" si="11"/>
        <v>0.2</v>
      </c>
      <c r="T156" s="24">
        <f t="shared" si="12"/>
        <v>-0.2</v>
      </c>
      <c r="U156" s="24">
        <f t="shared" si="17"/>
        <v>106.62278481012663</v>
      </c>
      <c r="W156">
        <v>321.7</v>
      </c>
      <c r="Y156">
        <f t="shared" si="14"/>
        <v>75900.400000000009</v>
      </c>
      <c r="Z156">
        <f t="shared" si="19"/>
        <v>12270.099999999997</v>
      </c>
      <c r="AA156" s="36">
        <v>8.3687259855208769</v>
      </c>
    </row>
    <row r="157" spans="1:27" x14ac:dyDescent="0.25">
      <c r="A157">
        <v>5560</v>
      </c>
      <c r="B157">
        <v>22250</v>
      </c>
      <c r="C157" s="1">
        <v>42735</v>
      </c>
      <c r="E157" s="36">
        <v>24</v>
      </c>
      <c r="F157" s="48"/>
      <c r="G157">
        <v>-3.1</v>
      </c>
      <c r="H157">
        <v>-3.7</v>
      </c>
      <c r="I157">
        <v>-1.7</v>
      </c>
      <c r="J157">
        <v>1113.0999999999999</v>
      </c>
      <c r="K157">
        <v>120.2</v>
      </c>
      <c r="M157">
        <v>0</v>
      </c>
      <c r="N157">
        <v>0.3</v>
      </c>
      <c r="O157">
        <f t="shared" si="10"/>
        <v>-0.3</v>
      </c>
      <c r="P157">
        <f t="shared" si="16"/>
        <v>81.500000000000028</v>
      </c>
      <c r="Q157">
        <v>118</v>
      </c>
      <c r="R157">
        <v>1</v>
      </c>
      <c r="S157">
        <f t="shared" si="11"/>
        <v>0.3</v>
      </c>
      <c r="T157" s="24">
        <f t="shared" si="12"/>
        <v>-0.3</v>
      </c>
      <c r="U157" s="24">
        <f t="shared" si="17"/>
        <v>106.32278481012663</v>
      </c>
      <c r="W157">
        <v>326.39999999999998</v>
      </c>
      <c r="Y157">
        <f t="shared" si="14"/>
        <v>76226.8</v>
      </c>
      <c r="Z157">
        <f t="shared" si="19"/>
        <v>12596.499999999996</v>
      </c>
      <c r="AA157" s="36">
        <v>8.3815144927894867</v>
      </c>
    </row>
    <row r="158" spans="1:27" x14ac:dyDescent="0.25">
      <c r="A158">
        <v>5560</v>
      </c>
      <c r="B158">
        <v>22250</v>
      </c>
      <c r="C158" s="1">
        <v>42736</v>
      </c>
      <c r="E158" s="36">
        <v>25</v>
      </c>
      <c r="F158" s="48"/>
      <c r="G158">
        <v>-0.6</v>
      </c>
      <c r="H158">
        <v>-3.4</v>
      </c>
      <c r="I158">
        <v>0.4</v>
      </c>
      <c r="J158">
        <v>1113.0999999999999</v>
      </c>
      <c r="K158">
        <v>120.2</v>
      </c>
      <c r="M158">
        <v>0.2</v>
      </c>
      <c r="N158">
        <v>0.1</v>
      </c>
      <c r="O158">
        <f t="shared" si="10"/>
        <v>0.1</v>
      </c>
      <c r="P158">
        <f t="shared" si="16"/>
        <v>81.600000000000023</v>
      </c>
      <c r="Q158">
        <v>119</v>
      </c>
      <c r="R158">
        <v>1</v>
      </c>
      <c r="S158">
        <f t="shared" si="11"/>
        <v>0.1</v>
      </c>
      <c r="T158" s="24">
        <f t="shared" si="12"/>
        <v>0.1</v>
      </c>
      <c r="U158" s="24">
        <f t="shared" si="17"/>
        <v>106.42278481012663</v>
      </c>
      <c r="W158">
        <v>124</v>
      </c>
      <c r="Y158">
        <f t="shared" si="14"/>
        <v>76350.8</v>
      </c>
      <c r="Z158">
        <f t="shared" si="19"/>
        <v>12720.499999999996</v>
      </c>
      <c r="AA158" s="36">
        <v>8.3955728376436554</v>
      </c>
    </row>
    <row r="159" spans="1:27" x14ac:dyDescent="0.25">
      <c r="A159">
        <v>5560</v>
      </c>
      <c r="B159">
        <v>22250</v>
      </c>
      <c r="C159" s="1">
        <v>42737</v>
      </c>
      <c r="E159" s="36">
        <v>26</v>
      </c>
      <c r="F159" s="48"/>
      <c r="G159">
        <v>1.8</v>
      </c>
      <c r="H159">
        <v>0.3</v>
      </c>
      <c r="I159">
        <v>3</v>
      </c>
      <c r="J159">
        <f t="shared" si="13"/>
        <v>1114.8999999999999</v>
      </c>
      <c r="K159">
        <f t="shared" si="18"/>
        <v>122</v>
      </c>
      <c r="M159">
        <v>0</v>
      </c>
      <c r="N159">
        <v>0</v>
      </c>
      <c r="O159">
        <f t="shared" si="10"/>
        <v>0</v>
      </c>
      <c r="P159">
        <f t="shared" si="16"/>
        <v>81.600000000000023</v>
      </c>
      <c r="Q159">
        <v>120</v>
      </c>
      <c r="R159">
        <v>1</v>
      </c>
      <c r="S159">
        <f t="shared" si="11"/>
        <v>0</v>
      </c>
      <c r="T159" s="24">
        <f t="shared" si="12"/>
        <v>0</v>
      </c>
      <c r="U159" s="24">
        <f t="shared" si="17"/>
        <v>106.42278481012663</v>
      </c>
      <c r="W159">
        <v>125.4</v>
      </c>
      <c r="Y159">
        <f t="shared" si="14"/>
        <v>76476.2</v>
      </c>
      <c r="Z159">
        <f t="shared" si="19"/>
        <v>12845.899999999996</v>
      </c>
      <c r="AA159" s="36">
        <v>8.4108891310906291</v>
      </c>
    </row>
    <row r="160" spans="1:27" x14ac:dyDescent="0.25">
      <c r="A160">
        <v>5560</v>
      </c>
      <c r="B160">
        <v>22250</v>
      </c>
      <c r="C160" s="1">
        <v>42738</v>
      </c>
      <c r="E160" s="36">
        <v>27</v>
      </c>
      <c r="F160" s="48"/>
      <c r="G160">
        <v>-0.6</v>
      </c>
      <c r="H160">
        <v>-0.8</v>
      </c>
      <c r="I160">
        <v>-0.5</v>
      </c>
      <c r="J160">
        <v>1114.9000000000001</v>
      </c>
      <c r="K160">
        <v>122</v>
      </c>
      <c r="M160">
        <v>0</v>
      </c>
      <c r="N160">
        <v>0.1</v>
      </c>
      <c r="O160">
        <f t="shared" si="10"/>
        <v>-0.1</v>
      </c>
      <c r="P160">
        <f t="shared" si="16"/>
        <v>81.500000000000028</v>
      </c>
      <c r="Q160">
        <v>121</v>
      </c>
      <c r="R160">
        <v>1</v>
      </c>
      <c r="S160">
        <f t="shared" si="11"/>
        <v>0.1</v>
      </c>
      <c r="T160" s="24">
        <f t="shared" si="12"/>
        <v>-0.1</v>
      </c>
      <c r="U160" s="24">
        <f t="shared" si="17"/>
        <v>106.32278481012663</v>
      </c>
      <c r="W160">
        <v>98.7</v>
      </c>
      <c r="Y160">
        <f t="shared" si="14"/>
        <v>76574.899999999994</v>
      </c>
      <c r="Z160">
        <f t="shared" si="19"/>
        <v>12944.599999999997</v>
      </c>
      <c r="AA160" s="36">
        <v>8.4274505343902977</v>
      </c>
    </row>
    <row r="161" spans="1:27" x14ac:dyDescent="0.25">
      <c r="A161">
        <v>5560</v>
      </c>
      <c r="B161">
        <v>22250</v>
      </c>
      <c r="C161" s="1">
        <v>42739</v>
      </c>
      <c r="E161" s="36">
        <v>28</v>
      </c>
      <c r="F161" s="48"/>
      <c r="G161">
        <v>-0.4</v>
      </c>
      <c r="H161">
        <v>-2.5</v>
      </c>
      <c r="I161">
        <v>2.5</v>
      </c>
      <c r="J161">
        <v>1114.9000000000001</v>
      </c>
      <c r="K161">
        <v>122</v>
      </c>
      <c r="M161">
        <v>0.1</v>
      </c>
      <c r="N161">
        <v>0.2</v>
      </c>
      <c r="O161">
        <f t="shared" si="10"/>
        <v>-0.1</v>
      </c>
      <c r="P161">
        <f t="shared" si="16"/>
        <v>81.400000000000034</v>
      </c>
      <c r="Q161">
        <v>122</v>
      </c>
      <c r="R161">
        <v>1</v>
      </c>
      <c r="S161">
        <f t="shared" si="11"/>
        <v>0.2</v>
      </c>
      <c r="T161" s="24">
        <f t="shared" si="12"/>
        <v>-0.1</v>
      </c>
      <c r="U161" s="24">
        <f t="shared" si="17"/>
        <v>106.22278481012664</v>
      </c>
      <c r="W161">
        <v>132.19999999999999</v>
      </c>
      <c r="Y161">
        <f t="shared" si="14"/>
        <v>76707.099999999991</v>
      </c>
      <c r="Z161">
        <f t="shared" si="19"/>
        <v>13076.799999999997</v>
      </c>
      <c r="AA161" s="36">
        <v>8.4452432977650442</v>
      </c>
    </row>
    <row r="162" spans="1:27" x14ac:dyDescent="0.25">
      <c r="A162">
        <v>5560</v>
      </c>
      <c r="B162">
        <v>22250</v>
      </c>
      <c r="C162" s="1">
        <v>42740</v>
      </c>
      <c r="E162" s="36">
        <v>29</v>
      </c>
      <c r="F162" s="48"/>
      <c r="G162">
        <v>1</v>
      </c>
      <c r="H162">
        <v>-0.3</v>
      </c>
      <c r="I162">
        <v>1.9</v>
      </c>
      <c r="J162">
        <f t="shared" si="13"/>
        <v>1115.9000000000001</v>
      </c>
      <c r="K162">
        <f t="shared" si="18"/>
        <v>123</v>
      </c>
      <c r="M162">
        <v>0</v>
      </c>
      <c r="N162">
        <v>0.1</v>
      </c>
      <c r="O162">
        <f t="shared" si="10"/>
        <v>-0.1</v>
      </c>
      <c r="P162">
        <f t="shared" si="16"/>
        <v>81.30000000000004</v>
      </c>
      <c r="Q162">
        <v>123</v>
      </c>
      <c r="R162">
        <v>1</v>
      </c>
      <c r="S162">
        <f t="shared" si="11"/>
        <v>0.1</v>
      </c>
      <c r="T162" s="24">
        <f t="shared" si="12"/>
        <v>-0.1</v>
      </c>
      <c r="U162" s="24">
        <f t="shared" si="17"/>
        <v>106.12278481012665</v>
      </c>
      <c r="W162">
        <v>128.30000000000001</v>
      </c>
      <c r="Y162">
        <f t="shared" si="14"/>
        <v>76835.399999999994</v>
      </c>
      <c r="Z162">
        <f t="shared" si="19"/>
        <v>13205.099999999997</v>
      </c>
      <c r="AA162" s="36">
        <v>8.4642528012278646</v>
      </c>
    </row>
    <row r="163" spans="1:27" x14ac:dyDescent="0.25">
      <c r="A163">
        <v>5560</v>
      </c>
      <c r="B163">
        <v>22250</v>
      </c>
      <c r="C163" s="1">
        <v>42741</v>
      </c>
      <c r="E163" s="36">
        <v>30</v>
      </c>
      <c r="F163" s="48"/>
      <c r="G163">
        <v>-2</v>
      </c>
      <c r="H163">
        <v>-2.7</v>
      </c>
      <c r="I163">
        <v>0</v>
      </c>
      <c r="J163">
        <v>1115.9000000000001</v>
      </c>
      <c r="K163">
        <v>123</v>
      </c>
      <c r="M163">
        <v>0</v>
      </c>
      <c r="N163">
        <v>0.3</v>
      </c>
      <c r="O163">
        <f t="shared" si="10"/>
        <v>-0.3</v>
      </c>
      <c r="P163">
        <f t="shared" si="16"/>
        <v>81.000000000000043</v>
      </c>
      <c r="Q163">
        <v>124</v>
      </c>
      <c r="R163">
        <v>1</v>
      </c>
      <c r="S163">
        <f t="shared" si="11"/>
        <v>0.3</v>
      </c>
      <c r="T163" s="24">
        <f t="shared" si="12"/>
        <v>-0.3</v>
      </c>
      <c r="U163" s="24">
        <f t="shared" si="17"/>
        <v>105.82278481012665</v>
      </c>
      <c r="W163">
        <v>541.1</v>
      </c>
      <c r="Y163">
        <f t="shared" si="14"/>
        <v>77376.5</v>
      </c>
      <c r="Z163">
        <f t="shared" si="19"/>
        <v>13746.199999999997</v>
      </c>
      <c r="AA163" s="36">
        <v>8.4844635972818097</v>
      </c>
    </row>
    <row r="164" spans="1:27" x14ac:dyDescent="0.25">
      <c r="A164">
        <v>5560</v>
      </c>
      <c r="B164">
        <v>22250</v>
      </c>
      <c r="C164" s="1">
        <v>42742</v>
      </c>
      <c r="E164" s="36">
        <v>31</v>
      </c>
      <c r="F164" s="48"/>
      <c r="G164">
        <v>-1.3</v>
      </c>
      <c r="H164">
        <v>-6</v>
      </c>
      <c r="I164">
        <v>1.2</v>
      </c>
      <c r="J164">
        <v>1115.9000000000001</v>
      </c>
      <c r="K164">
        <v>123</v>
      </c>
      <c r="M164">
        <v>0.8</v>
      </c>
      <c r="N164">
        <v>0.5</v>
      </c>
      <c r="O164">
        <f t="shared" si="10"/>
        <v>0.30000000000000004</v>
      </c>
      <c r="P164">
        <f t="shared" si="16"/>
        <v>81.30000000000004</v>
      </c>
      <c r="Q164">
        <v>125</v>
      </c>
      <c r="R164">
        <v>1</v>
      </c>
      <c r="S164">
        <f t="shared" si="11"/>
        <v>0.5</v>
      </c>
      <c r="T164" s="24">
        <f t="shared" si="12"/>
        <v>0.30000000000000004</v>
      </c>
      <c r="U164" s="24">
        <f t="shared" si="17"/>
        <v>106.12278481012665</v>
      </c>
      <c r="W164">
        <v>550.79999999999995</v>
      </c>
      <c r="Y164">
        <f t="shared" si="14"/>
        <v>77927.3</v>
      </c>
      <c r="Z164">
        <f t="shared" si="19"/>
        <v>14296.999999999996</v>
      </c>
      <c r="AA164" s="36">
        <v>8.5058594552390687</v>
      </c>
    </row>
    <row r="165" spans="1:27" x14ac:dyDescent="0.25">
      <c r="A165">
        <v>5560</v>
      </c>
      <c r="B165">
        <v>22250</v>
      </c>
      <c r="C165" s="1">
        <v>42743</v>
      </c>
      <c r="E165" s="36">
        <v>32</v>
      </c>
      <c r="F165" s="48"/>
      <c r="G165">
        <v>2.7</v>
      </c>
      <c r="H165">
        <v>0.3</v>
      </c>
      <c r="I165">
        <v>4.0999999999999996</v>
      </c>
      <c r="J165">
        <f t="shared" si="13"/>
        <v>1118.6000000000001</v>
      </c>
      <c r="K165">
        <f t="shared" si="18"/>
        <v>125.7</v>
      </c>
      <c r="M165">
        <v>0.1</v>
      </c>
      <c r="N165">
        <v>0.2</v>
      </c>
      <c r="O165">
        <f t="shared" si="10"/>
        <v>-0.1</v>
      </c>
      <c r="P165">
        <f t="shared" si="16"/>
        <v>81.200000000000045</v>
      </c>
      <c r="Q165">
        <v>126</v>
      </c>
      <c r="R165">
        <v>1</v>
      </c>
      <c r="S165">
        <f t="shared" si="11"/>
        <v>0.2</v>
      </c>
      <c r="T165" s="24">
        <f t="shared" si="12"/>
        <v>-0.1</v>
      </c>
      <c r="U165" s="24">
        <f t="shared" si="17"/>
        <v>106.02278481012665</v>
      </c>
      <c r="W165">
        <v>227.2</v>
      </c>
      <c r="Y165">
        <f t="shared" si="14"/>
        <v>78154.5</v>
      </c>
      <c r="Z165">
        <f t="shared" si="19"/>
        <v>14524.199999999997</v>
      </c>
      <c r="AA165" s="36">
        <v>8.5284234069052598</v>
      </c>
    </row>
    <row r="166" spans="1:27" x14ac:dyDescent="0.25">
      <c r="A166">
        <v>5560</v>
      </c>
      <c r="B166">
        <v>22250</v>
      </c>
      <c r="C166" s="1">
        <v>42744</v>
      </c>
      <c r="F166" s="48"/>
      <c r="G166">
        <v>5.0999999999999996</v>
      </c>
      <c r="H166">
        <v>2.7</v>
      </c>
      <c r="I166">
        <v>6.9</v>
      </c>
      <c r="J166">
        <f t="shared" si="13"/>
        <v>1123.7</v>
      </c>
      <c r="K166">
        <f t="shared" si="18"/>
        <v>130.80000000000001</v>
      </c>
      <c r="M166">
        <v>6.3</v>
      </c>
      <c r="N166">
        <v>0.1</v>
      </c>
      <c r="O166">
        <f t="shared" si="10"/>
        <v>6.2</v>
      </c>
      <c r="P166">
        <f t="shared" si="16"/>
        <v>87.400000000000048</v>
      </c>
      <c r="Q166">
        <v>127</v>
      </c>
      <c r="R166">
        <v>1</v>
      </c>
      <c r="S166">
        <f t="shared" si="11"/>
        <v>0.1</v>
      </c>
      <c r="T166" s="24">
        <f t="shared" si="12"/>
        <v>6.2</v>
      </c>
      <c r="U166" s="24">
        <f t="shared" si="17"/>
        <v>112.22278481012665</v>
      </c>
      <c r="W166">
        <v>94.4</v>
      </c>
      <c r="Y166">
        <f t="shared" si="14"/>
        <v>78248.899999999994</v>
      </c>
      <c r="Z166">
        <f t="shared" si="19"/>
        <v>14618.599999999997</v>
      </c>
      <c r="AA166" s="36">
        <v>8.5521377933743548</v>
      </c>
    </row>
    <row r="167" spans="1:27" x14ac:dyDescent="0.25">
      <c r="A167">
        <v>5560</v>
      </c>
      <c r="B167">
        <v>22250</v>
      </c>
      <c r="C167" s="1">
        <v>42745</v>
      </c>
      <c r="F167" s="48"/>
      <c r="G167">
        <v>5.0999999999999996</v>
      </c>
      <c r="H167">
        <v>3.9</v>
      </c>
      <c r="I167">
        <v>6.2</v>
      </c>
      <c r="J167">
        <f t="shared" si="13"/>
        <v>1128.8</v>
      </c>
      <c r="K167">
        <f t="shared" si="18"/>
        <v>135.9</v>
      </c>
      <c r="M167">
        <v>1.1000000000000001</v>
      </c>
      <c r="N167">
        <v>0.1</v>
      </c>
      <c r="O167">
        <f t="shared" si="10"/>
        <v>1</v>
      </c>
      <c r="P167">
        <f t="shared" si="16"/>
        <v>88.400000000000048</v>
      </c>
      <c r="Q167">
        <v>128</v>
      </c>
      <c r="R167">
        <v>1</v>
      </c>
      <c r="S167">
        <f t="shared" si="11"/>
        <v>0.1</v>
      </c>
      <c r="T167" s="24">
        <f t="shared" si="12"/>
        <v>1</v>
      </c>
      <c r="U167" s="24">
        <f t="shared" si="17"/>
        <v>113.22278481012665</v>
      </c>
      <c r="W167">
        <v>152.1</v>
      </c>
      <c r="Y167">
        <f t="shared" si="14"/>
        <v>78401</v>
      </c>
      <c r="Z167">
        <f t="shared" si="19"/>
        <v>14770.699999999997</v>
      </c>
      <c r="AA167" s="36">
        <v>8.5769843126816152</v>
      </c>
    </row>
    <row r="168" spans="1:27" x14ac:dyDescent="0.25">
      <c r="A168">
        <v>5560</v>
      </c>
      <c r="B168">
        <v>22250</v>
      </c>
      <c r="C168" s="1">
        <v>42746</v>
      </c>
      <c r="F168" s="48"/>
      <c r="G168">
        <v>7.2</v>
      </c>
      <c r="H168">
        <v>4</v>
      </c>
      <c r="I168">
        <v>9.4</v>
      </c>
      <c r="J168">
        <f t="shared" si="13"/>
        <v>1136</v>
      </c>
      <c r="K168">
        <f t="shared" si="18"/>
        <v>143.1</v>
      </c>
      <c r="M168">
        <v>0.6</v>
      </c>
      <c r="N168">
        <v>0</v>
      </c>
      <c r="O168">
        <f t="shared" si="10"/>
        <v>0.6</v>
      </c>
      <c r="P168">
        <f t="shared" si="16"/>
        <v>89.000000000000043</v>
      </c>
      <c r="Q168">
        <v>129</v>
      </c>
      <c r="R168">
        <v>1</v>
      </c>
      <c r="S168">
        <f t="shared" si="11"/>
        <v>0</v>
      </c>
      <c r="T168" s="24">
        <f t="shared" si="12"/>
        <v>0.6</v>
      </c>
      <c r="U168" s="24">
        <f t="shared" si="17"/>
        <v>113.82278481012665</v>
      </c>
      <c r="W168">
        <v>140.30000000000001</v>
      </c>
      <c r="Y168">
        <f t="shared" si="14"/>
        <v>78541.3</v>
      </c>
      <c r="Z168">
        <f t="shared" si="19"/>
        <v>14910.999999999996</v>
      </c>
      <c r="AA168" s="36">
        <v>8.6029440680659963</v>
      </c>
    </row>
    <row r="169" spans="1:27" x14ac:dyDescent="0.25">
      <c r="A169">
        <v>5560</v>
      </c>
      <c r="B169">
        <v>22250</v>
      </c>
      <c r="C169" s="1">
        <v>42747</v>
      </c>
      <c r="F169" s="48"/>
      <c r="G169">
        <v>7.3</v>
      </c>
      <c r="H169">
        <v>5.7</v>
      </c>
      <c r="I169">
        <v>9.6999999999999993</v>
      </c>
      <c r="J169">
        <f t="shared" si="13"/>
        <v>1143.3</v>
      </c>
      <c r="K169">
        <f t="shared" si="18"/>
        <v>150.4</v>
      </c>
      <c r="M169">
        <v>5.4</v>
      </c>
      <c r="N169">
        <v>0.6</v>
      </c>
      <c r="O169">
        <f t="shared" ref="O169:O232" si="20">M169-N169</f>
        <v>4.8000000000000007</v>
      </c>
      <c r="P169">
        <f t="shared" si="16"/>
        <v>93.80000000000004</v>
      </c>
      <c r="Q169">
        <v>130</v>
      </c>
      <c r="R169">
        <v>1</v>
      </c>
      <c r="S169">
        <f t="shared" ref="S169:S232" si="21">R169*N169</f>
        <v>0.6</v>
      </c>
      <c r="T169" s="24">
        <f t="shared" ref="T169:T232" si="22">M169-S169</f>
        <v>4.8000000000000007</v>
      </c>
      <c r="U169" s="24">
        <f t="shared" si="17"/>
        <v>118.62278481012665</v>
      </c>
      <c r="W169">
        <v>108.7</v>
      </c>
      <c r="Y169">
        <f t="shared" si="14"/>
        <v>78650</v>
      </c>
      <c r="Z169">
        <f t="shared" si="19"/>
        <v>15019.699999999997</v>
      </c>
      <c r="AA169" s="36">
        <v>8.6299976165994909</v>
      </c>
    </row>
    <row r="170" spans="1:27" x14ac:dyDescent="0.25">
      <c r="A170">
        <v>5560</v>
      </c>
      <c r="B170">
        <v>22250</v>
      </c>
      <c r="C170" s="1">
        <v>42748</v>
      </c>
      <c r="E170" s="36">
        <v>33</v>
      </c>
      <c r="F170" s="48"/>
      <c r="G170">
        <v>2.6</v>
      </c>
      <c r="H170">
        <v>1.3</v>
      </c>
      <c r="I170">
        <v>4.2</v>
      </c>
      <c r="J170">
        <f t="shared" ref="J170:J233" si="23">J169+G170</f>
        <v>1145.8999999999999</v>
      </c>
      <c r="K170">
        <f t="shared" si="18"/>
        <v>153</v>
      </c>
      <c r="M170">
        <v>0.4</v>
      </c>
      <c r="N170">
        <v>0.6</v>
      </c>
      <c r="O170">
        <f t="shared" si="20"/>
        <v>-0.19999999999999996</v>
      </c>
      <c r="P170">
        <f t="shared" si="16"/>
        <v>93.600000000000037</v>
      </c>
      <c r="Q170">
        <v>131</v>
      </c>
      <c r="R170">
        <v>1</v>
      </c>
      <c r="S170">
        <f t="shared" si="21"/>
        <v>0.6</v>
      </c>
      <c r="T170" s="24">
        <f t="shared" si="22"/>
        <v>-0.19999999999999996</v>
      </c>
      <c r="U170" s="24">
        <f t="shared" si="17"/>
        <v>118.42278481012664</v>
      </c>
      <c r="W170">
        <v>204.8</v>
      </c>
      <c r="Y170">
        <f t="shared" ref="Y170:Y233" si="24">Y169+W170</f>
        <v>78854.8</v>
      </c>
      <c r="Z170">
        <f t="shared" si="19"/>
        <v>15224.499999999996</v>
      </c>
      <c r="AA170" s="36">
        <v>8.6581250179486435</v>
      </c>
    </row>
    <row r="171" spans="1:27" x14ac:dyDescent="0.25">
      <c r="A171">
        <v>5560</v>
      </c>
      <c r="B171">
        <v>22250</v>
      </c>
      <c r="C171" s="1">
        <v>42749</v>
      </c>
      <c r="E171" s="36">
        <v>34</v>
      </c>
      <c r="F171" s="48"/>
      <c r="G171">
        <v>2.4</v>
      </c>
      <c r="H171">
        <v>0.6</v>
      </c>
      <c r="I171">
        <v>4</v>
      </c>
      <c r="J171">
        <f t="shared" si="23"/>
        <v>1148.3</v>
      </c>
      <c r="K171">
        <f t="shared" si="18"/>
        <v>155.4</v>
      </c>
      <c r="M171">
        <v>0.6</v>
      </c>
      <c r="N171">
        <v>0.4</v>
      </c>
      <c r="O171">
        <f t="shared" si="20"/>
        <v>0.19999999999999996</v>
      </c>
      <c r="P171">
        <f t="shared" si="16"/>
        <v>93.80000000000004</v>
      </c>
      <c r="Q171">
        <v>132</v>
      </c>
      <c r="R171">
        <v>1</v>
      </c>
      <c r="S171">
        <f t="shared" si="21"/>
        <v>0.4</v>
      </c>
      <c r="T171" s="24">
        <f t="shared" si="22"/>
        <v>0.19999999999999996</v>
      </c>
      <c r="U171" s="24">
        <f t="shared" si="17"/>
        <v>118.62278481012665</v>
      </c>
      <c r="W171">
        <v>514.79999999999995</v>
      </c>
      <c r="Y171">
        <f t="shared" si="24"/>
        <v>79369.600000000006</v>
      </c>
      <c r="Z171">
        <f t="shared" si="19"/>
        <v>15739.299999999996</v>
      </c>
      <c r="AA171" s="36">
        <v>8.6873058830428516</v>
      </c>
    </row>
    <row r="172" spans="1:27" x14ac:dyDescent="0.25">
      <c r="A172">
        <v>5560</v>
      </c>
      <c r="B172">
        <v>22250</v>
      </c>
      <c r="C172" s="1">
        <v>42750</v>
      </c>
      <c r="E172" s="36">
        <v>35</v>
      </c>
      <c r="F172" s="48"/>
      <c r="G172">
        <v>2.5</v>
      </c>
      <c r="H172">
        <v>0.3</v>
      </c>
      <c r="I172">
        <v>4.2</v>
      </c>
      <c r="J172">
        <f t="shared" si="23"/>
        <v>1150.8</v>
      </c>
      <c r="K172">
        <f t="shared" si="18"/>
        <v>157.9</v>
      </c>
      <c r="M172">
        <v>3.4</v>
      </c>
      <c r="N172">
        <v>0.1</v>
      </c>
      <c r="O172">
        <f t="shared" si="20"/>
        <v>3.3</v>
      </c>
      <c r="P172">
        <f t="shared" si="16"/>
        <v>97.100000000000037</v>
      </c>
      <c r="Q172">
        <v>133</v>
      </c>
      <c r="R172">
        <v>1</v>
      </c>
      <c r="S172">
        <f t="shared" si="21"/>
        <v>0.1</v>
      </c>
      <c r="T172" s="24">
        <f t="shared" si="22"/>
        <v>3.3</v>
      </c>
      <c r="U172" s="24">
        <f t="shared" si="17"/>
        <v>121.92278481012664</v>
      </c>
      <c r="W172">
        <v>126.6</v>
      </c>
      <c r="Y172">
        <f t="shared" si="24"/>
        <v>79496.200000000012</v>
      </c>
      <c r="Z172">
        <f t="shared" si="19"/>
        <v>15865.899999999996</v>
      </c>
      <c r="AA172" s="36">
        <v>8.7175194224346892</v>
      </c>
    </row>
    <row r="173" spans="1:27" x14ac:dyDescent="0.25">
      <c r="A173">
        <v>5560</v>
      </c>
      <c r="B173">
        <v>22250</v>
      </c>
      <c r="C173" s="1">
        <v>42751</v>
      </c>
      <c r="E173" s="36">
        <v>36</v>
      </c>
      <c r="F173" s="48"/>
      <c r="G173">
        <v>1.7</v>
      </c>
      <c r="H173">
        <v>-0.1</v>
      </c>
      <c r="I173">
        <v>3.2</v>
      </c>
      <c r="J173">
        <f t="shared" si="23"/>
        <v>1152.5</v>
      </c>
      <c r="K173">
        <f t="shared" si="18"/>
        <v>159.6</v>
      </c>
      <c r="M173">
        <v>0</v>
      </c>
      <c r="N173">
        <v>0.1</v>
      </c>
      <c r="O173">
        <f t="shared" si="20"/>
        <v>-0.1</v>
      </c>
      <c r="P173">
        <f t="shared" si="16"/>
        <v>97.000000000000043</v>
      </c>
      <c r="Q173">
        <v>134</v>
      </c>
      <c r="R173">
        <v>1</v>
      </c>
      <c r="S173">
        <f t="shared" si="21"/>
        <v>0.1</v>
      </c>
      <c r="T173" s="24">
        <f t="shared" si="22"/>
        <v>-0.1</v>
      </c>
      <c r="U173" s="24">
        <f t="shared" si="17"/>
        <v>121.82278481012665</v>
      </c>
      <c r="W173">
        <v>187.8</v>
      </c>
      <c r="Y173">
        <f t="shared" si="24"/>
        <v>79684.000000000015</v>
      </c>
      <c r="Z173">
        <f t="shared" si="19"/>
        <v>16053.699999999995</v>
      </c>
      <c r="AA173" s="36">
        <v>8.74874449414955</v>
      </c>
    </row>
    <row r="174" spans="1:27" x14ac:dyDescent="0.25">
      <c r="A174">
        <v>5560</v>
      </c>
      <c r="B174">
        <v>22250</v>
      </c>
      <c r="C174" s="1">
        <v>42752</v>
      </c>
      <c r="E174" s="36">
        <v>37</v>
      </c>
      <c r="F174" s="48"/>
      <c r="G174">
        <v>-2.5</v>
      </c>
      <c r="H174">
        <v>-3.9</v>
      </c>
      <c r="I174">
        <v>0.2</v>
      </c>
      <c r="J174">
        <v>1152.5</v>
      </c>
      <c r="K174">
        <v>159.6</v>
      </c>
      <c r="M174">
        <v>0</v>
      </c>
      <c r="N174">
        <v>0.6</v>
      </c>
      <c r="O174">
        <f t="shared" si="20"/>
        <v>-0.6</v>
      </c>
      <c r="P174">
        <f t="shared" si="16"/>
        <v>96.400000000000048</v>
      </c>
      <c r="Q174">
        <v>135</v>
      </c>
      <c r="R174">
        <v>1</v>
      </c>
      <c r="S174">
        <f t="shared" si="21"/>
        <v>0.6</v>
      </c>
      <c r="T174" s="24">
        <f t="shared" si="22"/>
        <v>-0.6</v>
      </c>
      <c r="U174" s="24">
        <f t="shared" si="17"/>
        <v>121.22278481012665</v>
      </c>
      <c r="W174">
        <v>820.7</v>
      </c>
      <c r="Y174">
        <f t="shared" si="24"/>
        <v>80504.700000000012</v>
      </c>
      <c r="Z174">
        <f t="shared" si="19"/>
        <v>16874.399999999994</v>
      </c>
      <c r="AA174" s="36">
        <v>8.780959650834582</v>
      </c>
    </row>
    <row r="175" spans="1:27" x14ac:dyDescent="0.25">
      <c r="A175">
        <v>5560</v>
      </c>
      <c r="B175">
        <v>22250</v>
      </c>
      <c r="C175" s="1">
        <v>42753</v>
      </c>
      <c r="E175" s="36">
        <v>38</v>
      </c>
      <c r="F175" s="48"/>
      <c r="G175">
        <v>-3.7</v>
      </c>
      <c r="H175">
        <v>-5.6</v>
      </c>
      <c r="I175">
        <v>-1.5</v>
      </c>
      <c r="J175">
        <v>1152.5</v>
      </c>
      <c r="K175">
        <v>159.6</v>
      </c>
      <c r="M175">
        <v>0</v>
      </c>
      <c r="N175">
        <v>0.5</v>
      </c>
      <c r="O175">
        <f t="shared" si="20"/>
        <v>-0.5</v>
      </c>
      <c r="P175">
        <f t="shared" si="16"/>
        <v>95.900000000000048</v>
      </c>
      <c r="Q175">
        <v>136</v>
      </c>
      <c r="R175">
        <v>1</v>
      </c>
      <c r="S175">
        <f t="shared" si="21"/>
        <v>0.5</v>
      </c>
      <c r="T175" s="24">
        <f t="shared" si="22"/>
        <v>-0.5</v>
      </c>
      <c r="U175" s="24">
        <f t="shared" si="17"/>
        <v>120.72278481012665</v>
      </c>
      <c r="W175">
        <v>501.2</v>
      </c>
      <c r="Y175">
        <f t="shared" si="24"/>
        <v>81005.900000000009</v>
      </c>
      <c r="Z175">
        <f t="shared" si="19"/>
        <v>17375.599999999995</v>
      </c>
      <c r="AA175" s="36">
        <v>8.8141431860306909</v>
      </c>
    </row>
    <row r="176" spans="1:27" x14ac:dyDescent="0.25">
      <c r="A176">
        <v>5560</v>
      </c>
      <c r="B176">
        <v>22250</v>
      </c>
      <c r="C176" s="1">
        <v>42754</v>
      </c>
      <c r="E176" s="36">
        <v>39</v>
      </c>
      <c r="F176" s="48"/>
      <c r="G176">
        <v>-4.0999999999999996</v>
      </c>
      <c r="H176">
        <v>-6.3</v>
      </c>
      <c r="I176">
        <v>-1.6</v>
      </c>
      <c r="J176">
        <v>1152.5</v>
      </c>
      <c r="K176">
        <v>159.6</v>
      </c>
      <c r="M176">
        <v>0</v>
      </c>
      <c r="N176">
        <v>0.5</v>
      </c>
      <c r="O176">
        <f t="shared" si="20"/>
        <v>-0.5</v>
      </c>
      <c r="P176">
        <f t="shared" si="16"/>
        <v>95.400000000000048</v>
      </c>
      <c r="Q176">
        <v>137</v>
      </c>
      <c r="R176">
        <v>1</v>
      </c>
      <c r="S176">
        <f t="shared" si="21"/>
        <v>0.5</v>
      </c>
      <c r="T176" s="24">
        <f t="shared" si="22"/>
        <v>-0.5</v>
      </c>
      <c r="U176" s="24">
        <f t="shared" si="17"/>
        <v>120.22278481012665</v>
      </c>
      <c r="W176">
        <v>853</v>
      </c>
      <c r="Y176">
        <f t="shared" si="24"/>
        <v>81858.900000000009</v>
      </c>
      <c r="Z176">
        <f t="shared" si="19"/>
        <v>18228.599999999995</v>
      </c>
      <c r="AA176" s="36">
        <v>8.8482731794054992</v>
      </c>
    </row>
    <row r="177" spans="1:28" x14ac:dyDescent="0.25">
      <c r="A177">
        <v>5560</v>
      </c>
      <c r="B177">
        <v>22250</v>
      </c>
      <c r="C177" s="1">
        <v>42755</v>
      </c>
      <c r="E177" s="36">
        <v>40</v>
      </c>
      <c r="F177" s="48"/>
      <c r="G177">
        <v>-3.7</v>
      </c>
      <c r="H177">
        <v>-6.8</v>
      </c>
      <c r="I177">
        <v>-0.9</v>
      </c>
      <c r="J177">
        <v>1152.5</v>
      </c>
      <c r="K177">
        <v>159.6</v>
      </c>
      <c r="M177">
        <v>0</v>
      </c>
      <c r="N177">
        <v>0.5</v>
      </c>
      <c r="O177">
        <f t="shared" si="20"/>
        <v>-0.5</v>
      </c>
      <c r="P177">
        <f t="shared" ref="P177:P240" si="25">P176+O177</f>
        <v>94.900000000000048</v>
      </c>
      <c r="Q177">
        <v>138</v>
      </c>
      <c r="R177">
        <v>1</v>
      </c>
      <c r="S177">
        <f t="shared" si="21"/>
        <v>0.5</v>
      </c>
      <c r="T177" s="24">
        <f t="shared" si="22"/>
        <v>-0.5</v>
      </c>
      <c r="U177" s="24">
        <f t="shared" si="17"/>
        <v>119.72278481012665</v>
      </c>
      <c r="W177">
        <v>825</v>
      </c>
      <c r="Y177">
        <f t="shared" si="24"/>
        <v>82683.900000000009</v>
      </c>
      <c r="Z177">
        <f t="shared" si="19"/>
        <v>19053.599999999995</v>
      </c>
      <c r="AA177" s="36">
        <v>8.8833275407997885</v>
      </c>
    </row>
    <row r="178" spans="1:28" x14ac:dyDescent="0.25">
      <c r="A178">
        <v>5560</v>
      </c>
      <c r="B178">
        <v>22250</v>
      </c>
      <c r="C178" s="1">
        <v>42756</v>
      </c>
      <c r="E178" s="36">
        <v>41</v>
      </c>
      <c r="F178" s="48"/>
      <c r="G178">
        <v>-1.2</v>
      </c>
      <c r="H178">
        <v>-6</v>
      </c>
      <c r="I178">
        <v>3.4</v>
      </c>
      <c r="J178">
        <v>1152.5</v>
      </c>
      <c r="K178">
        <v>159.6</v>
      </c>
      <c r="M178">
        <v>0</v>
      </c>
      <c r="N178">
        <v>0.6</v>
      </c>
      <c r="O178">
        <f t="shared" si="20"/>
        <v>-0.6</v>
      </c>
      <c r="P178">
        <f t="shared" si="25"/>
        <v>94.300000000000054</v>
      </c>
      <c r="Q178">
        <v>139</v>
      </c>
      <c r="R178">
        <v>1</v>
      </c>
      <c r="S178">
        <f t="shared" si="21"/>
        <v>0.6</v>
      </c>
      <c r="T178" s="24">
        <f t="shared" si="22"/>
        <v>-0.6</v>
      </c>
      <c r="U178" s="24">
        <f t="shared" ref="U178:U241" si="26">MIN(122.1,U177+T178)</f>
        <v>119.12278481012666</v>
      </c>
      <c r="W178">
        <v>872.5</v>
      </c>
      <c r="Y178">
        <f t="shared" si="24"/>
        <v>83556.400000000009</v>
      </c>
      <c r="Z178">
        <f t="shared" si="19"/>
        <v>19926.099999999995</v>
      </c>
      <c r="AA178" s="36">
        <v>8.9192840529547244</v>
      </c>
    </row>
    <row r="179" spans="1:28" x14ac:dyDescent="0.25">
      <c r="A179">
        <v>5560</v>
      </c>
      <c r="B179">
        <v>22250</v>
      </c>
      <c r="C179" s="1">
        <v>42757</v>
      </c>
      <c r="E179" s="36">
        <v>42</v>
      </c>
      <c r="F179" s="48"/>
      <c r="G179">
        <v>-0.8</v>
      </c>
      <c r="H179">
        <v>-4.5999999999999996</v>
      </c>
      <c r="I179">
        <v>2.9</v>
      </c>
      <c r="J179">
        <v>1152.5</v>
      </c>
      <c r="K179">
        <v>159.6</v>
      </c>
      <c r="M179">
        <v>0</v>
      </c>
      <c r="N179">
        <v>0.5</v>
      </c>
      <c r="O179">
        <f t="shared" si="20"/>
        <v>-0.5</v>
      </c>
      <c r="P179">
        <f t="shared" si="25"/>
        <v>93.800000000000054</v>
      </c>
      <c r="Q179">
        <v>140</v>
      </c>
      <c r="R179">
        <v>1</v>
      </c>
      <c r="S179">
        <f t="shared" si="21"/>
        <v>0.5</v>
      </c>
      <c r="T179" s="24">
        <f t="shared" si="22"/>
        <v>-0.5</v>
      </c>
      <c r="U179" s="24">
        <f t="shared" si="26"/>
        <v>118.62278481012666</v>
      </c>
      <c r="W179">
        <v>700.3</v>
      </c>
      <c r="Y179">
        <f t="shared" si="24"/>
        <v>84256.700000000012</v>
      </c>
      <c r="Z179">
        <f t="shared" si="19"/>
        <v>20626.399999999994</v>
      </c>
      <c r="AA179" s="36">
        <v>8.956120412802024</v>
      </c>
    </row>
    <row r="180" spans="1:28" x14ac:dyDescent="0.25">
      <c r="A180">
        <v>5560</v>
      </c>
      <c r="B180">
        <v>22250</v>
      </c>
      <c r="C180" s="1">
        <v>42758</v>
      </c>
      <c r="E180" s="36">
        <v>43</v>
      </c>
      <c r="F180" s="48"/>
      <c r="G180">
        <v>-1.1000000000000001</v>
      </c>
      <c r="H180">
        <v>-3.6</v>
      </c>
      <c r="I180">
        <v>3.2</v>
      </c>
      <c r="J180">
        <v>1152.5</v>
      </c>
      <c r="K180">
        <v>159.6</v>
      </c>
      <c r="M180">
        <v>0</v>
      </c>
      <c r="N180">
        <v>0.7</v>
      </c>
      <c r="O180">
        <f t="shared" si="20"/>
        <v>-0.7</v>
      </c>
      <c r="P180">
        <f t="shared" si="25"/>
        <v>93.100000000000051</v>
      </c>
      <c r="Q180">
        <v>141</v>
      </c>
      <c r="R180">
        <v>1</v>
      </c>
      <c r="S180">
        <f t="shared" si="21"/>
        <v>0.7</v>
      </c>
      <c r="T180" s="24">
        <f t="shared" si="22"/>
        <v>-0.7</v>
      </c>
      <c r="U180" s="24">
        <f t="shared" si="26"/>
        <v>117.92278481012666</v>
      </c>
      <c r="W180">
        <v>762.7</v>
      </c>
      <c r="Y180">
        <f t="shared" si="24"/>
        <v>85019.400000000009</v>
      </c>
      <c r="Z180">
        <f t="shared" si="19"/>
        <v>21389.099999999995</v>
      </c>
      <c r="AA180" s="36">
        <v>8.9938142712139975</v>
      </c>
    </row>
    <row r="181" spans="1:28" x14ac:dyDescent="0.25">
      <c r="A181">
        <v>5560</v>
      </c>
      <c r="B181">
        <v>22250</v>
      </c>
      <c r="C181" s="1">
        <v>42759</v>
      </c>
      <c r="F181" s="48"/>
      <c r="G181">
        <v>-2.9</v>
      </c>
      <c r="H181">
        <v>-5.4</v>
      </c>
      <c r="I181">
        <v>-0.7</v>
      </c>
      <c r="J181">
        <v>1152.5</v>
      </c>
      <c r="K181">
        <v>159.6</v>
      </c>
      <c r="M181">
        <v>0</v>
      </c>
      <c r="N181">
        <v>0.2</v>
      </c>
      <c r="O181">
        <f t="shared" si="20"/>
        <v>-0.2</v>
      </c>
      <c r="P181">
        <f t="shared" si="25"/>
        <v>92.900000000000048</v>
      </c>
      <c r="Q181">
        <v>142</v>
      </c>
      <c r="R181">
        <v>1</v>
      </c>
      <c r="S181">
        <f t="shared" si="21"/>
        <v>0.2</v>
      </c>
      <c r="T181" s="24">
        <f t="shared" si="22"/>
        <v>-0.2</v>
      </c>
      <c r="U181" s="24">
        <f t="shared" si="26"/>
        <v>117.72278481012665</v>
      </c>
      <c r="W181">
        <v>291.39999999999998</v>
      </c>
      <c r="Y181">
        <f t="shared" si="24"/>
        <v>85310.8</v>
      </c>
      <c r="Z181">
        <f t="shared" si="19"/>
        <v>21680.499999999996</v>
      </c>
      <c r="AA181">
        <v>9.03234327112472</v>
      </c>
    </row>
    <row r="182" spans="1:28" x14ac:dyDescent="0.25">
      <c r="A182">
        <v>5560</v>
      </c>
      <c r="B182">
        <v>22250</v>
      </c>
      <c r="C182" s="1">
        <v>42760</v>
      </c>
      <c r="F182" s="48"/>
      <c r="G182">
        <v>-2</v>
      </c>
      <c r="H182">
        <v>-2.2000000000000002</v>
      </c>
      <c r="I182">
        <v>-0.9</v>
      </c>
      <c r="J182">
        <v>1152.5</v>
      </c>
      <c r="K182">
        <v>159.6</v>
      </c>
      <c r="M182">
        <v>0</v>
      </c>
      <c r="N182">
        <v>0.4</v>
      </c>
      <c r="O182">
        <f t="shared" si="20"/>
        <v>-0.4</v>
      </c>
      <c r="P182">
        <f t="shared" si="25"/>
        <v>92.500000000000043</v>
      </c>
      <c r="Q182">
        <v>143</v>
      </c>
      <c r="R182">
        <v>1</v>
      </c>
      <c r="S182">
        <f t="shared" si="21"/>
        <v>0.4</v>
      </c>
      <c r="T182" s="24">
        <f t="shared" si="22"/>
        <v>-0.4</v>
      </c>
      <c r="U182" s="24">
        <f t="shared" si="26"/>
        <v>117.32278481012665</v>
      </c>
      <c r="W182">
        <v>179.5</v>
      </c>
      <c r="Y182">
        <f t="shared" si="24"/>
        <v>85490.3</v>
      </c>
      <c r="Z182">
        <f t="shared" si="19"/>
        <v>21859.999999999996</v>
      </c>
      <c r="AA182">
        <v>9.0716850839479282</v>
      </c>
    </row>
    <row r="183" spans="1:28" s="32" customFormat="1" ht="15.75" thickBot="1" x14ac:dyDescent="0.3">
      <c r="A183" s="32">
        <v>5560</v>
      </c>
      <c r="B183" s="32">
        <v>22250</v>
      </c>
      <c r="C183" s="33">
        <v>42761</v>
      </c>
      <c r="D183" s="32" t="s">
        <v>37</v>
      </c>
      <c r="F183" s="48"/>
      <c r="G183" s="32">
        <v>-1.1000000000000001</v>
      </c>
      <c r="H183" s="32">
        <v>-6.5</v>
      </c>
      <c r="I183" s="32">
        <v>3.3</v>
      </c>
      <c r="J183" s="32">
        <v>1152.5</v>
      </c>
      <c r="K183" s="32">
        <v>159.6</v>
      </c>
      <c r="L183" s="34"/>
      <c r="M183" s="32">
        <v>0</v>
      </c>
      <c r="N183" s="32">
        <v>0.7</v>
      </c>
      <c r="O183" s="32">
        <f t="shared" si="20"/>
        <v>-0.7</v>
      </c>
      <c r="P183" s="32">
        <f t="shared" si="25"/>
        <v>91.80000000000004</v>
      </c>
      <c r="Q183" s="32">
        <v>144</v>
      </c>
      <c r="R183" s="32">
        <v>1</v>
      </c>
      <c r="S183" s="32">
        <f t="shared" si="21"/>
        <v>0.7</v>
      </c>
      <c r="T183" s="35">
        <f t="shared" si="22"/>
        <v>-0.7</v>
      </c>
      <c r="U183" s="35">
        <f t="shared" si="26"/>
        <v>116.62278481012665</v>
      </c>
      <c r="W183" s="32">
        <v>932.4</v>
      </c>
      <c r="Y183" s="32">
        <f t="shared" si="24"/>
        <v>86422.7</v>
      </c>
      <c r="Z183" s="32">
        <f t="shared" si="19"/>
        <v>22792.399999999998</v>
      </c>
      <c r="AA183" s="32">
        <v>9.1118174442306259</v>
      </c>
    </row>
    <row r="184" spans="1:28" ht="15" customHeight="1" x14ac:dyDescent="0.25">
      <c r="A184">
        <v>5560</v>
      </c>
      <c r="B184">
        <v>22250</v>
      </c>
      <c r="C184" s="1">
        <v>42762</v>
      </c>
      <c r="F184" s="50" t="s">
        <v>50</v>
      </c>
      <c r="G184">
        <v>5.3</v>
      </c>
      <c r="H184">
        <v>0.4</v>
      </c>
      <c r="I184">
        <v>8.6999999999999993</v>
      </c>
      <c r="J184">
        <f t="shared" si="23"/>
        <v>1157.8</v>
      </c>
      <c r="K184">
        <v>5.3</v>
      </c>
      <c r="L184" s="15" t="s">
        <v>38</v>
      </c>
      <c r="M184">
        <v>0</v>
      </c>
      <c r="N184">
        <v>0.7</v>
      </c>
      <c r="O184">
        <f t="shared" si="20"/>
        <v>-0.7</v>
      </c>
      <c r="P184">
        <f t="shared" si="25"/>
        <v>91.100000000000037</v>
      </c>
      <c r="Q184">
        <v>145</v>
      </c>
      <c r="R184">
        <f>1+((Q184-144)/62)*(1.15-1)</f>
        <v>1.0024193548387097</v>
      </c>
      <c r="S184">
        <f t="shared" si="21"/>
        <v>0.70169354838709674</v>
      </c>
      <c r="T184" s="24">
        <f t="shared" si="22"/>
        <v>-0.70169354838709674</v>
      </c>
      <c r="U184" s="24">
        <f t="shared" si="26"/>
        <v>115.92109126173955</v>
      </c>
      <c r="V184" s="27" t="s">
        <v>53</v>
      </c>
      <c r="W184">
        <v>139.19999999999999</v>
      </c>
      <c r="Y184">
        <f t="shared" si="24"/>
        <v>86561.9</v>
      </c>
      <c r="Z184">
        <f>W184</f>
        <v>139.19999999999999</v>
      </c>
      <c r="AA184">
        <v>9.152718182494608</v>
      </c>
      <c r="AB184" s="27" t="s">
        <v>58</v>
      </c>
    </row>
    <row r="185" spans="1:28" x14ac:dyDescent="0.25">
      <c r="A185">
        <v>5560</v>
      </c>
      <c r="B185">
        <v>22250</v>
      </c>
      <c r="C185" s="1">
        <v>42763</v>
      </c>
      <c r="F185" s="50"/>
      <c r="G185">
        <v>5.7</v>
      </c>
      <c r="H185">
        <v>3.9</v>
      </c>
      <c r="I185">
        <v>8.1999999999999993</v>
      </c>
      <c r="J185">
        <f t="shared" si="23"/>
        <v>1163.5</v>
      </c>
      <c r="K185">
        <f t="shared" si="18"/>
        <v>11</v>
      </c>
      <c r="L185" s="12">
        <v>502.8</v>
      </c>
      <c r="M185">
        <v>0.1</v>
      </c>
      <c r="N185">
        <v>0.6</v>
      </c>
      <c r="O185">
        <f t="shared" si="20"/>
        <v>-0.5</v>
      </c>
      <c r="P185">
        <f t="shared" si="25"/>
        <v>90.600000000000037</v>
      </c>
      <c r="Q185">
        <v>146</v>
      </c>
      <c r="R185">
        <f t="shared" ref="R185:R245" si="27">1+((Q185-144)/62)*(1.15-1)</f>
        <v>1.0048387096774194</v>
      </c>
      <c r="S185">
        <f t="shared" si="21"/>
        <v>0.60290322580645161</v>
      </c>
      <c r="T185" s="24">
        <f t="shared" si="22"/>
        <v>-0.50290322580645164</v>
      </c>
      <c r="U185" s="24">
        <f t="shared" si="26"/>
        <v>115.4181880359331</v>
      </c>
      <c r="V185">
        <v>0</v>
      </c>
      <c r="W185">
        <v>265.60000000000002</v>
      </c>
      <c r="Y185">
        <f t="shared" si="24"/>
        <v>86827.5</v>
      </c>
      <c r="Z185">
        <f t="shared" si="19"/>
        <v>404.8</v>
      </c>
      <c r="AA185">
        <v>9.194365256230423</v>
      </c>
      <c r="AB185">
        <v>37203.800000000003</v>
      </c>
    </row>
    <row r="186" spans="1:28" x14ac:dyDescent="0.25">
      <c r="A186">
        <v>5560</v>
      </c>
      <c r="B186">
        <v>22250</v>
      </c>
      <c r="C186" s="1">
        <v>42764</v>
      </c>
      <c r="F186" s="50"/>
      <c r="G186">
        <v>6.8</v>
      </c>
      <c r="H186">
        <v>3.8</v>
      </c>
      <c r="I186">
        <v>10</v>
      </c>
      <c r="J186">
        <f t="shared" si="23"/>
        <v>1170.3</v>
      </c>
      <c r="K186">
        <f t="shared" si="18"/>
        <v>17.8</v>
      </c>
      <c r="L186" s="15" t="s">
        <v>39</v>
      </c>
      <c r="M186">
        <v>0</v>
      </c>
      <c r="N186">
        <v>0.7</v>
      </c>
      <c r="O186">
        <f t="shared" si="20"/>
        <v>-0.7</v>
      </c>
      <c r="P186">
        <f t="shared" si="25"/>
        <v>89.900000000000034</v>
      </c>
      <c r="Q186">
        <v>147</v>
      </c>
      <c r="R186">
        <f t="shared" si="27"/>
        <v>1.0072580645161291</v>
      </c>
      <c r="S186">
        <f t="shared" si="21"/>
        <v>0.70508064516129032</v>
      </c>
      <c r="T186" s="24">
        <f t="shared" si="22"/>
        <v>-0.70508064516129032</v>
      </c>
      <c r="U186" s="24">
        <f t="shared" si="26"/>
        <v>114.71310739077181</v>
      </c>
      <c r="V186" s="27" t="s">
        <v>54</v>
      </c>
      <c r="W186">
        <v>483.9</v>
      </c>
      <c r="Y186">
        <f t="shared" si="24"/>
        <v>87311.4</v>
      </c>
      <c r="Z186">
        <f t="shared" si="19"/>
        <v>888.7</v>
      </c>
      <c r="AA186">
        <v>9.2367367790200561</v>
      </c>
      <c r="AB186" s="27" t="s">
        <v>59</v>
      </c>
    </row>
    <row r="187" spans="1:28" x14ac:dyDescent="0.25">
      <c r="A187">
        <v>5560</v>
      </c>
      <c r="B187">
        <v>22250</v>
      </c>
      <c r="C187" s="1">
        <v>42765</v>
      </c>
      <c r="F187" s="50"/>
      <c r="G187">
        <v>9.1999999999999993</v>
      </c>
      <c r="H187">
        <v>7.1</v>
      </c>
      <c r="I187">
        <v>9.9</v>
      </c>
      <c r="J187">
        <f t="shared" si="23"/>
        <v>1179.5</v>
      </c>
      <c r="K187">
        <f t="shared" si="18"/>
        <v>27</v>
      </c>
      <c r="L187" s="12">
        <f>AVERAGE(G184:G245)</f>
        <v>8.1096774193548384</v>
      </c>
      <c r="M187">
        <v>6.4</v>
      </c>
      <c r="N187">
        <v>0.3</v>
      </c>
      <c r="O187">
        <f t="shared" si="20"/>
        <v>6.1000000000000005</v>
      </c>
      <c r="P187">
        <f t="shared" si="25"/>
        <v>96.000000000000028</v>
      </c>
      <c r="Q187">
        <v>148</v>
      </c>
      <c r="R187">
        <f t="shared" si="27"/>
        <v>1.0096774193548388</v>
      </c>
      <c r="S187">
        <f t="shared" si="21"/>
        <v>0.30290322580645163</v>
      </c>
      <c r="T187" s="24">
        <f t="shared" si="22"/>
        <v>6.0970967741935489</v>
      </c>
      <c r="U187" s="24">
        <f t="shared" si="26"/>
        <v>120.81020416496536</v>
      </c>
      <c r="V187">
        <v>0</v>
      </c>
      <c r="W187">
        <v>115.7</v>
      </c>
      <c r="Y187">
        <f t="shared" si="24"/>
        <v>87427.099999999991</v>
      </c>
      <c r="Z187">
        <f t="shared" si="19"/>
        <v>1004.4000000000001</v>
      </c>
      <c r="AA187">
        <v>9.2798110477755031</v>
      </c>
      <c r="AB187">
        <f>(AB185/100)/L185</f>
        <v>0.73993237867939543</v>
      </c>
    </row>
    <row r="188" spans="1:28" x14ac:dyDescent="0.25">
      <c r="A188">
        <v>5560</v>
      </c>
      <c r="B188">
        <v>22250</v>
      </c>
      <c r="C188" s="1">
        <v>42766</v>
      </c>
      <c r="F188" s="50"/>
      <c r="G188">
        <v>10.3</v>
      </c>
      <c r="H188">
        <v>9.1</v>
      </c>
      <c r="I188">
        <v>13.6</v>
      </c>
      <c r="J188">
        <f t="shared" si="23"/>
        <v>1189.8</v>
      </c>
      <c r="K188">
        <f t="shared" si="18"/>
        <v>37.299999999999997</v>
      </c>
      <c r="L188" s="15" t="s">
        <v>40</v>
      </c>
      <c r="M188">
        <v>0.1</v>
      </c>
      <c r="N188">
        <v>0.6</v>
      </c>
      <c r="O188">
        <f t="shared" si="20"/>
        <v>-0.5</v>
      </c>
      <c r="P188">
        <f t="shared" si="25"/>
        <v>95.500000000000028</v>
      </c>
      <c r="Q188">
        <v>149</v>
      </c>
      <c r="R188">
        <f t="shared" si="27"/>
        <v>1.0120967741935485</v>
      </c>
      <c r="S188">
        <f t="shared" si="21"/>
        <v>0.60725806451612907</v>
      </c>
      <c r="T188" s="24">
        <f t="shared" si="22"/>
        <v>-0.50725806451612909</v>
      </c>
      <c r="U188" s="24">
        <f t="shared" si="26"/>
        <v>120.30294610044923</v>
      </c>
      <c r="V188" s="27" t="s">
        <v>55</v>
      </c>
      <c r="W188">
        <v>236</v>
      </c>
      <c r="Y188">
        <f t="shared" si="24"/>
        <v>87663.099999999991</v>
      </c>
      <c r="Z188">
        <f t="shared" si="19"/>
        <v>1240.4000000000001</v>
      </c>
      <c r="AA188">
        <v>9.323566568090623</v>
      </c>
      <c r="AB188" s="27" t="s">
        <v>60</v>
      </c>
    </row>
    <row r="189" spans="1:28" x14ac:dyDescent="0.25">
      <c r="A189">
        <v>5560</v>
      </c>
      <c r="B189">
        <v>22250</v>
      </c>
      <c r="C189" s="1">
        <v>42767</v>
      </c>
      <c r="F189" s="50"/>
      <c r="G189">
        <v>8.1</v>
      </c>
      <c r="H189">
        <v>3</v>
      </c>
      <c r="I189">
        <v>12.8</v>
      </c>
      <c r="J189">
        <f t="shared" si="23"/>
        <v>1197.8999999999999</v>
      </c>
      <c r="K189">
        <f t="shared" si="18"/>
        <v>45.4</v>
      </c>
      <c r="L189" s="13">
        <f>MIN(H184:H245)</f>
        <v>-2.1</v>
      </c>
      <c r="M189">
        <v>0</v>
      </c>
      <c r="N189">
        <v>0.3</v>
      </c>
      <c r="O189">
        <f t="shared" si="20"/>
        <v>-0.3</v>
      </c>
      <c r="P189">
        <f t="shared" si="25"/>
        <v>95.200000000000031</v>
      </c>
      <c r="Q189">
        <v>150</v>
      </c>
      <c r="R189">
        <f t="shared" si="27"/>
        <v>1.014516129032258</v>
      </c>
      <c r="S189">
        <f t="shared" si="21"/>
        <v>0.30435483870967739</v>
      </c>
      <c r="T189" s="24">
        <f t="shared" si="22"/>
        <v>-0.30435483870967739</v>
      </c>
      <c r="U189" s="24">
        <f t="shared" si="26"/>
        <v>119.99859126173956</v>
      </c>
      <c r="V189" s="24">
        <f>MIN(U184:U245)</f>
        <v>108.63838709677417</v>
      </c>
      <c r="W189">
        <v>194.5</v>
      </c>
      <c r="Y189">
        <f t="shared" si="24"/>
        <v>87857.599999999991</v>
      </c>
      <c r="Z189">
        <f t="shared" si="19"/>
        <v>1434.9</v>
      </c>
      <c r="AA189">
        <v>9.3679820777130089</v>
      </c>
      <c r="AB189">
        <v>47</v>
      </c>
    </row>
    <row r="190" spans="1:28" x14ac:dyDescent="0.25">
      <c r="A190">
        <v>5560</v>
      </c>
      <c r="B190">
        <v>22250</v>
      </c>
      <c r="C190" s="1">
        <v>42768</v>
      </c>
      <c r="F190" s="50"/>
      <c r="G190">
        <v>9.9</v>
      </c>
      <c r="H190">
        <v>6.8</v>
      </c>
      <c r="I190">
        <v>13.8</v>
      </c>
      <c r="J190">
        <f t="shared" si="23"/>
        <v>1207.8</v>
      </c>
      <c r="K190">
        <f t="shared" ref="K190:K253" si="28">K189+G190</f>
        <v>55.3</v>
      </c>
      <c r="L190" s="15" t="s">
        <v>41</v>
      </c>
      <c r="M190">
        <v>1.7</v>
      </c>
      <c r="N190">
        <v>1.2</v>
      </c>
      <c r="O190">
        <f t="shared" si="20"/>
        <v>0.5</v>
      </c>
      <c r="P190">
        <f t="shared" si="25"/>
        <v>95.700000000000031</v>
      </c>
      <c r="Q190">
        <v>151</v>
      </c>
      <c r="R190">
        <f t="shared" si="27"/>
        <v>1.0169354838709677</v>
      </c>
      <c r="S190">
        <f t="shared" si="21"/>
        <v>1.2203225806451612</v>
      </c>
      <c r="T190" s="24">
        <f t="shared" si="22"/>
        <v>0.47967741935483876</v>
      </c>
      <c r="U190" s="24">
        <f t="shared" si="26"/>
        <v>120.47826868109441</v>
      </c>
      <c r="V190" s="27" t="s">
        <v>56</v>
      </c>
      <c r="W190">
        <v>131.9</v>
      </c>
      <c r="Y190">
        <f t="shared" si="24"/>
        <v>87989.499999999985</v>
      </c>
      <c r="Z190">
        <f t="shared" ref="Z190:Z253" si="29">Z189+W190</f>
        <v>1566.8000000000002</v>
      </c>
      <c r="AA190">
        <v>9.413036568151119</v>
      </c>
    </row>
    <row r="191" spans="1:28" x14ac:dyDescent="0.25">
      <c r="A191">
        <v>5560</v>
      </c>
      <c r="B191">
        <v>22250</v>
      </c>
      <c r="C191" s="1">
        <v>42769</v>
      </c>
      <c r="F191" s="50"/>
      <c r="G191">
        <v>6.9</v>
      </c>
      <c r="H191">
        <v>5</v>
      </c>
      <c r="I191">
        <v>8.3000000000000007</v>
      </c>
      <c r="J191">
        <f t="shared" si="23"/>
        <v>1214.7</v>
      </c>
      <c r="K191">
        <f t="shared" si="28"/>
        <v>62.199999999999996</v>
      </c>
      <c r="L191" s="12">
        <f>MAX(I184:I245)</f>
        <v>19.600000000000001</v>
      </c>
      <c r="M191">
        <v>5.9</v>
      </c>
      <c r="N191">
        <v>0.6</v>
      </c>
      <c r="O191">
        <f t="shared" si="20"/>
        <v>5.3000000000000007</v>
      </c>
      <c r="P191">
        <f t="shared" si="25"/>
        <v>101.00000000000003</v>
      </c>
      <c r="Q191">
        <v>152</v>
      </c>
      <c r="R191">
        <f t="shared" si="27"/>
        <v>1.0193548387096774</v>
      </c>
      <c r="S191">
        <f t="shared" si="21"/>
        <v>0.61161290322580641</v>
      </c>
      <c r="T191" s="24">
        <f t="shared" si="22"/>
        <v>5.2883870967741942</v>
      </c>
      <c r="U191" s="24">
        <f t="shared" si="26"/>
        <v>122.1</v>
      </c>
      <c r="V191" s="24">
        <f>MAX(U184:U245)</f>
        <v>122.1</v>
      </c>
      <c r="W191">
        <v>192.4</v>
      </c>
      <c r="Y191">
        <f t="shared" si="24"/>
        <v>88181.89999999998</v>
      </c>
      <c r="Z191">
        <f t="shared" si="29"/>
        <v>1759.2000000000003</v>
      </c>
      <c r="AA191">
        <v>9.4587093044396866</v>
      </c>
    </row>
    <row r="192" spans="1:28" x14ac:dyDescent="0.25">
      <c r="A192">
        <v>5560</v>
      </c>
      <c r="B192">
        <v>22250</v>
      </c>
      <c r="C192" s="1">
        <v>42770</v>
      </c>
      <c r="F192" s="50"/>
      <c r="G192">
        <v>6.7</v>
      </c>
      <c r="H192">
        <v>4.9000000000000004</v>
      </c>
      <c r="I192">
        <v>9.3000000000000007</v>
      </c>
      <c r="J192">
        <f t="shared" si="23"/>
        <v>1221.4000000000001</v>
      </c>
      <c r="K192">
        <f t="shared" si="28"/>
        <v>68.899999999999991</v>
      </c>
      <c r="L192" s="15" t="s">
        <v>42</v>
      </c>
      <c r="M192">
        <v>9.8000000000000007</v>
      </c>
      <c r="N192">
        <v>0.9</v>
      </c>
      <c r="O192">
        <f t="shared" si="20"/>
        <v>8.9</v>
      </c>
      <c r="P192">
        <f t="shared" si="25"/>
        <v>109.90000000000003</v>
      </c>
      <c r="Q192">
        <v>153</v>
      </c>
      <c r="R192">
        <f t="shared" si="27"/>
        <v>1.0217741935483871</v>
      </c>
      <c r="S192">
        <f t="shared" si="21"/>
        <v>0.91959677419354835</v>
      </c>
      <c r="T192" s="24">
        <f t="shared" si="22"/>
        <v>8.880403225806452</v>
      </c>
      <c r="U192" s="24">
        <f t="shared" si="26"/>
        <v>122.1</v>
      </c>
      <c r="V192" s="27" t="s">
        <v>57</v>
      </c>
      <c r="W192">
        <v>222.2</v>
      </c>
      <c r="Y192">
        <f t="shared" si="24"/>
        <v>88404.099999999977</v>
      </c>
      <c r="Z192">
        <f t="shared" si="29"/>
        <v>1981.4000000000003</v>
      </c>
      <c r="AA192">
        <v>9.5049798430933237</v>
      </c>
    </row>
    <row r="193" spans="1:27" x14ac:dyDescent="0.25">
      <c r="A193">
        <v>5560</v>
      </c>
      <c r="B193">
        <v>22250</v>
      </c>
      <c r="C193" s="1">
        <v>42771</v>
      </c>
      <c r="F193" s="50"/>
      <c r="G193">
        <v>8.1999999999999993</v>
      </c>
      <c r="H193">
        <v>5.6</v>
      </c>
      <c r="I193">
        <v>10.3</v>
      </c>
      <c r="J193">
        <f t="shared" si="23"/>
        <v>1229.6000000000001</v>
      </c>
      <c r="K193">
        <f t="shared" si="28"/>
        <v>77.099999999999994</v>
      </c>
      <c r="L193" s="12">
        <v>0</v>
      </c>
      <c r="M193">
        <v>2.2999999999999998</v>
      </c>
      <c r="N193">
        <v>0.7</v>
      </c>
      <c r="O193">
        <f t="shared" si="20"/>
        <v>1.5999999999999999</v>
      </c>
      <c r="P193">
        <f t="shared" si="25"/>
        <v>111.50000000000003</v>
      </c>
      <c r="Q193">
        <v>154</v>
      </c>
      <c r="R193">
        <f t="shared" si="27"/>
        <v>1.0241935483870968</v>
      </c>
      <c r="S193">
        <f t="shared" si="21"/>
        <v>0.71693548387096773</v>
      </c>
      <c r="T193" s="24">
        <f t="shared" si="22"/>
        <v>1.5830645161290322</v>
      </c>
      <c r="U193" s="24">
        <f t="shared" si="26"/>
        <v>122.1</v>
      </c>
      <c r="V193" s="24">
        <f>AVERAGE(U184:U245)</f>
        <v>118.38775848272508</v>
      </c>
      <c r="W193">
        <v>315.7</v>
      </c>
      <c r="Y193">
        <f t="shared" si="24"/>
        <v>88719.799999999974</v>
      </c>
      <c r="Z193">
        <f t="shared" si="29"/>
        <v>2297.1000000000004</v>
      </c>
      <c r="AA193">
        <v>9.5518280482843902</v>
      </c>
    </row>
    <row r="194" spans="1:27" x14ac:dyDescent="0.25">
      <c r="A194">
        <v>5560</v>
      </c>
      <c r="B194">
        <v>22250</v>
      </c>
      <c r="C194" s="1">
        <v>42772</v>
      </c>
      <c r="F194" s="50"/>
      <c r="G194">
        <v>6</v>
      </c>
      <c r="H194">
        <v>4.2</v>
      </c>
      <c r="I194">
        <v>7.9</v>
      </c>
      <c r="J194">
        <f t="shared" si="23"/>
        <v>1235.6000000000001</v>
      </c>
      <c r="K194">
        <f t="shared" si="28"/>
        <v>83.1</v>
      </c>
      <c r="L194" s="15" t="s">
        <v>43</v>
      </c>
      <c r="M194">
        <v>6.7</v>
      </c>
      <c r="N194">
        <v>0.7</v>
      </c>
      <c r="O194">
        <f t="shared" si="20"/>
        <v>6</v>
      </c>
      <c r="P194">
        <f t="shared" si="25"/>
        <v>117.50000000000003</v>
      </c>
      <c r="Q194">
        <v>155</v>
      </c>
      <c r="R194">
        <f t="shared" si="27"/>
        <v>1.0266129032258065</v>
      </c>
      <c r="S194">
        <f t="shared" si="21"/>
        <v>0.71862903225806452</v>
      </c>
      <c r="T194" s="24">
        <f t="shared" si="22"/>
        <v>5.9813709677419356</v>
      </c>
      <c r="U194" s="24">
        <f t="shared" si="26"/>
        <v>122.1</v>
      </c>
      <c r="W194">
        <v>450.7</v>
      </c>
      <c r="Y194">
        <f t="shared" si="24"/>
        <v>89170.499999999971</v>
      </c>
      <c r="Z194">
        <f t="shared" si="29"/>
        <v>2747.8</v>
      </c>
      <c r="AA194">
        <v>9.5992341062865396</v>
      </c>
    </row>
    <row r="195" spans="1:27" x14ac:dyDescent="0.25">
      <c r="A195">
        <v>5560</v>
      </c>
      <c r="B195">
        <v>22250</v>
      </c>
      <c r="C195" s="1">
        <v>42773</v>
      </c>
      <c r="F195" s="50"/>
      <c r="G195">
        <v>7.5</v>
      </c>
      <c r="H195">
        <v>5.3</v>
      </c>
      <c r="I195">
        <v>11.3</v>
      </c>
      <c r="J195">
        <f t="shared" si="23"/>
        <v>1243.1000000000001</v>
      </c>
      <c r="K195">
        <f t="shared" si="28"/>
        <v>90.6</v>
      </c>
      <c r="L195" s="12">
        <v>21</v>
      </c>
      <c r="M195">
        <v>0.1</v>
      </c>
      <c r="N195">
        <v>0.9</v>
      </c>
      <c r="O195">
        <f t="shared" si="20"/>
        <v>-0.8</v>
      </c>
      <c r="P195">
        <f t="shared" si="25"/>
        <v>116.70000000000003</v>
      </c>
      <c r="Q195">
        <v>156</v>
      </c>
      <c r="R195">
        <f t="shared" si="27"/>
        <v>1.0290322580645161</v>
      </c>
      <c r="S195">
        <f t="shared" si="21"/>
        <v>0.92612903225806453</v>
      </c>
      <c r="T195" s="24">
        <f t="shared" si="22"/>
        <v>-0.82612903225806456</v>
      </c>
      <c r="U195" s="24">
        <f t="shared" si="26"/>
        <v>121.27387096774193</v>
      </c>
      <c r="V195" s="43">
        <f>(V193*100)/122.1</f>
        <v>96.959671157022996</v>
      </c>
      <c r="W195">
        <v>720.6</v>
      </c>
      <c r="Y195">
        <f t="shared" si="24"/>
        <v>89891.099999999977</v>
      </c>
      <c r="Z195">
        <f t="shared" si="29"/>
        <v>3468.4</v>
      </c>
      <c r="AA195">
        <v>9.6471785382300421</v>
      </c>
    </row>
    <row r="196" spans="1:27" x14ac:dyDescent="0.25">
      <c r="A196">
        <v>5560</v>
      </c>
      <c r="B196">
        <v>22250</v>
      </c>
      <c r="C196" s="1">
        <v>42774</v>
      </c>
      <c r="F196" s="50"/>
      <c r="G196">
        <v>4.4000000000000004</v>
      </c>
      <c r="H196">
        <v>3.8</v>
      </c>
      <c r="I196">
        <v>7</v>
      </c>
      <c r="J196">
        <f t="shared" si="23"/>
        <v>1247.5000000000002</v>
      </c>
      <c r="K196">
        <f t="shared" si="28"/>
        <v>95</v>
      </c>
      <c r="L196" s="15" t="s">
        <v>44</v>
      </c>
      <c r="M196">
        <v>0.2</v>
      </c>
      <c r="N196">
        <v>0.4</v>
      </c>
      <c r="O196">
        <f t="shared" si="20"/>
        <v>-0.2</v>
      </c>
      <c r="P196">
        <f t="shared" si="25"/>
        <v>116.50000000000003</v>
      </c>
      <c r="Q196">
        <v>157</v>
      </c>
      <c r="R196">
        <f t="shared" si="27"/>
        <v>1.0314516129032258</v>
      </c>
      <c r="S196">
        <f t="shared" si="21"/>
        <v>0.41258064516129034</v>
      </c>
      <c r="T196" s="24">
        <f t="shared" si="22"/>
        <v>-0.21258064516129033</v>
      </c>
      <c r="U196" s="24">
        <f t="shared" si="26"/>
        <v>121.06129032258063</v>
      </c>
      <c r="W196">
        <v>197.1</v>
      </c>
      <c r="Y196">
        <f t="shared" si="24"/>
        <v>90088.199999999983</v>
      </c>
      <c r="Z196">
        <f t="shared" si="29"/>
        <v>3665.5</v>
      </c>
      <c r="AA196">
        <v>9.6956422112188676</v>
      </c>
    </row>
    <row r="197" spans="1:27" x14ac:dyDescent="0.25">
      <c r="A197">
        <v>5560</v>
      </c>
      <c r="B197">
        <v>22250</v>
      </c>
      <c r="C197" s="1">
        <v>42775</v>
      </c>
      <c r="F197" s="50"/>
      <c r="G197">
        <v>1.1000000000000001</v>
      </c>
      <c r="H197">
        <v>-0.2</v>
      </c>
      <c r="I197">
        <v>3.8</v>
      </c>
      <c r="J197">
        <f t="shared" si="23"/>
        <v>1248.6000000000001</v>
      </c>
      <c r="K197">
        <f t="shared" si="28"/>
        <v>96.1</v>
      </c>
      <c r="L197" s="12">
        <v>5</v>
      </c>
      <c r="M197">
        <v>0</v>
      </c>
      <c r="N197">
        <v>0.2</v>
      </c>
      <c r="O197">
        <f t="shared" si="20"/>
        <v>-0.2</v>
      </c>
      <c r="P197">
        <f t="shared" si="25"/>
        <v>116.30000000000003</v>
      </c>
      <c r="Q197">
        <v>158</v>
      </c>
      <c r="R197">
        <f t="shared" si="27"/>
        <v>1.0338709677419355</v>
      </c>
      <c r="S197">
        <f t="shared" si="21"/>
        <v>0.20677419354838711</v>
      </c>
      <c r="T197" s="24">
        <f t="shared" si="22"/>
        <v>-0.20677419354838711</v>
      </c>
      <c r="U197" s="24">
        <f t="shared" si="26"/>
        <v>120.85451612903225</v>
      </c>
      <c r="W197">
        <v>225.8</v>
      </c>
      <c r="Y197">
        <f t="shared" si="24"/>
        <v>90313.999999999985</v>
      </c>
      <c r="Z197">
        <f t="shared" si="29"/>
        <v>3891.3</v>
      </c>
      <c r="AA197">
        <v>9.7446063478628151</v>
      </c>
    </row>
    <row r="198" spans="1:27" x14ac:dyDescent="0.25">
      <c r="A198">
        <v>5560</v>
      </c>
      <c r="B198">
        <v>22250</v>
      </c>
      <c r="C198" s="1">
        <v>42776</v>
      </c>
      <c r="F198" s="50"/>
      <c r="G198">
        <v>0.3</v>
      </c>
      <c r="H198">
        <v>-2</v>
      </c>
      <c r="I198">
        <v>2.4</v>
      </c>
      <c r="J198">
        <f t="shared" si="23"/>
        <v>1248.9000000000001</v>
      </c>
      <c r="K198">
        <f t="shared" si="28"/>
        <v>96.399999999999991</v>
      </c>
      <c r="M198">
        <v>0</v>
      </c>
      <c r="N198">
        <v>0.3</v>
      </c>
      <c r="O198">
        <f t="shared" si="20"/>
        <v>-0.3</v>
      </c>
      <c r="P198">
        <f t="shared" si="25"/>
        <v>116.00000000000003</v>
      </c>
      <c r="Q198">
        <v>159</v>
      </c>
      <c r="R198">
        <f t="shared" si="27"/>
        <v>1.0362903225806452</v>
      </c>
      <c r="S198">
        <f t="shared" si="21"/>
        <v>0.31088709677419357</v>
      </c>
      <c r="T198" s="24">
        <f t="shared" si="22"/>
        <v>-0.31088709677419357</v>
      </c>
      <c r="U198" s="24">
        <f t="shared" si="26"/>
        <v>120.54362903225805</v>
      </c>
      <c r="W198">
        <v>310.39999999999998</v>
      </c>
      <c r="Y198">
        <f t="shared" si="24"/>
        <v>90624.39999999998</v>
      </c>
      <c r="Z198">
        <f t="shared" si="29"/>
        <v>4201.7</v>
      </c>
      <c r="AA198">
        <v>9.7940525342806488</v>
      </c>
    </row>
    <row r="199" spans="1:27" x14ac:dyDescent="0.25">
      <c r="A199">
        <v>5560</v>
      </c>
      <c r="B199">
        <v>22250</v>
      </c>
      <c r="C199" s="1">
        <v>42777</v>
      </c>
      <c r="F199" s="50"/>
      <c r="G199">
        <v>0.1</v>
      </c>
      <c r="H199">
        <v>-2</v>
      </c>
      <c r="I199">
        <v>2.1</v>
      </c>
      <c r="J199">
        <f t="shared" si="23"/>
        <v>1249</v>
      </c>
      <c r="K199">
        <f t="shared" si="28"/>
        <v>96.499999999999986</v>
      </c>
      <c r="M199">
        <v>5.2</v>
      </c>
      <c r="N199">
        <v>0.6</v>
      </c>
      <c r="O199">
        <f t="shared" si="20"/>
        <v>4.6000000000000005</v>
      </c>
      <c r="P199">
        <f t="shared" si="25"/>
        <v>120.60000000000002</v>
      </c>
      <c r="Q199">
        <v>160</v>
      </c>
      <c r="R199">
        <f t="shared" si="27"/>
        <v>1.0387096774193547</v>
      </c>
      <c r="S199">
        <f t="shared" si="21"/>
        <v>0.62322580645161285</v>
      </c>
      <c r="T199" s="24">
        <f t="shared" si="22"/>
        <v>4.5767741935483874</v>
      </c>
      <c r="U199" s="24">
        <f t="shared" si="26"/>
        <v>122.1</v>
      </c>
      <c r="W199">
        <v>662.8</v>
      </c>
      <c r="Y199">
        <f t="shared" si="24"/>
        <v>91287.199999999983</v>
      </c>
      <c r="Z199">
        <f t="shared" si="29"/>
        <v>4864.5</v>
      </c>
      <c r="AA199">
        <v>9.8439627266321956</v>
      </c>
    </row>
    <row r="200" spans="1:27" x14ac:dyDescent="0.25">
      <c r="A200">
        <v>5560</v>
      </c>
      <c r="B200">
        <v>22250</v>
      </c>
      <c r="C200" s="1">
        <v>42778</v>
      </c>
      <c r="F200" s="50"/>
      <c r="G200">
        <v>5.5</v>
      </c>
      <c r="H200">
        <v>0.1</v>
      </c>
      <c r="I200">
        <v>9.5</v>
      </c>
      <c r="J200">
        <f t="shared" si="23"/>
        <v>1254.5</v>
      </c>
      <c r="K200">
        <f t="shared" si="28"/>
        <v>101.99999999999999</v>
      </c>
      <c r="M200">
        <v>2.2000000000000002</v>
      </c>
      <c r="N200">
        <v>0.3</v>
      </c>
      <c r="O200">
        <f t="shared" si="20"/>
        <v>1.9000000000000001</v>
      </c>
      <c r="P200">
        <f t="shared" si="25"/>
        <v>122.50000000000003</v>
      </c>
      <c r="Q200">
        <v>161</v>
      </c>
      <c r="R200">
        <f t="shared" si="27"/>
        <v>1.0411290322580644</v>
      </c>
      <c r="S200">
        <f t="shared" si="21"/>
        <v>0.31233870967741933</v>
      </c>
      <c r="T200" s="24">
        <f t="shared" si="22"/>
        <v>1.8876612903225809</v>
      </c>
      <c r="U200" s="24">
        <f t="shared" si="26"/>
        <v>122.1</v>
      </c>
      <c r="W200">
        <v>325.3</v>
      </c>
      <c r="Y200">
        <f t="shared" si="24"/>
        <v>91612.499999999985</v>
      </c>
      <c r="Z200">
        <f t="shared" si="29"/>
        <v>5189.8</v>
      </c>
      <c r="AA200">
        <v>9.8943192562389726</v>
      </c>
    </row>
    <row r="201" spans="1:27" x14ac:dyDescent="0.25">
      <c r="A201">
        <v>5560</v>
      </c>
      <c r="B201">
        <v>22250</v>
      </c>
      <c r="C201" s="1">
        <v>42779</v>
      </c>
      <c r="F201" s="50"/>
      <c r="G201">
        <v>10.3</v>
      </c>
      <c r="H201">
        <v>7.2</v>
      </c>
      <c r="I201">
        <v>12.8</v>
      </c>
      <c r="J201">
        <f t="shared" si="23"/>
        <v>1264.8</v>
      </c>
      <c r="K201">
        <f t="shared" si="28"/>
        <v>112.29999999999998</v>
      </c>
      <c r="M201">
        <v>3.8</v>
      </c>
      <c r="N201">
        <v>1.6</v>
      </c>
      <c r="O201">
        <f t="shared" si="20"/>
        <v>2.1999999999999997</v>
      </c>
      <c r="P201">
        <f t="shared" si="25"/>
        <v>124.70000000000003</v>
      </c>
      <c r="Q201">
        <v>162</v>
      </c>
      <c r="R201">
        <f t="shared" si="27"/>
        <v>1.0435483870967741</v>
      </c>
      <c r="S201">
        <f t="shared" si="21"/>
        <v>1.6696774193548387</v>
      </c>
      <c r="T201" s="24">
        <f t="shared" si="22"/>
        <v>2.1303225806451609</v>
      </c>
      <c r="U201" s="24">
        <f t="shared" si="26"/>
        <v>122.1</v>
      </c>
      <c r="W201">
        <v>232.4</v>
      </c>
      <c r="Y201">
        <f t="shared" si="24"/>
        <v>91844.89999999998</v>
      </c>
      <c r="Z201">
        <f t="shared" si="29"/>
        <v>5422.2</v>
      </c>
      <c r="AA201">
        <v>9.9451048333538612</v>
      </c>
    </row>
    <row r="202" spans="1:27" x14ac:dyDescent="0.25">
      <c r="A202">
        <v>5560</v>
      </c>
      <c r="B202">
        <v>22250</v>
      </c>
      <c r="C202" s="1">
        <v>42780</v>
      </c>
      <c r="F202" s="50"/>
      <c r="G202">
        <v>11.1</v>
      </c>
      <c r="H202">
        <v>8.1</v>
      </c>
      <c r="I202">
        <v>14.3</v>
      </c>
      <c r="J202">
        <f t="shared" si="23"/>
        <v>1275.8999999999999</v>
      </c>
      <c r="K202">
        <f t="shared" si="28"/>
        <v>123.39999999999998</v>
      </c>
      <c r="M202">
        <v>0.5</v>
      </c>
      <c r="N202">
        <v>1.2</v>
      </c>
      <c r="O202">
        <f t="shared" si="20"/>
        <v>-0.7</v>
      </c>
      <c r="P202">
        <f t="shared" si="25"/>
        <v>124.00000000000003</v>
      </c>
      <c r="Q202">
        <v>163</v>
      </c>
      <c r="R202">
        <f t="shared" si="27"/>
        <v>1.0459677419354838</v>
      </c>
      <c r="S202">
        <f t="shared" si="21"/>
        <v>1.2551612903225806</v>
      </c>
      <c r="T202" s="24">
        <f t="shared" si="22"/>
        <v>-0.75516129032258061</v>
      </c>
      <c r="U202" s="24">
        <f t="shared" si="26"/>
        <v>121.34483870967742</v>
      </c>
      <c r="W202">
        <v>624.6</v>
      </c>
      <c r="Y202">
        <f t="shared" si="24"/>
        <v>92469.499999999985</v>
      </c>
      <c r="Z202">
        <f t="shared" si="29"/>
        <v>6046.8</v>
      </c>
      <c r="AA202">
        <v>9.9963025496410101</v>
      </c>
    </row>
    <row r="203" spans="1:27" x14ac:dyDescent="0.25">
      <c r="A203">
        <v>5560</v>
      </c>
      <c r="B203">
        <v>22250</v>
      </c>
      <c r="C203" s="1">
        <v>42781</v>
      </c>
      <c r="F203" s="50"/>
      <c r="G203">
        <v>10.3</v>
      </c>
      <c r="H203">
        <v>5.7</v>
      </c>
      <c r="I203">
        <v>16.7</v>
      </c>
      <c r="J203">
        <f t="shared" si="23"/>
        <v>1286.1999999999998</v>
      </c>
      <c r="K203">
        <f t="shared" si="28"/>
        <v>133.69999999999999</v>
      </c>
      <c r="M203">
        <v>0</v>
      </c>
      <c r="N203">
        <v>1.5</v>
      </c>
      <c r="O203">
        <f t="shared" si="20"/>
        <v>-1.5</v>
      </c>
      <c r="P203">
        <f t="shared" si="25"/>
        <v>122.50000000000003</v>
      </c>
      <c r="Q203">
        <v>164</v>
      </c>
      <c r="R203">
        <f t="shared" si="27"/>
        <v>1.0483870967741935</v>
      </c>
      <c r="S203">
        <f t="shared" si="21"/>
        <v>1.5725806451612903</v>
      </c>
      <c r="T203" s="24">
        <f t="shared" si="22"/>
        <v>-1.5725806451612903</v>
      </c>
      <c r="U203" s="24">
        <f t="shared" si="26"/>
        <v>119.77225806451612</v>
      </c>
      <c r="W203">
        <v>1049</v>
      </c>
      <c r="Y203">
        <f t="shared" si="24"/>
        <v>93518.499999999985</v>
      </c>
      <c r="Z203">
        <f t="shared" si="29"/>
        <v>7095.8</v>
      </c>
      <c r="AA203">
        <v>10.047895879427223</v>
      </c>
    </row>
    <row r="204" spans="1:27" x14ac:dyDescent="0.25">
      <c r="A204">
        <v>5560</v>
      </c>
      <c r="B204">
        <v>22250</v>
      </c>
      <c r="C204" s="1">
        <v>42782</v>
      </c>
      <c r="F204" s="50"/>
      <c r="G204">
        <v>9.1999999999999993</v>
      </c>
      <c r="H204">
        <v>5.8</v>
      </c>
      <c r="I204">
        <v>12.9</v>
      </c>
      <c r="J204">
        <f t="shared" si="23"/>
        <v>1295.3999999999999</v>
      </c>
      <c r="K204">
        <f t="shared" si="28"/>
        <v>142.89999999999998</v>
      </c>
      <c r="M204">
        <v>0.2</v>
      </c>
      <c r="N204">
        <v>0.4</v>
      </c>
      <c r="O204">
        <f t="shared" si="20"/>
        <v>-0.2</v>
      </c>
      <c r="P204">
        <f t="shared" si="25"/>
        <v>122.30000000000003</v>
      </c>
      <c r="Q204">
        <v>165</v>
      </c>
      <c r="R204">
        <f t="shared" si="27"/>
        <v>1.0508064516129032</v>
      </c>
      <c r="S204">
        <f t="shared" si="21"/>
        <v>0.42032258064516131</v>
      </c>
      <c r="T204" s="24">
        <f t="shared" si="22"/>
        <v>-0.2203225806451613</v>
      </c>
      <c r="U204" s="24">
        <f t="shared" si="26"/>
        <v>119.55193548387096</v>
      </c>
      <c r="W204">
        <v>327.39999999999998</v>
      </c>
      <c r="Y204">
        <f t="shared" si="24"/>
        <v>93845.89999999998</v>
      </c>
      <c r="Z204">
        <f t="shared" si="29"/>
        <v>7423.2</v>
      </c>
      <c r="AA204">
        <v>10.099868679785944</v>
      </c>
    </row>
    <row r="205" spans="1:27" x14ac:dyDescent="0.25">
      <c r="A205">
        <v>5560</v>
      </c>
      <c r="B205">
        <v>22250</v>
      </c>
      <c r="C205" s="1">
        <v>42783</v>
      </c>
      <c r="F205" s="50"/>
      <c r="G205">
        <v>6.6</v>
      </c>
      <c r="H205">
        <v>5.4</v>
      </c>
      <c r="I205">
        <v>8.1999999999999993</v>
      </c>
      <c r="J205">
        <f t="shared" si="23"/>
        <v>1301.9999999999998</v>
      </c>
      <c r="K205">
        <f t="shared" si="28"/>
        <v>149.49999999999997</v>
      </c>
      <c r="M205">
        <v>0</v>
      </c>
      <c r="N205">
        <v>0.3</v>
      </c>
      <c r="O205">
        <f t="shared" si="20"/>
        <v>-0.3</v>
      </c>
      <c r="P205">
        <f t="shared" si="25"/>
        <v>122.00000000000003</v>
      </c>
      <c r="Q205">
        <v>166</v>
      </c>
      <c r="R205">
        <f t="shared" si="27"/>
        <v>1.0532258064516129</v>
      </c>
      <c r="S205">
        <f t="shared" si="21"/>
        <v>0.31596774193548388</v>
      </c>
      <c r="T205" s="24">
        <f t="shared" si="22"/>
        <v>-0.31596774193548388</v>
      </c>
      <c r="U205" s="24">
        <f t="shared" si="26"/>
        <v>119.23596774193548</v>
      </c>
      <c r="W205">
        <v>308.8</v>
      </c>
      <c r="Y205">
        <f t="shared" si="24"/>
        <v>94154.699999999983</v>
      </c>
      <c r="Z205">
        <f t="shared" si="29"/>
        <v>7732</v>
      </c>
      <c r="AA205">
        <v>10.15220518951439</v>
      </c>
    </row>
    <row r="206" spans="1:27" x14ac:dyDescent="0.25">
      <c r="A206">
        <v>5560</v>
      </c>
      <c r="B206">
        <v>22250</v>
      </c>
      <c r="C206" s="1">
        <v>42784</v>
      </c>
      <c r="F206" s="50"/>
      <c r="G206">
        <v>5.7</v>
      </c>
      <c r="H206">
        <v>1.5</v>
      </c>
      <c r="I206">
        <v>11.1</v>
      </c>
      <c r="J206">
        <f t="shared" si="23"/>
        <v>1307.6999999999998</v>
      </c>
      <c r="K206">
        <f t="shared" si="28"/>
        <v>155.19999999999996</v>
      </c>
      <c r="M206">
        <v>0</v>
      </c>
      <c r="N206">
        <v>1.5</v>
      </c>
      <c r="O206">
        <f t="shared" si="20"/>
        <v>-1.5</v>
      </c>
      <c r="P206">
        <f t="shared" si="25"/>
        <v>120.50000000000003</v>
      </c>
      <c r="Q206">
        <v>167</v>
      </c>
      <c r="R206">
        <f t="shared" si="27"/>
        <v>1.0556451612903226</v>
      </c>
      <c r="S206">
        <f t="shared" si="21"/>
        <v>1.5834677419354839</v>
      </c>
      <c r="T206" s="24">
        <f t="shared" si="22"/>
        <v>-1.5834677419354839</v>
      </c>
      <c r="U206" s="24">
        <f t="shared" si="26"/>
        <v>117.6525</v>
      </c>
      <c r="W206">
        <v>1278.3</v>
      </c>
      <c r="Y206">
        <f t="shared" si="24"/>
        <v>95432.999999999985</v>
      </c>
      <c r="Z206">
        <f t="shared" si="29"/>
        <v>9010.2999999999993</v>
      </c>
      <c r="AA206">
        <v>10.204890027063575</v>
      </c>
    </row>
    <row r="207" spans="1:27" x14ac:dyDescent="0.25">
      <c r="A207">
        <v>5560</v>
      </c>
      <c r="B207">
        <v>22250</v>
      </c>
      <c r="C207" s="1">
        <v>42785</v>
      </c>
      <c r="F207" s="50"/>
      <c r="G207">
        <v>4.9000000000000004</v>
      </c>
      <c r="H207">
        <v>-1.5</v>
      </c>
      <c r="I207">
        <v>12</v>
      </c>
      <c r="J207">
        <f t="shared" si="23"/>
        <v>1312.6</v>
      </c>
      <c r="K207">
        <f t="shared" si="28"/>
        <v>160.09999999999997</v>
      </c>
      <c r="M207">
        <v>0</v>
      </c>
      <c r="N207">
        <v>0.9</v>
      </c>
      <c r="O207">
        <f t="shared" si="20"/>
        <v>-0.9</v>
      </c>
      <c r="P207">
        <f t="shared" si="25"/>
        <v>119.60000000000002</v>
      </c>
      <c r="Q207">
        <v>168</v>
      </c>
      <c r="R207">
        <f t="shared" si="27"/>
        <v>1.0580645161290323</v>
      </c>
      <c r="S207">
        <f t="shared" si="21"/>
        <v>0.95225806451612904</v>
      </c>
      <c r="T207" s="24">
        <f t="shared" si="22"/>
        <v>-0.95225806451612904</v>
      </c>
      <c r="U207" s="24">
        <f t="shared" si="26"/>
        <v>116.70024193548387</v>
      </c>
      <c r="W207">
        <v>858.7</v>
      </c>
      <c r="Y207">
        <f t="shared" si="24"/>
        <v>96291.699999999983</v>
      </c>
      <c r="Z207">
        <f t="shared" si="29"/>
        <v>9869</v>
      </c>
      <c r="AA207">
        <v>10.257908187479821</v>
      </c>
    </row>
    <row r="208" spans="1:27" x14ac:dyDescent="0.25">
      <c r="A208">
        <v>5560</v>
      </c>
      <c r="B208">
        <v>22250</v>
      </c>
      <c r="C208" s="1">
        <v>42786</v>
      </c>
      <c r="F208" s="50"/>
      <c r="G208">
        <v>6.3</v>
      </c>
      <c r="H208">
        <v>1.1000000000000001</v>
      </c>
      <c r="I208">
        <v>9.6</v>
      </c>
      <c r="J208">
        <f t="shared" si="23"/>
        <v>1318.8999999999999</v>
      </c>
      <c r="K208">
        <f t="shared" si="28"/>
        <v>166.39999999999998</v>
      </c>
      <c r="M208">
        <v>1.4</v>
      </c>
      <c r="N208">
        <v>0.1</v>
      </c>
      <c r="O208">
        <f t="shared" si="20"/>
        <v>1.2999999999999998</v>
      </c>
      <c r="P208">
        <f t="shared" si="25"/>
        <v>120.90000000000002</v>
      </c>
      <c r="Q208">
        <v>169</v>
      </c>
      <c r="R208">
        <f t="shared" si="27"/>
        <v>1.060483870967742</v>
      </c>
      <c r="S208">
        <f t="shared" si="21"/>
        <v>0.10604838709677421</v>
      </c>
      <c r="T208" s="24">
        <f t="shared" si="22"/>
        <v>1.2939516129032258</v>
      </c>
      <c r="U208" s="24">
        <f t="shared" si="26"/>
        <v>117.9941935483871</v>
      </c>
      <c r="W208">
        <v>218</v>
      </c>
      <c r="Y208">
        <f t="shared" si="24"/>
        <v>96509.699999999983</v>
      </c>
      <c r="Z208">
        <f t="shared" si="29"/>
        <v>10087</v>
      </c>
      <c r="AA208">
        <v>10.311245038415144</v>
      </c>
    </row>
    <row r="209" spans="1:27" x14ac:dyDescent="0.25">
      <c r="A209">
        <v>5560</v>
      </c>
      <c r="B209">
        <v>22250</v>
      </c>
      <c r="C209" s="1">
        <v>42787</v>
      </c>
      <c r="F209" s="50"/>
      <c r="G209">
        <v>10.3</v>
      </c>
      <c r="H209">
        <v>9.1</v>
      </c>
      <c r="I209">
        <v>12.2</v>
      </c>
      <c r="J209">
        <f t="shared" si="23"/>
        <v>1329.1999999999998</v>
      </c>
      <c r="K209">
        <f t="shared" si="28"/>
        <v>176.7</v>
      </c>
      <c r="M209">
        <v>0.8</v>
      </c>
      <c r="N209">
        <v>0.5</v>
      </c>
      <c r="O209">
        <f t="shared" si="20"/>
        <v>0.30000000000000004</v>
      </c>
      <c r="P209">
        <f t="shared" si="25"/>
        <v>121.20000000000002</v>
      </c>
      <c r="Q209">
        <v>170</v>
      </c>
      <c r="R209">
        <f t="shared" si="27"/>
        <v>1.0629032258064517</v>
      </c>
      <c r="S209">
        <f t="shared" si="21"/>
        <v>0.53145161290322585</v>
      </c>
      <c r="T209" s="24">
        <f t="shared" si="22"/>
        <v>0.2685483870967742</v>
      </c>
      <c r="U209" s="24">
        <f t="shared" si="26"/>
        <v>118.26274193548387</v>
      </c>
      <c r="W209">
        <v>217.2</v>
      </c>
      <c r="Y209">
        <f t="shared" si="24"/>
        <v>96726.89999999998</v>
      </c>
      <c r="Z209">
        <f t="shared" si="29"/>
        <v>10304.200000000001</v>
      </c>
      <c r="AA209">
        <v>10.364886315262305</v>
      </c>
    </row>
    <row r="210" spans="1:27" x14ac:dyDescent="0.25">
      <c r="A210">
        <v>5560</v>
      </c>
      <c r="B210">
        <v>22250</v>
      </c>
      <c r="C210" s="1">
        <v>42788</v>
      </c>
      <c r="F210" s="50"/>
      <c r="G210">
        <v>9</v>
      </c>
      <c r="H210">
        <v>8.1</v>
      </c>
      <c r="I210">
        <v>9.8000000000000007</v>
      </c>
      <c r="J210">
        <f t="shared" si="23"/>
        <v>1338.1999999999998</v>
      </c>
      <c r="K210">
        <f t="shared" si="28"/>
        <v>185.7</v>
      </c>
      <c r="M210">
        <v>0</v>
      </c>
      <c r="N210">
        <v>0.7</v>
      </c>
      <c r="O210">
        <f t="shared" si="20"/>
        <v>-0.7</v>
      </c>
      <c r="P210">
        <f t="shared" si="25"/>
        <v>120.50000000000001</v>
      </c>
      <c r="Q210">
        <v>171</v>
      </c>
      <c r="R210">
        <f t="shared" si="27"/>
        <v>1.0653225806451612</v>
      </c>
      <c r="S210">
        <f t="shared" si="21"/>
        <v>0.74572580645161279</v>
      </c>
      <c r="T210" s="24">
        <f t="shared" si="22"/>
        <v>-0.74572580645161279</v>
      </c>
      <c r="U210" s="24">
        <f t="shared" si="26"/>
        <v>117.51701612903226</v>
      </c>
      <c r="W210">
        <v>188.8</v>
      </c>
      <c r="Y210">
        <f t="shared" si="24"/>
        <v>96915.699999999983</v>
      </c>
      <c r="Z210">
        <f t="shared" si="29"/>
        <v>10493</v>
      </c>
      <c r="AA210">
        <v>10.418818115468751</v>
      </c>
    </row>
    <row r="211" spans="1:27" x14ac:dyDescent="0.25">
      <c r="A211">
        <v>5560</v>
      </c>
      <c r="B211">
        <v>22250</v>
      </c>
      <c r="C211" s="1">
        <v>42789</v>
      </c>
      <c r="F211" s="50"/>
      <c r="G211">
        <v>8.1999999999999993</v>
      </c>
      <c r="H211">
        <v>7.3</v>
      </c>
      <c r="I211">
        <v>9.3000000000000007</v>
      </c>
      <c r="J211">
        <f t="shared" si="23"/>
        <v>1346.3999999999999</v>
      </c>
      <c r="K211">
        <f t="shared" si="28"/>
        <v>193.89999999999998</v>
      </c>
      <c r="M211">
        <v>0.7</v>
      </c>
      <c r="N211">
        <v>0.6</v>
      </c>
      <c r="O211">
        <f t="shared" si="20"/>
        <v>9.9999999999999978E-2</v>
      </c>
      <c r="P211">
        <f t="shared" si="25"/>
        <v>120.60000000000001</v>
      </c>
      <c r="Q211">
        <v>172</v>
      </c>
      <c r="R211">
        <f t="shared" si="27"/>
        <v>1.0677419354838709</v>
      </c>
      <c r="S211">
        <f t="shared" si="21"/>
        <v>0.64064516129032245</v>
      </c>
      <c r="T211" s="24">
        <f t="shared" si="22"/>
        <v>5.9354838709677504E-2</v>
      </c>
      <c r="U211" s="24">
        <f t="shared" si="26"/>
        <v>117.57637096774194</v>
      </c>
      <c r="W211">
        <v>278.39999999999998</v>
      </c>
      <c r="Y211">
        <f t="shared" si="24"/>
        <v>97194.099999999977</v>
      </c>
      <c r="Z211">
        <f t="shared" si="29"/>
        <v>10771.4</v>
      </c>
      <c r="AA211">
        <v>10.473026892081823</v>
      </c>
    </row>
    <row r="212" spans="1:27" x14ac:dyDescent="0.25">
      <c r="A212">
        <v>5560</v>
      </c>
      <c r="B212">
        <v>22250</v>
      </c>
      <c r="C212" s="1">
        <v>42790</v>
      </c>
      <c r="F212" s="50"/>
      <c r="G212">
        <v>4.7</v>
      </c>
      <c r="H212">
        <v>2.1</v>
      </c>
      <c r="I212">
        <v>8.4</v>
      </c>
      <c r="J212">
        <f t="shared" si="23"/>
        <v>1351.1</v>
      </c>
      <c r="K212">
        <f t="shared" si="28"/>
        <v>198.59999999999997</v>
      </c>
      <c r="M212">
        <v>0</v>
      </c>
      <c r="N212">
        <v>0.8</v>
      </c>
      <c r="O212">
        <f t="shared" si="20"/>
        <v>-0.8</v>
      </c>
      <c r="P212">
        <f t="shared" si="25"/>
        <v>119.80000000000001</v>
      </c>
      <c r="Q212">
        <v>173</v>
      </c>
      <c r="R212">
        <f t="shared" si="27"/>
        <v>1.0701612903225806</v>
      </c>
      <c r="S212">
        <f t="shared" si="21"/>
        <v>0.85612903225806447</v>
      </c>
      <c r="T212" s="24">
        <f t="shared" si="22"/>
        <v>-0.85612903225806447</v>
      </c>
      <c r="U212" s="24">
        <f t="shared" si="26"/>
        <v>116.72024193548387</v>
      </c>
      <c r="W212">
        <v>717</v>
      </c>
      <c r="Y212">
        <f t="shared" si="24"/>
        <v>97911.099999999977</v>
      </c>
      <c r="Z212">
        <f t="shared" si="29"/>
        <v>11488.4</v>
      </c>
      <c r="AA212">
        <v>10.527499446575723</v>
      </c>
    </row>
    <row r="213" spans="1:27" x14ac:dyDescent="0.25">
      <c r="A213">
        <v>5560</v>
      </c>
      <c r="B213">
        <v>22250</v>
      </c>
      <c r="C213" s="1">
        <v>42791</v>
      </c>
      <c r="F213" s="50"/>
      <c r="G213">
        <v>4.2</v>
      </c>
      <c r="H213">
        <v>-2.1</v>
      </c>
      <c r="I213">
        <v>10.3</v>
      </c>
      <c r="J213">
        <f t="shared" si="23"/>
        <v>1355.3</v>
      </c>
      <c r="K213">
        <f t="shared" si="28"/>
        <v>202.79999999999995</v>
      </c>
      <c r="M213">
        <v>0</v>
      </c>
      <c r="N213">
        <v>1.2</v>
      </c>
      <c r="O213">
        <f t="shared" si="20"/>
        <v>-1.2</v>
      </c>
      <c r="P213">
        <f t="shared" si="25"/>
        <v>118.60000000000001</v>
      </c>
      <c r="Q213">
        <v>174</v>
      </c>
      <c r="R213">
        <f t="shared" si="27"/>
        <v>1.0725806451612903</v>
      </c>
      <c r="S213">
        <f t="shared" si="21"/>
        <v>1.2870967741935482</v>
      </c>
      <c r="T213" s="24">
        <f t="shared" si="22"/>
        <v>-1.2870967741935482</v>
      </c>
      <c r="U213" s="24">
        <f t="shared" si="26"/>
        <v>115.43314516129033</v>
      </c>
      <c r="W213">
        <v>1235.3</v>
      </c>
      <c r="Y213">
        <f t="shared" si="24"/>
        <v>99146.39999999998</v>
      </c>
      <c r="Z213">
        <f t="shared" si="29"/>
        <v>12723.699999999999</v>
      </c>
      <c r="AA213">
        <v>10.582222921008835</v>
      </c>
    </row>
    <row r="214" spans="1:27" x14ac:dyDescent="0.25">
      <c r="A214">
        <v>5560</v>
      </c>
      <c r="B214">
        <v>22250</v>
      </c>
      <c r="C214" s="1">
        <v>42792</v>
      </c>
      <c r="F214" s="50"/>
      <c r="G214">
        <v>8.4</v>
      </c>
      <c r="H214">
        <v>3.2</v>
      </c>
      <c r="I214">
        <v>11.1</v>
      </c>
      <c r="J214">
        <f t="shared" si="23"/>
        <v>1363.7</v>
      </c>
      <c r="K214">
        <f t="shared" si="28"/>
        <v>211.19999999999996</v>
      </c>
      <c r="M214">
        <v>0</v>
      </c>
      <c r="N214">
        <v>0.5</v>
      </c>
      <c r="O214">
        <f t="shared" si="20"/>
        <v>-0.5</v>
      </c>
      <c r="P214">
        <f t="shared" si="25"/>
        <v>118.10000000000001</v>
      </c>
      <c r="Q214">
        <v>175</v>
      </c>
      <c r="R214">
        <f t="shared" si="27"/>
        <v>1.075</v>
      </c>
      <c r="S214">
        <f t="shared" si="21"/>
        <v>0.53749999999999998</v>
      </c>
      <c r="T214" s="24">
        <f t="shared" si="22"/>
        <v>-0.53749999999999998</v>
      </c>
      <c r="U214" s="24">
        <f t="shared" si="26"/>
        <v>114.89564516129033</v>
      </c>
      <c r="W214">
        <v>198.9</v>
      </c>
      <c r="Y214">
        <f t="shared" si="24"/>
        <v>99345.299999999974</v>
      </c>
      <c r="Z214">
        <f t="shared" si="29"/>
        <v>12922.599999999999</v>
      </c>
      <c r="AA214">
        <v>10.637184789557864</v>
      </c>
    </row>
    <row r="215" spans="1:27" x14ac:dyDescent="0.25">
      <c r="A215">
        <v>5560</v>
      </c>
      <c r="B215">
        <v>22250</v>
      </c>
      <c r="C215" s="1">
        <v>42793</v>
      </c>
      <c r="F215" s="50"/>
      <c r="G215">
        <v>9.8000000000000007</v>
      </c>
      <c r="H215">
        <v>9</v>
      </c>
      <c r="I215">
        <v>13</v>
      </c>
      <c r="J215">
        <f t="shared" si="23"/>
        <v>1373.5</v>
      </c>
      <c r="K215">
        <f t="shared" si="28"/>
        <v>220.99999999999997</v>
      </c>
      <c r="M215">
        <v>6.8</v>
      </c>
      <c r="N215">
        <v>1.9</v>
      </c>
      <c r="O215">
        <f t="shared" si="20"/>
        <v>4.9000000000000004</v>
      </c>
      <c r="P215">
        <f t="shared" si="25"/>
        <v>123.00000000000001</v>
      </c>
      <c r="Q215">
        <v>176</v>
      </c>
      <c r="R215">
        <f t="shared" si="27"/>
        <v>1.0774193548387097</v>
      </c>
      <c r="S215">
        <f t="shared" si="21"/>
        <v>2.0470967741935482</v>
      </c>
      <c r="T215" s="24">
        <f t="shared" si="22"/>
        <v>4.7529032258064516</v>
      </c>
      <c r="U215" s="24">
        <f t="shared" si="26"/>
        <v>119.64854838709678</v>
      </c>
      <c r="W215">
        <v>365.3</v>
      </c>
      <c r="Y215">
        <f t="shared" si="24"/>
        <v>99710.599999999977</v>
      </c>
      <c r="Z215">
        <f t="shared" si="29"/>
        <v>13287.899999999998</v>
      </c>
      <c r="AA215">
        <v>10.692372849473273</v>
      </c>
    </row>
    <row r="216" spans="1:27" x14ac:dyDescent="0.25">
      <c r="A216">
        <v>5560</v>
      </c>
      <c r="B216">
        <v>22250</v>
      </c>
      <c r="C216" s="1">
        <v>42794</v>
      </c>
      <c r="F216" s="50"/>
      <c r="G216">
        <v>6.4</v>
      </c>
      <c r="H216">
        <v>5.3</v>
      </c>
      <c r="I216">
        <v>7.4</v>
      </c>
      <c r="J216">
        <f t="shared" si="23"/>
        <v>1379.9</v>
      </c>
      <c r="K216">
        <f t="shared" si="28"/>
        <v>227.39999999999998</v>
      </c>
      <c r="M216">
        <v>8.1999999999999993</v>
      </c>
      <c r="N216">
        <v>1</v>
      </c>
      <c r="O216">
        <f t="shared" si="20"/>
        <v>7.1999999999999993</v>
      </c>
      <c r="P216">
        <f t="shared" si="25"/>
        <v>130.20000000000002</v>
      </c>
      <c r="Q216">
        <v>177</v>
      </c>
      <c r="R216">
        <f t="shared" si="27"/>
        <v>1.0798387096774194</v>
      </c>
      <c r="S216">
        <f t="shared" si="21"/>
        <v>1.0798387096774194</v>
      </c>
      <c r="T216" s="24">
        <f t="shared" si="22"/>
        <v>7.1201612903225797</v>
      </c>
      <c r="U216" s="24">
        <f t="shared" si="26"/>
        <v>122.1</v>
      </c>
      <c r="W216">
        <v>433.5</v>
      </c>
      <c r="Y216">
        <f t="shared" si="24"/>
        <v>100144.09999999998</v>
      </c>
      <c r="Z216">
        <f t="shared" si="29"/>
        <v>13721.399999999998</v>
      </c>
      <c r="AA216">
        <v>10.747775211498402</v>
      </c>
    </row>
    <row r="217" spans="1:27" x14ac:dyDescent="0.25">
      <c r="A217">
        <v>5560</v>
      </c>
      <c r="B217">
        <v>22250</v>
      </c>
      <c r="C217" s="1">
        <v>42795</v>
      </c>
      <c r="F217" s="50"/>
      <c r="G217">
        <v>8.6</v>
      </c>
      <c r="H217">
        <v>6.4</v>
      </c>
      <c r="I217">
        <v>11</v>
      </c>
      <c r="J217">
        <f t="shared" si="23"/>
        <v>1388.5</v>
      </c>
      <c r="K217">
        <f t="shared" si="28"/>
        <v>235.99999999999997</v>
      </c>
      <c r="M217">
        <v>10.4</v>
      </c>
      <c r="N217">
        <v>0.8</v>
      </c>
      <c r="O217">
        <f t="shared" si="20"/>
        <v>9.6</v>
      </c>
      <c r="P217">
        <f t="shared" si="25"/>
        <v>139.80000000000001</v>
      </c>
      <c r="Q217">
        <v>178</v>
      </c>
      <c r="R217">
        <f t="shared" si="27"/>
        <v>1.082258064516129</v>
      </c>
      <c r="S217">
        <f t="shared" si="21"/>
        <v>0.86580645161290326</v>
      </c>
      <c r="T217" s="24">
        <f t="shared" si="22"/>
        <v>9.5341935483870976</v>
      </c>
      <c r="U217" s="24">
        <f t="shared" si="26"/>
        <v>122.1</v>
      </c>
      <c r="W217">
        <v>253.7</v>
      </c>
      <c r="Y217">
        <f t="shared" si="24"/>
        <v>100397.79999999997</v>
      </c>
      <c r="Z217">
        <f t="shared" si="29"/>
        <v>13975.099999999999</v>
      </c>
      <c r="AA217">
        <v>10.803380289792498</v>
      </c>
    </row>
    <row r="218" spans="1:27" x14ac:dyDescent="0.25">
      <c r="A218">
        <v>5560</v>
      </c>
      <c r="B218">
        <v>22250</v>
      </c>
      <c r="C218" s="1">
        <v>42796</v>
      </c>
      <c r="F218" s="50"/>
      <c r="G218">
        <v>7.7</v>
      </c>
      <c r="H218">
        <v>4.2</v>
      </c>
      <c r="I218">
        <v>10.7</v>
      </c>
      <c r="J218">
        <f t="shared" si="23"/>
        <v>1396.2</v>
      </c>
      <c r="K218">
        <f t="shared" si="28"/>
        <v>243.69999999999996</v>
      </c>
      <c r="M218">
        <v>0</v>
      </c>
      <c r="N218">
        <v>1.1000000000000001</v>
      </c>
      <c r="O218">
        <f t="shared" si="20"/>
        <v>-1.1000000000000001</v>
      </c>
      <c r="P218">
        <f t="shared" si="25"/>
        <v>138.70000000000002</v>
      </c>
      <c r="Q218">
        <v>179</v>
      </c>
      <c r="R218">
        <f t="shared" si="27"/>
        <v>1.0846774193548387</v>
      </c>
      <c r="S218">
        <f t="shared" si="21"/>
        <v>1.1931451612903228</v>
      </c>
      <c r="T218" s="24">
        <f t="shared" si="22"/>
        <v>-1.1931451612903228</v>
      </c>
      <c r="U218" s="24">
        <f t="shared" si="26"/>
        <v>120.90685483870968</v>
      </c>
      <c r="W218">
        <v>1050.5999999999999</v>
      </c>
      <c r="Y218">
        <f t="shared" si="24"/>
        <v>101448.39999999998</v>
      </c>
      <c r="Z218">
        <f t="shared" si="29"/>
        <v>15025.699999999999</v>
      </c>
      <c r="AA218">
        <v>10.859176791395939</v>
      </c>
    </row>
    <row r="219" spans="1:27" x14ac:dyDescent="0.25">
      <c r="A219">
        <v>5560</v>
      </c>
      <c r="B219">
        <v>22250</v>
      </c>
      <c r="C219" s="1">
        <v>42797</v>
      </c>
      <c r="F219" s="50"/>
      <c r="G219">
        <v>10.6</v>
      </c>
      <c r="H219">
        <v>5.9</v>
      </c>
      <c r="I219">
        <v>14.3</v>
      </c>
      <c r="J219">
        <f t="shared" si="23"/>
        <v>1406.8</v>
      </c>
      <c r="K219">
        <f t="shared" si="28"/>
        <v>254.29999999999995</v>
      </c>
      <c r="M219">
        <v>8</v>
      </c>
      <c r="N219">
        <v>1.4</v>
      </c>
      <c r="O219">
        <f t="shared" si="20"/>
        <v>6.6</v>
      </c>
      <c r="P219">
        <f t="shared" si="25"/>
        <v>145.30000000000001</v>
      </c>
      <c r="Q219">
        <v>180</v>
      </c>
      <c r="R219">
        <f t="shared" si="27"/>
        <v>1.0870967741935484</v>
      </c>
      <c r="S219">
        <f t="shared" si="21"/>
        <v>1.5219354838709678</v>
      </c>
      <c r="T219" s="24">
        <f t="shared" si="22"/>
        <v>6.4780645161290327</v>
      </c>
      <c r="U219" s="24">
        <f t="shared" si="26"/>
        <v>122.1</v>
      </c>
      <c r="W219">
        <v>1108.2</v>
      </c>
      <c r="Y219">
        <f t="shared" si="24"/>
        <v>102556.59999999998</v>
      </c>
      <c r="Z219">
        <f t="shared" si="29"/>
        <v>16133.9</v>
      </c>
      <c r="AA219">
        <v>10.915153705273763</v>
      </c>
    </row>
    <row r="220" spans="1:27" x14ac:dyDescent="0.25">
      <c r="A220">
        <v>5560</v>
      </c>
      <c r="B220">
        <v>22250</v>
      </c>
      <c r="C220" s="1">
        <v>42798</v>
      </c>
      <c r="F220" s="50"/>
      <c r="G220">
        <v>7.4</v>
      </c>
      <c r="H220">
        <v>6</v>
      </c>
      <c r="I220">
        <v>8.4</v>
      </c>
      <c r="J220">
        <f t="shared" si="23"/>
        <v>1414.2</v>
      </c>
      <c r="K220">
        <f t="shared" si="28"/>
        <v>261.69999999999993</v>
      </c>
      <c r="M220">
        <v>8.6999999999999993</v>
      </c>
      <c r="N220">
        <v>0.4</v>
      </c>
      <c r="O220">
        <f t="shared" si="20"/>
        <v>8.2999999999999989</v>
      </c>
      <c r="P220">
        <f t="shared" si="25"/>
        <v>153.60000000000002</v>
      </c>
      <c r="Q220">
        <v>181</v>
      </c>
      <c r="R220">
        <f t="shared" si="27"/>
        <v>1.0895161290322579</v>
      </c>
      <c r="S220">
        <f t="shared" si="21"/>
        <v>0.43580645161290321</v>
      </c>
      <c r="T220" s="24">
        <f t="shared" si="22"/>
        <v>8.2641935483870963</v>
      </c>
      <c r="U220" s="24">
        <f t="shared" si="26"/>
        <v>122.1</v>
      </c>
      <c r="W220">
        <v>343.7</v>
      </c>
      <c r="Y220">
        <f t="shared" si="24"/>
        <v>102900.29999999997</v>
      </c>
      <c r="Z220">
        <f t="shared" si="29"/>
        <v>16477.599999999999</v>
      </c>
      <c r="AA220">
        <v>10.971300290971662</v>
      </c>
    </row>
    <row r="221" spans="1:27" x14ac:dyDescent="0.25">
      <c r="A221">
        <v>5560</v>
      </c>
      <c r="B221">
        <v>22250</v>
      </c>
      <c r="C221" s="1">
        <v>42799</v>
      </c>
      <c r="F221" s="50"/>
      <c r="G221">
        <v>7.6</v>
      </c>
      <c r="H221">
        <v>5</v>
      </c>
      <c r="I221">
        <v>9.1</v>
      </c>
      <c r="J221">
        <f t="shared" si="23"/>
        <v>1421.8</v>
      </c>
      <c r="K221">
        <f t="shared" si="28"/>
        <v>269.29999999999995</v>
      </c>
      <c r="M221">
        <v>8.1999999999999993</v>
      </c>
      <c r="N221">
        <v>0.6</v>
      </c>
      <c r="O221">
        <f t="shared" si="20"/>
        <v>7.6</v>
      </c>
      <c r="P221">
        <f t="shared" si="25"/>
        <v>161.20000000000002</v>
      </c>
      <c r="Q221">
        <v>182</v>
      </c>
      <c r="R221">
        <f t="shared" si="27"/>
        <v>1.0919354838709676</v>
      </c>
      <c r="S221">
        <f t="shared" si="21"/>
        <v>0.65516129032258053</v>
      </c>
      <c r="T221" s="24">
        <f t="shared" si="22"/>
        <v>7.5448387096774185</v>
      </c>
      <c r="U221" s="24">
        <f t="shared" si="26"/>
        <v>122.1</v>
      </c>
      <c r="W221">
        <v>230.8</v>
      </c>
      <c r="Y221">
        <f t="shared" si="24"/>
        <v>103131.09999999998</v>
      </c>
      <c r="Z221">
        <f t="shared" si="29"/>
        <v>16708.399999999998</v>
      </c>
      <c r="AA221">
        <v>11.027606066916634</v>
      </c>
    </row>
    <row r="222" spans="1:27" x14ac:dyDescent="0.25">
      <c r="A222">
        <v>5560</v>
      </c>
      <c r="B222">
        <v>22250</v>
      </c>
      <c r="C222" s="1">
        <v>42800</v>
      </c>
      <c r="F222" s="50"/>
      <c r="G222">
        <v>7.9</v>
      </c>
      <c r="H222">
        <v>6.8</v>
      </c>
      <c r="I222">
        <v>9.6</v>
      </c>
      <c r="J222">
        <f t="shared" si="23"/>
        <v>1429.7</v>
      </c>
      <c r="K222">
        <f t="shared" si="28"/>
        <v>277.19999999999993</v>
      </c>
      <c r="M222">
        <v>5.0999999999999996</v>
      </c>
      <c r="N222">
        <v>1</v>
      </c>
      <c r="O222">
        <f t="shared" si="20"/>
        <v>4.0999999999999996</v>
      </c>
      <c r="P222">
        <f t="shared" si="25"/>
        <v>165.3</v>
      </c>
      <c r="Q222">
        <v>183</v>
      </c>
      <c r="R222">
        <f t="shared" si="27"/>
        <v>1.0943548387096773</v>
      </c>
      <c r="S222">
        <f t="shared" si="21"/>
        <v>1.0943548387096773</v>
      </c>
      <c r="T222" s="24">
        <f t="shared" si="22"/>
        <v>4.0056451612903228</v>
      </c>
      <c r="U222" s="24">
        <f t="shared" si="26"/>
        <v>122.1</v>
      </c>
      <c r="W222">
        <v>312</v>
      </c>
      <c r="Y222">
        <f t="shared" si="24"/>
        <v>103443.09999999998</v>
      </c>
      <c r="Z222">
        <f t="shared" si="29"/>
        <v>17020.399999999998</v>
      </c>
      <c r="AA222">
        <v>11.084060798392574</v>
      </c>
    </row>
    <row r="223" spans="1:27" x14ac:dyDescent="0.25">
      <c r="A223">
        <v>5560</v>
      </c>
      <c r="B223">
        <v>22250</v>
      </c>
      <c r="C223" s="1">
        <v>42801</v>
      </c>
      <c r="F223" s="50"/>
      <c r="G223">
        <v>6.8</v>
      </c>
      <c r="H223">
        <v>5.4</v>
      </c>
      <c r="I223">
        <v>8.5</v>
      </c>
      <c r="J223">
        <f t="shared" si="23"/>
        <v>1436.5</v>
      </c>
      <c r="K223">
        <f t="shared" si="28"/>
        <v>283.99999999999994</v>
      </c>
      <c r="M223">
        <v>2.5</v>
      </c>
      <c r="N223">
        <v>0.7</v>
      </c>
      <c r="O223">
        <f t="shared" si="20"/>
        <v>1.8</v>
      </c>
      <c r="P223">
        <f t="shared" si="25"/>
        <v>167.10000000000002</v>
      </c>
      <c r="Q223">
        <v>184</v>
      </c>
      <c r="R223">
        <f t="shared" si="27"/>
        <v>1.096774193548387</v>
      </c>
      <c r="S223">
        <f t="shared" si="21"/>
        <v>0.76774193548387082</v>
      </c>
      <c r="T223" s="24">
        <f t="shared" si="22"/>
        <v>1.7322580645161292</v>
      </c>
      <c r="U223" s="24">
        <f t="shared" si="26"/>
        <v>122.1</v>
      </c>
      <c r="W223">
        <v>446.7</v>
      </c>
      <c r="Y223">
        <f t="shared" si="24"/>
        <v>103889.79999999997</v>
      </c>
      <c r="Z223">
        <f t="shared" si="29"/>
        <v>17467.099999999999</v>
      </c>
      <c r="AA223">
        <v>11.140654485219201</v>
      </c>
    </row>
    <row r="224" spans="1:27" x14ac:dyDescent="0.25">
      <c r="A224">
        <v>5560</v>
      </c>
      <c r="B224">
        <v>22250</v>
      </c>
      <c r="C224" s="1">
        <v>42802</v>
      </c>
      <c r="F224" s="50"/>
      <c r="G224">
        <v>10.199999999999999</v>
      </c>
      <c r="H224">
        <v>6.1</v>
      </c>
      <c r="I224">
        <v>12.3</v>
      </c>
      <c r="J224">
        <f t="shared" si="23"/>
        <v>1446.7</v>
      </c>
      <c r="K224">
        <f t="shared" si="28"/>
        <v>294.19999999999993</v>
      </c>
      <c r="M224">
        <v>0.5</v>
      </c>
      <c r="N224">
        <v>0.2</v>
      </c>
      <c r="O224">
        <f t="shared" si="20"/>
        <v>0.3</v>
      </c>
      <c r="P224">
        <f t="shared" si="25"/>
        <v>167.40000000000003</v>
      </c>
      <c r="Q224">
        <v>185</v>
      </c>
      <c r="R224">
        <f t="shared" si="27"/>
        <v>1.0991935483870967</v>
      </c>
      <c r="S224">
        <f t="shared" si="21"/>
        <v>0.21983870967741936</v>
      </c>
      <c r="T224" s="24">
        <f t="shared" si="22"/>
        <v>0.28016129032258064</v>
      </c>
      <c r="U224" s="24">
        <f t="shared" si="26"/>
        <v>122.1</v>
      </c>
      <c r="W224">
        <v>272.3</v>
      </c>
      <c r="Y224">
        <f t="shared" si="24"/>
        <v>104162.09999999998</v>
      </c>
      <c r="Z224">
        <f t="shared" si="29"/>
        <v>17739.399999999998</v>
      </c>
      <c r="AA224">
        <v>11.197377349161027</v>
      </c>
    </row>
    <row r="225" spans="1:27" x14ac:dyDescent="0.25">
      <c r="A225">
        <v>5560</v>
      </c>
      <c r="B225">
        <v>22250</v>
      </c>
      <c r="C225" s="1">
        <v>42803</v>
      </c>
      <c r="F225" s="50"/>
      <c r="G225">
        <v>11.9</v>
      </c>
      <c r="H225">
        <v>10</v>
      </c>
      <c r="I225">
        <v>13.7</v>
      </c>
      <c r="J225">
        <f t="shared" si="23"/>
        <v>1458.6000000000001</v>
      </c>
      <c r="K225">
        <f t="shared" si="28"/>
        <v>306.09999999999991</v>
      </c>
      <c r="M225">
        <v>0</v>
      </c>
      <c r="N225">
        <v>1.1000000000000001</v>
      </c>
      <c r="O225">
        <f t="shared" si="20"/>
        <v>-1.1000000000000001</v>
      </c>
      <c r="P225">
        <f t="shared" si="25"/>
        <v>166.30000000000004</v>
      </c>
      <c r="Q225">
        <v>186</v>
      </c>
      <c r="R225">
        <f t="shared" si="27"/>
        <v>1.1016129032258064</v>
      </c>
      <c r="S225">
        <f t="shared" si="21"/>
        <v>1.2117741935483872</v>
      </c>
      <c r="T225" s="24">
        <f t="shared" si="22"/>
        <v>-1.2117741935483872</v>
      </c>
      <c r="U225" s="24">
        <f t="shared" si="26"/>
        <v>120.8882258064516</v>
      </c>
      <c r="W225">
        <v>577.6</v>
      </c>
      <c r="Y225">
        <f t="shared" si="24"/>
        <v>104739.69999999998</v>
      </c>
      <c r="Z225">
        <f t="shared" si="29"/>
        <v>18316.999999999996</v>
      </c>
      <c r="AA225">
        <v>11.254219821091295</v>
      </c>
    </row>
    <row r="226" spans="1:27" x14ac:dyDescent="0.25">
      <c r="A226">
        <v>5560</v>
      </c>
      <c r="B226">
        <v>22250</v>
      </c>
      <c r="C226" s="1">
        <v>42804</v>
      </c>
      <c r="F226" s="50"/>
      <c r="G226">
        <v>11.7</v>
      </c>
      <c r="H226">
        <v>10.3</v>
      </c>
      <c r="I226">
        <v>15</v>
      </c>
      <c r="J226">
        <f t="shared" si="23"/>
        <v>1470.3000000000002</v>
      </c>
      <c r="K226">
        <f t="shared" si="28"/>
        <v>317.7999999999999</v>
      </c>
      <c r="M226">
        <v>0</v>
      </c>
      <c r="N226">
        <v>1.3</v>
      </c>
      <c r="O226">
        <f t="shared" si="20"/>
        <v>-1.3</v>
      </c>
      <c r="P226">
        <f t="shared" si="25"/>
        <v>165.00000000000003</v>
      </c>
      <c r="Q226">
        <v>187</v>
      </c>
      <c r="R226">
        <f t="shared" si="27"/>
        <v>1.1040322580645161</v>
      </c>
      <c r="S226">
        <f t="shared" si="21"/>
        <v>1.435241935483871</v>
      </c>
      <c r="T226" s="24">
        <f t="shared" si="22"/>
        <v>-1.435241935483871</v>
      </c>
      <c r="U226" s="24">
        <f t="shared" si="26"/>
        <v>119.45298387096773</v>
      </c>
      <c r="W226">
        <v>794.6</v>
      </c>
      <c r="Y226">
        <f t="shared" si="24"/>
        <v>105534.29999999999</v>
      </c>
      <c r="Z226">
        <f t="shared" si="29"/>
        <v>19111.599999999995</v>
      </c>
      <c r="AA226">
        <v>11.311172527934247</v>
      </c>
    </row>
    <row r="227" spans="1:27" x14ac:dyDescent="0.25">
      <c r="A227">
        <v>5560</v>
      </c>
      <c r="B227">
        <v>22250</v>
      </c>
      <c r="C227" s="1">
        <v>42805</v>
      </c>
      <c r="F227" s="50"/>
      <c r="G227">
        <v>11.1</v>
      </c>
      <c r="H227">
        <v>3.6</v>
      </c>
      <c r="I227">
        <v>16.8</v>
      </c>
      <c r="J227">
        <f t="shared" si="23"/>
        <v>1481.4</v>
      </c>
      <c r="K227">
        <f t="shared" si="28"/>
        <v>328.89999999999992</v>
      </c>
      <c r="M227">
        <v>0</v>
      </c>
      <c r="N227">
        <v>1.3</v>
      </c>
      <c r="O227">
        <f t="shared" si="20"/>
        <v>-1.3</v>
      </c>
      <c r="P227">
        <f t="shared" si="25"/>
        <v>163.70000000000002</v>
      </c>
      <c r="Q227">
        <v>188</v>
      </c>
      <c r="R227">
        <f t="shared" si="27"/>
        <v>1.1064516129032258</v>
      </c>
      <c r="S227">
        <f t="shared" si="21"/>
        <v>1.4383870967741936</v>
      </c>
      <c r="T227" s="24">
        <f t="shared" si="22"/>
        <v>-1.4383870967741936</v>
      </c>
      <c r="U227" s="24">
        <f t="shared" si="26"/>
        <v>118.01459677419354</v>
      </c>
      <c r="W227">
        <v>1062</v>
      </c>
      <c r="Y227">
        <f t="shared" si="24"/>
        <v>106596.29999999999</v>
      </c>
      <c r="Z227">
        <f t="shared" si="29"/>
        <v>20173.599999999995</v>
      </c>
      <c r="AA227">
        <v>11.368226279407542</v>
      </c>
    </row>
    <row r="228" spans="1:27" x14ac:dyDescent="0.25">
      <c r="A228">
        <v>5560</v>
      </c>
      <c r="B228">
        <v>22250</v>
      </c>
      <c r="C228" s="1">
        <v>42806</v>
      </c>
      <c r="F228" s="50"/>
      <c r="G228">
        <v>12.1</v>
      </c>
      <c r="H228">
        <v>8.9</v>
      </c>
      <c r="I228">
        <v>16.2</v>
      </c>
      <c r="J228">
        <f t="shared" si="23"/>
        <v>1493.5</v>
      </c>
      <c r="K228">
        <f t="shared" si="28"/>
        <v>340.99999999999994</v>
      </c>
      <c r="M228">
        <v>0</v>
      </c>
      <c r="N228">
        <v>1.3</v>
      </c>
      <c r="O228">
        <f t="shared" si="20"/>
        <v>-1.3</v>
      </c>
      <c r="P228">
        <f t="shared" si="25"/>
        <v>162.4</v>
      </c>
      <c r="Q228">
        <v>189</v>
      </c>
      <c r="R228">
        <f t="shared" si="27"/>
        <v>1.1088709677419355</v>
      </c>
      <c r="S228">
        <f t="shared" si="21"/>
        <v>1.4415322580645162</v>
      </c>
      <c r="T228" s="24">
        <f t="shared" si="22"/>
        <v>-1.4415322580645162</v>
      </c>
      <c r="U228" s="24">
        <f t="shared" si="26"/>
        <v>116.57306451612902</v>
      </c>
      <c r="W228">
        <v>886.3</v>
      </c>
      <c r="Y228">
        <f t="shared" si="24"/>
        <v>107482.59999999999</v>
      </c>
      <c r="Z228">
        <f t="shared" si="29"/>
        <v>21059.899999999994</v>
      </c>
      <c r="AA228">
        <v>11.425372054585223</v>
      </c>
    </row>
    <row r="229" spans="1:27" x14ac:dyDescent="0.25">
      <c r="A229">
        <v>5560</v>
      </c>
      <c r="B229">
        <v>22250</v>
      </c>
      <c r="C229" s="1">
        <v>42807</v>
      </c>
      <c r="F229" s="50"/>
      <c r="G229">
        <v>11</v>
      </c>
      <c r="H229">
        <v>8.1999999999999993</v>
      </c>
      <c r="I229">
        <v>14.3</v>
      </c>
      <c r="J229">
        <f t="shared" si="23"/>
        <v>1504.5</v>
      </c>
      <c r="K229">
        <f t="shared" si="28"/>
        <v>351.99999999999994</v>
      </c>
      <c r="M229">
        <v>0</v>
      </c>
      <c r="N229">
        <v>2</v>
      </c>
      <c r="O229">
        <f t="shared" si="20"/>
        <v>-2</v>
      </c>
      <c r="P229">
        <f t="shared" si="25"/>
        <v>160.4</v>
      </c>
      <c r="Q229">
        <v>190</v>
      </c>
      <c r="R229">
        <f t="shared" si="27"/>
        <v>1.1112903225806452</v>
      </c>
      <c r="S229">
        <f t="shared" si="21"/>
        <v>2.2225806451612904</v>
      </c>
      <c r="T229" s="24">
        <f t="shared" si="22"/>
        <v>-2.2225806451612904</v>
      </c>
      <c r="U229" s="24">
        <f t="shared" si="26"/>
        <v>114.35048387096774</v>
      </c>
      <c r="W229">
        <v>1476.6</v>
      </c>
      <c r="Y229">
        <f t="shared" si="24"/>
        <v>108959.2</v>
      </c>
      <c r="Z229">
        <f t="shared" si="29"/>
        <v>22536.499999999993</v>
      </c>
      <c r="AA229">
        <v>11.482600988300241</v>
      </c>
    </row>
    <row r="230" spans="1:27" x14ac:dyDescent="0.25">
      <c r="A230">
        <v>5560</v>
      </c>
      <c r="B230">
        <v>22250</v>
      </c>
      <c r="C230" s="1">
        <v>42808</v>
      </c>
      <c r="F230" s="50"/>
      <c r="G230">
        <v>8.9</v>
      </c>
      <c r="H230">
        <v>4.4000000000000004</v>
      </c>
      <c r="I230">
        <v>13</v>
      </c>
      <c r="J230">
        <f t="shared" si="23"/>
        <v>1513.4</v>
      </c>
      <c r="K230">
        <f t="shared" si="28"/>
        <v>360.89999999999992</v>
      </c>
      <c r="M230">
        <v>0</v>
      </c>
      <c r="N230">
        <v>1.2</v>
      </c>
      <c r="O230">
        <f t="shared" si="20"/>
        <v>-1.2</v>
      </c>
      <c r="P230">
        <f t="shared" si="25"/>
        <v>159.20000000000002</v>
      </c>
      <c r="Q230">
        <v>191</v>
      </c>
      <c r="R230">
        <f t="shared" si="27"/>
        <v>1.1137096774193547</v>
      </c>
      <c r="S230">
        <f t="shared" si="21"/>
        <v>1.3364516129032256</v>
      </c>
      <c r="T230" s="24">
        <f t="shared" si="22"/>
        <v>-1.3364516129032256</v>
      </c>
      <c r="U230" s="24">
        <f t="shared" si="26"/>
        <v>113.0140322580645</v>
      </c>
      <c r="W230">
        <v>1148.7</v>
      </c>
      <c r="Y230">
        <f t="shared" si="24"/>
        <v>110107.9</v>
      </c>
      <c r="Z230">
        <f t="shared" si="29"/>
        <v>23685.199999999993</v>
      </c>
      <c r="AA230">
        <v>11.539904357404392</v>
      </c>
    </row>
    <row r="231" spans="1:27" x14ac:dyDescent="0.25">
      <c r="A231">
        <v>5560</v>
      </c>
      <c r="B231">
        <v>22250</v>
      </c>
      <c r="C231" s="1">
        <v>42809</v>
      </c>
      <c r="F231" s="50"/>
      <c r="G231">
        <v>8.1</v>
      </c>
      <c r="H231">
        <v>5.0999999999999996</v>
      </c>
      <c r="I231">
        <v>11.2</v>
      </c>
      <c r="J231">
        <f t="shared" si="23"/>
        <v>1521.5</v>
      </c>
      <c r="K231">
        <f t="shared" si="28"/>
        <v>368.99999999999994</v>
      </c>
      <c r="M231">
        <v>0.1</v>
      </c>
      <c r="N231">
        <v>0.8</v>
      </c>
      <c r="O231">
        <f t="shared" si="20"/>
        <v>-0.70000000000000007</v>
      </c>
      <c r="P231">
        <f t="shared" si="25"/>
        <v>158.50000000000003</v>
      </c>
      <c r="Q231">
        <v>192</v>
      </c>
      <c r="R231">
        <f t="shared" si="27"/>
        <v>1.1161290322580644</v>
      </c>
      <c r="S231">
        <f t="shared" si="21"/>
        <v>0.89290322580645154</v>
      </c>
      <c r="T231" s="24">
        <f t="shared" si="22"/>
        <v>-0.79290322580645156</v>
      </c>
      <c r="U231" s="24">
        <f t="shared" si="26"/>
        <v>112.22112903225805</v>
      </c>
      <c r="W231">
        <v>806</v>
      </c>
      <c r="Y231">
        <f t="shared" si="24"/>
        <v>110913.9</v>
      </c>
      <c r="Z231">
        <f t="shared" si="29"/>
        <v>24491.199999999993</v>
      </c>
      <c r="AA231">
        <v>11.597273566902258</v>
      </c>
    </row>
    <row r="232" spans="1:27" x14ac:dyDescent="0.25">
      <c r="A232">
        <v>5560</v>
      </c>
      <c r="B232">
        <v>22250</v>
      </c>
      <c r="C232" s="1">
        <v>42810</v>
      </c>
      <c r="F232" s="50"/>
      <c r="G232">
        <v>11.3</v>
      </c>
      <c r="H232">
        <v>3.9</v>
      </c>
      <c r="I232">
        <v>17.899999999999999</v>
      </c>
      <c r="J232">
        <f t="shared" si="23"/>
        <v>1532.8</v>
      </c>
      <c r="K232">
        <f t="shared" si="28"/>
        <v>380.29999999999995</v>
      </c>
      <c r="M232">
        <v>0</v>
      </c>
      <c r="N232">
        <v>2.2999999999999998</v>
      </c>
      <c r="O232">
        <f t="shared" si="20"/>
        <v>-2.2999999999999998</v>
      </c>
      <c r="P232">
        <f t="shared" si="25"/>
        <v>156.20000000000002</v>
      </c>
      <c r="Q232">
        <v>193</v>
      </c>
      <c r="R232">
        <f t="shared" si="27"/>
        <v>1.1185483870967741</v>
      </c>
      <c r="S232">
        <f t="shared" si="21"/>
        <v>2.5726612903225803</v>
      </c>
      <c r="T232" s="24">
        <f t="shared" si="22"/>
        <v>-2.5726612903225803</v>
      </c>
      <c r="U232" s="24">
        <f t="shared" si="26"/>
        <v>109.64846774193546</v>
      </c>
      <c r="W232">
        <v>1623.4</v>
      </c>
      <c r="Y232">
        <f t="shared" si="24"/>
        <v>112537.29999999999</v>
      </c>
      <c r="Z232">
        <f t="shared" si="29"/>
        <v>26114.599999999995</v>
      </c>
      <c r="AA232">
        <v>11.654700135974776</v>
      </c>
    </row>
    <row r="233" spans="1:27" x14ac:dyDescent="0.25">
      <c r="A233">
        <v>5560</v>
      </c>
      <c r="B233">
        <v>22250</v>
      </c>
      <c r="C233" s="1">
        <v>42811</v>
      </c>
      <c r="F233" s="50"/>
      <c r="G233">
        <v>8.1</v>
      </c>
      <c r="H233">
        <v>5.4</v>
      </c>
      <c r="I233">
        <v>10.3</v>
      </c>
      <c r="J233">
        <f t="shared" si="23"/>
        <v>1540.8999999999999</v>
      </c>
      <c r="K233">
        <f t="shared" si="28"/>
        <v>388.4</v>
      </c>
      <c r="M233">
        <v>0</v>
      </c>
      <c r="N233">
        <v>0.4</v>
      </c>
      <c r="O233">
        <f t="shared" ref="O233:O296" si="30">M233-N233</f>
        <v>-0.4</v>
      </c>
      <c r="P233">
        <f t="shared" si="25"/>
        <v>155.80000000000001</v>
      </c>
      <c r="Q233">
        <v>194</v>
      </c>
      <c r="R233">
        <f t="shared" si="27"/>
        <v>1.1209677419354838</v>
      </c>
      <c r="S233">
        <f t="shared" ref="S233:S296" si="31">R233*N233</f>
        <v>0.44838709677419353</v>
      </c>
      <c r="T233" s="24">
        <f t="shared" ref="T233:T296" si="32">M233-S233</f>
        <v>-0.44838709677419353</v>
      </c>
      <c r="U233" s="24">
        <f t="shared" si="26"/>
        <v>109.20008064516126</v>
      </c>
      <c r="W233">
        <v>485.8</v>
      </c>
      <c r="Y233">
        <f t="shared" si="24"/>
        <v>113023.09999999999</v>
      </c>
      <c r="Z233">
        <f t="shared" si="29"/>
        <v>26600.399999999994</v>
      </c>
      <c r="AA233">
        <v>11.712175683907134</v>
      </c>
    </row>
    <row r="234" spans="1:27" x14ac:dyDescent="0.25">
      <c r="A234">
        <v>5560</v>
      </c>
      <c r="B234">
        <v>22250</v>
      </c>
      <c r="C234" s="1">
        <v>42812</v>
      </c>
      <c r="F234" s="50"/>
      <c r="G234">
        <v>8.8000000000000007</v>
      </c>
      <c r="H234">
        <v>5.8</v>
      </c>
      <c r="I234">
        <v>10.7</v>
      </c>
      <c r="J234">
        <f t="shared" ref="J234:J297" si="33">J233+G234</f>
        <v>1549.6999999999998</v>
      </c>
      <c r="K234">
        <f t="shared" si="28"/>
        <v>397.2</v>
      </c>
      <c r="M234">
        <v>0</v>
      </c>
      <c r="N234">
        <v>0.5</v>
      </c>
      <c r="O234">
        <f t="shared" si="30"/>
        <v>-0.5</v>
      </c>
      <c r="P234">
        <f t="shared" si="25"/>
        <v>155.30000000000001</v>
      </c>
      <c r="Q234">
        <v>195</v>
      </c>
      <c r="R234">
        <f t="shared" si="27"/>
        <v>1.1233870967741935</v>
      </c>
      <c r="S234">
        <f t="shared" si="31"/>
        <v>0.56169354838709673</v>
      </c>
      <c r="T234" s="24">
        <f t="shared" si="32"/>
        <v>-0.56169354838709673</v>
      </c>
      <c r="U234" s="24">
        <f t="shared" si="26"/>
        <v>108.63838709677417</v>
      </c>
      <c r="W234">
        <v>196.5</v>
      </c>
      <c r="Y234">
        <f t="shared" ref="Y234:Y297" si="34">Y233+W234</f>
        <v>113219.59999999999</v>
      </c>
      <c r="Z234">
        <f t="shared" si="29"/>
        <v>26796.899999999994</v>
      </c>
      <c r="AA234">
        <v>11.769691915934725</v>
      </c>
    </row>
    <row r="235" spans="1:27" x14ac:dyDescent="0.25">
      <c r="A235">
        <v>5560</v>
      </c>
      <c r="B235">
        <v>22250</v>
      </c>
      <c r="C235" s="1">
        <v>42813</v>
      </c>
      <c r="F235" s="50"/>
      <c r="G235">
        <v>10.6</v>
      </c>
      <c r="H235">
        <v>9.6</v>
      </c>
      <c r="I235">
        <v>11.6</v>
      </c>
      <c r="J235">
        <f t="shared" si="33"/>
        <v>1560.2999999999997</v>
      </c>
      <c r="K235">
        <f t="shared" si="28"/>
        <v>407.8</v>
      </c>
      <c r="M235">
        <v>1</v>
      </c>
      <c r="N235">
        <v>0.4</v>
      </c>
      <c r="O235">
        <f t="shared" si="30"/>
        <v>0.6</v>
      </c>
      <c r="P235">
        <f t="shared" si="25"/>
        <v>155.9</v>
      </c>
      <c r="Q235">
        <v>196</v>
      </c>
      <c r="R235">
        <f t="shared" si="27"/>
        <v>1.1258064516129032</v>
      </c>
      <c r="S235">
        <f t="shared" si="31"/>
        <v>0.45032258064516129</v>
      </c>
      <c r="T235" s="24">
        <f t="shared" si="32"/>
        <v>0.54967741935483871</v>
      </c>
      <c r="U235" s="24">
        <f t="shared" si="26"/>
        <v>109.188064516129</v>
      </c>
      <c r="W235">
        <v>253.2</v>
      </c>
      <c r="Y235">
        <f t="shared" si="34"/>
        <v>113472.79999999999</v>
      </c>
      <c r="Z235">
        <f t="shared" si="29"/>
        <v>27050.099999999995</v>
      </c>
      <c r="AA235">
        <v>11.827240609020324</v>
      </c>
    </row>
    <row r="236" spans="1:27" x14ac:dyDescent="0.25">
      <c r="A236">
        <v>5560</v>
      </c>
      <c r="B236">
        <v>22250</v>
      </c>
      <c r="C236" s="1">
        <v>42814</v>
      </c>
      <c r="F236" s="50"/>
      <c r="G236">
        <v>10.199999999999999</v>
      </c>
      <c r="H236">
        <v>8.5</v>
      </c>
      <c r="I236">
        <v>11.8</v>
      </c>
      <c r="J236">
        <f t="shared" si="33"/>
        <v>1570.4999999999998</v>
      </c>
      <c r="K236">
        <f t="shared" si="28"/>
        <v>418</v>
      </c>
      <c r="M236">
        <v>1.8</v>
      </c>
      <c r="N236">
        <v>0.9</v>
      </c>
      <c r="O236">
        <f t="shared" si="30"/>
        <v>0.9</v>
      </c>
      <c r="P236">
        <f t="shared" si="25"/>
        <v>156.80000000000001</v>
      </c>
      <c r="Q236">
        <v>197</v>
      </c>
      <c r="R236">
        <f t="shared" si="27"/>
        <v>1.1282258064516129</v>
      </c>
      <c r="S236">
        <f t="shared" si="31"/>
        <v>1.0154032258064516</v>
      </c>
      <c r="T236" s="24">
        <f t="shared" si="32"/>
        <v>0.78459677419354845</v>
      </c>
      <c r="U236" s="24">
        <f t="shared" si="26"/>
        <v>109.97266129032255</v>
      </c>
      <c r="W236">
        <v>312.39999999999998</v>
      </c>
      <c r="Y236">
        <f t="shared" si="34"/>
        <v>113785.19999999998</v>
      </c>
      <c r="Z236">
        <f t="shared" si="29"/>
        <v>27362.499999999996</v>
      </c>
      <c r="AA236">
        <v>11.884813597574846</v>
      </c>
    </row>
    <row r="237" spans="1:27" x14ac:dyDescent="0.25">
      <c r="A237">
        <v>5560</v>
      </c>
      <c r="B237">
        <v>22250</v>
      </c>
      <c r="C237" s="1">
        <v>42815</v>
      </c>
      <c r="F237" s="50"/>
      <c r="G237">
        <v>7.5</v>
      </c>
      <c r="H237">
        <v>6.8</v>
      </c>
      <c r="I237">
        <v>8.9</v>
      </c>
      <c r="J237">
        <f t="shared" si="33"/>
        <v>1577.9999999999998</v>
      </c>
      <c r="K237">
        <f t="shared" si="28"/>
        <v>425.5</v>
      </c>
      <c r="M237">
        <v>7.9</v>
      </c>
      <c r="N237">
        <v>0.6</v>
      </c>
      <c r="O237">
        <f t="shared" si="30"/>
        <v>7.3000000000000007</v>
      </c>
      <c r="P237">
        <f t="shared" si="25"/>
        <v>164.10000000000002</v>
      </c>
      <c r="Q237">
        <v>198</v>
      </c>
      <c r="R237">
        <f t="shared" si="27"/>
        <v>1.1306451612903226</v>
      </c>
      <c r="S237">
        <f t="shared" si="31"/>
        <v>0.67838709677419351</v>
      </c>
      <c r="T237" s="24">
        <f t="shared" si="32"/>
        <v>7.2216129032258065</v>
      </c>
      <c r="U237" s="24">
        <f t="shared" si="26"/>
        <v>117.19427419354835</v>
      </c>
      <c r="W237">
        <v>380.9</v>
      </c>
      <c r="Y237">
        <f t="shared" si="34"/>
        <v>114166.09999999998</v>
      </c>
      <c r="Z237">
        <f t="shared" si="29"/>
        <v>27743.399999999998</v>
      </c>
      <c r="AA237">
        <v>11.942402759133676</v>
      </c>
    </row>
    <row r="238" spans="1:27" x14ac:dyDescent="0.25">
      <c r="A238">
        <v>5560</v>
      </c>
      <c r="B238">
        <v>22250</v>
      </c>
      <c r="C238" s="1">
        <v>42816</v>
      </c>
      <c r="F238" s="50"/>
      <c r="G238">
        <v>6.6</v>
      </c>
      <c r="H238">
        <v>0.6</v>
      </c>
      <c r="I238">
        <v>12.1</v>
      </c>
      <c r="J238">
        <f t="shared" si="33"/>
        <v>1584.5999999999997</v>
      </c>
      <c r="K238">
        <f t="shared" si="28"/>
        <v>432.1</v>
      </c>
      <c r="M238">
        <v>6.2</v>
      </c>
      <c r="N238">
        <v>1.6</v>
      </c>
      <c r="O238">
        <f t="shared" si="30"/>
        <v>4.5999999999999996</v>
      </c>
      <c r="P238">
        <f t="shared" si="25"/>
        <v>168.70000000000002</v>
      </c>
      <c r="Q238">
        <v>199</v>
      </c>
      <c r="R238">
        <f t="shared" si="27"/>
        <v>1.1330645161290323</v>
      </c>
      <c r="S238">
        <f t="shared" si="31"/>
        <v>1.8129032258064517</v>
      </c>
      <c r="T238" s="24">
        <f t="shared" si="32"/>
        <v>4.387096774193548</v>
      </c>
      <c r="U238" s="24">
        <f t="shared" si="26"/>
        <v>121.5813709677419</v>
      </c>
      <c r="W238">
        <v>1593.9</v>
      </c>
      <c r="Y238">
        <f t="shared" si="34"/>
        <v>115759.99999999997</v>
      </c>
      <c r="Z238">
        <f t="shared" si="29"/>
        <v>29337.3</v>
      </c>
      <c r="AA238">
        <v>12</v>
      </c>
    </row>
    <row r="239" spans="1:27" x14ac:dyDescent="0.25">
      <c r="A239">
        <v>5560</v>
      </c>
      <c r="B239">
        <v>22250</v>
      </c>
      <c r="C239" s="1">
        <v>42817</v>
      </c>
      <c r="F239" s="50"/>
      <c r="G239">
        <v>5.8</v>
      </c>
      <c r="H239">
        <v>5.0999999999999996</v>
      </c>
      <c r="I239">
        <v>7.1</v>
      </c>
      <c r="J239">
        <f t="shared" si="33"/>
        <v>1590.3999999999996</v>
      </c>
      <c r="K239">
        <f t="shared" si="28"/>
        <v>437.90000000000003</v>
      </c>
      <c r="M239">
        <v>2.6</v>
      </c>
      <c r="N239">
        <v>0.4</v>
      </c>
      <c r="O239">
        <f t="shared" si="30"/>
        <v>2.2000000000000002</v>
      </c>
      <c r="P239">
        <f t="shared" si="25"/>
        <v>170.9</v>
      </c>
      <c r="Q239">
        <v>200</v>
      </c>
      <c r="R239">
        <f t="shared" si="27"/>
        <v>1.1354838709677419</v>
      </c>
      <c r="S239">
        <f t="shared" si="31"/>
        <v>0.4541935483870968</v>
      </c>
      <c r="T239" s="24">
        <f t="shared" si="32"/>
        <v>2.1458064516129034</v>
      </c>
      <c r="U239" s="24">
        <f t="shared" si="26"/>
        <v>122.1</v>
      </c>
      <c r="W239">
        <v>313.39999999999998</v>
      </c>
      <c r="Y239">
        <f t="shared" si="34"/>
        <v>116073.39999999997</v>
      </c>
      <c r="Z239">
        <f t="shared" si="29"/>
        <v>29650.7</v>
      </c>
      <c r="AA239">
        <v>12.057597240866322</v>
      </c>
    </row>
    <row r="240" spans="1:27" x14ac:dyDescent="0.25">
      <c r="A240">
        <v>5560</v>
      </c>
      <c r="B240">
        <v>22250</v>
      </c>
      <c r="C240" s="1">
        <v>42818</v>
      </c>
      <c r="F240" s="50"/>
      <c r="G240">
        <v>7.7</v>
      </c>
      <c r="H240">
        <v>2.2999999999999998</v>
      </c>
      <c r="I240">
        <v>10.8</v>
      </c>
      <c r="J240">
        <f t="shared" si="33"/>
        <v>1598.0999999999997</v>
      </c>
      <c r="K240">
        <f t="shared" si="28"/>
        <v>445.6</v>
      </c>
      <c r="M240">
        <v>1.2</v>
      </c>
      <c r="N240">
        <v>0.1</v>
      </c>
      <c r="O240">
        <f t="shared" si="30"/>
        <v>1.0999999999999999</v>
      </c>
      <c r="P240">
        <f t="shared" si="25"/>
        <v>172</v>
      </c>
      <c r="Q240">
        <v>201</v>
      </c>
      <c r="R240">
        <f t="shared" si="27"/>
        <v>1.1379032258064514</v>
      </c>
      <c r="S240">
        <f t="shared" si="31"/>
        <v>0.11379032258064514</v>
      </c>
      <c r="T240" s="24">
        <f t="shared" si="32"/>
        <v>1.0862096774193548</v>
      </c>
      <c r="U240" s="24">
        <f t="shared" si="26"/>
        <v>122.1</v>
      </c>
      <c r="W240">
        <v>375.4</v>
      </c>
      <c r="Y240">
        <f t="shared" si="34"/>
        <v>116448.79999999996</v>
      </c>
      <c r="Z240">
        <f t="shared" si="29"/>
        <v>30026.100000000002</v>
      </c>
      <c r="AA240">
        <v>12.115186402425154</v>
      </c>
    </row>
    <row r="241" spans="1:28" x14ac:dyDescent="0.25">
      <c r="A241">
        <v>5560</v>
      </c>
      <c r="B241">
        <v>22250</v>
      </c>
      <c r="C241" s="1">
        <v>42819</v>
      </c>
      <c r="F241" s="50"/>
      <c r="G241">
        <v>10.4</v>
      </c>
      <c r="H241">
        <v>5.4</v>
      </c>
      <c r="I241">
        <v>14.2</v>
      </c>
      <c r="J241">
        <f t="shared" si="33"/>
        <v>1608.4999999999998</v>
      </c>
      <c r="K241">
        <f t="shared" si="28"/>
        <v>456</v>
      </c>
      <c r="M241">
        <v>0</v>
      </c>
      <c r="N241">
        <v>1.3</v>
      </c>
      <c r="O241">
        <f t="shared" si="30"/>
        <v>-1.3</v>
      </c>
      <c r="P241">
        <f t="shared" ref="P241:P304" si="35">P240+O241</f>
        <v>170.7</v>
      </c>
      <c r="Q241">
        <v>202</v>
      </c>
      <c r="R241">
        <f t="shared" si="27"/>
        <v>1.1403225806451611</v>
      </c>
      <c r="S241">
        <f t="shared" si="31"/>
        <v>1.4824193548387095</v>
      </c>
      <c r="T241" s="24">
        <f t="shared" si="32"/>
        <v>-1.4824193548387095</v>
      </c>
      <c r="U241" s="24">
        <f t="shared" si="26"/>
        <v>120.61758064516128</v>
      </c>
      <c r="W241">
        <v>1182.3</v>
      </c>
      <c r="Y241">
        <f t="shared" si="34"/>
        <v>117631.09999999996</v>
      </c>
      <c r="Z241">
        <f t="shared" si="29"/>
        <v>31208.400000000001</v>
      </c>
      <c r="AA241">
        <v>12.172759390979675</v>
      </c>
    </row>
    <row r="242" spans="1:28" x14ac:dyDescent="0.25">
      <c r="A242">
        <v>5560</v>
      </c>
      <c r="B242">
        <v>22250</v>
      </c>
      <c r="C242" s="1">
        <v>42820</v>
      </c>
      <c r="F242" s="50"/>
      <c r="G242">
        <v>10.8</v>
      </c>
      <c r="H242">
        <v>7</v>
      </c>
      <c r="I242">
        <v>16</v>
      </c>
      <c r="J242">
        <f t="shared" si="33"/>
        <v>1619.2999999999997</v>
      </c>
      <c r="K242">
        <f t="shared" si="28"/>
        <v>466.8</v>
      </c>
      <c r="M242">
        <v>0</v>
      </c>
      <c r="N242">
        <v>2.1</v>
      </c>
      <c r="O242">
        <f t="shared" si="30"/>
        <v>-2.1</v>
      </c>
      <c r="P242">
        <f t="shared" si="35"/>
        <v>168.6</v>
      </c>
      <c r="Q242">
        <v>203</v>
      </c>
      <c r="R242">
        <f t="shared" si="27"/>
        <v>1.1427419354838708</v>
      </c>
      <c r="S242">
        <f t="shared" si="31"/>
        <v>2.3997580645161287</v>
      </c>
      <c r="T242" s="24">
        <f t="shared" si="32"/>
        <v>-2.3997580645161287</v>
      </c>
      <c r="U242" s="24">
        <f t="shared" ref="U242:U305" si="36">MIN(122.1,U241+T242)</f>
        <v>118.21782258064515</v>
      </c>
      <c r="W242">
        <v>1557.7</v>
      </c>
      <c r="Y242">
        <f t="shared" si="34"/>
        <v>119188.79999999996</v>
      </c>
      <c r="Z242">
        <f t="shared" si="29"/>
        <v>32766.100000000002</v>
      </c>
      <c r="AA242">
        <v>12.230308084065273</v>
      </c>
    </row>
    <row r="243" spans="1:28" x14ac:dyDescent="0.25">
      <c r="A243">
        <v>5560</v>
      </c>
      <c r="B243">
        <v>22250</v>
      </c>
      <c r="C243" s="1">
        <v>42821</v>
      </c>
      <c r="F243" s="50"/>
      <c r="G243">
        <v>11.6</v>
      </c>
      <c r="H243">
        <v>5.4</v>
      </c>
      <c r="I243">
        <v>16.8</v>
      </c>
      <c r="J243">
        <f t="shared" si="33"/>
        <v>1630.8999999999996</v>
      </c>
      <c r="K243">
        <f t="shared" si="28"/>
        <v>478.40000000000003</v>
      </c>
      <c r="M243">
        <v>0</v>
      </c>
      <c r="N243">
        <v>2.4</v>
      </c>
      <c r="O243">
        <f t="shared" si="30"/>
        <v>-2.4</v>
      </c>
      <c r="P243">
        <f t="shared" si="35"/>
        <v>166.2</v>
      </c>
      <c r="Q243">
        <v>204</v>
      </c>
      <c r="R243">
        <f t="shared" si="27"/>
        <v>1.1451612903225805</v>
      </c>
      <c r="S243">
        <f t="shared" si="31"/>
        <v>2.7483870967741932</v>
      </c>
      <c r="T243" s="24">
        <f t="shared" si="32"/>
        <v>-2.7483870967741932</v>
      </c>
      <c r="U243" s="24">
        <f t="shared" si="36"/>
        <v>115.46943548387095</v>
      </c>
      <c r="W243">
        <v>1828.4</v>
      </c>
      <c r="Y243">
        <f t="shared" si="34"/>
        <v>121017.19999999995</v>
      </c>
      <c r="Z243">
        <f t="shared" si="29"/>
        <v>34594.5</v>
      </c>
      <c r="AA243">
        <v>12.287824316092866</v>
      </c>
    </row>
    <row r="244" spans="1:28" x14ac:dyDescent="0.25">
      <c r="A244">
        <v>5560</v>
      </c>
      <c r="B244">
        <v>22250</v>
      </c>
      <c r="C244" s="1">
        <v>42822</v>
      </c>
      <c r="F244" s="50"/>
      <c r="G244">
        <v>12.2</v>
      </c>
      <c r="H244">
        <v>9.1</v>
      </c>
      <c r="I244">
        <v>16.399999999999999</v>
      </c>
      <c r="J244">
        <f t="shared" si="33"/>
        <v>1643.0999999999997</v>
      </c>
      <c r="K244">
        <f t="shared" si="28"/>
        <v>490.6</v>
      </c>
      <c r="M244">
        <v>0.1</v>
      </c>
      <c r="N244">
        <v>1.3</v>
      </c>
      <c r="O244">
        <f t="shared" si="30"/>
        <v>-1.2</v>
      </c>
      <c r="P244">
        <f t="shared" si="35"/>
        <v>165</v>
      </c>
      <c r="Q244">
        <v>205</v>
      </c>
      <c r="R244">
        <f t="shared" si="27"/>
        <v>1.1475806451612902</v>
      </c>
      <c r="S244">
        <f t="shared" si="31"/>
        <v>1.4918548387096773</v>
      </c>
      <c r="T244" s="24">
        <f t="shared" si="32"/>
        <v>-1.3918548387096772</v>
      </c>
      <c r="U244" s="24">
        <f t="shared" si="36"/>
        <v>114.07758064516128</v>
      </c>
      <c r="W244">
        <v>952.8</v>
      </c>
      <c r="Y244">
        <f t="shared" si="34"/>
        <v>121969.99999999996</v>
      </c>
      <c r="Z244">
        <f t="shared" si="29"/>
        <v>35547.300000000003</v>
      </c>
      <c r="AA244">
        <v>12.345299864025222</v>
      </c>
    </row>
    <row r="245" spans="1:28" s="32" customFormat="1" ht="15.75" thickBot="1" x14ac:dyDescent="0.3">
      <c r="A245" s="32">
        <v>5560</v>
      </c>
      <c r="B245" s="32">
        <v>22250</v>
      </c>
      <c r="C245" s="33">
        <v>42823</v>
      </c>
      <c r="F245" s="55"/>
      <c r="G245" s="32">
        <v>12.2</v>
      </c>
      <c r="H245" s="32">
        <v>3.7</v>
      </c>
      <c r="I245" s="32">
        <v>19.600000000000001</v>
      </c>
      <c r="J245" s="32">
        <f t="shared" si="33"/>
        <v>1655.2999999999997</v>
      </c>
      <c r="K245" s="32">
        <f t="shared" si="28"/>
        <v>502.8</v>
      </c>
      <c r="L245" s="34"/>
      <c r="M245" s="32">
        <v>0</v>
      </c>
      <c r="N245" s="32">
        <v>2.2999999999999998</v>
      </c>
      <c r="O245" s="32">
        <f t="shared" si="30"/>
        <v>-2.2999999999999998</v>
      </c>
      <c r="P245" s="32">
        <f t="shared" si="35"/>
        <v>162.69999999999999</v>
      </c>
      <c r="Q245" s="32">
        <v>206</v>
      </c>
      <c r="R245">
        <f t="shared" si="27"/>
        <v>1.1499999999999999</v>
      </c>
      <c r="S245" s="32">
        <f t="shared" si="31"/>
        <v>2.6449999999999996</v>
      </c>
      <c r="T245" s="35">
        <f t="shared" si="32"/>
        <v>-2.6449999999999996</v>
      </c>
      <c r="U245" s="24">
        <f t="shared" si="36"/>
        <v>111.43258064516128</v>
      </c>
      <c r="W245" s="32">
        <v>1656.5</v>
      </c>
      <c r="Y245" s="32">
        <f t="shared" si="34"/>
        <v>123626.49999999996</v>
      </c>
      <c r="Z245" s="32">
        <f t="shared" si="29"/>
        <v>37203.800000000003</v>
      </c>
      <c r="AA245" s="32">
        <v>12.402726433097742</v>
      </c>
    </row>
    <row r="246" spans="1:28" x14ac:dyDescent="0.25">
      <c r="A246">
        <v>5560</v>
      </c>
      <c r="B246">
        <v>22250</v>
      </c>
      <c r="C246" s="1">
        <v>42824</v>
      </c>
      <c r="D246" t="s">
        <v>34</v>
      </c>
      <c r="F246" s="56" t="s">
        <v>49</v>
      </c>
      <c r="G246">
        <v>14.6</v>
      </c>
      <c r="H246">
        <v>6.5</v>
      </c>
      <c r="I246">
        <v>21.9</v>
      </c>
      <c r="J246">
        <f t="shared" si="33"/>
        <v>1669.8999999999996</v>
      </c>
      <c r="K246">
        <f>G246</f>
        <v>14.6</v>
      </c>
      <c r="L246" s="16" t="s">
        <v>38</v>
      </c>
      <c r="M246">
        <v>0</v>
      </c>
      <c r="N246">
        <v>2.6</v>
      </c>
      <c r="O246">
        <f t="shared" si="30"/>
        <v>-2.6</v>
      </c>
      <c r="P246">
        <f t="shared" si="35"/>
        <v>160.1</v>
      </c>
      <c r="Q246">
        <v>207</v>
      </c>
      <c r="R246">
        <v>1.1499999999999999</v>
      </c>
      <c r="S246">
        <f t="shared" si="31"/>
        <v>2.9899999999999998</v>
      </c>
      <c r="T246" s="24">
        <f t="shared" si="32"/>
        <v>-2.9899999999999998</v>
      </c>
      <c r="U246" s="24">
        <f t="shared" si="36"/>
        <v>108.44258064516129</v>
      </c>
      <c r="V246" s="28" t="s">
        <v>53</v>
      </c>
      <c r="W246">
        <v>1575.7</v>
      </c>
      <c r="Y246">
        <f t="shared" si="34"/>
        <v>125202.19999999995</v>
      </c>
      <c r="Z246">
        <f>W246</f>
        <v>1575.7</v>
      </c>
      <c r="AA246">
        <v>12.460095642595606</v>
      </c>
      <c r="AB246" s="28" t="s">
        <v>58</v>
      </c>
    </row>
    <row r="247" spans="1:28" x14ac:dyDescent="0.25">
      <c r="A247">
        <v>5560</v>
      </c>
      <c r="B247">
        <v>22250</v>
      </c>
      <c r="C247" s="1">
        <v>42825</v>
      </c>
      <c r="F247" s="51"/>
      <c r="G247">
        <v>12.3</v>
      </c>
      <c r="H247">
        <v>11.4</v>
      </c>
      <c r="I247">
        <v>14.3</v>
      </c>
      <c r="J247">
        <f t="shared" si="33"/>
        <v>1682.1999999999996</v>
      </c>
      <c r="K247">
        <f t="shared" si="28"/>
        <v>26.9</v>
      </c>
      <c r="L247" s="12">
        <v>232.4</v>
      </c>
      <c r="M247">
        <v>8.8000000000000007</v>
      </c>
      <c r="N247">
        <v>1.4</v>
      </c>
      <c r="O247">
        <f t="shared" si="30"/>
        <v>7.4</v>
      </c>
      <c r="P247">
        <f t="shared" si="35"/>
        <v>167.5</v>
      </c>
      <c r="Q247">
        <v>208</v>
      </c>
      <c r="R247">
        <v>1.1499999999999999</v>
      </c>
      <c r="S247">
        <f t="shared" si="31"/>
        <v>1.6099999999999999</v>
      </c>
      <c r="T247" s="24">
        <f t="shared" si="32"/>
        <v>7.1900000000000013</v>
      </c>
      <c r="U247" s="24">
        <f t="shared" si="36"/>
        <v>115.63258064516128</v>
      </c>
      <c r="V247">
        <v>0</v>
      </c>
      <c r="W247">
        <v>293.8</v>
      </c>
      <c r="Y247">
        <f t="shared" si="34"/>
        <v>125495.99999999996</v>
      </c>
      <c r="Z247">
        <f t="shared" si="29"/>
        <v>1869.5</v>
      </c>
      <c r="AA247">
        <v>12.517399011699757</v>
      </c>
      <c r="AB247">
        <v>32552.5</v>
      </c>
    </row>
    <row r="248" spans="1:28" s="39" customFormat="1" x14ac:dyDescent="0.25">
      <c r="A248" s="39">
        <v>5560</v>
      </c>
      <c r="B248" s="39">
        <v>22250</v>
      </c>
      <c r="C248" s="40">
        <v>42826</v>
      </c>
      <c r="F248" s="51"/>
      <c r="G248" s="39">
        <v>10.5</v>
      </c>
      <c r="H248" s="39">
        <v>8.1999999999999993</v>
      </c>
      <c r="I248" s="39">
        <v>13.6</v>
      </c>
      <c r="J248" s="39">
        <f t="shared" si="33"/>
        <v>1692.6999999999996</v>
      </c>
      <c r="K248">
        <f t="shared" si="28"/>
        <v>37.4</v>
      </c>
      <c r="L248" s="16" t="s">
        <v>39</v>
      </c>
      <c r="M248" s="39">
        <v>1</v>
      </c>
      <c r="N248" s="39">
        <v>1.5</v>
      </c>
      <c r="O248" s="39">
        <f t="shared" si="30"/>
        <v>-0.5</v>
      </c>
      <c r="P248" s="39">
        <f t="shared" si="35"/>
        <v>167</v>
      </c>
      <c r="Q248" s="39">
        <v>209</v>
      </c>
      <c r="R248" s="39">
        <f t="shared" ref="R248" si="37">1+((Q248-144)/65)*(1.15-1)</f>
        <v>1.1499999999999999</v>
      </c>
      <c r="S248" s="39">
        <f t="shared" si="31"/>
        <v>1.7249999999999999</v>
      </c>
      <c r="T248" s="41">
        <f t="shared" si="32"/>
        <v>-0.72499999999999987</v>
      </c>
      <c r="U248" s="24">
        <f t="shared" si="36"/>
        <v>114.90758064516129</v>
      </c>
      <c r="V248" s="28" t="s">
        <v>54</v>
      </c>
      <c r="W248" s="39">
        <v>1056.4000000000001</v>
      </c>
      <c r="Y248" s="39">
        <f t="shared" si="34"/>
        <v>126552.39999999995</v>
      </c>
      <c r="Z248">
        <f t="shared" si="29"/>
        <v>2925.9</v>
      </c>
      <c r="AA248" s="39">
        <v>12.574627945414777</v>
      </c>
      <c r="AB248" s="28" t="s">
        <v>59</v>
      </c>
    </row>
    <row r="249" spans="1:28" ht="15" customHeight="1" x14ac:dyDescent="0.25">
      <c r="A249">
        <v>5560</v>
      </c>
      <c r="B249">
        <v>22250</v>
      </c>
      <c r="C249" s="1">
        <v>42827</v>
      </c>
      <c r="F249" s="51"/>
      <c r="G249">
        <v>10.6</v>
      </c>
      <c r="H249">
        <v>7.4</v>
      </c>
      <c r="I249">
        <v>14.1</v>
      </c>
      <c r="J249">
        <f t="shared" si="33"/>
        <v>1703.2999999999995</v>
      </c>
      <c r="K249">
        <f t="shared" si="28"/>
        <v>48</v>
      </c>
      <c r="L249" s="17">
        <f>AVERAGE(G246:G266)</f>
        <v>11.066666666666668</v>
      </c>
      <c r="M249">
        <v>2.1</v>
      </c>
      <c r="N249">
        <v>1.5</v>
      </c>
      <c r="O249">
        <f t="shared" si="30"/>
        <v>0.60000000000000009</v>
      </c>
      <c r="P249">
        <f t="shared" si="35"/>
        <v>167.6</v>
      </c>
      <c r="Q249">
        <v>210</v>
      </c>
      <c r="R249">
        <v>1.1499999999999999</v>
      </c>
      <c r="S249">
        <f t="shared" si="31"/>
        <v>1.7249999999999999</v>
      </c>
      <c r="T249" s="24">
        <f t="shared" si="32"/>
        <v>0.37500000000000022</v>
      </c>
      <c r="U249" s="24">
        <f t="shared" si="36"/>
        <v>115.28258064516129</v>
      </c>
      <c r="V249">
        <v>0</v>
      </c>
      <c r="W249">
        <v>1000.1</v>
      </c>
      <c r="Y249">
        <f t="shared" si="34"/>
        <v>127552.49999999996</v>
      </c>
      <c r="Z249">
        <f t="shared" si="29"/>
        <v>3926</v>
      </c>
      <c r="AA249">
        <v>12.631773720592458</v>
      </c>
      <c r="AB249" s="24">
        <f>(AB247/100)/L247</f>
        <v>1.4007099827882958</v>
      </c>
    </row>
    <row r="250" spans="1:28" x14ac:dyDescent="0.25">
      <c r="A250">
        <v>5560</v>
      </c>
      <c r="B250">
        <v>22250</v>
      </c>
      <c r="C250" s="1">
        <v>42828</v>
      </c>
      <c r="F250" s="51"/>
      <c r="G250">
        <v>12.1</v>
      </c>
      <c r="H250">
        <v>5.9</v>
      </c>
      <c r="I250">
        <v>17.899999999999999</v>
      </c>
      <c r="J250">
        <f t="shared" si="33"/>
        <v>1715.3999999999994</v>
      </c>
      <c r="K250">
        <f t="shared" si="28"/>
        <v>60.1</v>
      </c>
      <c r="L250" s="16" t="s">
        <v>40</v>
      </c>
      <c r="M250">
        <v>0</v>
      </c>
      <c r="N250">
        <v>2.8</v>
      </c>
      <c r="O250">
        <f t="shared" si="30"/>
        <v>-2.8</v>
      </c>
      <c r="P250">
        <f t="shared" si="35"/>
        <v>164.79999999999998</v>
      </c>
      <c r="Q250">
        <v>211</v>
      </c>
      <c r="R250">
        <v>1.1499999999999999</v>
      </c>
      <c r="S250">
        <f t="shared" si="31"/>
        <v>3.2199999999999998</v>
      </c>
      <c r="T250" s="24">
        <f t="shared" si="32"/>
        <v>-3.2199999999999998</v>
      </c>
      <c r="U250" s="24">
        <f t="shared" si="36"/>
        <v>112.06258064516129</v>
      </c>
      <c r="V250" s="28" t="s">
        <v>55</v>
      </c>
      <c r="W250">
        <v>1789</v>
      </c>
      <c r="Y250">
        <f t="shared" si="34"/>
        <v>129341.49999999996</v>
      </c>
      <c r="Z250">
        <f t="shared" si="29"/>
        <v>5715</v>
      </c>
      <c r="AA250">
        <v>12.688827472065753</v>
      </c>
      <c r="AB250" s="28" t="s">
        <v>60</v>
      </c>
    </row>
    <row r="251" spans="1:28" x14ac:dyDescent="0.25">
      <c r="A251">
        <v>5560</v>
      </c>
      <c r="B251">
        <v>22250</v>
      </c>
      <c r="C251" s="1">
        <v>42829</v>
      </c>
      <c r="F251" s="51"/>
      <c r="G251">
        <v>12.4</v>
      </c>
      <c r="H251">
        <v>8.6999999999999993</v>
      </c>
      <c r="I251">
        <v>17</v>
      </c>
      <c r="J251">
        <f t="shared" si="33"/>
        <v>1727.7999999999995</v>
      </c>
      <c r="K251">
        <f t="shared" si="28"/>
        <v>72.5</v>
      </c>
      <c r="L251" s="13">
        <f>MIN(H246:H266)</f>
        <v>1.5</v>
      </c>
      <c r="M251">
        <v>0</v>
      </c>
      <c r="N251">
        <v>1.8</v>
      </c>
      <c r="O251">
        <f t="shared" si="30"/>
        <v>-1.8</v>
      </c>
      <c r="P251">
        <f t="shared" si="35"/>
        <v>162.99999999999997</v>
      </c>
      <c r="Q251">
        <v>212</v>
      </c>
      <c r="R251">
        <v>1.1499999999999999</v>
      </c>
      <c r="S251">
        <f t="shared" si="31"/>
        <v>2.0699999999999998</v>
      </c>
      <c r="T251" s="24">
        <f t="shared" si="32"/>
        <v>-2.0699999999999998</v>
      </c>
      <c r="U251" s="24">
        <f t="shared" si="36"/>
        <v>109.9925806451613</v>
      </c>
      <c r="V251" s="24">
        <f>MIN(U246:U266)</f>
        <v>66.637580645161307</v>
      </c>
      <c r="W251">
        <v>797.3</v>
      </c>
      <c r="Y251">
        <f t="shared" si="34"/>
        <v>130138.79999999996</v>
      </c>
      <c r="Z251">
        <f t="shared" si="29"/>
        <v>6512.3</v>
      </c>
      <c r="AA251">
        <v>12.745780178908705</v>
      </c>
      <c r="AB251">
        <v>4</v>
      </c>
    </row>
    <row r="252" spans="1:28" x14ac:dyDescent="0.25">
      <c r="A252">
        <v>5560</v>
      </c>
      <c r="B252">
        <v>22250</v>
      </c>
      <c r="C252" s="1">
        <v>42830</v>
      </c>
      <c r="F252" s="51"/>
      <c r="G252">
        <v>10.8</v>
      </c>
      <c r="H252">
        <v>7.6</v>
      </c>
      <c r="I252">
        <v>14.4</v>
      </c>
      <c r="J252">
        <f t="shared" si="33"/>
        <v>1738.5999999999995</v>
      </c>
      <c r="K252">
        <f t="shared" si="28"/>
        <v>83.3</v>
      </c>
      <c r="L252" s="16" t="s">
        <v>41</v>
      </c>
      <c r="M252">
        <v>0</v>
      </c>
      <c r="N252">
        <v>2.1</v>
      </c>
      <c r="O252">
        <f t="shared" si="30"/>
        <v>-2.1</v>
      </c>
      <c r="P252">
        <f t="shared" si="35"/>
        <v>160.89999999999998</v>
      </c>
      <c r="Q252">
        <v>213</v>
      </c>
      <c r="R252">
        <v>1.1499999999999999</v>
      </c>
      <c r="S252">
        <f t="shared" si="31"/>
        <v>2.415</v>
      </c>
      <c r="T252" s="24">
        <f t="shared" si="32"/>
        <v>-2.415</v>
      </c>
      <c r="U252" s="24">
        <f t="shared" si="36"/>
        <v>107.57758064516129</v>
      </c>
      <c r="V252" s="28" t="s">
        <v>56</v>
      </c>
      <c r="W252">
        <v>1662.7</v>
      </c>
      <c r="Y252">
        <f t="shared" si="34"/>
        <v>131801.49999999997</v>
      </c>
      <c r="Z252">
        <f t="shared" si="29"/>
        <v>8175</v>
      </c>
      <c r="AA252">
        <v>12.802622650838973</v>
      </c>
    </row>
    <row r="253" spans="1:28" x14ac:dyDescent="0.25">
      <c r="A253">
        <v>5560</v>
      </c>
      <c r="B253">
        <v>22250</v>
      </c>
      <c r="C253" s="1">
        <v>42831</v>
      </c>
      <c r="F253" s="51"/>
      <c r="G253">
        <v>8.1999999999999993</v>
      </c>
      <c r="H253">
        <v>4.2</v>
      </c>
      <c r="I253">
        <v>13</v>
      </c>
      <c r="J253">
        <f t="shared" si="33"/>
        <v>1746.7999999999995</v>
      </c>
      <c r="K253">
        <f t="shared" si="28"/>
        <v>91.5</v>
      </c>
      <c r="L253" s="12">
        <f>MAX(I246:I266)</f>
        <v>23.1</v>
      </c>
      <c r="M253">
        <v>0</v>
      </c>
      <c r="N253">
        <v>2.8</v>
      </c>
      <c r="O253">
        <f t="shared" si="30"/>
        <v>-2.8</v>
      </c>
      <c r="P253">
        <f t="shared" si="35"/>
        <v>158.09999999999997</v>
      </c>
      <c r="Q253">
        <v>214</v>
      </c>
      <c r="R253">
        <v>1.1499999999999999</v>
      </c>
      <c r="S253">
        <f t="shared" si="31"/>
        <v>3.2199999999999998</v>
      </c>
      <c r="T253" s="24">
        <f t="shared" si="32"/>
        <v>-3.2199999999999998</v>
      </c>
      <c r="U253" s="24">
        <f t="shared" si="36"/>
        <v>104.35758064516129</v>
      </c>
      <c r="V253" s="24">
        <f>MAX(U246:U266)</f>
        <v>115.63258064516128</v>
      </c>
      <c r="W253">
        <v>2056.1</v>
      </c>
      <c r="Y253">
        <f t="shared" si="34"/>
        <v>133857.59999999998</v>
      </c>
      <c r="Z253">
        <f t="shared" si="29"/>
        <v>10231.1</v>
      </c>
      <c r="AA253">
        <v>12.859345514780797</v>
      </c>
    </row>
    <row r="254" spans="1:28" x14ac:dyDescent="0.25">
      <c r="A254">
        <v>5560</v>
      </c>
      <c r="B254">
        <v>22250</v>
      </c>
      <c r="C254" s="1">
        <v>42832</v>
      </c>
      <c r="F254" s="51"/>
      <c r="G254">
        <v>10</v>
      </c>
      <c r="H254">
        <v>2.7</v>
      </c>
      <c r="I254">
        <v>15.8</v>
      </c>
      <c r="J254">
        <f t="shared" si="33"/>
        <v>1756.7999999999995</v>
      </c>
      <c r="K254">
        <f t="shared" ref="K254:K317" si="38">K253+G254</f>
        <v>101.5</v>
      </c>
      <c r="L254" s="16" t="s">
        <v>42</v>
      </c>
      <c r="M254">
        <v>0</v>
      </c>
      <c r="N254">
        <v>3.2</v>
      </c>
      <c r="O254">
        <f t="shared" si="30"/>
        <v>-3.2</v>
      </c>
      <c r="P254">
        <f t="shared" si="35"/>
        <v>154.89999999999998</v>
      </c>
      <c r="Q254">
        <v>215</v>
      </c>
      <c r="R254">
        <v>1.1499999999999999</v>
      </c>
      <c r="S254">
        <f t="shared" si="31"/>
        <v>3.6799999999999997</v>
      </c>
      <c r="T254" s="24">
        <f t="shared" si="32"/>
        <v>-3.6799999999999997</v>
      </c>
      <c r="U254" s="24">
        <f t="shared" si="36"/>
        <v>100.6775806451613</v>
      </c>
      <c r="V254" s="28" t="s">
        <v>57</v>
      </c>
      <c r="W254">
        <v>2322</v>
      </c>
      <c r="Y254">
        <f t="shared" si="34"/>
        <v>136179.59999999998</v>
      </c>
      <c r="Z254">
        <f t="shared" ref="Z254:Z317" si="39">Z253+W254</f>
        <v>12553.1</v>
      </c>
      <c r="AA254">
        <v>12.915939201607424</v>
      </c>
    </row>
    <row r="255" spans="1:28" x14ac:dyDescent="0.25">
      <c r="A255">
        <v>5560</v>
      </c>
      <c r="B255">
        <v>22250</v>
      </c>
      <c r="C255" s="1">
        <v>42833</v>
      </c>
      <c r="F255" s="51"/>
      <c r="G255">
        <v>13.2</v>
      </c>
      <c r="H255">
        <v>5.6</v>
      </c>
      <c r="I255">
        <v>19.7</v>
      </c>
      <c r="J255">
        <f t="shared" si="33"/>
        <v>1769.9999999999995</v>
      </c>
      <c r="K255">
        <f t="shared" si="38"/>
        <v>114.7</v>
      </c>
      <c r="L255" s="12">
        <v>0</v>
      </c>
      <c r="M255">
        <v>0</v>
      </c>
      <c r="N255">
        <v>3.5</v>
      </c>
      <c r="O255">
        <f t="shared" si="30"/>
        <v>-3.5</v>
      </c>
      <c r="P255">
        <f t="shared" si="35"/>
        <v>151.39999999999998</v>
      </c>
      <c r="Q255">
        <v>216</v>
      </c>
      <c r="R255">
        <v>1.1499999999999999</v>
      </c>
      <c r="S255">
        <f t="shared" si="31"/>
        <v>4.0249999999999995</v>
      </c>
      <c r="T255" s="24">
        <f t="shared" si="32"/>
        <v>-4.0249999999999995</v>
      </c>
      <c r="U255" s="24">
        <f t="shared" si="36"/>
        <v>96.652580645161294</v>
      </c>
      <c r="V255" s="24">
        <f>AVERAGE(U246:U266)</f>
        <v>93.039961597542259</v>
      </c>
      <c r="W255">
        <v>2084.5</v>
      </c>
      <c r="Y255">
        <f t="shared" si="34"/>
        <v>138264.09999999998</v>
      </c>
      <c r="Z255">
        <f t="shared" si="39"/>
        <v>14637.6</v>
      </c>
      <c r="AA255">
        <v>12.972393933083364</v>
      </c>
    </row>
    <row r="256" spans="1:28" x14ac:dyDescent="0.25">
      <c r="A256">
        <v>5560</v>
      </c>
      <c r="B256">
        <v>22250</v>
      </c>
      <c r="C256" s="1">
        <v>42834</v>
      </c>
      <c r="F256" s="51"/>
      <c r="G256">
        <v>16.100000000000001</v>
      </c>
      <c r="H256">
        <v>7.7</v>
      </c>
      <c r="I256">
        <v>23.1</v>
      </c>
      <c r="J256">
        <f t="shared" si="33"/>
        <v>1786.0999999999995</v>
      </c>
      <c r="K256">
        <f t="shared" si="38"/>
        <v>130.80000000000001</v>
      </c>
      <c r="L256" s="16" t="s">
        <v>43</v>
      </c>
      <c r="M256">
        <v>0</v>
      </c>
      <c r="N256">
        <v>4</v>
      </c>
      <c r="O256">
        <f t="shared" si="30"/>
        <v>-4</v>
      </c>
      <c r="P256">
        <f t="shared" si="35"/>
        <v>147.39999999999998</v>
      </c>
      <c r="Q256">
        <v>217</v>
      </c>
      <c r="R256">
        <v>1.1499999999999999</v>
      </c>
      <c r="S256">
        <f t="shared" si="31"/>
        <v>4.5999999999999996</v>
      </c>
      <c r="T256" s="24">
        <f t="shared" si="32"/>
        <v>-4.5999999999999996</v>
      </c>
      <c r="U256" s="24">
        <f t="shared" si="36"/>
        <v>92.052580645161299</v>
      </c>
      <c r="W256">
        <v>2378.6999999999998</v>
      </c>
      <c r="Y256">
        <f t="shared" si="34"/>
        <v>140642.79999999999</v>
      </c>
      <c r="Z256">
        <f t="shared" si="39"/>
        <v>17016.3</v>
      </c>
      <c r="AA256">
        <v>13.028699709028336</v>
      </c>
    </row>
    <row r="257" spans="1:28" x14ac:dyDescent="0.25">
      <c r="A257">
        <v>5560</v>
      </c>
      <c r="B257">
        <v>22250</v>
      </c>
      <c r="C257" s="1">
        <v>42835</v>
      </c>
      <c r="F257" s="51"/>
      <c r="G257">
        <v>12.1</v>
      </c>
      <c r="H257">
        <v>8.6999999999999993</v>
      </c>
      <c r="I257">
        <v>15.8</v>
      </c>
      <c r="J257">
        <f t="shared" si="33"/>
        <v>1798.1999999999994</v>
      </c>
      <c r="K257">
        <f t="shared" si="38"/>
        <v>142.9</v>
      </c>
      <c r="L257" s="12">
        <v>8</v>
      </c>
      <c r="M257">
        <v>0</v>
      </c>
      <c r="N257">
        <v>2.6</v>
      </c>
      <c r="O257">
        <f t="shared" si="30"/>
        <v>-2.6</v>
      </c>
      <c r="P257">
        <f t="shared" si="35"/>
        <v>144.79999999999998</v>
      </c>
      <c r="Q257">
        <v>218</v>
      </c>
      <c r="R257">
        <v>1.1499999999999999</v>
      </c>
      <c r="S257">
        <f t="shared" si="31"/>
        <v>2.9899999999999998</v>
      </c>
      <c r="T257" s="24">
        <f t="shared" si="32"/>
        <v>-2.9899999999999998</v>
      </c>
      <c r="U257" s="24">
        <f t="shared" si="36"/>
        <v>89.062580645161304</v>
      </c>
      <c r="V257">
        <f>(V255*100)/122.1</f>
        <v>76.199804748191866</v>
      </c>
      <c r="W257">
        <v>1962.5</v>
      </c>
      <c r="Y257">
        <f t="shared" si="34"/>
        <v>142605.29999999999</v>
      </c>
      <c r="Z257">
        <f t="shared" si="39"/>
        <v>18978.8</v>
      </c>
      <c r="AA257">
        <v>13.084846294726235</v>
      </c>
    </row>
    <row r="258" spans="1:28" x14ac:dyDescent="0.25">
      <c r="A258">
        <v>5560</v>
      </c>
      <c r="B258">
        <v>22250</v>
      </c>
      <c r="C258" s="1">
        <v>42836</v>
      </c>
      <c r="F258" s="51"/>
      <c r="G258">
        <v>9.8000000000000007</v>
      </c>
      <c r="H258">
        <v>4.4000000000000004</v>
      </c>
      <c r="I258">
        <v>14.5</v>
      </c>
      <c r="J258">
        <f t="shared" si="33"/>
        <v>1807.9999999999993</v>
      </c>
      <c r="K258">
        <f t="shared" si="38"/>
        <v>152.70000000000002</v>
      </c>
      <c r="L258" s="16" t="s">
        <v>44</v>
      </c>
      <c r="M258">
        <v>0</v>
      </c>
      <c r="N258">
        <v>2.5</v>
      </c>
      <c r="O258">
        <f t="shared" si="30"/>
        <v>-2.5</v>
      </c>
      <c r="P258">
        <f t="shared" si="35"/>
        <v>142.29999999999998</v>
      </c>
      <c r="Q258">
        <v>219</v>
      </c>
      <c r="R258">
        <v>1.1499999999999999</v>
      </c>
      <c r="S258">
        <f t="shared" si="31"/>
        <v>2.875</v>
      </c>
      <c r="T258" s="24">
        <f t="shared" si="32"/>
        <v>-2.875</v>
      </c>
      <c r="U258" s="24">
        <f t="shared" si="36"/>
        <v>86.187580645161304</v>
      </c>
      <c r="W258">
        <v>1872</v>
      </c>
      <c r="Y258">
        <f t="shared" si="34"/>
        <v>144477.29999999999</v>
      </c>
      <c r="Z258">
        <f t="shared" si="39"/>
        <v>20850.8</v>
      </c>
      <c r="AA258">
        <v>13.14082320860406</v>
      </c>
    </row>
    <row r="259" spans="1:28" x14ac:dyDescent="0.25">
      <c r="A259">
        <v>5560</v>
      </c>
      <c r="B259">
        <v>22250</v>
      </c>
      <c r="C259" s="1">
        <v>42837</v>
      </c>
      <c r="F259" s="51"/>
      <c r="G259">
        <v>10.9</v>
      </c>
      <c r="H259">
        <v>2.7</v>
      </c>
      <c r="I259">
        <v>17.2</v>
      </c>
      <c r="J259">
        <f t="shared" si="33"/>
        <v>1818.8999999999994</v>
      </c>
      <c r="K259">
        <f t="shared" si="38"/>
        <v>163.60000000000002</v>
      </c>
      <c r="L259" s="18">
        <v>0</v>
      </c>
      <c r="M259">
        <v>0</v>
      </c>
      <c r="N259">
        <v>2.9</v>
      </c>
      <c r="O259">
        <f t="shared" si="30"/>
        <v>-2.9</v>
      </c>
      <c r="P259">
        <f t="shared" si="35"/>
        <v>139.39999999999998</v>
      </c>
      <c r="Q259">
        <v>220</v>
      </c>
      <c r="R259">
        <v>1.1499999999999999</v>
      </c>
      <c r="S259">
        <f t="shared" si="31"/>
        <v>3.3349999999999995</v>
      </c>
      <c r="T259" s="24">
        <f t="shared" si="32"/>
        <v>-3.3349999999999995</v>
      </c>
      <c r="U259" s="24">
        <f t="shared" si="36"/>
        <v>82.852580645161311</v>
      </c>
      <c r="W259">
        <v>2069.6999999999998</v>
      </c>
      <c r="Y259">
        <f t="shared" si="34"/>
        <v>146547</v>
      </c>
      <c r="Z259">
        <f t="shared" si="39"/>
        <v>22920.5</v>
      </c>
      <c r="AA259">
        <v>13.1966197102075</v>
      </c>
    </row>
    <row r="260" spans="1:28" x14ac:dyDescent="0.25">
      <c r="A260">
        <v>5560</v>
      </c>
      <c r="B260">
        <v>22250</v>
      </c>
      <c r="C260" s="1">
        <v>42838</v>
      </c>
      <c r="F260" s="51"/>
      <c r="G260">
        <v>11.6</v>
      </c>
      <c r="H260">
        <v>4.5999999999999996</v>
      </c>
      <c r="I260">
        <v>17.899999999999999</v>
      </c>
      <c r="J260">
        <f t="shared" si="33"/>
        <v>1830.4999999999993</v>
      </c>
      <c r="K260">
        <f t="shared" si="38"/>
        <v>175.20000000000002</v>
      </c>
      <c r="M260">
        <v>0</v>
      </c>
      <c r="N260">
        <v>2.7</v>
      </c>
      <c r="O260">
        <f t="shared" si="30"/>
        <v>-2.7</v>
      </c>
      <c r="P260">
        <f t="shared" si="35"/>
        <v>136.69999999999999</v>
      </c>
      <c r="Q260">
        <v>221</v>
      </c>
      <c r="R260">
        <v>1.1499999999999999</v>
      </c>
      <c r="S260">
        <f t="shared" si="31"/>
        <v>3.105</v>
      </c>
      <c r="T260" s="24">
        <f t="shared" si="32"/>
        <v>-3.105</v>
      </c>
      <c r="U260" s="24">
        <f t="shared" si="36"/>
        <v>79.747580645161307</v>
      </c>
      <c r="W260">
        <v>2068.6999999999998</v>
      </c>
      <c r="Y260">
        <f t="shared" si="34"/>
        <v>148615.70000000001</v>
      </c>
      <c r="Z260">
        <f t="shared" si="39"/>
        <v>24989.200000000001</v>
      </c>
      <c r="AA260">
        <v>13.252224788501596</v>
      </c>
    </row>
    <row r="261" spans="1:28" x14ac:dyDescent="0.25">
      <c r="A261">
        <v>5560</v>
      </c>
      <c r="B261">
        <v>22250</v>
      </c>
      <c r="C261" s="1">
        <v>42839</v>
      </c>
      <c r="F261" s="51"/>
      <c r="G261">
        <v>12.4</v>
      </c>
      <c r="H261">
        <v>6.7</v>
      </c>
      <c r="I261">
        <v>17.7</v>
      </c>
      <c r="J261">
        <f t="shared" si="33"/>
        <v>1842.8999999999994</v>
      </c>
      <c r="K261">
        <f t="shared" si="38"/>
        <v>187.60000000000002</v>
      </c>
      <c r="M261">
        <v>0</v>
      </c>
      <c r="N261">
        <v>2.2999999999999998</v>
      </c>
      <c r="O261">
        <f t="shared" si="30"/>
        <v>-2.2999999999999998</v>
      </c>
      <c r="P261">
        <f t="shared" si="35"/>
        <v>134.39999999999998</v>
      </c>
      <c r="Q261">
        <v>222</v>
      </c>
      <c r="R261">
        <v>1.1499999999999999</v>
      </c>
      <c r="S261">
        <f t="shared" si="31"/>
        <v>2.6449999999999996</v>
      </c>
      <c r="T261" s="24">
        <f t="shared" si="32"/>
        <v>-2.6449999999999996</v>
      </c>
      <c r="U261" s="24">
        <f t="shared" si="36"/>
        <v>77.102580645161311</v>
      </c>
      <c r="W261">
        <v>1655.6</v>
      </c>
      <c r="Y261">
        <f t="shared" si="34"/>
        <v>150271.30000000002</v>
      </c>
      <c r="Z261">
        <f t="shared" si="39"/>
        <v>26644.799999999999</v>
      </c>
      <c r="AA261">
        <v>13.307627150526725</v>
      </c>
    </row>
    <row r="262" spans="1:28" x14ac:dyDescent="0.25">
      <c r="A262">
        <v>5560</v>
      </c>
      <c r="B262">
        <v>22250</v>
      </c>
      <c r="C262" s="1">
        <v>42840</v>
      </c>
      <c r="F262" s="51"/>
      <c r="G262">
        <v>10.9</v>
      </c>
      <c r="H262">
        <v>8.6</v>
      </c>
      <c r="I262">
        <v>12.5</v>
      </c>
      <c r="J262">
        <f t="shared" si="33"/>
        <v>1853.7999999999995</v>
      </c>
      <c r="K262">
        <f t="shared" si="38"/>
        <v>198.50000000000003</v>
      </c>
      <c r="M262">
        <v>0</v>
      </c>
      <c r="N262">
        <v>0.8</v>
      </c>
      <c r="O262">
        <f t="shared" si="30"/>
        <v>-0.8</v>
      </c>
      <c r="P262">
        <f t="shared" si="35"/>
        <v>133.59999999999997</v>
      </c>
      <c r="Q262">
        <v>223</v>
      </c>
      <c r="R262">
        <v>1.1499999999999999</v>
      </c>
      <c r="S262">
        <f t="shared" si="31"/>
        <v>0.91999999999999993</v>
      </c>
      <c r="T262" s="24">
        <f t="shared" si="32"/>
        <v>-0.91999999999999993</v>
      </c>
      <c r="U262" s="24">
        <f t="shared" si="36"/>
        <v>76.182580645161309</v>
      </c>
      <c r="W262">
        <v>366.6</v>
      </c>
      <c r="Y262">
        <f t="shared" si="34"/>
        <v>150637.90000000002</v>
      </c>
      <c r="Z262">
        <f t="shared" si="39"/>
        <v>27011.399999999998</v>
      </c>
      <c r="AA262">
        <v>13.362815210442136</v>
      </c>
    </row>
    <row r="263" spans="1:28" x14ac:dyDescent="0.25">
      <c r="A263">
        <v>5560</v>
      </c>
      <c r="B263">
        <v>22250</v>
      </c>
      <c r="C263" s="1">
        <v>42841</v>
      </c>
      <c r="F263" s="51"/>
      <c r="G263">
        <v>10.7</v>
      </c>
      <c r="H263">
        <v>8.1</v>
      </c>
      <c r="I263">
        <v>12.7</v>
      </c>
      <c r="J263">
        <f t="shared" si="33"/>
        <v>1864.4999999999995</v>
      </c>
      <c r="K263">
        <f t="shared" si="38"/>
        <v>209.20000000000002</v>
      </c>
      <c r="M263">
        <v>0</v>
      </c>
      <c r="N263">
        <v>1.1000000000000001</v>
      </c>
      <c r="O263">
        <f t="shared" si="30"/>
        <v>-1.1000000000000001</v>
      </c>
      <c r="P263">
        <f t="shared" si="35"/>
        <v>132.49999999999997</v>
      </c>
      <c r="Q263">
        <v>224</v>
      </c>
      <c r="R263">
        <v>1.1499999999999999</v>
      </c>
      <c r="S263">
        <f t="shared" si="31"/>
        <v>1.2649999999999999</v>
      </c>
      <c r="T263" s="24">
        <f t="shared" si="32"/>
        <v>-1.2649999999999999</v>
      </c>
      <c r="U263" s="24">
        <f t="shared" si="36"/>
        <v>74.917580645161308</v>
      </c>
      <c r="W263">
        <v>594.4</v>
      </c>
      <c r="Y263">
        <f t="shared" si="34"/>
        <v>151232.30000000002</v>
      </c>
      <c r="Z263">
        <f t="shared" si="39"/>
        <v>27605.8</v>
      </c>
      <c r="AA263">
        <v>13.417777078991163</v>
      </c>
    </row>
    <row r="264" spans="1:28" x14ac:dyDescent="0.25">
      <c r="A264">
        <v>5560</v>
      </c>
      <c r="B264">
        <v>22250</v>
      </c>
      <c r="C264" s="1">
        <v>42842</v>
      </c>
      <c r="F264" s="51"/>
      <c r="G264">
        <v>9.9</v>
      </c>
      <c r="H264">
        <v>4.4000000000000004</v>
      </c>
      <c r="I264">
        <v>14.9</v>
      </c>
      <c r="J264">
        <f t="shared" si="33"/>
        <v>1874.3999999999996</v>
      </c>
      <c r="K264">
        <f t="shared" si="38"/>
        <v>219.10000000000002</v>
      </c>
      <c r="M264">
        <v>0</v>
      </c>
      <c r="N264">
        <v>1.3</v>
      </c>
      <c r="O264">
        <f t="shared" si="30"/>
        <v>-1.3</v>
      </c>
      <c r="P264">
        <f t="shared" si="35"/>
        <v>131.19999999999996</v>
      </c>
      <c r="Q264">
        <v>225</v>
      </c>
      <c r="R264">
        <v>1.1499999999999999</v>
      </c>
      <c r="S264">
        <f t="shared" si="31"/>
        <v>1.4949999999999999</v>
      </c>
      <c r="T264" s="24">
        <f t="shared" si="32"/>
        <v>-1.4949999999999999</v>
      </c>
      <c r="U264" s="24">
        <f t="shared" si="36"/>
        <v>73.422580645161304</v>
      </c>
      <c r="W264">
        <v>993.1</v>
      </c>
      <c r="Y264">
        <f t="shared" si="34"/>
        <v>152225.40000000002</v>
      </c>
      <c r="Z264">
        <f t="shared" si="39"/>
        <v>28598.899999999998</v>
      </c>
      <c r="AA264">
        <v>13.472500553424275</v>
      </c>
    </row>
    <row r="265" spans="1:28" x14ac:dyDescent="0.25">
      <c r="A265">
        <v>5560</v>
      </c>
      <c r="B265">
        <v>22250</v>
      </c>
      <c r="C265" s="1">
        <v>42843</v>
      </c>
      <c r="F265" s="51"/>
      <c r="G265">
        <v>7.3</v>
      </c>
      <c r="H265">
        <v>4</v>
      </c>
      <c r="I265">
        <v>12.7</v>
      </c>
      <c r="J265">
        <f t="shared" si="33"/>
        <v>1881.6999999999996</v>
      </c>
      <c r="K265">
        <f t="shared" si="38"/>
        <v>226.40000000000003</v>
      </c>
      <c r="M265">
        <v>0</v>
      </c>
      <c r="N265">
        <v>2.9</v>
      </c>
      <c r="O265">
        <f t="shared" si="30"/>
        <v>-2.9</v>
      </c>
      <c r="P265">
        <f t="shared" si="35"/>
        <v>128.29999999999995</v>
      </c>
      <c r="Q265">
        <v>226</v>
      </c>
      <c r="R265">
        <v>1.1499999999999999</v>
      </c>
      <c r="S265">
        <f t="shared" si="31"/>
        <v>3.3349999999999995</v>
      </c>
      <c r="T265" s="24">
        <f t="shared" si="32"/>
        <v>-3.3349999999999995</v>
      </c>
      <c r="U265" s="24">
        <f t="shared" si="36"/>
        <v>70.08758064516131</v>
      </c>
      <c r="W265">
        <v>1920.3</v>
      </c>
      <c r="Y265">
        <f t="shared" si="34"/>
        <v>154145.70000000001</v>
      </c>
      <c r="Z265">
        <f t="shared" si="39"/>
        <v>30519.199999999997</v>
      </c>
      <c r="AA265">
        <v>13.526973107918176</v>
      </c>
    </row>
    <row r="266" spans="1:28" s="32" customFormat="1" ht="15.75" thickBot="1" x14ac:dyDescent="0.3">
      <c r="A266" s="32">
        <v>5560</v>
      </c>
      <c r="B266" s="32">
        <v>22250</v>
      </c>
      <c r="C266" s="33">
        <v>42844</v>
      </c>
      <c r="D266" s="32" t="s">
        <v>35</v>
      </c>
      <c r="F266" s="51"/>
      <c r="G266" s="32">
        <v>6</v>
      </c>
      <c r="H266" s="32">
        <v>1.5</v>
      </c>
      <c r="I266" s="32">
        <v>11.7</v>
      </c>
      <c r="J266" s="32">
        <f t="shared" si="33"/>
        <v>1887.6999999999996</v>
      </c>
      <c r="K266" s="32">
        <f t="shared" si="38"/>
        <v>232.40000000000003</v>
      </c>
      <c r="L266" s="34"/>
      <c r="M266" s="32">
        <v>0</v>
      </c>
      <c r="N266" s="32">
        <v>3</v>
      </c>
      <c r="O266" s="32">
        <f t="shared" si="30"/>
        <v>-3</v>
      </c>
      <c r="P266" s="32">
        <f t="shared" si="35"/>
        <v>125.29999999999995</v>
      </c>
      <c r="Q266" s="32">
        <v>227</v>
      </c>
      <c r="R266" s="32">
        <v>1.1499999999999999</v>
      </c>
      <c r="S266" s="32">
        <f t="shared" si="31"/>
        <v>3.4499999999999997</v>
      </c>
      <c r="T266" s="35">
        <f t="shared" si="32"/>
        <v>-3.4499999999999997</v>
      </c>
      <c r="U266" s="24">
        <f t="shared" si="36"/>
        <v>66.637580645161307</v>
      </c>
      <c r="W266" s="32">
        <v>2033.3</v>
      </c>
      <c r="Y266" s="32">
        <f t="shared" si="34"/>
        <v>156179</v>
      </c>
      <c r="Z266" s="32">
        <f t="shared" si="39"/>
        <v>32552.499999999996</v>
      </c>
      <c r="AA266" s="32">
        <v>13.581181884531247</v>
      </c>
    </row>
    <row r="267" spans="1:28" x14ac:dyDescent="0.25">
      <c r="A267">
        <v>5560</v>
      </c>
      <c r="B267">
        <v>22250</v>
      </c>
      <c r="C267" s="1">
        <v>42845</v>
      </c>
      <c r="F267" s="52" t="s">
        <v>48</v>
      </c>
      <c r="G267">
        <v>5.9</v>
      </c>
      <c r="H267">
        <v>0.4</v>
      </c>
      <c r="I267">
        <v>10.7</v>
      </c>
      <c r="J267">
        <f t="shared" si="33"/>
        <v>1893.5999999999997</v>
      </c>
      <c r="K267">
        <f>G267</f>
        <v>5.9</v>
      </c>
      <c r="L267" s="19" t="s">
        <v>38</v>
      </c>
      <c r="M267">
        <v>0</v>
      </c>
      <c r="N267">
        <v>3.3</v>
      </c>
      <c r="O267">
        <f t="shared" si="30"/>
        <v>-3.3</v>
      </c>
      <c r="P267">
        <f t="shared" si="35"/>
        <v>121.99999999999996</v>
      </c>
      <c r="Q267">
        <v>228</v>
      </c>
      <c r="R267">
        <v>1.1499999999999999</v>
      </c>
      <c r="S267">
        <f t="shared" si="31"/>
        <v>3.7949999999999995</v>
      </c>
      <c r="T267" s="24">
        <f t="shared" si="32"/>
        <v>-3.7949999999999995</v>
      </c>
      <c r="U267" s="24">
        <f t="shared" si="36"/>
        <v>62.842580645161306</v>
      </c>
      <c r="V267" s="29" t="s">
        <v>53</v>
      </c>
      <c r="W267">
        <v>2441.6999999999998</v>
      </c>
      <c r="Y267">
        <f t="shared" si="34"/>
        <v>158620.70000000001</v>
      </c>
      <c r="Z267">
        <f>W267</f>
        <v>2441.6999999999998</v>
      </c>
      <c r="AA267">
        <v>13.635113684737695</v>
      </c>
      <c r="AB267" s="29" t="s">
        <v>58</v>
      </c>
    </row>
    <row r="268" spans="1:28" x14ac:dyDescent="0.25">
      <c r="A268">
        <v>5560</v>
      </c>
      <c r="B268">
        <v>22250</v>
      </c>
      <c r="C268" s="1">
        <v>42846</v>
      </c>
      <c r="F268" s="52"/>
      <c r="G268">
        <v>9.1999999999999993</v>
      </c>
      <c r="H268">
        <v>2.2000000000000002</v>
      </c>
      <c r="I268">
        <v>15.7</v>
      </c>
      <c r="J268">
        <f t="shared" si="33"/>
        <v>1902.7999999999997</v>
      </c>
      <c r="K268">
        <f t="shared" si="38"/>
        <v>15.1</v>
      </c>
      <c r="L268" s="12">
        <v>318.7</v>
      </c>
      <c r="M268">
        <v>0</v>
      </c>
      <c r="N268">
        <v>4.0999999999999996</v>
      </c>
      <c r="O268">
        <f t="shared" si="30"/>
        <v>-4.0999999999999996</v>
      </c>
      <c r="P268">
        <f t="shared" si="35"/>
        <v>117.89999999999996</v>
      </c>
      <c r="Q268">
        <v>229</v>
      </c>
      <c r="R268">
        <v>1.1499999999999999</v>
      </c>
      <c r="S268">
        <f t="shared" si="31"/>
        <v>4.714999999999999</v>
      </c>
      <c r="T268" s="24">
        <f t="shared" si="32"/>
        <v>-4.714999999999999</v>
      </c>
      <c r="U268" s="24">
        <f t="shared" si="36"/>
        <v>58.127580645161309</v>
      </c>
      <c r="V268">
        <v>0</v>
      </c>
      <c r="W268">
        <v>2432.1</v>
      </c>
      <c r="Y268">
        <f t="shared" si="34"/>
        <v>161052.80000000002</v>
      </c>
      <c r="Z268">
        <f t="shared" si="39"/>
        <v>4873.7999999999993</v>
      </c>
      <c r="AA268">
        <v>13.688754961584854</v>
      </c>
      <c r="AB268">
        <v>39357.300000000003</v>
      </c>
    </row>
    <row r="269" spans="1:28" s="39" customFormat="1" x14ac:dyDescent="0.25">
      <c r="A269" s="39">
        <v>5560</v>
      </c>
      <c r="B269" s="39">
        <v>22250</v>
      </c>
      <c r="C269" s="40">
        <v>42847</v>
      </c>
      <c r="F269" s="52"/>
      <c r="G269" s="39">
        <v>11.5</v>
      </c>
      <c r="H269" s="39">
        <v>4.4000000000000004</v>
      </c>
      <c r="I269" s="39">
        <v>18.3</v>
      </c>
      <c r="J269" s="39">
        <f t="shared" si="33"/>
        <v>1914.2999999999997</v>
      </c>
      <c r="K269">
        <f t="shared" si="38"/>
        <v>26.6</v>
      </c>
      <c r="L269" s="19" t="s">
        <v>39</v>
      </c>
      <c r="M269" s="39">
        <v>0</v>
      </c>
      <c r="N269" s="39">
        <v>3.7</v>
      </c>
      <c r="O269" s="39">
        <f t="shared" si="30"/>
        <v>-3.7</v>
      </c>
      <c r="P269" s="39">
        <f t="shared" si="35"/>
        <v>114.19999999999996</v>
      </c>
      <c r="Q269" s="39">
        <v>230</v>
      </c>
      <c r="R269" s="39">
        <v>1.1499999999999999</v>
      </c>
      <c r="S269" s="39">
        <f t="shared" si="31"/>
        <v>4.2549999999999999</v>
      </c>
      <c r="T269" s="41">
        <f t="shared" si="32"/>
        <v>-4.2549999999999999</v>
      </c>
      <c r="U269" s="24">
        <f t="shared" si="36"/>
        <v>53.872580645161307</v>
      </c>
      <c r="V269" s="29" t="s">
        <v>54</v>
      </c>
      <c r="W269" s="39">
        <v>2183.5</v>
      </c>
      <c r="Y269" s="39">
        <f t="shared" si="34"/>
        <v>163236.30000000002</v>
      </c>
      <c r="Z269">
        <f t="shared" si="39"/>
        <v>7057.2999999999993</v>
      </c>
      <c r="AA269" s="39">
        <v>13.742091812520178</v>
      </c>
      <c r="AB269" s="29" t="s">
        <v>59</v>
      </c>
    </row>
    <row r="270" spans="1:28" ht="15" customHeight="1" x14ac:dyDescent="0.25">
      <c r="A270">
        <v>5560</v>
      </c>
      <c r="B270">
        <v>22250</v>
      </c>
      <c r="C270" s="1">
        <v>42848</v>
      </c>
      <c r="F270" s="52"/>
      <c r="G270">
        <v>10.199999999999999</v>
      </c>
      <c r="H270">
        <v>6.3</v>
      </c>
      <c r="I270">
        <v>15.2</v>
      </c>
      <c r="J270">
        <f t="shared" si="33"/>
        <v>1924.4999999999998</v>
      </c>
      <c r="K270">
        <f t="shared" si="38"/>
        <v>36.799999999999997</v>
      </c>
      <c r="L270" s="17">
        <f>AVERAGE(G267:G294)</f>
        <v>11.382142857142856</v>
      </c>
      <c r="M270">
        <v>0</v>
      </c>
      <c r="N270">
        <v>3.9</v>
      </c>
      <c r="O270">
        <f t="shared" si="30"/>
        <v>-3.9</v>
      </c>
      <c r="P270">
        <f t="shared" si="35"/>
        <v>110.29999999999995</v>
      </c>
      <c r="Q270">
        <v>231</v>
      </c>
      <c r="R270">
        <v>1.1499999999999999</v>
      </c>
      <c r="S270">
        <f t="shared" si="31"/>
        <v>4.4849999999999994</v>
      </c>
      <c r="T270" s="24">
        <f t="shared" si="32"/>
        <v>-4.4849999999999994</v>
      </c>
      <c r="U270" s="24">
        <f t="shared" si="36"/>
        <v>49.387580645161307</v>
      </c>
      <c r="V270">
        <v>0</v>
      </c>
      <c r="W270">
        <v>2281.6</v>
      </c>
      <c r="Y270">
        <f t="shared" si="34"/>
        <v>165517.90000000002</v>
      </c>
      <c r="Z270">
        <f t="shared" si="39"/>
        <v>9338.9</v>
      </c>
      <c r="AA270">
        <v>13.795109972936423</v>
      </c>
      <c r="AB270">
        <f>(AB268/100)/L268</f>
        <v>1.2349325384374021</v>
      </c>
    </row>
    <row r="271" spans="1:28" x14ac:dyDescent="0.25">
      <c r="A271">
        <v>5560</v>
      </c>
      <c r="B271">
        <v>22250</v>
      </c>
      <c r="C271" s="1">
        <v>42849</v>
      </c>
      <c r="F271" s="52"/>
      <c r="G271">
        <v>10.8</v>
      </c>
      <c r="H271">
        <v>4.3</v>
      </c>
      <c r="I271">
        <v>17.3</v>
      </c>
      <c r="J271">
        <f t="shared" si="33"/>
        <v>1935.2999999999997</v>
      </c>
      <c r="K271">
        <f t="shared" si="38"/>
        <v>47.599999999999994</v>
      </c>
      <c r="L271" s="19" t="s">
        <v>40</v>
      </c>
      <c r="M271">
        <v>0</v>
      </c>
      <c r="N271">
        <v>3.2</v>
      </c>
      <c r="O271">
        <f t="shared" si="30"/>
        <v>-3.2</v>
      </c>
      <c r="P271">
        <f t="shared" si="35"/>
        <v>107.09999999999995</v>
      </c>
      <c r="Q271">
        <v>232</v>
      </c>
      <c r="R271">
        <v>1.1499999999999999</v>
      </c>
      <c r="S271">
        <f t="shared" si="31"/>
        <v>3.6799999999999997</v>
      </c>
      <c r="T271" s="24">
        <f t="shared" si="32"/>
        <v>-3.6799999999999997</v>
      </c>
      <c r="U271" s="24">
        <f t="shared" si="36"/>
        <v>45.707580645161308</v>
      </c>
      <c r="V271" s="29" t="s">
        <v>55</v>
      </c>
      <c r="W271">
        <v>1863.8</v>
      </c>
      <c r="Y271">
        <f t="shared" si="34"/>
        <v>167381.70000000001</v>
      </c>
      <c r="Z271">
        <f t="shared" si="39"/>
        <v>11202.699999999999</v>
      </c>
      <c r="AA271">
        <v>13.84779481048561</v>
      </c>
      <c r="AB271" s="29" t="s">
        <v>60</v>
      </c>
    </row>
    <row r="272" spans="1:28" x14ac:dyDescent="0.25">
      <c r="A272">
        <v>5560</v>
      </c>
      <c r="B272">
        <v>22250</v>
      </c>
      <c r="C272" s="1">
        <v>42850</v>
      </c>
      <c r="F272" s="52"/>
      <c r="G272">
        <v>5.8</v>
      </c>
      <c r="H272">
        <v>4.5</v>
      </c>
      <c r="I272">
        <v>7.8</v>
      </c>
      <c r="J272">
        <f t="shared" si="33"/>
        <v>1941.0999999999997</v>
      </c>
      <c r="K272">
        <f t="shared" si="38"/>
        <v>53.399999999999991</v>
      </c>
      <c r="L272" s="13">
        <f>MIN(H267:H294)</f>
        <v>0.4</v>
      </c>
      <c r="M272">
        <v>6.4</v>
      </c>
      <c r="N272">
        <v>0.9</v>
      </c>
      <c r="O272">
        <f t="shared" si="30"/>
        <v>5.5</v>
      </c>
      <c r="P272">
        <f t="shared" si="35"/>
        <v>112.59999999999995</v>
      </c>
      <c r="Q272">
        <v>233</v>
      </c>
      <c r="R272">
        <v>1.1499999999999999</v>
      </c>
      <c r="S272">
        <f t="shared" si="31"/>
        <v>1.0349999999999999</v>
      </c>
      <c r="T272" s="24">
        <f t="shared" si="32"/>
        <v>5.3650000000000002</v>
      </c>
      <c r="U272" s="24">
        <f t="shared" si="36"/>
        <v>51.07258064516131</v>
      </c>
      <c r="V272" s="24">
        <f>MIN(U267:U294)</f>
        <v>44.647580645161305</v>
      </c>
      <c r="W272">
        <v>607</v>
      </c>
      <c r="Y272">
        <f t="shared" si="34"/>
        <v>167988.7</v>
      </c>
      <c r="Z272">
        <f t="shared" si="39"/>
        <v>11809.699999999999</v>
      </c>
      <c r="AA272">
        <v>13.900131320214056</v>
      </c>
      <c r="AB272">
        <v>7</v>
      </c>
    </row>
    <row r="273" spans="1:27" x14ac:dyDescent="0.25">
      <c r="A273">
        <v>5560</v>
      </c>
      <c r="B273">
        <v>22250</v>
      </c>
      <c r="C273" s="1">
        <v>42851</v>
      </c>
      <c r="F273" s="52"/>
      <c r="G273">
        <v>4.7</v>
      </c>
      <c r="H273">
        <v>3.9</v>
      </c>
      <c r="I273">
        <v>7.7</v>
      </c>
      <c r="J273">
        <f t="shared" si="33"/>
        <v>1945.7999999999997</v>
      </c>
      <c r="K273">
        <f t="shared" si="38"/>
        <v>58.099999999999994</v>
      </c>
      <c r="L273" s="19" t="s">
        <v>41</v>
      </c>
      <c r="M273">
        <v>1.8</v>
      </c>
      <c r="N273">
        <v>1</v>
      </c>
      <c r="O273">
        <f t="shared" si="30"/>
        <v>0.8</v>
      </c>
      <c r="P273">
        <f t="shared" si="35"/>
        <v>113.39999999999995</v>
      </c>
      <c r="Q273">
        <v>234</v>
      </c>
      <c r="R273">
        <v>1.1499999999999999</v>
      </c>
      <c r="S273">
        <f t="shared" si="31"/>
        <v>1.1499999999999999</v>
      </c>
      <c r="T273" s="24">
        <f t="shared" si="32"/>
        <v>0.65000000000000013</v>
      </c>
      <c r="U273" s="24">
        <f t="shared" si="36"/>
        <v>51.722580645161308</v>
      </c>
      <c r="V273" s="29" t="s">
        <v>56</v>
      </c>
      <c r="W273">
        <v>641.6</v>
      </c>
      <c r="Y273">
        <f t="shared" si="34"/>
        <v>168630.30000000002</v>
      </c>
      <c r="Z273">
        <f t="shared" si="39"/>
        <v>12451.3</v>
      </c>
      <c r="AA273">
        <v>13.952104120572777</v>
      </c>
    </row>
    <row r="274" spans="1:27" x14ac:dyDescent="0.25">
      <c r="A274">
        <v>5560</v>
      </c>
      <c r="B274">
        <v>22250</v>
      </c>
      <c r="C274" s="1">
        <v>42852</v>
      </c>
      <c r="F274" s="52"/>
      <c r="G274">
        <v>5.4</v>
      </c>
      <c r="H274">
        <v>1.3</v>
      </c>
      <c r="I274">
        <v>10.1</v>
      </c>
      <c r="J274">
        <f t="shared" si="33"/>
        <v>1951.1999999999998</v>
      </c>
      <c r="K274">
        <f t="shared" si="38"/>
        <v>63.499999999999993</v>
      </c>
      <c r="L274" s="12">
        <f>MAX(I267:I294)</f>
        <v>27.9</v>
      </c>
      <c r="M274">
        <v>0.4</v>
      </c>
      <c r="N274">
        <v>1.4</v>
      </c>
      <c r="O274">
        <f t="shared" si="30"/>
        <v>-0.99999999999999989</v>
      </c>
      <c r="P274">
        <f t="shared" si="35"/>
        <v>112.39999999999995</v>
      </c>
      <c r="Q274">
        <v>235</v>
      </c>
      <c r="R274">
        <v>1.1499999999999999</v>
      </c>
      <c r="S274">
        <f t="shared" si="31"/>
        <v>1.6099999999999999</v>
      </c>
      <c r="T274" s="24">
        <f t="shared" si="32"/>
        <v>-1.21</v>
      </c>
      <c r="U274" s="24">
        <f t="shared" si="36"/>
        <v>50.512580645161307</v>
      </c>
      <c r="V274" s="24">
        <f>MAX(U267:U294)</f>
        <v>64.407580645161303</v>
      </c>
      <c r="W274">
        <v>1186</v>
      </c>
      <c r="Y274">
        <f t="shared" si="34"/>
        <v>169816.30000000002</v>
      </c>
      <c r="Z274">
        <f t="shared" si="39"/>
        <v>13637.3</v>
      </c>
      <c r="AA274">
        <v>14.00369745035899</v>
      </c>
    </row>
    <row r="275" spans="1:27" x14ac:dyDescent="0.25">
      <c r="A275">
        <v>5560</v>
      </c>
      <c r="B275">
        <v>22250</v>
      </c>
      <c r="C275" s="1">
        <v>42853</v>
      </c>
      <c r="F275" s="52"/>
      <c r="G275">
        <v>7.1</v>
      </c>
      <c r="H275">
        <v>1.9</v>
      </c>
      <c r="I275">
        <v>12.1</v>
      </c>
      <c r="J275">
        <f t="shared" si="33"/>
        <v>1958.2999999999997</v>
      </c>
      <c r="K275">
        <f t="shared" si="38"/>
        <v>70.599999999999994</v>
      </c>
      <c r="L275" s="19" t="s">
        <v>42</v>
      </c>
      <c r="M275">
        <v>0</v>
      </c>
      <c r="N275">
        <v>1.8</v>
      </c>
      <c r="O275">
        <f t="shared" si="30"/>
        <v>-1.8</v>
      </c>
      <c r="P275">
        <f t="shared" si="35"/>
        <v>110.59999999999995</v>
      </c>
      <c r="Q275">
        <v>236</v>
      </c>
      <c r="R275">
        <v>1.1499999999999999</v>
      </c>
      <c r="S275">
        <f t="shared" si="31"/>
        <v>2.0699999999999998</v>
      </c>
      <c r="T275" s="24">
        <f t="shared" si="32"/>
        <v>-2.0699999999999998</v>
      </c>
      <c r="U275" s="24">
        <f t="shared" si="36"/>
        <v>48.442580645161307</v>
      </c>
      <c r="V275" s="29" t="s">
        <v>57</v>
      </c>
      <c r="W275">
        <v>1563.3</v>
      </c>
      <c r="Y275">
        <f t="shared" si="34"/>
        <v>171379.6</v>
      </c>
      <c r="Z275">
        <f t="shared" si="39"/>
        <v>15200.599999999999</v>
      </c>
      <c r="AA275">
        <v>14.054895166646137</v>
      </c>
    </row>
    <row r="276" spans="1:27" x14ac:dyDescent="0.25">
      <c r="A276">
        <v>5560</v>
      </c>
      <c r="B276">
        <v>22250</v>
      </c>
      <c r="C276" s="1">
        <v>42854</v>
      </c>
      <c r="F276" s="52"/>
      <c r="G276">
        <v>9.5</v>
      </c>
      <c r="H276">
        <v>1.9</v>
      </c>
      <c r="I276">
        <v>16.2</v>
      </c>
      <c r="J276">
        <f t="shared" si="33"/>
        <v>1967.7999999999997</v>
      </c>
      <c r="K276">
        <f t="shared" si="38"/>
        <v>80.099999999999994</v>
      </c>
      <c r="L276" s="12">
        <v>2</v>
      </c>
      <c r="M276">
        <v>0</v>
      </c>
      <c r="N276">
        <v>3.3</v>
      </c>
      <c r="O276">
        <f t="shared" si="30"/>
        <v>-3.3</v>
      </c>
      <c r="P276">
        <f t="shared" si="35"/>
        <v>107.29999999999995</v>
      </c>
      <c r="Q276">
        <v>237</v>
      </c>
      <c r="R276">
        <v>1.1499999999999999</v>
      </c>
      <c r="S276">
        <f t="shared" si="31"/>
        <v>3.7949999999999995</v>
      </c>
      <c r="T276" s="24">
        <f t="shared" si="32"/>
        <v>-3.7949999999999995</v>
      </c>
      <c r="U276" s="24">
        <f t="shared" si="36"/>
        <v>44.647580645161305</v>
      </c>
      <c r="V276" s="24">
        <f>AVERAGE(U267:U294)</f>
        <v>56.580080645161296</v>
      </c>
      <c r="W276">
        <v>2325.8000000000002</v>
      </c>
      <c r="Y276">
        <f t="shared" si="34"/>
        <v>173705.4</v>
      </c>
      <c r="Z276">
        <f t="shared" si="39"/>
        <v>17526.399999999998</v>
      </c>
      <c r="AA276">
        <v>14.105680743761026</v>
      </c>
    </row>
    <row r="277" spans="1:27" x14ac:dyDescent="0.25">
      <c r="A277">
        <v>5560</v>
      </c>
      <c r="B277">
        <v>22250</v>
      </c>
      <c r="C277" s="1">
        <v>42855</v>
      </c>
      <c r="F277" s="52"/>
      <c r="G277">
        <v>10.1</v>
      </c>
      <c r="H277">
        <v>5.5</v>
      </c>
      <c r="I277">
        <v>19.3</v>
      </c>
      <c r="J277">
        <f t="shared" si="33"/>
        <v>1977.8999999999996</v>
      </c>
      <c r="K277">
        <f t="shared" si="38"/>
        <v>90.199999999999989</v>
      </c>
      <c r="L277" s="19" t="s">
        <v>43</v>
      </c>
      <c r="M277">
        <v>9.1999999999999993</v>
      </c>
      <c r="N277">
        <v>2.8</v>
      </c>
      <c r="O277">
        <f t="shared" si="30"/>
        <v>6.3999999999999995</v>
      </c>
      <c r="P277">
        <f t="shared" si="35"/>
        <v>113.69999999999996</v>
      </c>
      <c r="Q277">
        <v>238</v>
      </c>
      <c r="R277">
        <v>1.1499999999999999</v>
      </c>
      <c r="S277">
        <f t="shared" si="31"/>
        <v>3.2199999999999998</v>
      </c>
      <c r="T277" s="24">
        <f t="shared" si="32"/>
        <v>5.9799999999999995</v>
      </c>
      <c r="U277" s="24">
        <f t="shared" si="36"/>
        <v>50.627580645161302</v>
      </c>
      <c r="W277">
        <v>981.4</v>
      </c>
      <c r="Y277">
        <f t="shared" si="34"/>
        <v>174686.8</v>
      </c>
      <c r="Z277">
        <f t="shared" si="39"/>
        <v>18507.8</v>
      </c>
      <c r="AA277">
        <v>14.156037273367803</v>
      </c>
    </row>
    <row r="278" spans="1:27" x14ac:dyDescent="0.25">
      <c r="A278">
        <v>5560</v>
      </c>
      <c r="B278">
        <v>22250</v>
      </c>
      <c r="C278" s="1">
        <v>42856</v>
      </c>
      <c r="F278" s="52"/>
      <c r="G278">
        <v>9.6</v>
      </c>
      <c r="H278">
        <v>7.2</v>
      </c>
      <c r="I278">
        <v>12.1</v>
      </c>
      <c r="J278">
        <f t="shared" si="33"/>
        <v>1987.4999999999995</v>
      </c>
      <c r="K278">
        <f t="shared" si="38"/>
        <v>99.799999999999983</v>
      </c>
      <c r="L278" s="12">
        <v>9</v>
      </c>
      <c r="M278">
        <v>10.7</v>
      </c>
      <c r="N278">
        <v>2.2000000000000002</v>
      </c>
      <c r="O278">
        <f t="shared" si="30"/>
        <v>8.5</v>
      </c>
      <c r="P278">
        <f t="shared" si="35"/>
        <v>122.19999999999996</v>
      </c>
      <c r="Q278">
        <v>239</v>
      </c>
      <c r="R278">
        <v>1.1499999999999999</v>
      </c>
      <c r="S278">
        <f t="shared" si="31"/>
        <v>2.5299999999999998</v>
      </c>
      <c r="T278" s="24">
        <f t="shared" si="32"/>
        <v>8.17</v>
      </c>
      <c r="U278" s="24">
        <f t="shared" si="36"/>
        <v>58.797580645161304</v>
      </c>
      <c r="V278">
        <f>(V276*100)/122.1</f>
        <v>46.339132387519491</v>
      </c>
      <c r="W278">
        <v>1855.5</v>
      </c>
      <c r="Y278">
        <f t="shared" si="34"/>
        <v>176542.3</v>
      </c>
      <c r="Z278">
        <f t="shared" si="39"/>
        <v>20363.3</v>
      </c>
      <c r="AA278">
        <v>14.205947465719351</v>
      </c>
    </row>
    <row r="279" spans="1:27" x14ac:dyDescent="0.25">
      <c r="A279">
        <v>5560</v>
      </c>
      <c r="B279">
        <v>22250</v>
      </c>
      <c r="C279" s="1">
        <v>42857</v>
      </c>
      <c r="F279" s="52"/>
      <c r="G279">
        <v>9.9</v>
      </c>
      <c r="H279">
        <v>7.7</v>
      </c>
      <c r="I279">
        <v>12.4</v>
      </c>
      <c r="J279">
        <f t="shared" si="33"/>
        <v>1997.3999999999996</v>
      </c>
      <c r="K279">
        <f t="shared" si="38"/>
        <v>109.69999999999999</v>
      </c>
      <c r="L279" s="19" t="s">
        <v>44</v>
      </c>
      <c r="M279">
        <v>0.8</v>
      </c>
      <c r="N279">
        <v>0.6</v>
      </c>
      <c r="O279">
        <f t="shared" si="30"/>
        <v>0.20000000000000007</v>
      </c>
      <c r="P279">
        <f t="shared" si="35"/>
        <v>122.39999999999996</v>
      </c>
      <c r="Q279">
        <v>240</v>
      </c>
      <c r="R279">
        <v>1.1499999999999999</v>
      </c>
      <c r="S279">
        <f t="shared" si="31"/>
        <v>0.69</v>
      </c>
      <c r="T279" s="24">
        <f t="shared" si="32"/>
        <v>0.1100000000000001</v>
      </c>
      <c r="U279" s="24">
        <f t="shared" si="36"/>
        <v>58.907580645161303</v>
      </c>
      <c r="W279">
        <v>445.7</v>
      </c>
      <c r="Y279">
        <f t="shared" si="34"/>
        <v>176988</v>
      </c>
      <c r="Z279">
        <f t="shared" si="39"/>
        <v>20809</v>
      </c>
      <c r="AA279">
        <v>14.255393652137185</v>
      </c>
    </row>
    <row r="280" spans="1:27" x14ac:dyDescent="0.25">
      <c r="A280">
        <v>5560</v>
      </c>
      <c r="B280">
        <v>22250</v>
      </c>
      <c r="C280" s="1">
        <v>42858</v>
      </c>
      <c r="F280" s="52"/>
      <c r="G280">
        <v>10</v>
      </c>
      <c r="H280">
        <v>6.9</v>
      </c>
      <c r="I280">
        <v>13.5</v>
      </c>
      <c r="J280">
        <f t="shared" si="33"/>
        <v>2007.3999999999996</v>
      </c>
      <c r="K280">
        <f t="shared" si="38"/>
        <v>119.69999999999999</v>
      </c>
      <c r="L280" s="18">
        <v>0</v>
      </c>
      <c r="M280">
        <v>1.4</v>
      </c>
      <c r="N280">
        <v>1.4</v>
      </c>
      <c r="O280">
        <f t="shared" si="30"/>
        <v>0</v>
      </c>
      <c r="P280">
        <f t="shared" si="35"/>
        <v>122.39999999999996</v>
      </c>
      <c r="Q280">
        <v>241</v>
      </c>
      <c r="R280">
        <v>1.1499999999999999</v>
      </c>
      <c r="S280">
        <f t="shared" si="31"/>
        <v>1.6099999999999999</v>
      </c>
      <c r="T280" s="24">
        <f t="shared" si="32"/>
        <v>-0.20999999999999996</v>
      </c>
      <c r="U280" s="24">
        <f t="shared" si="36"/>
        <v>58.697580645161302</v>
      </c>
      <c r="W280">
        <v>1137.2</v>
      </c>
      <c r="Y280">
        <f t="shared" si="34"/>
        <v>178125.2</v>
      </c>
      <c r="Z280">
        <f t="shared" si="39"/>
        <v>21946.2</v>
      </c>
      <c r="AA280">
        <v>14.304357788781132</v>
      </c>
    </row>
    <row r="281" spans="1:27" x14ac:dyDescent="0.25">
      <c r="A281">
        <v>5560</v>
      </c>
      <c r="B281">
        <v>22250</v>
      </c>
      <c r="C281" s="1">
        <v>42859</v>
      </c>
      <c r="F281" s="52"/>
      <c r="G281">
        <v>11</v>
      </c>
      <c r="H281">
        <v>8.3000000000000007</v>
      </c>
      <c r="I281">
        <v>14.9</v>
      </c>
      <c r="J281">
        <f t="shared" si="33"/>
        <v>2018.3999999999996</v>
      </c>
      <c r="K281">
        <f t="shared" si="38"/>
        <v>130.69999999999999</v>
      </c>
      <c r="M281">
        <v>0</v>
      </c>
      <c r="N281">
        <v>1.6</v>
      </c>
      <c r="O281">
        <f t="shared" si="30"/>
        <v>-1.6</v>
      </c>
      <c r="P281">
        <f t="shared" si="35"/>
        <v>120.79999999999997</v>
      </c>
      <c r="Q281">
        <v>242</v>
      </c>
      <c r="R281">
        <v>1.1499999999999999</v>
      </c>
      <c r="S281">
        <f t="shared" si="31"/>
        <v>1.8399999999999999</v>
      </c>
      <c r="T281" s="24">
        <f t="shared" si="32"/>
        <v>-1.8399999999999999</v>
      </c>
      <c r="U281" s="24">
        <f t="shared" si="36"/>
        <v>56.857580645161306</v>
      </c>
      <c r="W281">
        <v>1093.0999999999999</v>
      </c>
      <c r="Y281">
        <f t="shared" si="34"/>
        <v>179218.30000000002</v>
      </c>
      <c r="Z281">
        <f t="shared" si="39"/>
        <v>23039.3</v>
      </c>
      <c r="AA281">
        <v>14.352821461769956</v>
      </c>
    </row>
    <row r="282" spans="1:27" x14ac:dyDescent="0.25">
      <c r="A282">
        <v>5560</v>
      </c>
      <c r="B282">
        <v>22250</v>
      </c>
      <c r="C282" s="1">
        <v>42860</v>
      </c>
      <c r="F282" s="52"/>
      <c r="G282">
        <v>13.2</v>
      </c>
      <c r="H282">
        <v>5.8</v>
      </c>
      <c r="I282">
        <v>17.899999999999999</v>
      </c>
      <c r="J282">
        <f t="shared" si="33"/>
        <v>2031.5999999999997</v>
      </c>
      <c r="K282">
        <f t="shared" si="38"/>
        <v>143.89999999999998</v>
      </c>
      <c r="M282">
        <v>7.5</v>
      </c>
      <c r="N282">
        <v>1.9</v>
      </c>
      <c r="O282">
        <f t="shared" si="30"/>
        <v>5.6</v>
      </c>
      <c r="P282">
        <f t="shared" si="35"/>
        <v>126.39999999999996</v>
      </c>
      <c r="Q282">
        <v>243</v>
      </c>
      <c r="R282">
        <v>1.1499999999999999</v>
      </c>
      <c r="S282">
        <f t="shared" si="31"/>
        <v>2.1849999999999996</v>
      </c>
      <c r="T282" s="24">
        <f t="shared" si="32"/>
        <v>5.3150000000000004</v>
      </c>
      <c r="U282" s="24">
        <f t="shared" si="36"/>
        <v>62.172580645161304</v>
      </c>
      <c r="W282">
        <v>1125.7</v>
      </c>
      <c r="Y282">
        <f t="shared" si="34"/>
        <v>180344.00000000003</v>
      </c>
      <c r="Z282">
        <f t="shared" si="39"/>
        <v>24165</v>
      </c>
      <c r="AA282">
        <v>14.400765893713459</v>
      </c>
    </row>
    <row r="283" spans="1:27" x14ac:dyDescent="0.25">
      <c r="A283">
        <v>5560</v>
      </c>
      <c r="B283">
        <v>22250</v>
      </c>
      <c r="C283" s="1">
        <v>42861</v>
      </c>
      <c r="F283" s="52"/>
      <c r="G283">
        <v>13.5</v>
      </c>
      <c r="H283">
        <v>11.7</v>
      </c>
      <c r="I283">
        <v>15.7</v>
      </c>
      <c r="J283">
        <f t="shared" si="33"/>
        <v>2045.0999999999997</v>
      </c>
      <c r="K283">
        <f t="shared" si="38"/>
        <v>157.39999999999998</v>
      </c>
      <c r="M283">
        <v>0.8</v>
      </c>
      <c r="N283">
        <v>1.8</v>
      </c>
      <c r="O283">
        <f t="shared" si="30"/>
        <v>-1</v>
      </c>
      <c r="P283">
        <f t="shared" si="35"/>
        <v>125.39999999999996</v>
      </c>
      <c r="Q283">
        <v>244</v>
      </c>
      <c r="R283">
        <v>1.1499999999999999</v>
      </c>
      <c r="S283">
        <f t="shared" si="31"/>
        <v>2.0699999999999998</v>
      </c>
      <c r="T283" s="24">
        <f t="shared" si="32"/>
        <v>-1.2699999999999998</v>
      </c>
      <c r="U283" s="24">
        <f t="shared" si="36"/>
        <v>60.902580645161301</v>
      </c>
      <c r="W283">
        <v>1006.7</v>
      </c>
      <c r="Y283">
        <f t="shared" si="34"/>
        <v>181350.70000000004</v>
      </c>
      <c r="Z283">
        <f t="shared" si="39"/>
        <v>25171.7</v>
      </c>
      <c r="AA283">
        <v>14.44817195171561</v>
      </c>
    </row>
    <row r="284" spans="1:27" x14ac:dyDescent="0.25">
      <c r="A284">
        <v>5560</v>
      </c>
      <c r="B284">
        <v>22250</v>
      </c>
      <c r="C284" s="1">
        <v>42862</v>
      </c>
      <c r="F284" s="52"/>
      <c r="G284">
        <v>11.8</v>
      </c>
      <c r="H284">
        <v>11.1</v>
      </c>
      <c r="I284">
        <v>14.5</v>
      </c>
      <c r="J284">
        <f t="shared" si="33"/>
        <v>2056.8999999999996</v>
      </c>
      <c r="K284">
        <f t="shared" si="38"/>
        <v>169.2</v>
      </c>
      <c r="M284">
        <v>3.7</v>
      </c>
      <c r="N284">
        <v>1.1000000000000001</v>
      </c>
      <c r="O284">
        <f t="shared" si="30"/>
        <v>2.6</v>
      </c>
      <c r="P284">
        <f t="shared" si="35"/>
        <v>127.99999999999996</v>
      </c>
      <c r="Q284">
        <v>245</v>
      </c>
      <c r="R284">
        <v>1.1499999999999999</v>
      </c>
      <c r="S284">
        <f t="shared" si="31"/>
        <v>1.2649999999999999</v>
      </c>
      <c r="T284" s="24">
        <f t="shared" si="32"/>
        <v>2.4350000000000005</v>
      </c>
      <c r="U284" s="24">
        <f t="shared" si="36"/>
        <v>63.337580645161303</v>
      </c>
      <c r="W284">
        <v>585.79999999999995</v>
      </c>
      <c r="Y284">
        <f t="shared" si="34"/>
        <v>181936.50000000003</v>
      </c>
      <c r="Z284">
        <f t="shared" si="39"/>
        <v>25757.5</v>
      </c>
      <c r="AA284">
        <v>14.495020156906675</v>
      </c>
    </row>
    <row r="285" spans="1:27" x14ac:dyDescent="0.25">
      <c r="A285">
        <v>5560</v>
      </c>
      <c r="B285">
        <v>22250</v>
      </c>
      <c r="C285" s="1">
        <v>42863</v>
      </c>
      <c r="F285" s="52"/>
      <c r="G285">
        <v>10.5</v>
      </c>
      <c r="H285">
        <v>7.4</v>
      </c>
      <c r="I285">
        <v>14</v>
      </c>
      <c r="J285">
        <f t="shared" si="33"/>
        <v>2067.3999999999996</v>
      </c>
      <c r="K285">
        <f t="shared" si="38"/>
        <v>179.7</v>
      </c>
      <c r="M285">
        <v>0</v>
      </c>
      <c r="N285">
        <v>1.4</v>
      </c>
      <c r="O285">
        <f t="shared" si="30"/>
        <v>-1.4</v>
      </c>
      <c r="P285">
        <f t="shared" si="35"/>
        <v>126.59999999999995</v>
      </c>
      <c r="Q285">
        <v>246</v>
      </c>
      <c r="R285">
        <v>1.1499999999999999</v>
      </c>
      <c r="S285">
        <f t="shared" si="31"/>
        <v>1.6099999999999999</v>
      </c>
      <c r="T285" s="24">
        <f t="shared" si="32"/>
        <v>-1.6099999999999999</v>
      </c>
      <c r="U285" s="24">
        <f t="shared" si="36"/>
        <v>61.727580645161304</v>
      </c>
      <c r="W285">
        <v>851.3</v>
      </c>
      <c r="Y285">
        <f t="shared" si="34"/>
        <v>182787.80000000002</v>
      </c>
      <c r="Z285">
        <f t="shared" si="39"/>
        <v>26608.799999999999</v>
      </c>
      <c r="AA285">
        <v>14.541290695560313</v>
      </c>
    </row>
    <row r="286" spans="1:27" x14ac:dyDescent="0.25">
      <c r="A286">
        <v>5560</v>
      </c>
      <c r="B286">
        <v>22250</v>
      </c>
      <c r="C286" s="1">
        <v>42864</v>
      </c>
      <c r="F286" s="52"/>
      <c r="G286">
        <v>11.6</v>
      </c>
      <c r="H286">
        <v>8.4</v>
      </c>
      <c r="I286">
        <v>15.3</v>
      </c>
      <c r="J286">
        <f t="shared" si="33"/>
        <v>2078.9999999999995</v>
      </c>
      <c r="K286">
        <f t="shared" si="38"/>
        <v>191.29999999999998</v>
      </c>
      <c r="M286">
        <v>0</v>
      </c>
      <c r="N286">
        <v>2</v>
      </c>
      <c r="O286">
        <f t="shared" si="30"/>
        <v>-2</v>
      </c>
      <c r="P286">
        <f t="shared" si="35"/>
        <v>124.59999999999995</v>
      </c>
      <c r="Q286">
        <v>247</v>
      </c>
      <c r="R286">
        <v>1.1499999999999999</v>
      </c>
      <c r="S286">
        <f t="shared" si="31"/>
        <v>2.2999999999999998</v>
      </c>
      <c r="T286" s="24">
        <f t="shared" si="32"/>
        <v>-2.2999999999999998</v>
      </c>
      <c r="U286" s="24">
        <f t="shared" si="36"/>
        <v>59.427580645161306</v>
      </c>
      <c r="W286">
        <v>1098.9000000000001</v>
      </c>
      <c r="Y286">
        <f t="shared" si="34"/>
        <v>183886.7</v>
      </c>
      <c r="Z286">
        <f t="shared" si="39"/>
        <v>27707.7</v>
      </c>
      <c r="AA286">
        <v>14.586963431848879</v>
      </c>
    </row>
    <row r="287" spans="1:27" x14ac:dyDescent="0.25">
      <c r="A287">
        <v>5560</v>
      </c>
      <c r="B287">
        <v>22250</v>
      </c>
      <c r="C287" s="1">
        <v>42865</v>
      </c>
      <c r="F287" s="52"/>
      <c r="G287">
        <v>13.5</v>
      </c>
      <c r="H287">
        <v>7.1</v>
      </c>
      <c r="I287">
        <v>19.899999999999999</v>
      </c>
      <c r="J287">
        <f t="shared" si="33"/>
        <v>2092.4999999999995</v>
      </c>
      <c r="K287">
        <f t="shared" si="38"/>
        <v>204.79999999999998</v>
      </c>
      <c r="M287">
        <v>0</v>
      </c>
      <c r="N287">
        <v>3.8</v>
      </c>
      <c r="O287">
        <f t="shared" si="30"/>
        <v>-3.8</v>
      </c>
      <c r="P287">
        <f t="shared" si="35"/>
        <v>120.79999999999995</v>
      </c>
      <c r="Q287">
        <v>248</v>
      </c>
      <c r="R287">
        <v>1.1499999999999999</v>
      </c>
      <c r="S287">
        <f t="shared" si="31"/>
        <v>4.3699999999999992</v>
      </c>
      <c r="T287" s="24">
        <f t="shared" si="32"/>
        <v>-4.3699999999999992</v>
      </c>
      <c r="U287" s="24">
        <f t="shared" si="36"/>
        <v>55.057580645161309</v>
      </c>
      <c r="W287">
        <v>2376.1999999999998</v>
      </c>
      <c r="Y287">
        <f t="shared" si="34"/>
        <v>186262.90000000002</v>
      </c>
      <c r="Z287">
        <f t="shared" si="39"/>
        <v>30083.9</v>
      </c>
      <c r="AA287">
        <v>14.632017922286991</v>
      </c>
    </row>
    <row r="288" spans="1:27" x14ac:dyDescent="0.25">
      <c r="A288">
        <v>5560</v>
      </c>
      <c r="B288">
        <v>22250</v>
      </c>
      <c r="C288" s="1">
        <v>42866</v>
      </c>
      <c r="F288" s="52"/>
      <c r="G288">
        <v>12.7</v>
      </c>
      <c r="H288">
        <v>10.3</v>
      </c>
      <c r="I288">
        <v>16.2</v>
      </c>
      <c r="J288">
        <f t="shared" si="33"/>
        <v>2105.1999999999994</v>
      </c>
      <c r="K288">
        <f t="shared" si="38"/>
        <v>217.49999999999997</v>
      </c>
      <c r="M288">
        <v>10.5</v>
      </c>
      <c r="N288">
        <v>1</v>
      </c>
      <c r="O288">
        <f t="shared" si="30"/>
        <v>9.5</v>
      </c>
      <c r="P288">
        <f t="shared" si="35"/>
        <v>130.29999999999995</v>
      </c>
      <c r="Q288">
        <v>249</v>
      </c>
      <c r="R288">
        <v>1.1499999999999999</v>
      </c>
      <c r="S288">
        <f t="shared" si="31"/>
        <v>1.1499999999999999</v>
      </c>
      <c r="T288" s="24">
        <f t="shared" si="32"/>
        <v>9.35</v>
      </c>
      <c r="U288" s="24">
        <f t="shared" si="36"/>
        <v>64.407580645161303</v>
      </c>
      <c r="W288">
        <v>658.7</v>
      </c>
      <c r="Y288">
        <f t="shared" si="34"/>
        <v>186921.60000000003</v>
      </c>
      <c r="Z288">
        <f t="shared" si="39"/>
        <v>30742.600000000002</v>
      </c>
      <c r="AA288">
        <v>14.676433431909377</v>
      </c>
    </row>
    <row r="289" spans="1:28" x14ac:dyDescent="0.25">
      <c r="A289">
        <v>5560</v>
      </c>
      <c r="B289">
        <v>22250</v>
      </c>
      <c r="C289" s="1">
        <v>42867</v>
      </c>
      <c r="F289" s="52"/>
      <c r="G289">
        <v>14.7</v>
      </c>
      <c r="H289">
        <v>11.7</v>
      </c>
      <c r="I289">
        <v>19.899999999999999</v>
      </c>
      <c r="J289">
        <f t="shared" si="33"/>
        <v>2119.8999999999992</v>
      </c>
      <c r="K289">
        <f t="shared" si="38"/>
        <v>232.19999999999996</v>
      </c>
      <c r="M289">
        <v>1.8</v>
      </c>
      <c r="N289">
        <v>2.7</v>
      </c>
      <c r="O289">
        <f t="shared" si="30"/>
        <v>-0.90000000000000013</v>
      </c>
      <c r="P289">
        <f t="shared" si="35"/>
        <v>129.39999999999995</v>
      </c>
      <c r="Q289">
        <v>250</v>
      </c>
      <c r="R289">
        <v>1.1499999999999999</v>
      </c>
      <c r="S289">
        <f t="shared" si="31"/>
        <v>3.105</v>
      </c>
      <c r="T289" s="24">
        <f t="shared" si="32"/>
        <v>-1.3049999999999999</v>
      </c>
      <c r="U289" s="24">
        <f t="shared" si="36"/>
        <v>63.102580645161304</v>
      </c>
      <c r="W289">
        <v>1645.9</v>
      </c>
      <c r="Y289">
        <f t="shared" si="34"/>
        <v>188567.50000000003</v>
      </c>
      <c r="Z289">
        <f t="shared" si="39"/>
        <v>32388.500000000004</v>
      </c>
      <c r="AA289">
        <v>14.720188952224495</v>
      </c>
    </row>
    <row r="290" spans="1:28" x14ac:dyDescent="0.25">
      <c r="A290">
        <v>5560</v>
      </c>
      <c r="B290">
        <v>22250</v>
      </c>
      <c r="C290" s="1">
        <v>42868</v>
      </c>
      <c r="F290" s="52"/>
      <c r="G290">
        <v>14.6</v>
      </c>
      <c r="H290">
        <v>9.3000000000000007</v>
      </c>
      <c r="I290">
        <v>18.5</v>
      </c>
      <c r="J290">
        <f t="shared" si="33"/>
        <v>2134.4999999999991</v>
      </c>
      <c r="K290">
        <f t="shared" si="38"/>
        <v>246.79999999999995</v>
      </c>
      <c r="M290">
        <v>0.2</v>
      </c>
      <c r="N290">
        <v>1.1000000000000001</v>
      </c>
      <c r="O290">
        <f t="shared" si="30"/>
        <v>-0.90000000000000013</v>
      </c>
      <c r="P290">
        <f t="shared" si="35"/>
        <v>128.49999999999994</v>
      </c>
      <c r="Q290">
        <v>251</v>
      </c>
      <c r="R290">
        <v>1.1499999999999999</v>
      </c>
      <c r="S290">
        <f t="shared" si="31"/>
        <v>1.2649999999999999</v>
      </c>
      <c r="T290" s="24">
        <f t="shared" si="32"/>
        <v>-1.0649999999999999</v>
      </c>
      <c r="U290" s="24">
        <f t="shared" si="36"/>
        <v>62.037580645161306</v>
      </c>
      <c r="W290">
        <v>940.4</v>
      </c>
      <c r="Y290">
        <f t="shared" si="34"/>
        <v>189507.90000000002</v>
      </c>
      <c r="Z290">
        <f t="shared" si="39"/>
        <v>33328.9</v>
      </c>
      <c r="AA290">
        <v>14.763263220979942</v>
      </c>
    </row>
    <row r="291" spans="1:28" x14ac:dyDescent="0.25">
      <c r="A291">
        <v>5560</v>
      </c>
      <c r="B291">
        <v>22250</v>
      </c>
      <c r="C291" s="1">
        <v>42869</v>
      </c>
      <c r="F291" s="52"/>
      <c r="G291">
        <v>15.3</v>
      </c>
      <c r="H291">
        <v>11.6</v>
      </c>
      <c r="I291">
        <v>20.399999999999999</v>
      </c>
      <c r="J291">
        <f t="shared" si="33"/>
        <v>2149.7999999999993</v>
      </c>
      <c r="K291">
        <f t="shared" si="38"/>
        <v>262.09999999999997</v>
      </c>
      <c r="M291">
        <v>0.8</v>
      </c>
      <c r="N291">
        <v>1.9</v>
      </c>
      <c r="O291">
        <f t="shared" si="30"/>
        <v>-1.0999999999999999</v>
      </c>
      <c r="P291">
        <f t="shared" si="35"/>
        <v>127.39999999999995</v>
      </c>
      <c r="Q291">
        <v>252</v>
      </c>
      <c r="R291">
        <v>1.1499999999999999</v>
      </c>
      <c r="S291">
        <f t="shared" si="31"/>
        <v>2.1849999999999996</v>
      </c>
      <c r="T291" s="24">
        <f t="shared" si="32"/>
        <v>-1.3849999999999996</v>
      </c>
      <c r="U291" s="24">
        <f t="shared" si="36"/>
        <v>60.652580645161308</v>
      </c>
      <c r="W291">
        <v>868.5</v>
      </c>
      <c r="Y291">
        <f t="shared" si="34"/>
        <v>190376.40000000002</v>
      </c>
      <c r="Z291">
        <f t="shared" si="39"/>
        <v>34197.4</v>
      </c>
      <c r="AA291">
        <v>14.805634743769577</v>
      </c>
    </row>
    <row r="292" spans="1:28" x14ac:dyDescent="0.25">
      <c r="A292">
        <v>5560</v>
      </c>
      <c r="B292">
        <v>22250</v>
      </c>
      <c r="C292" s="1">
        <v>42870</v>
      </c>
      <c r="F292" s="52"/>
      <c r="G292">
        <v>17.2</v>
      </c>
      <c r="H292">
        <v>8.3000000000000007</v>
      </c>
      <c r="I292">
        <v>23.3</v>
      </c>
      <c r="J292">
        <f t="shared" si="33"/>
        <v>2166.9999999999991</v>
      </c>
      <c r="K292">
        <f t="shared" si="38"/>
        <v>279.29999999999995</v>
      </c>
      <c r="M292">
        <v>0</v>
      </c>
      <c r="N292">
        <v>3.1</v>
      </c>
      <c r="O292">
        <f t="shared" si="30"/>
        <v>-3.1</v>
      </c>
      <c r="P292">
        <f t="shared" si="35"/>
        <v>124.29999999999995</v>
      </c>
      <c r="Q292">
        <v>253</v>
      </c>
      <c r="R292">
        <v>1.1499999999999999</v>
      </c>
      <c r="S292">
        <f t="shared" si="31"/>
        <v>3.5649999999999999</v>
      </c>
      <c r="T292" s="24">
        <f t="shared" si="32"/>
        <v>-3.5649999999999999</v>
      </c>
      <c r="U292" s="24">
        <f t="shared" si="36"/>
        <v>57.08758064516131</v>
      </c>
      <c r="W292">
        <v>1932.5</v>
      </c>
      <c r="Y292">
        <f t="shared" si="34"/>
        <v>192308.90000000002</v>
      </c>
      <c r="Z292">
        <f t="shared" si="39"/>
        <v>36129.9</v>
      </c>
      <c r="AA292">
        <v>14.847281817505392</v>
      </c>
    </row>
    <row r="293" spans="1:28" x14ac:dyDescent="0.25">
      <c r="A293">
        <v>5560</v>
      </c>
      <c r="B293">
        <v>22250</v>
      </c>
      <c r="C293" s="1">
        <v>42871</v>
      </c>
      <c r="F293" s="52"/>
      <c r="G293">
        <v>19.100000000000001</v>
      </c>
      <c r="H293">
        <v>12.1</v>
      </c>
      <c r="I293">
        <v>25.2</v>
      </c>
      <c r="J293">
        <f t="shared" si="33"/>
        <v>2186.099999999999</v>
      </c>
      <c r="K293">
        <f t="shared" si="38"/>
        <v>298.39999999999998</v>
      </c>
      <c r="M293">
        <v>0</v>
      </c>
      <c r="N293">
        <v>3.2</v>
      </c>
      <c r="O293">
        <f t="shared" si="30"/>
        <v>-3.2</v>
      </c>
      <c r="P293">
        <f t="shared" si="35"/>
        <v>121.09999999999995</v>
      </c>
      <c r="Q293">
        <v>254</v>
      </c>
      <c r="R293">
        <v>1.1499999999999999</v>
      </c>
      <c r="S293">
        <f t="shared" si="31"/>
        <v>3.6799999999999997</v>
      </c>
      <c r="T293" s="24">
        <f t="shared" si="32"/>
        <v>-3.6799999999999997</v>
      </c>
      <c r="U293" s="24">
        <f t="shared" si="36"/>
        <v>53.40758064516131</v>
      </c>
      <c r="W293">
        <v>1695.2</v>
      </c>
      <c r="Y293">
        <f t="shared" si="34"/>
        <v>194004.10000000003</v>
      </c>
      <c r="Z293">
        <f t="shared" si="39"/>
        <v>37825.1</v>
      </c>
      <c r="AA293">
        <v>14.888182555769374</v>
      </c>
    </row>
    <row r="294" spans="1:28" s="32" customFormat="1" ht="15.75" thickBot="1" x14ac:dyDescent="0.3">
      <c r="A294" s="32">
        <v>5560</v>
      </c>
      <c r="B294" s="32">
        <v>22250</v>
      </c>
      <c r="C294" s="33">
        <v>42872</v>
      </c>
      <c r="F294" s="52"/>
      <c r="G294" s="32">
        <v>20.3</v>
      </c>
      <c r="H294" s="32">
        <v>12.7</v>
      </c>
      <c r="I294" s="32">
        <v>27.9</v>
      </c>
      <c r="J294" s="32">
        <f t="shared" si="33"/>
        <v>2206.3999999999992</v>
      </c>
      <c r="K294" s="32">
        <f t="shared" si="38"/>
        <v>318.7</v>
      </c>
      <c r="L294" s="34"/>
      <c r="M294" s="32">
        <v>11.2</v>
      </c>
      <c r="N294" s="32">
        <v>3.4</v>
      </c>
      <c r="O294" s="32">
        <f t="shared" si="30"/>
        <v>7.7999999999999989</v>
      </c>
      <c r="P294" s="32">
        <f t="shared" si="35"/>
        <v>128.89999999999995</v>
      </c>
      <c r="Q294" s="32">
        <v>255</v>
      </c>
      <c r="R294" s="32">
        <v>1.1499999999999999</v>
      </c>
      <c r="S294" s="32">
        <f t="shared" si="31"/>
        <v>3.9099999999999997</v>
      </c>
      <c r="T294" s="35">
        <f t="shared" si="32"/>
        <v>7.2899999999999991</v>
      </c>
      <c r="U294" s="24">
        <f t="shared" si="36"/>
        <v>60.69758064516131</v>
      </c>
      <c r="W294" s="32">
        <v>1532.2</v>
      </c>
      <c r="Y294" s="32">
        <f t="shared" si="34"/>
        <v>195536.30000000005</v>
      </c>
      <c r="Z294" s="32">
        <f t="shared" si="39"/>
        <v>39357.299999999996</v>
      </c>
      <c r="AA294" s="32">
        <v>14.92831491605207</v>
      </c>
    </row>
    <row r="295" spans="1:28" s="39" customFormat="1" x14ac:dyDescent="0.25">
      <c r="A295" s="39">
        <v>5560</v>
      </c>
      <c r="B295" s="39">
        <v>22250</v>
      </c>
      <c r="C295" s="40">
        <v>42873</v>
      </c>
      <c r="F295" s="53" t="s">
        <v>47</v>
      </c>
      <c r="G295" s="39">
        <v>14.2</v>
      </c>
      <c r="H295" s="39">
        <v>11.4</v>
      </c>
      <c r="I295" s="39">
        <v>18.100000000000001</v>
      </c>
      <c r="J295" s="39">
        <f t="shared" si="33"/>
        <v>2220.599999999999</v>
      </c>
      <c r="K295">
        <f>G295</f>
        <v>14.2</v>
      </c>
      <c r="L295" s="20" t="s">
        <v>38</v>
      </c>
      <c r="M295" s="39">
        <v>18.600000000000001</v>
      </c>
      <c r="N295" s="39">
        <v>0.9</v>
      </c>
      <c r="O295" s="39">
        <f t="shared" si="30"/>
        <v>17.700000000000003</v>
      </c>
      <c r="P295" s="39">
        <f t="shared" si="35"/>
        <v>146.59999999999997</v>
      </c>
      <c r="Q295" s="39">
        <v>256</v>
      </c>
      <c r="R295">
        <f>1.15+((Q295-255)/48)*(0.35-1.15)</f>
        <v>1.1333333333333333</v>
      </c>
      <c r="S295" s="39">
        <f t="shared" si="31"/>
        <v>1.02</v>
      </c>
      <c r="T295" s="41">
        <f t="shared" si="32"/>
        <v>17.580000000000002</v>
      </c>
      <c r="U295" s="24">
        <f t="shared" si="36"/>
        <v>78.277580645161308</v>
      </c>
      <c r="V295" s="30" t="s">
        <v>53</v>
      </c>
      <c r="W295" s="39">
        <v>565.5</v>
      </c>
      <c r="Y295" s="39">
        <f t="shared" si="34"/>
        <v>196101.80000000005</v>
      </c>
      <c r="Z295">
        <f>W295</f>
        <v>565.5</v>
      </c>
      <c r="AA295" s="39">
        <v>14.96765672887528</v>
      </c>
      <c r="AB295" s="30" t="s">
        <v>58</v>
      </c>
    </row>
    <row r="296" spans="1:28" ht="15" customHeight="1" x14ac:dyDescent="0.25">
      <c r="A296">
        <v>5560</v>
      </c>
      <c r="B296">
        <v>22250</v>
      </c>
      <c r="C296" s="1">
        <v>42874</v>
      </c>
      <c r="F296" s="53"/>
      <c r="G296">
        <v>10.8</v>
      </c>
      <c r="H296">
        <v>9.5</v>
      </c>
      <c r="I296">
        <v>14.4</v>
      </c>
      <c r="J296">
        <f t="shared" si="33"/>
        <v>2231.3999999999992</v>
      </c>
      <c r="K296">
        <f t="shared" si="38"/>
        <v>25</v>
      </c>
      <c r="L296" s="12">
        <v>313.60000000000002</v>
      </c>
      <c r="M296">
        <v>6.4</v>
      </c>
      <c r="N296">
        <v>2.4</v>
      </c>
      <c r="O296">
        <f t="shared" si="30"/>
        <v>4</v>
      </c>
      <c r="P296">
        <f t="shared" si="35"/>
        <v>150.59999999999997</v>
      </c>
      <c r="Q296">
        <v>257</v>
      </c>
      <c r="R296">
        <f t="shared" ref="R296:R342" si="40">1.15+((Q296-255)/48)*(0.35-1.15)</f>
        <v>1.1166666666666667</v>
      </c>
      <c r="S296">
        <f t="shared" si="31"/>
        <v>2.68</v>
      </c>
      <c r="T296" s="24">
        <f t="shared" si="32"/>
        <v>3.72</v>
      </c>
      <c r="U296" s="24">
        <f t="shared" si="36"/>
        <v>81.997580645161307</v>
      </c>
      <c r="V296">
        <v>0</v>
      </c>
      <c r="W296">
        <v>1584</v>
      </c>
      <c r="Y296">
        <f t="shared" si="34"/>
        <v>197685.80000000005</v>
      </c>
      <c r="Z296">
        <f t="shared" si="39"/>
        <v>2149.5</v>
      </c>
      <c r="AA296">
        <v>15.006185728786003</v>
      </c>
      <c r="AB296">
        <v>30256.3</v>
      </c>
    </row>
    <row r="297" spans="1:28" x14ac:dyDescent="0.25">
      <c r="A297">
        <v>5560</v>
      </c>
      <c r="B297">
        <v>22250</v>
      </c>
      <c r="C297" s="1">
        <v>42875</v>
      </c>
      <c r="F297" s="53"/>
      <c r="G297">
        <v>11.9</v>
      </c>
      <c r="H297">
        <v>8.6999999999999993</v>
      </c>
      <c r="I297">
        <v>15.4</v>
      </c>
      <c r="J297">
        <f t="shared" si="33"/>
        <v>2243.2999999999993</v>
      </c>
      <c r="K297">
        <f t="shared" si="38"/>
        <v>36.9</v>
      </c>
      <c r="L297" s="20" t="s">
        <v>39</v>
      </c>
      <c r="M297">
        <v>0.2</v>
      </c>
      <c r="N297">
        <v>1.8</v>
      </c>
      <c r="O297">
        <f t="shared" ref="O297:O342" si="41">M297-N297</f>
        <v>-1.6</v>
      </c>
      <c r="P297">
        <f t="shared" si="35"/>
        <v>148.99999999999997</v>
      </c>
      <c r="Q297">
        <v>258</v>
      </c>
      <c r="R297">
        <f t="shared" si="40"/>
        <v>1.0999999999999999</v>
      </c>
      <c r="S297">
        <f t="shared" ref="S297:S342" si="42">R297*N297</f>
        <v>1.9799999999999998</v>
      </c>
      <c r="T297" s="24">
        <f t="shared" ref="T297:T342" si="43">M297-S297</f>
        <v>-1.7799999999999998</v>
      </c>
      <c r="U297" s="24">
        <f t="shared" si="36"/>
        <v>80.217580645161306</v>
      </c>
      <c r="V297" s="30" t="s">
        <v>54</v>
      </c>
      <c r="W297">
        <v>1240.0999999999999</v>
      </c>
      <c r="Y297">
        <f t="shared" si="34"/>
        <v>198925.90000000005</v>
      </c>
      <c r="Z297">
        <f t="shared" si="39"/>
        <v>3389.6</v>
      </c>
      <c r="AA297">
        <v>15.043879587197974</v>
      </c>
      <c r="AB297" s="30" t="s">
        <v>59</v>
      </c>
    </row>
    <row r="298" spans="1:28" x14ac:dyDescent="0.25">
      <c r="A298">
        <v>5560</v>
      </c>
      <c r="B298">
        <v>22250</v>
      </c>
      <c r="C298" s="1">
        <v>42876</v>
      </c>
      <c r="F298" s="53"/>
      <c r="G298">
        <v>14.2</v>
      </c>
      <c r="H298">
        <v>7.3</v>
      </c>
      <c r="I298">
        <v>19.5</v>
      </c>
      <c r="J298">
        <f t="shared" ref="J298:J342" si="44">J297+G298</f>
        <v>2257.4999999999991</v>
      </c>
      <c r="K298">
        <f t="shared" si="38"/>
        <v>51.099999999999994</v>
      </c>
      <c r="L298" s="17">
        <f>AVERAGE(G295:G311)</f>
        <v>18.44705882352941</v>
      </c>
      <c r="M298">
        <v>0</v>
      </c>
      <c r="N298">
        <v>3</v>
      </c>
      <c r="O298">
        <f t="shared" si="41"/>
        <v>-3</v>
      </c>
      <c r="P298">
        <f t="shared" si="35"/>
        <v>145.99999999999997</v>
      </c>
      <c r="Q298">
        <v>259</v>
      </c>
      <c r="R298">
        <f t="shared" si="40"/>
        <v>1.0833333333333333</v>
      </c>
      <c r="S298">
        <f t="shared" si="42"/>
        <v>3.25</v>
      </c>
      <c r="T298" s="24">
        <f t="shared" si="43"/>
        <v>-3.25</v>
      </c>
      <c r="U298" s="24">
        <f t="shared" si="36"/>
        <v>76.967580645161306</v>
      </c>
      <c r="V298">
        <v>3</v>
      </c>
      <c r="W298">
        <v>2112.4</v>
      </c>
      <c r="Y298">
        <f t="shared" ref="Y298:Y342" si="45">Y297+W298</f>
        <v>201038.30000000005</v>
      </c>
      <c r="Z298">
        <f t="shared" si="39"/>
        <v>5502</v>
      </c>
      <c r="AA298">
        <v>15.080715947045276</v>
      </c>
      <c r="AB298">
        <f>(AB296/100)/L296</f>
        <v>0.96480548469387739</v>
      </c>
    </row>
    <row r="299" spans="1:28" x14ac:dyDescent="0.25">
      <c r="A299">
        <v>5560</v>
      </c>
      <c r="B299">
        <v>22250</v>
      </c>
      <c r="C299" s="1">
        <v>42877</v>
      </c>
      <c r="F299" s="53"/>
      <c r="G299">
        <v>18</v>
      </c>
      <c r="H299">
        <v>10.6</v>
      </c>
      <c r="I299">
        <v>25.2</v>
      </c>
      <c r="J299">
        <f t="shared" si="44"/>
        <v>2275.4999999999991</v>
      </c>
      <c r="K299">
        <f t="shared" si="38"/>
        <v>69.099999999999994</v>
      </c>
      <c r="L299" s="20" t="s">
        <v>40</v>
      </c>
      <c r="M299">
        <v>0</v>
      </c>
      <c r="N299">
        <v>4.0999999999999996</v>
      </c>
      <c r="O299">
        <f t="shared" si="41"/>
        <v>-4.0999999999999996</v>
      </c>
      <c r="P299">
        <f t="shared" si="35"/>
        <v>141.89999999999998</v>
      </c>
      <c r="Q299">
        <v>260</v>
      </c>
      <c r="R299">
        <f t="shared" si="40"/>
        <v>1.0666666666666667</v>
      </c>
      <c r="S299">
        <f t="shared" si="42"/>
        <v>4.3733333333333331</v>
      </c>
      <c r="T299" s="24">
        <f t="shared" si="43"/>
        <v>-4.3733333333333331</v>
      </c>
      <c r="U299" s="24">
        <f t="shared" si="36"/>
        <v>72.594247311827971</v>
      </c>
      <c r="V299" s="30" t="s">
        <v>55</v>
      </c>
      <c r="W299">
        <v>2183.6999999999998</v>
      </c>
      <c r="Y299">
        <f t="shared" si="45"/>
        <v>203222.00000000006</v>
      </c>
      <c r="Z299">
        <f t="shared" si="39"/>
        <v>7685.7</v>
      </c>
      <c r="AA299">
        <v>15.11667245920021</v>
      </c>
      <c r="AB299" s="30" t="s">
        <v>60</v>
      </c>
    </row>
    <row r="300" spans="1:28" x14ac:dyDescent="0.25">
      <c r="A300">
        <v>5560</v>
      </c>
      <c r="B300">
        <v>22250</v>
      </c>
      <c r="C300" s="1">
        <v>42878</v>
      </c>
      <c r="F300" s="53"/>
      <c r="G300">
        <v>16.899999999999999</v>
      </c>
      <c r="H300">
        <v>13.8</v>
      </c>
      <c r="I300">
        <v>21.5</v>
      </c>
      <c r="J300">
        <f t="shared" si="44"/>
        <v>2292.3999999999992</v>
      </c>
      <c r="K300">
        <f t="shared" si="38"/>
        <v>86</v>
      </c>
      <c r="L300" s="13">
        <f>MIN(H295:H311)</f>
        <v>7.3</v>
      </c>
      <c r="M300">
        <v>0</v>
      </c>
      <c r="N300">
        <v>2.1</v>
      </c>
      <c r="O300">
        <f t="shared" si="41"/>
        <v>-2.1</v>
      </c>
      <c r="P300">
        <f t="shared" si="35"/>
        <v>139.79999999999998</v>
      </c>
      <c r="Q300">
        <v>261</v>
      </c>
      <c r="R300">
        <f t="shared" si="40"/>
        <v>1.0499999999999998</v>
      </c>
      <c r="S300">
        <f t="shared" si="42"/>
        <v>2.2049999999999996</v>
      </c>
      <c r="T300" s="24">
        <f t="shared" si="43"/>
        <v>-2.2049999999999996</v>
      </c>
      <c r="U300" s="24">
        <f t="shared" si="36"/>
        <v>70.389247311827972</v>
      </c>
      <c r="V300" s="24">
        <f>MIN(U295:U311)</f>
        <v>32.52591397849465</v>
      </c>
      <c r="W300">
        <v>1048</v>
      </c>
      <c r="Y300">
        <f t="shared" si="45"/>
        <v>204270.00000000006</v>
      </c>
      <c r="Z300">
        <f t="shared" si="39"/>
        <v>8733.7000000000007</v>
      </c>
      <c r="AA300">
        <v>15.151726820594499</v>
      </c>
      <c r="AB300">
        <v>3</v>
      </c>
    </row>
    <row r="301" spans="1:28" x14ac:dyDescent="0.25">
      <c r="A301">
        <v>5560</v>
      </c>
      <c r="B301">
        <v>22250</v>
      </c>
      <c r="C301" s="1">
        <v>42879</v>
      </c>
      <c r="F301" s="53"/>
      <c r="G301">
        <v>19.3</v>
      </c>
      <c r="H301">
        <v>14.2</v>
      </c>
      <c r="I301">
        <v>23.8</v>
      </c>
      <c r="J301">
        <f t="shared" si="44"/>
        <v>2311.6999999999994</v>
      </c>
      <c r="K301">
        <f t="shared" si="38"/>
        <v>105.3</v>
      </c>
      <c r="L301" s="20" t="s">
        <v>41</v>
      </c>
      <c r="M301">
        <v>0</v>
      </c>
      <c r="N301">
        <v>3.5</v>
      </c>
      <c r="O301">
        <f t="shared" si="41"/>
        <v>-3.5</v>
      </c>
      <c r="P301">
        <f t="shared" si="35"/>
        <v>136.29999999999998</v>
      </c>
      <c r="Q301">
        <v>262</v>
      </c>
      <c r="R301">
        <f t="shared" si="40"/>
        <v>1.0333333333333332</v>
      </c>
      <c r="S301">
        <f t="shared" si="42"/>
        <v>3.6166666666666663</v>
      </c>
      <c r="T301" s="24">
        <f t="shared" si="43"/>
        <v>-3.6166666666666663</v>
      </c>
      <c r="U301" s="24">
        <f t="shared" si="36"/>
        <v>66.772580645161312</v>
      </c>
      <c r="V301" s="30" t="s">
        <v>56</v>
      </c>
      <c r="W301">
        <v>2067.8000000000002</v>
      </c>
      <c r="Y301">
        <f t="shared" si="45"/>
        <v>206337.80000000005</v>
      </c>
      <c r="Z301">
        <f t="shared" si="39"/>
        <v>10801.5</v>
      </c>
      <c r="AA301">
        <v>15.185856813969309</v>
      </c>
    </row>
    <row r="302" spans="1:28" x14ac:dyDescent="0.25">
      <c r="A302">
        <v>5560</v>
      </c>
      <c r="B302">
        <v>22250</v>
      </c>
      <c r="C302" s="1">
        <v>42880</v>
      </c>
      <c r="F302" s="53"/>
      <c r="G302">
        <v>20.100000000000001</v>
      </c>
      <c r="H302">
        <v>14.8</v>
      </c>
      <c r="I302">
        <v>25.3</v>
      </c>
      <c r="J302">
        <f t="shared" si="44"/>
        <v>2331.7999999999993</v>
      </c>
      <c r="K302">
        <f t="shared" si="38"/>
        <v>125.4</v>
      </c>
      <c r="L302" s="12">
        <f>MAX(I295:I311)</f>
        <v>29.8</v>
      </c>
      <c r="M302">
        <v>0</v>
      </c>
      <c r="N302">
        <v>5.7</v>
      </c>
      <c r="O302">
        <f t="shared" si="41"/>
        <v>-5.7</v>
      </c>
      <c r="P302">
        <f t="shared" si="35"/>
        <v>130.6</v>
      </c>
      <c r="Q302">
        <v>263</v>
      </c>
      <c r="R302">
        <f t="shared" si="40"/>
        <v>1.0166666666666666</v>
      </c>
      <c r="S302">
        <f t="shared" si="42"/>
        <v>5.7949999999999999</v>
      </c>
      <c r="T302" s="24">
        <f t="shared" si="43"/>
        <v>-5.7949999999999999</v>
      </c>
      <c r="U302" s="24">
        <f t="shared" si="36"/>
        <v>60.977580645161311</v>
      </c>
      <c r="V302" s="24">
        <f>MAX(U295:U311)</f>
        <v>81.997580645161307</v>
      </c>
      <c r="W302">
        <v>2866</v>
      </c>
      <c r="Y302">
        <f t="shared" si="45"/>
        <v>209203.80000000005</v>
      </c>
      <c r="Z302">
        <f t="shared" si="39"/>
        <v>13667.5</v>
      </c>
      <c r="AA302">
        <v>15.219040349165416</v>
      </c>
    </row>
    <row r="303" spans="1:28" x14ac:dyDescent="0.25">
      <c r="A303">
        <v>5560</v>
      </c>
      <c r="B303">
        <v>22250</v>
      </c>
      <c r="C303" s="1">
        <v>42881</v>
      </c>
      <c r="F303" s="53"/>
      <c r="G303">
        <v>21.2</v>
      </c>
      <c r="H303">
        <v>14.3</v>
      </c>
      <c r="I303">
        <v>27.2</v>
      </c>
      <c r="J303">
        <f t="shared" si="44"/>
        <v>2352.9999999999991</v>
      </c>
      <c r="K303">
        <f t="shared" si="38"/>
        <v>146.6</v>
      </c>
      <c r="L303" s="20" t="s">
        <v>42</v>
      </c>
      <c r="M303">
        <v>0</v>
      </c>
      <c r="N303">
        <v>5.3</v>
      </c>
      <c r="O303">
        <f t="shared" si="41"/>
        <v>-5.3</v>
      </c>
      <c r="P303">
        <f t="shared" si="35"/>
        <v>125.3</v>
      </c>
      <c r="Q303">
        <v>264</v>
      </c>
      <c r="R303">
        <f t="shared" si="40"/>
        <v>0.99999999999999989</v>
      </c>
      <c r="S303">
        <f t="shared" si="42"/>
        <v>5.2999999999999989</v>
      </c>
      <c r="T303" s="24">
        <f t="shared" si="43"/>
        <v>-5.2999999999999989</v>
      </c>
      <c r="U303" s="24">
        <f t="shared" si="36"/>
        <v>55.677580645161314</v>
      </c>
      <c r="V303" s="30" t="s">
        <v>57</v>
      </c>
      <c r="W303">
        <v>2804.8</v>
      </c>
      <c r="Y303">
        <f t="shared" si="45"/>
        <v>212008.60000000003</v>
      </c>
      <c r="Z303">
        <f t="shared" si="39"/>
        <v>16472.3</v>
      </c>
      <c r="AA303">
        <v>15.251255505850448</v>
      </c>
    </row>
    <row r="304" spans="1:28" x14ac:dyDescent="0.25">
      <c r="A304">
        <v>5560</v>
      </c>
      <c r="B304">
        <v>22250</v>
      </c>
      <c r="C304" s="1">
        <v>42882</v>
      </c>
      <c r="F304" s="53"/>
      <c r="G304">
        <v>23.1</v>
      </c>
      <c r="H304">
        <v>17.100000000000001</v>
      </c>
      <c r="I304">
        <v>27.7</v>
      </c>
      <c r="J304">
        <f t="shared" si="44"/>
        <v>2376.099999999999</v>
      </c>
      <c r="K304">
        <f t="shared" si="38"/>
        <v>169.7</v>
      </c>
      <c r="L304" s="12">
        <v>8</v>
      </c>
      <c r="M304">
        <v>0</v>
      </c>
      <c r="N304">
        <v>5.0999999999999996</v>
      </c>
      <c r="O304">
        <f t="shared" si="41"/>
        <v>-5.0999999999999996</v>
      </c>
      <c r="P304">
        <f t="shared" si="35"/>
        <v>120.2</v>
      </c>
      <c r="Q304">
        <v>265</v>
      </c>
      <c r="R304">
        <f t="shared" si="40"/>
        <v>0.98333333333333328</v>
      </c>
      <c r="S304">
        <f t="shared" si="42"/>
        <v>5.0149999999999997</v>
      </c>
      <c r="T304" s="24">
        <f t="shared" si="43"/>
        <v>-5.0149999999999997</v>
      </c>
      <c r="U304" s="24">
        <f t="shared" si="36"/>
        <v>50.662580645161313</v>
      </c>
      <c r="V304" s="24">
        <f>AVERAGE(U295:U311)</f>
        <v>57.25307084123974</v>
      </c>
      <c r="W304">
        <v>2544.1</v>
      </c>
      <c r="Y304">
        <f t="shared" si="45"/>
        <v>214552.70000000004</v>
      </c>
      <c r="Z304">
        <f t="shared" si="39"/>
        <v>19016.399999999998</v>
      </c>
      <c r="AA304">
        <v>15.282480577565307</v>
      </c>
    </row>
    <row r="305" spans="1:28" x14ac:dyDescent="0.25">
      <c r="A305">
        <v>5560</v>
      </c>
      <c r="B305">
        <v>22250</v>
      </c>
      <c r="C305" s="1">
        <v>42883</v>
      </c>
      <c r="F305" s="53"/>
      <c r="G305">
        <v>24</v>
      </c>
      <c r="H305">
        <v>18</v>
      </c>
      <c r="I305">
        <v>29.8</v>
      </c>
      <c r="J305">
        <f t="shared" si="44"/>
        <v>2400.099999999999</v>
      </c>
      <c r="K305">
        <f t="shared" si="38"/>
        <v>193.7</v>
      </c>
      <c r="L305" s="20" t="s">
        <v>43</v>
      </c>
      <c r="M305">
        <v>0</v>
      </c>
      <c r="N305">
        <v>5.0999999999999996</v>
      </c>
      <c r="O305">
        <f t="shared" si="41"/>
        <v>-5.0999999999999996</v>
      </c>
      <c r="P305">
        <f t="shared" ref="P305:P342" si="46">P304+O305</f>
        <v>115.10000000000001</v>
      </c>
      <c r="Q305">
        <v>266</v>
      </c>
      <c r="R305">
        <f t="shared" si="40"/>
        <v>0.96666666666666656</v>
      </c>
      <c r="S305">
        <f t="shared" si="42"/>
        <v>4.9299999999999988</v>
      </c>
      <c r="T305" s="24">
        <f t="shared" si="43"/>
        <v>-4.9299999999999988</v>
      </c>
      <c r="U305" s="24">
        <f t="shared" si="36"/>
        <v>45.732580645161313</v>
      </c>
      <c r="W305">
        <v>2490.3000000000002</v>
      </c>
      <c r="Y305">
        <f t="shared" si="45"/>
        <v>217043.00000000003</v>
      </c>
      <c r="Z305">
        <f t="shared" si="39"/>
        <v>21506.699999999997</v>
      </c>
      <c r="AA305">
        <v>15.312694116957148</v>
      </c>
    </row>
    <row r="306" spans="1:28" x14ac:dyDescent="0.25">
      <c r="A306">
        <v>5560</v>
      </c>
      <c r="B306">
        <v>22250</v>
      </c>
      <c r="C306" s="1">
        <v>42884</v>
      </c>
      <c r="F306" s="53"/>
      <c r="G306">
        <v>21.3</v>
      </c>
      <c r="H306">
        <v>18.8</v>
      </c>
      <c r="I306">
        <v>25.2</v>
      </c>
      <c r="J306">
        <f t="shared" si="44"/>
        <v>2421.3999999999992</v>
      </c>
      <c r="K306">
        <f t="shared" si="38"/>
        <v>215</v>
      </c>
      <c r="L306" s="12">
        <v>0</v>
      </c>
      <c r="M306">
        <v>0</v>
      </c>
      <c r="N306">
        <v>3.5</v>
      </c>
      <c r="O306">
        <f t="shared" si="41"/>
        <v>-3.5</v>
      </c>
      <c r="P306">
        <f t="shared" si="46"/>
        <v>111.60000000000001</v>
      </c>
      <c r="Q306">
        <v>267</v>
      </c>
      <c r="R306">
        <f t="shared" si="40"/>
        <v>0.95</v>
      </c>
      <c r="S306">
        <f t="shared" si="42"/>
        <v>3.3249999999999997</v>
      </c>
      <c r="T306" s="24">
        <f t="shared" si="43"/>
        <v>-3.3249999999999997</v>
      </c>
      <c r="U306" s="24">
        <f t="shared" ref="U306:U342" si="47">MIN(122.1,U305+T306)</f>
        <v>42.40758064516131</v>
      </c>
      <c r="V306">
        <f>(V304*100)/122.1</f>
        <v>46.890311909287263</v>
      </c>
      <c r="W306">
        <v>1720</v>
      </c>
      <c r="Y306">
        <f t="shared" si="45"/>
        <v>218763.00000000003</v>
      </c>
      <c r="Z306">
        <f t="shared" si="39"/>
        <v>23226.699999999997</v>
      </c>
      <c r="AA306">
        <v>15.341874982051356</v>
      </c>
    </row>
    <row r="307" spans="1:28" x14ac:dyDescent="0.25">
      <c r="A307">
        <v>5560</v>
      </c>
      <c r="B307">
        <v>22250</v>
      </c>
      <c r="C307" s="1">
        <v>42885</v>
      </c>
      <c r="F307" s="53"/>
      <c r="G307">
        <v>19.600000000000001</v>
      </c>
      <c r="H307">
        <v>17.2</v>
      </c>
      <c r="I307">
        <v>22.6</v>
      </c>
      <c r="J307">
        <f t="shared" si="44"/>
        <v>2440.9999999999991</v>
      </c>
      <c r="K307">
        <f t="shared" si="38"/>
        <v>234.6</v>
      </c>
      <c r="L307" s="20" t="s">
        <v>44</v>
      </c>
      <c r="M307">
        <v>0</v>
      </c>
      <c r="N307">
        <v>1.5</v>
      </c>
      <c r="O307">
        <f t="shared" si="41"/>
        <v>-1.5</v>
      </c>
      <c r="P307">
        <f t="shared" si="46"/>
        <v>110.10000000000001</v>
      </c>
      <c r="Q307">
        <v>268</v>
      </c>
      <c r="R307">
        <f t="shared" si="40"/>
        <v>0.93333333333333324</v>
      </c>
      <c r="S307">
        <f t="shared" si="42"/>
        <v>1.4</v>
      </c>
      <c r="T307" s="24">
        <f t="shared" si="43"/>
        <v>-1.4</v>
      </c>
      <c r="U307" s="24">
        <f t="shared" si="47"/>
        <v>41.007580645161312</v>
      </c>
      <c r="W307">
        <v>681.3</v>
      </c>
      <c r="Y307">
        <f t="shared" si="45"/>
        <v>219444.30000000002</v>
      </c>
      <c r="Z307">
        <f t="shared" si="39"/>
        <v>23907.999999999996</v>
      </c>
      <c r="AA307">
        <v>15.370002383400509</v>
      </c>
    </row>
    <row r="308" spans="1:28" x14ac:dyDescent="0.25">
      <c r="A308">
        <v>5560</v>
      </c>
      <c r="B308">
        <v>22250</v>
      </c>
      <c r="C308" s="1">
        <v>42886</v>
      </c>
      <c r="F308" s="53"/>
      <c r="G308">
        <v>19.600000000000001</v>
      </c>
      <c r="H308">
        <v>16.2</v>
      </c>
      <c r="I308">
        <v>23.7</v>
      </c>
      <c r="J308">
        <f t="shared" si="44"/>
        <v>2460.599999999999</v>
      </c>
      <c r="K308">
        <f t="shared" si="38"/>
        <v>254.2</v>
      </c>
      <c r="L308" s="18">
        <v>0</v>
      </c>
      <c r="M308">
        <v>0.9</v>
      </c>
      <c r="N308">
        <v>2.5</v>
      </c>
      <c r="O308">
        <f t="shared" si="41"/>
        <v>-1.6</v>
      </c>
      <c r="P308">
        <f t="shared" si="46"/>
        <v>108.50000000000001</v>
      </c>
      <c r="Q308">
        <v>269</v>
      </c>
      <c r="R308">
        <f t="shared" si="40"/>
        <v>0.91666666666666652</v>
      </c>
      <c r="S308">
        <f t="shared" si="42"/>
        <v>2.2916666666666661</v>
      </c>
      <c r="T308" s="24">
        <f t="shared" si="43"/>
        <v>-1.3916666666666662</v>
      </c>
      <c r="U308" s="24">
        <f t="shared" si="47"/>
        <v>39.615913978494646</v>
      </c>
      <c r="W308">
        <v>1304.8</v>
      </c>
      <c r="Y308">
        <f t="shared" si="45"/>
        <v>220749.1</v>
      </c>
      <c r="Z308">
        <f t="shared" si="39"/>
        <v>25212.799999999996</v>
      </c>
      <c r="AA308">
        <v>15.397055931934</v>
      </c>
    </row>
    <row r="309" spans="1:28" x14ac:dyDescent="0.25">
      <c r="A309">
        <v>5560</v>
      </c>
      <c r="B309">
        <v>22250</v>
      </c>
      <c r="C309" s="1">
        <v>42887</v>
      </c>
      <c r="F309" s="53"/>
      <c r="G309">
        <v>20.8</v>
      </c>
      <c r="H309">
        <v>16.2</v>
      </c>
      <c r="I309">
        <v>25.7</v>
      </c>
      <c r="J309">
        <f t="shared" si="44"/>
        <v>2481.3999999999992</v>
      </c>
      <c r="K309">
        <f t="shared" si="38"/>
        <v>275</v>
      </c>
      <c r="M309">
        <v>0</v>
      </c>
      <c r="N309">
        <v>3.5</v>
      </c>
      <c r="O309">
        <f t="shared" si="41"/>
        <v>-3.5</v>
      </c>
      <c r="P309">
        <f t="shared" si="46"/>
        <v>105.00000000000001</v>
      </c>
      <c r="Q309">
        <v>270</v>
      </c>
      <c r="R309">
        <f t="shared" si="40"/>
        <v>0.89999999999999991</v>
      </c>
      <c r="S309">
        <f t="shared" si="42"/>
        <v>3.1499999999999995</v>
      </c>
      <c r="T309" s="24">
        <f t="shared" si="43"/>
        <v>-3.1499999999999995</v>
      </c>
      <c r="U309" s="24">
        <f t="shared" si="47"/>
        <v>36.465913978494648</v>
      </c>
      <c r="W309">
        <v>1836.5</v>
      </c>
      <c r="Y309">
        <f t="shared" si="45"/>
        <v>222585.60000000001</v>
      </c>
      <c r="Z309">
        <f t="shared" si="39"/>
        <v>27049.299999999996</v>
      </c>
      <c r="AA309">
        <v>15.423015687318385</v>
      </c>
    </row>
    <row r="310" spans="1:28" x14ac:dyDescent="0.25">
      <c r="A310">
        <v>5560</v>
      </c>
      <c r="B310">
        <v>22250</v>
      </c>
      <c r="C310" s="1">
        <v>42888</v>
      </c>
      <c r="F310" s="53"/>
      <c r="G310">
        <v>22.2</v>
      </c>
      <c r="H310">
        <v>15.4</v>
      </c>
      <c r="I310">
        <v>27.4</v>
      </c>
      <c r="J310">
        <f t="shared" si="44"/>
        <v>2503.599999999999</v>
      </c>
      <c r="K310">
        <f t="shared" si="38"/>
        <v>297.2</v>
      </c>
      <c r="M310">
        <v>0.3</v>
      </c>
      <c r="N310">
        <v>4.8</v>
      </c>
      <c r="O310">
        <f t="shared" si="41"/>
        <v>-4.5</v>
      </c>
      <c r="P310">
        <f t="shared" si="46"/>
        <v>100.50000000000001</v>
      </c>
      <c r="Q310">
        <v>271</v>
      </c>
      <c r="R310">
        <f t="shared" si="40"/>
        <v>0.8833333333333333</v>
      </c>
      <c r="S310">
        <f t="shared" si="42"/>
        <v>4.2399999999999993</v>
      </c>
      <c r="T310" s="24">
        <f t="shared" si="43"/>
        <v>-3.9399999999999995</v>
      </c>
      <c r="U310" s="24">
        <f t="shared" si="47"/>
        <v>32.52591397849465</v>
      </c>
      <c r="W310">
        <v>2457.1</v>
      </c>
      <c r="Y310">
        <f t="shared" si="45"/>
        <v>225042.7</v>
      </c>
      <c r="Z310">
        <f t="shared" si="39"/>
        <v>29506.399999999994</v>
      </c>
      <c r="AA310">
        <v>15.447862206625645</v>
      </c>
    </row>
    <row r="311" spans="1:28" s="32" customFormat="1" ht="15.75" thickBot="1" x14ac:dyDescent="0.3">
      <c r="A311" s="32">
        <v>5560</v>
      </c>
      <c r="B311" s="32">
        <v>22250</v>
      </c>
      <c r="C311" s="33">
        <v>42889</v>
      </c>
      <c r="F311" s="53"/>
      <c r="G311" s="32">
        <v>16.399999999999999</v>
      </c>
      <c r="H311" s="32">
        <v>15.9</v>
      </c>
      <c r="I311" s="32">
        <v>17.8</v>
      </c>
      <c r="J311" s="32">
        <f t="shared" si="44"/>
        <v>2519.9999999999991</v>
      </c>
      <c r="K311" s="32">
        <f t="shared" si="38"/>
        <v>313.59999999999997</v>
      </c>
      <c r="L311" s="34"/>
      <c r="M311" s="32">
        <v>9.6999999999999993</v>
      </c>
      <c r="N311" s="32">
        <v>1.4</v>
      </c>
      <c r="O311" s="32">
        <f t="shared" si="41"/>
        <v>8.2999999999999989</v>
      </c>
      <c r="P311" s="32">
        <f t="shared" si="46"/>
        <v>108.80000000000001</v>
      </c>
      <c r="Q311" s="32">
        <v>272</v>
      </c>
      <c r="R311" s="3">
        <f t="shared" si="40"/>
        <v>0.86666666666666659</v>
      </c>
      <c r="S311" s="32">
        <f t="shared" si="42"/>
        <v>1.2133333333333332</v>
      </c>
      <c r="T311" s="35">
        <f t="shared" si="43"/>
        <v>8.4866666666666664</v>
      </c>
      <c r="U311" s="42">
        <f t="shared" si="47"/>
        <v>41.012580645161314</v>
      </c>
      <c r="W311" s="32">
        <v>749.9</v>
      </c>
      <c r="Y311" s="32">
        <f t="shared" si="45"/>
        <v>225792.6</v>
      </c>
      <c r="Z311" s="32">
        <f t="shared" si="39"/>
        <v>30256.299999999996</v>
      </c>
      <c r="AA311" s="32">
        <v>15.47157659309474</v>
      </c>
    </row>
    <row r="312" spans="1:28" s="39" customFormat="1" x14ac:dyDescent="0.25">
      <c r="A312" s="39">
        <v>5560</v>
      </c>
      <c r="B312" s="39">
        <v>22250</v>
      </c>
      <c r="C312" s="40">
        <v>42890</v>
      </c>
      <c r="F312" s="54" t="s">
        <v>46</v>
      </c>
      <c r="G312" s="39">
        <v>16.2</v>
      </c>
      <c r="H312" s="39">
        <v>11.8</v>
      </c>
      <c r="I312" s="39">
        <v>20.8</v>
      </c>
      <c r="J312" s="39">
        <f t="shared" si="44"/>
        <v>2536.1999999999989</v>
      </c>
      <c r="K312">
        <f>G312</f>
        <v>16.2</v>
      </c>
      <c r="L312" s="21" t="s">
        <v>38</v>
      </c>
      <c r="M312" s="39">
        <v>0</v>
      </c>
      <c r="N312" s="39">
        <v>1.7</v>
      </c>
      <c r="O312" s="39">
        <f t="shared" si="41"/>
        <v>-1.7</v>
      </c>
      <c r="P312" s="39">
        <f t="shared" si="46"/>
        <v>107.10000000000001</v>
      </c>
      <c r="Q312" s="39">
        <v>273</v>
      </c>
      <c r="R312">
        <f t="shared" si="40"/>
        <v>0.84999999999999987</v>
      </c>
      <c r="S312" s="39">
        <f t="shared" si="42"/>
        <v>1.4449999999999998</v>
      </c>
      <c r="T312" s="41">
        <f t="shared" si="43"/>
        <v>-1.4449999999999998</v>
      </c>
      <c r="U312" s="24">
        <f t="shared" si="47"/>
        <v>39.567580645161314</v>
      </c>
      <c r="V312" s="31" t="s">
        <v>53</v>
      </c>
      <c r="W312" s="39">
        <v>1138.9000000000001</v>
      </c>
      <c r="Y312" s="39">
        <f t="shared" si="45"/>
        <v>226931.5</v>
      </c>
      <c r="Z312">
        <f>W312</f>
        <v>1138.9000000000001</v>
      </c>
      <c r="AA312" s="39">
        <v>15.494140544760931</v>
      </c>
      <c r="AB312" s="31" t="s">
        <v>58</v>
      </c>
    </row>
    <row r="313" spans="1:28" ht="15" customHeight="1" x14ac:dyDescent="0.25">
      <c r="A313">
        <v>5560</v>
      </c>
      <c r="B313">
        <v>22250</v>
      </c>
      <c r="C313" s="1">
        <v>42891</v>
      </c>
      <c r="F313" s="54"/>
      <c r="G313">
        <v>17.100000000000001</v>
      </c>
      <c r="H313">
        <v>12.6</v>
      </c>
      <c r="I313">
        <v>21.3</v>
      </c>
      <c r="J313">
        <f t="shared" si="44"/>
        <v>2553.2999999999988</v>
      </c>
      <c r="K313">
        <f t="shared" si="38"/>
        <v>33.299999999999997</v>
      </c>
      <c r="L313" s="12">
        <v>405.9</v>
      </c>
      <c r="M313">
        <v>8.3000000000000007</v>
      </c>
      <c r="N313">
        <v>3.4</v>
      </c>
      <c r="O313">
        <f t="shared" si="41"/>
        <v>4.9000000000000004</v>
      </c>
      <c r="P313">
        <f t="shared" si="46"/>
        <v>112.00000000000001</v>
      </c>
      <c r="Q313">
        <v>274</v>
      </c>
      <c r="R313">
        <f t="shared" si="40"/>
        <v>0.83333333333333326</v>
      </c>
      <c r="S313">
        <f t="shared" si="42"/>
        <v>2.833333333333333</v>
      </c>
      <c r="T313" s="24">
        <f t="shared" si="43"/>
        <v>5.4666666666666677</v>
      </c>
      <c r="U313" s="24">
        <f t="shared" si="47"/>
        <v>45.034247311827983</v>
      </c>
      <c r="V313">
        <v>1</v>
      </c>
      <c r="W313">
        <v>1769.7</v>
      </c>
      <c r="Y313">
        <f t="shared" si="45"/>
        <v>228701.2</v>
      </c>
      <c r="Z313">
        <f t="shared" si="39"/>
        <v>2908.6000000000004</v>
      </c>
      <c r="AA313">
        <v>15.515536402718189</v>
      </c>
      <c r="AB313">
        <v>40835.699999999997</v>
      </c>
    </row>
    <row r="314" spans="1:28" x14ac:dyDescent="0.25">
      <c r="A314">
        <v>5560</v>
      </c>
      <c r="B314">
        <v>22250</v>
      </c>
      <c r="C314" s="1">
        <v>42892</v>
      </c>
      <c r="F314" s="54"/>
      <c r="G314">
        <v>13.5</v>
      </c>
      <c r="H314">
        <v>12</v>
      </c>
      <c r="I314">
        <v>17</v>
      </c>
      <c r="J314">
        <f t="shared" si="44"/>
        <v>2566.7999999999988</v>
      </c>
      <c r="K314">
        <f t="shared" si="38"/>
        <v>46.8</v>
      </c>
      <c r="L314" s="21" t="s">
        <v>39</v>
      </c>
      <c r="M314">
        <v>2.8</v>
      </c>
      <c r="N314">
        <v>4.0999999999999996</v>
      </c>
      <c r="O314">
        <f t="shared" si="41"/>
        <v>-1.2999999999999998</v>
      </c>
      <c r="P314">
        <f t="shared" si="46"/>
        <v>110.70000000000002</v>
      </c>
      <c r="Q314">
        <v>275</v>
      </c>
      <c r="R314">
        <f t="shared" si="40"/>
        <v>0.81666666666666665</v>
      </c>
      <c r="S314">
        <f t="shared" si="42"/>
        <v>3.3483333333333332</v>
      </c>
      <c r="T314" s="24">
        <f t="shared" si="43"/>
        <v>-0.54833333333333334</v>
      </c>
      <c r="U314" s="24">
        <f t="shared" si="47"/>
        <v>44.485913978494651</v>
      </c>
      <c r="V314" s="31" t="s">
        <v>54</v>
      </c>
      <c r="W314">
        <v>2450.5</v>
      </c>
      <c r="Y314">
        <f t="shared" si="45"/>
        <v>231151.7</v>
      </c>
      <c r="Z314">
        <f t="shared" si="39"/>
        <v>5359.1</v>
      </c>
      <c r="AA314">
        <v>15.535747198772134</v>
      </c>
      <c r="AB314" s="31" t="s">
        <v>59</v>
      </c>
    </row>
    <row r="315" spans="1:28" x14ac:dyDescent="0.25">
      <c r="A315">
        <v>5560</v>
      </c>
      <c r="B315">
        <v>22250</v>
      </c>
      <c r="C315" s="1">
        <v>42893</v>
      </c>
      <c r="F315" s="54"/>
      <c r="G315">
        <v>15</v>
      </c>
      <c r="H315">
        <v>10.1</v>
      </c>
      <c r="I315">
        <v>19.7</v>
      </c>
      <c r="J315">
        <f t="shared" si="44"/>
        <v>2581.7999999999988</v>
      </c>
      <c r="K315">
        <f t="shared" si="38"/>
        <v>61.8</v>
      </c>
      <c r="L315" s="12">
        <f>AVERAGE(G312:G330)</f>
        <v>21.363157894736844</v>
      </c>
      <c r="M315">
        <v>0</v>
      </c>
      <c r="N315">
        <v>3.4</v>
      </c>
      <c r="O315">
        <f t="shared" si="41"/>
        <v>-3.4</v>
      </c>
      <c r="P315">
        <f t="shared" si="46"/>
        <v>107.30000000000001</v>
      </c>
      <c r="Q315">
        <v>276</v>
      </c>
      <c r="R315">
        <f t="shared" si="40"/>
        <v>0.79999999999999993</v>
      </c>
      <c r="S315">
        <f t="shared" si="42"/>
        <v>2.7199999999999998</v>
      </c>
      <c r="T315" s="24">
        <f t="shared" si="43"/>
        <v>-2.7199999999999998</v>
      </c>
      <c r="U315" s="24">
        <f t="shared" si="47"/>
        <v>41.765913978494652</v>
      </c>
      <c r="V315">
        <v>14</v>
      </c>
      <c r="W315">
        <v>2102</v>
      </c>
      <c r="Y315">
        <f t="shared" si="45"/>
        <v>233253.7</v>
      </c>
      <c r="Z315">
        <f t="shared" si="39"/>
        <v>7461.1</v>
      </c>
      <c r="AA315">
        <v>15.554756702234952</v>
      </c>
      <c r="AB315">
        <f>(AB313/100)/L313</f>
        <v>1.0060532150776054</v>
      </c>
    </row>
    <row r="316" spans="1:28" x14ac:dyDescent="0.25">
      <c r="A316">
        <v>5560</v>
      </c>
      <c r="B316">
        <v>22250</v>
      </c>
      <c r="C316" s="1">
        <v>42894</v>
      </c>
      <c r="F316" s="54"/>
      <c r="G316">
        <v>20.100000000000001</v>
      </c>
      <c r="H316">
        <v>10.8</v>
      </c>
      <c r="I316">
        <v>26.1</v>
      </c>
      <c r="J316">
        <f t="shared" si="44"/>
        <v>2601.8999999999987</v>
      </c>
      <c r="K316">
        <f t="shared" si="38"/>
        <v>81.900000000000006</v>
      </c>
      <c r="L316" s="21" t="s">
        <v>40</v>
      </c>
      <c r="M316">
        <v>3.1</v>
      </c>
      <c r="N316">
        <v>4.5</v>
      </c>
      <c r="O316">
        <f t="shared" si="41"/>
        <v>-1.4</v>
      </c>
      <c r="P316">
        <f t="shared" si="46"/>
        <v>105.9</v>
      </c>
      <c r="Q316">
        <v>277</v>
      </c>
      <c r="R316">
        <f t="shared" si="40"/>
        <v>0.78333333333333321</v>
      </c>
      <c r="S316">
        <f t="shared" si="42"/>
        <v>3.5249999999999995</v>
      </c>
      <c r="T316" s="24">
        <f t="shared" si="43"/>
        <v>-0.42499999999999938</v>
      </c>
      <c r="U316" s="24">
        <f t="shared" si="47"/>
        <v>41.340913978494655</v>
      </c>
      <c r="V316" s="31" t="s">
        <v>55</v>
      </c>
      <c r="W316">
        <v>2396.6</v>
      </c>
      <c r="Y316">
        <f t="shared" si="45"/>
        <v>235650.30000000002</v>
      </c>
      <c r="Z316">
        <f t="shared" si="39"/>
        <v>9857.7000000000007</v>
      </c>
      <c r="AA316">
        <v>15.572549465609704</v>
      </c>
      <c r="AB316" s="31" t="s">
        <v>60</v>
      </c>
    </row>
    <row r="317" spans="1:28" x14ac:dyDescent="0.25">
      <c r="A317">
        <v>5560</v>
      </c>
      <c r="B317">
        <v>22250</v>
      </c>
      <c r="C317" s="1">
        <v>42895</v>
      </c>
      <c r="F317" s="54"/>
      <c r="G317">
        <v>18.899999999999999</v>
      </c>
      <c r="H317">
        <v>16.5</v>
      </c>
      <c r="I317">
        <v>21.7</v>
      </c>
      <c r="J317">
        <f t="shared" si="44"/>
        <v>2620.7999999999988</v>
      </c>
      <c r="K317">
        <f t="shared" si="38"/>
        <v>100.80000000000001</v>
      </c>
      <c r="L317" s="12">
        <f>MIN(H312:H330)</f>
        <v>10.1</v>
      </c>
      <c r="M317">
        <v>0</v>
      </c>
      <c r="N317">
        <v>2.1</v>
      </c>
      <c r="O317">
        <f t="shared" si="41"/>
        <v>-2.1</v>
      </c>
      <c r="P317">
        <f t="shared" si="46"/>
        <v>103.80000000000001</v>
      </c>
      <c r="Q317">
        <v>278</v>
      </c>
      <c r="R317">
        <f t="shared" si="40"/>
        <v>0.76666666666666661</v>
      </c>
      <c r="S317">
        <f t="shared" si="42"/>
        <v>1.6099999999999999</v>
      </c>
      <c r="T317" s="24">
        <f t="shared" si="43"/>
        <v>-1.6099999999999999</v>
      </c>
      <c r="U317" s="24">
        <f t="shared" si="47"/>
        <v>39.730913978494655</v>
      </c>
      <c r="V317">
        <v>0</v>
      </c>
      <c r="W317">
        <v>931.3</v>
      </c>
      <c r="Y317">
        <f t="shared" si="45"/>
        <v>236581.6</v>
      </c>
      <c r="Z317">
        <f t="shared" si="39"/>
        <v>10789</v>
      </c>
      <c r="AA317">
        <v>15.589110868909371</v>
      </c>
      <c r="AB317">
        <v>0</v>
      </c>
    </row>
    <row r="318" spans="1:28" x14ac:dyDescent="0.25">
      <c r="A318">
        <v>5560</v>
      </c>
      <c r="B318">
        <v>22250</v>
      </c>
      <c r="C318" s="1">
        <v>42896</v>
      </c>
      <c r="F318" s="54"/>
      <c r="G318">
        <v>20.5</v>
      </c>
      <c r="H318">
        <v>14.5</v>
      </c>
      <c r="I318">
        <v>27.6</v>
      </c>
      <c r="J318">
        <f t="shared" si="44"/>
        <v>2641.2999999999988</v>
      </c>
      <c r="K318">
        <f t="shared" ref="K318:K342" si="48">K317+G318</f>
        <v>121.30000000000001</v>
      </c>
      <c r="L318" s="21" t="s">
        <v>41</v>
      </c>
      <c r="M318">
        <v>0</v>
      </c>
      <c r="N318">
        <v>5.4</v>
      </c>
      <c r="O318">
        <f t="shared" si="41"/>
        <v>-5.4</v>
      </c>
      <c r="P318">
        <f t="shared" si="46"/>
        <v>98.4</v>
      </c>
      <c r="Q318">
        <v>279</v>
      </c>
      <c r="R318">
        <f t="shared" si="40"/>
        <v>0.75</v>
      </c>
      <c r="S318">
        <f t="shared" si="42"/>
        <v>4.0500000000000007</v>
      </c>
      <c r="T318" s="24">
        <f t="shared" si="43"/>
        <v>-4.0500000000000007</v>
      </c>
      <c r="U318" s="24">
        <f t="shared" si="47"/>
        <v>35.680913978494658</v>
      </c>
      <c r="V318" s="31" t="s">
        <v>56</v>
      </c>
      <c r="W318">
        <v>2542.8000000000002</v>
      </c>
      <c r="Y318">
        <f t="shared" si="45"/>
        <v>239124.4</v>
      </c>
      <c r="Z318">
        <f t="shared" ref="Z318:Z342" si="49">Z317+W318</f>
        <v>13331.8</v>
      </c>
      <c r="AA318">
        <v>15.604427162356345</v>
      </c>
    </row>
    <row r="319" spans="1:28" x14ac:dyDescent="0.25">
      <c r="A319">
        <v>5560</v>
      </c>
      <c r="B319">
        <v>22250</v>
      </c>
      <c r="C319" s="1">
        <v>42897</v>
      </c>
      <c r="F319" s="54"/>
      <c r="G319">
        <v>23.3</v>
      </c>
      <c r="H319">
        <v>14.5</v>
      </c>
      <c r="I319">
        <v>29.5</v>
      </c>
      <c r="J319">
        <f t="shared" si="44"/>
        <v>2664.599999999999</v>
      </c>
      <c r="K319">
        <f t="shared" si="48"/>
        <v>144.60000000000002</v>
      </c>
      <c r="L319" s="12">
        <f>MAX(I312:I330)</f>
        <v>35.700000000000003</v>
      </c>
      <c r="M319">
        <v>0</v>
      </c>
      <c r="N319">
        <v>4.3</v>
      </c>
      <c r="O319">
        <f t="shared" si="41"/>
        <v>-4.3</v>
      </c>
      <c r="P319">
        <f t="shared" si="46"/>
        <v>94.100000000000009</v>
      </c>
      <c r="Q319">
        <v>280</v>
      </c>
      <c r="R319">
        <f t="shared" si="40"/>
        <v>0.73333333333333317</v>
      </c>
      <c r="S319">
        <f t="shared" si="42"/>
        <v>3.1533333333333324</v>
      </c>
      <c r="T319" s="24">
        <f t="shared" si="43"/>
        <v>-3.1533333333333324</v>
      </c>
      <c r="U319" s="24">
        <f t="shared" si="47"/>
        <v>32.527580645161322</v>
      </c>
      <c r="V319" s="24">
        <f>MAX(U312:U330)</f>
        <v>45.034247311827983</v>
      </c>
      <c r="W319">
        <v>1952.7</v>
      </c>
      <c r="Y319">
        <f t="shared" si="45"/>
        <v>241077.1</v>
      </c>
      <c r="Z319">
        <f t="shared" si="49"/>
        <v>15284.5</v>
      </c>
      <c r="AA319">
        <v>15.618485507210513</v>
      </c>
    </row>
    <row r="320" spans="1:28" x14ac:dyDescent="0.25">
      <c r="A320">
        <v>5560</v>
      </c>
      <c r="B320">
        <v>22250</v>
      </c>
      <c r="C320" s="1">
        <v>42898</v>
      </c>
      <c r="F320" s="54"/>
      <c r="G320">
        <v>19.8</v>
      </c>
      <c r="H320">
        <v>16.8</v>
      </c>
      <c r="I320">
        <v>23.7</v>
      </c>
      <c r="J320">
        <f t="shared" si="44"/>
        <v>2684.3999999999992</v>
      </c>
      <c r="K320">
        <f t="shared" si="48"/>
        <v>164.40000000000003</v>
      </c>
      <c r="L320" s="21" t="s">
        <v>42</v>
      </c>
      <c r="M320">
        <v>0</v>
      </c>
      <c r="N320">
        <v>4.9000000000000004</v>
      </c>
      <c r="O320">
        <f t="shared" si="41"/>
        <v>-4.9000000000000004</v>
      </c>
      <c r="P320">
        <f t="shared" si="46"/>
        <v>89.2</v>
      </c>
      <c r="Q320">
        <v>281</v>
      </c>
      <c r="R320">
        <f t="shared" si="40"/>
        <v>0.71666666666666656</v>
      </c>
      <c r="S320">
        <f t="shared" si="42"/>
        <v>3.5116666666666663</v>
      </c>
      <c r="T320" s="24">
        <f t="shared" si="43"/>
        <v>-3.5116666666666663</v>
      </c>
      <c r="U320" s="24">
        <f t="shared" si="47"/>
        <v>29.015913978494655</v>
      </c>
      <c r="V320" s="31" t="s">
        <v>57</v>
      </c>
      <c r="W320">
        <v>2354.9</v>
      </c>
      <c r="Y320">
        <f t="shared" si="45"/>
        <v>243432</v>
      </c>
      <c r="Z320">
        <f t="shared" si="49"/>
        <v>17639.400000000001</v>
      </c>
      <c r="AA320">
        <v>15.631274014479123</v>
      </c>
    </row>
    <row r="321" spans="1:27" x14ac:dyDescent="0.25">
      <c r="A321">
        <v>5560</v>
      </c>
      <c r="B321">
        <v>22250</v>
      </c>
      <c r="C321" s="1">
        <v>42899</v>
      </c>
      <c r="F321" s="54"/>
      <c r="G321">
        <v>19.899999999999999</v>
      </c>
      <c r="H321">
        <v>13.7</v>
      </c>
      <c r="I321">
        <v>25.3</v>
      </c>
      <c r="J321">
        <f t="shared" si="44"/>
        <v>2704.2999999999993</v>
      </c>
      <c r="K321">
        <f t="shared" si="48"/>
        <v>184.30000000000004</v>
      </c>
      <c r="L321" s="12">
        <v>12</v>
      </c>
      <c r="M321">
        <v>0.2</v>
      </c>
      <c r="N321">
        <v>3.3</v>
      </c>
      <c r="O321">
        <f t="shared" si="41"/>
        <v>-3.0999999999999996</v>
      </c>
      <c r="P321">
        <f t="shared" si="46"/>
        <v>86.100000000000009</v>
      </c>
      <c r="Q321">
        <v>282</v>
      </c>
      <c r="R321">
        <f t="shared" si="40"/>
        <v>0.7</v>
      </c>
      <c r="S321">
        <f t="shared" si="42"/>
        <v>2.3099999999999996</v>
      </c>
      <c r="T321" s="24">
        <f t="shared" si="43"/>
        <v>-2.1099999999999994</v>
      </c>
      <c r="U321" s="24">
        <f t="shared" si="47"/>
        <v>26.905913978494656</v>
      </c>
      <c r="V321" s="24">
        <f>AVERAGE(U312:U330)</f>
        <v>25.197883418223004</v>
      </c>
      <c r="W321">
        <v>1373.6</v>
      </c>
      <c r="Y321">
        <f t="shared" si="45"/>
        <v>244805.6</v>
      </c>
      <c r="Z321">
        <f t="shared" si="49"/>
        <v>19013</v>
      </c>
      <c r="AA321">
        <v>15.642781781269052</v>
      </c>
    </row>
    <row r="322" spans="1:27" x14ac:dyDescent="0.25">
      <c r="A322">
        <v>5560</v>
      </c>
      <c r="B322">
        <v>22250</v>
      </c>
      <c r="C322" s="1">
        <v>42900</v>
      </c>
      <c r="F322" s="54"/>
      <c r="G322">
        <v>22.6</v>
      </c>
      <c r="H322">
        <v>17.899999999999999</v>
      </c>
      <c r="I322">
        <v>29</v>
      </c>
      <c r="J322">
        <f t="shared" si="44"/>
        <v>2726.8999999999992</v>
      </c>
      <c r="K322">
        <f t="shared" si="48"/>
        <v>206.90000000000003</v>
      </c>
      <c r="L322" s="21" t="s">
        <v>43</v>
      </c>
      <c r="M322">
        <v>0</v>
      </c>
      <c r="N322">
        <v>3.8</v>
      </c>
      <c r="O322">
        <f t="shared" si="41"/>
        <v>-3.8</v>
      </c>
      <c r="P322">
        <f t="shared" si="46"/>
        <v>82.300000000000011</v>
      </c>
      <c r="Q322">
        <v>283</v>
      </c>
      <c r="R322">
        <f t="shared" si="40"/>
        <v>0.68333333333333324</v>
      </c>
      <c r="S322">
        <f t="shared" si="42"/>
        <v>2.5966666666666662</v>
      </c>
      <c r="T322" s="24">
        <f t="shared" si="43"/>
        <v>-2.5966666666666662</v>
      </c>
      <c r="U322" s="24">
        <f t="shared" si="47"/>
        <v>24.309247311827988</v>
      </c>
      <c r="W322">
        <v>1984.4</v>
      </c>
      <c r="Y322">
        <f t="shared" si="45"/>
        <v>246790</v>
      </c>
      <c r="Z322">
        <f t="shared" si="49"/>
        <v>20997.4</v>
      </c>
      <c r="AA322">
        <v>15.652998924551973</v>
      </c>
    </row>
    <row r="323" spans="1:27" x14ac:dyDescent="0.25">
      <c r="A323">
        <v>5560</v>
      </c>
      <c r="B323">
        <v>22250</v>
      </c>
      <c r="C323" s="1">
        <v>42901</v>
      </c>
      <c r="F323" s="54"/>
      <c r="G323">
        <v>23.4</v>
      </c>
      <c r="H323">
        <v>17.2</v>
      </c>
      <c r="I323">
        <v>29.3</v>
      </c>
      <c r="J323">
        <f t="shared" si="44"/>
        <v>2750.2999999999993</v>
      </c>
      <c r="K323">
        <f t="shared" si="48"/>
        <v>230.30000000000004</v>
      </c>
      <c r="L323" s="12">
        <v>0</v>
      </c>
      <c r="M323">
        <v>0</v>
      </c>
      <c r="N323">
        <v>5</v>
      </c>
      <c r="O323">
        <f t="shared" si="41"/>
        <v>-5</v>
      </c>
      <c r="P323">
        <f t="shared" si="46"/>
        <v>77.300000000000011</v>
      </c>
      <c r="Q323">
        <v>284</v>
      </c>
      <c r="R323">
        <f t="shared" si="40"/>
        <v>0.66666666666666663</v>
      </c>
      <c r="S323">
        <f t="shared" si="42"/>
        <v>3.333333333333333</v>
      </c>
      <c r="T323" s="24">
        <f t="shared" si="43"/>
        <v>-3.333333333333333</v>
      </c>
      <c r="U323" s="24">
        <f t="shared" si="47"/>
        <v>20.975913978494656</v>
      </c>
      <c r="V323">
        <f>(V321*100)/122.1</f>
        <v>20.637087156611798</v>
      </c>
      <c r="W323">
        <v>1990.1</v>
      </c>
      <c r="Y323">
        <f t="shared" si="45"/>
        <v>248780.1</v>
      </c>
      <c r="Z323">
        <f t="shared" si="49"/>
        <v>22987.5</v>
      </c>
      <c r="AA323">
        <v>15.661916612125191</v>
      </c>
    </row>
    <row r="324" spans="1:27" x14ac:dyDescent="0.25">
      <c r="A324">
        <v>5560</v>
      </c>
      <c r="B324">
        <v>22250</v>
      </c>
      <c r="C324" s="1">
        <v>42902</v>
      </c>
      <c r="F324" s="54"/>
      <c r="G324">
        <v>19.8</v>
      </c>
      <c r="H324">
        <v>16</v>
      </c>
      <c r="I324">
        <v>24.1</v>
      </c>
      <c r="J324">
        <f t="shared" si="44"/>
        <v>2770.0999999999995</v>
      </c>
      <c r="K324">
        <f t="shared" si="48"/>
        <v>250.10000000000005</v>
      </c>
      <c r="L324" s="21" t="s">
        <v>44</v>
      </c>
      <c r="M324">
        <v>0</v>
      </c>
      <c r="N324">
        <v>4.8</v>
      </c>
      <c r="O324">
        <f t="shared" si="41"/>
        <v>-4.8</v>
      </c>
      <c r="P324">
        <f t="shared" si="46"/>
        <v>72.500000000000014</v>
      </c>
      <c r="Q324">
        <v>285</v>
      </c>
      <c r="R324">
        <f t="shared" si="40"/>
        <v>0.64999999999999991</v>
      </c>
      <c r="S324">
        <f t="shared" si="42"/>
        <v>3.1199999999999997</v>
      </c>
      <c r="T324" s="24">
        <f t="shared" si="43"/>
        <v>-3.1199999999999997</v>
      </c>
      <c r="U324" s="24">
        <f t="shared" si="47"/>
        <v>17.855913978494655</v>
      </c>
      <c r="W324">
        <v>1966.1</v>
      </c>
      <c r="Y324">
        <f t="shared" si="45"/>
        <v>250746.2</v>
      </c>
      <c r="Z324">
        <f t="shared" si="49"/>
        <v>24953.599999999999</v>
      </c>
      <c r="AA324">
        <v>15.669527090565696</v>
      </c>
    </row>
    <row r="325" spans="1:27" x14ac:dyDescent="0.25">
      <c r="A325">
        <v>5560</v>
      </c>
      <c r="B325">
        <v>22250</v>
      </c>
      <c r="C325" s="1">
        <v>42903</v>
      </c>
      <c r="F325" s="54"/>
      <c r="G325">
        <v>21</v>
      </c>
      <c r="H325">
        <v>14.4</v>
      </c>
      <c r="I325">
        <v>26.1</v>
      </c>
      <c r="J325">
        <f t="shared" si="44"/>
        <v>2791.0999999999995</v>
      </c>
      <c r="K325">
        <f t="shared" si="48"/>
        <v>271.10000000000002</v>
      </c>
      <c r="L325" s="12">
        <v>0</v>
      </c>
      <c r="M325">
        <v>0</v>
      </c>
      <c r="N325">
        <v>6.2</v>
      </c>
      <c r="O325">
        <f t="shared" si="41"/>
        <v>-6.2</v>
      </c>
      <c r="P325">
        <f t="shared" si="46"/>
        <v>66.300000000000011</v>
      </c>
      <c r="Q325">
        <v>286</v>
      </c>
      <c r="R325">
        <f t="shared" si="40"/>
        <v>0.6333333333333333</v>
      </c>
      <c r="S325">
        <f t="shared" si="42"/>
        <v>3.9266666666666667</v>
      </c>
      <c r="T325" s="24">
        <f t="shared" si="43"/>
        <v>-3.9266666666666667</v>
      </c>
      <c r="U325" s="24">
        <f t="shared" si="47"/>
        <v>13.929247311827989</v>
      </c>
      <c r="W325">
        <v>2807.7</v>
      </c>
      <c r="Y325">
        <f t="shared" si="45"/>
        <v>253553.90000000002</v>
      </c>
      <c r="Z325">
        <f t="shared" si="49"/>
        <v>27761.3</v>
      </c>
      <c r="AA325">
        <v>15.675823709991835</v>
      </c>
    </row>
    <row r="326" spans="1:27" x14ac:dyDescent="0.25">
      <c r="A326">
        <v>5560</v>
      </c>
      <c r="B326">
        <v>22250</v>
      </c>
      <c r="C326" s="1">
        <v>42904</v>
      </c>
      <c r="F326" s="54"/>
      <c r="G326">
        <v>23.9</v>
      </c>
      <c r="H326">
        <v>17.2</v>
      </c>
      <c r="I326">
        <v>29.4</v>
      </c>
      <c r="J326">
        <f t="shared" si="44"/>
        <v>2814.9999999999995</v>
      </c>
      <c r="K326">
        <f t="shared" si="48"/>
        <v>295</v>
      </c>
      <c r="M326">
        <v>0</v>
      </c>
      <c r="N326">
        <v>7.1</v>
      </c>
      <c r="O326">
        <f t="shared" si="41"/>
        <v>-7.1</v>
      </c>
      <c r="P326">
        <f t="shared" si="46"/>
        <v>59.20000000000001</v>
      </c>
      <c r="Q326">
        <v>287</v>
      </c>
      <c r="R326">
        <f t="shared" si="40"/>
        <v>0.6166666666666667</v>
      </c>
      <c r="S326">
        <f t="shared" si="42"/>
        <v>4.378333333333333</v>
      </c>
      <c r="T326" s="24">
        <f t="shared" si="43"/>
        <v>-4.378333333333333</v>
      </c>
      <c r="U326" s="24">
        <f t="shared" si="47"/>
        <v>9.5509139784946555</v>
      </c>
      <c r="W326">
        <v>2802.3</v>
      </c>
      <c r="Y326">
        <f t="shared" si="45"/>
        <v>256356.2</v>
      </c>
      <c r="Z326">
        <f t="shared" si="49"/>
        <v>30563.599999999999</v>
      </c>
      <c r="AA326">
        <v>15.6808009454661</v>
      </c>
    </row>
    <row r="327" spans="1:27" x14ac:dyDescent="0.25">
      <c r="A327">
        <v>5560</v>
      </c>
      <c r="B327">
        <v>22250</v>
      </c>
      <c r="C327" s="1">
        <v>42905</v>
      </c>
      <c r="F327" s="54"/>
      <c r="G327">
        <v>26.7</v>
      </c>
      <c r="H327">
        <v>18.399999999999999</v>
      </c>
      <c r="I327">
        <v>33.700000000000003</v>
      </c>
      <c r="J327">
        <f t="shared" si="44"/>
        <v>2841.6999999999994</v>
      </c>
      <c r="K327">
        <f t="shared" si="48"/>
        <v>321.7</v>
      </c>
      <c r="M327">
        <v>0</v>
      </c>
      <c r="N327">
        <v>7.2</v>
      </c>
      <c r="O327">
        <f t="shared" si="41"/>
        <v>-7.2</v>
      </c>
      <c r="P327">
        <f t="shared" si="46"/>
        <v>52.000000000000007</v>
      </c>
      <c r="Q327">
        <v>288</v>
      </c>
      <c r="R327">
        <f t="shared" si="40"/>
        <v>0.6</v>
      </c>
      <c r="S327">
        <f t="shared" si="42"/>
        <v>4.32</v>
      </c>
      <c r="T327" s="24">
        <f t="shared" si="43"/>
        <v>-4.32</v>
      </c>
      <c r="U327" s="24">
        <f t="shared" si="47"/>
        <v>5.2309139784946552</v>
      </c>
      <c r="W327">
        <v>2724.5</v>
      </c>
      <c r="Y327">
        <f t="shared" si="45"/>
        <v>259080.7</v>
      </c>
      <c r="Z327">
        <f t="shared" si="49"/>
        <v>33288.1</v>
      </c>
      <c r="AA327">
        <v>15.684454414893498</v>
      </c>
    </row>
    <row r="328" spans="1:27" x14ac:dyDescent="0.25">
      <c r="A328">
        <v>5560</v>
      </c>
      <c r="B328">
        <v>22250</v>
      </c>
      <c r="C328" s="1">
        <v>42906</v>
      </c>
      <c r="F328" s="54"/>
      <c r="G328">
        <v>27.3</v>
      </c>
      <c r="H328">
        <v>20.2</v>
      </c>
      <c r="I328">
        <v>34.700000000000003</v>
      </c>
      <c r="J328">
        <f t="shared" si="44"/>
        <v>2868.9999999999995</v>
      </c>
      <c r="K328">
        <f t="shared" si="48"/>
        <v>349</v>
      </c>
      <c r="M328">
        <v>6</v>
      </c>
      <c r="N328">
        <v>6.6</v>
      </c>
      <c r="O328">
        <f t="shared" si="41"/>
        <v>-0.59999999999999964</v>
      </c>
      <c r="P328">
        <f t="shared" si="46"/>
        <v>51.400000000000006</v>
      </c>
      <c r="Q328">
        <v>289</v>
      </c>
      <c r="R328">
        <f t="shared" si="40"/>
        <v>0.58333333333333326</v>
      </c>
      <c r="S328">
        <f t="shared" si="42"/>
        <v>3.8499999999999992</v>
      </c>
      <c r="T328" s="24">
        <f t="shared" si="43"/>
        <v>2.1500000000000008</v>
      </c>
      <c r="U328" s="24">
        <f t="shared" si="47"/>
        <v>7.3809139784946556</v>
      </c>
      <c r="W328">
        <v>2478</v>
      </c>
      <c r="Y328">
        <f t="shared" si="45"/>
        <v>261558.7</v>
      </c>
      <c r="Z328">
        <f t="shared" si="49"/>
        <v>35766.1</v>
      </c>
      <c r="AA328">
        <v>15.68678089329268</v>
      </c>
    </row>
    <row r="329" spans="1:27" x14ac:dyDescent="0.25">
      <c r="A329">
        <v>5560</v>
      </c>
      <c r="B329">
        <v>22250</v>
      </c>
      <c r="C329" s="1">
        <v>42907</v>
      </c>
      <c r="F329" s="54"/>
      <c r="G329">
        <v>28.8</v>
      </c>
      <c r="H329">
        <v>20.9</v>
      </c>
      <c r="I329">
        <v>35.700000000000003</v>
      </c>
      <c r="J329">
        <f t="shared" si="44"/>
        <v>2897.7999999999997</v>
      </c>
      <c r="K329">
        <f t="shared" si="48"/>
        <v>377.8</v>
      </c>
      <c r="M329">
        <v>0</v>
      </c>
      <c r="N329">
        <v>6.9</v>
      </c>
      <c r="O329">
        <f t="shared" si="41"/>
        <v>-6.9</v>
      </c>
      <c r="P329">
        <f t="shared" si="46"/>
        <v>44.500000000000007</v>
      </c>
      <c r="Q329">
        <v>290</v>
      </c>
      <c r="R329">
        <f t="shared" si="40"/>
        <v>0.56666666666666665</v>
      </c>
      <c r="S329">
        <f t="shared" si="42"/>
        <v>3.91</v>
      </c>
      <c r="T329" s="24">
        <f t="shared" si="43"/>
        <v>-3.91</v>
      </c>
      <c r="U329" s="24">
        <f t="shared" si="47"/>
        <v>3.4709139784946554</v>
      </c>
      <c r="W329">
        <v>2495.8000000000002</v>
      </c>
      <c r="Y329">
        <f t="shared" si="45"/>
        <v>264054.5</v>
      </c>
      <c r="Z329">
        <f t="shared" si="49"/>
        <v>38261.9</v>
      </c>
      <c r="AA329">
        <v>15.687778323341121</v>
      </c>
    </row>
    <row r="330" spans="1:27" s="32" customFormat="1" ht="15.75" thickBot="1" x14ac:dyDescent="0.3">
      <c r="A330" s="32">
        <v>5560</v>
      </c>
      <c r="B330" s="32">
        <v>22250</v>
      </c>
      <c r="C330" s="33">
        <v>42908</v>
      </c>
      <c r="F330" s="54"/>
      <c r="G330" s="32">
        <v>28.1</v>
      </c>
      <c r="H330" s="32">
        <v>21.6</v>
      </c>
      <c r="I330" s="32">
        <v>33.9</v>
      </c>
      <c r="J330" s="32">
        <f t="shared" si="44"/>
        <v>2925.8999999999996</v>
      </c>
      <c r="K330" s="32">
        <f t="shared" si="48"/>
        <v>405.90000000000003</v>
      </c>
      <c r="L330" s="34"/>
      <c r="M330" s="32">
        <v>0</v>
      </c>
      <c r="N330" s="32">
        <v>8.3000000000000007</v>
      </c>
      <c r="O330" s="32">
        <f t="shared" si="41"/>
        <v>-8.3000000000000007</v>
      </c>
      <c r="P330" s="32">
        <f t="shared" si="46"/>
        <v>36.200000000000003</v>
      </c>
      <c r="Q330" s="32">
        <v>291</v>
      </c>
      <c r="R330">
        <f t="shared" si="40"/>
        <v>0.54999999999999993</v>
      </c>
      <c r="S330" s="32">
        <f t="shared" si="42"/>
        <v>4.5649999999999995</v>
      </c>
      <c r="T330" s="35">
        <f t="shared" si="43"/>
        <v>-4.5649999999999995</v>
      </c>
      <c r="U330" s="24">
        <v>0</v>
      </c>
      <c r="W330" s="32">
        <v>2573.8000000000002</v>
      </c>
      <c r="Y330" s="32">
        <f t="shared" si="45"/>
        <v>266628.3</v>
      </c>
      <c r="Z330" s="32">
        <f t="shared" si="49"/>
        <v>40835.700000000004</v>
      </c>
      <c r="AA330" s="32">
        <v>15.687445822121051</v>
      </c>
    </row>
    <row r="331" spans="1:27" s="39" customFormat="1" x14ac:dyDescent="0.25">
      <c r="A331" s="39">
        <v>5560</v>
      </c>
      <c r="B331" s="39">
        <v>22250</v>
      </c>
      <c r="C331" s="40">
        <v>42909</v>
      </c>
      <c r="D331" s="47" t="s">
        <v>45</v>
      </c>
      <c r="E331" s="47"/>
      <c r="F331" s="47"/>
      <c r="G331" s="39">
        <v>21.6</v>
      </c>
      <c r="H331" s="39">
        <v>18.899999999999999</v>
      </c>
      <c r="I331" s="39">
        <v>25.2</v>
      </c>
      <c r="J331" s="39">
        <f t="shared" si="44"/>
        <v>2947.4999999999995</v>
      </c>
      <c r="K331">
        <f t="shared" si="48"/>
        <v>427.50000000000006</v>
      </c>
      <c r="M331" s="39">
        <v>0</v>
      </c>
      <c r="N331" s="39">
        <v>2.8</v>
      </c>
      <c r="O331" s="39">
        <f t="shared" si="41"/>
        <v>-2.8</v>
      </c>
      <c r="P331" s="39">
        <f t="shared" si="46"/>
        <v>33.400000000000006</v>
      </c>
      <c r="Q331" s="39">
        <v>292</v>
      </c>
      <c r="R331">
        <f t="shared" si="40"/>
        <v>0.53333333333333321</v>
      </c>
      <c r="S331" s="39">
        <f t="shared" si="42"/>
        <v>1.493333333333333</v>
      </c>
      <c r="T331" s="41">
        <f t="shared" si="43"/>
        <v>-1.493333333333333</v>
      </c>
      <c r="U331" s="24">
        <v>0</v>
      </c>
      <c r="W331" s="39">
        <v>814</v>
      </c>
      <c r="Y331" s="39">
        <f t="shared" si="45"/>
        <v>267442.3</v>
      </c>
      <c r="Z331">
        <f t="shared" si="49"/>
        <v>41649.700000000004</v>
      </c>
      <c r="AA331" s="39">
        <v>15.685783684019022</v>
      </c>
    </row>
    <row r="332" spans="1:27" x14ac:dyDescent="0.25">
      <c r="A332">
        <v>5560</v>
      </c>
      <c r="B332">
        <v>22250</v>
      </c>
      <c r="C332" s="1">
        <v>42910</v>
      </c>
      <c r="G332">
        <v>20.5</v>
      </c>
      <c r="H332">
        <v>16.100000000000001</v>
      </c>
      <c r="I332">
        <v>24.7</v>
      </c>
      <c r="J332">
        <f t="shared" si="44"/>
        <v>2967.9999999999995</v>
      </c>
      <c r="K332">
        <f t="shared" si="48"/>
        <v>448.00000000000006</v>
      </c>
      <c r="M332">
        <v>0</v>
      </c>
      <c r="N332">
        <v>4.3</v>
      </c>
      <c r="O332">
        <f t="shared" si="41"/>
        <v>-4.3</v>
      </c>
      <c r="P332">
        <f t="shared" si="46"/>
        <v>29.100000000000005</v>
      </c>
      <c r="Q332">
        <v>293</v>
      </c>
      <c r="R332">
        <f t="shared" si="40"/>
        <v>0.51666666666666661</v>
      </c>
      <c r="S332">
        <f t="shared" si="42"/>
        <v>2.2216666666666662</v>
      </c>
      <c r="T332" s="24">
        <f t="shared" si="43"/>
        <v>-2.2216666666666662</v>
      </c>
      <c r="U332" s="24">
        <v>0</v>
      </c>
      <c r="W332">
        <v>1814.5</v>
      </c>
      <c r="Y332">
        <f t="shared" si="45"/>
        <v>269256.8</v>
      </c>
      <c r="Z332">
        <f t="shared" si="49"/>
        <v>43464.200000000004</v>
      </c>
      <c r="AA332">
        <v>15.682793379758817</v>
      </c>
    </row>
    <row r="333" spans="1:27" x14ac:dyDescent="0.25">
      <c r="A333">
        <v>5560</v>
      </c>
      <c r="B333">
        <v>22250</v>
      </c>
      <c r="C333" s="1">
        <v>42911</v>
      </c>
      <c r="G333">
        <v>20.3</v>
      </c>
      <c r="H333">
        <v>15.8</v>
      </c>
      <c r="I333">
        <v>26.3</v>
      </c>
      <c r="J333">
        <f t="shared" si="44"/>
        <v>2988.2999999999997</v>
      </c>
      <c r="K333">
        <f t="shared" si="48"/>
        <v>468.30000000000007</v>
      </c>
      <c r="M333">
        <v>0</v>
      </c>
      <c r="N333">
        <v>2.7</v>
      </c>
      <c r="O333">
        <f t="shared" si="41"/>
        <v>-2.7</v>
      </c>
      <c r="P333">
        <f t="shared" si="46"/>
        <v>26.400000000000006</v>
      </c>
      <c r="Q333">
        <v>294</v>
      </c>
      <c r="R333">
        <f t="shared" si="40"/>
        <v>0.5</v>
      </c>
      <c r="S333">
        <f t="shared" si="42"/>
        <v>1.35</v>
      </c>
      <c r="T333" s="24">
        <f t="shared" si="43"/>
        <v>-1.35</v>
      </c>
      <c r="U333" s="24">
        <v>0</v>
      </c>
      <c r="W333">
        <v>1036.5</v>
      </c>
      <c r="Y333">
        <f t="shared" si="45"/>
        <v>270293.3</v>
      </c>
      <c r="Z333">
        <f t="shared" si="49"/>
        <v>44500.700000000004</v>
      </c>
      <c r="AA333">
        <v>15.678477551574476</v>
      </c>
    </row>
    <row r="334" spans="1:27" x14ac:dyDescent="0.25">
      <c r="A334">
        <v>5560</v>
      </c>
      <c r="B334">
        <v>22250</v>
      </c>
      <c r="C334" s="1">
        <v>42912</v>
      </c>
      <c r="G334">
        <v>20.9</v>
      </c>
      <c r="H334">
        <v>15.3</v>
      </c>
      <c r="I334">
        <v>24.3</v>
      </c>
      <c r="J334">
        <f t="shared" si="44"/>
        <v>3009.2</v>
      </c>
      <c r="K334">
        <f t="shared" si="48"/>
        <v>489.20000000000005</v>
      </c>
      <c r="M334">
        <v>0.9</v>
      </c>
      <c r="N334">
        <v>1.3</v>
      </c>
      <c r="O334">
        <f t="shared" si="41"/>
        <v>-0.4</v>
      </c>
      <c r="P334">
        <f t="shared" si="46"/>
        <v>26.000000000000007</v>
      </c>
      <c r="Q334">
        <v>295</v>
      </c>
      <c r="R334">
        <f t="shared" si="40"/>
        <v>0.48333333333333328</v>
      </c>
      <c r="S334">
        <f t="shared" si="42"/>
        <v>0.6283333333333333</v>
      </c>
      <c r="T334" s="24">
        <f t="shared" si="43"/>
        <v>0.27166666666666672</v>
      </c>
      <c r="U334" s="24">
        <f t="shared" si="47"/>
        <v>0.27166666666666672</v>
      </c>
      <c r="W334">
        <v>777.6</v>
      </c>
      <c r="Y334">
        <f t="shared" si="45"/>
        <v>271070.89999999997</v>
      </c>
      <c r="Z334">
        <f t="shared" si="49"/>
        <v>45278.3</v>
      </c>
      <c r="AA334">
        <v>15.672840004557216</v>
      </c>
    </row>
    <row r="335" spans="1:27" x14ac:dyDescent="0.25">
      <c r="A335">
        <v>5560</v>
      </c>
      <c r="B335">
        <v>22250</v>
      </c>
      <c r="C335" s="1">
        <v>42913</v>
      </c>
      <c r="G335">
        <v>21.7</v>
      </c>
      <c r="H335">
        <v>18.100000000000001</v>
      </c>
      <c r="I335">
        <v>26.7</v>
      </c>
      <c r="J335">
        <f t="shared" si="44"/>
        <v>3030.8999999999996</v>
      </c>
      <c r="K335">
        <f t="shared" si="48"/>
        <v>510.90000000000003</v>
      </c>
      <c r="M335">
        <v>0.8</v>
      </c>
      <c r="N335">
        <v>3.9</v>
      </c>
      <c r="O335">
        <f t="shared" si="41"/>
        <v>-3.0999999999999996</v>
      </c>
      <c r="P335">
        <f t="shared" si="46"/>
        <v>22.900000000000006</v>
      </c>
      <c r="Q335">
        <v>296</v>
      </c>
      <c r="R335">
        <f t="shared" si="40"/>
        <v>0.46666666666666667</v>
      </c>
      <c r="S335">
        <f t="shared" si="42"/>
        <v>1.82</v>
      </c>
      <c r="T335" s="24">
        <f t="shared" si="43"/>
        <v>-1.02</v>
      </c>
      <c r="U335" s="24">
        <v>0</v>
      </c>
      <c r="W335">
        <v>1507.6</v>
      </c>
      <c r="Y335">
        <f t="shared" si="45"/>
        <v>272578.49999999994</v>
      </c>
      <c r="Z335">
        <f t="shared" si="49"/>
        <v>46785.9</v>
      </c>
      <c r="AA335">
        <v>15.665885694236481</v>
      </c>
    </row>
    <row r="336" spans="1:27" x14ac:dyDescent="0.25">
      <c r="A336">
        <v>5560</v>
      </c>
      <c r="B336">
        <v>22250</v>
      </c>
      <c r="C336" s="1">
        <v>42914</v>
      </c>
      <c r="G336">
        <v>18.8</v>
      </c>
      <c r="H336">
        <v>16.899999999999999</v>
      </c>
      <c r="I336">
        <v>21.1</v>
      </c>
      <c r="J336">
        <f t="shared" si="44"/>
        <v>3049.7</v>
      </c>
      <c r="K336">
        <f t="shared" si="48"/>
        <v>529.70000000000005</v>
      </c>
      <c r="M336">
        <v>3.6</v>
      </c>
      <c r="N336">
        <v>3.7</v>
      </c>
      <c r="O336">
        <f t="shared" si="41"/>
        <v>-0.10000000000000009</v>
      </c>
      <c r="P336">
        <f t="shared" si="46"/>
        <v>22.800000000000004</v>
      </c>
      <c r="Q336">
        <v>297</v>
      </c>
      <c r="R336">
        <f t="shared" si="40"/>
        <v>0.44999999999999996</v>
      </c>
      <c r="S336">
        <f t="shared" si="42"/>
        <v>1.6649999999999998</v>
      </c>
      <c r="T336" s="24">
        <f t="shared" si="43"/>
        <v>1.9350000000000003</v>
      </c>
      <c r="U336" s="24">
        <f t="shared" si="47"/>
        <v>1.9350000000000003</v>
      </c>
      <c r="W336">
        <v>1937.5</v>
      </c>
      <c r="Y336">
        <f t="shared" si="45"/>
        <v>274515.99999999994</v>
      </c>
      <c r="Z336">
        <f t="shared" si="49"/>
        <v>48723.4</v>
      </c>
      <c r="AA336">
        <v>15.657620710481325</v>
      </c>
    </row>
    <row r="337" spans="1:27" x14ac:dyDescent="0.25">
      <c r="A337">
        <v>5560</v>
      </c>
      <c r="B337">
        <v>22250</v>
      </c>
      <c r="C337" s="1">
        <v>42915</v>
      </c>
      <c r="G337">
        <v>15.8</v>
      </c>
      <c r="H337">
        <v>14.2</v>
      </c>
      <c r="I337">
        <v>18.899999999999999</v>
      </c>
      <c r="J337">
        <f t="shared" si="44"/>
        <v>3065.5</v>
      </c>
      <c r="K337">
        <f t="shared" si="48"/>
        <v>545.5</v>
      </c>
      <c r="M337">
        <v>5.7</v>
      </c>
      <c r="N337">
        <v>3.1</v>
      </c>
      <c r="O337">
        <f t="shared" si="41"/>
        <v>2.6</v>
      </c>
      <c r="P337">
        <f t="shared" si="46"/>
        <v>25.400000000000006</v>
      </c>
      <c r="Q337">
        <v>298</v>
      </c>
      <c r="R337">
        <f t="shared" si="40"/>
        <v>0.43333333333333324</v>
      </c>
      <c r="S337">
        <f t="shared" si="42"/>
        <v>1.343333333333333</v>
      </c>
      <c r="T337" s="24">
        <f t="shared" si="43"/>
        <v>4.3566666666666674</v>
      </c>
      <c r="U337" s="24">
        <f t="shared" si="47"/>
        <v>6.2916666666666679</v>
      </c>
      <c r="W337">
        <v>1567.8</v>
      </c>
      <c r="Y337">
        <f t="shared" si="45"/>
        <v>276083.79999999993</v>
      </c>
      <c r="Z337">
        <f t="shared" si="49"/>
        <v>50291.200000000004</v>
      </c>
      <c r="AA337">
        <v>15.648052257833026</v>
      </c>
    </row>
    <row r="338" spans="1:27" x14ac:dyDescent="0.25">
      <c r="A338">
        <v>5560</v>
      </c>
      <c r="B338">
        <v>22250</v>
      </c>
      <c r="C338" s="1">
        <v>42916</v>
      </c>
      <c r="G338">
        <v>14.3</v>
      </c>
      <c r="H338">
        <v>13.1</v>
      </c>
      <c r="I338">
        <v>16.3</v>
      </c>
      <c r="J338">
        <f t="shared" si="44"/>
        <v>3079.8</v>
      </c>
      <c r="K338">
        <f t="shared" si="48"/>
        <v>559.79999999999995</v>
      </c>
      <c r="M338">
        <v>7.5</v>
      </c>
      <c r="N338">
        <v>1.2</v>
      </c>
      <c r="O338">
        <f t="shared" si="41"/>
        <v>6.3</v>
      </c>
      <c r="P338">
        <f t="shared" si="46"/>
        <v>31.700000000000006</v>
      </c>
      <c r="Q338">
        <v>299</v>
      </c>
      <c r="R338">
        <f t="shared" si="40"/>
        <v>0.41666666666666663</v>
      </c>
      <c r="S338">
        <f t="shared" si="42"/>
        <v>0.49999999999999994</v>
      </c>
      <c r="T338" s="24">
        <f t="shared" si="43"/>
        <v>7</v>
      </c>
      <c r="U338" s="24">
        <f t="shared" si="47"/>
        <v>13.291666666666668</v>
      </c>
      <c r="W338">
        <v>513.29999999999995</v>
      </c>
      <c r="Y338">
        <f t="shared" si="45"/>
        <v>276597.09999999992</v>
      </c>
      <c r="Z338">
        <f t="shared" si="49"/>
        <v>50804.500000000007</v>
      </c>
      <c r="AA338">
        <v>15.637188632403301</v>
      </c>
    </row>
    <row r="339" spans="1:27" x14ac:dyDescent="0.25">
      <c r="A339">
        <v>5560</v>
      </c>
      <c r="B339">
        <v>22250</v>
      </c>
      <c r="C339" s="1">
        <v>42917</v>
      </c>
      <c r="G339">
        <v>15.3</v>
      </c>
      <c r="H339">
        <v>13.1</v>
      </c>
      <c r="I339">
        <v>18.2</v>
      </c>
      <c r="J339">
        <f t="shared" si="44"/>
        <v>3095.1000000000004</v>
      </c>
      <c r="K339">
        <f t="shared" si="48"/>
        <v>575.09999999999991</v>
      </c>
      <c r="M339">
        <v>3.6</v>
      </c>
      <c r="N339">
        <v>1.7</v>
      </c>
      <c r="O339">
        <f t="shared" si="41"/>
        <v>1.9000000000000001</v>
      </c>
      <c r="P339">
        <f t="shared" si="46"/>
        <v>33.600000000000009</v>
      </c>
      <c r="Q339">
        <v>300</v>
      </c>
      <c r="R339">
        <f t="shared" si="40"/>
        <v>0.4</v>
      </c>
      <c r="S339">
        <f t="shared" si="42"/>
        <v>0.68</v>
      </c>
      <c r="T339" s="24">
        <f t="shared" si="43"/>
        <v>2.92</v>
      </c>
      <c r="U339" s="24">
        <f t="shared" si="47"/>
        <v>16.211666666666666</v>
      </c>
      <c r="W339">
        <v>858.3</v>
      </c>
      <c r="Y339">
        <f t="shared" si="45"/>
        <v>277455.39999999991</v>
      </c>
      <c r="Z339">
        <f t="shared" si="49"/>
        <v>51662.80000000001</v>
      </c>
      <c r="AA339">
        <v>15.625039195494406</v>
      </c>
    </row>
    <row r="340" spans="1:27" x14ac:dyDescent="0.25">
      <c r="A340">
        <v>5560</v>
      </c>
      <c r="B340">
        <v>22250</v>
      </c>
      <c r="C340" s="1">
        <v>42918</v>
      </c>
      <c r="G340">
        <v>16</v>
      </c>
      <c r="H340">
        <v>13.9</v>
      </c>
      <c r="I340">
        <v>18</v>
      </c>
      <c r="J340">
        <f t="shared" si="44"/>
        <v>3111.1000000000004</v>
      </c>
      <c r="K340">
        <f t="shared" si="48"/>
        <v>591.09999999999991</v>
      </c>
      <c r="M340">
        <v>0.8</v>
      </c>
      <c r="N340">
        <v>1</v>
      </c>
      <c r="O340">
        <f t="shared" si="41"/>
        <v>-0.19999999999999996</v>
      </c>
      <c r="P340">
        <f t="shared" si="46"/>
        <v>33.400000000000006</v>
      </c>
      <c r="Q340">
        <v>301</v>
      </c>
      <c r="R340">
        <f t="shared" si="40"/>
        <v>0.3833333333333333</v>
      </c>
      <c r="S340">
        <f t="shared" si="42"/>
        <v>0.3833333333333333</v>
      </c>
      <c r="T340" s="24">
        <f t="shared" si="43"/>
        <v>0.41666666666666674</v>
      </c>
      <c r="U340" s="24">
        <f t="shared" si="47"/>
        <v>16.628333333333334</v>
      </c>
      <c r="W340">
        <v>633.6</v>
      </c>
      <c r="Y340">
        <f t="shared" si="45"/>
        <v>278088.99999999988</v>
      </c>
      <c r="Z340">
        <f t="shared" si="49"/>
        <v>52296.400000000009</v>
      </c>
      <c r="AA340">
        <v>15.61161434411737</v>
      </c>
    </row>
    <row r="341" spans="1:27" x14ac:dyDescent="0.25">
      <c r="A341">
        <v>5560</v>
      </c>
      <c r="B341">
        <v>22250</v>
      </c>
      <c r="C341" s="1">
        <v>42919</v>
      </c>
      <c r="G341">
        <v>18.600000000000001</v>
      </c>
      <c r="H341">
        <v>15.2</v>
      </c>
      <c r="I341">
        <v>24.8</v>
      </c>
      <c r="J341">
        <f t="shared" si="44"/>
        <v>3129.7000000000003</v>
      </c>
      <c r="K341">
        <f t="shared" si="48"/>
        <v>609.69999999999993</v>
      </c>
      <c r="M341">
        <v>0</v>
      </c>
      <c r="N341">
        <v>2.2999999999999998</v>
      </c>
      <c r="O341">
        <f t="shared" si="41"/>
        <v>-2.2999999999999998</v>
      </c>
      <c r="P341">
        <f t="shared" si="46"/>
        <v>31.100000000000005</v>
      </c>
      <c r="Q341">
        <v>302</v>
      </c>
      <c r="R341">
        <f t="shared" si="40"/>
        <v>0.3666666666666667</v>
      </c>
      <c r="S341">
        <f t="shared" si="42"/>
        <v>0.84333333333333338</v>
      </c>
      <c r="T341" s="24">
        <f t="shared" si="43"/>
        <v>-0.84333333333333338</v>
      </c>
      <c r="U341" s="24">
        <f t="shared" si="47"/>
        <v>15.785</v>
      </c>
      <c r="W341">
        <v>921.1</v>
      </c>
      <c r="Y341">
        <f t="shared" si="45"/>
        <v>279010.09999999986</v>
      </c>
      <c r="Z341">
        <f t="shared" si="49"/>
        <v>53217.500000000007</v>
      </c>
      <c r="AA341">
        <v>15.596925478602712</v>
      </c>
    </row>
    <row r="342" spans="1:27" x14ac:dyDescent="0.25">
      <c r="A342">
        <v>5560</v>
      </c>
      <c r="B342">
        <v>22250</v>
      </c>
      <c r="C342" s="1">
        <v>42920</v>
      </c>
      <c r="G342">
        <v>22.3</v>
      </c>
      <c r="H342">
        <v>13.5</v>
      </c>
      <c r="I342">
        <v>29.6</v>
      </c>
      <c r="J342">
        <f t="shared" si="44"/>
        <v>3152.0000000000005</v>
      </c>
      <c r="K342">
        <f t="shared" si="48"/>
        <v>631.99999999999989</v>
      </c>
      <c r="M342">
        <v>0</v>
      </c>
      <c r="N342">
        <v>5.7</v>
      </c>
      <c r="O342">
        <f t="shared" si="41"/>
        <v>-5.7</v>
      </c>
      <c r="P342">
        <f t="shared" si="46"/>
        <v>25.400000000000006</v>
      </c>
      <c r="Q342">
        <v>303</v>
      </c>
      <c r="R342">
        <f t="shared" si="40"/>
        <v>0.35</v>
      </c>
      <c r="S342">
        <f t="shared" si="42"/>
        <v>1.9949999999999999</v>
      </c>
      <c r="T342" s="24">
        <f t="shared" si="43"/>
        <v>-1.9949999999999999</v>
      </c>
      <c r="U342" s="24">
        <f t="shared" si="47"/>
        <v>13.790000000000001</v>
      </c>
      <c r="W342">
        <v>2606.4</v>
      </c>
      <c r="Y342">
        <f t="shared" si="45"/>
        <v>281616.49999999988</v>
      </c>
      <c r="Z342">
        <f t="shared" si="49"/>
        <v>55823.900000000009</v>
      </c>
      <c r="AA342">
        <v>15.580984967513755</v>
      </c>
    </row>
    <row r="343" spans="1:27" s="10" customFormat="1" x14ac:dyDescent="0.25">
      <c r="A343" s="46" t="s">
        <v>33</v>
      </c>
      <c r="B343" s="46"/>
      <c r="C343" s="46"/>
      <c r="D343" s="46"/>
      <c r="E343" s="46"/>
      <c r="F343" s="46"/>
      <c r="L343" s="23"/>
    </row>
    <row r="344" spans="1:27" x14ac:dyDescent="0.25">
      <c r="A344">
        <v>5560</v>
      </c>
      <c r="B344">
        <v>22250</v>
      </c>
      <c r="C344" s="1">
        <v>42921</v>
      </c>
      <c r="G344">
        <v>26.2</v>
      </c>
      <c r="H344">
        <v>16.3</v>
      </c>
      <c r="I344">
        <v>33.799999999999997</v>
      </c>
      <c r="M344">
        <v>0</v>
      </c>
      <c r="N344">
        <v>7</v>
      </c>
      <c r="W344">
        <v>2654.3</v>
      </c>
    </row>
    <row r="345" spans="1:27" x14ac:dyDescent="0.25">
      <c r="A345">
        <v>5560</v>
      </c>
      <c r="B345">
        <v>22250</v>
      </c>
      <c r="C345" s="1">
        <v>42922</v>
      </c>
      <c r="G345">
        <v>26.9</v>
      </c>
      <c r="H345">
        <v>19.899999999999999</v>
      </c>
      <c r="I345">
        <v>33.5</v>
      </c>
      <c r="M345">
        <v>0</v>
      </c>
      <c r="N345">
        <v>4.4000000000000004</v>
      </c>
      <c r="W345">
        <v>1306.4000000000001</v>
      </c>
    </row>
    <row r="346" spans="1:27" x14ac:dyDescent="0.25">
      <c r="A346">
        <v>5560</v>
      </c>
      <c r="B346">
        <v>22250</v>
      </c>
      <c r="C346" s="1">
        <v>42923</v>
      </c>
      <c r="G346">
        <v>26.9</v>
      </c>
      <c r="H346">
        <v>21.9</v>
      </c>
      <c r="I346">
        <v>33</v>
      </c>
      <c r="M346">
        <v>0</v>
      </c>
      <c r="N346">
        <v>5.9</v>
      </c>
      <c r="W346">
        <v>2396</v>
      </c>
    </row>
    <row r="347" spans="1:27" x14ac:dyDescent="0.25">
      <c r="A347">
        <v>5560</v>
      </c>
      <c r="B347">
        <v>22250</v>
      </c>
      <c r="C347" s="1">
        <v>42924</v>
      </c>
      <c r="G347">
        <v>25.9</v>
      </c>
      <c r="H347">
        <v>20.9</v>
      </c>
      <c r="I347">
        <v>31.3</v>
      </c>
      <c r="M347">
        <v>0.4</v>
      </c>
      <c r="N347">
        <v>3.1</v>
      </c>
      <c r="W347">
        <v>971.7</v>
      </c>
    </row>
    <row r="348" spans="1:27" x14ac:dyDescent="0.25">
      <c r="A348">
        <v>5560</v>
      </c>
      <c r="B348">
        <v>22250</v>
      </c>
      <c r="C348" s="1">
        <v>42925</v>
      </c>
      <c r="G348">
        <v>21.5</v>
      </c>
      <c r="H348">
        <v>19.399999999999999</v>
      </c>
      <c r="I348">
        <v>27.8</v>
      </c>
      <c r="M348">
        <v>9.8000000000000007</v>
      </c>
      <c r="N348">
        <v>2.2000000000000002</v>
      </c>
      <c r="W348">
        <v>849.5</v>
      </c>
    </row>
    <row r="349" spans="1:27" x14ac:dyDescent="0.25">
      <c r="A349">
        <v>5560</v>
      </c>
      <c r="B349">
        <v>22250</v>
      </c>
      <c r="C349" s="1">
        <v>42926</v>
      </c>
      <c r="G349">
        <v>18.899999999999999</v>
      </c>
      <c r="H349">
        <v>17.7</v>
      </c>
      <c r="I349">
        <v>21.9</v>
      </c>
      <c r="M349">
        <v>6.3</v>
      </c>
      <c r="N349">
        <v>2.6</v>
      </c>
      <c r="W349">
        <v>1198.8</v>
      </c>
    </row>
    <row r="350" spans="1:27" x14ac:dyDescent="0.25">
      <c r="A350">
        <v>5560</v>
      </c>
      <c r="B350">
        <v>22250</v>
      </c>
      <c r="C350" s="1">
        <v>42927</v>
      </c>
      <c r="G350">
        <v>19.3</v>
      </c>
      <c r="H350">
        <v>14.7</v>
      </c>
      <c r="I350">
        <v>23.5</v>
      </c>
      <c r="M350">
        <v>0.3</v>
      </c>
      <c r="N350">
        <v>3.1</v>
      </c>
      <c r="W350">
        <v>1158.2</v>
      </c>
    </row>
    <row r="351" spans="1:27" x14ac:dyDescent="0.25">
      <c r="A351">
        <v>5560</v>
      </c>
      <c r="B351">
        <v>22250</v>
      </c>
      <c r="C351" s="1">
        <v>42928</v>
      </c>
      <c r="G351">
        <v>19.2</v>
      </c>
      <c r="H351">
        <v>18</v>
      </c>
      <c r="I351">
        <v>20.6</v>
      </c>
      <c r="M351">
        <v>0.8</v>
      </c>
      <c r="N351">
        <v>1.9</v>
      </c>
      <c r="W351">
        <v>597</v>
      </c>
    </row>
    <row r="352" spans="1:27" x14ac:dyDescent="0.25">
      <c r="A352">
        <v>5560</v>
      </c>
      <c r="B352">
        <v>22250</v>
      </c>
      <c r="C352" s="1">
        <v>42929</v>
      </c>
      <c r="G352">
        <v>20.399999999999999</v>
      </c>
      <c r="H352">
        <v>17.5</v>
      </c>
      <c r="I352">
        <v>23.9</v>
      </c>
      <c r="M352">
        <v>0</v>
      </c>
      <c r="N352">
        <v>3.6</v>
      </c>
      <c r="W352">
        <v>1747.1</v>
      </c>
    </row>
    <row r="353" spans="1:23" x14ac:dyDescent="0.25">
      <c r="A353">
        <v>5560</v>
      </c>
      <c r="B353">
        <v>22250</v>
      </c>
      <c r="C353" s="1">
        <v>42930</v>
      </c>
      <c r="G353">
        <v>20.100000000000001</v>
      </c>
      <c r="H353">
        <v>16.3</v>
      </c>
      <c r="I353">
        <v>24.3</v>
      </c>
      <c r="M353">
        <v>0</v>
      </c>
      <c r="N353">
        <v>4.2</v>
      </c>
      <c r="W353">
        <v>1794.3</v>
      </c>
    </row>
    <row r="354" spans="1:23" x14ac:dyDescent="0.25">
      <c r="A354">
        <v>5560</v>
      </c>
      <c r="B354">
        <v>22250</v>
      </c>
      <c r="C354" s="1">
        <v>42931</v>
      </c>
      <c r="G354">
        <v>19.899999999999999</v>
      </c>
      <c r="H354">
        <v>14.7</v>
      </c>
      <c r="I354">
        <v>25.5</v>
      </c>
      <c r="M354">
        <v>0</v>
      </c>
      <c r="N354">
        <v>5</v>
      </c>
      <c r="W354">
        <v>2393.4</v>
      </c>
    </row>
    <row r="355" spans="1:23" x14ac:dyDescent="0.25">
      <c r="A355">
        <v>5560</v>
      </c>
      <c r="B355">
        <v>22250</v>
      </c>
      <c r="C355" s="1">
        <v>42932</v>
      </c>
      <c r="G355">
        <v>23.9</v>
      </c>
      <c r="H355">
        <v>15.4</v>
      </c>
      <c r="I355">
        <v>29.3</v>
      </c>
      <c r="M355">
        <v>0</v>
      </c>
      <c r="N355">
        <v>5.8</v>
      </c>
      <c r="W355">
        <v>2580.1999999999998</v>
      </c>
    </row>
    <row r="356" spans="1:23" x14ac:dyDescent="0.25">
      <c r="A356">
        <v>5560</v>
      </c>
      <c r="B356">
        <v>22250</v>
      </c>
      <c r="C356" s="1">
        <v>42933</v>
      </c>
      <c r="G356">
        <v>25.8</v>
      </c>
      <c r="H356">
        <v>18.8</v>
      </c>
      <c r="I356">
        <v>31.4</v>
      </c>
      <c r="M356">
        <v>0</v>
      </c>
      <c r="N356">
        <v>5.7</v>
      </c>
      <c r="W356">
        <v>1973.1</v>
      </c>
    </row>
    <row r="357" spans="1:23" x14ac:dyDescent="0.25">
      <c r="A357">
        <v>5560</v>
      </c>
      <c r="B357">
        <v>22250</v>
      </c>
      <c r="C357" s="1">
        <v>42934</v>
      </c>
      <c r="G357">
        <v>28.2</v>
      </c>
      <c r="H357">
        <v>20.7</v>
      </c>
      <c r="I357">
        <v>33.5</v>
      </c>
      <c r="M357">
        <v>0</v>
      </c>
      <c r="N357">
        <v>6.7</v>
      </c>
      <c r="W357">
        <v>2056.1</v>
      </c>
    </row>
    <row r="358" spans="1:23" x14ac:dyDescent="0.25">
      <c r="A358">
        <v>5560</v>
      </c>
      <c r="B358">
        <v>22250</v>
      </c>
      <c r="C358" s="1">
        <v>42935</v>
      </c>
      <c r="G358">
        <v>24.3</v>
      </c>
      <c r="H358">
        <v>22.7</v>
      </c>
      <c r="I358">
        <v>27.8</v>
      </c>
      <c r="M358">
        <v>1.1000000000000001</v>
      </c>
      <c r="N358">
        <v>5.6</v>
      </c>
      <c r="W358">
        <v>1805.9</v>
      </c>
    </row>
    <row r="359" spans="1:23" x14ac:dyDescent="0.25">
      <c r="A359">
        <v>5560</v>
      </c>
      <c r="B359">
        <v>22250</v>
      </c>
      <c r="C359" s="1">
        <v>42936</v>
      </c>
      <c r="G359">
        <v>20</v>
      </c>
      <c r="H359">
        <v>18.7</v>
      </c>
      <c r="I359">
        <v>22.6</v>
      </c>
      <c r="M359">
        <v>0</v>
      </c>
      <c r="N359">
        <v>4.0999999999999996</v>
      </c>
      <c r="W359">
        <v>1436.6</v>
      </c>
    </row>
    <row r="360" spans="1:23" x14ac:dyDescent="0.25">
      <c r="A360">
        <v>5560</v>
      </c>
      <c r="B360">
        <v>22250</v>
      </c>
      <c r="C360" s="1">
        <v>42937</v>
      </c>
      <c r="G360">
        <v>18.600000000000001</v>
      </c>
      <c r="H360">
        <v>13.9</v>
      </c>
      <c r="I360">
        <v>22.4</v>
      </c>
      <c r="M360">
        <v>0</v>
      </c>
      <c r="N360">
        <v>4.5</v>
      </c>
      <c r="W360">
        <v>2075.1999999999998</v>
      </c>
    </row>
    <row r="361" spans="1:23" x14ac:dyDescent="0.25">
      <c r="A361">
        <v>5560</v>
      </c>
      <c r="B361">
        <v>22250</v>
      </c>
      <c r="C361" s="1">
        <v>42938</v>
      </c>
      <c r="G361">
        <v>18.2</v>
      </c>
      <c r="H361">
        <v>16.899999999999999</v>
      </c>
      <c r="I361">
        <v>20.100000000000001</v>
      </c>
      <c r="M361">
        <v>0.6</v>
      </c>
      <c r="N361">
        <v>2.8</v>
      </c>
      <c r="W361">
        <v>1140.2</v>
      </c>
    </row>
    <row r="362" spans="1:23" x14ac:dyDescent="0.25">
      <c r="A362">
        <v>5560</v>
      </c>
      <c r="B362">
        <v>22250</v>
      </c>
      <c r="C362" s="1">
        <v>42939</v>
      </c>
      <c r="G362">
        <v>18.7</v>
      </c>
      <c r="H362">
        <v>14.4</v>
      </c>
      <c r="I362">
        <v>22.8</v>
      </c>
      <c r="M362">
        <v>7.4</v>
      </c>
      <c r="N362">
        <v>3.3</v>
      </c>
      <c r="W362">
        <v>1369.6</v>
      </c>
    </row>
    <row r="363" spans="1:23" x14ac:dyDescent="0.25">
      <c r="A363">
        <v>5560</v>
      </c>
      <c r="B363">
        <v>22250</v>
      </c>
      <c r="C363" s="1">
        <v>42940</v>
      </c>
      <c r="G363">
        <v>17</v>
      </c>
      <c r="H363">
        <v>14.4</v>
      </c>
      <c r="I363">
        <v>19</v>
      </c>
      <c r="M363">
        <v>0.5</v>
      </c>
      <c r="N363">
        <v>1.5</v>
      </c>
      <c r="W363">
        <v>685.3</v>
      </c>
    </row>
    <row r="364" spans="1:23" x14ac:dyDescent="0.25">
      <c r="A364">
        <v>5560</v>
      </c>
      <c r="B364">
        <v>22250</v>
      </c>
      <c r="C364" s="1">
        <v>42941</v>
      </c>
      <c r="G364">
        <v>17.899999999999999</v>
      </c>
      <c r="H364">
        <v>14.9</v>
      </c>
      <c r="I364">
        <v>22.3</v>
      </c>
      <c r="M364">
        <v>0.1</v>
      </c>
      <c r="N364">
        <v>2</v>
      </c>
      <c r="W364">
        <v>822.3</v>
      </c>
    </row>
    <row r="365" spans="1:23" x14ac:dyDescent="0.25">
      <c r="A365">
        <v>5560</v>
      </c>
      <c r="B365">
        <v>22250</v>
      </c>
      <c r="C365" s="1">
        <v>42942</v>
      </c>
      <c r="G365">
        <v>18.2</v>
      </c>
      <c r="H365">
        <v>14.6</v>
      </c>
      <c r="I365">
        <v>21.5</v>
      </c>
      <c r="M365">
        <v>1.4</v>
      </c>
      <c r="N365">
        <v>1.8</v>
      </c>
      <c r="W365">
        <v>768.7</v>
      </c>
    </row>
    <row r="366" spans="1:23" x14ac:dyDescent="0.25">
      <c r="A366">
        <v>5560</v>
      </c>
      <c r="B366">
        <v>22250</v>
      </c>
      <c r="C366" s="1">
        <v>42943</v>
      </c>
      <c r="G366">
        <v>18.899999999999999</v>
      </c>
      <c r="H366">
        <v>16.399999999999999</v>
      </c>
      <c r="I366">
        <v>22.7</v>
      </c>
      <c r="M366">
        <v>2.2999999999999998</v>
      </c>
      <c r="N366">
        <v>1.9</v>
      </c>
      <c r="W366">
        <v>653.6</v>
      </c>
    </row>
    <row r="367" spans="1:23" x14ac:dyDescent="0.25">
      <c r="A367">
        <v>5560</v>
      </c>
      <c r="B367">
        <v>22250</v>
      </c>
      <c r="C367" s="1">
        <v>42944</v>
      </c>
      <c r="G367">
        <v>19.2</v>
      </c>
      <c r="H367">
        <v>14.6</v>
      </c>
      <c r="I367">
        <v>23.5</v>
      </c>
      <c r="M367">
        <v>0</v>
      </c>
      <c r="N367">
        <v>3.2</v>
      </c>
      <c r="W367">
        <v>1388.4</v>
      </c>
    </row>
    <row r="368" spans="1:23" x14ac:dyDescent="0.25">
      <c r="A368">
        <v>5560</v>
      </c>
      <c r="B368">
        <v>22250</v>
      </c>
      <c r="C368" s="1">
        <v>42945</v>
      </c>
      <c r="G368">
        <v>22.4</v>
      </c>
      <c r="H368">
        <v>15.7</v>
      </c>
      <c r="I368">
        <v>28</v>
      </c>
      <c r="M368">
        <v>0.6</v>
      </c>
      <c r="N368">
        <v>4.4000000000000004</v>
      </c>
      <c r="W368">
        <v>1822.4</v>
      </c>
    </row>
    <row r="369" spans="1:23" x14ac:dyDescent="0.25">
      <c r="A369">
        <v>5560</v>
      </c>
      <c r="B369">
        <v>22250</v>
      </c>
      <c r="C369" s="1">
        <v>42946</v>
      </c>
      <c r="G369">
        <v>21.4</v>
      </c>
      <c r="H369">
        <v>19</v>
      </c>
      <c r="I369">
        <v>24</v>
      </c>
      <c r="M369">
        <v>0</v>
      </c>
      <c r="N369">
        <v>3.3</v>
      </c>
      <c r="W369">
        <v>1104.3</v>
      </c>
    </row>
    <row r="370" spans="1:23" x14ac:dyDescent="0.25">
      <c r="A370">
        <v>5560</v>
      </c>
      <c r="B370">
        <v>22250</v>
      </c>
      <c r="C370" s="1">
        <v>42947</v>
      </c>
      <c r="G370">
        <v>20.3</v>
      </c>
      <c r="H370">
        <v>16.600000000000001</v>
      </c>
      <c r="I370">
        <v>23.3</v>
      </c>
      <c r="M370">
        <v>2.8</v>
      </c>
      <c r="N370">
        <v>1.6</v>
      </c>
      <c r="W370">
        <v>570.5</v>
      </c>
    </row>
    <row r="371" spans="1:23" x14ac:dyDescent="0.25">
      <c r="A371">
        <v>5560</v>
      </c>
      <c r="B371">
        <v>22250</v>
      </c>
      <c r="C371" s="1">
        <v>42948</v>
      </c>
      <c r="G371">
        <v>21.9</v>
      </c>
      <c r="H371">
        <v>17</v>
      </c>
      <c r="I371">
        <v>27.3</v>
      </c>
      <c r="M371">
        <v>1.1000000000000001</v>
      </c>
      <c r="N371">
        <v>2.9</v>
      </c>
      <c r="W371">
        <v>1256.0999999999999</v>
      </c>
    </row>
    <row r="372" spans="1:23" x14ac:dyDescent="0.25">
      <c r="A372">
        <v>5560</v>
      </c>
      <c r="B372">
        <v>22250</v>
      </c>
      <c r="C372" s="1">
        <v>42949</v>
      </c>
      <c r="G372">
        <v>23.3</v>
      </c>
      <c r="H372">
        <v>15.9</v>
      </c>
      <c r="I372">
        <v>29.6</v>
      </c>
      <c r="M372">
        <v>0</v>
      </c>
      <c r="N372">
        <v>5.6</v>
      </c>
      <c r="W372">
        <v>2439.3000000000002</v>
      </c>
    </row>
    <row r="373" spans="1:23" x14ac:dyDescent="0.25">
      <c r="A373">
        <v>5560</v>
      </c>
      <c r="B373">
        <v>22250</v>
      </c>
      <c r="C373" s="1">
        <v>42950</v>
      </c>
      <c r="G373">
        <v>21.4</v>
      </c>
      <c r="H373">
        <v>18.399999999999999</v>
      </c>
      <c r="I373">
        <v>24.6</v>
      </c>
      <c r="M373">
        <v>0</v>
      </c>
      <c r="N373">
        <v>3.2</v>
      </c>
      <c r="W373">
        <v>860.3</v>
      </c>
    </row>
    <row r="374" spans="1:23" x14ac:dyDescent="0.25">
      <c r="A374">
        <v>5560</v>
      </c>
      <c r="B374">
        <v>22250</v>
      </c>
      <c r="C374" s="1">
        <v>42951</v>
      </c>
      <c r="G374">
        <v>21.5</v>
      </c>
      <c r="H374">
        <v>16.8</v>
      </c>
      <c r="I374">
        <v>25</v>
      </c>
      <c r="M374">
        <v>0</v>
      </c>
      <c r="N374">
        <v>3.3</v>
      </c>
      <c r="W374">
        <v>1084.7</v>
      </c>
    </row>
    <row r="375" spans="1:23" x14ac:dyDescent="0.25">
      <c r="A375">
        <v>5560</v>
      </c>
      <c r="B375">
        <v>22250</v>
      </c>
      <c r="C375" s="1">
        <v>42952</v>
      </c>
      <c r="G375">
        <v>20.2</v>
      </c>
      <c r="H375">
        <v>18.8</v>
      </c>
      <c r="I375">
        <v>22.3</v>
      </c>
      <c r="M375">
        <v>0</v>
      </c>
      <c r="N375">
        <v>3.8</v>
      </c>
      <c r="W375">
        <v>1308.2</v>
      </c>
    </row>
    <row r="376" spans="1:23" x14ac:dyDescent="0.25">
      <c r="A376">
        <v>5560</v>
      </c>
      <c r="B376">
        <v>22250</v>
      </c>
      <c r="C376" s="1">
        <v>42953</v>
      </c>
      <c r="G376">
        <v>18.5</v>
      </c>
      <c r="H376">
        <v>13.3</v>
      </c>
      <c r="I376">
        <v>23.9</v>
      </c>
      <c r="M376">
        <v>0</v>
      </c>
      <c r="N376">
        <v>5.9</v>
      </c>
      <c r="W376">
        <v>2712.2</v>
      </c>
    </row>
    <row r="377" spans="1:23" x14ac:dyDescent="0.25">
      <c r="A377">
        <v>5560</v>
      </c>
      <c r="B377">
        <v>22250</v>
      </c>
      <c r="C377" s="1">
        <v>42954</v>
      </c>
      <c r="G377">
        <v>19.399999999999999</v>
      </c>
      <c r="H377">
        <v>13.3</v>
      </c>
      <c r="I377">
        <v>26</v>
      </c>
      <c r="M377">
        <v>5.3</v>
      </c>
      <c r="N377">
        <v>4.5</v>
      </c>
      <c r="W377">
        <v>2071.3000000000002</v>
      </c>
    </row>
    <row r="378" spans="1:23" x14ac:dyDescent="0.25">
      <c r="A378">
        <v>5560</v>
      </c>
      <c r="B378">
        <v>22250</v>
      </c>
      <c r="C378" s="1">
        <v>42955</v>
      </c>
      <c r="G378">
        <v>16.3</v>
      </c>
      <c r="H378">
        <v>15.3</v>
      </c>
      <c r="I378">
        <v>18.600000000000001</v>
      </c>
      <c r="M378">
        <v>4.5</v>
      </c>
      <c r="N378">
        <v>1.8</v>
      </c>
      <c r="W378">
        <v>648.6</v>
      </c>
    </row>
    <row r="379" spans="1:23" x14ac:dyDescent="0.25">
      <c r="A379">
        <v>5560</v>
      </c>
      <c r="B379">
        <v>22250</v>
      </c>
      <c r="C379" s="1">
        <v>42956</v>
      </c>
      <c r="G379">
        <v>15.5</v>
      </c>
      <c r="H379">
        <v>13.5</v>
      </c>
      <c r="I379">
        <v>18.899999999999999</v>
      </c>
      <c r="M379">
        <v>2.2999999999999998</v>
      </c>
      <c r="N379">
        <v>2.4</v>
      </c>
      <c r="W379">
        <v>1147.4000000000001</v>
      </c>
    </row>
    <row r="380" spans="1:23" x14ac:dyDescent="0.25">
      <c r="A380">
        <v>5560</v>
      </c>
      <c r="B380">
        <v>22250</v>
      </c>
      <c r="C380" s="1">
        <v>42957</v>
      </c>
      <c r="G380">
        <v>14.3</v>
      </c>
      <c r="H380">
        <v>11.3</v>
      </c>
      <c r="I380">
        <v>17.899999999999999</v>
      </c>
      <c r="M380">
        <v>6.3</v>
      </c>
      <c r="N380">
        <v>2.2000000000000002</v>
      </c>
      <c r="W380">
        <v>1259.4000000000001</v>
      </c>
    </row>
    <row r="381" spans="1:23" x14ac:dyDescent="0.25">
      <c r="A381">
        <v>5560</v>
      </c>
      <c r="B381">
        <v>22250</v>
      </c>
      <c r="C381" s="1">
        <v>42958</v>
      </c>
      <c r="G381">
        <v>15.7</v>
      </c>
      <c r="H381">
        <v>11.8</v>
      </c>
      <c r="I381">
        <v>19.8</v>
      </c>
      <c r="M381">
        <v>3.7</v>
      </c>
      <c r="N381">
        <v>1.7</v>
      </c>
      <c r="W381">
        <v>895.7</v>
      </c>
    </row>
    <row r="382" spans="1:23" x14ac:dyDescent="0.25">
      <c r="A382">
        <v>5560</v>
      </c>
      <c r="B382">
        <v>22250</v>
      </c>
      <c r="C382" s="1">
        <v>42959</v>
      </c>
      <c r="G382">
        <v>17.100000000000001</v>
      </c>
      <c r="H382">
        <v>12.8</v>
      </c>
      <c r="I382">
        <v>20.8</v>
      </c>
      <c r="M382">
        <v>0</v>
      </c>
      <c r="N382">
        <v>1.9</v>
      </c>
      <c r="W382">
        <v>663.7</v>
      </c>
    </row>
    <row r="383" spans="1:23" x14ac:dyDescent="0.25">
      <c r="A383">
        <v>5560</v>
      </c>
      <c r="B383">
        <v>22250</v>
      </c>
      <c r="C383" s="1">
        <v>42960</v>
      </c>
      <c r="G383">
        <v>19.399999999999999</v>
      </c>
      <c r="H383">
        <v>16.399999999999999</v>
      </c>
      <c r="I383">
        <v>23.4</v>
      </c>
      <c r="M383">
        <v>0</v>
      </c>
      <c r="N383">
        <v>1.8</v>
      </c>
      <c r="W383">
        <v>958.9</v>
      </c>
    </row>
    <row r="384" spans="1:23" x14ac:dyDescent="0.25">
      <c r="A384">
        <v>5560</v>
      </c>
      <c r="B384">
        <v>22250</v>
      </c>
      <c r="C384" s="1">
        <v>42961</v>
      </c>
      <c r="G384">
        <v>22.5</v>
      </c>
      <c r="H384">
        <v>14.8</v>
      </c>
      <c r="I384">
        <v>29</v>
      </c>
      <c r="M384">
        <v>0</v>
      </c>
      <c r="N384">
        <v>4.5</v>
      </c>
      <c r="W384">
        <v>2202.8000000000002</v>
      </c>
    </row>
    <row r="385" spans="1:23" x14ac:dyDescent="0.25">
      <c r="A385">
        <v>5560</v>
      </c>
      <c r="B385">
        <v>22250</v>
      </c>
      <c r="C385" s="1">
        <v>42962</v>
      </c>
      <c r="G385">
        <v>22.2</v>
      </c>
      <c r="H385">
        <v>21.3</v>
      </c>
      <c r="I385">
        <v>23.5</v>
      </c>
      <c r="M385">
        <v>2.8</v>
      </c>
      <c r="N385">
        <v>2.2000000000000002</v>
      </c>
      <c r="W385">
        <v>951.9</v>
      </c>
    </row>
    <row r="386" spans="1:23" x14ac:dyDescent="0.25">
      <c r="A386">
        <v>5560</v>
      </c>
      <c r="B386">
        <v>22250</v>
      </c>
      <c r="C386" s="1">
        <v>42963</v>
      </c>
      <c r="G386">
        <v>20.7</v>
      </c>
      <c r="H386">
        <v>16</v>
      </c>
      <c r="I386">
        <v>25.6</v>
      </c>
      <c r="M386">
        <v>0</v>
      </c>
      <c r="N386">
        <v>4.2</v>
      </c>
      <c r="W386">
        <v>1956.7</v>
      </c>
    </row>
    <row r="387" spans="1:23" x14ac:dyDescent="0.25">
      <c r="A387">
        <v>5560</v>
      </c>
      <c r="B387">
        <v>22250</v>
      </c>
      <c r="C387" s="1">
        <v>42964</v>
      </c>
      <c r="G387">
        <v>20.7</v>
      </c>
      <c r="H387">
        <v>16.5</v>
      </c>
      <c r="I387">
        <v>24.3</v>
      </c>
      <c r="M387">
        <v>0</v>
      </c>
      <c r="N387">
        <v>2.6</v>
      </c>
      <c r="W387">
        <v>1053.5</v>
      </c>
    </row>
    <row r="388" spans="1:23" x14ac:dyDescent="0.25">
      <c r="A388">
        <v>5560</v>
      </c>
      <c r="B388">
        <v>22250</v>
      </c>
      <c r="C388" s="1">
        <v>42965</v>
      </c>
      <c r="G388">
        <v>17.899999999999999</v>
      </c>
      <c r="H388">
        <v>18.100000000000001</v>
      </c>
      <c r="I388">
        <v>19.5</v>
      </c>
      <c r="M388">
        <v>11.1</v>
      </c>
      <c r="N388">
        <v>1.4</v>
      </c>
      <c r="W388">
        <v>538.6</v>
      </c>
    </row>
    <row r="389" spans="1:23" x14ac:dyDescent="0.25">
      <c r="A389">
        <v>5560</v>
      </c>
      <c r="B389">
        <v>22250</v>
      </c>
      <c r="C389" s="1">
        <v>42966</v>
      </c>
      <c r="G389">
        <v>15.9</v>
      </c>
      <c r="H389">
        <v>11.7</v>
      </c>
      <c r="I389">
        <v>20.100000000000001</v>
      </c>
      <c r="M389">
        <v>0</v>
      </c>
      <c r="N389">
        <v>3.2</v>
      </c>
      <c r="W389">
        <v>1787.7</v>
      </c>
    </row>
    <row r="390" spans="1:23" x14ac:dyDescent="0.25">
      <c r="A390">
        <v>5560</v>
      </c>
      <c r="B390">
        <v>22250</v>
      </c>
      <c r="C390" s="1">
        <v>42967</v>
      </c>
      <c r="G390">
        <v>17.2</v>
      </c>
      <c r="H390">
        <v>10.9</v>
      </c>
      <c r="I390">
        <v>22.9</v>
      </c>
      <c r="M390">
        <v>0</v>
      </c>
      <c r="N390">
        <v>3.5</v>
      </c>
      <c r="W390">
        <v>1856</v>
      </c>
    </row>
    <row r="391" spans="1:23" x14ac:dyDescent="0.25">
      <c r="A391">
        <v>5560</v>
      </c>
      <c r="B391">
        <v>22250</v>
      </c>
      <c r="C391" s="1">
        <v>42968</v>
      </c>
      <c r="G391">
        <v>20.9</v>
      </c>
      <c r="H391">
        <v>13.7</v>
      </c>
      <c r="I391">
        <v>26.5</v>
      </c>
      <c r="M391">
        <v>0</v>
      </c>
      <c r="N391">
        <v>4.5</v>
      </c>
      <c r="W391">
        <v>2086.9</v>
      </c>
    </row>
    <row r="392" spans="1:23" x14ac:dyDescent="0.25">
      <c r="A392">
        <v>5560</v>
      </c>
      <c r="B392">
        <v>22250</v>
      </c>
      <c r="C392" s="1">
        <v>42969</v>
      </c>
      <c r="G392">
        <v>23.8</v>
      </c>
      <c r="H392">
        <v>16.399999999999999</v>
      </c>
      <c r="I392">
        <v>29.9</v>
      </c>
      <c r="M392">
        <v>0</v>
      </c>
      <c r="N392">
        <v>5.0999999999999996</v>
      </c>
      <c r="W392">
        <v>2151.6999999999998</v>
      </c>
    </row>
    <row r="393" spans="1:23" x14ac:dyDescent="0.25">
      <c r="A393">
        <v>5560</v>
      </c>
      <c r="B393">
        <v>22250</v>
      </c>
      <c r="C393" s="1">
        <v>42970</v>
      </c>
      <c r="G393">
        <v>22</v>
      </c>
      <c r="H393">
        <v>19.7</v>
      </c>
      <c r="I393">
        <v>25.6</v>
      </c>
      <c r="M393">
        <v>0</v>
      </c>
      <c r="N393">
        <v>2.7</v>
      </c>
      <c r="W393">
        <v>932.1</v>
      </c>
    </row>
    <row r="394" spans="1:23" x14ac:dyDescent="0.25">
      <c r="A394">
        <v>5560</v>
      </c>
      <c r="B394">
        <v>22250</v>
      </c>
      <c r="C394" s="1">
        <v>42971</v>
      </c>
      <c r="G394">
        <v>23.5</v>
      </c>
      <c r="H394">
        <v>17.2</v>
      </c>
      <c r="I394">
        <v>29.3</v>
      </c>
      <c r="M394">
        <v>0</v>
      </c>
      <c r="N394">
        <v>3.7</v>
      </c>
      <c r="W394">
        <v>1815.3</v>
      </c>
    </row>
    <row r="395" spans="1:23" x14ac:dyDescent="0.25">
      <c r="A395">
        <v>5560</v>
      </c>
      <c r="B395">
        <v>22250</v>
      </c>
      <c r="C395" s="1">
        <v>42972</v>
      </c>
      <c r="G395">
        <v>23</v>
      </c>
      <c r="H395">
        <v>18.8</v>
      </c>
      <c r="I395">
        <v>28.2</v>
      </c>
      <c r="M395">
        <v>0</v>
      </c>
      <c r="N395">
        <v>3.3</v>
      </c>
      <c r="W395">
        <v>1289.5</v>
      </c>
    </row>
    <row r="396" spans="1:23" x14ac:dyDescent="0.25">
      <c r="A396">
        <v>5560</v>
      </c>
      <c r="B396">
        <v>22250</v>
      </c>
      <c r="C396" s="1">
        <v>42973</v>
      </c>
      <c r="G396">
        <v>23.7</v>
      </c>
      <c r="H396">
        <v>15.5</v>
      </c>
      <c r="I396">
        <v>30.2</v>
      </c>
      <c r="M396">
        <v>0</v>
      </c>
      <c r="N396">
        <v>3.7</v>
      </c>
      <c r="W396">
        <v>1852.6</v>
      </c>
    </row>
    <row r="397" spans="1:23" x14ac:dyDescent="0.25">
      <c r="A397">
        <v>5560</v>
      </c>
      <c r="B397">
        <v>22250</v>
      </c>
      <c r="C397" s="1">
        <v>42974</v>
      </c>
      <c r="G397">
        <v>25.6</v>
      </c>
      <c r="H397">
        <v>17.5</v>
      </c>
      <c r="I397">
        <v>31</v>
      </c>
      <c r="M397">
        <v>0</v>
      </c>
      <c r="N397">
        <v>3.5</v>
      </c>
      <c r="W397">
        <v>1675.5</v>
      </c>
    </row>
    <row r="398" spans="1:23" x14ac:dyDescent="0.25">
      <c r="A398">
        <v>5560</v>
      </c>
      <c r="B398">
        <v>22250</v>
      </c>
      <c r="C398" s="1">
        <v>42975</v>
      </c>
      <c r="G398">
        <v>27.5</v>
      </c>
      <c r="H398">
        <v>22.6</v>
      </c>
      <c r="I398">
        <v>32.6</v>
      </c>
      <c r="M398">
        <v>0</v>
      </c>
      <c r="N398">
        <v>3.8</v>
      </c>
      <c r="W398">
        <v>577.4</v>
      </c>
    </row>
    <row r="399" spans="1:23" x14ac:dyDescent="0.25">
      <c r="A399">
        <v>5560</v>
      </c>
      <c r="B399">
        <v>22250</v>
      </c>
      <c r="C399" s="1">
        <v>42976</v>
      </c>
      <c r="G399">
        <v>26.7</v>
      </c>
      <c r="H399">
        <v>20</v>
      </c>
      <c r="I399">
        <v>34.799999999999997</v>
      </c>
      <c r="M399">
        <v>0</v>
      </c>
      <c r="N399">
        <v>6.9</v>
      </c>
      <c r="W399">
        <v>2317.4</v>
      </c>
    </row>
    <row r="400" spans="1:23" x14ac:dyDescent="0.25">
      <c r="A400">
        <v>5560</v>
      </c>
      <c r="B400">
        <v>22250</v>
      </c>
      <c r="C400" s="1">
        <v>42977</v>
      </c>
      <c r="G400">
        <v>20</v>
      </c>
      <c r="H400">
        <v>19.600000000000001</v>
      </c>
      <c r="I400">
        <v>23.1</v>
      </c>
      <c r="M400">
        <v>1.2</v>
      </c>
      <c r="N400">
        <v>2.5</v>
      </c>
      <c r="W400">
        <v>740.9</v>
      </c>
    </row>
    <row r="401" spans="1:23" x14ac:dyDescent="0.25">
      <c r="A401">
        <v>5560</v>
      </c>
      <c r="B401">
        <v>22250</v>
      </c>
      <c r="C401" s="1">
        <v>42978</v>
      </c>
      <c r="G401">
        <v>16.2</v>
      </c>
      <c r="H401">
        <v>11.4</v>
      </c>
      <c r="I401">
        <v>20.399999999999999</v>
      </c>
      <c r="M401">
        <v>0</v>
      </c>
      <c r="N401">
        <v>2.8</v>
      </c>
      <c r="W401">
        <v>1295</v>
      </c>
    </row>
  </sheetData>
  <mergeCells count="14">
    <mergeCell ref="D331:F331"/>
    <mergeCell ref="A343:F343"/>
    <mergeCell ref="F184:F245"/>
    <mergeCell ref="F246:F266"/>
    <mergeCell ref="F267:F294"/>
    <mergeCell ref="F295:F311"/>
    <mergeCell ref="F312:F330"/>
    <mergeCell ref="F124:F183"/>
    <mergeCell ref="G1:L1"/>
    <mergeCell ref="M1:P1"/>
    <mergeCell ref="Q1:U1"/>
    <mergeCell ref="W1:AB1"/>
    <mergeCell ref="A39:F39"/>
    <mergeCell ref="F40:F123"/>
  </mergeCells>
  <conditionalFormatting sqref="O2">
    <cfRule type="cellIs" dxfId="26" priority="27" operator="lessThan">
      <formula>0</formula>
    </cfRule>
  </conditionalFormatting>
  <conditionalFormatting sqref="O1:O2">
    <cfRule type="cellIs" dxfId="25" priority="26" operator="lessThan">
      <formula>0</formula>
    </cfRule>
  </conditionalFormatting>
  <conditionalFormatting sqref="G1:I2">
    <cfRule type="cellIs" dxfId="24" priority="23" operator="greaterThanOrEqual">
      <formula>25</formula>
    </cfRule>
    <cfRule type="cellIs" dxfId="23" priority="24" operator="between">
      <formula>0</formula>
      <formula>5</formula>
    </cfRule>
    <cfRule type="cellIs" dxfId="22" priority="25" operator="lessThan">
      <formula>0</formula>
    </cfRule>
  </conditionalFormatting>
  <conditionalFormatting sqref="O1:O2">
    <cfRule type="cellIs" dxfId="21" priority="22" operator="lessThan">
      <formula>0</formula>
    </cfRule>
  </conditionalFormatting>
  <conditionalFormatting sqref="W1:W2">
    <cfRule type="cellIs" dxfId="20" priority="21" operator="lessThan">
      <formula>900</formula>
    </cfRule>
  </conditionalFormatting>
  <conditionalFormatting sqref="G1:I1048576">
    <cfRule type="cellIs" dxfId="19" priority="18" operator="greaterThanOrEqual">
      <formula>25</formula>
    </cfRule>
    <cfRule type="cellIs" dxfId="18" priority="19" operator="between">
      <formula>0</formula>
      <formula>5</formula>
    </cfRule>
    <cfRule type="cellIs" dxfId="17" priority="20" operator="lessThanOrEqual">
      <formula>0</formula>
    </cfRule>
  </conditionalFormatting>
  <conditionalFormatting sqref="L41 L49 L53 L51">
    <cfRule type="cellIs" dxfId="16" priority="16" operator="lessThanOrEqual">
      <formula>0</formula>
    </cfRule>
    <cfRule type="cellIs" dxfId="15" priority="17" operator="lessThanOrEqual">
      <formula>5</formula>
    </cfRule>
  </conditionalFormatting>
  <conditionalFormatting sqref="L125 L133 L137 L135">
    <cfRule type="cellIs" dxfId="14" priority="14" operator="lessThanOrEqual">
      <formula>0</formula>
    </cfRule>
    <cfRule type="cellIs" dxfId="13" priority="15" operator="lessThanOrEqual">
      <formula>5</formula>
    </cfRule>
  </conditionalFormatting>
  <conditionalFormatting sqref="L185 L193 L197 L195">
    <cfRule type="cellIs" dxfId="12" priority="12" operator="lessThanOrEqual">
      <formula>0</formula>
    </cfRule>
    <cfRule type="cellIs" dxfId="11" priority="13" operator="lessThanOrEqual">
      <formula>5</formula>
    </cfRule>
  </conditionalFormatting>
  <conditionalFormatting sqref="L247 L259 L257 L255">
    <cfRule type="cellIs" dxfId="10" priority="10" operator="lessThanOrEqual">
      <formula>0</formula>
    </cfRule>
    <cfRule type="cellIs" dxfId="9" priority="11" operator="lessThanOrEqual">
      <formula>5</formula>
    </cfRule>
  </conditionalFormatting>
  <conditionalFormatting sqref="L268 L276 L278 L280">
    <cfRule type="cellIs" dxfId="8" priority="8" operator="lessThanOrEqual">
      <formula>0</formula>
    </cfRule>
    <cfRule type="cellIs" dxfId="7" priority="9" operator="lessThanOrEqual">
      <formula>5</formula>
    </cfRule>
  </conditionalFormatting>
  <conditionalFormatting sqref="L296 L306">
    <cfRule type="cellIs" dxfId="6" priority="6" operator="lessThanOrEqual">
      <formula>0</formula>
    </cfRule>
    <cfRule type="cellIs" dxfId="5" priority="7" operator="lessThanOrEqual">
      <formula>5</formula>
    </cfRule>
  </conditionalFormatting>
  <conditionalFormatting sqref="O1:O1048576">
    <cfRule type="cellIs" dxfId="4" priority="5" operator="lessThan">
      <formula>0</formula>
    </cfRule>
  </conditionalFormatting>
  <conditionalFormatting sqref="T40:T342 U40:U48">
    <cfRule type="cellIs" dxfId="3" priority="4" operator="lessThan">
      <formula>0</formula>
    </cfRule>
  </conditionalFormatting>
  <conditionalFormatting sqref="W40:W342">
    <cfRule type="cellIs" dxfId="2" priority="3" operator="lessThan">
      <formula>900</formula>
    </cfRule>
  </conditionalFormatting>
  <conditionalFormatting sqref="U40:U342">
    <cfRule type="cellIs" dxfId="1" priority="1" operator="equal">
      <formula>0</formula>
    </cfRule>
    <cfRule type="cellIs" dxfId="0" priority="2" operator="lessThanOrEqual">
      <formula>40.7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N+</vt:lpstr>
      <vt:lpstr>N-</vt:lpstr>
    </vt:vector>
  </TitlesOfParts>
  <Company>INRA - RENNES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adminigepp</cp:lastModifiedBy>
  <dcterms:created xsi:type="dcterms:W3CDTF">2018-11-12T13:40:16Z</dcterms:created>
  <dcterms:modified xsi:type="dcterms:W3CDTF">2019-11-27T10:39:41Z</dcterms:modified>
</cp:coreProperties>
</file>