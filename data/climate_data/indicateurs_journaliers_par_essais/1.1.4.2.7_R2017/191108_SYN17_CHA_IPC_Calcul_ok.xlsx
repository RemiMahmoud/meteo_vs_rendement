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28800" windowHeight="1170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29" i="1" l="1"/>
  <c r="AC221" i="1"/>
  <c r="AC207" i="1"/>
  <c r="AD219" i="1" s="1"/>
  <c r="AC199" i="1"/>
  <c r="AD217" i="1"/>
  <c r="AD215" i="1"/>
  <c r="AD213" i="1"/>
  <c r="AD220" i="2"/>
  <c r="AD218" i="2"/>
  <c r="AD216" i="2"/>
  <c r="AD214" i="2"/>
  <c r="AD212" i="2"/>
  <c r="AC229" i="2"/>
  <c r="AC221" i="2"/>
  <c r="AC207" i="2"/>
  <c r="AC199" i="2"/>
  <c r="AD211" i="1" l="1"/>
  <c r="L298" i="2"/>
  <c r="V275" i="2"/>
  <c r="V273" i="2"/>
  <c r="V271" i="2"/>
  <c r="L273" i="2"/>
  <c r="L271" i="2"/>
  <c r="L269" i="2"/>
  <c r="V254" i="2"/>
  <c r="V252" i="2"/>
  <c r="V250" i="2"/>
  <c r="L252" i="2"/>
  <c r="L250" i="2"/>
  <c r="L248" i="2"/>
  <c r="L194" i="2"/>
  <c r="L192" i="2"/>
  <c r="L190" i="2"/>
  <c r="V198" i="2"/>
  <c r="V196" i="2"/>
  <c r="V194" i="2"/>
  <c r="V192" i="2"/>
  <c r="Z312" i="2"/>
  <c r="Z295" i="2"/>
  <c r="Z266" i="2"/>
  <c r="U188" i="2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K295" i="2"/>
  <c r="K266" i="2"/>
  <c r="K245" i="2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Z245" i="2"/>
  <c r="R188" i="2"/>
  <c r="R189" i="2"/>
  <c r="R190" i="2"/>
  <c r="R191" i="2"/>
  <c r="R192" i="2"/>
  <c r="R193" i="2"/>
  <c r="R194" i="2"/>
  <c r="R195" i="2"/>
  <c r="S195" i="2" s="1"/>
  <c r="T195" i="2" s="1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S211" i="2" s="1"/>
  <c r="T211" i="2" s="1"/>
  <c r="R212" i="2"/>
  <c r="R213" i="2"/>
  <c r="R214" i="2"/>
  <c r="R215" i="2"/>
  <c r="R216" i="2"/>
  <c r="R217" i="2"/>
  <c r="R218" i="2"/>
  <c r="R219" i="2"/>
  <c r="S219" i="2" s="1"/>
  <c r="T219" i="2" s="1"/>
  <c r="R220" i="2"/>
  <c r="R221" i="2"/>
  <c r="R222" i="2"/>
  <c r="R223" i="2"/>
  <c r="R224" i="2"/>
  <c r="R225" i="2"/>
  <c r="R226" i="2"/>
  <c r="R227" i="2"/>
  <c r="S227" i="2" s="1"/>
  <c r="T227" i="2" s="1"/>
  <c r="R228" i="2"/>
  <c r="R229" i="2"/>
  <c r="R230" i="2"/>
  <c r="R231" i="2"/>
  <c r="R232" i="2"/>
  <c r="R233" i="2"/>
  <c r="R234" i="2"/>
  <c r="R235" i="2"/>
  <c r="S235" i="2" s="1"/>
  <c r="T235" i="2" s="1"/>
  <c r="R236" i="2"/>
  <c r="R237" i="2"/>
  <c r="R238" i="2"/>
  <c r="R239" i="2"/>
  <c r="R240" i="2"/>
  <c r="R241" i="2"/>
  <c r="R242" i="2"/>
  <c r="R243" i="2"/>
  <c r="S243" i="2" s="1"/>
  <c r="T243" i="2" s="1"/>
  <c r="R244" i="2"/>
  <c r="R187" i="2"/>
  <c r="Z246" i="2"/>
  <c r="Z247" i="2" s="1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R373" i="2"/>
  <c r="S373" i="2" s="1"/>
  <c r="T373" i="2" s="1"/>
  <c r="O373" i="2"/>
  <c r="S372" i="2"/>
  <c r="T372" i="2" s="1"/>
  <c r="R372" i="2"/>
  <c r="O372" i="2"/>
  <c r="R371" i="2"/>
  <c r="S371" i="2" s="1"/>
  <c r="T371" i="2" s="1"/>
  <c r="O371" i="2"/>
  <c r="S370" i="2"/>
  <c r="T370" i="2" s="1"/>
  <c r="R370" i="2"/>
  <c r="O370" i="2"/>
  <c r="R369" i="2"/>
  <c r="S369" i="2" s="1"/>
  <c r="T369" i="2" s="1"/>
  <c r="O369" i="2"/>
  <c r="S368" i="2"/>
  <c r="T368" i="2" s="1"/>
  <c r="R368" i="2"/>
  <c r="O368" i="2"/>
  <c r="R367" i="2"/>
  <c r="S367" i="2" s="1"/>
  <c r="T367" i="2" s="1"/>
  <c r="O367" i="2"/>
  <c r="S366" i="2"/>
  <c r="T366" i="2" s="1"/>
  <c r="R366" i="2"/>
  <c r="O366" i="2"/>
  <c r="R365" i="2"/>
  <c r="S365" i="2" s="1"/>
  <c r="T365" i="2" s="1"/>
  <c r="P365" i="2"/>
  <c r="P366" i="2" s="1"/>
  <c r="O365" i="2"/>
  <c r="S364" i="2"/>
  <c r="T364" i="2" s="1"/>
  <c r="R364" i="2"/>
  <c r="O364" i="2"/>
  <c r="S363" i="2"/>
  <c r="T363" i="2" s="1"/>
  <c r="R363" i="2"/>
  <c r="O363" i="2"/>
  <c r="S362" i="2"/>
  <c r="T362" i="2" s="1"/>
  <c r="R362" i="2"/>
  <c r="O362" i="2"/>
  <c r="R361" i="2"/>
  <c r="S361" i="2" s="1"/>
  <c r="T361" i="2" s="1"/>
  <c r="P361" i="2"/>
  <c r="P362" i="2" s="1"/>
  <c r="P363" i="2" s="1"/>
  <c r="P364" i="2" s="1"/>
  <c r="O361" i="2"/>
  <c r="S360" i="2"/>
  <c r="T360" i="2" s="1"/>
  <c r="R360" i="2"/>
  <c r="O360" i="2"/>
  <c r="T359" i="2"/>
  <c r="R359" i="2"/>
  <c r="S359" i="2" s="1"/>
  <c r="O359" i="2"/>
  <c r="S358" i="2"/>
  <c r="T358" i="2" s="1"/>
  <c r="R358" i="2"/>
  <c r="O358" i="2"/>
  <c r="R357" i="2"/>
  <c r="S357" i="2" s="1"/>
  <c r="T357" i="2" s="1"/>
  <c r="O357" i="2"/>
  <c r="S356" i="2"/>
  <c r="T356" i="2" s="1"/>
  <c r="R356" i="2"/>
  <c r="O356" i="2"/>
  <c r="R355" i="2"/>
  <c r="S355" i="2" s="1"/>
  <c r="T355" i="2" s="1"/>
  <c r="O355" i="2"/>
  <c r="R354" i="2"/>
  <c r="S354" i="2" s="1"/>
  <c r="T354" i="2" s="1"/>
  <c r="O354" i="2"/>
  <c r="R353" i="2"/>
  <c r="S353" i="2" s="1"/>
  <c r="T353" i="2" s="1"/>
  <c r="O353" i="2"/>
  <c r="S352" i="2"/>
  <c r="T352" i="2" s="1"/>
  <c r="R352" i="2"/>
  <c r="O352" i="2"/>
  <c r="S351" i="2"/>
  <c r="T351" i="2" s="1"/>
  <c r="R351" i="2"/>
  <c r="O351" i="2"/>
  <c r="S350" i="2"/>
  <c r="T350" i="2" s="1"/>
  <c r="R350" i="2"/>
  <c r="O350" i="2"/>
  <c r="R349" i="2"/>
  <c r="S349" i="2" s="1"/>
  <c r="T349" i="2" s="1"/>
  <c r="O349" i="2"/>
  <c r="S348" i="2"/>
  <c r="T348" i="2" s="1"/>
  <c r="R348" i="2"/>
  <c r="O348" i="2"/>
  <c r="S347" i="2"/>
  <c r="T347" i="2" s="1"/>
  <c r="R347" i="2"/>
  <c r="P347" i="2"/>
  <c r="P348" i="2" s="1"/>
  <c r="P349" i="2" s="1"/>
  <c r="P350" i="2" s="1"/>
  <c r="P351" i="2" s="1"/>
  <c r="P352" i="2" s="1"/>
  <c r="O347" i="2"/>
  <c r="S346" i="2"/>
  <c r="T346" i="2" s="1"/>
  <c r="R346" i="2"/>
  <c r="O346" i="2"/>
  <c r="T345" i="2"/>
  <c r="S345" i="2"/>
  <c r="R345" i="2"/>
  <c r="O345" i="2"/>
  <c r="R344" i="2"/>
  <c r="S344" i="2" s="1"/>
  <c r="T344" i="2" s="1"/>
  <c r="O344" i="2"/>
  <c r="R343" i="2"/>
  <c r="S343" i="2" s="1"/>
  <c r="T343" i="2" s="1"/>
  <c r="O343" i="2"/>
  <c r="R342" i="2"/>
  <c r="S342" i="2" s="1"/>
  <c r="T342" i="2" s="1"/>
  <c r="O342" i="2"/>
  <c r="R341" i="2"/>
  <c r="S341" i="2" s="1"/>
  <c r="T341" i="2" s="1"/>
  <c r="O341" i="2"/>
  <c r="R340" i="2"/>
  <c r="S340" i="2" s="1"/>
  <c r="T340" i="2" s="1"/>
  <c r="O340" i="2"/>
  <c r="R339" i="2"/>
  <c r="S339" i="2" s="1"/>
  <c r="T339" i="2" s="1"/>
  <c r="O339" i="2"/>
  <c r="T338" i="2"/>
  <c r="R338" i="2"/>
  <c r="S338" i="2" s="1"/>
  <c r="O338" i="2"/>
  <c r="R337" i="2"/>
  <c r="S337" i="2" s="1"/>
  <c r="T337" i="2" s="1"/>
  <c r="O337" i="2"/>
  <c r="R336" i="2"/>
  <c r="S336" i="2" s="1"/>
  <c r="T336" i="2" s="1"/>
  <c r="O336" i="2"/>
  <c r="R335" i="2"/>
  <c r="S335" i="2" s="1"/>
  <c r="T335" i="2" s="1"/>
  <c r="O335" i="2"/>
  <c r="R334" i="2"/>
  <c r="S334" i="2" s="1"/>
  <c r="T334" i="2" s="1"/>
  <c r="O334" i="2"/>
  <c r="R333" i="2"/>
  <c r="S333" i="2" s="1"/>
  <c r="T333" i="2" s="1"/>
  <c r="O333" i="2"/>
  <c r="R332" i="2"/>
  <c r="S332" i="2" s="1"/>
  <c r="T332" i="2" s="1"/>
  <c r="O332" i="2"/>
  <c r="R331" i="2"/>
  <c r="S331" i="2" s="1"/>
  <c r="T331" i="2" s="1"/>
  <c r="O331" i="2"/>
  <c r="R330" i="2"/>
  <c r="S330" i="2" s="1"/>
  <c r="T330" i="2" s="1"/>
  <c r="O330" i="2"/>
  <c r="R329" i="2"/>
  <c r="S329" i="2" s="1"/>
  <c r="T329" i="2" s="1"/>
  <c r="O329" i="2"/>
  <c r="R328" i="2"/>
  <c r="S328" i="2" s="1"/>
  <c r="T328" i="2" s="1"/>
  <c r="O328" i="2"/>
  <c r="R327" i="2"/>
  <c r="S327" i="2" s="1"/>
  <c r="T327" i="2" s="1"/>
  <c r="O327" i="2"/>
  <c r="R326" i="2"/>
  <c r="S326" i="2" s="1"/>
  <c r="T326" i="2" s="1"/>
  <c r="O326" i="2"/>
  <c r="R325" i="2"/>
  <c r="S325" i="2" s="1"/>
  <c r="T325" i="2" s="1"/>
  <c r="O325" i="2"/>
  <c r="T324" i="2"/>
  <c r="R324" i="2"/>
  <c r="S324" i="2" s="1"/>
  <c r="O324" i="2"/>
  <c r="S323" i="2"/>
  <c r="T323" i="2" s="1"/>
  <c r="R323" i="2"/>
  <c r="O323" i="2"/>
  <c r="S322" i="2"/>
  <c r="T322" i="2" s="1"/>
  <c r="R322" i="2"/>
  <c r="O322" i="2"/>
  <c r="R321" i="2"/>
  <c r="S321" i="2" s="1"/>
  <c r="T321" i="2" s="1"/>
  <c r="O321" i="2"/>
  <c r="R320" i="2"/>
  <c r="S320" i="2" s="1"/>
  <c r="T320" i="2" s="1"/>
  <c r="O320" i="2"/>
  <c r="S319" i="2"/>
  <c r="T319" i="2" s="1"/>
  <c r="R319" i="2"/>
  <c r="O319" i="2"/>
  <c r="L319" i="2"/>
  <c r="R318" i="2"/>
  <c r="S318" i="2" s="1"/>
  <c r="T318" i="2" s="1"/>
  <c r="O318" i="2"/>
  <c r="S317" i="2"/>
  <c r="T317" i="2" s="1"/>
  <c r="R317" i="2"/>
  <c r="O317" i="2"/>
  <c r="L317" i="2"/>
  <c r="R316" i="2"/>
  <c r="S316" i="2" s="1"/>
  <c r="T316" i="2" s="1"/>
  <c r="O316" i="2"/>
  <c r="AB315" i="2"/>
  <c r="S315" i="2"/>
  <c r="T315" i="2" s="1"/>
  <c r="R315" i="2"/>
  <c r="O315" i="2"/>
  <c r="L315" i="2"/>
  <c r="R314" i="2"/>
  <c r="S314" i="2" s="1"/>
  <c r="T314" i="2" s="1"/>
  <c r="O314" i="2"/>
  <c r="T313" i="2"/>
  <c r="R313" i="2"/>
  <c r="S313" i="2" s="1"/>
  <c r="O313" i="2"/>
  <c r="R312" i="2"/>
  <c r="S312" i="2" s="1"/>
  <c r="T312" i="2" s="1"/>
  <c r="O312" i="2"/>
  <c r="R311" i="2"/>
  <c r="S311" i="2" s="1"/>
  <c r="T311" i="2" s="1"/>
  <c r="O311" i="2"/>
  <c r="T310" i="2"/>
  <c r="R310" i="2"/>
  <c r="S310" i="2" s="1"/>
  <c r="O310" i="2"/>
  <c r="T309" i="2"/>
  <c r="R309" i="2"/>
  <c r="S309" i="2" s="1"/>
  <c r="O309" i="2"/>
  <c r="R308" i="2"/>
  <c r="S308" i="2" s="1"/>
  <c r="T308" i="2" s="1"/>
  <c r="O308" i="2"/>
  <c r="R307" i="2"/>
  <c r="S307" i="2" s="1"/>
  <c r="T307" i="2" s="1"/>
  <c r="O307" i="2"/>
  <c r="S306" i="2"/>
  <c r="T306" i="2" s="1"/>
  <c r="R306" i="2"/>
  <c r="O306" i="2"/>
  <c r="S305" i="2"/>
  <c r="T305" i="2" s="1"/>
  <c r="R305" i="2"/>
  <c r="O305" i="2"/>
  <c r="R304" i="2"/>
  <c r="S304" i="2" s="1"/>
  <c r="T304" i="2" s="1"/>
  <c r="O304" i="2"/>
  <c r="R303" i="2"/>
  <c r="S303" i="2" s="1"/>
  <c r="T303" i="2" s="1"/>
  <c r="O303" i="2"/>
  <c r="S302" i="2"/>
  <c r="T302" i="2" s="1"/>
  <c r="R302" i="2"/>
  <c r="O302" i="2"/>
  <c r="L302" i="2"/>
  <c r="R301" i="2"/>
  <c r="S301" i="2" s="1"/>
  <c r="T301" i="2" s="1"/>
  <c r="O301" i="2"/>
  <c r="S300" i="2"/>
  <c r="T300" i="2" s="1"/>
  <c r="R300" i="2"/>
  <c r="O300" i="2"/>
  <c r="L300" i="2"/>
  <c r="T299" i="2"/>
  <c r="R299" i="2"/>
  <c r="S299" i="2" s="1"/>
  <c r="O299" i="2"/>
  <c r="AB298" i="2"/>
  <c r="S298" i="2"/>
  <c r="T298" i="2" s="1"/>
  <c r="R298" i="2"/>
  <c r="O298" i="2"/>
  <c r="R297" i="2"/>
  <c r="S297" i="2" s="1"/>
  <c r="T297" i="2" s="1"/>
  <c r="O297" i="2"/>
  <c r="T296" i="2"/>
  <c r="R296" i="2"/>
  <c r="S296" i="2" s="1"/>
  <c r="O296" i="2"/>
  <c r="R295" i="2"/>
  <c r="S295" i="2" s="1"/>
  <c r="T295" i="2" s="1"/>
  <c r="O295" i="2"/>
  <c r="T294" i="2"/>
  <c r="S294" i="2"/>
  <c r="O294" i="2"/>
  <c r="S293" i="2"/>
  <c r="T293" i="2" s="1"/>
  <c r="O293" i="2"/>
  <c r="T292" i="2"/>
  <c r="S292" i="2"/>
  <c r="O292" i="2"/>
  <c r="S291" i="2"/>
  <c r="T291" i="2" s="1"/>
  <c r="O291" i="2"/>
  <c r="T290" i="2"/>
  <c r="S290" i="2"/>
  <c r="O290" i="2"/>
  <c r="T289" i="2"/>
  <c r="S289" i="2"/>
  <c r="O289" i="2"/>
  <c r="S288" i="2"/>
  <c r="T288" i="2" s="1"/>
  <c r="O288" i="2"/>
  <c r="S287" i="2"/>
  <c r="T287" i="2" s="1"/>
  <c r="O287" i="2"/>
  <c r="T286" i="2"/>
  <c r="S286" i="2"/>
  <c r="O286" i="2"/>
  <c r="S285" i="2"/>
  <c r="T285" i="2" s="1"/>
  <c r="O285" i="2"/>
  <c r="T284" i="2"/>
  <c r="S284" i="2"/>
  <c r="O284" i="2"/>
  <c r="S283" i="2"/>
  <c r="T283" i="2" s="1"/>
  <c r="O283" i="2"/>
  <c r="T282" i="2"/>
  <c r="S282" i="2"/>
  <c r="O282" i="2"/>
  <c r="T281" i="2"/>
  <c r="S281" i="2"/>
  <c r="O281" i="2"/>
  <c r="S280" i="2"/>
  <c r="T280" i="2" s="1"/>
  <c r="O280" i="2"/>
  <c r="S279" i="2"/>
  <c r="T279" i="2" s="1"/>
  <c r="O279" i="2"/>
  <c r="S278" i="2"/>
  <c r="T278" i="2" s="1"/>
  <c r="O278" i="2"/>
  <c r="T277" i="2"/>
  <c r="S277" i="2"/>
  <c r="O277" i="2"/>
  <c r="T276" i="2"/>
  <c r="S276" i="2"/>
  <c r="O276" i="2"/>
  <c r="T275" i="2"/>
  <c r="S275" i="2"/>
  <c r="O275" i="2"/>
  <c r="S274" i="2"/>
  <c r="T274" i="2" s="1"/>
  <c r="O274" i="2"/>
  <c r="S273" i="2"/>
  <c r="T273" i="2" s="1"/>
  <c r="O273" i="2"/>
  <c r="S272" i="2"/>
  <c r="T272" i="2" s="1"/>
  <c r="O272" i="2"/>
  <c r="T271" i="2"/>
  <c r="S271" i="2"/>
  <c r="O271" i="2"/>
  <c r="AB269" i="2"/>
  <c r="S270" i="2"/>
  <c r="T270" i="2" s="1"/>
  <c r="O270" i="2"/>
  <c r="S269" i="2"/>
  <c r="T269" i="2" s="1"/>
  <c r="O269" i="2"/>
  <c r="T268" i="2"/>
  <c r="S268" i="2"/>
  <c r="O268" i="2"/>
  <c r="S267" i="2"/>
  <c r="T267" i="2" s="1"/>
  <c r="O267" i="2"/>
  <c r="T266" i="2"/>
  <c r="S266" i="2"/>
  <c r="O266" i="2"/>
  <c r="S265" i="2"/>
  <c r="T265" i="2" s="1"/>
  <c r="O265" i="2"/>
  <c r="S264" i="2"/>
  <c r="T264" i="2" s="1"/>
  <c r="O264" i="2"/>
  <c r="S263" i="2"/>
  <c r="T263" i="2" s="1"/>
  <c r="O263" i="2"/>
  <c r="T262" i="2"/>
  <c r="S262" i="2"/>
  <c r="O262" i="2"/>
  <c r="S261" i="2"/>
  <c r="T261" i="2" s="1"/>
  <c r="O261" i="2"/>
  <c r="T260" i="2"/>
  <c r="S260" i="2"/>
  <c r="O260" i="2"/>
  <c r="S259" i="2"/>
  <c r="T259" i="2" s="1"/>
  <c r="O259" i="2"/>
  <c r="T258" i="2"/>
  <c r="S258" i="2"/>
  <c r="O258" i="2"/>
  <c r="S257" i="2"/>
  <c r="T257" i="2" s="1"/>
  <c r="O257" i="2"/>
  <c r="T256" i="2"/>
  <c r="S256" i="2"/>
  <c r="O256" i="2"/>
  <c r="S255" i="2"/>
  <c r="T255" i="2" s="1"/>
  <c r="O255" i="2"/>
  <c r="T254" i="2"/>
  <c r="S254" i="2"/>
  <c r="O254" i="2"/>
  <c r="T253" i="2"/>
  <c r="S253" i="2"/>
  <c r="O253" i="2"/>
  <c r="S252" i="2"/>
  <c r="T252" i="2" s="1"/>
  <c r="O252" i="2"/>
  <c r="T251" i="2"/>
  <c r="S251" i="2"/>
  <c r="O251" i="2"/>
  <c r="T250" i="2"/>
  <c r="S250" i="2"/>
  <c r="O250" i="2"/>
  <c r="AB248" i="2"/>
  <c r="T249" i="2"/>
  <c r="S249" i="2"/>
  <c r="O249" i="2"/>
  <c r="S248" i="2"/>
  <c r="T248" i="2" s="1"/>
  <c r="O248" i="2"/>
  <c r="S247" i="2"/>
  <c r="T247" i="2" s="1"/>
  <c r="O247" i="2"/>
  <c r="T246" i="2"/>
  <c r="S246" i="2"/>
  <c r="O246" i="2"/>
  <c r="S245" i="2"/>
  <c r="T245" i="2" s="1"/>
  <c r="O245" i="2"/>
  <c r="S244" i="2"/>
  <c r="T244" i="2" s="1"/>
  <c r="O244" i="2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O235" i="2"/>
  <c r="T234" i="2"/>
  <c r="S234" i="2"/>
  <c r="O234" i="2"/>
  <c r="S233" i="2"/>
  <c r="T233" i="2" s="1"/>
  <c r="O233" i="2"/>
  <c r="S232" i="2"/>
  <c r="T232" i="2" s="1"/>
  <c r="O232" i="2"/>
  <c r="K232" i="2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J221" i="2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S220" i="2"/>
  <c r="T220" i="2" s="1"/>
  <c r="O220" i="2"/>
  <c r="O219" i="2"/>
  <c r="S218" i="2"/>
  <c r="T218" i="2" s="1"/>
  <c r="O218" i="2"/>
  <c r="S217" i="2"/>
  <c r="T217" i="2" s="1"/>
  <c r="O217" i="2"/>
  <c r="S216" i="2"/>
  <c r="T216" i="2" s="1"/>
  <c r="O216" i="2"/>
  <c r="S215" i="2"/>
  <c r="T215" i="2" s="1"/>
  <c r="O215" i="2"/>
  <c r="T214" i="2"/>
  <c r="S214" i="2"/>
  <c r="O214" i="2"/>
  <c r="S213" i="2"/>
  <c r="T213" i="2" s="1"/>
  <c r="O213" i="2"/>
  <c r="S212" i="2"/>
  <c r="T212" i="2" s="1"/>
  <c r="O212" i="2"/>
  <c r="O211" i="2"/>
  <c r="Z210" i="2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S210" i="2"/>
  <c r="T210" i="2" s="1"/>
  <c r="O210" i="2"/>
  <c r="J210" i="2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J202" i="2"/>
  <c r="J203" i="2" s="1"/>
  <c r="J204" i="2" s="1"/>
  <c r="J205" i="2" s="1"/>
  <c r="J206" i="2" s="1"/>
  <c r="J207" i="2" s="1"/>
  <c r="J208" i="2" s="1"/>
  <c r="J209" i="2" s="1"/>
  <c r="S201" i="2"/>
  <c r="T201" i="2" s="1"/>
  <c r="O201" i="2"/>
  <c r="S200" i="2"/>
  <c r="T200" i="2" s="1"/>
  <c r="O200" i="2"/>
  <c r="K200" i="2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J200" i="2"/>
  <c r="J201" i="2" s="1"/>
  <c r="S199" i="2"/>
  <c r="T199" i="2" s="1"/>
  <c r="O199" i="2"/>
  <c r="S198" i="2"/>
  <c r="T198" i="2" s="1"/>
  <c r="O198" i="2"/>
  <c r="S197" i="2"/>
  <c r="T197" i="2" s="1"/>
  <c r="O197" i="2"/>
  <c r="K197" i="2"/>
  <c r="K198" i="2" s="1"/>
  <c r="S196" i="2"/>
  <c r="T196" i="2" s="1"/>
  <c r="O196" i="2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AB190" i="2"/>
  <c r="S190" i="2"/>
  <c r="T190" i="2" s="1"/>
  <c r="O190" i="2"/>
  <c r="K190" i="2"/>
  <c r="K191" i="2" s="1"/>
  <c r="K192" i="2" s="1"/>
  <c r="K193" i="2" s="1"/>
  <c r="K194" i="2" s="1"/>
  <c r="K195" i="2" s="1"/>
  <c r="K196" i="2" s="1"/>
  <c r="S189" i="2"/>
  <c r="T189" i="2" s="1"/>
  <c r="O189" i="2"/>
  <c r="K189" i="2"/>
  <c r="S188" i="2"/>
  <c r="T188" i="2" s="1"/>
  <c r="O188" i="2"/>
  <c r="K188" i="2"/>
  <c r="Z187" i="2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S187" i="2"/>
  <c r="T187" i="2" s="1"/>
  <c r="O187" i="2"/>
  <c r="T186" i="2"/>
  <c r="S186" i="2"/>
  <c r="O186" i="2"/>
  <c r="T185" i="2"/>
  <c r="S185" i="2"/>
  <c r="O185" i="2"/>
  <c r="K185" i="2"/>
  <c r="K186" i="2" s="1"/>
  <c r="J185" i="2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S184" i="2"/>
  <c r="T184" i="2" s="1"/>
  <c r="O184" i="2"/>
  <c r="K184" i="2"/>
  <c r="J184" i="2"/>
  <c r="T183" i="2"/>
  <c r="S183" i="2"/>
  <c r="O183" i="2"/>
  <c r="S182" i="2"/>
  <c r="T182" i="2" s="1"/>
  <c r="O182" i="2"/>
  <c r="T181" i="2"/>
  <c r="S181" i="2"/>
  <c r="O181" i="2"/>
  <c r="S180" i="2"/>
  <c r="T180" i="2" s="1"/>
  <c r="O180" i="2"/>
  <c r="S179" i="2"/>
  <c r="T179" i="2" s="1"/>
  <c r="O179" i="2"/>
  <c r="T178" i="2"/>
  <c r="S178" i="2"/>
  <c r="O178" i="2"/>
  <c r="S177" i="2"/>
  <c r="T177" i="2" s="1"/>
  <c r="O177" i="2"/>
  <c r="S176" i="2"/>
  <c r="T176" i="2" s="1"/>
  <c r="O176" i="2"/>
  <c r="T175" i="2"/>
  <c r="S175" i="2"/>
  <c r="O175" i="2"/>
  <c r="S174" i="2"/>
  <c r="T174" i="2" s="1"/>
  <c r="O174" i="2"/>
  <c r="T173" i="2"/>
  <c r="S173" i="2"/>
  <c r="O173" i="2"/>
  <c r="S172" i="2"/>
  <c r="T172" i="2" s="1"/>
  <c r="O172" i="2"/>
  <c r="T171" i="2"/>
  <c r="S171" i="2"/>
  <c r="O171" i="2"/>
  <c r="S170" i="2"/>
  <c r="T170" i="2" s="1"/>
  <c r="O170" i="2"/>
  <c r="T169" i="2"/>
  <c r="S169" i="2"/>
  <c r="O169" i="2"/>
  <c r="S168" i="2"/>
  <c r="T168" i="2" s="1"/>
  <c r="O168" i="2"/>
  <c r="S167" i="2"/>
  <c r="T167" i="2" s="1"/>
  <c r="O167" i="2"/>
  <c r="T166" i="2"/>
  <c r="S166" i="2"/>
  <c r="O166" i="2"/>
  <c r="J166" i="2"/>
  <c r="J167" i="2" s="1"/>
  <c r="J168" i="2" s="1"/>
  <c r="J169" i="2" s="1"/>
  <c r="J170" i="2" s="1"/>
  <c r="J171" i="2" s="1"/>
  <c r="J172" i="2" s="1"/>
  <c r="J173" i="2" s="1"/>
  <c r="S165" i="2"/>
  <c r="T165" i="2" s="1"/>
  <c r="O165" i="2"/>
  <c r="K165" i="2"/>
  <c r="K166" i="2" s="1"/>
  <c r="K167" i="2" s="1"/>
  <c r="K168" i="2" s="1"/>
  <c r="K169" i="2" s="1"/>
  <c r="K170" i="2" s="1"/>
  <c r="K171" i="2" s="1"/>
  <c r="K172" i="2" s="1"/>
  <c r="K173" i="2" s="1"/>
  <c r="J165" i="2"/>
  <c r="T164" i="2"/>
  <c r="S164" i="2"/>
  <c r="O164" i="2"/>
  <c r="S163" i="2"/>
  <c r="T163" i="2" s="1"/>
  <c r="O163" i="2"/>
  <c r="T162" i="2"/>
  <c r="S162" i="2"/>
  <c r="O162" i="2"/>
  <c r="J162" i="2"/>
  <c r="S161" i="2"/>
  <c r="T161" i="2" s="1"/>
  <c r="O161" i="2"/>
  <c r="K161" i="2"/>
  <c r="K162" i="2" s="1"/>
  <c r="J161" i="2"/>
  <c r="T160" i="2"/>
  <c r="S160" i="2"/>
  <c r="O160" i="2"/>
  <c r="S159" i="2"/>
  <c r="T159" i="2" s="1"/>
  <c r="O159" i="2"/>
  <c r="K159" i="2"/>
  <c r="J159" i="2"/>
  <c r="T158" i="2"/>
  <c r="S158" i="2"/>
  <c r="O158" i="2"/>
  <c r="S157" i="2"/>
  <c r="T157" i="2" s="1"/>
  <c r="O157" i="2"/>
  <c r="T156" i="2"/>
  <c r="S156" i="2"/>
  <c r="O156" i="2"/>
  <c r="S155" i="2"/>
  <c r="T155" i="2" s="1"/>
  <c r="O155" i="2"/>
  <c r="S154" i="2"/>
  <c r="T154" i="2" s="1"/>
  <c r="O154" i="2"/>
  <c r="S153" i="2"/>
  <c r="T153" i="2" s="1"/>
  <c r="O153" i="2"/>
  <c r="T152" i="2"/>
  <c r="S152" i="2"/>
  <c r="O152" i="2"/>
  <c r="S151" i="2"/>
  <c r="T151" i="2" s="1"/>
  <c r="O151" i="2"/>
  <c r="T150" i="2"/>
  <c r="S150" i="2"/>
  <c r="O150" i="2"/>
  <c r="S149" i="2"/>
  <c r="T149" i="2" s="1"/>
  <c r="O149" i="2"/>
  <c r="S148" i="2"/>
  <c r="T148" i="2" s="1"/>
  <c r="O148" i="2"/>
  <c r="T147" i="2"/>
  <c r="S147" i="2"/>
  <c r="O147" i="2"/>
  <c r="S146" i="2"/>
  <c r="T146" i="2" s="1"/>
  <c r="O146" i="2"/>
  <c r="S145" i="2"/>
  <c r="T145" i="2" s="1"/>
  <c r="O145" i="2"/>
  <c r="T144" i="2"/>
  <c r="S144" i="2"/>
  <c r="O144" i="2"/>
  <c r="S143" i="2"/>
  <c r="T143" i="2" s="1"/>
  <c r="O143" i="2"/>
  <c r="T142" i="2"/>
  <c r="S142" i="2"/>
  <c r="O142" i="2"/>
  <c r="S141" i="2"/>
  <c r="T141" i="2" s="1"/>
  <c r="O141" i="2"/>
  <c r="S140" i="2"/>
  <c r="T140" i="2" s="1"/>
  <c r="O140" i="2"/>
  <c r="T139" i="2"/>
  <c r="S139" i="2"/>
  <c r="O139" i="2"/>
  <c r="S138" i="2"/>
  <c r="T138" i="2" s="1"/>
  <c r="O138" i="2"/>
  <c r="S137" i="2"/>
  <c r="T137" i="2" s="1"/>
  <c r="O137" i="2"/>
  <c r="T136" i="2"/>
  <c r="S136" i="2"/>
  <c r="O136" i="2"/>
  <c r="T135" i="2"/>
  <c r="S135" i="2"/>
  <c r="O135" i="2"/>
  <c r="S134" i="2"/>
  <c r="T134" i="2" s="1"/>
  <c r="O134" i="2"/>
  <c r="T133" i="2"/>
  <c r="S133" i="2"/>
  <c r="O133" i="2"/>
  <c r="J133" i="2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S132" i="2"/>
  <c r="T132" i="2" s="1"/>
  <c r="O132" i="2"/>
  <c r="K132" i="2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T131" i="2"/>
  <c r="S131" i="2"/>
  <c r="O131" i="2"/>
  <c r="L131" i="2"/>
  <c r="T130" i="2"/>
  <c r="S130" i="2"/>
  <c r="O130" i="2"/>
  <c r="S129" i="2"/>
  <c r="T129" i="2" s="1"/>
  <c r="O129" i="2"/>
  <c r="L129" i="2"/>
  <c r="J129" i="2"/>
  <c r="J130" i="2" s="1"/>
  <c r="J131" i="2" s="1"/>
  <c r="J132" i="2" s="1"/>
  <c r="S128" i="2"/>
  <c r="T128" i="2" s="1"/>
  <c r="O128" i="2"/>
  <c r="K128" i="2"/>
  <c r="K129" i="2" s="1"/>
  <c r="K130" i="2" s="1"/>
  <c r="K131" i="2" s="1"/>
  <c r="J128" i="2"/>
  <c r="AB127" i="2"/>
  <c r="T127" i="2"/>
  <c r="S127" i="2"/>
  <c r="O127" i="2"/>
  <c r="L127" i="2"/>
  <c r="Z126" i="2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T126" i="2"/>
  <c r="S126" i="2"/>
  <c r="O126" i="2"/>
  <c r="Z125" i="2"/>
  <c r="S125" i="2"/>
  <c r="T125" i="2" s="1"/>
  <c r="O125" i="2"/>
  <c r="Z124" i="2"/>
  <c r="S124" i="2"/>
  <c r="T124" i="2" s="1"/>
  <c r="O124" i="2"/>
  <c r="K124" i="2"/>
  <c r="R123" i="2"/>
  <c r="S123" i="2" s="1"/>
  <c r="T123" i="2" s="1"/>
  <c r="O123" i="2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R110" i="2"/>
  <c r="S110" i="2" s="1"/>
  <c r="T110" i="2" s="1"/>
  <c r="O110" i="2"/>
  <c r="R109" i="2"/>
  <c r="S109" i="2" s="1"/>
  <c r="T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T104" i="2"/>
  <c r="S104" i="2"/>
  <c r="R104" i="2"/>
  <c r="O104" i="2"/>
  <c r="R103" i="2"/>
  <c r="S103" i="2" s="1"/>
  <c r="T103" i="2" s="1"/>
  <c r="O103" i="2"/>
  <c r="S102" i="2"/>
  <c r="T102" i="2" s="1"/>
  <c r="R102" i="2"/>
  <c r="O102" i="2"/>
  <c r="R101" i="2"/>
  <c r="S101" i="2" s="1"/>
  <c r="T101" i="2" s="1"/>
  <c r="O101" i="2"/>
  <c r="T100" i="2"/>
  <c r="S100" i="2"/>
  <c r="R100" i="2"/>
  <c r="O100" i="2"/>
  <c r="R99" i="2"/>
  <c r="S99" i="2" s="1"/>
  <c r="T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P78" i="2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O78" i="2"/>
  <c r="R77" i="2"/>
  <c r="S77" i="2" s="1"/>
  <c r="T77" i="2" s="1"/>
  <c r="O77" i="2"/>
  <c r="T76" i="2"/>
  <c r="S76" i="2"/>
  <c r="R76" i="2"/>
  <c r="O76" i="2"/>
  <c r="S75" i="2"/>
  <c r="T75" i="2" s="1"/>
  <c r="R75" i="2"/>
  <c r="O75" i="2"/>
  <c r="S74" i="2"/>
  <c r="T74" i="2" s="1"/>
  <c r="R74" i="2"/>
  <c r="O74" i="2"/>
  <c r="S73" i="2"/>
  <c r="T73" i="2" s="1"/>
  <c r="R73" i="2"/>
  <c r="O73" i="2"/>
  <c r="S72" i="2"/>
  <c r="T72" i="2" s="1"/>
  <c r="R72" i="2"/>
  <c r="O72" i="2"/>
  <c r="S71" i="2"/>
  <c r="T71" i="2" s="1"/>
  <c r="R71" i="2"/>
  <c r="O71" i="2"/>
  <c r="S70" i="2"/>
  <c r="T70" i="2" s="1"/>
  <c r="R70" i="2"/>
  <c r="O70" i="2"/>
  <c r="S69" i="2"/>
  <c r="T69" i="2" s="1"/>
  <c r="R69" i="2"/>
  <c r="O69" i="2"/>
  <c r="S68" i="2"/>
  <c r="T68" i="2" s="1"/>
  <c r="R68" i="2"/>
  <c r="O68" i="2"/>
  <c r="S67" i="2"/>
  <c r="T67" i="2" s="1"/>
  <c r="R67" i="2"/>
  <c r="O67" i="2"/>
  <c r="S66" i="2"/>
  <c r="T66" i="2" s="1"/>
  <c r="R66" i="2"/>
  <c r="O66" i="2"/>
  <c r="S65" i="2"/>
  <c r="T65" i="2" s="1"/>
  <c r="R65" i="2"/>
  <c r="O65" i="2"/>
  <c r="S64" i="2"/>
  <c r="T64" i="2" s="1"/>
  <c r="R64" i="2"/>
  <c r="O64" i="2"/>
  <c r="S63" i="2"/>
  <c r="T63" i="2" s="1"/>
  <c r="R63" i="2"/>
  <c r="O63" i="2"/>
  <c r="S62" i="2"/>
  <c r="T62" i="2" s="1"/>
  <c r="R62" i="2"/>
  <c r="O62" i="2"/>
  <c r="S61" i="2"/>
  <c r="T61" i="2" s="1"/>
  <c r="R61" i="2"/>
  <c r="O61" i="2"/>
  <c r="S60" i="2"/>
  <c r="T60" i="2" s="1"/>
  <c r="R60" i="2"/>
  <c r="O60" i="2"/>
  <c r="S59" i="2"/>
  <c r="T59" i="2" s="1"/>
  <c r="R59" i="2"/>
  <c r="O59" i="2"/>
  <c r="S58" i="2"/>
  <c r="T58" i="2" s="1"/>
  <c r="R58" i="2"/>
  <c r="O58" i="2"/>
  <c r="S57" i="2"/>
  <c r="T57" i="2" s="1"/>
  <c r="R57" i="2"/>
  <c r="O57" i="2"/>
  <c r="S56" i="2"/>
  <c r="T56" i="2" s="1"/>
  <c r="R56" i="2"/>
  <c r="O56" i="2"/>
  <c r="S55" i="2"/>
  <c r="T55" i="2" s="1"/>
  <c r="R55" i="2"/>
  <c r="O55" i="2"/>
  <c r="S54" i="2"/>
  <c r="T54" i="2" s="1"/>
  <c r="R54" i="2"/>
  <c r="O54" i="2"/>
  <c r="S53" i="2"/>
  <c r="T53" i="2" s="1"/>
  <c r="R53" i="2"/>
  <c r="O53" i="2"/>
  <c r="S52" i="2"/>
  <c r="T52" i="2" s="1"/>
  <c r="R52" i="2"/>
  <c r="O52" i="2"/>
  <c r="S51" i="2"/>
  <c r="T51" i="2" s="1"/>
  <c r="R51" i="2"/>
  <c r="O51" i="2"/>
  <c r="S50" i="2"/>
  <c r="T50" i="2" s="1"/>
  <c r="R50" i="2"/>
  <c r="O50" i="2"/>
  <c r="S49" i="2"/>
  <c r="T49" i="2" s="1"/>
  <c r="U49" i="2" s="1"/>
  <c r="U50" i="2" s="1"/>
  <c r="R49" i="2"/>
  <c r="O49" i="2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R48" i="2"/>
  <c r="S48" i="2" s="1"/>
  <c r="T48" i="2" s="1"/>
  <c r="O48" i="2"/>
  <c r="R47" i="2"/>
  <c r="S47" i="2" s="1"/>
  <c r="T47" i="2" s="1"/>
  <c r="O47" i="2"/>
  <c r="S46" i="2"/>
  <c r="T46" i="2" s="1"/>
  <c r="R46" i="2"/>
  <c r="O46" i="2"/>
  <c r="T45" i="2"/>
  <c r="S45" i="2"/>
  <c r="R45" i="2"/>
  <c r="O45" i="2"/>
  <c r="R44" i="2"/>
  <c r="S44" i="2" s="1"/>
  <c r="T44" i="2" s="1"/>
  <c r="O44" i="2"/>
  <c r="R43" i="2"/>
  <c r="S43" i="2" s="1"/>
  <c r="T43" i="2" s="1"/>
  <c r="O43" i="2"/>
  <c r="R42" i="2"/>
  <c r="S42" i="2" s="1"/>
  <c r="T42" i="2" s="1"/>
  <c r="O42" i="2"/>
  <c r="R41" i="2"/>
  <c r="S41" i="2" s="1"/>
  <c r="T41" i="2" s="1"/>
  <c r="O41" i="2"/>
  <c r="R40" i="2"/>
  <c r="S40" i="2" s="1"/>
  <c r="T40" i="2" s="1"/>
  <c r="O40" i="2"/>
  <c r="R39" i="2"/>
  <c r="S39" i="2" s="1"/>
  <c r="T39" i="2" s="1"/>
  <c r="U39" i="2" s="1"/>
  <c r="O39" i="2"/>
  <c r="P39" i="2" s="1"/>
  <c r="P40" i="2" s="1"/>
  <c r="P41" i="2" s="1"/>
  <c r="R38" i="2"/>
  <c r="S38" i="2" s="1"/>
  <c r="T38" i="2" s="1"/>
  <c r="O38" i="2"/>
  <c r="R37" i="2"/>
  <c r="S37" i="2" s="1"/>
  <c r="T37" i="2" s="1"/>
  <c r="O37" i="2"/>
  <c r="T36" i="2"/>
  <c r="S36" i="2"/>
  <c r="R36" i="2"/>
  <c r="O36" i="2"/>
  <c r="R35" i="2"/>
  <c r="S35" i="2" s="1"/>
  <c r="T35" i="2" s="1"/>
  <c r="O35" i="2"/>
  <c r="R34" i="2"/>
  <c r="S34" i="2" s="1"/>
  <c r="T34" i="2" s="1"/>
  <c r="O34" i="2"/>
  <c r="L34" i="2"/>
  <c r="T33" i="2"/>
  <c r="S33" i="2"/>
  <c r="R33" i="2"/>
  <c r="O33" i="2"/>
  <c r="S32" i="2"/>
  <c r="T32" i="2" s="1"/>
  <c r="R32" i="2"/>
  <c r="O32" i="2"/>
  <c r="L32" i="2"/>
  <c r="T31" i="2"/>
  <c r="S31" i="2"/>
  <c r="O31" i="2"/>
  <c r="AB30" i="2"/>
  <c r="S30" i="2"/>
  <c r="T30" i="2" s="1"/>
  <c r="O30" i="2"/>
  <c r="L30" i="2"/>
  <c r="S29" i="2"/>
  <c r="T29" i="2" s="1"/>
  <c r="O29" i="2"/>
  <c r="Y28" i="2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Y357" i="2" s="1"/>
  <c r="Y358" i="2" s="1"/>
  <c r="Y359" i="2" s="1"/>
  <c r="Y360" i="2" s="1"/>
  <c r="Y361" i="2" s="1"/>
  <c r="Y362" i="2" s="1"/>
  <c r="Y363" i="2" s="1"/>
  <c r="Y364" i="2" s="1"/>
  <c r="Y365" i="2" s="1"/>
  <c r="Y366" i="2" s="1"/>
  <c r="Y367" i="2" s="1"/>
  <c r="Y368" i="2" s="1"/>
  <c r="Y369" i="2" s="1"/>
  <c r="Y370" i="2" s="1"/>
  <c r="Y371" i="2" s="1"/>
  <c r="Y372" i="2" s="1"/>
  <c r="Y373" i="2" s="1"/>
  <c r="S28" i="2"/>
  <c r="T28" i="2" s="1"/>
  <c r="O28" i="2"/>
  <c r="Y27" i="2"/>
  <c r="S27" i="2"/>
  <c r="T27" i="2" s="1"/>
  <c r="O27" i="2"/>
  <c r="J27" i="2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O25" i="2"/>
  <c r="O24" i="2"/>
  <c r="O23" i="2"/>
  <c r="O22" i="2"/>
  <c r="O21" i="2"/>
  <c r="O20" i="2"/>
  <c r="P20" i="2" s="1"/>
  <c r="P21" i="2" s="1"/>
  <c r="P22" i="2" s="1"/>
  <c r="O19" i="2"/>
  <c r="O18" i="2"/>
  <c r="O17" i="2"/>
  <c r="O16" i="2"/>
  <c r="O15" i="2"/>
  <c r="O14" i="2"/>
  <c r="O13" i="2"/>
  <c r="O12" i="2"/>
  <c r="O11" i="2"/>
  <c r="O10" i="2"/>
  <c r="O9" i="2"/>
  <c r="O8" i="2"/>
  <c r="P7" i="2"/>
  <c r="O7" i="2"/>
  <c r="O6" i="2"/>
  <c r="O5" i="2"/>
  <c r="O4" i="2"/>
  <c r="O3" i="2"/>
  <c r="L131" i="1"/>
  <c r="L127" i="1"/>
  <c r="L129" i="1"/>
  <c r="L319" i="1"/>
  <c r="L317" i="1"/>
  <c r="L315" i="1"/>
  <c r="V321" i="1"/>
  <c r="V323" i="1" s="1"/>
  <c r="V319" i="1"/>
  <c r="V317" i="1"/>
  <c r="Z312" i="1"/>
  <c r="Z295" i="1"/>
  <c r="V304" i="1"/>
  <c r="V302" i="1"/>
  <c r="V300" i="1"/>
  <c r="L302" i="1"/>
  <c r="L300" i="1"/>
  <c r="L298" i="1"/>
  <c r="V276" i="1"/>
  <c r="V278" i="1" s="1"/>
  <c r="V274" i="1"/>
  <c r="V272" i="1"/>
  <c r="L274" i="1"/>
  <c r="L272" i="1"/>
  <c r="L270" i="1"/>
  <c r="AB249" i="1"/>
  <c r="V306" i="1"/>
  <c r="V257" i="1"/>
  <c r="V255" i="1"/>
  <c r="V253" i="1"/>
  <c r="V251" i="1"/>
  <c r="L253" i="1"/>
  <c r="L251" i="1"/>
  <c r="L249" i="1"/>
  <c r="V38" i="1"/>
  <c r="V135" i="1"/>
  <c r="V198" i="1"/>
  <c r="V196" i="1"/>
  <c r="V194" i="1"/>
  <c r="V192" i="1"/>
  <c r="L194" i="1"/>
  <c r="L192" i="1"/>
  <c r="L190" i="1"/>
  <c r="K312" i="1"/>
  <c r="U188" i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95" i="1"/>
  <c r="K295" i="1"/>
  <c r="K267" i="1"/>
  <c r="Z267" i="1"/>
  <c r="K246" i="1"/>
  <c r="Z246" i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187" i="1"/>
  <c r="K247" i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Z313" i="2" l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Z357" i="2" s="1"/>
  <c r="Z358" i="2" s="1"/>
  <c r="Z359" i="2" s="1"/>
  <c r="Z360" i="2" s="1"/>
  <c r="Z361" i="2" s="1"/>
  <c r="Z362" i="2" s="1"/>
  <c r="Z363" i="2" s="1"/>
  <c r="Z364" i="2" s="1"/>
  <c r="Z365" i="2" s="1"/>
  <c r="Z366" i="2" s="1"/>
  <c r="Z367" i="2" s="1"/>
  <c r="Z368" i="2" s="1"/>
  <c r="Z369" i="2" s="1"/>
  <c r="Z370" i="2" s="1"/>
  <c r="Z371" i="2" s="1"/>
  <c r="Z372" i="2" s="1"/>
  <c r="Z373" i="2" s="1"/>
  <c r="K267" i="2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U51" i="2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40" i="2"/>
  <c r="K268" i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Z268" i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U125" i="2" l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41" i="2"/>
  <c r="V133" i="1"/>
  <c r="V131" i="1"/>
  <c r="V129" i="1"/>
  <c r="V36" i="1"/>
  <c r="V34" i="1"/>
  <c r="U40" i="1"/>
  <c r="U41" i="1" s="1"/>
  <c r="U42" i="1" s="1"/>
  <c r="U43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39" i="1"/>
  <c r="V133" i="2" l="1"/>
  <c r="V135" i="2" s="1"/>
  <c r="U42" i="2"/>
  <c r="V129" i="2"/>
  <c r="V131" i="2"/>
  <c r="AB315" i="1"/>
  <c r="AB298" i="1"/>
  <c r="AB270" i="1"/>
  <c r="AB190" i="1"/>
  <c r="AB127" i="1"/>
  <c r="L34" i="1"/>
  <c r="L32" i="1"/>
  <c r="L30" i="1"/>
  <c r="AB30" i="1"/>
  <c r="U43" i="2" l="1"/>
  <c r="V34" i="2" s="1"/>
  <c r="S304" i="1"/>
  <c r="T304" i="1" s="1"/>
  <c r="S312" i="1"/>
  <c r="T312" i="1" s="1"/>
  <c r="S320" i="1"/>
  <c r="T320" i="1" s="1"/>
  <c r="S328" i="1"/>
  <c r="T328" i="1" s="1"/>
  <c r="S336" i="1"/>
  <c r="T336" i="1" s="1"/>
  <c r="S344" i="1"/>
  <c r="T344" i="1" s="1"/>
  <c r="S352" i="1"/>
  <c r="T352" i="1" s="1"/>
  <c r="S360" i="1"/>
  <c r="T360" i="1" s="1"/>
  <c r="S368" i="1"/>
  <c r="T368" i="1" s="1"/>
  <c r="S234" i="1"/>
  <c r="T234" i="1" s="1"/>
  <c r="S242" i="1"/>
  <c r="T242" i="1" s="1"/>
  <c r="R33" i="1"/>
  <c r="S33" i="1" s="1"/>
  <c r="T33" i="1" s="1"/>
  <c r="R34" i="1"/>
  <c r="R35" i="1"/>
  <c r="R36" i="1"/>
  <c r="S36" i="1" s="1"/>
  <c r="T36" i="1" s="1"/>
  <c r="R37" i="1"/>
  <c r="R38" i="1"/>
  <c r="R39" i="1"/>
  <c r="R40" i="1"/>
  <c r="S40" i="1" s="1"/>
  <c r="T40" i="1" s="1"/>
  <c r="R41" i="1"/>
  <c r="S41" i="1" s="1"/>
  <c r="T41" i="1" s="1"/>
  <c r="R42" i="1"/>
  <c r="R43" i="1"/>
  <c r="R44" i="1"/>
  <c r="S44" i="1" s="1"/>
  <c r="T44" i="1" s="1"/>
  <c r="R45" i="1"/>
  <c r="R46" i="1"/>
  <c r="R47" i="1"/>
  <c r="R48" i="1"/>
  <c r="S48" i="1" s="1"/>
  <c r="T48" i="1" s="1"/>
  <c r="R49" i="1"/>
  <c r="S49" i="1" s="1"/>
  <c r="T49" i="1" s="1"/>
  <c r="R50" i="1"/>
  <c r="R51" i="1"/>
  <c r="R52" i="1"/>
  <c r="S52" i="1" s="1"/>
  <c r="T52" i="1" s="1"/>
  <c r="R53" i="1"/>
  <c r="R54" i="1"/>
  <c r="R55" i="1"/>
  <c r="R56" i="1"/>
  <c r="S56" i="1" s="1"/>
  <c r="T56" i="1" s="1"/>
  <c r="R57" i="1"/>
  <c r="S57" i="1" s="1"/>
  <c r="T57" i="1" s="1"/>
  <c r="R58" i="1"/>
  <c r="R59" i="1"/>
  <c r="R60" i="1"/>
  <c r="S60" i="1" s="1"/>
  <c r="T60" i="1" s="1"/>
  <c r="R61" i="1"/>
  <c r="R62" i="1"/>
  <c r="R63" i="1"/>
  <c r="R64" i="1"/>
  <c r="S64" i="1" s="1"/>
  <c r="T64" i="1" s="1"/>
  <c r="R65" i="1"/>
  <c r="S65" i="1" s="1"/>
  <c r="T65" i="1" s="1"/>
  <c r="R66" i="1"/>
  <c r="R67" i="1"/>
  <c r="R68" i="1"/>
  <c r="S68" i="1" s="1"/>
  <c r="T68" i="1" s="1"/>
  <c r="R69" i="1"/>
  <c r="R70" i="1"/>
  <c r="R71" i="1"/>
  <c r="R72" i="1"/>
  <c r="S72" i="1" s="1"/>
  <c r="T72" i="1" s="1"/>
  <c r="R73" i="1"/>
  <c r="S73" i="1" s="1"/>
  <c r="T73" i="1" s="1"/>
  <c r="R74" i="1"/>
  <c r="R75" i="1"/>
  <c r="R76" i="1"/>
  <c r="S76" i="1" s="1"/>
  <c r="T76" i="1" s="1"/>
  <c r="R77" i="1"/>
  <c r="R78" i="1"/>
  <c r="R79" i="1"/>
  <c r="R80" i="1"/>
  <c r="S80" i="1" s="1"/>
  <c r="T80" i="1" s="1"/>
  <c r="R81" i="1"/>
  <c r="S81" i="1" s="1"/>
  <c r="T81" i="1" s="1"/>
  <c r="R82" i="1"/>
  <c r="R83" i="1"/>
  <c r="R84" i="1"/>
  <c r="S84" i="1" s="1"/>
  <c r="T84" i="1" s="1"/>
  <c r="R85" i="1"/>
  <c r="R86" i="1"/>
  <c r="R87" i="1"/>
  <c r="R88" i="1"/>
  <c r="S88" i="1" s="1"/>
  <c r="T88" i="1" s="1"/>
  <c r="R89" i="1"/>
  <c r="S89" i="1" s="1"/>
  <c r="T89" i="1" s="1"/>
  <c r="R90" i="1"/>
  <c r="R91" i="1"/>
  <c r="R92" i="1"/>
  <c r="S92" i="1" s="1"/>
  <c r="T92" i="1" s="1"/>
  <c r="R93" i="1"/>
  <c r="R94" i="1"/>
  <c r="R95" i="1"/>
  <c r="R96" i="1"/>
  <c r="S96" i="1" s="1"/>
  <c r="T96" i="1" s="1"/>
  <c r="R97" i="1"/>
  <c r="S97" i="1" s="1"/>
  <c r="T97" i="1" s="1"/>
  <c r="R98" i="1"/>
  <c r="R99" i="1"/>
  <c r="R100" i="1"/>
  <c r="S100" i="1" s="1"/>
  <c r="T100" i="1" s="1"/>
  <c r="R101" i="1"/>
  <c r="R102" i="1"/>
  <c r="R103" i="1"/>
  <c r="R104" i="1"/>
  <c r="S104" i="1" s="1"/>
  <c r="T104" i="1" s="1"/>
  <c r="R105" i="1"/>
  <c r="S105" i="1" s="1"/>
  <c r="T105" i="1" s="1"/>
  <c r="R106" i="1"/>
  <c r="R107" i="1"/>
  <c r="R108" i="1"/>
  <c r="S108" i="1" s="1"/>
  <c r="T108" i="1" s="1"/>
  <c r="R109" i="1"/>
  <c r="R110" i="1"/>
  <c r="R111" i="1"/>
  <c r="R112" i="1"/>
  <c r="S112" i="1" s="1"/>
  <c r="T112" i="1" s="1"/>
  <c r="R113" i="1"/>
  <c r="S113" i="1" s="1"/>
  <c r="T113" i="1" s="1"/>
  <c r="R114" i="1"/>
  <c r="R115" i="1"/>
  <c r="R116" i="1"/>
  <c r="S116" i="1" s="1"/>
  <c r="T116" i="1" s="1"/>
  <c r="R117" i="1"/>
  <c r="R118" i="1"/>
  <c r="R119" i="1"/>
  <c r="R120" i="1"/>
  <c r="S120" i="1" s="1"/>
  <c r="T120" i="1" s="1"/>
  <c r="R121" i="1"/>
  <c r="S121" i="1" s="1"/>
  <c r="T121" i="1" s="1"/>
  <c r="R122" i="1"/>
  <c r="R123" i="1"/>
  <c r="R32" i="1"/>
  <c r="S32" i="1" s="1"/>
  <c r="T32" i="1" s="1"/>
  <c r="Z187" i="1"/>
  <c r="Z126" i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125" i="1"/>
  <c r="Z124" i="1"/>
  <c r="Y29" i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28" i="1"/>
  <c r="Y27" i="1"/>
  <c r="T124" i="1"/>
  <c r="T125" i="1"/>
  <c r="T126" i="1"/>
  <c r="T129" i="1"/>
  <c r="T133" i="1"/>
  <c r="T139" i="1"/>
  <c r="T143" i="1"/>
  <c r="T144" i="1"/>
  <c r="T145" i="1"/>
  <c r="T146" i="1"/>
  <c r="T147" i="1"/>
  <c r="T151" i="1"/>
  <c r="T152" i="1"/>
  <c r="T153" i="1"/>
  <c r="T154" i="1"/>
  <c r="T155" i="1"/>
  <c r="T159" i="1"/>
  <c r="T160" i="1"/>
  <c r="T162" i="1"/>
  <c r="T163" i="1"/>
  <c r="T166" i="1"/>
  <c r="T167" i="1"/>
  <c r="T168" i="1"/>
  <c r="T170" i="1"/>
  <c r="T171" i="1"/>
  <c r="T174" i="1"/>
  <c r="T175" i="1"/>
  <c r="T176" i="1"/>
  <c r="T178" i="1"/>
  <c r="T179" i="1"/>
  <c r="T182" i="1"/>
  <c r="T183" i="1"/>
  <c r="T184" i="1"/>
  <c r="T306" i="1"/>
  <c r="T27" i="1"/>
  <c r="S28" i="1"/>
  <c r="T28" i="1" s="1"/>
  <c r="S29" i="1"/>
  <c r="T29" i="1" s="1"/>
  <c r="S30" i="1"/>
  <c r="T30" i="1" s="1"/>
  <c r="S31" i="1"/>
  <c r="T31" i="1" s="1"/>
  <c r="S34" i="1"/>
  <c r="T34" i="1" s="1"/>
  <c r="S35" i="1"/>
  <c r="T35" i="1" s="1"/>
  <c r="S37" i="1"/>
  <c r="T37" i="1" s="1"/>
  <c r="S38" i="1"/>
  <c r="T38" i="1" s="1"/>
  <c r="S39" i="1"/>
  <c r="T39" i="1" s="1"/>
  <c r="S42" i="1"/>
  <c r="T42" i="1" s="1"/>
  <c r="S43" i="1"/>
  <c r="T43" i="1" s="1"/>
  <c r="S45" i="1"/>
  <c r="T45" i="1" s="1"/>
  <c r="S46" i="1"/>
  <c r="T46" i="1" s="1"/>
  <c r="S47" i="1"/>
  <c r="T47" i="1" s="1"/>
  <c r="S50" i="1"/>
  <c r="T50" i="1" s="1"/>
  <c r="S51" i="1"/>
  <c r="T51" i="1" s="1"/>
  <c r="S53" i="1"/>
  <c r="T53" i="1" s="1"/>
  <c r="S54" i="1"/>
  <c r="T54" i="1" s="1"/>
  <c r="S55" i="1"/>
  <c r="T55" i="1" s="1"/>
  <c r="S58" i="1"/>
  <c r="T58" i="1" s="1"/>
  <c r="S59" i="1"/>
  <c r="T59" i="1" s="1"/>
  <c r="S61" i="1"/>
  <c r="T61" i="1" s="1"/>
  <c r="S62" i="1"/>
  <c r="T62" i="1" s="1"/>
  <c r="S63" i="1"/>
  <c r="T63" i="1" s="1"/>
  <c r="S66" i="1"/>
  <c r="T66" i="1" s="1"/>
  <c r="S67" i="1"/>
  <c r="T67" i="1" s="1"/>
  <c r="S69" i="1"/>
  <c r="T69" i="1" s="1"/>
  <c r="S70" i="1"/>
  <c r="T70" i="1" s="1"/>
  <c r="S71" i="1"/>
  <c r="T71" i="1" s="1"/>
  <c r="S74" i="1"/>
  <c r="T74" i="1" s="1"/>
  <c r="S75" i="1"/>
  <c r="T75" i="1" s="1"/>
  <c r="S77" i="1"/>
  <c r="T77" i="1" s="1"/>
  <c r="S78" i="1"/>
  <c r="T78" i="1" s="1"/>
  <c r="S79" i="1"/>
  <c r="T79" i="1" s="1"/>
  <c r="S82" i="1"/>
  <c r="T82" i="1" s="1"/>
  <c r="S83" i="1"/>
  <c r="T83" i="1" s="1"/>
  <c r="S85" i="1"/>
  <c r="T85" i="1" s="1"/>
  <c r="S86" i="1"/>
  <c r="T86" i="1" s="1"/>
  <c r="S87" i="1"/>
  <c r="T87" i="1" s="1"/>
  <c r="S90" i="1"/>
  <c r="T90" i="1" s="1"/>
  <c r="S91" i="1"/>
  <c r="T91" i="1" s="1"/>
  <c r="S93" i="1"/>
  <c r="T93" i="1" s="1"/>
  <c r="S94" i="1"/>
  <c r="T94" i="1" s="1"/>
  <c r="S95" i="1"/>
  <c r="T95" i="1" s="1"/>
  <c r="S98" i="1"/>
  <c r="T98" i="1" s="1"/>
  <c r="S99" i="1"/>
  <c r="T99" i="1" s="1"/>
  <c r="S101" i="1"/>
  <c r="T101" i="1" s="1"/>
  <c r="S102" i="1"/>
  <c r="T102" i="1" s="1"/>
  <c r="S103" i="1"/>
  <c r="T103" i="1" s="1"/>
  <c r="S106" i="1"/>
  <c r="T106" i="1" s="1"/>
  <c r="S107" i="1"/>
  <c r="T107" i="1" s="1"/>
  <c r="S109" i="1"/>
  <c r="T109" i="1" s="1"/>
  <c r="S110" i="1"/>
  <c r="T110" i="1" s="1"/>
  <c r="S111" i="1"/>
  <c r="T111" i="1" s="1"/>
  <c r="S114" i="1"/>
  <c r="T114" i="1" s="1"/>
  <c r="S115" i="1"/>
  <c r="T115" i="1" s="1"/>
  <c r="S117" i="1"/>
  <c r="T117" i="1" s="1"/>
  <c r="S118" i="1"/>
  <c r="T118" i="1" s="1"/>
  <c r="S119" i="1"/>
  <c r="T119" i="1" s="1"/>
  <c r="S122" i="1"/>
  <c r="T122" i="1" s="1"/>
  <c r="S123" i="1"/>
  <c r="T123" i="1" s="1"/>
  <c r="S124" i="1"/>
  <c r="S125" i="1"/>
  <c r="S126" i="1"/>
  <c r="S127" i="1"/>
  <c r="T127" i="1" s="1"/>
  <c r="S128" i="1"/>
  <c r="T128" i="1" s="1"/>
  <c r="S129" i="1"/>
  <c r="S130" i="1"/>
  <c r="T130" i="1" s="1"/>
  <c r="S131" i="1"/>
  <c r="T131" i="1" s="1"/>
  <c r="S132" i="1"/>
  <c r="T132" i="1" s="1"/>
  <c r="S133" i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S140" i="1"/>
  <c r="T140" i="1" s="1"/>
  <c r="S141" i="1"/>
  <c r="T141" i="1" s="1"/>
  <c r="S142" i="1"/>
  <c r="T142" i="1" s="1"/>
  <c r="S143" i="1"/>
  <c r="S144" i="1"/>
  <c r="S145" i="1"/>
  <c r="S146" i="1"/>
  <c r="S147" i="1"/>
  <c r="S148" i="1"/>
  <c r="T148" i="1" s="1"/>
  <c r="S149" i="1"/>
  <c r="T149" i="1" s="1"/>
  <c r="S150" i="1"/>
  <c r="T150" i="1" s="1"/>
  <c r="S151" i="1"/>
  <c r="S152" i="1"/>
  <c r="S153" i="1"/>
  <c r="S154" i="1"/>
  <c r="S155" i="1"/>
  <c r="S156" i="1"/>
  <c r="T156" i="1" s="1"/>
  <c r="S157" i="1"/>
  <c r="T157" i="1" s="1"/>
  <c r="S158" i="1"/>
  <c r="T158" i="1" s="1"/>
  <c r="S159" i="1"/>
  <c r="S160" i="1"/>
  <c r="S161" i="1"/>
  <c r="T161" i="1" s="1"/>
  <c r="S162" i="1"/>
  <c r="S163" i="1"/>
  <c r="S164" i="1"/>
  <c r="T164" i="1" s="1"/>
  <c r="S165" i="1"/>
  <c r="T165" i="1" s="1"/>
  <c r="S166" i="1"/>
  <c r="S167" i="1"/>
  <c r="S168" i="1"/>
  <c r="S169" i="1"/>
  <c r="T169" i="1" s="1"/>
  <c r="S170" i="1"/>
  <c r="S171" i="1"/>
  <c r="S172" i="1"/>
  <c r="T172" i="1" s="1"/>
  <c r="S173" i="1"/>
  <c r="T173" i="1" s="1"/>
  <c r="S174" i="1"/>
  <c r="S175" i="1"/>
  <c r="S176" i="1"/>
  <c r="S177" i="1"/>
  <c r="T177" i="1" s="1"/>
  <c r="S178" i="1"/>
  <c r="S179" i="1"/>
  <c r="S180" i="1"/>
  <c r="T180" i="1" s="1"/>
  <c r="S181" i="1"/>
  <c r="T181" i="1" s="1"/>
  <c r="S182" i="1"/>
  <c r="S183" i="1"/>
  <c r="S184" i="1"/>
  <c r="S185" i="1"/>
  <c r="T185" i="1" s="1"/>
  <c r="S186" i="1"/>
  <c r="T186" i="1" s="1"/>
  <c r="S187" i="1"/>
  <c r="T187" i="1" s="1"/>
  <c r="U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5" i="1"/>
  <c r="T305" i="1" s="1"/>
  <c r="S306" i="1"/>
  <c r="S307" i="1"/>
  <c r="T307" i="1" s="1"/>
  <c r="S308" i="1"/>
  <c r="T308" i="1" s="1"/>
  <c r="S309" i="1"/>
  <c r="T309" i="1" s="1"/>
  <c r="S310" i="1"/>
  <c r="T310" i="1" s="1"/>
  <c r="S311" i="1"/>
  <c r="T311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9" i="1"/>
  <c r="T369" i="1" s="1"/>
  <c r="S370" i="1"/>
  <c r="T370" i="1" s="1"/>
  <c r="S371" i="1"/>
  <c r="T371" i="1" s="1"/>
  <c r="S372" i="1"/>
  <c r="T372" i="1" s="1"/>
  <c r="S373" i="1"/>
  <c r="T373" i="1" s="1"/>
  <c r="S27" i="1"/>
  <c r="P20" i="1"/>
  <c r="P21" i="1" s="1"/>
  <c r="P22" i="1" s="1"/>
  <c r="P39" i="1" s="1"/>
  <c r="P40" i="1" s="1"/>
  <c r="P41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7" i="1" s="1"/>
  <c r="P348" i="1" s="1"/>
  <c r="P349" i="1" s="1"/>
  <c r="P350" i="1" s="1"/>
  <c r="P351" i="1" s="1"/>
  <c r="P352" i="1" s="1"/>
  <c r="P361" i="1" s="1"/>
  <c r="P362" i="1" s="1"/>
  <c r="P363" i="1" s="1"/>
  <c r="P364" i="1" s="1"/>
  <c r="P365" i="1" s="1"/>
  <c r="P366" i="1" s="1"/>
  <c r="P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K128" i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9" i="1" s="1"/>
  <c r="K161" i="1" s="1"/>
  <c r="K162" i="1" s="1"/>
  <c r="K165" i="1" s="1"/>
  <c r="K166" i="1" s="1"/>
  <c r="K167" i="1" s="1"/>
  <c r="K168" i="1" s="1"/>
  <c r="K169" i="1" s="1"/>
  <c r="K170" i="1" s="1"/>
  <c r="K171" i="1" s="1"/>
  <c r="K172" i="1" s="1"/>
  <c r="K173" i="1" s="1"/>
  <c r="K184" i="1" s="1"/>
  <c r="K185" i="1" s="1"/>
  <c r="K186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124" i="1"/>
  <c r="J29" i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9" i="1" s="1"/>
  <c r="J161" i="1" s="1"/>
  <c r="J162" i="1" s="1"/>
  <c r="J165" i="1" s="1"/>
  <c r="J166" i="1" s="1"/>
  <c r="J167" i="1" s="1"/>
  <c r="J168" i="1" s="1"/>
  <c r="J169" i="1" s="1"/>
  <c r="J170" i="1" s="1"/>
  <c r="J171" i="1" s="1"/>
  <c r="J172" i="1" s="1"/>
  <c r="J17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28" i="1"/>
  <c r="J27" i="1"/>
  <c r="V256" i="2" l="1"/>
  <c r="V36" i="2"/>
  <c r="V38" i="2" s="1"/>
  <c r="V277" i="2" l="1"/>
  <c r="V302" i="2" l="1"/>
  <c r="V300" i="2"/>
  <c r="V304" i="2"/>
  <c r="V306" i="2" s="1"/>
  <c r="V321" i="2" l="1"/>
  <c r="V323" i="2" s="1"/>
  <c r="V319" i="2"/>
  <c r="V317" i="2"/>
</calcChain>
</file>

<file path=xl/sharedStrings.xml><?xml version="1.0" encoding="utf-8"?>
<sst xmlns="http://schemas.openxmlformats.org/spreadsheetml/2006/main" count="340" uniqueCount="71">
  <si>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</si>
  <si>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</si>
  <si>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</si>
  <si>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</si>
  <si>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</si>
  <si>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</si>
  <si>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</si>
  <si>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</si>
  <si>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</si>
  <si>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</si>
  <si>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EAU</t>
  </si>
  <si>
    <t>BILAN HYDRIQUE</t>
  </si>
  <si>
    <t>SOLAIRE</t>
  </si>
  <si>
    <t>Floraison</t>
  </si>
  <si>
    <t>Vernalisation</t>
  </si>
  <si>
    <t>Période</t>
  </si>
  <si>
    <t>GDD_Cumul</t>
  </si>
  <si>
    <t>GDD/période</t>
  </si>
  <si>
    <t>Indicateurs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</si>
  <si>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</si>
  <si>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</si>
  <si>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</si>
  <si>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</si>
  <si>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</si>
  <si>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</si>
  <si>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</si>
  <si>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</si>
  <si>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</si>
  <si>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</si>
  <si>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</si>
  <si>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</si>
  <si>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SEMIS</t>
  </si>
  <si>
    <t>RECOLTE</t>
  </si>
  <si>
    <t>fin hiver</t>
  </si>
  <si>
    <t>Hiver</t>
  </si>
  <si>
    <t>FLO Estimated</t>
  </si>
  <si>
    <t>Fin Flo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</si>
  <si>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</si>
  <si>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</si>
  <si>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</si>
  <si>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</si>
  <si>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</si>
  <si>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</si>
  <si>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</si>
  <si>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</si>
  <si>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</si>
  <si>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</si>
  <si>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</si>
  <si>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</si>
  <si>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</si>
  <si>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</si>
  <si>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</si>
  <si>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FALL</t>
  </si>
  <si>
    <t>CLIMATIC WINTER</t>
  </si>
  <si>
    <t>BOLTING</t>
  </si>
  <si>
    <t>FLOWERING</t>
  </si>
  <si>
    <t>P300</t>
  </si>
  <si>
    <t>P600</t>
  </si>
  <si>
    <t>P1000</t>
  </si>
  <si>
    <t xml:space="preserve"> </t>
  </si>
  <si>
    <t>s</t>
  </si>
  <si>
    <t>NBD_VERN</t>
  </si>
  <si>
    <t>N50</t>
  </si>
  <si>
    <t>N55</t>
  </si>
  <si>
    <t>N90</t>
  </si>
  <si>
    <t>N95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</si>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</sst>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5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5" borderId="0" xfId="0" applyFont="1" applyFill="1"/>
    <xf numFmtId="0" fontId="1" fillId="0" borderId="2" xfId="0" applyFont="1" applyBorder="1"/>
    <xf numFmtId="14" fontId="1" fillId="0" borderId="2" xfId="0" applyNumberFormat="1" applyFont="1" applyBorder="1"/>
    <xf numFmtId="2" fontId="1" fillId="0" borderId="2" xfId="0" applyNumberFormat="1" applyFont="1" applyBorder="1"/>
    <xf numFmtId="0" fontId="1" fillId="6" borderId="1" xfId="0" applyFont="1" applyFill="1" applyBorder="1"/>
    <xf numFmtId="0" fontId="1" fillId="6" borderId="0" xfId="0" applyFont="1" applyFill="1"/>
    <xf numFmtId="0" fontId="1" fillId="7" borderId="1" xfId="0" applyFont="1" applyFill="1" applyBorder="1"/>
    <xf numFmtId="0" fontId="1" fillId="7" borderId="0" xfId="0" applyFont="1" applyFill="1"/>
    <xf numFmtId="0" fontId="1" fillId="8" borderId="1" xfId="0" applyFont="1" applyFill="1" applyBorder="1"/>
    <xf numFmtId="0" fontId="0" fillId="0" borderId="1" xfId="0" applyFill="1" applyBorder="1"/>
    <xf numFmtId="0" fontId="1" fillId="8" borderId="0" xfId="0" applyFont="1" applyFill="1"/>
    <xf numFmtId="0" fontId="1" fillId="9" borderId="1" xfId="0" applyFont="1" applyFill="1" applyBorder="1"/>
    <xf numFmtId="0" fontId="1" fillId="9" borderId="0" xfId="0" applyFont="1" applyFill="1"/>
    <xf numFmtId="0" fontId="1" fillId="10" borderId="1" xfId="0" applyFont="1" applyFill="1" applyBorder="1"/>
    <xf numFmtId="0" fontId="1" fillId="10" borderId="0" xfId="0" applyFont="1" applyFill="1"/>
    <xf numFmtId="0" fontId="1" fillId="11" borderId="1" xfId="0" applyFont="1" applyFill="1" applyBorder="1"/>
    <xf numFmtId="0" fontId="1" fillId="11" borderId="0" xfId="0" applyFont="1" applyFill="1"/>
    <xf numFmtId="0" fontId="0" fillId="12" borderId="0" xfId="0" applyFill="1"/>
    <xf numFmtId="0" fontId="1" fillId="12" borderId="2" xfId="0" applyFont="1" applyFill="1" applyBorder="1"/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0" fillId="0" borderId="0" xfId="0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14" fontId="0" fillId="0" borderId="0" xfId="0" applyNumberFormat="1" applyFont="1"/>
    <xf numFmtId="0" fontId="0" fillId="4" borderId="0" xfId="0" applyFont="1" applyFill="1"/>
    <xf numFmtId="2" fontId="0" fillId="0" borderId="2" xfId="0" applyNumberFormat="1" applyBorder="1"/>
    <xf numFmtId="164" fontId="0" fillId="0" borderId="1" xfId="0" applyNumberFormat="1" applyBorder="1"/>
    <xf numFmtId="0" fontId="1" fillId="9" borderId="3" xfId="0" applyFont="1" applyFill="1" applyBorder="1" applyAlignment="1">
      <alignment horizontal="center" vertical="center" textRotation="255"/>
    </xf>
    <xf numFmtId="0" fontId="1" fillId="9" borderId="0" xfId="0" applyFont="1" applyFill="1" applyBorder="1" applyAlignment="1">
      <alignment horizontal="center" vertical="center" textRotation="255"/>
    </xf>
    <xf numFmtId="0" fontId="1" fillId="9" borderId="2" xfId="0" applyFont="1" applyFill="1" applyBorder="1" applyAlignment="1">
      <alignment horizontal="center" vertical="center" textRotation="255"/>
    </xf>
    <xf numFmtId="0" fontId="1" fillId="10" borderId="4" xfId="0" applyFont="1" applyFill="1" applyBorder="1" applyAlignment="1">
      <alignment horizontal="center" vertical="center" textRotation="255"/>
    </xf>
    <xf numFmtId="0" fontId="1" fillId="10" borderId="1" xfId="0" applyFont="1" applyFill="1" applyBorder="1" applyAlignment="1">
      <alignment horizontal="center" vertical="center" textRotation="255"/>
    </xf>
    <xf numFmtId="0" fontId="1" fillId="10" borderId="5" xfId="0" applyFont="1" applyFill="1" applyBorder="1" applyAlignment="1">
      <alignment horizontal="center" vertical="center" textRotation="255"/>
    </xf>
    <xf numFmtId="0" fontId="1" fillId="11" borderId="4" xfId="0" applyFont="1" applyFill="1" applyBorder="1" applyAlignment="1">
      <alignment horizontal="center" vertical="center" textRotation="255"/>
    </xf>
    <xf numFmtId="0" fontId="1" fillId="11" borderId="1" xfId="0" applyFont="1" applyFill="1" applyBorder="1" applyAlignment="1">
      <alignment horizontal="center" vertical="center" textRotation="255"/>
    </xf>
    <xf numFmtId="0" fontId="1" fillId="11" borderId="5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 textRotation="255"/>
    </xf>
    <xf numFmtId="0" fontId="1" fillId="5" borderId="2" xfId="0" applyFont="1" applyFill="1" applyBorder="1" applyAlignment="1">
      <alignment horizontal="center" vertical="center" textRotation="255"/>
    </xf>
    <xf numFmtId="0" fontId="1" fillId="6" borderId="3" xfId="0" applyFont="1" applyFill="1" applyBorder="1" applyAlignment="1">
      <alignment horizontal="center" vertical="center" textRotation="255"/>
    </xf>
    <xf numFmtId="0" fontId="1" fillId="6" borderId="0" xfId="0" applyFont="1" applyFill="1" applyBorder="1" applyAlignment="1">
      <alignment horizontal="center" vertical="center" textRotation="255"/>
    </xf>
    <xf numFmtId="0" fontId="1" fillId="6" borderId="2" xfId="0" applyFont="1" applyFill="1" applyBorder="1" applyAlignment="1">
      <alignment horizontal="center" vertical="center" textRotation="255"/>
    </xf>
    <xf numFmtId="0" fontId="1" fillId="7" borderId="4" xfId="0" applyFont="1" applyFill="1" applyBorder="1" applyAlignment="1">
      <alignment horizontal="center" vertical="center" textRotation="255"/>
    </xf>
    <xf numFmtId="0" fontId="1" fillId="7" borderId="1" xfId="0" applyFont="1" applyFill="1" applyBorder="1" applyAlignment="1">
      <alignment horizontal="center" vertical="center" textRotation="255"/>
    </xf>
    <xf numFmtId="0" fontId="1" fillId="7" borderId="5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 textRotation="255"/>
    </xf>
    <xf numFmtId="0" fontId="1" fillId="8" borderId="0" xfId="0" applyFont="1" applyFill="1" applyBorder="1" applyAlignment="1">
      <alignment horizontal="center" vertical="center" textRotation="255"/>
    </xf>
    <xf numFmtId="0" fontId="1" fillId="8" borderId="2" xfId="0" applyFont="1" applyFill="1" applyBorder="1" applyAlignment="1">
      <alignment horizontal="center" vertical="center" textRotation="255"/>
    </xf>
    <xf numFmtId="0" fontId="0" fillId="13" borderId="0" xfId="0" applyFill="1"/>
    <xf numFmtId="14" fontId="0" fillId="13" borderId="0" xfId="0" applyNumberFormat="1" applyFill="1"/>
    <xf numFmtId="2" fontId="0" fillId="13" borderId="0" xfId="0" applyNumberFormat="1" applyFill="1"/>
    <xf numFmtId="0" fontId="0" fillId="14" borderId="0" xfId="0" applyFill="1"/>
    <xf numFmtId="2" fontId="0" fillId="14" borderId="0" xfId="0" applyNumberFormat="1" applyFill="1"/>
  </cellXfs>
  <cellStyles count="1">
    <cellStyle name="Normal" xfId="0" builtinId="0"/>
  </cellStyles>
  <dxfs count="48"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tabSelected="1" zoomScale="80" zoomScaleNormal="80" workbookViewId="0">
      <pane xSplit="6" ySplit="2" topLeftCell="J201" activePane="bottomRight" state="frozen"/>
      <selection pane="topRight" activeCell="G1" sqref="G1"/>
      <selection pane="bottomLeft" activeCell="A3" sqref="A3"/>
      <selection pane="bottomRight" activeCell="AD211" sqref="AD211"/>
    </sheetView>
  </sheetViews>
  <sheetFormatPr baseColWidth="10" defaultRowHeight="15" x14ac:dyDescent="0.25"/>
  <sheetData>
    <row r="1" spans="1:28" x14ac:dyDescent="0.25">
      <c r="G1" s="51" t="s">
        <v>9</v>
      </c>
      <c r="H1" s="51"/>
      <c r="I1" s="51"/>
      <c r="J1" s="51"/>
      <c r="K1" s="51"/>
      <c r="L1" s="51"/>
      <c r="M1" s="51" t="s">
        <v>10</v>
      </c>
      <c r="N1" s="51"/>
      <c r="O1" s="51"/>
      <c r="P1" s="51"/>
      <c r="Q1" s="51" t="s">
        <v>11</v>
      </c>
      <c r="R1" s="51"/>
      <c r="S1" s="51"/>
      <c r="T1" s="51"/>
      <c r="U1" s="51"/>
      <c r="W1" s="51" t="s">
        <v>12</v>
      </c>
      <c r="X1" s="51"/>
      <c r="Y1" s="51"/>
      <c r="Z1" s="51"/>
      <c r="AA1" s="51"/>
      <c r="AB1" s="51"/>
    </row>
    <row r="2" spans="1:28" x14ac:dyDescent="0.25">
      <c r="A2" s="1" t="s">
        <v>0</v>
      </c>
      <c r="B2" s="1" t="s">
        <v>1</v>
      </c>
      <c r="C2" s="1" t="s">
        <v>2</v>
      </c>
      <c r="D2" s="1" t="s">
        <v>13</v>
      </c>
      <c r="E2" s="1" t="s">
        <v>14</v>
      </c>
      <c r="F2" s="1" t="s">
        <v>15</v>
      </c>
      <c r="G2" s="2" t="s">
        <v>4</v>
      </c>
      <c r="H2" s="2" t="s">
        <v>7</v>
      </c>
      <c r="I2" s="2" t="s">
        <v>8</v>
      </c>
      <c r="J2" s="2" t="s">
        <v>16</v>
      </c>
      <c r="K2" s="2" t="s">
        <v>17</v>
      </c>
      <c r="L2" s="3" t="s">
        <v>18</v>
      </c>
      <c r="M2" s="2" t="s">
        <v>3</v>
      </c>
      <c r="N2" s="2" t="s">
        <v>6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2" t="s">
        <v>5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26</v>
      </c>
    </row>
    <row r="3" spans="1:28" x14ac:dyDescent="0.25">
      <c r="A3">
        <v>5240</v>
      </c>
      <c r="B3">
        <v>23690</v>
      </c>
      <c r="C3" s="5">
        <v>42582</v>
      </c>
      <c r="G3">
        <v>19.100000000000001</v>
      </c>
      <c r="H3">
        <v>14.8</v>
      </c>
      <c r="I3">
        <v>23</v>
      </c>
      <c r="M3">
        <v>0</v>
      </c>
      <c r="N3">
        <v>3.2</v>
      </c>
      <c r="O3">
        <f>M3-N3</f>
        <v>-3.2</v>
      </c>
      <c r="P3">
        <v>0</v>
      </c>
      <c r="W3">
        <v>1371.1</v>
      </c>
    </row>
    <row r="4" spans="1:28" x14ac:dyDescent="0.25">
      <c r="A4">
        <v>5240</v>
      </c>
      <c r="B4">
        <v>23690</v>
      </c>
      <c r="C4" s="5">
        <v>42583</v>
      </c>
      <c r="G4">
        <v>18.3</v>
      </c>
      <c r="H4">
        <v>12.9</v>
      </c>
      <c r="I4">
        <v>22.3</v>
      </c>
      <c r="M4">
        <v>1</v>
      </c>
      <c r="N4">
        <v>4.3</v>
      </c>
      <c r="O4">
        <f t="shared" ref="O4:O25" si="0">M4-N4</f>
        <v>-3.3</v>
      </c>
      <c r="P4">
        <v>0</v>
      </c>
      <c r="W4">
        <v>2105.9</v>
      </c>
    </row>
    <row r="5" spans="1:28" x14ac:dyDescent="0.25">
      <c r="A5">
        <v>5240</v>
      </c>
      <c r="B5">
        <v>23690</v>
      </c>
      <c r="C5" s="5">
        <v>42584</v>
      </c>
      <c r="G5">
        <v>19.100000000000001</v>
      </c>
      <c r="H5">
        <v>15.9</v>
      </c>
      <c r="I5">
        <v>21</v>
      </c>
      <c r="M5">
        <v>0.8</v>
      </c>
      <c r="N5">
        <v>2</v>
      </c>
      <c r="O5">
        <f t="shared" si="0"/>
        <v>-1.2</v>
      </c>
      <c r="P5">
        <v>0</v>
      </c>
      <c r="W5">
        <v>831.7</v>
      </c>
    </row>
    <row r="6" spans="1:28" x14ac:dyDescent="0.25">
      <c r="A6">
        <v>5240</v>
      </c>
      <c r="B6">
        <v>23690</v>
      </c>
      <c r="C6" s="5">
        <v>42585</v>
      </c>
      <c r="G6">
        <v>20</v>
      </c>
      <c r="H6">
        <v>17.3</v>
      </c>
      <c r="I6">
        <v>24.1</v>
      </c>
      <c r="M6">
        <v>0.9</v>
      </c>
      <c r="N6">
        <v>3.9</v>
      </c>
      <c r="O6">
        <f t="shared" si="0"/>
        <v>-3</v>
      </c>
      <c r="P6">
        <v>0</v>
      </c>
      <c r="W6">
        <v>1658.5</v>
      </c>
    </row>
    <row r="7" spans="1:28" x14ac:dyDescent="0.25">
      <c r="A7">
        <v>5240</v>
      </c>
      <c r="B7">
        <v>23690</v>
      </c>
      <c r="C7" s="5">
        <v>42586</v>
      </c>
      <c r="G7">
        <v>17.100000000000001</v>
      </c>
      <c r="H7">
        <v>15.8</v>
      </c>
      <c r="I7">
        <v>19.2</v>
      </c>
      <c r="M7">
        <v>4.5</v>
      </c>
      <c r="N7">
        <v>2.4</v>
      </c>
      <c r="O7">
        <f t="shared" si="0"/>
        <v>2.1</v>
      </c>
      <c r="P7">
        <f>P6+O7</f>
        <v>2.1</v>
      </c>
      <c r="W7">
        <v>1503.5</v>
      </c>
    </row>
    <row r="8" spans="1:28" x14ac:dyDescent="0.25">
      <c r="A8">
        <v>5240</v>
      </c>
      <c r="B8">
        <v>23690</v>
      </c>
      <c r="C8" s="5">
        <v>42587</v>
      </c>
      <c r="G8">
        <v>17</v>
      </c>
      <c r="H8">
        <v>12.8</v>
      </c>
      <c r="I8">
        <v>21.2</v>
      </c>
      <c r="M8">
        <v>0</v>
      </c>
      <c r="N8">
        <v>3</v>
      </c>
      <c r="O8">
        <f t="shared" si="0"/>
        <v>-3</v>
      </c>
      <c r="P8">
        <v>0</v>
      </c>
      <c r="W8">
        <v>1577.9</v>
      </c>
    </row>
    <row r="9" spans="1:28" x14ac:dyDescent="0.25">
      <c r="A9">
        <v>5240</v>
      </c>
      <c r="B9">
        <v>23690</v>
      </c>
      <c r="C9" s="5">
        <v>42588</v>
      </c>
      <c r="G9">
        <v>18.2</v>
      </c>
      <c r="H9">
        <v>12.3</v>
      </c>
      <c r="I9">
        <v>24.8</v>
      </c>
      <c r="M9">
        <v>0</v>
      </c>
      <c r="N9">
        <v>3.6</v>
      </c>
      <c r="O9">
        <f t="shared" si="0"/>
        <v>-3.6</v>
      </c>
      <c r="P9">
        <v>0</v>
      </c>
      <c r="W9">
        <v>1804.5</v>
      </c>
    </row>
    <row r="10" spans="1:28" x14ac:dyDescent="0.25">
      <c r="A10">
        <v>5240</v>
      </c>
      <c r="B10">
        <v>23690</v>
      </c>
      <c r="C10" s="5">
        <v>42589</v>
      </c>
      <c r="G10">
        <v>21.2</v>
      </c>
      <c r="H10">
        <v>14.3</v>
      </c>
      <c r="I10">
        <v>27.6</v>
      </c>
      <c r="M10">
        <v>0</v>
      </c>
      <c r="N10">
        <v>4.9000000000000004</v>
      </c>
      <c r="O10">
        <f t="shared" si="0"/>
        <v>-4.9000000000000004</v>
      </c>
      <c r="P10">
        <v>0</v>
      </c>
      <c r="W10">
        <v>2359.5</v>
      </c>
    </row>
    <row r="11" spans="1:28" x14ac:dyDescent="0.25">
      <c r="A11">
        <v>5240</v>
      </c>
      <c r="B11">
        <v>23690</v>
      </c>
      <c r="C11" s="5">
        <v>42590</v>
      </c>
      <c r="G11">
        <v>18.2</v>
      </c>
      <c r="H11">
        <v>16.3</v>
      </c>
      <c r="I11">
        <v>20.8</v>
      </c>
      <c r="M11">
        <v>0</v>
      </c>
      <c r="N11">
        <v>2.2999999999999998</v>
      </c>
      <c r="O11">
        <f t="shared" si="0"/>
        <v>-2.2999999999999998</v>
      </c>
      <c r="P11">
        <v>0</v>
      </c>
      <c r="W11">
        <v>893</v>
      </c>
    </row>
    <row r="12" spans="1:28" x14ac:dyDescent="0.25">
      <c r="A12">
        <v>5240</v>
      </c>
      <c r="B12">
        <v>23690</v>
      </c>
      <c r="C12" s="5">
        <v>42591</v>
      </c>
      <c r="G12">
        <v>16.2</v>
      </c>
      <c r="H12">
        <v>12.7</v>
      </c>
      <c r="I12">
        <v>20</v>
      </c>
      <c r="M12">
        <v>0</v>
      </c>
      <c r="N12">
        <v>3.2</v>
      </c>
      <c r="O12">
        <f t="shared" si="0"/>
        <v>-3.2</v>
      </c>
      <c r="P12">
        <v>0</v>
      </c>
      <c r="W12">
        <v>1559.9</v>
      </c>
    </row>
    <row r="13" spans="1:28" x14ac:dyDescent="0.25">
      <c r="A13">
        <v>5240</v>
      </c>
      <c r="B13">
        <v>23690</v>
      </c>
      <c r="C13" s="5">
        <v>42592</v>
      </c>
      <c r="G13">
        <v>14</v>
      </c>
      <c r="H13">
        <v>10.8</v>
      </c>
      <c r="I13">
        <v>18.2</v>
      </c>
      <c r="M13">
        <v>0</v>
      </c>
      <c r="N13">
        <v>2.6</v>
      </c>
      <c r="O13">
        <f t="shared" si="0"/>
        <v>-2.6</v>
      </c>
      <c r="P13">
        <v>0</v>
      </c>
      <c r="W13">
        <v>1204.7</v>
      </c>
    </row>
    <row r="14" spans="1:28" x14ac:dyDescent="0.25">
      <c r="A14">
        <v>5240</v>
      </c>
      <c r="B14">
        <v>23690</v>
      </c>
      <c r="C14" s="5">
        <v>42593</v>
      </c>
      <c r="G14">
        <v>15.4</v>
      </c>
      <c r="H14">
        <v>8.8000000000000007</v>
      </c>
      <c r="I14">
        <v>21.6</v>
      </c>
      <c r="M14">
        <v>0</v>
      </c>
      <c r="N14">
        <v>2.5</v>
      </c>
      <c r="O14">
        <f t="shared" si="0"/>
        <v>-2.5</v>
      </c>
      <c r="P14">
        <v>0</v>
      </c>
      <c r="W14">
        <v>1147.9000000000001</v>
      </c>
    </row>
    <row r="15" spans="1:28" x14ac:dyDescent="0.25">
      <c r="A15">
        <v>5240</v>
      </c>
      <c r="B15">
        <v>23690</v>
      </c>
      <c r="C15" s="5">
        <v>42594</v>
      </c>
      <c r="G15">
        <v>19.600000000000001</v>
      </c>
      <c r="H15">
        <v>12.8</v>
      </c>
      <c r="I15">
        <v>26.4</v>
      </c>
      <c r="M15">
        <v>0</v>
      </c>
      <c r="N15">
        <v>5.3</v>
      </c>
      <c r="O15">
        <f t="shared" si="0"/>
        <v>-5.3</v>
      </c>
      <c r="P15">
        <v>0</v>
      </c>
      <c r="W15">
        <v>2701.2</v>
      </c>
    </row>
    <row r="16" spans="1:28" x14ac:dyDescent="0.25">
      <c r="A16">
        <v>5240</v>
      </c>
      <c r="B16">
        <v>23690</v>
      </c>
      <c r="C16" s="5">
        <v>42595</v>
      </c>
      <c r="G16">
        <v>20.7</v>
      </c>
      <c r="H16">
        <v>13.8</v>
      </c>
      <c r="I16">
        <v>27.8</v>
      </c>
      <c r="M16">
        <v>0</v>
      </c>
      <c r="N16">
        <v>4.7</v>
      </c>
      <c r="O16">
        <f t="shared" si="0"/>
        <v>-4.7</v>
      </c>
      <c r="P16">
        <v>0</v>
      </c>
      <c r="W16">
        <v>2017.5</v>
      </c>
    </row>
    <row r="17" spans="1:28" x14ac:dyDescent="0.25">
      <c r="A17">
        <v>5240</v>
      </c>
      <c r="B17">
        <v>23690</v>
      </c>
      <c r="C17" s="5">
        <v>42596</v>
      </c>
      <c r="G17">
        <v>20.2</v>
      </c>
      <c r="H17">
        <v>13.7</v>
      </c>
      <c r="I17">
        <v>26.8</v>
      </c>
      <c r="M17">
        <v>0</v>
      </c>
      <c r="N17">
        <v>4.5</v>
      </c>
      <c r="O17">
        <f t="shared" si="0"/>
        <v>-4.5</v>
      </c>
      <c r="P17">
        <v>0</v>
      </c>
      <c r="W17">
        <v>2154</v>
      </c>
    </row>
    <row r="18" spans="1:28" x14ac:dyDescent="0.25">
      <c r="A18">
        <v>5240</v>
      </c>
      <c r="B18">
        <v>23690</v>
      </c>
      <c r="C18" s="5">
        <v>42597</v>
      </c>
      <c r="G18">
        <v>20.7</v>
      </c>
      <c r="H18">
        <v>14.3</v>
      </c>
      <c r="I18">
        <v>26.6</v>
      </c>
      <c r="M18">
        <v>0</v>
      </c>
      <c r="N18">
        <v>5.7</v>
      </c>
      <c r="O18">
        <f t="shared" si="0"/>
        <v>-5.7</v>
      </c>
      <c r="P18">
        <v>0</v>
      </c>
      <c r="W18">
        <v>2666.5</v>
      </c>
    </row>
    <row r="19" spans="1:28" x14ac:dyDescent="0.25">
      <c r="A19">
        <v>5240</v>
      </c>
      <c r="B19">
        <v>23690</v>
      </c>
      <c r="C19" s="5">
        <v>42598</v>
      </c>
      <c r="G19">
        <v>22</v>
      </c>
      <c r="H19">
        <v>14.9</v>
      </c>
      <c r="I19">
        <v>28.4</v>
      </c>
      <c r="M19">
        <v>0</v>
      </c>
      <c r="N19">
        <v>5.2</v>
      </c>
      <c r="O19">
        <f t="shared" si="0"/>
        <v>-5.2</v>
      </c>
      <c r="P19">
        <v>0</v>
      </c>
      <c r="W19">
        <v>2478.8000000000002</v>
      </c>
    </row>
    <row r="20" spans="1:28" x14ac:dyDescent="0.25">
      <c r="A20">
        <v>5240</v>
      </c>
      <c r="B20">
        <v>23690</v>
      </c>
      <c r="C20" s="5">
        <v>42599</v>
      </c>
      <c r="G20">
        <v>22.9</v>
      </c>
      <c r="H20">
        <v>15.1</v>
      </c>
      <c r="I20">
        <v>29.3</v>
      </c>
      <c r="M20">
        <v>6.3</v>
      </c>
      <c r="N20">
        <v>4.9000000000000004</v>
      </c>
      <c r="O20">
        <f t="shared" si="0"/>
        <v>1.3999999999999995</v>
      </c>
      <c r="P20">
        <f t="shared" ref="P20:P22" si="1">P19+O20</f>
        <v>1.3999999999999995</v>
      </c>
      <c r="W20">
        <v>2262.9</v>
      </c>
    </row>
    <row r="21" spans="1:28" x14ac:dyDescent="0.25">
      <c r="A21">
        <v>5240</v>
      </c>
      <c r="B21">
        <v>23690</v>
      </c>
      <c r="C21" s="5">
        <v>42600</v>
      </c>
      <c r="G21">
        <v>20</v>
      </c>
      <c r="H21">
        <v>18.399999999999999</v>
      </c>
      <c r="I21">
        <v>21.3</v>
      </c>
      <c r="M21">
        <v>2</v>
      </c>
      <c r="N21">
        <v>1.1000000000000001</v>
      </c>
      <c r="O21">
        <f t="shared" si="0"/>
        <v>0.89999999999999991</v>
      </c>
      <c r="P21">
        <f t="shared" si="1"/>
        <v>2.2999999999999994</v>
      </c>
      <c r="W21">
        <v>473</v>
      </c>
    </row>
    <row r="22" spans="1:28" x14ac:dyDescent="0.25">
      <c r="A22">
        <v>5240</v>
      </c>
      <c r="B22">
        <v>23690</v>
      </c>
      <c r="C22" s="5">
        <v>42601</v>
      </c>
      <c r="G22">
        <v>17.100000000000001</v>
      </c>
      <c r="H22">
        <v>16.100000000000001</v>
      </c>
      <c r="I22">
        <v>18.899999999999999</v>
      </c>
      <c r="M22">
        <v>2</v>
      </c>
      <c r="N22">
        <v>1.4</v>
      </c>
      <c r="O22">
        <f t="shared" si="0"/>
        <v>0.60000000000000009</v>
      </c>
      <c r="P22">
        <f t="shared" si="1"/>
        <v>2.8999999999999995</v>
      </c>
      <c r="W22">
        <v>805.1</v>
      </c>
    </row>
    <row r="23" spans="1:28" x14ac:dyDescent="0.25">
      <c r="A23">
        <v>5240</v>
      </c>
      <c r="B23">
        <v>23690</v>
      </c>
      <c r="C23" s="5">
        <v>42602</v>
      </c>
      <c r="G23">
        <v>17.7</v>
      </c>
      <c r="H23">
        <v>13.5</v>
      </c>
      <c r="I23">
        <v>22.1</v>
      </c>
      <c r="M23">
        <v>0.1</v>
      </c>
      <c r="N23">
        <v>3.8</v>
      </c>
      <c r="O23">
        <f t="shared" si="0"/>
        <v>-3.6999999999999997</v>
      </c>
      <c r="P23">
        <v>0</v>
      </c>
      <c r="W23">
        <v>1785.5</v>
      </c>
    </row>
    <row r="24" spans="1:28" x14ac:dyDescent="0.25">
      <c r="A24">
        <v>5240</v>
      </c>
      <c r="B24">
        <v>23690</v>
      </c>
      <c r="C24" s="5">
        <v>42603</v>
      </c>
      <c r="G24">
        <v>16.7</v>
      </c>
      <c r="H24">
        <v>12.1</v>
      </c>
      <c r="I24">
        <v>20.9</v>
      </c>
      <c r="M24">
        <v>0</v>
      </c>
      <c r="N24">
        <v>2.6</v>
      </c>
      <c r="O24">
        <f t="shared" si="0"/>
        <v>-2.6</v>
      </c>
      <c r="P24">
        <v>0</v>
      </c>
      <c r="V24">
        <v>218.9</v>
      </c>
      <c r="W24">
        <v>976.7</v>
      </c>
    </row>
    <row r="25" spans="1:28" x14ac:dyDescent="0.25">
      <c r="A25">
        <v>5240</v>
      </c>
      <c r="B25">
        <v>23690</v>
      </c>
      <c r="C25" s="5">
        <v>42604</v>
      </c>
      <c r="G25">
        <v>20.399999999999999</v>
      </c>
      <c r="H25">
        <v>13.2</v>
      </c>
      <c r="I25">
        <v>26.9</v>
      </c>
      <c r="M25">
        <v>0</v>
      </c>
      <c r="N25">
        <v>4.9000000000000004</v>
      </c>
      <c r="O25">
        <f t="shared" si="0"/>
        <v>-4.9000000000000004</v>
      </c>
      <c r="P25">
        <v>0</v>
      </c>
      <c r="W25">
        <v>2404.6999999999998</v>
      </c>
    </row>
    <row r="26" spans="1:28" s="6" customFormat="1" x14ac:dyDescent="0.25">
      <c r="A26" s="52" t="s">
        <v>31</v>
      </c>
      <c r="B26" s="52"/>
      <c r="C26" s="52"/>
      <c r="D26" s="52"/>
      <c r="E26" s="52"/>
      <c r="F26" s="52"/>
    </row>
    <row r="27" spans="1:28" x14ac:dyDescent="0.25">
      <c r="A27">
        <v>5240</v>
      </c>
      <c r="B27">
        <v>23690</v>
      </c>
      <c r="C27" s="5">
        <v>42605</v>
      </c>
      <c r="F27" s="54" t="s">
        <v>52</v>
      </c>
      <c r="G27">
        <v>23.9</v>
      </c>
      <c r="H27">
        <v>16.2</v>
      </c>
      <c r="I27">
        <v>31.2</v>
      </c>
      <c r="J27">
        <f>G27</f>
        <v>23.9</v>
      </c>
      <c r="L27" s="10" t="s">
        <v>37</v>
      </c>
      <c r="M27">
        <v>0</v>
      </c>
      <c r="N27">
        <v>6.3</v>
      </c>
      <c r="O27">
        <f>M27-N27</f>
        <v>-6.3</v>
      </c>
      <c r="P27">
        <v>0</v>
      </c>
      <c r="Q27">
        <v>1</v>
      </c>
      <c r="R27">
        <v>0.35</v>
      </c>
      <c r="S27" s="9">
        <f>R27*N27</f>
        <v>2.2049999999999996</v>
      </c>
      <c r="T27" s="9">
        <f>M27-S27</f>
        <v>-2.2049999999999996</v>
      </c>
      <c r="U27" s="9">
        <v>0</v>
      </c>
      <c r="V27" s="13" t="s">
        <v>44</v>
      </c>
      <c r="W27">
        <v>2485.4</v>
      </c>
      <c r="Y27">
        <f>W27</f>
        <v>2485.4</v>
      </c>
      <c r="AA27">
        <v>13.690020321525868</v>
      </c>
      <c r="AB27" s="13" t="s">
        <v>49</v>
      </c>
    </row>
    <row r="28" spans="1:28" x14ac:dyDescent="0.25">
      <c r="A28">
        <v>5240</v>
      </c>
      <c r="B28">
        <v>23690</v>
      </c>
      <c r="C28" s="5">
        <v>42606</v>
      </c>
      <c r="F28" s="54"/>
      <c r="G28">
        <v>26.5</v>
      </c>
      <c r="H28">
        <v>18</v>
      </c>
      <c r="I28">
        <v>34.299999999999997</v>
      </c>
      <c r="J28">
        <f>J27+G28</f>
        <v>50.4</v>
      </c>
      <c r="L28" s="11">
        <v>1255.3</v>
      </c>
      <c r="M28">
        <v>0</v>
      </c>
      <c r="N28">
        <v>6.2</v>
      </c>
      <c r="O28">
        <f t="shared" ref="O28:O91" si="2">M28-N28</f>
        <v>-6.2</v>
      </c>
      <c r="P28">
        <v>0</v>
      </c>
      <c r="Q28">
        <v>2</v>
      </c>
      <c r="R28">
        <v>0.35</v>
      </c>
      <c r="S28" s="9">
        <f t="shared" ref="S28:S91" si="3">R28*N28</f>
        <v>2.17</v>
      </c>
      <c r="T28" s="9">
        <f t="shared" ref="T28:T91" si="4">M28-S28</f>
        <v>-2.17</v>
      </c>
      <c r="U28" s="9">
        <v>0</v>
      </c>
      <c r="V28">
        <v>17</v>
      </c>
      <c r="W28">
        <v>2476.1</v>
      </c>
      <c r="Y28">
        <f>Y27+W28</f>
        <v>4961.5</v>
      </c>
      <c r="AA28">
        <v>13.633111719183876</v>
      </c>
      <c r="AB28">
        <v>77049.399999999994</v>
      </c>
    </row>
    <row r="29" spans="1:28" x14ac:dyDescent="0.25">
      <c r="A29">
        <v>5240</v>
      </c>
      <c r="B29">
        <v>23690</v>
      </c>
      <c r="C29" s="5">
        <v>42607</v>
      </c>
      <c r="F29" s="54"/>
      <c r="G29">
        <v>26.1</v>
      </c>
      <c r="H29">
        <v>18.100000000000001</v>
      </c>
      <c r="I29">
        <v>33.700000000000003</v>
      </c>
      <c r="J29">
        <f t="shared" ref="J29:J92" si="5">J28+G29</f>
        <v>76.5</v>
      </c>
      <c r="L29" s="10" t="s">
        <v>38</v>
      </c>
      <c r="M29">
        <v>0</v>
      </c>
      <c r="N29">
        <v>5.8</v>
      </c>
      <c r="O29">
        <f t="shared" si="2"/>
        <v>-5.8</v>
      </c>
      <c r="P29">
        <v>0</v>
      </c>
      <c r="Q29">
        <v>3</v>
      </c>
      <c r="R29">
        <v>0.35</v>
      </c>
      <c r="S29" s="9">
        <f t="shared" si="3"/>
        <v>2.0299999999999998</v>
      </c>
      <c r="T29" s="9">
        <f t="shared" si="4"/>
        <v>-2.0299999999999998</v>
      </c>
      <c r="U29" s="9">
        <v>0</v>
      </c>
      <c r="V29" s="13" t="s">
        <v>45</v>
      </c>
      <c r="W29">
        <v>2362</v>
      </c>
      <c r="Y29">
        <f t="shared" ref="Y29:Y92" si="6">Y28+W29</f>
        <v>7323.5</v>
      </c>
      <c r="AA29">
        <v>13.575927599207791</v>
      </c>
      <c r="AB29" s="13" t="s">
        <v>50</v>
      </c>
    </row>
    <row r="30" spans="1:28" x14ac:dyDescent="0.25">
      <c r="A30">
        <v>5240</v>
      </c>
      <c r="B30">
        <v>23690</v>
      </c>
      <c r="C30" s="5">
        <v>42608</v>
      </c>
      <c r="F30" s="54"/>
      <c r="G30">
        <v>25.6</v>
      </c>
      <c r="H30">
        <v>19.100000000000001</v>
      </c>
      <c r="I30">
        <v>31.5</v>
      </c>
      <c r="J30">
        <f t="shared" si="5"/>
        <v>102.1</v>
      </c>
      <c r="L30" s="41">
        <f>AVERAGE(G27:G123)</f>
        <v>12.941237113402069</v>
      </c>
      <c r="M30">
        <v>0</v>
      </c>
      <c r="N30">
        <v>4.9000000000000004</v>
      </c>
      <c r="O30">
        <f t="shared" si="2"/>
        <v>-4.9000000000000004</v>
      </c>
      <c r="P30">
        <v>0</v>
      </c>
      <c r="Q30">
        <v>4</v>
      </c>
      <c r="R30">
        <v>0.35</v>
      </c>
      <c r="S30" s="9">
        <f t="shared" si="3"/>
        <v>1.7150000000000001</v>
      </c>
      <c r="T30" s="9">
        <f t="shared" si="4"/>
        <v>-1.7150000000000001</v>
      </c>
      <c r="U30" s="9">
        <v>0</v>
      </c>
      <c r="V30">
        <v>74</v>
      </c>
      <c r="W30">
        <v>2136.6999999999998</v>
      </c>
      <c r="Y30">
        <f t="shared" si="6"/>
        <v>9460.2000000000007</v>
      </c>
      <c r="AA30">
        <v>13.518481446060642</v>
      </c>
      <c r="AB30">
        <f>(AB28/100)/L28</f>
        <v>0.61379271887198272</v>
      </c>
    </row>
    <row r="31" spans="1:28" x14ac:dyDescent="0.25">
      <c r="A31">
        <v>5240</v>
      </c>
      <c r="B31">
        <v>23690</v>
      </c>
      <c r="C31" s="5">
        <v>42609</v>
      </c>
      <c r="F31" s="54"/>
      <c r="G31">
        <v>25.6</v>
      </c>
      <c r="H31">
        <v>17.3</v>
      </c>
      <c r="I31">
        <v>31.9</v>
      </c>
      <c r="J31">
        <f t="shared" si="5"/>
        <v>127.69999999999999</v>
      </c>
      <c r="L31" s="10" t="s">
        <v>39</v>
      </c>
      <c r="M31">
        <v>0</v>
      </c>
      <c r="N31">
        <v>4.2</v>
      </c>
      <c r="O31">
        <f t="shared" si="2"/>
        <v>-4.2</v>
      </c>
      <c r="P31">
        <v>0</v>
      </c>
      <c r="Q31">
        <v>5</v>
      </c>
      <c r="R31">
        <v>0.35</v>
      </c>
      <c r="S31" s="9">
        <f t="shared" si="3"/>
        <v>1.47</v>
      </c>
      <c r="T31" s="9">
        <f t="shared" si="4"/>
        <v>-1.47</v>
      </c>
      <c r="U31" s="9">
        <v>0</v>
      </c>
      <c r="V31" s="13" t="s">
        <v>46</v>
      </c>
      <c r="W31">
        <v>1818.2</v>
      </c>
      <c r="Y31">
        <f t="shared" si="6"/>
        <v>11278.400000000001</v>
      </c>
      <c r="AA31">
        <v>13.460786376789095</v>
      </c>
      <c r="AB31" s="13" t="s">
        <v>51</v>
      </c>
    </row>
    <row r="32" spans="1:28" x14ac:dyDescent="0.25">
      <c r="A32">
        <v>5240</v>
      </c>
      <c r="B32">
        <v>23690</v>
      </c>
      <c r="C32" s="5">
        <v>42610</v>
      </c>
      <c r="F32" s="54"/>
      <c r="G32">
        <v>21.6</v>
      </c>
      <c r="H32">
        <v>18.2</v>
      </c>
      <c r="I32">
        <v>24.6</v>
      </c>
      <c r="J32">
        <f t="shared" si="5"/>
        <v>149.29999999999998</v>
      </c>
      <c r="L32" s="12">
        <f>MIN(H27:H123)</f>
        <v>-0.8</v>
      </c>
      <c r="M32">
        <v>0</v>
      </c>
      <c r="N32">
        <v>4</v>
      </c>
      <c r="O32">
        <f t="shared" si="2"/>
        <v>-4</v>
      </c>
      <c r="P32">
        <v>0</v>
      </c>
      <c r="Q32">
        <v>6</v>
      </c>
      <c r="R32">
        <f>0.35+((Q32-5)/92)*(1-0.35)</f>
        <v>0.35706521739130431</v>
      </c>
      <c r="S32" s="9">
        <f t="shared" si="3"/>
        <v>1.4282608695652173</v>
      </c>
      <c r="T32" s="9">
        <f t="shared" si="4"/>
        <v>-1.4282608695652173</v>
      </c>
      <c r="U32" s="9">
        <v>0</v>
      </c>
      <c r="V32">
        <v>0</v>
      </c>
      <c r="W32">
        <v>1526.6</v>
      </c>
      <c r="Y32">
        <f t="shared" si="6"/>
        <v>12805.000000000002</v>
      </c>
      <c r="AA32">
        <v>13.402855151118899</v>
      </c>
      <c r="AB32">
        <v>63</v>
      </c>
    </row>
    <row r="33" spans="1:27" x14ac:dyDescent="0.25">
      <c r="A33">
        <v>5240</v>
      </c>
      <c r="B33">
        <v>23690</v>
      </c>
      <c r="C33" s="5">
        <v>42611</v>
      </c>
      <c r="F33" s="54"/>
      <c r="G33">
        <v>18.399999999999999</v>
      </c>
      <c r="H33">
        <v>16.7</v>
      </c>
      <c r="I33">
        <v>21.2</v>
      </c>
      <c r="J33">
        <f t="shared" si="5"/>
        <v>167.7</v>
      </c>
      <c r="L33" s="10" t="s">
        <v>40</v>
      </c>
      <c r="M33">
        <v>0.4</v>
      </c>
      <c r="N33">
        <v>1.9</v>
      </c>
      <c r="O33">
        <f t="shared" si="2"/>
        <v>-1.5</v>
      </c>
      <c r="P33">
        <v>0</v>
      </c>
      <c r="Q33">
        <v>7</v>
      </c>
      <c r="R33">
        <f t="shared" ref="R33:R96" si="7">0.35+((Q33-5)/92)*(1-0.35)</f>
        <v>0.36413043478260865</v>
      </c>
      <c r="S33" s="9">
        <f t="shared" si="3"/>
        <v>0.69184782608695639</v>
      </c>
      <c r="T33" s="9">
        <f t="shared" si="4"/>
        <v>-0.29184782608695636</v>
      </c>
      <c r="U33" s="9">
        <v>0</v>
      </c>
      <c r="V33" s="13" t="s">
        <v>47</v>
      </c>
      <c r="W33">
        <v>1029</v>
      </c>
      <c r="Y33">
        <f t="shared" si="6"/>
        <v>13834.000000000002</v>
      </c>
      <c r="AA33">
        <v>13.344700182102054</v>
      </c>
    </row>
    <row r="34" spans="1:27" x14ac:dyDescent="0.25">
      <c r="A34">
        <v>5240</v>
      </c>
      <c r="B34">
        <v>23690</v>
      </c>
      <c r="C34" s="5">
        <v>42612</v>
      </c>
      <c r="F34" s="54"/>
      <c r="G34">
        <v>19.2</v>
      </c>
      <c r="H34">
        <v>12.9</v>
      </c>
      <c r="I34">
        <v>24.8</v>
      </c>
      <c r="J34">
        <f t="shared" si="5"/>
        <v>186.89999999999998</v>
      </c>
      <c r="L34" s="11">
        <f>MAX(I27:I123)</f>
        <v>34.299999999999997</v>
      </c>
      <c r="M34">
        <v>0</v>
      </c>
      <c r="N34">
        <v>3.8</v>
      </c>
      <c r="O34">
        <f t="shared" si="2"/>
        <v>-3.8</v>
      </c>
      <c r="P34">
        <v>0</v>
      </c>
      <c r="Q34">
        <v>8</v>
      </c>
      <c r="R34">
        <f t="shared" si="7"/>
        <v>0.37119565217391304</v>
      </c>
      <c r="S34" s="9">
        <f t="shared" si="3"/>
        <v>1.4105434782608695</v>
      </c>
      <c r="T34" s="9">
        <f t="shared" si="4"/>
        <v>-1.4105434782608695</v>
      </c>
      <c r="U34" s="9">
        <v>0</v>
      </c>
      <c r="V34" s="9">
        <f>MAX(U27:U123)</f>
        <v>79.214565217391325</v>
      </c>
      <c r="W34">
        <v>1931.8</v>
      </c>
      <c r="Y34">
        <f t="shared" si="6"/>
        <v>15765.800000000001</v>
      </c>
      <c r="AA34">
        <v>13.286333547271663</v>
      </c>
    </row>
    <row r="35" spans="1:27" x14ac:dyDescent="0.25">
      <c r="A35">
        <v>5240</v>
      </c>
      <c r="B35">
        <v>23690</v>
      </c>
      <c r="C35" s="5">
        <v>42613</v>
      </c>
      <c r="F35" s="54"/>
      <c r="G35">
        <v>20.2</v>
      </c>
      <c r="H35">
        <v>13.7</v>
      </c>
      <c r="I35">
        <v>26.3</v>
      </c>
      <c r="J35">
        <f t="shared" si="5"/>
        <v>207.09999999999997</v>
      </c>
      <c r="L35" s="10" t="s">
        <v>41</v>
      </c>
      <c r="M35">
        <v>0</v>
      </c>
      <c r="N35">
        <v>3.8</v>
      </c>
      <c r="O35">
        <f t="shared" si="2"/>
        <v>-3.8</v>
      </c>
      <c r="P35">
        <v>0</v>
      </c>
      <c r="Q35">
        <v>9</v>
      </c>
      <c r="R35">
        <f t="shared" si="7"/>
        <v>0.37826086956521737</v>
      </c>
      <c r="S35" s="9">
        <f t="shared" si="3"/>
        <v>1.4373913043478259</v>
      </c>
      <c r="T35" s="9">
        <f t="shared" si="4"/>
        <v>-1.4373913043478259</v>
      </c>
      <c r="U35" s="9">
        <v>0</v>
      </c>
      <c r="V35" s="13" t="s">
        <v>48</v>
      </c>
      <c r="W35">
        <v>1790.6</v>
      </c>
      <c r="Y35">
        <f t="shared" si="6"/>
        <v>17556.400000000001</v>
      </c>
      <c r="AA35">
        <v>13.227767000262961</v>
      </c>
    </row>
    <row r="36" spans="1:27" x14ac:dyDescent="0.25">
      <c r="A36">
        <v>5240</v>
      </c>
      <c r="B36">
        <v>23690</v>
      </c>
      <c r="C36" s="5">
        <v>42614</v>
      </c>
      <c r="F36" s="54"/>
      <c r="G36">
        <v>19.3</v>
      </c>
      <c r="H36">
        <v>12.7</v>
      </c>
      <c r="I36">
        <v>24.9</v>
      </c>
      <c r="J36">
        <f t="shared" si="5"/>
        <v>226.39999999999998</v>
      </c>
      <c r="L36" s="11">
        <v>11</v>
      </c>
      <c r="M36">
        <v>0</v>
      </c>
      <c r="N36">
        <v>3.1</v>
      </c>
      <c r="O36">
        <f t="shared" si="2"/>
        <v>-3.1</v>
      </c>
      <c r="P36">
        <v>0</v>
      </c>
      <c r="Q36">
        <v>10</v>
      </c>
      <c r="R36">
        <f t="shared" si="7"/>
        <v>0.38532608695652171</v>
      </c>
      <c r="S36" s="9">
        <f t="shared" si="3"/>
        <v>1.1945108695652173</v>
      </c>
      <c r="T36" s="9">
        <f t="shared" si="4"/>
        <v>-1.1945108695652173</v>
      </c>
      <c r="U36" s="9">
        <v>0</v>
      </c>
      <c r="V36" s="9">
        <f>AVERAGE(U27:U123)</f>
        <v>28.953189152846271</v>
      </c>
      <c r="W36">
        <v>1733.3</v>
      </c>
      <c r="Y36">
        <f t="shared" si="6"/>
        <v>19289.7</v>
      </c>
      <c r="AA36">
        <v>13.169011982861447</v>
      </c>
    </row>
    <row r="37" spans="1:27" x14ac:dyDescent="0.25">
      <c r="A37">
        <v>5240</v>
      </c>
      <c r="B37">
        <v>23690</v>
      </c>
      <c r="C37" s="5">
        <v>42615</v>
      </c>
      <c r="F37" s="54"/>
      <c r="G37">
        <v>20.399999999999999</v>
      </c>
      <c r="H37">
        <v>12.5</v>
      </c>
      <c r="I37">
        <v>27.4</v>
      </c>
      <c r="J37">
        <f t="shared" si="5"/>
        <v>246.79999999999998</v>
      </c>
      <c r="L37" s="10" t="s">
        <v>42</v>
      </c>
      <c r="M37">
        <v>0</v>
      </c>
      <c r="N37">
        <v>2.9</v>
      </c>
      <c r="O37">
        <f t="shared" si="2"/>
        <v>-2.9</v>
      </c>
      <c r="P37">
        <v>0</v>
      </c>
      <c r="Q37">
        <v>11</v>
      </c>
      <c r="R37">
        <f t="shared" si="7"/>
        <v>0.39239130434782604</v>
      </c>
      <c r="S37" s="9">
        <f t="shared" si="3"/>
        <v>1.1379347826086954</v>
      </c>
      <c r="T37" s="9">
        <f t="shared" si="4"/>
        <v>-1.1379347826086954</v>
      </c>
      <c r="U37" s="9">
        <v>0</v>
      </c>
      <c r="W37">
        <v>1396.7</v>
      </c>
      <c r="Y37">
        <f t="shared" si="6"/>
        <v>20686.400000000001</v>
      </c>
      <c r="AA37">
        <v>13.110079637441451</v>
      </c>
    </row>
    <row r="38" spans="1:27" x14ac:dyDescent="0.25">
      <c r="A38">
        <v>5240</v>
      </c>
      <c r="B38">
        <v>23690</v>
      </c>
      <c r="C38" s="5">
        <v>42616</v>
      </c>
      <c r="F38" s="54"/>
      <c r="G38">
        <v>20.7</v>
      </c>
      <c r="H38">
        <v>13.6</v>
      </c>
      <c r="I38">
        <v>25.7</v>
      </c>
      <c r="J38">
        <f t="shared" si="5"/>
        <v>267.5</v>
      </c>
      <c r="L38" s="11">
        <v>16</v>
      </c>
      <c r="M38">
        <v>0</v>
      </c>
      <c r="N38">
        <v>3.7</v>
      </c>
      <c r="O38">
        <f t="shared" si="2"/>
        <v>-3.7</v>
      </c>
      <c r="P38">
        <v>0</v>
      </c>
      <c r="Q38">
        <v>12</v>
      </c>
      <c r="R38">
        <f t="shared" si="7"/>
        <v>0.39945652173913043</v>
      </c>
      <c r="S38" s="9">
        <f t="shared" si="3"/>
        <v>1.4779891304347827</v>
      </c>
      <c r="T38" s="9">
        <f t="shared" si="4"/>
        <v>-1.4779891304347827</v>
      </c>
      <c r="U38" s="9">
        <v>0</v>
      </c>
      <c r="V38" s="32">
        <f>(V36*100)/218.9</f>
        <v>13.226673893488474</v>
      </c>
      <c r="W38">
        <v>1860.9</v>
      </c>
      <c r="Y38">
        <f t="shared" si="6"/>
        <v>22547.300000000003</v>
      </c>
      <c r="AA38">
        <v>13.050980819760772</v>
      </c>
    </row>
    <row r="39" spans="1:27" x14ac:dyDescent="0.25">
      <c r="A39">
        <v>5240</v>
      </c>
      <c r="B39">
        <v>23690</v>
      </c>
      <c r="C39" s="5">
        <v>42617</v>
      </c>
      <c r="F39" s="54"/>
      <c r="G39">
        <v>19.3</v>
      </c>
      <c r="H39">
        <v>17.600000000000001</v>
      </c>
      <c r="I39">
        <v>20.9</v>
      </c>
      <c r="J39">
        <f t="shared" si="5"/>
        <v>286.8</v>
      </c>
      <c r="L39" s="10" t="s">
        <v>43</v>
      </c>
      <c r="M39">
        <v>3.9</v>
      </c>
      <c r="N39">
        <v>1.1000000000000001</v>
      </c>
      <c r="O39">
        <f t="shared" si="2"/>
        <v>2.8</v>
      </c>
      <c r="P39">
        <f t="shared" ref="P39:P92" si="8">P38+O39</f>
        <v>2.8</v>
      </c>
      <c r="Q39">
        <v>13</v>
      </c>
      <c r="R39">
        <f t="shared" si="7"/>
        <v>0.40652173913043477</v>
      </c>
      <c r="S39" s="9">
        <f t="shared" si="3"/>
        <v>0.44717391304347825</v>
      </c>
      <c r="T39" s="9">
        <f t="shared" si="4"/>
        <v>3.4528260869565215</v>
      </c>
      <c r="U39" s="9">
        <f>MIN(U38+T39,218.9)</f>
        <v>3.4528260869565215</v>
      </c>
      <c r="W39">
        <v>639.79999999999995</v>
      </c>
      <c r="Y39">
        <f t="shared" si="6"/>
        <v>23187.100000000002</v>
      </c>
      <c r="AA39">
        <v>12.991726112079258</v>
      </c>
    </row>
    <row r="40" spans="1:27" x14ac:dyDescent="0.25">
      <c r="A40">
        <v>5240</v>
      </c>
      <c r="B40">
        <v>23690</v>
      </c>
      <c r="C40" s="5">
        <v>42618</v>
      </c>
      <c r="F40" s="54"/>
      <c r="G40">
        <v>19</v>
      </c>
      <c r="H40">
        <v>15.7</v>
      </c>
      <c r="I40">
        <v>22.5</v>
      </c>
      <c r="J40">
        <f t="shared" si="5"/>
        <v>305.8</v>
      </c>
      <c r="L40" s="11">
        <v>2</v>
      </c>
      <c r="M40">
        <v>1.1000000000000001</v>
      </c>
      <c r="N40">
        <v>0.6</v>
      </c>
      <c r="O40">
        <f t="shared" si="2"/>
        <v>0.50000000000000011</v>
      </c>
      <c r="P40">
        <f t="shared" si="8"/>
        <v>3.3</v>
      </c>
      <c r="Q40">
        <v>14</v>
      </c>
      <c r="R40">
        <f t="shared" si="7"/>
        <v>0.4135869565217391</v>
      </c>
      <c r="S40" s="9">
        <f t="shared" si="3"/>
        <v>0.24815217391304345</v>
      </c>
      <c r="T40" s="9">
        <f t="shared" si="4"/>
        <v>0.85184782608695664</v>
      </c>
      <c r="U40" s="9">
        <f t="shared" ref="U40:U103" si="9">MIN(U39+T40,218.9)</f>
        <v>4.3046739130434784</v>
      </c>
      <c r="W40">
        <v>298.89999999999998</v>
      </c>
      <c r="Y40">
        <f t="shared" si="6"/>
        <v>23486.000000000004</v>
      </c>
      <c r="AA40">
        <v>12.932325836571406</v>
      </c>
    </row>
    <row r="41" spans="1:27" x14ac:dyDescent="0.25">
      <c r="A41">
        <v>5240</v>
      </c>
      <c r="B41">
        <v>23690</v>
      </c>
      <c r="C41" s="5">
        <v>42619</v>
      </c>
      <c r="F41" s="54"/>
      <c r="G41">
        <v>19.3</v>
      </c>
      <c r="H41">
        <v>16.8</v>
      </c>
      <c r="I41">
        <v>21.8</v>
      </c>
      <c r="J41">
        <f t="shared" si="5"/>
        <v>325.10000000000002</v>
      </c>
      <c r="M41">
        <v>0.2</v>
      </c>
      <c r="N41">
        <v>1.2</v>
      </c>
      <c r="O41">
        <f t="shared" si="2"/>
        <v>-1</v>
      </c>
      <c r="P41">
        <f t="shared" si="8"/>
        <v>2.2999999999999998</v>
      </c>
      <c r="Q41">
        <v>15</v>
      </c>
      <c r="R41">
        <f t="shared" si="7"/>
        <v>0.42065217391304344</v>
      </c>
      <c r="S41" s="9">
        <f t="shared" si="3"/>
        <v>0.50478260869565206</v>
      </c>
      <c r="T41" s="9">
        <f t="shared" si="4"/>
        <v>-0.30478260869565205</v>
      </c>
      <c r="U41" s="9">
        <f t="shared" si="9"/>
        <v>3.9998913043478264</v>
      </c>
      <c r="W41">
        <v>554.20000000000005</v>
      </c>
      <c r="Y41">
        <f t="shared" si="6"/>
        <v>24040.200000000004</v>
      </c>
      <c r="AA41">
        <v>12.872790069005095</v>
      </c>
    </row>
    <row r="42" spans="1:27" x14ac:dyDescent="0.25">
      <c r="A42">
        <v>5240</v>
      </c>
      <c r="B42">
        <v>23690</v>
      </c>
      <c r="C42" s="5">
        <v>42620</v>
      </c>
      <c r="F42" s="54"/>
      <c r="G42">
        <v>20</v>
      </c>
      <c r="H42">
        <v>14.1</v>
      </c>
      <c r="I42">
        <v>26.4</v>
      </c>
      <c r="J42">
        <f t="shared" si="5"/>
        <v>345.1</v>
      </c>
      <c r="M42">
        <v>0</v>
      </c>
      <c r="N42">
        <v>4.5999999999999996</v>
      </c>
      <c r="O42">
        <f t="shared" si="2"/>
        <v>-4.5999999999999996</v>
      </c>
      <c r="P42">
        <v>0</v>
      </c>
      <c r="Q42">
        <v>16</v>
      </c>
      <c r="R42">
        <f t="shared" si="7"/>
        <v>0.42771739130434783</v>
      </c>
      <c r="S42" s="9">
        <f t="shared" si="3"/>
        <v>1.9674999999999998</v>
      </c>
      <c r="T42" s="9">
        <f t="shared" si="4"/>
        <v>-1.9674999999999998</v>
      </c>
      <c r="U42" s="9">
        <f t="shared" si="9"/>
        <v>2.0323913043478266</v>
      </c>
      <c r="W42">
        <v>2120.6999999999998</v>
      </c>
      <c r="Y42">
        <f t="shared" si="6"/>
        <v>26160.900000000005</v>
      </c>
      <c r="AA42">
        <v>12.813128652660483</v>
      </c>
    </row>
    <row r="43" spans="1:27" x14ac:dyDescent="0.25">
      <c r="A43">
        <v>5240</v>
      </c>
      <c r="B43">
        <v>23690</v>
      </c>
      <c r="C43" s="5">
        <v>42621</v>
      </c>
      <c r="F43" s="54"/>
      <c r="G43">
        <v>17.899999999999999</v>
      </c>
      <c r="H43">
        <v>13.3</v>
      </c>
      <c r="I43">
        <v>23.5</v>
      </c>
      <c r="J43">
        <f t="shared" si="5"/>
        <v>363</v>
      </c>
      <c r="M43">
        <v>0</v>
      </c>
      <c r="N43">
        <v>2.2999999999999998</v>
      </c>
      <c r="O43">
        <f t="shared" si="2"/>
        <v>-2.2999999999999998</v>
      </c>
      <c r="P43">
        <v>0</v>
      </c>
      <c r="Q43">
        <v>17</v>
      </c>
      <c r="R43">
        <f t="shared" si="7"/>
        <v>0.43478260869565216</v>
      </c>
      <c r="S43" s="9">
        <f t="shared" si="3"/>
        <v>0.99999999999999989</v>
      </c>
      <c r="T43" s="9">
        <f t="shared" si="4"/>
        <v>-0.99999999999999989</v>
      </c>
      <c r="U43" s="9">
        <f t="shared" si="9"/>
        <v>1.0323913043478266</v>
      </c>
      <c r="W43">
        <v>980.9</v>
      </c>
      <c r="Y43">
        <f t="shared" si="6"/>
        <v>27141.800000000007</v>
      </c>
      <c r="AA43">
        <v>12.753351212465079</v>
      </c>
    </row>
    <row r="44" spans="1:27" x14ac:dyDescent="0.25">
      <c r="A44">
        <v>5240</v>
      </c>
      <c r="B44">
        <v>23690</v>
      </c>
      <c r="C44" s="5">
        <v>42622</v>
      </c>
      <c r="F44" s="54"/>
      <c r="G44">
        <v>17.2</v>
      </c>
      <c r="H44">
        <v>9.9</v>
      </c>
      <c r="I44">
        <v>24.4</v>
      </c>
      <c r="J44">
        <f t="shared" si="5"/>
        <v>380.2</v>
      </c>
      <c r="M44">
        <v>0</v>
      </c>
      <c r="N44">
        <v>2.7</v>
      </c>
      <c r="O44">
        <f t="shared" si="2"/>
        <v>-2.7</v>
      </c>
      <c r="P44">
        <v>0</v>
      </c>
      <c r="Q44">
        <v>18</v>
      </c>
      <c r="R44">
        <f t="shared" si="7"/>
        <v>0.4418478260869565</v>
      </c>
      <c r="S44" s="9">
        <f t="shared" si="3"/>
        <v>1.1929891304347826</v>
      </c>
      <c r="T44" s="9">
        <f t="shared" si="4"/>
        <v>-1.1929891304347826</v>
      </c>
      <c r="U44" s="9">
        <v>0</v>
      </c>
      <c r="W44">
        <v>1350.6</v>
      </c>
      <c r="Y44">
        <f t="shared" si="6"/>
        <v>28492.400000000005</v>
      </c>
      <c r="AA44">
        <v>12.693467169322712</v>
      </c>
    </row>
    <row r="45" spans="1:27" x14ac:dyDescent="0.25">
      <c r="A45">
        <v>5240</v>
      </c>
      <c r="B45">
        <v>23690</v>
      </c>
      <c r="C45" s="5">
        <v>42623</v>
      </c>
      <c r="F45" s="54"/>
      <c r="G45">
        <v>18.2</v>
      </c>
      <c r="H45">
        <v>9.1999999999999993</v>
      </c>
      <c r="I45">
        <v>24.7</v>
      </c>
      <c r="J45">
        <f t="shared" si="5"/>
        <v>398.4</v>
      </c>
      <c r="M45">
        <v>0</v>
      </c>
      <c r="N45">
        <v>2.6</v>
      </c>
      <c r="O45">
        <f t="shared" si="2"/>
        <v>-2.6</v>
      </c>
      <c r="P45">
        <v>0</v>
      </c>
      <c r="Q45">
        <v>19</v>
      </c>
      <c r="R45">
        <f t="shared" si="7"/>
        <v>0.44891304347826089</v>
      </c>
      <c r="S45" s="9">
        <f t="shared" si="3"/>
        <v>1.1671739130434784</v>
      </c>
      <c r="T45" s="9">
        <f t="shared" si="4"/>
        <v>-1.1671739130434784</v>
      </c>
      <c r="U45" s="9">
        <v>0</v>
      </c>
      <c r="W45">
        <v>1430.1</v>
      </c>
      <c r="Y45">
        <f t="shared" si="6"/>
        <v>29922.500000000004</v>
      </c>
      <c r="AA45">
        <v>12.633485754615732</v>
      </c>
    </row>
    <row r="46" spans="1:27" x14ac:dyDescent="0.25">
      <c r="A46">
        <v>5240</v>
      </c>
      <c r="B46">
        <v>23690</v>
      </c>
      <c r="C46" s="5">
        <v>42624</v>
      </c>
      <c r="F46" s="54"/>
      <c r="G46">
        <v>20.2</v>
      </c>
      <c r="H46">
        <v>17.600000000000001</v>
      </c>
      <c r="I46">
        <v>22.7</v>
      </c>
      <c r="J46">
        <f t="shared" si="5"/>
        <v>418.59999999999997</v>
      </c>
      <c r="M46">
        <v>0.1</v>
      </c>
      <c r="N46">
        <v>1.3</v>
      </c>
      <c r="O46">
        <f t="shared" si="2"/>
        <v>-1.2</v>
      </c>
      <c r="P46">
        <v>0</v>
      </c>
      <c r="Q46">
        <v>20</v>
      </c>
      <c r="R46">
        <f t="shared" si="7"/>
        <v>0.45597826086956517</v>
      </c>
      <c r="S46" s="9">
        <f t="shared" si="3"/>
        <v>0.59277173913043468</v>
      </c>
      <c r="T46" s="9">
        <f t="shared" si="4"/>
        <v>-0.4927717391304347</v>
      </c>
      <c r="U46" s="9">
        <v>0</v>
      </c>
      <c r="W46">
        <v>542.1</v>
      </c>
      <c r="Y46">
        <f t="shared" si="6"/>
        <v>30464.600000000002</v>
      </c>
      <c r="AA46">
        <v>12.573416024861391</v>
      </c>
    </row>
    <row r="47" spans="1:27" x14ac:dyDescent="0.25">
      <c r="A47">
        <v>5240</v>
      </c>
      <c r="B47">
        <v>23690</v>
      </c>
      <c r="C47" s="5">
        <v>42625</v>
      </c>
      <c r="F47" s="54"/>
      <c r="G47">
        <v>21.7</v>
      </c>
      <c r="H47">
        <v>14.5</v>
      </c>
      <c r="I47">
        <v>29.4</v>
      </c>
      <c r="J47">
        <f t="shared" si="5"/>
        <v>440.29999999999995</v>
      </c>
      <c r="M47">
        <v>0</v>
      </c>
      <c r="N47">
        <v>3.5</v>
      </c>
      <c r="O47">
        <f t="shared" si="2"/>
        <v>-3.5</v>
      </c>
      <c r="P47">
        <v>0</v>
      </c>
      <c r="Q47">
        <v>21</v>
      </c>
      <c r="R47">
        <f t="shared" si="7"/>
        <v>0.46304347826086956</v>
      </c>
      <c r="S47" s="9">
        <f t="shared" si="3"/>
        <v>1.6206521739130435</v>
      </c>
      <c r="T47" s="9">
        <f t="shared" si="4"/>
        <v>-1.6206521739130435</v>
      </c>
      <c r="U47" s="9">
        <v>0</v>
      </c>
      <c r="W47">
        <v>1541.4</v>
      </c>
      <c r="Y47">
        <f t="shared" si="6"/>
        <v>32006.000000000004</v>
      </c>
      <c r="AA47">
        <v>12.513266876504778</v>
      </c>
    </row>
    <row r="48" spans="1:27" x14ac:dyDescent="0.25">
      <c r="A48">
        <v>5240</v>
      </c>
      <c r="B48">
        <v>23690</v>
      </c>
      <c r="C48" s="5">
        <v>42626</v>
      </c>
      <c r="F48" s="54"/>
      <c r="G48">
        <v>24.1</v>
      </c>
      <c r="H48">
        <v>17.5</v>
      </c>
      <c r="I48">
        <v>31</v>
      </c>
      <c r="J48">
        <f t="shared" si="5"/>
        <v>464.4</v>
      </c>
      <c r="M48">
        <v>0</v>
      </c>
      <c r="N48">
        <v>4.0999999999999996</v>
      </c>
      <c r="O48">
        <f t="shared" si="2"/>
        <v>-4.0999999999999996</v>
      </c>
      <c r="P48">
        <v>0</v>
      </c>
      <c r="Q48">
        <v>22</v>
      </c>
      <c r="R48">
        <f t="shared" si="7"/>
        <v>0.47010869565217389</v>
      </c>
      <c r="S48" s="9">
        <f t="shared" si="3"/>
        <v>1.9274456521739127</v>
      </c>
      <c r="T48" s="9">
        <f t="shared" si="4"/>
        <v>-1.9274456521739127</v>
      </c>
      <c r="U48" s="9">
        <v>0</v>
      </c>
      <c r="W48">
        <v>1488.3</v>
      </c>
      <c r="Y48">
        <f t="shared" si="6"/>
        <v>33494.300000000003</v>
      </c>
      <c r="AA48">
        <v>12.453047060831992</v>
      </c>
    </row>
    <row r="49" spans="1:27" x14ac:dyDescent="0.25">
      <c r="A49">
        <v>5240</v>
      </c>
      <c r="B49">
        <v>23690</v>
      </c>
      <c r="C49" s="5">
        <v>42627</v>
      </c>
      <c r="F49" s="54"/>
      <c r="G49">
        <v>19.600000000000001</v>
      </c>
      <c r="H49">
        <v>15.1</v>
      </c>
      <c r="I49">
        <v>23.9</v>
      </c>
      <c r="J49">
        <f t="shared" si="5"/>
        <v>484</v>
      </c>
      <c r="M49">
        <v>28.9</v>
      </c>
      <c r="N49">
        <v>2.2000000000000002</v>
      </c>
      <c r="O49">
        <f t="shared" si="2"/>
        <v>26.7</v>
      </c>
      <c r="P49">
        <f t="shared" si="8"/>
        <v>26.7</v>
      </c>
      <c r="Q49">
        <v>23</v>
      </c>
      <c r="R49">
        <f t="shared" si="7"/>
        <v>0.47717391304347823</v>
      </c>
      <c r="S49" s="9">
        <f t="shared" si="3"/>
        <v>1.0497826086956521</v>
      </c>
      <c r="T49" s="9">
        <f t="shared" si="4"/>
        <v>27.850217391304348</v>
      </c>
      <c r="U49" s="9">
        <f t="shared" si="9"/>
        <v>27.850217391304348</v>
      </c>
      <c r="W49">
        <v>915.3</v>
      </c>
      <c r="Y49">
        <f t="shared" si="6"/>
        <v>34409.600000000006</v>
      </c>
      <c r="AA49">
        <v>12.392765198988426</v>
      </c>
    </row>
    <row r="50" spans="1:27" x14ac:dyDescent="0.25">
      <c r="A50">
        <v>5240</v>
      </c>
      <c r="B50">
        <v>23690</v>
      </c>
      <c r="C50" s="5">
        <v>42628</v>
      </c>
      <c r="F50" s="54"/>
      <c r="G50">
        <v>16.2</v>
      </c>
      <c r="H50">
        <v>15.7</v>
      </c>
      <c r="I50">
        <v>17.100000000000001</v>
      </c>
      <c r="J50">
        <f t="shared" si="5"/>
        <v>500.2</v>
      </c>
      <c r="M50">
        <v>0.5</v>
      </c>
      <c r="N50">
        <v>0.6</v>
      </c>
      <c r="O50">
        <f t="shared" si="2"/>
        <v>-9.9999999999999978E-2</v>
      </c>
      <c r="P50">
        <f t="shared" si="8"/>
        <v>26.599999999999998</v>
      </c>
      <c r="Q50">
        <v>24</v>
      </c>
      <c r="R50">
        <f t="shared" si="7"/>
        <v>0.48423913043478262</v>
      </c>
      <c r="S50" s="9">
        <f t="shared" si="3"/>
        <v>0.29054347826086957</v>
      </c>
      <c r="T50" s="9">
        <f t="shared" si="4"/>
        <v>0.20945652173913043</v>
      </c>
      <c r="U50" s="9">
        <f t="shared" si="9"/>
        <v>28.059673913043479</v>
      </c>
      <c r="W50">
        <v>409.5</v>
      </c>
      <c r="Y50">
        <f t="shared" si="6"/>
        <v>34819.100000000006</v>
      </c>
      <c r="AA50">
        <v>12.332429797088185</v>
      </c>
    </row>
    <row r="51" spans="1:27" x14ac:dyDescent="0.25">
      <c r="A51">
        <v>5240</v>
      </c>
      <c r="B51">
        <v>23690</v>
      </c>
      <c r="C51" s="5">
        <v>42629</v>
      </c>
      <c r="F51" s="54"/>
      <c r="G51">
        <v>14.7</v>
      </c>
      <c r="H51">
        <v>13.3</v>
      </c>
      <c r="I51">
        <v>17.600000000000001</v>
      </c>
      <c r="J51">
        <f t="shared" si="5"/>
        <v>514.9</v>
      </c>
      <c r="M51">
        <v>5.7</v>
      </c>
      <c r="N51">
        <v>1.6</v>
      </c>
      <c r="O51">
        <f t="shared" si="2"/>
        <v>4.0999999999999996</v>
      </c>
      <c r="P51">
        <f t="shared" si="8"/>
        <v>30.699999999999996</v>
      </c>
      <c r="Q51">
        <v>25</v>
      </c>
      <c r="R51">
        <f t="shared" si="7"/>
        <v>0.4913043478260869</v>
      </c>
      <c r="S51" s="9">
        <f t="shared" si="3"/>
        <v>0.7860869565217391</v>
      </c>
      <c r="T51" s="9">
        <f t="shared" si="4"/>
        <v>4.913913043478261</v>
      </c>
      <c r="U51" s="9">
        <f t="shared" si="9"/>
        <v>32.973586956521743</v>
      </c>
      <c r="W51">
        <v>832.6</v>
      </c>
      <c r="Y51">
        <f t="shared" si="6"/>
        <v>35651.700000000004</v>
      </c>
      <c r="AA51">
        <v>12.272049261401596</v>
      </c>
    </row>
    <row r="52" spans="1:27" x14ac:dyDescent="0.25">
      <c r="A52">
        <v>5240</v>
      </c>
      <c r="B52">
        <v>23690</v>
      </c>
      <c r="C52" s="5">
        <v>42630</v>
      </c>
      <c r="F52" s="54"/>
      <c r="G52">
        <v>13.7</v>
      </c>
      <c r="H52">
        <v>11.4</v>
      </c>
      <c r="I52">
        <v>16.899999999999999</v>
      </c>
      <c r="J52">
        <f t="shared" si="5"/>
        <v>528.6</v>
      </c>
      <c r="M52">
        <v>1.3</v>
      </c>
      <c r="N52">
        <v>1</v>
      </c>
      <c r="O52">
        <f t="shared" si="2"/>
        <v>0.30000000000000004</v>
      </c>
      <c r="P52">
        <f t="shared" si="8"/>
        <v>30.999999999999996</v>
      </c>
      <c r="Q52">
        <v>26</v>
      </c>
      <c r="R52">
        <f t="shared" si="7"/>
        <v>0.49836956521739129</v>
      </c>
      <c r="S52" s="9">
        <f t="shared" si="3"/>
        <v>0.49836956521739129</v>
      </c>
      <c r="T52" s="9">
        <f t="shared" si="4"/>
        <v>0.80163043478260876</v>
      </c>
      <c r="U52" s="9">
        <f t="shared" si="9"/>
        <v>33.775217391304352</v>
      </c>
      <c r="W52">
        <v>490.9</v>
      </c>
      <c r="Y52">
        <f t="shared" si="6"/>
        <v>36142.600000000006</v>
      </c>
      <c r="AA52">
        <v>12.211631913608649</v>
      </c>
    </row>
    <row r="53" spans="1:27" x14ac:dyDescent="0.25">
      <c r="A53">
        <v>5240</v>
      </c>
      <c r="B53">
        <v>23690</v>
      </c>
      <c r="C53" s="5">
        <v>42631</v>
      </c>
      <c r="F53" s="54"/>
      <c r="G53">
        <v>15.5</v>
      </c>
      <c r="H53">
        <v>13.1</v>
      </c>
      <c r="I53">
        <v>17.7</v>
      </c>
      <c r="J53">
        <f t="shared" si="5"/>
        <v>544.1</v>
      </c>
      <c r="M53">
        <v>0</v>
      </c>
      <c r="N53">
        <v>0.5</v>
      </c>
      <c r="O53">
        <f t="shared" si="2"/>
        <v>-0.5</v>
      </c>
      <c r="P53">
        <f t="shared" si="8"/>
        <v>30.499999999999996</v>
      </c>
      <c r="Q53">
        <v>27</v>
      </c>
      <c r="R53">
        <f t="shared" si="7"/>
        <v>0.50543478260869568</v>
      </c>
      <c r="S53" s="9">
        <f t="shared" si="3"/>
        <v>0.25271739130434784</v>
      </c>
      <c r="T53" s="9">
        <f t="shared" si="4"/>
        <v>-0.25271739130434784</v>
      </c>
      <c r="U53" s="9">
        <f t="shared" si="9"/>
        <v>33.522500000000001</v>
      </c>
      <c r="W53">
        <v>403.7</v>
      </c>
      <c r="Y53">
        <f t="shared" si="6"/>
        <v>36546.300000000003</v>
      </c>
      <c r="AA53">
        <v>12.151186006106963</v>
      </c>
    </row>
    <row r="54" spans="1:27" x14ac:dyDescent="0.25">
      <c r="A54">
        <v>5240</v>
      </c>
      <c r="B54">
        <v>23690</v>
      </c>
      <c r="C54" s="5">
        <v>42632</v>
      </c>
      <c r="F54" s="54"/>
      <c r="G54">
        <v>16</v>
      </c>
      <c r="H54">
        <v>13.4</v>
      </c>
      <c r="I54">
        <v>18.8</v>
      </c>
      <c r="J54">
        <f t="shared" si="5"/>
        <v>560.1</v>
      </c>
      <c r="M54">
        <v>0.2</v>
      </c>
      <c r="N54">
        <v>1.2</v>
      </c>
      <c r="O54">
        <f t="shared" si="2"/>
        <v>-1</v>
      </c>
      <c r="P54">
        <f t="shared" si="8"/>
        <v>29.499999999999996</v>
      </c>
      <c r="Q54">
        <v>28</v>
      </c>
      <c r="R54">
        <f t="shared" si="7"/>
        <v>0.51249999999999996</v>
      </c>
      <c r="S54" s="9">
        <f t="shared" si="3"/>
        <v>0.61499999999999988</v>
      </c>
      <c r="T54" s="9">
        <f t="shared" si="4"/>
        <v>-0.41499999999999987</v>
      </c>
      <c r="U54" s="9">
        <f t="shared" si="9"/>
        <v>33.107500000000002</v>
      </c>
      <c r="W54">
        <v>820.8</v>
      </c>
      <c r="Y54">
        <f t="shared" si="6"/>
        <v>37367.100000000006</v>
      </c>
      <c r="AA54">
        <v>12.090719737363479</v>
      </c>
    </row>
    <row r="55" spans="1:27" x14ac:dyDescent="0.25">
      <c r="A55">
        <v>5240</v>
      </c>
      <c r="B55">
        <v>23690</v>
      </c>
      <c r="C55" s="5">
        <v>42633</v>
      </c>
      <c r="F55" s="54"/>
      <c r="G55">
        <v>15.7</v>
      </c>
      <c r="H55">
        <v>13.9</v>
      </c>
      <c r="I55">
        <v>18.5</v>
      </c>
      <c r="J55">
        <f t="shared" si="5"/>
        <v>575.80000000000007</v>
      </c>
      <c r="M55">
        <v>0.6</v>
      </c>
      <c r="N55">
        <v>0.7</v>
      </c>
      <c r="O55">
        <f t="shared" si="2"/>
        <v>-9.9999999999999978E-2</v>
      </c>
      <c r="P55">
        <f t="shared" si="8"/>
        <v>29.399999999999995</v>
      </c>
      <c r="Q55">
        <v>29</v>
      </c>
      <c r="R55">
        <f t="shared" si="7"/>
        <v>0.51956521739130435</v>
      </c>
      <c r="S55" s="9">
        <f t="shared" si="3"/>
        <v>0.36369565217391303</v>
      </c>
      <c r="T55" s="9">
        <f t="shared" si="4"/>
        <v>0.23630434782608695</v>
      </c>
      <c r="U55" s="9">
        <f t="shared" si="9"/>
        <v>33.343804347826087</v>
      </c>
      <c r="W55">
        <v>370</v>
      </c>
      <c r="Y55">
        <f t="shared" si="6"/>
        <v>37737.100000000006</v>
      </c>
      <c r="AA55">
        <v>12.030241267299665</v>
      </c>
    </row>
    <row r="56" spans="1:27" x14ac:dyDescent="0.25">
      <c r="A56">
        <v>5240</v>
      </c>
      <c r="B56">
        <v>23690</v>
      </c>
      <c r="C56" s="5">
        <v>42634</v>
      </c>
      <c r="F56" s="54"/>
      <c r="G56">
        <v>14.5</v>
      </c>
      <c r="H56">
        <v>8.6999999999999993</v>
      </c>
      <c r="I56">
        <v>20.3</v>
      </c>
      <c r="J56">
        <f t="shared" si="5"/>
        <v>590.30000000000007</v>
      </c>
      <c r="M56">
        <v>0.2</v>
      </c>
      <c r="N56">
        <v>2.4</v>
      </c>
      <c r="O56">
        <f t="shared" si="2"/>
        <v>-2.1999999999999997</v>
      </c>
      <c r="P56">
        <f t="shared" si="8"/>
        <v>27.199999999999996</v>
      </c>
      <c r="Q56">
        <v>30</v>
      </c>
      <c r="R56">
        <f t="shared" si="7"/>
        <v>0.52663043478260874</v>
      </c>
      <c r="S56" s="9">
        <f t="shared" si="3"/>
        <v>1.2639130434782608</v>
      </c>
      <c r="T56" s="9">
        <f t="shared" si="4"/>
        <v>-1.0639130434782609</v>
      </c>
      <c r="U56" s="9">
        <f t="shared" si="9"/>
        <v>32.279891304347828</v>
      </c>
      <c r="W56">
        <v>1514.4</v>
      </c>
      <c r="Y56">
        <f t="shared" si="6"/>
        <v>39251.500000000007</v>
      </c>
      <c r="AA56">
        <v>11.969758732700337</v>
      </c>
    </row>
    <row r="57" spans="1:27" x14ac:dyDescent="0.25">
      <c r="A57">
        <v>5240</v>
      </c>
      <c r="B57">
        <v>23690</v>
      </c>
      <c r="C57" s="5">
        <v>42635</v>
      </c>
      <c r="F57" s="54"/>
      <c r="G57">
        <v>15.5</v>
      </c>
      <c r="H57">
        <v>9.1999999999999993</v>
      </c>
      <c r="I57">
        <v>21.7</v>
      </c>
      <c r="J57">
        <f t="shared" si="5"/>
        <v>605.80000000000007</v>
      </c>
      <c r="M57">
        <v>0</v>
      </c>
      <c r="N57">
        <v>1.2</v>
      </c>
      <c r="O57">
        <f t="shared" si="2"/>
        <v>-1.2</v>
      </c>
      <c r="P57">
        <f t="shared" si="8"/>
        <v>25.999999999999996</v>
      </c>
      <c r="Q57">
        <v>31</v>
      </c>
      <c r="R57">
        <f t="shared" si="7"/>
        <v>0.53369565217391302</v>
      </c>
      <c r="S57" s="9">
        <f t="shared" si="3"/>
        <v>0.64043478260869557</v>
      </c>
      <c r="T57" s="9">
        <f t="shared" si="4"/>
        <v>-0.64043478260869557</v>
      </c>
      <c r="U57" s="9">
        <f t="shared" si="9"/>
        <v>31.639456521739131</v>
      </c>
      <c r="W57">
        <v>796.4</v>
      </c>
      <c r="Y57">
        <f t="shared" si="6"/>
        <v>40047.900000000009</v>
      </c>
      <c r="AA57">
        <v>11.909280262636521</v>
      </c>
    </row>
    <row r="58" spans="1:27" x14ac:dyDescent="0.25">
      <c r="A58">
        <v>5240</v>
      </c>
      <c r="B58">
        <v>23690</v>
      </c>
      <c r="C58" s="5">
        <v>42636</v>
      </c>
      <c r="F58" s="54"/>
      <c r="G58">
        <v>16.3</v>
      </c>
      <c r="H58">
        <v>12.9</v>
      </c>
      <c r="I58">
        <v>22</v>
      </c>
      <c r="J58">
        <f t="shared" si="5"/>
        <v>622.1</v>
      </c>
      <c r="M58">
        <v>0</v>
      </c>
      <c r="N58">
        <v>2.5</v>
      </c>
      <c r="O58">
        <f t="shared" si="2"/>
        <v>-2.5</v>
      </c>
      <c r="P58">
        <f t="shared" si="8"/>
        <v>23.499999999999996</v>
      </c>
      <c r="Q58">
        <v>32</v>
      </c>
      <c r="R58">
        <f t="shared" si="7"/>
        <v>0.54076086956521741</v>
      </c>
      <c r="S58" s="9">
        <f t="shared" si="3"/>
        <v>1.3519021739130435</v>
      </c>
      <c r="T58" s="9">
        <f t="shared" si="4"/>
        <v>-1.3519021739130435</v>
      </c>
      <c r="U58" s="9">
        <f t="shared" si="9"/>
        <v>30.287554347826088</v>
      </c>
      <c r="W58">
        <v>1397.9</v>
      </c>
      <c r="Y58">
        <f t="shared" si="6"/>
        <v>41445.80000000001</v>
      </c>
      <c r="AA58">
        <v>11.848813993893039</v>
      </c>
    </row>
    <row r="59" spans="1:27" x14ac:dyDescent="0.25">
      <c r="A59">
        <v>5240</v>
      </c>
      <c r="B59">
        <v>23690</v>
      </c>
      <c r="C59" s="5">
        <v>42637</v>
      </c>
      <c r="F59" s="54"/>
      <c r="G59">
        <v>16.7</v>
      </c>
      <c r="H59">
        <v>10.8</v>
      </c>
      <c r="I59">
        <v>23.9</v>
      </c>
      <c r="J59">
        <f t="shared" si="5"/>
        <v>638.80000000000007</v>
      </c>
      <c r="M59">
        <v>0.2</v>
      </c>
      <c r="N59">
        <v>3.3</v>
      </c>
      <c r="O59">
        <f t="shared" si="2"/>
        <v>-3.0999999999999996</v>
      </c>
      <c r="P59">
        <f t="shared" si="8"/>
        <v>20.399999999999999</v>
      </c>
      <c r="Q59">
        <v>33</v>
      </c>
      <c r="R59">
        <f t="shared" si="7"/>
        <v>0.54782608695652169</v>
      </c>
      <c r="S59" s="9">
        <f t="shared" si="3"/>
        <v>1.8078260869565215</v>
      </c>
      <c r="T59" s="9">
        <f t="shared" si="4"/>
        <v>-1.6078260869565215</v>
      </c>
      <c r="U59" s="9">
        <f t="shared" si="9"/>
        <v>28.679728260869567</v>
      </c>
      <c r="W59">
        <v>1499.6</v>
      </c>
      <c r="Y59">
        <f t="shared" si="6"/>
        <v>42945.400000000009</v>
      </c>
      <c r="AA59">
        <v>11.788368086391349</v>
      </c>
    </row>
    <row r="60" spans="1:27" x14ac:dyDescent="0.25">
      <c r="A60">
        <v>5240</v>
      </c>
      <c r="B60">
        <v>23690</v>
      </c>
      <c r="C60" s="5">
        <v>42638</v>
      </c>
      <c r="F60" s="54"/>
      <c r="G60">
        <v>14.5</v>
      </c>
      <c r="H60">
        <v>13.5</v>
      </c>
      <c r="I60">
        <v>17.2</v>
      </c>
      <c r="J60">
        <f t="shared" si="5"/>
        <v>653.30000000000007</v>
      </c>
      <c r="M60">
        <v>0.4</v>
      </c>
      <c r="N60">
        <v>1.7</v>
      </c>
      <c r="O60">
        <f t="shared" si="2"/>
        <v>-1.2999999999999998</v>
      </c>
      <c r="P60">
        <f t="shared" si="8"/>
        <v>19.099999999999998</v>
      </c>
      <c r="Q60">
        <v>34</v>
      </c>
      <c r="R60">
        <f t="shared" si="7"/>
        <v>0.55489130434782608</v>
      </c>
      <c r="S60" s="9">
        <f t="shared" si="3"/>
        <v>0.94331521739130431</v>
      </c>
      <c r="T60" s="9">
        <f t="shared" si="4"/>
        <v>-0.54331521739130428</v>
      </c>
      <c r="U60" s="9">
        <f t="shared" si="9"/>
        <v>28.136413043478264</v>
      </c>
      <c r="W60">
        <v>987.3</v>
      </c>
      <c r="Y60">
        <f t="shared" si="6"/>
        <v>43932.700000000012</v>
      </c>
      <c r="AA60">
        <v>11.727950738598404</v>
      </c>
    </row>
    <row r="61" spans="1:27" x14ac:dyDescent="0.25">
      <c r="A61">
        <v>5240</v>
      </c>
      <c r="B61">
        <v>23690</v>
      </c>
      <c r="C61" s="5">
        <v>42639</v>
      </c>
      <c r="F61" s="54"/>
      <c r="G61">
        <v>14.1</v>
      </c>
      <c r="H61">
        <v>8.6999999999999993</v>
      </c>
      <c r="I61">
        <v>19.899999999999999</v>
      </c>
      <c r="J61">
        <f t="shared" si="5"/>
        <v>667.40000000000009</v>
      </c>
      <c r="M61">
        <v>0</v>
      </c>
      <c r="N61">
        <v>1.5</v>
      </c>
      <c r="O61">
        <f t="shared" si="2"/>
        <v>-1.5</v>
      </c>
      <c r="P61">
        <f t="shared" si="8"/>
        <v>17.599999999999998</v>
      </c>
      <c r="Q61">
        <v>35</v>
      </c>
      <c r="R61">
        <f t="shared" si="7"/>
        <v>0.56195652173913047</v>
      </c>
      <c r="S61" s="9">
        <f t="shared" si="3"/>
        <v>0.8429347826086957</v>
      </c>
      <c r="T61" s="9">
        <f t="shared" si="4"/>
        <v>-0.8429347826086957</v>
      </c>
      <c r="U61" s="9">
        <f t="shared" si="9"/>
        <v>27.29347826086957</v>
      </c>
      <c r="W61">
        <v>934.8</v>
      </c>
      <c r="Y61">
        <f t="shared" si="6"/>
        <v>44867.500000000015</v>
      </c>
      <c r="AA61">
        <v>11.667570202911815</v>
      </c>
    </row>
    <row r="62" spans="1:27" x14ac:dyDescent="0.25">
      <c r="A62">
        <v>5240</v>
      </c>
      <c r="B62">
        <v>23690</v>
      </c>
      <c r="C62" s="5">
        <v>42640</v>
      </c>
      <c r="F62" s="54"/>
      <c r="G62">
        <v>16.5</v>
      </c>
      <c r="H62">
        <v>10.6</v>
      </c>
      <c r="I62">
        <v>21.9</v>
      </c>
      <c r="J62">
        <f t="shared" si="5"/>
        <v>683.90000000000009</v>
      </c>
      <c r="M62">
        <v>0</v>
      </c>
      <c r="N62">
        <v>2.2000000000000002</v>
      </c>
      <c r="O62">
        <f t="shared" si="2"/>
        <v>-2.2000000000000002</v>
      </c>
      <c r="P62">
        <f t="shared" si="8"/>
        <v>15.399999999999999</v>
      </c>
      <c r="Q62">
        <v>36</v>
      </c>
      <c r="R62">
        <f t="shared" si="7"/>
        <v>0.56902173913043474</v>
      </c>
      <c r="S62" s="9">
        <f t="shared" si="3"/>
        <v>1.2518478260869565</v>
      </c>
      <c r="T62" s="9">
        <f t="shared" si="4"/>
        <v>-1.2518478260869565</v>
      </c>
      <c r="U62" s="9">
        <f t="shared" si="9"/>
        <v>26.041630434782615</v>
      </c>
      <c r="W62">
        <v>1044.8</v>
      </c>
      <c r="Y62">
        <f t="shared" si="6"/>
        <v>45912.300000000017</v>
      </c>
      <c r="AA62">
        <v>11.607234801011575</v>
      </c>
    </row>
    <row r="63" spans="1:27" x14ac:dyDescent="0.25">
      <c r="A63">
        <v>5240</v>
      </c>
      <c r="B63">
        <v>23690</v>
      </c>
      <c r="C63" s="5">
        <v>42641</v>
      </c>
      <c r="F63" s="54"/>
      <c r="G63">
        <v>17.3</v>
      </c>
      <c r="H63">
        <v>15.9</v>
      </c>
      <c r="I63">
        <v>20.9</v>
      </c>
      <c r="J63">
        <f t="shared" si="5"/>
        <v>701.2</v>
      </c>
      <c r="M63">
        <v>0.2</v>
      </c>
      <c r="N63">
        <v>1.8</v>
      </c>
      <c r="O63">
        <f t="shared" si="2"/>
        <v>-1.6</v>
      </c>
      <c r="P63">
        <f t="shared" si="8"/>
        <v>13.799999999999999</v>
      </c>
      <c r="Q63">
        <v>37</v>
      </c>
      <c r="R63">
        <f t="shared" si="7"/>
        <v>0.57608695652173914</v>
      </c>
      <c r="S63" s="9">
        <f t="shared" si="3"/>
        <v>1.0369565217391306</v>
      </c>
      <c r="T63" s="9">
        <f t="shared" si="4"/>
        <v>-0.8369565217391306</v>
      </c>
      <c r="U63" s="9">
        <f t="shared" si="9"/>
        <v>25.204673913043486</v>
      </c>
      <c r="W63">
        <v>817.9</v>
      </c>
      <c r="Y63">
        <f t="shared" si="6"/>
        <v>46730.200000000019</v>
      </c>
      <c r="AA63">
        <v>11.546952939168007</v>
      </c>
    </row>
    <row r="64" spans="1:27" x14ac:dyDescent="0.25">
      <c r="A64">
        <v>5240</v>
      </c>
      <c r="B64">
        <v>23690</v>
      </c>
      <c r="C64" s="5">
        <v>42642</v>
      </c>
      <c r="F64" s="54"/>
      <c r="G64">
        <v>16.3</v>
      </c>
      <c r="H64">
        <v>13.7</v>
      </c>
      <c r="I64">
        <v>18.7</v>
      </c>
      <c r="J64">
        <f t="shared" si="5"/>
        <v>717.5</v>
      </c>
      <c r="M64">
        <v>0</v>
      </c>
      <c r="N64">
        <v>1</v>
      </c>
      <c r="O64">
        <f t="shared" si="2"/>
        <v>-1</v>
      </c>
      <c r="P64">
        <f t="shared" si="8"/>
        <v>12.799999999999999</v>
      </c>
      <c r="Q64">
        <v>38</v>
      </c>
      <c r="R64">
        <f t="shared" si="7"/>
        <v>0.58315217391304341</v>
      </c>
      <c r="S64" s="9">
        <f t="shared" si="3"/>
        <v>0.58315217391304341</v>
      </c>
      <c r="T64" s="9">
        <f t="shared" si="4"/>
        <v>-0.58315217391304341</v>
      </c>
      <c r="U64" s="9">
        <f t="shared" si="9"/>
        <v>24.621521739130444</v>
      </c>
      <c r="W64">
        <v>433.1</v>
      </c>
      <c r="Y64">
        <f t="shared" si="6"/>
        <v>47163.300000000017</v>
      </c>
      <c r="AA64">
        <v>11.48673312349522</v>
      </c>
    </row>
    <row r="65" spans="1:27" x14ac:dyDescent="0.25">
      <c r="A65">
        <v>5240</v>
      </c>
      <c r="B65">
        <v>23690</v>
      </c>
      <c r="C65" s="5">
        <v>42643</v>
      </c>
      <c r="F65" s="54"/>
      <c r="G65">
        <v>14.2</v>
      </c>
      <c r="H65">
        <v>12.3</v>
      </c>
      <c r="I65">
        <v>16.600000000000001</v>
      </c>
      <c r="J65">
        <f t="shared" si="5"/>
        <v>731.7</v>
      </c>
      <c r="M65">
        <v>4.5</v>
      </c>
      <c r="N65">
        <v>0.7</v>
      </c>
      <c r="O65">
        <f t="shared" si="2"/>
        <v>3.8</v>
      </c>
      <c r="P65">
        <f t="shared" si="8"/>
        <v>16.599999999999998</v>
      </c>
      <c r="Q65">
        <v>39</v>
      </c>
      <c r="R65">
        <f t="shared" si="7"/>
        <v>0.5902173913043478</v>
      </c>
      <c r="S65" s="9">
        <f t="shared" si="3"/>
        <v>0.41315217391304343</v>
      </c>
      <c r="T65" s="9">
        <f t="shared" si="4"/>
        <v>4.0868478260869567</v>
      </c>
      <c r="U65" s="9">
        <f t="shared" si="9"/>
        <v>28.708369565217399</v>
      </c>
      <c r="W65">
        <v>405.5</v>
      </c>
      <c r="Y65">
        <f t="shared" si="6"/>
        <v>47568.800000000017</v>
      </c>
      <c r="AA65">
        <v>11.426583975138611</v>
      </c>
    </row>
    <row r="66" spans="1:27" x14ac:dyDescent="0.25">
      <c r="A66">
        <v>5240</v>
      </c>
      <c r="B66">
        <v>23690</v>
      </c>
      <c r="C66" s="5">
        <v>42644</v>
      </c>
      <c r="F66" s="54"/>
      <c r="G66">
        <v>12.8</v>
      </c>
      <c r="H66">
        <v>10.9</v>
      </c>
      <c r="I66">
        <v>16.8</v>
      </c>
      <c r="J66">
        <f t="shared" si="5"/>
        <v>744.5</v>
      </c>
      <c r="M66">
        <v>0.8</v>
      </c>
      <c r="N66">
        <v>1.8</v>
      </c>
      <c r="O66">
        <f t="shared" si="2"/>
        <v>-1</v>
      </c>
      <c r="P66">
        <f t="shared" si="8"/>
        <v>15.599999999999998</v>
      </c>
      <c r="Q66">
        <v>40</v>
      </c>
      <c r="R66">
        <f t="shared" si="7"/>
        <v>0.5972826086956522</v>
      </c>
      <c r="S66" s="9">
        <f t="shared" si="3"/>
        <v>1.075108695652174</v>
      </c>
      <c r="T66" s="9">
        <f t="shared" si="4"/>
        <v>-0.275108695652174</v>
      </c>
      <c r="U66" s="9">
        <f t="shared" si="9"/>
        <v>28.433260869565224</v>
      </c>
      <c r="W66">
        <v>1080.0999999999999</v>
      </c>
      <c r="Y66">
        <f t="shared" si="6"/>
        <v>48648.900000000016</v>
      </c>
      <c r="AA66">
        <v>11.366514245384266</v>
      </c>
    </row>
    <row r="67" spans="1:27" x14ac:dyDescent="0.25">
      <c r="A67">
        <v>5240</v>
      </c>
      <c r="B67">
        <v>23690</v>
      </c>
      <c r="C67" s="5">
        <v>42645</v>
      </c>
      <c r="F67" s="54"/>
      <c r="G67">
        <v>11</v>
      </c>
      <c r="H67">
        <v>8</v>
      </c>
      <c r="I67">
        <v>15.7</v>
      </c>
      <c r="J67">
        <f t="shared" si="5"/>
        <v>755.5</v>
      </c>
      <c r="M67">
        <v>0.1</v>
      </c>
      <c r="N67">
        <v>1.5</v>
      </c>
      <c r="O67">
        <f t="shared" si="2"/>
        <v>-1.4</v>
      </c>
      <c r="P67">
        <f t="shared" si="8"/>
        <v>14.199999999999998</v>
      </c>
      <c r="Q67">
        <v>41</v>
      </c>
      <c r="R67">
        <f t="shared" si="7"/>
        <v>0.60434782608695659</v>
      </c>
      <c r="S67" s="9">
        <f t="shared" si="3"/>
        <v>0.90652173913043488</v>
      </c>
      <c r="T67" s="9">
        <f t="shared" si="4"/>
        <v>-0.8065217391304349</v>
      </c>
      <c r="U67" s="9">
        <f t="shared" si="9"/>
        <v>27.626739130434789</v>
      </c>
      <c r="W67">
        <v>867.4</v>
      </c>
      <c r="Y67">
        <f t="shared" si="6"/>
        <v>49516.300000000017</v>
      </c>
      <c r="AA67">
        <v>11.306532830677286</v>
      </c>
    </row>
    <row r="68" spans="1:27" x14ac:dyDescent="0.25">
      <c r="A68">
        <v>5240</v>
      </c>
      <c r="B68">
        <v>23690</v>
      </c>
      <c r="C68" s="5">
        <v>42646</v>
      </c>
      <c r="F68" s="54"/>
      <c r="G68">
        <v>10.7</v>
      </c>
      <c r="H68">
        <v>3.9</v>
      </c>
      <c r="I68">
        <v>17.2</v>
      </c>
      <c r="J68">
        <f t="shared" si="5"/>
        <v>766.2</v>
      </c>
      <c r="M68">
        <v>0.1</v>
      </c>
      <c r="N68">
        <v>2</v>
      </c>
      <c r="O68">
        <f t="shared" si="2"/>
        <v>-1.9</v>
      </c>
      <c r="P68">
        <f t="shared" si="8"/>
        <v>12.299999999999997</v>
      </c>
      <c r="Q68">
        <v>42</v>
      </c>
      <c r="R68">
        <f t="shared" si="7"/>
        <v>0.61141304347826086</v>
      </c>
      <c r="S68" s="9">
        <f t="shared" si="3"/>
        <v>1.2228260869565217</v>
      </c>
      <c r="T68" s="9">
        <f t="shared" si="4"/>
        <v>-1.1228260869565216</v>
      </c>
      <c r="U68" s="9">
        <f t="shared" si="9"/>
        <v>26.503913043478267</v>
      </c>
      <c r="W68">
        <v>1388.1</v>
      </c>
      <c r="Y68">
        <f t="shared" si="6"/>
        <v>50904.400000000016</v>
      </c>
      <c r="AA68">
        <v>11.246648787534923</v>
      </c>
    </row>
    <row r="69" spans="1:27" x14ac:dyDescent="0.25">
      <c r="A69">
        <v>5240</v>
      </c>
      <c r="B69">
        <v>23690</v>
      </c>
      <c r="C69" s="5">
        <v>42647</v>
      </c>
      <c r="F69" s="54"/>
      <c r="G69">
        <v>13</v>
      </c>
      <c r="H69">
        <v>8.5</v>
      </c>
      <c r="I69">
        <v>18.399999999999999</v>
      </c>
      <c r="J69">
        <f t="shared" si="5"/>
        <v>779.2</v>
      </c>
      <c r="M69">
        <v>0</v>
      </c>
      <c r="N69">
        <v>2.7</v>
      </c>
      <c r="O69">
        <f t="shared" si="2"/>
        <v>-2.7</v>
      </c>
      <c r="P69">
        <f t="shared" si="8"/>
        <v>9.5999999999999979</v>
      </c>
      <c r="Q69">
        <v>43</v>
      </c>
      <c r="R69">
        <f t="shared" si="7"/>
        <v>0.61847826086956514</v>
      </c>
      <c r="S69" s="9">
        <f t="shared" si="3"/>
        <v>1.6698913043478261</v>
      </c>
      <c r="T69" s="9">
        <f t="shared" si="4"/>
        <v>-1.6698913043478261</v>
      </c>
      <c r="U69" s="9">
        <f t="shared" si="9"/>
        <v>24.834021739130442</v>
      </c>
      <c r="W69">
        <v>1446.4</v>
      </c>
      <c r="Y69">
        <f t="shared" si="6"/>
        <v>52350.800000000017</v>
      </c>
      <c r="AA69">
        <v>11.186871347339521</v>
      </c>
    </row>
    <row r="70" spans="1:27" x14ac:dyDescent="0.25">
      <c r="A70">
        <v>5240</v>
      </c>
      <c r="B70">
        <v>23690</v>
      </c>
      <c r="C70" s="5">
        <v>42648</v>
      </c>
      <c r="F70" s="54"/>
      <c r="G70">
        <v>11.9</v>
      </c>
      <c r="H70">
        <v>9.4</v>
      </c>
      <c r="I70">
        <v>16</v>
      </c>
      <c r="J70">
        <f t="shared" si="5"/>
        <v>791.1</v>
      </c>
      <c r="M70">
        <v>0</v>
      </c>
      <c r="N70">
        <v>2.7</v>
      </c>
      <c r="O70">
        <f t="shared" si="2"/>
        <v>-2.7</v>
      </c>
      <c r="P70">
        <f t="shared" si="8"/>
        <v>6.8999999999999977</v>
      </c>
      <c r="Q70">
        <v>44</v>
      </c>
      <c r="R70">
        <f t="shared" si="7"/>
        <v>0.62554347826086953</v>
      </c>
      <c r="S70" s="9">
        <f t="shared" si="3"/>
        <v>1.6889673913043479</v>
      </c>
      <c r="T70" s="9">
        <f t="shared" si="4"/>
        <v>-1.6889673913043479</v>
      </c>
      <c r="U70" s="9">
        <f t="shared" si="9"/>
        <v>23.145054347826093</v>
      </c>
      <c r="W70">
        <v>1409.6</v>
      </c>
      <c r="Y70">
        <f t="shared" si="6"/>
        <v>53760.400000000016</v>
      </c>
      <c r="AA70">
        <v>11.127209930994903</v>
      </c>
    </row>
    <row r="71" spans="1:27" x14ac:dyDescent="0.25">
      <c r="A71">
        <v>5240</v>
      </c>
      <c r="B71">
        <v>23690</v>
      </c>
      <c r="C71" s="5">
        <v>42649</v>
      </c>
      <c r="F71" s="54"/>
      <c r="G71">
        <v>9.6999999999999993</v>
      </c>
      <c r="H71">
        <v>4.5</v>
      </c>
      <c r="I71">
        <v>14</v>
      </c>
      <c r="J71">
        <f t="shared" si="5"/>
        <v>800.80000000000007</v>
      </c>
      <c r="M71">
        <v>0</v>
      </c>
      <c r="N71">
        <v>2.1</v>
      </c>
      <c r="O71">
        <f t="shared" si="2"/>
        <v>-2.1</v>
      </c>
      <c r="P71">
        <f t="shared" si="8"/>
        <v>4.7999999999999972</v>
      </c>
      <c r="Q71">
        <v>45</v>
      </c>
      <c r="R71">
        <f t="shared" si="7"/>
        <v>0.63260869565217392</v>
      </c>
      <c r="S71" s="9">
        <f t="shared" si="3"/>
        <v>1.3284782608695653</v>
      </c>
      <c r="T71" s="9">
        <f t="shared" si="4"/>
        <v>-1.3284782608695653</v>
      </c>
      <c r="U71" s="9">
        <f t="shared" si="9"/>
        <v>21.816576086956527</v>
      </c>
      <c r="W71">
        <v>1336.5</v>
      </c>
      <c r="Y71">
        <f t="shared" si="6"/>
        <v>55096.900000000016</v>
      </c>
      <c r="AA71">
        <v>11.067674163428592</v>
      </c>
    </row>
    <row r="72" spans="1:27" x14ac:dyDescent="0.25">
      <c r="A72">
        <v>5240</v>
      </c>
      <c r="B72">
        <v>23690</v>
      </c>
      <c r="C72" s="5">
        <v>42650</v>
      </c>
      <c r="F72" s="54"/>
      <c r="G72">
        <v>10.5</v>
      </c>
      <c r="H72">
        <v>6.4</v>
      </c>
      <c r="I72">
        <v>13.3</v>
      </c>
      <c r="J72">
        <f t="shared" si="5"/>
        <v>811.30000000000007</v>
      </c>
      <c r="M72">
        <v>0</v>
      </c>
      <c r="N72">
        <v>0.9</v>
      </c>
      <c r="O72">
        <f t="shared" si="2"/>
        <v>-0.9</v>
      </c>
      <c r="P72">
        <f t="shared" si="8"/>
        <v>3.8999999999999972</v>
      </c>
      <c r="Q72">
        <v>46</v>
      </c>
      <c r="R72">
        <f t="shared" si="7"/>
        <v>0.63967391304347831</v>
      </c>
      <c r="S72" s="9">
        <f t="shared" si="3"/>
        <v>0.57570652173913051</v>
      </c>
      <c r="T72" s="9">
        <f t="shared" si="4"/>
        <v>-0.57570652173913051</v>
      </c>
      <c r="U72" s="9">
        <f t="shared" si="9"/>
        <v>21.240869565217395</v>
      </c>
      <c r="W72">
        <v>468.5</v>
      </c>
      <c r="Y72">
        <f t="shared" si="6"/>
        <v>55565.400000000016</v>
      </c>
      <c r="AA72">
        <v>11.008273887920744</v>
      </c>
    </row>
    <row r="73" spans="1:27" x14ac:dyDescent="0.25">
      <c r="A73">
        <v>5240</v>
      </c>
      <c r="B73">
        <v>23690</v>
      </c>
      <c r="C73" s="5">
        <v>42651</v>
      </c>
      <c r="F73" s="54"/>
      <c r="G73">
        <v>11</v>
      </c>
      <c r="H73">
        <v>9.3000000000000007</v>
      </c>
      <c r="I73">
        <v>14.8</v>
      </c>
      <c r="J73">
        <f t="shared" si="5"/>
        <v>822.30000000000007</v>
      </c>
      <c r="M73">
        <v>0</v>
      </c>
      <c r="N73">
        <v>1.3</v>
      </c>
      <c r="O73">
        <f t="shared" si="2"/>
        <v>-1.3</v>
      </c>
      <c r="P73">
        <f t="shared" si="8"/>
        <v>2.599999999999997</v>
      </c>
      <c r="Q73">
        <v>47</v>
      </c>
      <c r="R73">
        <f t="shared" si="7"/>
        <v>0.64673913043478259</v>
      </c>
      <c r="S73" s="9">
        <f t="shared" si="3"/>
        <v>0.84076086956521745</v>
      </c>
      <c r="T73" s="9">
        <f t="shared" si="4"/>
        <v>-0.84076086956521745</v>
      </c>
      <c r="U73" s="9">
        <f t="shared" si="9"/>
        <v>20.400108695652179</v>
      </c>
      <c r="W73">
        <v>610</v>
      </c>
      <c r="Y73">
        <f t="shared" si="6"/>
        <v>56175.400000000016</v>
      </c>
      <c r="AA73">
        <v>10.94901918023923</v>
      </c>
    </row>
    <row r="74" spans="1:27" x14ac:dyDescent="0.25">
      <c r="A74">
        <v>5240</v>
      </c>
      <c r="B74">
        <v>23690</v>
      </c>
      <c r="C74" s="5">
        <v>42652</v>
      </c>
      <c r="F74" s="54"/>
      <c r="G74">
        <v>9.3000000000000007</v>
      </c>
      <c r="H74">
        <v>5.0999999999999996</v>
      </c>
      <c r="I74">
        <v>15.3</v>
      </c>
      <c r="J74">
        <f t="shared" si="5"/>
        <v>831.6</v>
      </c>
      <c r="M74">
        <v>0</v>
      </c>
      <c r="N74">
        <v>1.2</v>
      </c>
      <c r="O74">
        <f t="shared" si="2"/>
        <v>-1.2</v>
      </c>
      <c r="P74">
        <f t="shared" si="8"/>
        <v>1.399999999999997</v>
      </c>
      <c r="Q74">
        <v>48</v>
      </c>
      <c r="R74">
        <f t="shared" si="7"/>
        <v>0.65380434782608698</v>
      </c>
      <c r="S74" s="9">
        <f t="shared" si="3"/>
        <v>0.78456521739130436</v>
      </c>
      <c r="T74" s="9">
        <f t="shared" si="4"/>
        <v>-0.78456521739130436</v>
      </c>
      <c r="U74" s="9">
        <f t="shared" si="9"/>
        <v>19.615543478260875</v>
      </c>
      <c r="W74">
        <v>622.1</v>
      </c>
      <c r="Y74">
        <f t="shared" si="6"/>
        <v>56797.500000000015</v>
      </c>
      <c r="AA74">
        <v>10.889920362558547</v>
      </c>
    </row>
    <row r="75" spans="1:27" x14ac:dyDescent="0.25">
      <c r="A75">
        <v>5240</v>
      </c>
      <c r="B75">
        <v>23690</v>
      </c>
      <c r="C75" s="5">
        <v>42653</v>
      </c>
      <c r="F75" s="54"/>
      <c r="G75">
        <v>7.7</v>
      </c>
      <c r="H75">
        <v>1.7</v>
      </c>
      <c r="I75">
        <v>14</v>
      </c>
      <c r="J75">
        <f t="shared" si="5"/>
        <v>839.30000000000007</v>
      </c>
      <c r="M75">
        <v>0</v>
      </c>
      <c r="N75">
        <v>1.2</v>
      </c>
      <c r="O75">
        <f t="shared" si="2"/>
        <v>-1.2</v>
      </c>
      <c r="P75">
        <f t="shared" si="8"/>
        <v>0.19999999999999707</v>
      </c>
      <c r="Q75">
        <v>49</v>
      </c>
      <c r="R75">
        <f t="shared" si="7"/>
        <v>0.66086956521739126</v>
      </c>
      <c r="S75" s="9">
        <f t="shared" si="3"/>
        <v>0.79304347826086952</v>
      </c>
      <c r="T75" s="9">
        <f t="shared" si="4"/>
        <v>-0.79304347826086952</v>
      </c>
      <c r="U75" s="9">
        <f t="shared" si="9"/>
        <v>18.822500000000005</v>
      </c>
      <c r="W75">
        <v>899.7</v>
      </c>
      <c r="Y75">
        <f t="shared" si="6"/>
        <v>57697.200000000012</v>
      </c>
      <c r="AA75">
        <v>10.830988017138553</v>
      </c>
    </row>
    <row r="76" spans="1:27" x14ac:dyDescent="0.25">
      <c r="A76">
        <v>5240</v>
      </c>
      <c r="B76">
        <v>23690</v>
      </c>
      <c r="C76" s="5">
        <v>42654</v>
      </c>
      <c r="F76" s="54"/>
      <c r="G76">
        <v>7.4</v>
      </c>
      <c r="H76">
        <v>4.3</v>
      </c>
      <c r="I76">
        <v>11.7</v>
      </c>
      <c r="J76">
        <f t="shared" si="5"/>
        <v>846.7</v>
      </c>
      <c r="M76">
        <v>0.2</v>
      </c>
      <c r="N76">
        <v>1.4</v>
      </c>
      <c r="O76">
        <f t="shared" si="2"/>
        <v>-1.2</v>
      </c>
      <c r="P76">
        <v>0</v>
      </c>
      <c r="Q76">
        <v>50</v>
      </c>
      <c r="R76">
        <f t="shared" si="7"/>
        <v>0.66793478260869565</v>
      </c>
      <c r="S76" s="9">
        <f t="shared" si="3"/>
        <v>0.9351086956521738</v>
      </c>
      <c r="T76" s="9">
        <f t="shared" si="4"/>
        <v>-0.73510869565217374</v>
      </c>
      <c r="U76" s="9">
        <f t="shared" si="9"/>
        <v>18.087391304347832</v>
      </c>
      <c r="W76">
        <v>1152.5999999999999</v>
      </c>
      <c r="Y76">
        <f t="shared" si="6"/>
        <v>58849.80000000001</v>
      </c>
      <c r="AA76">
        <v>10.772232999737039</v>
      </c>
    </row>
    <row r="77" spans="1:27" x14ac:dyDescent="0.25">
      <c r="A77">
        <v>5240</v>
      </c>
      <c r="B77">
        <v>23690</v>
      </c>
      <c r="C77" s="5">
        <v>42655</v>
      </c>
      <c r="F77" s="54"/>
      <c r="G77">
        <v>7.7</v>
      </c>
      <c r="H77">
        <v>1.6</v>
      </c>
      <c r="I77">
        <v>13.7</v>
      </c>
      <c r="J77">
        <f t="shared" si="5"/>
        <v>854.40000000000009</v>
      </c>
      <c r="M77">
        <v>0</v>
      </c>
      <c r="N77">
        <v>1.7</v>
      </c>
      <c r="O77">
        <f t="shared" si="2"/>
        <v>-1.7</v>
      </c>
      <c r="P77">
        <v>0</v>
      </c>
      <c r="Q77">
        <v>51</v>
      </c>
      <c r="R77">
        <f t="shared" si="7"/>
        <v>0.67500000000000004</v>
      </c>
      <c r="S77" s="9">
        <f t="shared" si="3"/>
        <v>1.1475</v>
      </c>
      <c r="T77" s="9">
        <f t="shared" si="4"/>
        <v>-1.1475</v>
      </c>
      <c r="U77" s="9">
        <f t="shared" si="9"/>
        <v>16.939891304347832</v>
      </c>
      <c r="W77">
        <v>1285.5</v>
      </c>
      <c r="Y77">
        <f t="shared" si="6"/>
        <v>60135.30000000001</v>
      </c>
      <c r="AA77">
        <v>10.713666452728338</v>
      </c>
    </row>
    <row r="78" spans="1:27" x14ac:dyDescent="0.25">
      <c r="A78">
        <v>5240</v>
      </c>
      <c r="B78">
        <v>23690</v>
      </c>
      <c r="C78" s="5">
        <v>42656</v>
      </c>
      <c r="F78" s="54"/>
      <c r="G78">
        <v>7.5</v>
      </c>
      <c r="H78">
        <v>4.4000000000000004</v>
      </c>
      <c r="I78">
        <v>9.4</v>
      </c>
      <c r="J78">
        <f t="shared" si="5"/>
        <v>861.90000000000009</v>
      </c>
      <c r="M78">
        <v>2.5</v>
      </c>
      <c r="N78">
        <v>0.3</v>
      </c>
      <c r="O78">
        <f t="shared" si="2"/>
        <v>2.2000000000000002</v>
      </c>
      <c r="P78">
        <f t="shared" si="8"/>
        <v>2.2000000000000002</v>
      </c>
      <c r="Q78">
        <v>52</v>
      </c>
      <c r="R78">
        <f t="shared" si="7"/>
        <v>0.68206521739130443</v>
      </c>
      <c r="S78" s="9">
        <f t="shared" si="3"/>
        <v>0.20461956521739133</v>
      </c>
      <c r="T78" s="9">
        <f t="shared" si="4"/>
        <v>2.2953804347826088</v>
      </c>
      <c r="U78" s="9">
        <f t="shared" si="9"/>
        <v>19.23527173913044</v>
      </c>
      <c r="W78">
        <v>282.7</v>
      </c>
      <c r="Y78">
        <f t="shared" si="6"/>
        <v>60418.000000000007</v>
      </c>
      <c r="AA78">
        <v>10.655299817897946</v>
      </c>
    </row>
    <row r="79" spans="1:27" x14ac:dyDescent="0.25">
      <c r="A79">
        <v>5240</v>
      </c>
      <c r="B79">
        <v>23690</v>
      </c>
      <c r="C79" s="5">
        <v>42657</v>
      </c>
      <c r="F79" s="54"/>
      <c r="G79">
        <v>10.6</v>
      </c>
      <c r="H79">
        <v>8.5</v>
      </c>
      <c r="I79">
        <v>12.1</v>
      </c>
      <c r="J79">
        <f t="shared" si="5"/>
        <v>872.50000000000011</v>
      </c>
      <c r="M79">
        <v>0.8</v>
      </c>
      <c r="N79">
        <v>0.4</v>
      </c>
      <c r="O79">
        <f t="shared" si="2"/>
        <v>0.4</v>
      </c>
      <c r="P79">
        <f t="shared" si="8"/>
        <v>2.6</v>
      </c>
      <c r="Q79">
        <v>53</v>
      </c>
      <c r="R79">
        <f t="shared" si="7"/>
        <v>0.6891304347826086</v>
      </c>
      <c r="S79" s="9">
        <f t="shared" si="3"/>
        <v>0.27565217391304347</v>
      </c>
      <c r="T79" s="9">
        <f t="shared" si="4"/>
        <v>0.52434782608695651</v>
      </c>
      <c r="U79" s="9">
        <f t="shared" si="9"/>
        <v>19.759619565217395</v>
      </c>
      <c r="W79">
        <v>214.5</v>
      </c>
      <c r="Y79">
        <f t="shared" si="6"/>
        <v>60632.500000000007</v>
      </c>
      <c r="AA79">
        <v>10.597144848881099</v>
      </c>
    </row>
    <row r="80" spans="1:27" x14ac:dyDescent="0.25">
      <c r="A80">
        <v>5240</v>
      </c>
      <c r="B80">
        <v>23690</v>
      </c>
      <c r="C80" s="5">
        <v>42658</v>
      </c>
      <c r="F80" s="54"/>
      <c r="G80">
        <v>12</v>
      </c>
      <c r="H80">
        <v>7</v>
      </c>
      <c r="I80">
        <v>16.5</v>
      </c>
      <c r="J80">
        <f t="shared" si="5"/>
        <v>884.50000000000011</v>
      </c>
      <c r="M80">
        <v>0</v>
      </c>
      <c r="N80">
        <v>1.4</v>
      </c>
      <c r="O80">
        <f t="shared" si="2"/>
        <v>-1.4</v>
      </c>
      <c r="P80">
        <f t="shared" si="8"/>
        <v>1.2000000000000002</v>
      </c>
      <c r="Q80">
        <v>54</v>
      </c>
      <c r="R80">
        <f t="shared" si="7"/>
        <v>0.69619565217391299</v>
      </c>
      <c r="S80" s="9">
        <f t="shared" si="3"/>
        <v>0.97467391304347817</v>
      </c>
      <c r="T80" s="9">
        <f t="shared" si="4"/>
        <v>-0.97467391304347817</v>
      </c>
      <c r="U80" s="9">
        <f t="shared" si="9"/>
        <v>18.784945652173917</v>
      </c>
      <c r="W80">
        <v>955.6</v>
      </c>
      <c r="Y80">
        <f t="shared" si="6"/>
        <v>61588.100000000006</v>
      </c>
      <c r="AA80">
        <v>10.539213623210905</v>
      </c>
    </row>
    <row r="81" spans="1:27" x14ac:dyDescent="0.25">
      <c r="A81">
        <v>5240</v>
      </c>
      <c r="B81">
        <v>23690</v>
      </c>
      <c r="C81" s="5">
        <v>42659</v>
      </c>
      <c r="F81" s="54"/>
      <c r="G81">
        <v>13.4</v>
      </c>
      <c r="H81">
        <v>8.5</v>
      </c>
      <c r="I81">
        <v>18.600000000000001</v>
      </c>
      <c r="J81">
        <f t="shared" si="5"/>
        <v>897.90000000000009</v>
      </c>
      <c r="M81">
        <v>4.7</v>
      </c>
      <c r="N81">
        <v>1.8</v>
      </c>
      <c r="O81">
        <f t="shared" si="2"/>
        <v>2.9000000000000004</v>
      </c>
      <c r="P81">
        <f t="shared" si="8"/>
        <v>4.1000000000000005</v>
      </c>
      <c r="Q81">
        <v>55</v>
      </c>
      <c r="R81">
        <f t="shared" si="7"/>
        <v>0.70326086956521738</v>
      </c>
      <c r="S81" s="9">
        <f t="shared" si="3"/>
        <v>1.2658695652173912</v>
      </c>
      <c r="T81" s="9">
        <f t="shared" si="4"/>
        <v>3.4341304347826087</v>
      </c>
      <c r="U81" s="9">
        <f t="shared" si="9"/>
        <v>22.219076086956527</v>
      </c>
      <c r="W81">
        <v>963.5</v>
      </c>
      <c r="Y81">
        <f t="shared" si="6"/>
        <v>62551.600000000006</v>
      </c>
      <c r="AA81">
        <v>10.481518553939358</v>
      </c>
    </row>
    <row r="82" spans="1:27" x14ac:dyDescent="0.25">
      <c r="A82">
        <v>5240</v>
      </c>
      <c r="B82">
        <v>23690</v>
      </c>
      <c r="C82" s="5">
        <v>42660</v>
      </c>
      <c r="F82" s="54"/>
      <c r="G82">
        <v>12.1</v>
      </c>
      <c r="H82">
        <v>11.2</v>
      </c>
      <c r="I82">
        <v>15.8</v>
      </c>
      <c r="J82">
        <f t="shared" si="5"/>
        <v>910.00000000000011</v>
      </c>
      <c r="M82">
        <v>0.8</v>
      </c>
      <c r="N82">
        <v>1.3</v>
      </c>
      <c r="O82">
        <f t="shared" si="2"/>
        <v>-0.5</v>
      </c>
      <c r="P82">
        <f t="shared" si="8"/>
        <v>3.6000000000000005</v>
      </c>
      <c r="Q82">
        <v>56</v>
      </c>
      <c r="R82">
        <f t="shared" si="7"/>
        <v>0.71032608695652177</v>
      </c>
      <c r="S82" s="9">
        <f t="shared" si="3"/>
        <v>0.92342391304347837</v>
      </c>
      <c r="T82" s="9">
        <f t="shared" si="4"/>
        <v>-0.12342391304347833</v>
      </c>
      <c r="U82" s="9">
        <f t="shared" si="9"/>
        <v>22.095652173913049</v>
      </c>
      <c r="W82">
        <v>748.9</v>
      </c>
      <c r="Y82">
        <f t="shared" si="6"/>
        <v>63300.500000000007</v>
      </c>
      <c r="AA82">
        <v>10.424072400792209</v>
      </c>
    </row>
    <row r="83" spans="1:27" x14ac:dyDescent="0.25">
      <c r="A83">
        <v>5240</v>
      </c>
      <c r="B83">
        <v>23690</v>
      </c>
      <c r="C83" s="5">
        <v>42661</v>
      </c>
      <c r="F83" s="54"/>
      <c r="G83">
        <v>9.9</v>
      </c>
      <c r="H83">
        <v>5.7</v>
      </c>
      <c r="I83">
        <v>15.3</v>
      </c>
      <c r="J83">
        <f t="shared" si="5"/>
        <v>919.90000000000009</v>
      </c>
      <c r="M83">
        <v>1.3</v>
      </c>
      <c r="N83">
        <v>0.8</v>
      </c>
      <c r="O83">
        <f t="shared" si="2"/>
        <v>0.5</v>
      </c>
      <c r="P83">
        <f t="shared" si="8"/>
        <v>4.1000000000000005</v>
      </c>
      <c r="Q83">
        <v>57</v>
      </c>
      <c r="R83">
        <f t="shared" si="7"/>
        <v>0.71739130434782605</v>
      </c>
      <c r="S83" s="9">
        <f t="shared" si="3"/>
        <v>0.57391304347826089</v>
      </c>
      <c r="T83" s="9">
        <f t="shared" si="4"/>
        <v>0.72608695652173916</v>
      </c>
      <c r="U83" s="9">
        <f t="shared" si="9"/>
        <v>22.821739130434789</v>
      </c>
      <c r="W83">
        <v>400.9</v>
      </c>
      <c r="Y83">
        <f t="shared" si="6"/>
        <v>63701.400000000009</v>
      </c>
      <c r="AA83">
        <v>10.36688828081612</v>
      </c>
    </row>
    <row r="84" spans="1:27" x14ac:dyDescent="0.25">
      <c r="A84">
        <v>5240</v>
      </c>
      <c r="B84">
        <v>23690</v>
      </c>
      <c r="C84" s="5">
        <v>42662</v>
      </c>
      <c r="F84" s="54"/>
      <c r="G84">
        <v>8.8000000000000007</v>
      </c>
      <c r="H84">
        <v>5.6</v>
      </c>
      <c r="I84">
        <v>11.9</v>
      </c>
      <c r="J84">
        <f t="shared" si="5"/>
        <v>928.7</v>
      </c>
      <c r="M84">
        <v>0.9</v>
      </c>
      <c r="N84">
        <v>0.9</v>
      </c>
      <c r="O84">
        <f t="shared" si="2"/>
        <v>0</v>
      </c>
      <c r="P84">
        <f t="shared" si="8"/>
        <v>4.1000000000000005</v>
      </c>
      <c r="Q84">
        <v>58</v>
      </c>
      <c r="R84">
        <f t="shared" si="7"/>
        <v>0.72445652173913044</v>
      </c>
      <c r="S84" s="9">
        <f t="shared" si="3"/>
        <v>0.65201086956521737</v>
      </c>
      <c r="T84" s="9">
        <f t="shared" si="4"/>
        <v>0.24798913043478266</v>
      </c>
      <c r="U84" s="9">
        <f t="shared" si="9"/>
        <v>23.069728260869571</v>
      </c>
      <c r="W84">
        <v>687.5</v>
      </c>
      <c r="Y84">
        <f t="shared" si="6"/>
        <v>64388.900000000009</v>
      </c>
      <c r="AA84">
        <v>10.309979678474132</v>
      </c>
    </row>
    <row r="85" spans="1:27" x14ac:dyDescent="0.25">
      <c r="A85">
        <v>5240</v>
      </c>
      <c r="B85">
        <v>23690</v>
      </c>
      <c r="C85" s="5">
        <v>42663</v>
      </c>
      <c r="F85" s="54"/>
      <c r="G85">
        <v>10.199999999999999</v>
      </c>
      <c r="H85">
        <v>7.6</v>
      </c>
      <c r="I85">
        <v>13</v>
      </c>
      <c r="J85">
        <f t="shared" si="5"/>
        <v>938.90000000000009</v>
      </c>
      <c r="M85">
        <v>0.3</v>
      </c>
      <c r="N85">
        <v>0.7</v>
      </c>
      <c r="O85">
        <f t="shared" si="2"/>
        <v>-0.39999999999999997</v>
      </c>
      <c r="P85">
        <f t="shared" si="8"/>
        <v>3.7000000000000006</v>
      </c>
      <c r="Q85">
        <v>59</v>
      </c>
      <c r="R85">
        <f t="shared" si="7"/>
        <v>0.73152173913043483</v>
      </c>
      <c r="S85" s="9">
        <f t="shared" si="3"/>
        <v>0.51206521739130439</v>
      </c>
      <c r="T85" s="9">
        <f t="shared" si="4"/>
        <v>-0.21206521739130441</v>
      </c>
      <c r="U85" s="9">
        <f t="shared" si="9"/>
        <v>22.857663043478265</v>
      </c>
      <c r="W85">
        <v>508.9</v>
      </c>
      <c r="Y85">
        <f t="shared" si="6"/>
        <v>64897.80000000001</v>
      </c>
      <c r="AA85">
        <v>10.253360455142857</v>
      </c>
    </row>
    <row r="86" spans="1:27" x14ac:dyDescent="0.25">
      <c r="A86">
        <v>5240</v>
      </c>
      <c r="B86">
        <v>23690</v>
      </c>
      <c r="C86" s="5">
        <v>42664</v>
      </c>
      <c r="F86" s="54"/>
      <c r="G86">
        <v>9.6999999999999993</v>
      </c>
      <c r="H86">
        <v>7.2</v>
      </c>
      <c r="I86">
        <v>13.1</v>
      </c>
      <c r="J86">
        <f t="shared" si="5"/>
        <v>948.60000000000014</v>
      </c>
      <c r="M86">
        <v>0.2</v>
      </c>
      <c r="N86">
        <v>1.1000000000000001</v>
      </c>
      <c r="O86">
        <f t="shared" si="2"/>
        <v>-0.90000000000000013</v>
      </c>
      <c r="P86">
        <f t="shared" si="8"/>
        <v>2.8000000000000007</v>
      </c>
      <c r="Q86">
        <v>60</v>
      </c>
      <c r="R86">
        <f t="shared" si="7"/>
        <v>0.73858695652173911</v>
      </c>
      <c r="S86" s="9">
        <f t="shared" si="3"/>
        <v>0.81244565217391307</v>
      </c>
      <c r="T86" s="9">
        <f t="shared" si="4"/>
        <v>-0.612445652173913</v>
      </c>
      <c r="U86" s="9">
        <f t="shared" si="9"/>
        <v>22.245217391304351</v>
      </c>
      <c r="W86">
        <v>861</v>
      </c>
      <c r="Y86">
        <f t="shared" si="6"/>
        <v>65758.800000000017</v>
      </c>
      <c r="AA86">
        <v>10.197044857962377</v>
      </c>
    </row>
    <row r="87" spans="1:27" x14ac:dyDescent="0.25">
      <c r="A87">
        <v>5240</v>
      </c>
      <c r="B87">
        <v>23690</v>
      </c>
      <c r="C87" s="5">
        <v>42665</v>
      </c>
      <c r="F87" s="54"/>
      <c r="G87">
        <v>7.6</v>
      </c>
      <c r="H87">
        <v>5.8</v>
      </c>
      <c r="I87">
        <v>9.6999999999999993</v>
      </c>
      <c r="J87">
        <f t="shared" si="5"/>
        <v>956.20000000000016</v>
      </c>
      <c r="M87">
        <v>0.2</v>
      </c>
      <c r="N87">
        <v>0.4</v>
      </c>
      <c r="O87">
        <f t="shared" si="2"/>
        <v>-0.2</v>
      </c>
      <c r="P87">
        <f t="shared" si="8"/>
        <v>2.6000000000000005</v>
      </c>
      <c r="Q87">
        <v>61</v>
      </c>
      <c r="R87">
        <f t="shared" si="7"/>
        <v>0.7456521739130435</v>
      </c>
      <c r="S87" s="9">
        <f t="shared" si="3"/>
        <v>0.29826086956521741</v>
      </c>
      <c r="T87" s="9">
        <f t="shared" si="4"/>
        <v>-9.8260869565217401E-2</v>
      </c>
      <c r="U87" s="9">
        <f t="shared" si="9"/>
        <v>22.146956521739135</v>
      </c>
      <c r="W87">
        <v>435.5</v>
      </c>
      <c r="Y87">
        <f t="shared" si="6"/>
        <v>66194.300000000017</v>
      </c>
      <c r="AA87">
        <v>10.141047527987157</v>
      </c>
    </row>
    <row r="88" spans="1:27" x14ac:dyDescent="0.25">
      <c r="A88">
        <v>5240</v>
      </c>
      <c r="B88">
        <v>23690</v>
      </c>
      <c r="C88" s="5">
        <v>42666</v>
      </c>
      <c r="F88" s="54"/>
      <c r="G88">
        <v>8.1</v>
      </c>
      <c r="H88">
        <v>3.9</v>
      </c>
      <c r="I88">
        <v>10.8</v>
      </c>
      <c r="J88">
        <f t="shared" si="5"/>
        <v>964.30000000000018</v>
      </c>
      <c r="M88">
        <v>7</v>
      </c>
      <c r="N88">
        <v>0.4</v>
      </c>
      <c r="O88">
        <f t="shared" si="2"/>
        <v>6.6</v>
      </c>
      <c r="P88">
        <f t="shared" si="8"/>
        <v>9.1999999999999993</v>
      </c>
      <c r="Q88">
        <v>62</v>
      </c>
      <c r="R88">
        <f t="shared" si="7"/>
        <v>0.75271739130434778</v>
      </c>
      <c r="S88" s="9">
        <f t="shared" si="3"/>
        <v>0.30108695652173911</v>
      </c>
      <c r="T88" s="9">
        <f t="shared" si="4"/>
        <v>6.6989130434782611</v>
      </c>
      <c r="U88" s="9">
        <f t="shared" si="9"/>
        <v>28.845869565217395</v>
      </c>
      <c r="W88">
        <v>363.4</v>
      </c>
      <c r="Y88">
        <f t="shared" si="6"/>
        <v>66557.700000000012</v>
      </c>
      <c r="AA88">
        <v>10.085383507583803</v>
      </c>
    </row>
    <row r="89" spans="1:27" x14ac:dyDescent="0.25">
      <c r="A89">
        <v>5240</v>
      </c>
      <c r="B89">
        <v>23690</v>
      </c>
      <c r="C89" s="5">
        <v>42667</v>
      </c>
      <c r="F89" s="54"/>
      <c r="G89">
        <v>11.6</v>
      </c>
      <c r="H89">
        <v>9.5</v>
      </c>
      <c r="I89">
        <v>12.9</v>
      </c>
      <c r="J89">
        <f t="shared" si="5"/>
        <v>975.9000000000002</v>
      </c>
      <c r="M89">
        <v>0.6</v>
      </c>
      <c r="N89">
        <v>0</v>
      </c>
      <c r="O89">
        <f t="shared" si="2"/>
        <v>0.6</v>
      </c>
      <c r="P89">
        <f t="shared" si="8"/>
        <v>9.7999999999999989</v>
      </c>
      <c r="Q89">
        <v>63</v>
      </c>
      <c r="R89">
        <f t="shared" si="7"/>
        <v>0.75978260869565217</v>
      </c>
      <c r="S89" s="9">
        <f t="shared" si="3"/>
        <v>0</v>
      </c>
      <c r="T89" s="9">
        <f t="shared" si="4"/>
        <v>0.6</v>
      </c>
      <c r="U89" s="9">
        <f t="shared" si="9"/>
        <v>29.445869565217397</v>
      </c>
      <c r="W89">
        <v>115.2</v>
      </c>
      <c r="Y89">
        <f t="shared" si="6"/>
        <v>66672.900000000009</v>
      </c>
      <c r="AA89">
        <v>10.030068247019081</v>
      </c>
    </row>
    <row r="90" spans="1:27" x14ac:dyDescent="0.25">
      <c r="A90">
        <v>5240</v>
      </c>
      <c r="B90">
        <v>23690</v>
      </c>
      <c r="C90" s="5">
        <v>42668</v>
      </c>
      <c r="F90" s="54"/>
      <c r="G90">
        <v>12.5</v>
      </c>
      <c r="H90">
        <v>12.1</v>
      </c>
      <c r="I90">
        <v>13.4</v>
      </c>
      <c r="J90">
        <f t="shared" si="5"/>
        <v>988.4000000000002</v>
      </c>
      <c r="M90">
        <v>0.2</v>
      </c>
      <c r="N90">
        <v>0.2</v>
      </c>
      <c r="O90">
        <f t="shared" si="2"/>
        <v>0</v>
      </c>
      <c r="P90">
        <f t="shared" si="8"/>
        <v>9.7999999999999989</v>
      </c>
      <c r="Q90">
        <v>64</v>
      </c>
      <c r="R90">
        <f t="shared" si="7"/>
        <v>0.76684782608695645</v>
      </c>
      <c r="S90" s="9">
        <f t="shared" si="3"/>
        <v>0.15336956521739131</v>
      </c>
      <c r="T90" s="9">
        <f t="shared" si="4"/>
        <v>4.6630434782608698E-2</v>
      </c>
      <c r="U90" s="9">
        <f t="shared" si="9"/>
        <v>29.492500000000007</v>
      </c>
      <c r="W90">
        <v>260</v>
      </c>
      <c r="Y90">
        <f t="shared" si="6"/>
        <v>66932.900000000009</v>
      </c>
      <c r="AA90">
        <v>9.9751176101790371</v>
      </c>
    </row>
    <row r="91" spans="1:27" x14ac:dyDescent="0.25">
      <c r="A91">
        <v>5240</v>
      </c>
      <c r="B91">
        <v>23690</v>
      </c>
      <c r="C91" s="5">
        <v>42669</v>
      </c>
      <c r="F91" s="54"/>
      <c r="G91">
        <v>10.6</v>
      </c>
      <c r="H91">
        <v>10.1</v>
      </c>
      <c r="I91">
        <v>11.3</v>
      </c>
      <c r="J91">
        <f t="shared" si="5"/>
        <v>999.00000000000023</v>
      </c>
      <c r="M91">
        <v>0.2</v>
      </c>
      <c r="N91">
        <v>0.3</v>
      </c>
      <c r="O91">
        <f t="shared" si="2"/>
        <v>-9.9999999999999978E-2</v>
      </c>
      <c r="P91">
        <f t="shared" si="8"/>
        <v>9.6999999999999993</v>
      </c>
      <c r="Q91">
        <v>65</v>
      </c>
      <c r="R91">
        <f t="shared" si="7"/>
        <v>0.77391304347826084</v>
      </c>
      <c r="S91" s="9">
        <f t="shared" si="3"/>
        <v>0.23217391304347823</v>
      </c>
      <c r="T91" s="9">
        <f t="shared" si="4"/>
        <v>-3.2173913043478219E-2</v>
      </c>
      <c r="U91" s="9">
        <f t="shared" si="9"/>
        <v>29.460326086956528</v>
      </c>
      <c r="W91">
        <v>269</v>
      </c>
      <c r="Y91">
        <f t="shared" si="6"/>
        <v>67201.900000000009</v>
      </c>
      <c r="AA91">
        <v>9.9205478793578958</v>
      </c>
    </row>
    <row r="92" spans="1:27" x14ac:dyDescent="0.25">
      <c r="A92">
        <v>5240</v>
      </c>
      <c r="B92">
        <v>23690</v>
      </c>
      <c r="C92" s="5">
        <v>42670</v>
      </c>
      <c r="F92" s="54"/>
      <c r="G92">
        <v>9.5</v>
      </c>
      <c r="H92">
        <v>8.1</v>
      </c>
      <c r="I92">
        <v>13.5</v>
      </c>
      <c r="J92">
        <f t="shared" si="5"/>
        <v>1008.5000000000002</v>
      </c>
      <c r="M92">
        <v>0.2</v>
      </c>
      <c r="N92">
        <v>0.8</v>
      </c>
      <c r="O92">
        <f t="shared" ref="O92:O155" si="10">M92-N92</f>
        <v>-0.60000000000000009</v>
      </c>
      <c r="P92">
        <f t="shared" si="8"/>
        <v>9.1</v>
      </c>
      <c r="Q92">
        <v>66</v>
      </c>
      <c r="R92">
        <f t="shared" si="7"/>
        <v>0.78097826086956523</v>
      </c>
      <c r="S92" s="9">
        <f t="shared" ref="S92:S155" si="11">R92*N92</f>
        <v>0.62478260869565228</v>
      </c>
      <c r="T92" s="9">
        <f t="shared" ref="T92:T155" si="12">M92-S92</f>
        <v>-0.42478260869565226</v>
      </c>
      <c r="U92" s="9">
        <f t="shared" si="9"/>
        <v>29.035543478260877</v>
      </c>
      <c r="W92">
        <v>406.8</v>
      </c>
      <c r="Y92">
        <f t="shared" si="6"/>
        <v>67608.700000000012</v>
      </c>
      <c r="AA92">
        <v>9.8663757590530565</v>
      </c>
    </row>
    <row r="93" spans="1:27" x14ac:dyDescent="0.25">
      <c r="A93">
        <v>5240</v>
      </c>
      <c r="B93">
        <v>23690</v>
      </c>
      <c r="C93" s="5">
        <v>42671</v>
      </c>
      <c r="F93" s="54"/>
      <c r="G93">
        <v>9.5</v>
      </c>
      <c r="H93">
        <v>5.6</v>
      </c>
      <c r="I93">
        <v>12.9</v>
      </c>
      <c r="J93">
        <f t="shared" ref="J93:J154" si="13">J92+G93</f>
        <v>1018.0000000000002</v>
      </c>
      <c r="M93">
        <v>0.2</v>
      </c>
      <c r="N93">
        <v>0.9</v>
      </c>
      <c r="O93">
        <f t="shared" si="10"/>
        <v>-0.7</v>
      </c>
      <c r="P93">
        <f t="shared" ref="P93:P156" si="14">P92+O93</f>
        <v>8.4</v>
      </c>
      <c r="Q93">
        <v>67</v>
      </c>
      <c r="R93">
        <f t="shared" si="7"/>
        <v>0.78804347826086962</v>
      </c>
      <c r="S93" s="9">
        <f t="shared" si="11"/>
        <v>0.70923913043478271</v>
      </c>
      <c r="T93" s="9">
        <f t="shared" si="12"/>
        <v>-0.50923913043478275</v>
      </c>
      <c r="U93" s="9">
        <f t="shared" si="9"/>
        <v>28.526304347826095</v>
      </c>
      <c r="W93">
        <v>538.1</v>
      </c>
      <c r="Y93">
        <f t="shared" ref="Y93:Y156" si="15">Y92+W93</f>
        <v>68146.800000000017</v>
      </c>
      <c r="AA93">
        <v>9.812618378700579</v>
      </c>
    </row>
    <row r="94" spans="1:27" x14ac:dyDescent="0.25">
      <c r="A94">
        <v>5240</v>
      </c>
      <c r="B94">
        <v>23690</v>
      </c>
      <c r="C94" s="5">
        <v>42672</v>
      </c>
      <c r="F94" s="54"/>
      <c r="G94">
        <v>11</v>
      </c>
      <c r="H94">
        <v>10.7</v>
      </c>
      <c r="I94">
        <v>12</v>
      </c>
      <c r="J94">
        <f t="shared" si="13"/>
        <v>1029.0000000000002</v>
      </c>
      <c r="M94">
        <v>0.2</v>
      </c>
      <c r="N94">
        <v>0.6</v>
      </c>
      <c r="O94">
        <f t="shared" si="10"/>
        <v>-0.39999999999999997</v>
      </c>
      <c r="P94">
        <f t="shared" si="14"/>
        <v>8</v>
      </c>
      <c r="Q94">
        <v>68</v>
      </c>
      <c r="R94">
        <f t="shared" si="7"/>
        <v>0.79510869565217401</v>
      </c>
      <c r="S94" s="9">
        <f t="shared" si="11"/>
        <v>0.47706521739130436</v>
      </c>
      <c r="T94" s="9">
        <f t="shared" si="12"/>
        <v>-0.27706521739130435</v>
      </c>
      <c r="U94" s="9">
        <f t="shared" si="9"/>
        <v>28.249239130434791</v>
      </c>
      <c r="W94">
        <v>188</v>
      </c>
      <c r="Y94">
        <f t="shared" si="15"/>
        <v>68334.800000000017</v>
      </c>
      <c r="AA94">
        <v>9.7592932942835962</v>
      </c>
    </row>
    <row r="95" spans="1:27" x14ac:dyDescent="0.25">
      <c r="A95">
        <v>5240</v>
      </c>
      <c r="B95">
        <v>23690</v>
      </c>
      <c r="C95" s="5">
        <v>42673</v>
      </c>
      <c r="F95" s="54"/>
      <c r="G95">
        <v>10.8</v>
      </c>
      <c r="H95">
        <v>6.9</v>
      </c>
      <c r="I95">
        <v>15</v>
      </c>
      <c r="J95">
        <f t="shared" si="13"/>
        <v>1039.8000000000002</v>
      </c>
      <c r="M95">
        <v>0.2</v>
      </c>
      <c r="N95">
        <v>1</v>
      </c>
      <c r="O95">
        <f t="shared" si="10"/>
        <v>-0.8</v>
      </c>
      <c r="P95">
        <f t="shared" si="14"/>
        <v>7.2</v>
      </c>
      <c r="Q95">
        <v>69</v>
      </c>
      <c r="R95">
        <f t="shared" si="7"/>
        <v>0.80217391304347818</v>
      </c>
      <c r="S95" s="9">
        <f t="shared" si="11"/>
        <v>0.80217391304347818</v>
      </c>
      <c r="T95" s="9">
        <f t="shared" si="12"/>
        <v>-0.60217391304347823</v>
      </c>
      <c r="U95" s="9">
        <f t="shared" si="9"/>
        <v>27.647065217391312</v>
      </c>
      <c r="W95">
        <v>791</v>
      </c>
      <c r="Y95">
        <f t="shared" si="15"/>
        <v>69125.800000000017</v>
      </c>
      <c r="AA95">
        <v>9.7064184887445162</v>
      </c>
    </row>
    <row r="96" spans="1:27" x14ac:dyDescent="0.25">
      <c r="A96">
        <v>5240</v>
      </c>
      <c r="B96">
        <v>23690</v>
      </c>
      <c r="C96" s="5">
        <v>42674</v>
      </c>
      <c r="F96" s="54"/>
      <c r="G96">
        <v>10.7</v>
      </c>
      <c r="H96">
        <v>6.7</v>
      </c>
      <c r="I96">
        <v>16.3</v>
      </c>
      <c r="J96">
        <f t="shared" si="13"/>
        <v>1050.5000000000002</v>
      </c>
      <c r="M96">
        <v>0.1</v>
      </c>
      <c r="N96">
        <v>1.1000000000000001</v>
      </c>
      <c r="O96">
        <f t="shared" si="10"/>
        <v>-1</v>
      </c>
      <c r="P96">
        <f t="shared" si="14"/>
        <v>6.2</v>
      </c>
      <c r="Q96">
        <v>70</v>
      </c>
      <c r="R96">
        <f t="shared" si="7"/>
        <v>0.80923913043478257</v>
      </c>
      <c r="S96" s="9">
        <f t="shared" si="11"/>
        <v>0.89016304347826092</v>
      </c>
      <c r="T96" s="9">
        <f t="shared" si="12"/>
        <v>-0.79016304347826094</v>
      </c>
      <c r="U96" s="9">
        <f t="shared" si="9"/>
        <v>26.856902173913049</v>
      </c>
      <c r="W96">
        <v>747.4</v>
      </c>
      <c r="Y96">
        <f t="shared" si="15"/>
        <v>69873.200000000012</v>
      </c>
      <c r="AA96">
        <v>9.6540123711304435</v>
      </c>
    </row>
    <row r="97" spans="1:27" x14ac:dyDescent="0.25">
      <c r="A97">
        <v>5240</v>
      </c>
      <c r="B97">
        <v>23690</v>
      </c>
      <c r="C97" s="5">
        <v>42675</v>
      </c>
      <c r="F97" s="54"/>
      <c r="G97">
        <v>7.5</v>
      </c>
      <c r="H97">
        <v>3.2</v>
      </c>
      <c r="I97">
        <v>11.1</v>
      </c>
      <c r="J97">
        <f t="shared" si="13"/>
        <v>1058.0000000000002</v>
      </c>
      <c r="M97">
        <v>0.2</v>
      </c>
      <c r="N97">
        <v>0.6</v>
      </c>
      <c r="O97">
        <f t="shared" si="10"/>
        <v>-0.39999999999999997</v>
      </c>
      <c r="P97">
        <f t="shared" si="14"/>
        <v>5.8</v>
      </c>
      <c r="Q97">
        <v>71</v>
      </c>
      <c r="R97">
        <f t="shared" ref="R97:R123" si="16">0.35+((Q97-5)/92)*(1-0.35)</f>
        <v>0.81630434782608696</v>
      </c>
      <c r="S97" s="9">
        <f t="shared" si="11"/>
        <v>0.48978260869565216</v>
      </c>
      <c r="T97" s="9">
        <f t="shared" si="12"/>
        <v>-0.28978260869565214</v>
      </c>
      <c r="U97" s="9">
        <f t="shared" si="9"/>
        <v>26.567119565217396</v>
      </c>
      <c r="W97">
        <v>550.6</v>
      </c>
      <c r="Y97">
        <f t="shared" si="15"/>
        <v>70423.800000000017</v>
      </c>
      <c r="AA97">
        <v>9.6020937744003092</v>
      </c>
    </row>
    <row r="98" spans="1:27" x14ac:dyDescent="0.25">
      <c r="A98">
        <v>5240</v>
      </c>
      <c r="B98">
        <v>23690</v>
      </c>
      <c r="C98" s="5">
        <v>42676</v>
      </c>
      <c r="F98" s="54"/>
      <c r="G98">
        <v>7.7</v>
      </c>
      <c r="H98">
        <v>5</v>
      </c>
      <c r="I98">
        <v>11.5</v>
      </c>
      <c r="J98">
        <f t="shared" si="13"/>
        <v>1065.7000000000003</v>
      </c>
      <c r="M98">
        <v>0.1</v>
      </c>
      <c r="N98">
        <v>0.3</v>
      </c>
      <c r="O98">
        <f t="shared" si="10"/>
        <v>-0.19999999999999998</v>
      </c>
      <c r="P98">
        <f t="shared" si="14"/>
        <v>5.6</v>
      </c>
      <c r="Q98">
        <v>72</v>
      </c>
      <c r="R98">
        <f t="shared" si="16"/>
        <v>0.82336956521739135</v>
      </c>
      <c r="S98" s="9">
        <f t="shared" si="11"/>
        <v>0.24701086956521739</v>
      </c>
      <c r="T98" s="9">
        <f t="shared" si="12"/>
        <v>-0.14701086956521739</v>
      </c>
      <c r="U98" s="9">
        <f t="shared" si="9"/>
        <v>26.420108695652178</v>
      </c>
      <c r="W98">
        <v>260.10000000000002</v>
      </c>
      <c r="Y98">
        <f t="shared" si="15"/>
        <v>70683.900000000023</v>
      </c>
      <c r="AA98">
        <v>9.5506819518213408</v>
      </c>
    </row>
    <row r="99" spans="1:27" x14ac:dyDescent="0.25">
      <c r="A99">
        <v>5240</v>
      </c>
      <c r="B99">
        <v>23690</v>
      </c>
      <c r="C99" s="5">
        <v>42677</v>
      </c>
      <c r="F99" s="54"/>
      <c r="G99">
        <v>3.8</v>
      </c>
      <c r="H99">
        <v>-0.8</v>
      </c>
      <c r="I99">
        <v>10.1</v>
      </c>
      <c r="J99">
        <f t="shared" si="13"/>
        <v>1069.5000000000002</v>
      </c>
      <c r="M99">
        <v>0.2</v>
      </c>
      <c r="N99">
        <v>0.8</v>
      </c>
      <c r="O99">
        <f t="shared" si="10"/>
        <v>-0.60000000000000009</v>
      </c>
      <c r="P99">
        <f t="shared" si="14"/>
        <v>5</v>
      </c>
      <c r="Q99">
        <v>73</v>
      </c>
      <c r="R99">
        <f t="shared" si="16"/>
        <v>0.83043478260869563</v>
      </c>
      <c r="S99" s="9">
        <f t="shared" si="11"/>
        <v>0.66434782608695653</v>
      </c>
      <c r="T99" s="9">
        <f t="shared" si="12"/>
        <v>-0.46434782608695652</v>
      </c>
      <c r="U99" s="9">
        <f t="shared" si="9"/>
        <v>25.955760869565221</v>
      </c>
      <c r="W99">
        <v>688.6</v>
      </c>
      <c r="Y99">
        <f t="shared" si="15"/>
        <v>71372.500000000029</v>
      </c>
      <c r="AA99">
        <v>9.4997965718823867</v>
      </c>
    </row>
    <row r="100" spans="1:27" x14ac:dyDescent="0.25">
      <c r="A100">
        <v>5240</v>
      </c>
      <c r="B100">
        <v>23690</v>
      </c>
      <c r="C100" s="5">
        <v>42678</v>
      </c>
      <c r="F100" s="54"/>
      <c r="G100">
        <v>5.4</v>
      </c>
      <c r="H100">
        <v>2.1</v>
      </c>
      <c r="I100">
        <v>7.5</v>
      </c>
      <c r="J100">
        <f t="shared" si="13"/>
        <v>1074.9000000000003</v>
      </c>
      <c r="M100">
        <v>8.1</v>
      </c>
      <c r="N100">
        <v>0</v>
      </c>
      <c r="O100">
        <f t="shared" si="10"/>
        <v>8.1</v>
      </c>
      <c r="P100">
        <f t="shared" si="14"/>
        <v>13.1</v>
      </c>
      <c r="Q100">
        <v>74</v>
      </c>
      <c r="R100">
        <f t="shared" si="16"/>
        <v>0.83750000000000002</v>
      </c>
      <c r="S100" s="9">
        <f t="shared" si="11"/>
        <v>0</v>
      </c>
      <c r="T100" s="9">
        <f t="shared" si="12"/>
        <v>8.1</v>
      </c>
      <c r="U100" s="9">
        <f t="shared" si="9"/>
        <v>34.055760869565219</v>
      </c>
      <c r="W100">
        <v>124.9</v>
      </c>
      <c r="Y100">
        <f t="shared" si="15"/>
        <v>71497.400000000023</v>
      </c>
      <c r="AA100">
        <v>9.4494577116516787</v>
      </c>
    </row>
    <row r="101" spans="1:27" x14ac:dyDescent="0.25">
      <c r="A101">
        <v>5240</v>
      </c>
      <c r="B101">
        <v>23690</v>
      </c>
      <c r="C101" s="5">
        <v>42679</v>
      </c>
      <c r="F101" s="54"/>
      <c r="G101">
        <v>7.8</v>
      </c>
      <c r="H101">
        <v>7.1</v>
      </c>
      <c r="I101">
        <v>10.1</v>
      </c>
      <c r="J101">
        <f t="shared" si="13"/>
        <v>1082.7000000000003</v>
      </c>
      <c r="M101">
        <v>1</v>
      </c>
      <c r="N101">
        <v>0.7</v>
      </c>
      <c r="O101">
        <f t="shared" si="10"/>
        <v>0.30000000000000004</v>
      </c>
      <c r="P101">
        <f t="shared" si="14"/>
        <v>13.4</v>
      </c>
      <c r="Q101">
        <v>75</v>
      </c>
      <c r="R101">
        <f t="shared" si="16"/>
        <v>0.8445652173913043</v>
      </c>
      <c r="S101" s="9">
        <f t="shared" si="11"/>
        <v>0.59119565217391301</v>
      </c>
      <c r="T101" s="9">
        <f t="shared" si="12"/>
        <v>0.40880434782608699</v>
      </c>
      <c r="U101" s="9">
        <f t="shared" si="9"/>
        <v>34.464565217391304</v>
      </c>
      <c r="W101">
        <v>415.1</v>
      </c>
      <c r="Y101">
        <f t="shared" si="15"/>
        <v>71912.500000000029</v>
      </c>
      <c r="AA101">
        <v>9.3996858485073407</v>
      </c>
    </row>
    <row r="102" spans="1:27" x14ac:dyDescent="0.25">
      <c r="A102">
        <v>5240</v>
      </c>
      <c r="B102">
        <v>23690</v>
      </c>
      <c r="C102" s="5">
        <v>42680</v>
      </c>
      <c r="F102" s="54"/>
      <c r="G102">
        <v>4.3</v>
      </c>
      <c r="H102">
        <v>3.3</v>
      </c>
      <c r="I102">
        <v>7.2</v>
      </c>
      <c r="J102">
        <f t="shared" si="13"/>
        <v>1087.0000000000002</v>
      </c>
      <c r="M102">
        <v>0.4</v>
      </c>
      <c r="N102">
        <v>0.9</v>
      </c>
      <c r="O102">
        <f t="shared" si="10"/>
        <v>-0.5</v>
      </c>
      <c r="P102">
        <f t="shared" si="14"/>
        <v>12.9</v>
      </c>
      <c r="Q102">
        <v>76</v>
      </c>
      <c r="R102">
        <f t="shared" si="16"/>
        <v>0.85163043478260869</v>
      </c>
      <c r="S102" s="9">
        <f t="shared" si="11"/>
        <v>0.76646739130434782</v>
      </c>
      <c r="T102" s="9">
        <f t="shared" si="12"/>
        <v>-0.3664673913043478</v>
      </c>
      <c r="U102" s="9">
        <f t="shared" si="9"/>
        <v>34.098097826086956</v>
      </c>
      <c r="W102">
        <v>684.1</v>
      </c>
      <c r="Y102">
        <f t="shared" si="15"/>
        <v>72596.600000000035</v>
      </c>
      <c r="AA102">
        <v>9.3505018501701915</v>
      </c>
    </row>
    <row r="103" spans="1:27" x14ac:dyDescent="0.25">
      <c r="A103">
        <v>5240</v>
      </c>
      <c r="B103">
        <v>23690</v>
      </c>
      <c r="C103" s="5">
        <v>42681</v>
      </c>
      <c r="F103" s="54"/>
      <c r="G103">
        <v>3.7</v>
      </c>
      <c r="H103">
        <v>1.1000000000000001</v>
      </c>
      <c r="I103">
        <v>7.2</v>
      </c>
      <c r="J103">
        <f t="shared" si="13"/>
        <v>1090.7000000000003</v>
      </c>
      <c r="M103">
        <v>5.0999999999999996</v>
      </c>
      <c r="N103">
        <v>0.3</v>
      </c>
      <c r="O103">
        <f t="shared" si="10"/>
        <v>4.8</v>
      </c>
      <c r="P103">
        <f t="shared" si="14"/>
        <v>17.7</v>
      </c>
      <c r="Q103">
        <v>77</v>
      </c>
      <c r="R103">
        <f t="shared" si="16"/>
        <v>0.85869565217391308</v>
      </c>
      <c r="S103" s="9">
        <f t="shared" si="11"/>
        <v>0.25760869565217392</v>
      </c>
      <c r="T103" s="9">
        <f t="shared" si="12"/>
        <v>4.8423913043478262</v>
      </c>
      <c r="U103" s="9">
        <f t="shared" si="9"/>
        <v>38.940489130434784</v>
      </c>
      <c r="W103">
        <v>104.8</v>
      </c>
      <c r="Y103">
        <f t="shared" si="15"/>
        <v>72701.400000000038</v>
      </c>
      <c r="AA103">
        <v>9.3019269629703363</v>
      </c>
    </row>
    <row r="104" spans="1:27" x14ac:dyDescent="0.25">
      <c r="A104">
        <v>5240</v>
      </c>
      <c r="B104">
        <v>23690</v>
      </c>
      <c r="C104" s="5">
        <v>42682</v>
      </c>
      <c r="F104" s="54"/>
      <c r="G104">
        <v>4.3</v>
      </c>
      <c r="H104">
        <v>1.5</v>
      </c>
      <c r="I104">
        <v>5.8</v>
      </c>
      <c r="J104">
        <f t="shared" si="13"/>
        <v>1095.0000000000002</v>
      </c>
      <c r="M104">
        <v>7.8</v>
      </c>
      <c r="N104">
        <v>0.2</v>
      </c>
      <c r="O104">
        <f t="shared" si="10"/>
        <v>7.6</v>
      </c>
      <c r="P104">
        <f t="shared" si="14"/>
        <v>25.299999999999997</v>
      </c>
      <c r="Q104">
        <v>78</v>
      </c>
      <c r="R104">
        <f t="shared" si="16"/>
        <v>0.86576086956521736</v>
      </c>
      <c r="S104" s="9">
        <f t="shared" si="11"/>
        <v>0.17315217391304349</v>
      </c>
      <c r="T104" s="9">
        <f t="shared" si="12"/>
        <v>7.6268478260869568</v>
      </c>
      <c r="U104" s="9">
        <f t="shared" ref="U104:U167" si="17">MIN(U103+T104,218.9)</f>
        <v>46.567336956521743</v>
      </c>
      <c r="W104">
        <v>308.39999999999998</v>
      </c>
      <c r="Y104">
        <f t="shared" si="15"/>
        <v>73009.800000000032</v>
      </c>
      <c r="AA104">
        <v>9.2539827982814895</v>
      </c>
    </row>
    <row r="105" spans="1:27" x14ac:dyDescent="0.25">
      <c r="A105">
        <v>5240</v>
      </c>
      <c r="B105">
        <v>23690</v>
      </c>
      <c r="C105" s="5">
        <v>42683</v>
      </c>
      <c r="F105" s="54"/>
      <c r="G105">
        <v>7.4</v>
      </c>
      <c r="H105">
        <v>5.2</v>
      </c>
      <c r="I105">
        <v>9.3000000000000007</v>
      </c>
      <c r="J105">
        <f t="shared" si="13"/>
        <v>1102.4000000000003</v>
      </c>
      <c r="M105">
        <v>6.6</v>
      </c>
      <c r="N105">
        <v>0.5</v>
      </c>
      <c r="O105">
        <f t="shared" si="10"/>
        <v>6.1</v>
      </c>
      <c r="P105">
        <f t="shared" si="14"/>
        <v>31.4</v>
      </c>
      <c r="Q105">
        <v>79</v>
      </c>
      <c r="R105">
        <f t="shared" si="16"/>
        <v>0.87282608695652175</v>
      </c>
      <c r="S105" s="9">
        <f t="shared" si="11"/>
        <v>0.43641304347826088</v>
      </c>
      <c r="T105" s="9">
        <f t="shared" si="12"/>
        <v>6.1635869565217387</v>
      </c>
      <c r="U105" s="9">
        <f t="shared" si="17"/>
        <v>52.730923913043483</v>
      </c>
      <c r="W105">
        <v>118.5</v>
      </c>
      <c r="Y105">
        <f t="shared" si="15"/>
        <v>73128.300000000032</v>
      </c>
      <c r="AA105">
        <v>9.2066913170603986</v>
      </c>
    </row>
    <row r="106" spans="1:27" x14ac:dyDescent="0.25">
      <c r="A106">
        <v>5240</v>
      </c>
      <c r="B106">
        <v>23690</v>
      </c>
      <c r="C106" s="5">
        <v>42684</v>
      </c>
      <c r="F106" s="54"/>
      <c r="G106">
        <v>8.4</v>
      </c>
      <c r="H106">
        <v>7.2</v>
      </c>
      <c r="I106">
        <v>9.6</v>
      </c>
      <c r="J106">
        <f t="shared" si="13"/>
        <v>1110.8000000000004</v>
      </c>
      <c r="M106">
        <v>2</v>
      </c>
      <c r="N106">
        <v>0.2</v>
      </c>
      <c r="O106">
        <f t="shared" si="10"/>
        <v>1.8</v>
      </c>
      <c r="P106">
        <f t="shared" si="14"/>
        <v>33.199999999999996</v>
      </c>
      <c r="Q106">
        <v>80</v>
      </c>
      <c r="R106">
        <f t="shared" si="16"/>
        <v>0.87989130434782603</v>
      </c>
      <c r="S106" s="9">
        <f t="shared" si="11"/>
        <v>0.17597826086956522</v>
      </c>
      <c r="T106" s="9">
        <f t="shared" si="12"/>
        <v>1.8240217391304347</v>
      </c>
      <c r="U106" s="9">
        <f t="shared" si="17"/>
        <v>54.55494565217392</v>
      </c>
      <c r="W106">
        <v>124.4</v>
      </c>
      <c r="Y106">
        <f t="shared" si="15"/>
        <v>73252.700000000026</v>
      </c>
      <c r="AA106">
        <v>9.1600748124327342</v>
      </c>
    </row>
    <row r="107" spans="1:27" x14ac:dyDescent="0.25">
      <c r="A107">
        <v>5240</v>
      </c>
      <c r="B107">
        <v>23690</v>
      </c>
      <c r="C107" s="5">
        <v>42685</v>
      </c>
      <c r="F107" s="54"/>
      <c r="G107">
        <v>4.5</v>
      </c>
      <c r="H107">
        <v>2.9</v>
      </c>
      <c r="I107">
        <v>8.4</v>
      </c>
      <c r="J107">
        <f t="shared" si="13"/>
        <v>1115.3000000000004</v>
      </c>
      <c r="M107">
        <v>0.1</v>
      </c>
      <c r="N107">
        <v>0.5</v>
      </c>
      <c r="O107">
        <f t="shared" si="10"/>
        <v>-0.4</v>
      </c>
      <c r="P107">
        <f t="shared" si="14"/>
        <v>32.799999999999997</v>
      </c>
      <c r="Q107">
        <v>81</v>
      </c>
      <c r="R107">
        <f t="shared" si="16"/>
        <v>0.88695652173913042</v>
      </c>
      <c r="S107" s="9">
        <f t="shared" si="11"/>
        <v>0.44347826086956521</v>
      </c>
      <c r="T107" s="9">
        <f t="shared" si="12"/>
        <v>-0.34347826086956523</v>
      </c>
      <c r="U107" s="9">
        <f t="shared" si="17"/>
        <v>54.211467391304353</v>
      </c>
      <c r="W107">
        <v>325.39999999999998</v>
      </c>
      <c r="Y107">
        <f t="shared" si="15"/>
        <v>73578.10000000002</v>
      </c>
      <c r="AA107">
        <v>9.1141558902717978</v>
      </c>
    </row>
    <row r="108" spans="1:27" x14ac:dyDescent="0.25">
      <c r="A108">
        <v>5240</v>
      </c>
      <c r="B108">
        <v>23690</v>
      </c>
      <c r="C108" s="5">
        <v>42686</v>
      </c>
      <c r="F108" s="54"/>
      <c r="G108">
        <v>4</v>
      </c>
      <c r="H108">
        <v>-0.8</v>
      </c>
      <c r="I108">
        <v>7.7</v>
      </c>
      <c r="J108">
        <f t="shared" si="13"/>
        <v>1119.3000000000004</v>
      </c>
      <c r="M108">
        <v>6.7</v>
      </c>
      <c r="N108">
        <v>0.1</v>
      </c>
      <c r="O108">
        <f t="shared" si="10"/>
        <v>6.6000000000000005</v>
      </c>
      <c r="P108">
        <f t="shared" si="14"/>
        <v>39.4</v>
      </c>
      <c r="Q108">
        <v>82</v>
      </c>
      <c r="R108">
        <f t="shared" si="16"/>
        <v>0.89402173913043481</v>
      </c>
      <c r="S108" s="9">
        <f t="shared" si="11"/>
        <v>8.9402173913043489E-2</v>
      </c>
      <c r="T108" s="9">
        <f t="shared" si="12"/>
        <v>6.6105978260869565</v>
      </c>
      <c r="U108" s="9">
        <f t="shared" si="17"/>
        <v>60.822065217391312</v>
      </c>
      <c r="W108">
        <v>80.900000000000006</v>
      </c>
      <c r="Y108">
        <f t="shared" si="15"/>
        <v>73659.000000000015</v>
      </c>
      <c r="AA108">
        <v>9.0689574477222141</v>
      </c>
    </row>
    <row r="109" spans="1:27" x14ac:dyDescent="0.25">
      <c r="A109">
        <v>5240</v>
      </c>
      <c r="B109">
        <v>23690</v>
      </c>
      <c r="C109" s="5">
        <v>42687</v>
      </c>
      <c r="F109" s="54"/>
      <c r="G109">
        <v>7.9</v>
      </c>
      <c r="H109">
        <v>6.5</v>
      </c>
      <c r="I109">
        <v>9.6999999999999993</v>
      </c>
      <c r="J109">
        <f t="shared" si="13"/>
        <v>1127.2000000000005</v>
      </c>
      <c r="M109">
        <v>0.2</v>
      </c>
      <c r="N109">
        <v>0.2</v>
      </c>
      <c r="O109">
        <f t="shared" si="10"/>
        <v>0</v>
      </c>
      <c r="P109">
        <f t="shared" si="14"/>
        <v>39.4</v>
      </c>
      <c r="Q109">
        <v>83</v>
      </c>
      <c r="R109">
        <f t="shared" si="16"/>
        <v>0.90108695652173909</v>
      </c>
      <c r="S109" s="9">
        <f t="shared" si="11"/>
        <v>0.18021739130434783</v>
      </c>
      <c r="T109" s="9">
        <f t="shared" si="12"/>
        <v>1.9782608695652182E-2</v>
      </c>
      <c r="U109" s="9">
        <f t="shared" si="17"/>
        <v>60.841847826086962</v>
      </c>
      <c r="W109">
        <v>127.5</v>
      </c>
      <c r="Y109">
        <f t="shared" si="15"/>
        <v>73786.500000000015</v>
      </c>
      <c r="AA109">
        <v>9.0245026496275216</v>
      </c>
    </row>
    <row r="110" spans="1:27" x14ac:dyDescent="0.25">
      <c r="A110">
        <v>5240</v>
      </c>
      <c r="B110">
        <v>23690</v>
      </c>
      <c r="C110" s="5">
        <v>42688</v>
      </c>
      <c r="E110" t="s">
        <v>60</v>
      </c>
      <c r="F110" s="54"/>
      <c r="G110">
        <v>7.9</v>
      </c>
      <c r="H110">
        <v>6.7</v>
      </c>
      <c r="I110">
        <v>8.9</v>
      </c>
      <c r="J110">
        <f t="shared" si="13"/>
        <v>1135.1000000000006</v>
      </c>
      <c r="M110">
        <v>0.3</v>
      </c>
      <c r="N110">
        <v>0.2</v>
      </c>
      <c r="O110">
        <f t="shared" si="10"/>
        <v>9.9999999999999978E-2</v>
      </c>
      <c r="P110">
        <f t="shared" si="14"/>
        <v>39.5</v>
      </c>
      <c r="Q110">
        <v>84</v>
      </c>
      <c r="R110">
        <f t="shared" si="16"/>
        <v>0.90815217391304348</v>
      </c>
      <c r="S110" s="9">
        <f t="shared" si="11"/>
        <v>0.18163043478260871</v>
      </c>
      <c r="T110" s="9">
        <f t="shared" si="12"/>
        <v>0.11836956521739128</v>
      </c>
      <c r="U110" s="9">
        <f t="shared" si="17"/>
        <v>60.960217391304354</v>
      </c>
      <c r="W110">
        <v>108.7</v>
      </c>
      <c r="Y110">
        <f t="shared" si="15"/>
        <v>73895.200000000012</v>
      </c>
      <c r="AA110" s="30">
        <v>8.9808149028283335</v>
      </c>
    </row>
    <row r="111" spans="1:27" x14ac:dyDescent="0.25">
      <c r="A111">
        <v>5240</v>
      </c>
      <c r="B111">
        <v>23690</v>
      </c>
      <c r="C111" s="5">
        <v>42689</v>
      </c>
      <c r="F111" s="54"/>
      <c r="G111">
        <v>10.5</v>
      </c>
      <c r="H111">
        <v>8.1999999999999993</v>
      </c>
      <c r="I111">
        <v>11.7</v>
      </c>
      <c r="J111">
        <f t="shared" si="13"/>
        <v>1145.6000000000006</v>
      </c>
      <c r="M111">
        <v>1.8</v>
      </c>
      <c r="N111">
        <v>0.2</v>
      </c>
      <c r="O111">
        <f t="shared" si="10"/>
        <v>1.6</v>
      </c>
      <c r="P111">
        <f t="shared" si="14"/>
        <v>41.1</v>
      </c>
      <c r="Q111">
        <v>85</v>
      </c>
      <c r="R111">
        <f t="shared" si="16"/>
        <v>0.91521739130434776</v>
      </c>
      <c r="S111" s="9">
        <f t="shared" si="11"/>
        <v>0.18304347826086956</v>
      </c>
      <c r="T111" s="9">
        <f t="shared" si="12"/>
        <v>1.6169565217391304</v>
      </c>
      <c r="U111" s="9">
        <f t="shared" si="17"/>
        <v>62.577173913043488</v>
      </c>
      <c r="W111">
        <v>123.2</v>
      </c>
      <c r="Y111">
        <f t="shared" si="15"/>
        <v>74018.400000000009</v>
      </c>
      <c r="AA111" s="30">
        <v>8.9379178283064586</v>
      </c>
    </row>
    <row r="112" spans="1:27" x14ac:dyDescent="0.25">
      <c r="A112">
        <v>5240</v>
      </c>
      <c r="B112">
        <v>23690</v>
      </c>
      <c r="C112" s="5">
        <v>42690</v>
      </c>
      <c r="F112" s="54"/>
      <c r="G112">
        <v>11.2</v>
      </c>
      <c r="H112">
        <v>11.1</v>
      </c>
      <c r="I112">
        <v>11.5</v>
      </c>
      <c r="J112">
        <f t="shared" si="13"/>
        <v>1156.8000000000006</v>
      </c>
      <c r="M112">
        <v>0.3</v>
      </c>
      <c r="N112">
        <v>0.2</v>
      </c>
      <c r="O112">
        <f t="shared" si="10"/>
        <v>9.9999999999999978E-2</v>
      </c>
      <c r="P112">
        <f t="shared" si="14"/>
        <v>41.2</v>
      </c>
      <c r="Q112">
        <v>86</v>
      </c>
      <c r="R112">
        <f t="shared" si="16"/>
        <v>0.92228260869565215</v>
      </c>
      <c r="S112" s="9">
        <f t="shared" si="11"/>
        <v>0.18445652173913044</v>
      </c>
      <c r="T112" s="9">
        <f t="shared" si="12"/>
        <v>0.11554347826086955</v>
      </c>
      <c r="U112" s="9">
        <f t="shared" si="17"/>
        <v>62.692717391304356</v>
      </c>
      <c r="W112">
        <v>119.5</v>
      </c>
      <c r="Y112">
        <f t="shared" si="15"/>
        <v>74137.900000000009</v>
      </c>
      <c r="AA112" s="30">
        <v>8.8958352311601772</v>
      </c>
    </row>
    <row r="113" spans="1:28" x14ac:dyDescent="0.25">
      <c r="A113">
        <v>5240</v>
      </c>
      <c r="B113">
        <v>23690</v>
      </c>
      <c r="C113" s="5">
        <v>42691</v>
      </c>
      <c r="F113" s="54"/>
      <c r="G113">
        <v>11</v>
      </c>
      <c r="H113">
        <v>9</v>
      </c>
      <c r="I113">
        <v>12.4</v>
      </c>
      <c r="J113">
        <f t="shared" si="13"/>
        <v>1167.8000000000006</v>
      </c>
      <c r="M113">
        <v>4.0999999999999996</v>
      </c>
      <c r="N113">
        <v>0.6</v>
      </c>
      <c r="O113">
        <f t="shared" si="10"/>
        <v>3.4999999999999996</v>
      </c>
      <c r="P113">
        <f t="shared" si="14"/>
        <v>44.7</v>
      </c>
      <c r="Q113">
        <v>87</v>
      </c>
      <c r="R113">
        <f t="shared" si="16"/>
        <v>0.92934782608695654</v>
      </c>
      <c r="S113" s="9">
        <f t="shared" si="11"/>
        <v>0.55760869565217386</v>
      </c>
      <c r="T113" s="9">
        <f t="shared" si="12"/>
        <v>3.5423913043478259</v>
      </c>
      <c r="U113" s="9">
        <f t="shared" si="17"/>
        <v>66.235108695652187</v>
      </c>
      <c r="W113">
        <v>213.3</v>
      </c>
      <c r="Y113">
        <f t="shared" si="15"/>
        <v>74351.200000000012</v>
      </c>
      <c r="AA113" s="30">
        <v>8.8545910684066023</v>
      </c>
    </row>
    <row r="114" spans="1:28" x14ac:dyDescent="0.25">
      <c r="A114">
        <v>5240</v>
      </c>
      <c r="B114">
        <v>23690</v>
      </c>
      <c r="C114" s="5">
        <v>42692</v>
      </c>
      <c r="F114" s="54"/>
      <c r="G114">
        <v>8</v>
      </c>
      <c r="H114">
        <v>6.7</v>
      </c>
      <c r="I114">
        <v>9.9</v>
      </c>
      <c r="J114">
        <f t="shared" si="13"/>
        <v>1175.8000000000006</v>
      </c>
      <c r="M114">
        <v>0</v>
      </c>
      <c r="N114">
        <v>1</v>
      </c>
      <c r="O114">
        <f t="shared" si="10"/>
        <v>-1</v>
      </c>
      <c r="P114">
        <f t="shared" si="14"/>
        <v>43.7</v>
      </c>
      <c r="Q114">
        <v>88</v>
      </c>
      <c r="R114">
        <f t="shared" si="16"/>
        <v>0.93641304347826082</v>
      </c>
      <c r="S114" s="9">
        <f t="shared" si="11"/>
        <v>0.93641304347826082</v>
      </c>
      <c r="T114" s="9">
        <f t="shared" si="12"/>
        <v>-0.93641304347826082</v>
      </c>
      <c r="U114" s="9">
        <f t="shared" si="17"/>
        <v>65.298695652173933</v>
      </c>
      <c r="W114">
        <v>528.5</v>
      </c>
      <c r="Y114">
        <f t="shared" si="15"/>
        <v>74879.700000000012</v>
      </c>
      <c r="AA114" s="30">
        <v>8.8142094146189756</v>
      </c>
    </row>
    <row r="115" spans="1:28" x14ac:dyDescent="0.25">
      <c r="A115">
        <v>5240</v>
      </c>
      <c r="B115">
        <v>23690</v>
      </c>
      <c r="C115" s="5">
        <v>42693</v>
      </c>
      <c r="F115" s="54"/>
      <c r="G115">
        <v>6.5</v>
      </c>
      <c r="H115">
        <v>3.5</v>
      </c>
      <c r="I115">
        <v>10.7</v>
      </c>
      <c r="J115">
        <f t="shared" si="13"/>
        <v>1182.3000000000006</v>
      </c>
      <c r="M115">
        <v>1.5</v>
      </c>
      <c r="N115">
        <v>1</v>
      </c>
      <c r="O115">
        <f t="shared" si="10"/>
        <v>0.5</v>
      </c>
      <c r="P115">
        <f t="shared" si="14"/>
        <v>44.2</v>
      </c>
      <c r="Q115">
        <v>89</v>
      </c>
      <c r="R115">
        <f t="shared" si="16"/>
        <v>0.94347826086956521</v>
      </c>
      <c r="S115" s="9">
        <f t="shared" si="11"/>
        <v>0.94347826086956521</v>
      </c>
      <c r="T115" s="9">
        <f t="shared" si="12"/>
        <v>0.55652173913043479</v>
      </c>
      <c r="U115" s="9">
        <f t="shared" si="17"/>
        <v>65.855217391304365</v>
      </c>
      <c r="W115">
        <v>521.5</v>
      </c>
      <c r="Y115">
        <f t="shared" si="15"/>
        <v>75401.200000000012</v>
      </c>
      <c r="AA115" s="30">
        <v>8.7747144254195</v>
      </c>
    </row>
    <row r="116" spans="1:28" x14ac:dyDescent="0.25">
      <c r="A116">
        <v>5240</v>
      </c>
      <c r="B116">
        <v>23690</v>
      </c>
      <c r="C116" s="5">
        <v>42694</v>
      </c>
      <c r="F116" s="54"/>
      <c r="G116">
        <v>11</v>
      </c>
      <c r="H116">
        <v>7.4</v>
      </c>
      <c r="I116">
        <v>11.7</v>
      </c>
      <c r="J116">
        <f t="shared" si="13"/>
        <v>1193.3000000000006</v>
      </c>
      <c r="M116">
        <v>5.2</v>
      </c>
      <c r="N116">
        <v>0.2</v>
      </c>
      <c r="O116">
        <f t="shared" si="10"/>
        <v>5</v>
      </c>
      <c r="P116">
        <f t="shared" si="14"/>
        <v>49.2</v>
      </c>
      <c r="Q116">
        <v>90</v>
      </c>
      <c r="R116">
        <f t="shared" si="16"/>
        <v>0.9505434782608696</v>
      </c>
      <c r="S116" s="9">
        <f t="shared" si="11"/>
        <v>0.19010869565217392</v>
      </c>
      <c r="T116" s="9">
        <f t="shared" si="12"/>
        <v>5.0098913043478266</v>
      </c>
      <c r="U116" s="9">
        <f t="shared" si="17"/>
        <v>70.865108695652197</v>
      </c>
      <c r="W116">
        <v>110.9</v>
      </c>
      <c r="Y116">
        <f t="shared" si="15"/>
        <v>75512.100000000006</v>
      </c>
      <c r="AA116" s="30">
        <v>8.736130298862312</v>
      </c>
    </row>
    <row r="117" spans="1:28" x14ac:dyDescent="0.25">
      <c r="A117">
        <v>5240</v>
      </c>
      <c r="B117">
        <v>23690</v>
      </c>
      <c r="C117" s="5">
        <v>42695</v>
      </c>
      <c r="F117" s="54"/>
      <c r="G117">
        <v>10.9</v>
      </c>
      <c r="H117">
        <v>10.6</v>
      </c>
      <c r="I117">
        <v>11.2</v>
      </c>
      <c r="J117">
        <f t="shared" si="13"/>
        <v>1204.2000000000007</v>
      </c>
      <c r="M117">
        <v>1</v>
      </c>
      <c r="N117">
        <v>0.6</v>
      </c>
      <c r="O117">
        <f t="shared" si="10"/>
        <v>0.4</v>
      </c>
      <c r="P117">
        <f t="shared" si="14"/>
        <v>49.6</v>
      </c>
      <c r="Q117">
        <v>91</v>
      </c>
      <c r="R117">
        <f t="shared" si="16"/>
        <v>0.95760869565217399</v>
      </c>
      <c r="S117" s="9">
        <f t="shared" si="11"/>
        <v>0.57456521739130439</v>
      </c>
      <c r="T117" s="9">
        <f t="shared" si="12"/>
        <v>0.42543478260869561</v>
      </c>
      <c r="U117" s="9">
        <f t="shared" si="17"/>
        <v>71.290543478260886</v>
      </c>
      <c r="W117">
        <v>110</v>
      </c>
      <c r="Y117">
        <f t="shared" si="15"/>
        <v>75622.100000000006</v>
      </c>
      <c r="AA117" s="30">
        <v>8.6984812347557394</v>
      </c>
    </row>
    <row r="118" spans="1:28" x14ac:dyDescent="0.25">
      <c r="A118">
        <v>5240</v>
      </c>
      <c r="B118">
        <v>23690</v>
      </c>
      <c r="C118" s="5">
        <v>42696</v>
      </c>
      <c r="F118" s="54"/>
      <c r="G118">
        <v>8.6</v>
      </c>
      <c r="H118">
        <v>7.6</v>
      </c>
      <c r="I118">
        <v>10.4</v>
      </c>
      <c r="J118">
        <f t="shared" si="13"/>
        <v>1212.8000000000006</v>
      </c>
      <c r="M118">
        <v>7.6</v>
      </c>
      <c r="N118">
        <v>0.6</v>
      </c>
      <c r="O118">
        <f t="shared" si="10"/>
        <v>7</v>
      </c>
      <c r="P118">
        <f t="shared" si="14"/>
        <v>56.6</v>
      </c>
      <c r="Q118">
        <v>92</v>
      </c>
      <c r="R118">
        <f t="shared" si="16"/>
        <v>0.96467391304347827</v>
      </c>
      <c r="S118" s="9">
        <f t="shared" si="11"/>
        <v>0.57880434782608692</v>
      </c>
      <c r="T118" s="9">
        <f t="shared" si="12"/>
        <v>7.0211956521739127</v>
      </c>
      <c r="U118" s="9">
        <f t="shared" si="17"/>
        <v>78.311739130434802</v>
      </c>
      <c r="W118">
        <v>517.29999999999995</v>
      </c>
      <c r="Y118">
        <f t="shared" si="15"/>
        <v>76139.400000000009</v>
      </c>
      <c r="AA118" s="30">
        <v>8.6617913919889187</v>
      </c>
    </row>
    <row r="119" spans="1:28" x14ac:dyDescent="0.25">
      <c r="A119">
        <v>5240</v>
      </c>
      <c r="B119">
        <v>23690</v>
      </c>
      <c r="C119" s="5">
        <v>42697</v>
      </c>
      <c r="F119" s="54"/>
      <c r="G119">
        <v>10.3</v>
      </c>
      <c r="H119">
        <v>7.1</v>
      </c>
      <c r="I119">
        <v>12.2</v>
      </c>
      <c r="J119">
        <f t="shared" si="13"/>
        <v>1223.1000000000006</v>
      </c>
      <c r="M119">
        <v>1</v>
      </c>
      <c r="N119">
        <v>0.1</v>
      </c>
      <c r="O119">
        <f t="shared" si="10"/>
        <v>0.9</v>
      </c>
      <c r="P119">
        <f t="shared" si="14"/>
        <v>57.5</v>
      </c>
      <c r="Q119">
        <v>93</v>
      </c>
      <c r="R119">
        <f t="shared" si="16"/>
        <v>0.97173913043478266</v>
      </c>
      <c r="S119" s="9">
        <f t="shared" si="11"/>
        <v>9.7173913043478277E-2</v>
      </c>
      <c r="T119" s="9">
        <f t="shared" si="12"/>
        <v>0.90282608695652167</v>
      </c>
      <c r="U119" s="9">
        <f t="shared" si="17"/>
        <v>79.214565217391325</v>
      </c>
      <c r="W119">
        <v>105.8</v>
      </c>
      <c r="Y119">
        <f t="shared" si="15"/>
        <v>76245.200000000012</v>
      </c>
      <c r="AA119" s="30">
        <v>8.6260848439440352</v>
      </c>
    </row>
    <row r="120" spans="1:28" x14ac:dyDescent="0.25">
      <c r="A120">
        <v>5240</v>
      </c>
      <c r="B120">
        <v>23690</v>
      </c>
      <c r="C120" s="5">
        <v>42698</v>
      </c>
      <c r="F120" s="54"/>
      <c r="G120">
        <v>10.3</v>
      </c>
      <c r="H120">
        <v>9.8000000000000007</v>
      </c>
      <c r="I120">
        <v>11.9</v>
      </c>
      <c r="J120">
        <f t="shared" si="13"/>
        <v>1233.4000000000005</v>
      </c>
      <c r="M120">
        <v>0</v>
      </c>
      <c r="N120">
        <v>0.6</v>
      </c>
      <c r="O120">
        <f t="shared" si="10"/>
        <v>-0.6</v>
      </c>
      <c r="P120">
        <f t="shared" si="14"/>
        <v>56.9</v>
      </c>
      <c r="Q120">
        <v>94</v>
      </c>
      <c r="R120">
        <f t="shared" si="16"/>
        <v>0.97880434782608694</v>
      </c>
      <c r="S120" s="9">
        <f t="shared" si="11"/>
        <v>0.58728260869565219</v>
      </c>
      <c r="T120" s="9">
        <f t="shared" si="12"/>
        <v>-0.58728260869565219</v>
      </c>
      <c r="U120" s="9">
        <f t="shared" si="17"/>
        <v>78.62728260869568</v>
      </c>
      <c r="W120">
        <v>146.80000000000001</v>
      </c>
      <c r="Y120">
        <f t="shared" si="15"/>
        <v>76392.000000000015</v>
      </c>
      <c r="AA120" s="30">
        <v>8.5913855320927333</v>
      </c>
    </row>
    <row r="121" spans="1:28" x14ac:dyDescent="0.25">
      <c r="A121">
        <v>5240</v>
      </c>
      <c r="B121">
        <v>23690</v>
      </c>
      <c r="C121" s="5">
        <v>42699</v>
      </c>
      <c r="F121" s="54"/>
      <c r="G121">
        <v>7.8</v>
      </c>
      <c r="H121">
        <v>7.3</v>
      </c>
      <c r="I121">
        <v>8.1999999999999993</v>
      </c>
      <c r="J121">
        <f t="shared" si="13"/>
        <v>1241.2000000000005</v>
      </c>
      <c r="M121">
        <v>0.3</v>
      </c>
      <c r="N121">
        <v>0.2</v>
      </c>
      <c r="O121">
        <f t="shared" si="10"/>
        <v>9.9999999999999978E-2</v>
      </c>
      <c r="P121">
        <f t="shared" si="14"/>
        <v>57</v>
      </c>
      <c r="Q121">
        <v>95</v>
      </c>
      <c r="R121">
        <f t="shared" si="16"/>
        <v>0.98586956521739133</v>
      </c>
      <c r="S121" s="9">
        <f t="shared" si="11"/>
        <v>0.19717391304347828</v>
      </c>
      <c r="T121" s="9">
        <f t="shared" si="12"/>
        <v>0.10282608695652171</v>
      </c>
      <c r="U121" s="9">
        <f t="shared" si="17"/>
        <v>78.730108695652206</v>
      </c>
      <c r="W121">
        <v>107.4</v>
      </c>
      <c r="Y121">
        <f t="shared" si="15"/>
        <v>76499.400000000009</v>
      </c>
      <c r="AA121" s="30">
        <v>8.5577172178928258</v>
      </c>
    </row>
    <row r="122" spans="1:28" x14ac:dyDescent="0.25">
      <c r="A122">
        <v>5240</v>
      </c>
      <c r="B122">
        <v>23690</v>
      </c>
      <c r="C122" s="5">
        <v>42700</v>
      </c>
      <c r="F122" s="54"/>
      <c r="G122">
        <v>7.9</v>
      </c>
      <c r="H122">
        <v>6.7</v>
      </c>
      <c r="I122">
        <v>9.1999999999999993</v>
      </c>
      <c r="J122">
        <f t="shared" si="13"/>
        <v>1249.1000000000006</v>
      </c>
      <c r="M122">
        <v>0</v>
      </c>
      <c r="N122">
        <v>0.1</v>
      </c>
      <c r="O122">
        <f t="shared" si="10"/>
        <v>-0.1</v>
      </c>
      <c r="P122">
        <f t="shared" si="14"/>
        <v>56.9</v>
      </c>
      <c r="Q122">
        <v>96</v>
      </c>
      <c r="R122">
        <f t="shared" si="16"/>
        <v>0.99293478260869561</v>
      </c>
      <c r="S122" s="9">
        <f t="shared" si="11"/>
        <v>9.9293478260869567E-2</v>
      </c>
      <c r="T122" s="9">
        <f t="shared" si="12"/>
        <v>-9.9293478260869567E-2</v>
      </c>
      <c r="U122" s="9">
        <f t="shared" si="17"/>
        <v>78.63081521739133</v>
      </c>
      <c r="W122">
        <v>124.7</v>
      </c>
      <c r="Y122">
        <f t="shared" si="15"/>
        <v>76624.100000000006</v>
      </c>
      <c r="AA122" s="30">
        <v>8.5251034331194813</v>
      </c>
    </row>
    <row r="123" spans="1:28" s="14" customFormat="1" ht="15.75" thickBot="1" x14ac:dyDescent="0.3">
      <c r="A123" s="14">
        <v>5240</v>
      </c>
      <c r="B123" s="14">
        <v>23690</v>
      </c>
      <c r="C123" s="15">
        <v>42701</v>
      </c>
      <c r="F123" s="55"/>
      <c r="G123" s="14">
        <v>6.2</v>
      </c>
      <c r="H123" s="14">
        <v>3.9</v>
      </c>
      <c r="I123" s="14">
        <v>7.7</v>
      </c>
      <c r="J123" s="14">
        <f t="shared" si="13"/>
        <v>1255.3000000000006</v>
      </c>
      <c r="M123" s="14">
        <v>0.1</v>
      </c>
      <c r="N123" s="14">
        <v>0.4</v>
      </c>
      <c r="O123" s="14">
        <f t="shared" si="10"/>
        <v>-0.30000000000000004</v>
      </c>
      <c r="P123" s="14">
        <f t="shared" si="14"/>
        <v>56.6</v>
      </c>
      <c r="Q123" s="14">
        <v>97</v>
      </c>
      <c r="R123" s="14">
        <f t="shared" si="16"/>
        <v>1</v>
      </c>
      <c r="S123" s="16">
        <f t="shared" si="11"/>
        <v>0.4</v>
      </c>
      <c r="T123" s="16">
        <f t="shared" si="12"/>
        <v>-0.30000000000000004</v>
      </c>
      <c r="U123" s="9">
        <f t="shared" si="17"/>
        <v>78.330815217391333</v>
      </c>
      <c r="W123" s="14">
        <v>425.3</v>
      </c>
      <c r="Y123" s="14">
        <f t="shared" si="15"/>
        <v>77049.400000000009</v>
      </c>
      <c r="AA123" s="31">
        <v>8.4935674287833969</v>
      </c>
    </row>
    <row r="124" spans="1:28" x14ac:dyDescent="0.25">
      <c r="A124">
        <v>5240</v>
      </c>
      <c r="B124">
        <v>23690</v>
      </c>
      <c r="C124" s="5">
        <v>42702</v>
      </c>
      <c r="D124" t="s">
        <v>34</v>
      </c>
      <c r="E124" s="30">
        <v>1</v>
      </c>
      <c r="F124" s="56" t="s">
        <v>53</v>
      </c>
      <c r="G124">
        <v>3.6</v>
      </c>
      <c r="H124">
        <v>2.7</v>
      </c>
      <c r="I124">
        <v>6.3</v>
      </c>
      <c r="J124">
        <f t="shared" si="13"/>
        <v>1258.9000000000005</v>
      </c>
      <c r="K124">
        <f>G124</f>
        <v>3.6</v>
      </c>
      <c r="L124" s="17" t="s">
        <v>37</v>
      </c>
      <c r="M124">
        <v>0</v>
      </c>
      <c r="N124">
        <v>1.3</v>
      </c>
      <c r="O124">
        <f t="shared" si="10"/>
        <v>-1.3</v>
      </c>
      <c r="P124">
        <f t="shared" si="14"/>
        <v>55.300000000000004</v>
      </c>
      <c r="Q124">
        <v>98</v>
      </c>
      <c r="R124">
        <v>1</v>
      </c>
      <c r="S124" s="9">
        <f t="shared" si="11"/>
        <v>1.3</v>
      </c>
      <c r="T124" s="9">
        <f t="shared" si="12"/>
        <v>-1.3</v>
      </c>
      <c r="U124" s="9">
        <f t="shared" si="17"/>
        <v>77.030815217391336</v>
      </c>
      <c r="V124" s="18" t="s">
        <v>44</v>
      </c>
      <c r="W124">
        <v>730.2</v>
      </c>
      <c r="Y124">
        <f t="shared" si="15"/>
        <v>77779.600000000006</v>
      </c>
      <c r="Z124">
        <f>W124</f>
        <v>730.2</v>
      </c>
      <c r="AA124" s="30">
        <v>8.4631321228067495</v>
      </c>
      <c r="AB124" s="18" t="s">
        <v>49</v>
      </c>
    </row>
    <row r="125" spans="1:28" x14ac:dyDescent="0.25">
      <c r="A125">
        <v>5240</v>
      </c>
      <c r="B125">
        <v>23690</v>
      </c>
      <c r="C125" s="5">
        <v>42703</v>
      </c>
      <c r="E125" s="30">
        <v>2</v>
      </c>
      <c r="F125" s="57"/>
      <c r="G125">
        <v>-0.1</v>
      </c>
      <c r="H125">
        <v>-1.6</v>
      </c>
      <c r="I125">
        <v>3.1</v>
      </c>
      <c r="J125">
        <v>1258.9000000000001</v>
      </c>
      <c r="K125">
        <v>3.6</v>
      </c>
      <c r="L125" s="11">
        <v>168.6</v>
      </c>
      <c r="M125">
        <v>0</v>
      </c>
      <c r="N125">
        <v>0.9</v>
      </c>
      <c r="O125">
        <f t="shared" si="10"/>
        <v>-0.9</v>
      </c>
      <c r="P125">
        <f t="shared" si="14"/>
        <v>54.400000000000006</v>
      </c>
      <c r="Q125">
        <v>99</v>
      </c>
      <c r="R125">
        <v>1</v>
      </c>
      <c r="S125" s="9">
        <f t="shared" si="11"/>
        <v>0.9</v>
      </c>
      <c r="T125" s="9">
        <f t="shared" si="12"/>
        <v>-0.9</v>
      </c>
      <c r="U125" s="9">
        <f t="shared" si="17"/>
        <v>76.13081521739133</v>
      </c>
      <c r="V125">
        <v>0</v>
      </c>
      <c r="W125">
        <v>748.8</v>
      </c>
      <c r="Y125">
        <f t="shared" si="15"/>
        <v>78528.400000000009</v>
      </c>
      <c r="Z125">
        <f>Z124+W125</f>
        <v>1479</v>
      </c>
      <c r="AA125" s="30">
        <v>8.4338200466458471</v>
      </c>
      <c r="AB125">
        <v>21413.9</v>
      </c>
    </row>
    <row r="126" spans="1:28" x14ac:dyDescent="0.25">
      <c r="A126">
        <v>5240</v>
      </c>
      <c r="B126">
        <v>23690</v>
      </c>
      <c r="C126" s="5">
        <v>42704</v>
      </c>
      <c r="E126" s="30">
        <v>3</v>
      </c>
      <c r="F126" s="57"/>
      <c r="G126">
        <v>-1</v>
      </c>
      <c r="H126">
        <v>-4.3</v>
      </c>
      <c r="I126">
        <v>4.5999999999999996</v>
      </c>
      <c r="J126">
        <v>1258.9000000000001</v>
      </c>
      <c r="K126">
        <v>3.6</v>
      </c>
      <c r="L126" s="17" t="s">
        <v>38</v>
      </c>
      <c r="M126">
        <v>0</v>
      </c>
      <c r="N126">
        <v>0.6</v>
      </c>
      <c r="O126">
        <f t="shared" si="10"/>
        <v>-0.6</v>
      </c>
      <c r="P126">
        <f t="shared" si="14"/>
        <v>53.800000000000004</v>
      </c>
      <c r="Q126">
        <v>100</v>
      </c>
      <c r="R126">
        <v>1</v>
      </c>
      <c r="S126" s="9">
        <f t="shared" si="11"/>
        <v>0.6</v>
      </c>
      <c r="T126" s="9">
        <f t="shared" si="12"/>
        <v>-0.6</v>
      </c>
      <c r="U126" s="9">
        <f t="shared" si="17"/>
        <v>75.530815217391336</v>
      </c>
      <c r="V126" s="18" t="s">
        <v>45</v>
      </c>
      <c r="W126">
        <v>661.1</v>
      </c>
      <c r="Y126">
        <f t="shared" si="15"/>
        <v>79189.500000000015</v>
      </c>
      <c r="Z126">
        <f t="shared" ref="Z126:Z189" si="18">Z125+W126</f>
        <v>2140.1</v>
      </c>
      <c r="AA126" s="30">
        <v>8.4056532910671127</v>
      </c>
      <c r="AB126" s="18" t="s">
        <v>50</v>
      </c>
    </row>
    <row r="127" spans="1:28" x14ac:dyDescent="0.25">
      <c r="A127">
        <v>5240</v>
      </c>
      <c r="B127">
        <v>23690</v>
      </c>
      <c r="C127" s="5">
        <v>42705</v>
      </c>
      <c r="E127" s="30">
        <v>4</v>
      </c>
      <c r="F127" s="57"/>
      <c r="G127">
        <v>-0.4</v>
      </c>
      <c r="H127">
        <v>-4.9000000000000004</v>
      </c>
      <c r="I127">
        <v>5.2</v>
      </c>
      <c r="J127">
        <v>1258.9000000000001</v>
      </c>
      <c r="K127">
        <v>3.6</v>
      </c>
      <c r="L127" s="41">
        <f>AVERAGE(G124:G186)</f>
        <v>2.0333333333333328</v>
      </c>
      <c r="M127">
        <v>0</v>
      </c>
      <c r="N127">
        <v>0.7</v>
      </c>
      <c r="O127">
        <f t="shared" si="10"/>
        <v>-0.7</v>
      </c>
      <c r="P127">
        <f t="shared" si="14"/>
        <v>53.1</v>
      </c>
      <c r="Q127">
        <v>101</v>
      </c>
      <c r="R127">
        <v>1</v>
      </c>
      <c r="S127" s="9">
        <f t="shared" si="11"/>
        <v>0.7</v>
      </c>
      <c r="T127" s="9">
        <f t="shared" si="12"/>
        <v>-0.7</v>
      </c>
      <c r="U127" s="9">
        <f t="shared" si="17"/>
        <v>74.830815217391333</v>
      </c>
      <c r="V127">
        <v>13</v>
      </c>
      <c r="W127">
        <v>640.5</v>
      </c>
      <c r="Y127">
        <f t="shared" si="15"/>
        <v>79830.000000000015</v>
      </c>
      <c r="Z127">
        <f t="shared" si="18"/>
        <v>2780.6</v>
      </c>
      <c r="AA127" s="30">
        <v>8.3786534513001918</v>
      </c>
      <c r="AB127">
        <f>(AB125/100)/L125</f>
        <v>1.2701008303677344</v>
      </c>
    </row>
    <row r="128" spans="1:28" x14ac:dyDescent="0.25">
      <c r="A128">
        <v>5240</v>
      </c>
      <c r="B128">
        <v>23690</v>
      </c>
      <c r="C128" s="5">
        <v>42706</v>
      </c>
      <c r="E128" s="30">
        <v>5</v>
      </c>
      <c r="F128" s="57"/>
      <c r="G128">
        <v>3.2</v>
      </c>
      <c r="H128">
        <v>-1.1000000000000001</v>
      </c>
      <c r="I128">
        <v>5.5</v>
      </c>
      <c r="J128">
        <f t="shared" si="13"/>
        <v>1262.1000000000001</v>
      </c>
      <c r="K128">
        <f t="shared" ref="K128:K189" si="19">K127+G128</f>
        <v>6.8000000000000007</v>
      </c>
      <c r="L128" s="17" t="s">
        <v>39</v>
      </c>
      <c r="M128">
        <v>0.1</v>
      </c>
      <c r="N128">
        <v>0.1</v>
      </c>
      <c r="O128">
        <f t="shared" si="10"/>
        <v>0</v>
      </c>
      <c r="P128">
        <f t="shared" si="14"/>
        <v>53.1</v>
      </c>
      <c r="Q128">
        <v>102</v>
      </c>
      <c r="R128">
        <v>1</v>
      </c>
      <c r="S128" s="9">
        <f t="shared" si="11"/>
        <v>0.1</v>
      </c>
      <c r="T128" s="9">
        <f t="shared" si="12"/>
        <v>0</v>
      </c>
      <c r="U128" s="9">
        <f t="shared" si="17"/>
        <v>74.830815217391333</v>
      </c>
      <c r="V128" s="18" t="s">
        <v>46</v>
      </c>
      <c r="W128">
        <v>135.1</v>
      </c>
      <c r="Y128">
        <f t="shared" si="15"/>
        <v>79965.10000000002</v>
      </c>
      <c r="Z128">
        <f t="shared" si="18"/>
        <v>2915.7</v>
      </c>
      <c r="AA128" s="30">
        <v>8.3528415718079465</v>
      </c>
      <c r="AB128" s="18" t="s">
        <v>51</v>
      </c>
    </row>
    <row r="129" spans="1:28" x14ac:dyDescent="0.25">
      <c r="A129">
        <v>5240</v>
      </c>
      <c r="B129">
        <v>23690</v>
      </c>
      <c r="C129" s="5">
        <v>42707</v>
      </c>
      <c r="E129" s="30">
        <v>6</v>
      </c>
      <c r="F129" s="57"/>
      <c r="G129">
        <v>4.2</v>
      </c>
      <c r="H129">
        <v>2.2999999999999998</v>
      </c>
      <c r="I129">
        <v>6.9</v>
      </c>
      <c r="J129">
        <f t="shared" si="13"/>
        <v>1266.3000000000002</v>
      </c>
      <c r="K129">
        <f t="shared" si="19"/>
        <v>11</v>
      </c>
      <c r="L129" s="12">
        <f>MIN(H124:H186)</f>
        <v>-7.8</v>
      </c>
      <c r="M129">
        <v>0</v>
      </c>
      <c r="N129">
        <v>0.7</v>
      </c>
      <c r="O129">
        <f t="shared" si="10"/>
        <v>-0.7</v>
      </c>
      <c r="P129">
        <f t="shared" si="14"/>
        <v>52.4</v>
      </c>
      <c r="Q129">
        <v>103</v>
      </c>
      <c r="R129">
        <v>1</v>
      </c>
      <c r="S129" s="9">
        <f t="shared" si="11"/>
        <v>0.7</v>
      </c>
      <c r="T129" s="9">
        <f t="shared" si="12"/>
        <v>-0.7</v>
      </c>
      <c r="U129" s="9">
        <f t="shared" si="17"/>
        <v>74.13081521739133</v>
      </c>
      <c r="V129" s="9">
        <f>MIN(U124:U186)</f>
        <v>71.630815217391344</v>
      </c>
      <c r="W129">
        <v>592.20000000000005</v>
      </c>
      <c r="Y129">
        <f t="shared" si="15"/>
        <v>80557.300000000017</v>
      </c>
      <c r="Z129">
        <f t="shared" si="18"/>
        <v>3507.8999999999996</v>
      </c>
      <c r="AA129" s="30">
        <v>8.3282380909283056</v>
      </c>
      <c r="AB129">
        <v>63</v>
      </c>
    </row>
    <row r="130" spans="1:28" x14ac:dyDescent="0.25">
      <c r="A130">
        <v>5240</v>
      </c>
      <c r="B130">
        <v>23690</v>
      </c>
      <c r="C130" s="5">
        <v>42708</v>
      </c>
      <c r="E130" s="30">
        <v>7</v>
      </c>
      <c r="F130" s="57"/>
      <c r="G130">
        <v>0.4</v>
      </c>
      <c r="H130">
        <v>-2.2000000000000002</v>
      </c>
      <c r="I130">
        <v>2.1</v>
      </c>
      <c r="J130">
        <f t="shared" si="13"/>
        <v>1266.7000000000003</v>
      </c>
      <c r="K130">
        <f t="shared" si="19"/>
        <v>11.4</v>
      </c>
      <c r="L130" s="17" t="s">
        <v>40</v>
      </c>
      <c r="M130">
        <v>0</v>
      </c>
      <c r="N130">
        <v>0.4</v>
      </c>
      <c r="O130">
        <f t="shared" si="10"/>
        <v>-0.4</v>
      </c>
      <c r="P130">
        <f t="shared" si="14"/>
        <v>52</v>
      </c>
      <c r="Q130">
        <v>104</v>
      </c>
      <c r="R130">
        <v>1</v>
      </c>
      <c r="S130" s="9">
        <f t="shared" si="11"/>
        <v>0.4</v>
      </c>
      <c r="T130" s="9">
        <f t="shared" si="12"/>
        <v>-0.4</v>
      </c>
      <c r="U130" s="9">
        <f t="shared" si="17"/>
        <v>73.730815217391324</v>
      </c>
      <c r="V130" s="18" t="s">
        <v>47</v>
      </c>
      <c r="W130">
        <v>540.1</v>
      </c>
      <c r="Y130">
        <f t="shared" si="15"/>
        <v>81097.400000000023</v>
      </c>
      <c r="Z130">
        <f t="shared" si="18"/>
        <v>4047.9999999999995</v>
      </c>
      <c r="AA130" s="30">
        <v>8.3048627856562796</v>
      </c>
      <c r="AB130" t="s">
        <v>61</v>
      </c>
    </row>
    <row r="131" spans="1:28" x14ac:dyDescent="0.25">
      <c r="A131">
        <v>5240</v>
      </c>
      <c r="B131">
        <v>23690</v>
      </c>
      <c r="C131" s="5">
        <v>42709</v>
      </c>
      <c r="E131" s="30">
        <v>8</v>
      </c>
      <c r="F131" s="57"/>
      <c r="G131">
        <v>3.3</v>
      </c>
      <c r="H131">
        <v>0.5</v>
      </c>
      <c r="I131">
        <v>7.5</v>
      </c>
      <c r="J131">
        <f t="shared" si="13"/>
        <v>1270.0000000000002</v>
      </c>
      <c r="K131">
        <f t="shared" si="19"/>
        <v>14.7</v>
      </c>
      <c r="L131" s="11">
        <f>MAX(I124:I186)</f>
        <v>9.9</v>
      </c>
      <c r="M131">
        <v>0</v>
      </c>
      <c r="N131">
        <v>0.6</v>
      </c>
      <c r="O131">
        <f t="shared" si="10"/>
        <v>-0.6</v>
      </c>
      <c r="P131">
        <f t="shared" si="14"/>
        <v>51.4</v>
      </c>
      <c r="Q131">
        <v>105</v>
      </c>
      <c r="R131">
        <v>1</v>
      </c>
      <c r="S131" s="9">
        <f t="shared" si="11"/>
        <v>0.6</v>
      </c>
      <c r="T131" s="9">
        <f t="shared" si="12"/>
        <v>-0.6</v>
      </c>
      <c r="U131" s="9">
        <f t="shared" si="17"/>
        <v>73.13081521739133</v>
      </c>
      <c r="V131" s="9">
        <f>MAX(U124:U186)</f>
        <v>106.53081521739138</v>
      </c>
      <c r="W131">
        <v>536.6</v>
      </c>
      <c r="Y131">
        <f t="shared" si="15"/>
        <v>81634.000000000029</v>
      </c>
      <c r="Z131">
        <f t="shared" si="18"/>
        <v>4584.5999999999995</v>
      </c>
      <c r="AA131" s="30">
        <v>8.2827347168463827</v>
      </c>
      <c r="AB131">
        <v>50</v>
      </c>
    </row>
    <row r="132" spans="1:28" x14ac:dyDescent="0.25">
      <c r="A132">
        <v>5240</v>
      </c>
      <c r="B132">
        <v>23690</v>
      </c>
      <c r="C132" s="5">
        <v>42710</v>
      </c>
      <c r="E132" s="30">
        <v>9</v>
      </c>
      <c r="F132" s="57"/>
      <c r="G132">
        <v>4.0999999999999996</v>
      </c>
      <c r="H132">
        <v>0</v>
      </c>
      <c r="I132">
        <v>9.9</v>
      </c>
      <c r="J132">
        <f t="shared" si="13"/>
        <v>1274.1000000000001</v>
      </c>
      <c r="K132">
        <f t="shared" si="19"/>
        <v>18.799999999999997</v>
      </c>
      <c r="L132" s="17" t="s">
        <v>41</v>
      </c>
      <c r="M132">
        <v>0.1</v>
      </c>
      <c r="N132">
        <v>0.4</v>
      </c>
      <c r="O132">
        <f t="shared" si="10"/>
        <v>-0.30000000000000004</v>
      </c>
      <c r="P132">
        <f t="shared" si="14"/>
        <v>51.1</v>
      </c>
      <c r="Q132">
        <v>106</v>
      </c>
      <c r="R132">
        <v>1</v>
      </c>
      <c r="S132" s="9">
        <f t="shared" si="11"/>
        <v>0.4</v>
      </c>
      <c r="T132" s="9">
        <f t="shared" si="12"/>
        <v>-0.30000000000000004</v>
      </c>
      <c r="U132" s="9">
        <f t="shared" si="17"/>
        <v>72.830815217391333</v>
      </c>
      <c r="V132" s="18" t="s">
        <v>48</v>
      </c>
      <c r="W132">
        <v>191.2</v>
      </c>
      <c r="Y132">
        <f t="shared" si="15"/>
        <v>81825.200000000026</v>
      </c>
      <c r="Z132">
        <f t="shared" si="18"/>
        <v>4775.7999999999993</v>
      </c>
      <c r="AA132" s="30">
        <v>8.2618721751255286</v>
      </c>
    </row>
    <row r="133" spans="1:28" x14ac:dyDescent="0.25">
      <c r="A133">
        <v>5240</v>
      </c>
      <c r="B133">
        <v>23690</v>
      </c>
      <c r="C133" s="5">
        <v>42711</v>
      </c>
      <c r="E133" s="30">
        <v>10</v>
      </c>
      <c r="F133" s="57"/>
      <c r="G133">
        <v>4.2</v>
      </c>
      <c r="H133">
        <v>1.1000000000000001</v>
      </c>
      <c r="I133">
        <v>9.5</v>
      </c>
      <c r="J133">
        <f t="shared" si="13"/>
        <v>1278.3000000000002</v>
      </c>
      <c r="K133">
        <f t="shared" si="19"/>
        <v>22.999999999999996</v>
      </c>
      <c r="L133" s="11">
        <v>0</v>
      </c>
      <c r="M133">
        <v>0.1</v>
      </c>
      <c r="N133">
        <v>0.7</v>
      </c>
      <c r="O133">
        <f t="shared" si="10"/>
        <v>-0.6</v>
      </c>
      <c r="P133">
        <f t="shared" si="14"/>
        <v>50.5</v>
      </c>
      <c r="Q133">
        <v>107</v>
      </c>
      <c r="R133">
        <v>1</v>
      </c>
      <c r="S133" s="9">
        <f t="shared" si="11"/>
        <v>0.7</v>
      </c>
      <c r="T133" s="9">
        <f t="shared" si="12"/>
        <v>-0.6</v>
      </c>
      <c r="U133" s="9">
        <f t="shared" si="17"/>
        <v>72.230815217391338</v>
      </c>
      <c r="V133" s="9">
        <f>AVERAGE(U124:U186)</f>
        <v>86.973672360248514</v>
      </c>
      <c r="W133">
        <v>431.4</v>
      </c>
      <c r="Y133">
        <f t="shared" si="15"/>
        <v>82256.60000000002</v>
      </c>
      <c r="Z133">
        <f t="shared" si="18"/>
        <v>5207.1999999999989</v>
      </c>
      <c r="AA133" s="30">
        <v>8.2422926278140256</v>
      </c>
    </row>
    <row r="134" spans="1:28" x14ac:dyDescent="0.25">
      <c r="A134">
        <v>5240</v>
      </c>
      <c r="B134">
        <v>23690</v>
      </c>
      <c r="C134" s="5">
        <v>42712</v>
      </c>
      <c r="E134" s="30">
        <v>11</v>
      </c>
      <c r="F134" s="57"/>
      <c r="G134">
        <v>4.2</v>
      </c>
      <c r="H134">
        <v>0.5</v>
      </c>
      <c r="I134">
        <v>7.9</v>
      </c>
      <c r="J134">
        <f t="shared" si="13"/>
        <v>1282.5000000000002</v>
      </c>
      <c r="K134">
        <f t="shared" si="19"/>
        <v>27.199999999999996</v>
      </c>
      <c r="L134" s="17" t="s">
        <v>42</v>
      </c>
      <c r="M134">
        <v>0.2</v>
      </c>
      <c r="N134">
        <v>0.5</v>
      </c>
      <c r="O134">
        <f t="shared" si="10"/>
        <v>-0.3</v>
      </c>
      <c r="P134">
        <f t="shared" si="14"/>
        <v>50.2</v>
      </c>
      <c r="Q134">
        <v>108</v>
      </c>
      <c r="R134">
        <v>1</v>
      </c>
      <c r="S134" s="9">
        <f t="shared" si="11"/>
        <v>0.5</v>
      </c>
      <c r="T134" s="9">
        <f t="shared" si="12"/>
        <v>-0.3</v>
      </c>
      <c r="U134" s="9">
        <f t="shared" si="17"/>
        <v>71.930815217391341</v>
      </c>
      <c r="W134">
        <v>449.4</v>
      </c>
      <c r="Y134">
        <f t="shared" si="15"/>
        <v>82706.000000000015</v>
      </c>
      <c r="Z134">
        <f t="shared" si="18"/>
        <v>5656.5999999999985</v>
      </c>
      <c r="AA134" s="30">
        <v>8.2240126671575666</v>
      </c>
    </row>
    <row r="135" spans="1:28" x14ac:dyDescent="0.25">
      <c r="A135">
        <v>5240</v>
      </c>
      <c r="B135">
        <v>23690</v>
      </c>
      <c r="C135" s="5">
        <v>42713</v>
      </c>
      <c r="E135" s="30">
        <v>12</v>
      </c>
      <c r="F135" s="57"/>
      <c r="G135">
        <v>4.5999999999999996</v>
      </c>
      <c r="H135">
        <v>2</v>
      </c>
      <c r="I135">
        <v>8.3000000000000007</v>
      </c>
      <c r="J135">
        <f t="shared" si="13"/>
        <v>1287.1000000000001</v>
      </c>
      <c r="K135">
        <f t="shared" si="19"/>
        <v>31.799999999999997</v>
      </c>
      <c r="L135" s="11">
        <v>26</v>
      </c>
      <c r="M135">
        <v>0.2</v>
      </c>
      <c r="N135">
        <v>0.5</v>
      </c>
      <c r="O135">
        <f t="shared" si="10"/>
        <v>-0.3</v>
      </c>
      <c r="P135">
        <f t="shared" si="14"/>
        <v>49.900000000000006</v>
      </c>
      <c r="Q135">
        <v>109</v>
      </c>
      <c r="R135">
        <v>1</v>
      </c>
      <c r="S135" s="9">
        <f t="shared" si="11"/>
        <v>0.5</v>
      </c>
      <c r="T135" s="9">
        <f t="shared" si="12"/>
        <v>-0.3</v>
      </c>
      <c r="U135" s="9">
        <f t="shared" si="17"/>
        <v>71.630815217391344</v>
      </c>
      <c r="V135" s="32">
        <f>(V133*100)/218.9</f>
        <v>39.732148177363413</v>
      </c>
      <c r="W135">
        <v>420.1</v>
      </c>
      <c r="Y135">
        <f t="shared" si="15"/>
        <v>83126.10000000002</v>
      </c>
      <c r="Z135">
        <f t="shared" si="18"/>
        <v>6076.6999999999989</v>
      </c>
      <c r="AA135" s="30">
        <v>8.2070479601755135</v>
      </c>
    </row>
    <row r="136" spans="1:28" x14ac:dyDescent="0.25">
      <c r="A136">
        <v>5240</v>
      </c>
      <c r="B136">
        <v>23690</v>
      </c>
      <c r="C136" s="5">
        <v>42714</v>
      </c>
      <c r="E136" s="30">
        <v>13</v>
      </c>
      <c r="F136" s="57"/>
      <c r="G136">
        <v>3.8</v>
      </c>
      <c r="H136">
        <v>1</v>
      </c>
      <c r="I136">
        <v>5.0999999999999996</v>
      </c>
      <c r="J136">
        <f t="shared" si="13"/>
        <v>1290.9000000000001</v>
      </c>
      <c r="K136">
        <f t="shared" si="19"/>
        <v>35.599999999999994</v>
      </c>
      <c r="L136" s="17" t="s">
        <v>43</v>
      </c>
      <c r="M136">
        <v>0.2</v>
      </c>
      <c r="N136">
        <v>0.2</v>
      </c>
      <c r="O136">
        <f t="shared" si="10"/>
        <v>0</v>
      </c>
      <c r="P136">
        <f t="shared" si="14"/>
        <v>49.900000000000006</v>
      </c>
      <c r="Q136">
        <v>110</v>
      </c>
      <c r="R136">
        <v>1</v>
      </c>
      <c r="S136" s="9">
        <f t="shared" si="11"/>
        <v>0.2</v>
      </c>
      <c r="T136" s="9">
        <f t="shared" si="12"/>
        <v>0</v>
      </c>
      <c r="U136" s="9">
        <f t="shared" si="17"/>
        <v>71.630815217391344</v>
      </c>
      <c r="W136">
        <v>189.7</v>
      </c>
      <c r="Y136">
        <f t="shared" si="15"/>
        <v>83315.800000000017</v>
      </c>
      <c r="Z136">
        <f t="shared" si="18"/>
        <v>6266.3999999999987</v>
      </c>
      <c r="AA136" s="30">
        <v>8.1914132004305085</v>
      </c>
    </row>
    <row r="137" spans="1:28" x14ac:dyDescent="0.25">
      <c r="A137">
        <v>5240</v>
      </c>
      <c r="B137">
        <v>23690</v>
      </c>
      <c r="C137" s="5">
        <v>42715</v>
      </c>
      <c r="F137" s="57"/>
      <c r="G137">
        <v>5.3</v>
      </c>
      <c r="H137">
        <v>3.3</v>
      </c>
      <c r="I137">
        <v>7</v>
      </c>
      <c r="J137">
        <f t="shared" si="13"/>
        <v>1296.2</v>
      </c>
      <c r="K137">
        <f t="shared" si="19"/>
        <v>40.899999999999991</v>
      </c>
      <c r="L137" s="11">
        <v>32</v>
      </c>
      <c r="M137">
        <v>0.2</v>
      </c>
      <c r="N137">
        <v>0.2</v>
      </c>
      <c r="O137">
        <f t="shared" si="10"/>
        <v>0</v>
      </c>
      <c r="P137">
        <f t="shared" si="14"/>
        <v>49.900000000000006</v>
      </c>
      <c r="Q137">
        <v>111</v>
      </c>
      <c r="R137">
        <v>1</v>
      </c>
      <c r="S137" s="9">
        <f t="shared" si="11"/>
        <v>0.2</v>
      </c>
      <c r="T137" s="9">
        <f t="shared" si="12"/>
        <v>0</v>
      </c>
      <c r="U137" s="9">
        <f t="shared" si="17"/>
        <v>71.630815217391344</v>
      </c>
      <c r="W137">
        <v>198.3</v>
      </c>
      <c r="Y137">
        <f t="shared" si="15"/>
        <v>83514.10000000002</v>
      </c>
      <c r="Z137">
        <f t="shared" si="18"/>
        <v>6464.6999999999989</v>
      </c>
      <c r="AA137" s="30">
        <v>8.1771220620210858</v>
      </c>
    </row>
    <row r="138" spans="1:28" x14ac:dyDescent="0.25">
      <c r="A138">
        <v>5240</v>
      </c>
      <c r="B138">
        <v>23690</v>
      </c>
      <c r="C138" s="5">
        <v>42716</v>
      </c>
      <c r="E138" s="30">
        <v>14</v>
      </c>
      <c r="F138" s="57"/>
      <c r="G138">
        <v>4.3</v>
      </c>
      <c r="H138">
        <v>3.2</v>
      </c>
      <c r="I138">
        <v>5.4</v>
      </c>
      <c r="J138">
        <f t="shared" si="13"/>
        <v>1300.5</v>
      </c>
      <c r="K138">
        <f t="shared" si="19"/>
        <v>45.199999999999989</v>
      </c>
      <c r="M138">
        <v>2</v>
      </c>
      <c r="N138">
        <v>0.1</v>
      </c>
      <c r="O138">
        <f t="shared" si="10"/>
        <v>1.9</v>
      </c>
      <c r="P138">
        <f t="shared" si="14"/>
        <v>51.800000000000004</v>
      </c>
      <c r="Q138">
        <v>112</v>
      </c>
      <c r="R138">
        <v>1</v>
      </c>
      <c r="S138" s="9">
        <f t="shared" si="11"/>
        <v>0.1</v>
      </c>
      <c r="T138" s="9">
        <f t="shared" si="12"/>
        <v>1.9</v>
      </c>
      <c r="U138" s="9">
        <f t="shared" si="17"/>
        <v>73.53081521739135</v>
      </c>
      <c r="W138">
        <v>48.9</v>
      </c>
      <c r="Y138">
        <f t="shared" si="15"/>
        <v>83563.000000000015</v>
      </c>
      <c r="Z138">
        <f t="shared" si="18"/>
        <v>6513.5999999999985</v>
      </c>
      <c r="AA138" s="30">
        <v>8.1641871560925381</v>
      </c>
    </row>
    <row r="139" spans="1:28" x14ac:dyDescent="0.25">
      <c r="A139">
        <v>5240</v>
      </c>
      <c r="B139">
        <v>23690</v>
      </c>
      <c r="C139" s="5">
        <v>42717</v>
      </c>
      <c r="F139" s="57"/>
      <c r="G139">
        <v>6.1</v>
      </c>
      <c r="H139">
        <v>4.9000000000000004</v>
      </c>
      <c r="I139">
        <v>8.6</v>
      </c>
      <c r="J139">
        <f t="shared" si="13"/>
        <v>1306.5999999999999</v>
      </c>
      <c r="K139">
        <f t="shared" si="19"/>
        <v>51.29999999999999</v>
      </c>
      <c r="M139">
        <v>0</v>
      </c>
      <c r="N139">
        <v>0.2</v>
      </c>
      <c r="O139">
        <f t="shared" si="10"/>
        <v>-0.2</v>
      </c>
      <c r="P139">
        <f t="shared" si="14"/>
        <v>51.6</v>
      </c>
      <c r="Q139">
        <v>113</v>
      </c>
      <c r="R139">
        <v>1</v>
      </c>
      <c r="S139" s="9">
        <f t="shared" si="11"/>
        <v>0.2</v>
      </c>
      <c r="T139" s="9">
        <f t="shared" si="12"/>
        <v>-0.2</v>
      </c>
      <c r="U139" s="9">
        <f t="shared" si="17"/>
        <v>73.330815217391347</v>
      </c>
      <c r="W139">
        <v>142</v>
      </c>
      <c r="Y139">
        <f t="shared" si="15"/>
        <v>83705.000000000015</v>
      </c>
      <c r="Z139">
        <f t="shared" si="18"/>
        <v>6655.5999999999985</v>
      </c>
      <c r="AA139" s="30">
        <v>8.1526199901518428</v>
      </c>
    </row>
    <row r="140" spans="1:28" x14ac:dyDescent="0.25">
      <c r="A140">
        <v>5240</v>
      </c>
      <c r="B140">
        <v>23690</v>
      </c>
      <c r="C140" s="5">
        <v>42718</v>
      </c>
      <c r="E140" s="30">
        <v>15</v>
      </c>
      <c r="F140" s="57"/>
      <c r="G140">
        <v>3.1</v>
      </c>
      <c r="H140">
        <v>1</v>
      </c>
      <c r="I140">
        <v>6.8</v>
      </c>
      <c r="J140">
        <f t="shared" si="13"/>
        <v>1309.6999999999998</v>
      </c>
      <c r="K140">
        <f t="shared" si="19"/>
        <v>54.399999999999991</v>
      </c>
      <c r="M140">
        <v>0</v>
      </c>
      <c r="N140">
        <v>0.5</v>
      </c>
      <c r="O140">
        <f t="shared" si="10"/>
        <v>-0.5</v>
      </c>
      <c r="P140">
        <f t="shared" si="14"/>
        <v>51.1</v>
      </c>
      <c r="Q140">
        <v>114</v>
      </c>
      <c r="R140">
        <v>1</v>
      </c>
      <c r="S140" s="9">
        <f t="shared" si="11"/>
        <v>0.5</v>
      </c>
      <c r="T140" s="9">
        <f t="shared" si="12"/>
        <v>-0.5</v>
      </c>
      <c r="U140" s="9">
        <f t="shared" si="17"/>
        <v>72.830815217391347</v>
      </c>
      <c r="W140">
        <v>507.1</v>
      </c>
      <c r="Y140">
        <f t="shared" si="15"/>
        <v>84212.10000000002</v>
      </c>
      <c r="Z140">
        <f t="shared" si="18"/>
        <v>7162.6999999999989</v>
      </c>
      <c r="AA140" s="30">
        <v>8.1424309304596161</v>
      </c>
    </row>
    <row r="141" spans="1:28" x14ac:dyDescent="0.25">
      <c r="A141">
        <v>5240</v>
      </c>
      <c r="B141">
        <v>23690</v>
      </c>
      <c r="C141" s="5">
        <v>42719</v>
      </c>
      <c r="E141" s="30">
        <v>16</v>
      </c>
      <c r="F141" s="57"/>
      <c r="G141">
        <v>3.2</v>
      </c>
      <c r="H141">
        <v>-1</v>
      </c>
      <c r="I141">
        <v>5.6</v>
      </c>
      <c r="J141">
        <f t="shared" si="13"/>
        <v>1312.8999999999999</v>
      </c>
      <c r="K141">
        <f t="shared" si="19"/>
        <v>57.599999999999994</v>
      </c>
      <c r="M141">
        <v>0</v>
      </c>
      <c r="N141">
        <v>0.1</v>
      </c>
      <c r="O141">
        <f t="shared" si="10"/>
        <v>-0.1</v>
      </c>
      <c r="P141">
        <f t="shared" si="14"/>
        <v>51</v>
      </c>
      <c r="Q141">
        <v>115</v>
      </c>
      <c r="R141">
        <v>1</v>
      </c>
      <c r="S141" s="9">
        <f t="shared" si="11"/>
        <v>0.1</v>
      </c>
      <c r="T141" s="9">
        <f t="shared" si="12"/>
        <v>-0.1</v>
      </c>
      <c r="U141" s="9">
        <f t="shared" si="17"/>
        <v>72.730815217391353</v>
      </c>
      <c r="W141">
        <v>133.30000000000001</v>
      </c>
      <c r="Y141">
        <f t="shared" si="15"/>
        <v>84345.400000000023</v>
      </c>
      <c r="Z141">
        <f t="shared" si="18"/>
        <v>7295.9999999999991</v>
      </c>
      <c r="AA141" s="30">
        <v>8.1336291677564319</v>
      </c>
    </row>
    <row r="142" spans="1:28" x14ac:dyDescent="0.25">
      <c r="A142">
        <v>5240</v>
      </c>
      <c r="B142">
        <v>23690</v>
      </c>
      <c r="C142" s="5">
        <v>42720</v>
      </c>
      <c r="E142" s="30">
        <v>17</v>
      </c>
      <c r="F142" s="57"/>
      <c r="G142">
        <v>4.9000000000000004</v>
      </c>
      <c r="H142">
        <v>2.4</v>
      </c>
      <c r="I142">
        <v>7.5</v>
      </c>
      <c r="J142">
        <f t="shared" si="13"/>
        <v>1317.8</v>
      </c>
      <c r="K142">
        <f t="shared" si="19"/>
        <v>62.499999999999993</v>
      </c>
      <c r="M142">
        <v>0.1</v>
      </c>
      <c r="N142">
        <v>0.3</v>
      </c>
      <c r="O142">
        <f t="shared" si="10"/>
        <v>-0.19999999999999998</v>
      </c>
      <c r="P142">
        <f t="shared" si="14"/>
        <v>50.8</v>
      </c>
      <c r="Q142">
        <v>116</v>
      </c>
      <c r="R142">
        <v>1</v>
      </c>
      <c r="S142" s="9">
        <f t="shared" si="11"/>
        <v>0.3</v>
      </c>
      <c r="T142" s="9">
        <f t="shared" si="12"/>
        <v>-0.19999999999999998</v>
      </c>
      <c r="U142" s="9">
        <f t="shared" si="17"/>
        <v>72.53081521739135</v>
      </c>
      <c r="W142">
        <v>333.9</v>
      </c>
      <c r="Y142">
        <f t="shared" si="15"/>
        <v>84679.300000000017</v>
      </c>
      <c r="Z142">
        <f t="shared" si="18"/>
        <v>7629.8999999999987</v>
      </c>
      <c r="AA142" s="30">
        <v>8.1262226865619134</v>
      </c>
    </row>
    <row r="143" spans="1:28" x14ac:dyDescent="0.25">
      <c r="A143">
        <v>5240</v>
      </c>
      <c r="B143">
        <v>23690</v>
      </c>
      <c r="C143" s="5">
        <v>42721</v>
      </c>
      <c r="E143" s="30">
        <v>18</v>
      </c>
      <c r="F143" s="57"/>
      <c r="G143">
        <v>3.3</v>
      </c>
      <c r="H143">
        <v>-0.1</v>
      </c>
      <c r="I143">
        <v>7.3</v>
      </c>
      <c r="J143">
        <f t="shared" si="13"/>
        <v>1321.1</v>
      </c>
      <c r="K143">
        <f t="shared" si="19"/>
        <v>65.8</v>
      </c>
      <c r="M143">
        <v>0.3</v>
      </c>
      <c r="N143">
        <v>0.6</v>
      </c>
      <c r="O143">
        <f t="shared" si="10"/>
        <v>-0.3</v>
      </c>
      <c r="P143">
        <f t="shared" si="14"/>
        <v>50.5</v>
      </c>
      <c r="Q143">
        <v>117</v>
      </c>
      <c r="R143">
        <v>1</v>
      </c>
      <c r="S143" s="9">
        <f t="shared" si="11"/>
        <v>0.6</v>
      </c>
      <c r="T143" s="9">
        <f t="shared" si="12"/>
        <v>-0.3</v>
      </c>
      <c r="U143" s="9">
        <f t="shared" si="17"/>
        <v>72.230815217391353</v>
      </c>
      <c r="W143">
        <v>498.6</v>
      </c>
      <c r="Y143">
        <f t="shared" si="15"/>
        <v>85177.900000000023</v>
      </c>
      <c r="Z143">
        <f t="shared" si="18"/>
        <v>8128.4999999999991</v>
      </c>
      <c r="AA143" s="30">
        <v>8.1202182382635009</v>
      </c>
    </row>
    <row r="144" spans="1:28" x14ac:dyDescent="0.25">
      <c r="A144">
        <v>5240</v>
      </c>
      <c r="B144">
        <v>23690</v>
      </c>
      <c r="C144" s="5">
        <v>42722</v>
      </c>
      <c r="E144" s="30">
        <v>19</v>
      </c>
      <c r="F144" s="57"/>
      <c r="G144">
        <v>2.5</v>
      </c>
      <c r="H144">
        <v>2.1</v>
      </c>
      <c r="I144">
        <v>2.9</v>
      </c>
      <c r="J144">
        <f t="shared" si="13"/>
        <v>1323.6</v>
      </c>
      <c r="K144">
        <f t="shared" si="19"/>
        <v>68.3</v>
      </c>
      <c r="M144">
        <v>0.2</v>
      </c>
      <c r="N144">
        <v>0.1</v>
      </c>
      <c r="O144">
        <f t="shared" si="10"/>
        <v>0.1</v>
      </c>
      <c r="P144">
        <f t="shared" si="14"/>
        <v>50.6</v>
      </c>
      <c r="Q144">
        <v>118</v>
      </c>
      <c r="R144">
        <v>1</v>
      </c>
      <c r="S144" s="9">
        <f t="shared" si="11"/>
        <v>0.1</v>
      </c>
      <c r="T144" s="9">
        <f t="shared" si="12"/>
        <v>0.1</v>
      </c>
      <c r="U144" s="9">
        <f t="shared" si="17"/>
        <v>72.330815217391347</v>
      </c>
      <c r="W144">
        <v>173.4</v>
      </c>
      <c r="Y144">
        <f t="shared" si="15"/>
        <v>85351.300000000017</v>
      </c>
      <c r="Z144">
        <f t="shared" si="18"/>
        <v>8301.9</v>
      </c>
      <c r="AA144" s="30">
        <v>8.1156213181873671</v>
      </c>
    </row>
    <row r="145" spans="1:27" x14ac:dyDescent="0.25">
      <c r="A145">
        <v>5240</v>
      </c>
      <c r="B145">
        <v>23690</v>
      </c>
      <c r="C145" s="5">
        <v>42723</v>
      </c>
      <c r="E145" s="30">
        <v>20</v>
      </c>
      <c r="F145" s="57"/>
      <c r="G145">
        <v>3.2</v>
      </c>
      <c r="H145">
        <v>1.3</v>
      </c>
      <c r="I145">
        <v>4.2</v>
      </c>
      <c r="J145">
        <f t="shared" si="13"/>
        <v>1326.8</v>
      </c>
      <c r="K145">
        <f t="shared" si="19"/>
        <v>71.5</v>
      </c>
      <c r="M145">
        <v>0</v>
      </c>
      <c r="N145">
        <v>0</v>
      </c>
      <c r="O145">
        <f t="shared" si="10"/>
        <v>0</v>
      </c>
      <c r="P145">
        <f t="shared" si="14"/>
        <v>50.6</v>
      </c>
      <c r="Q145">
        <v>119</v>
      </c>
      <c r="R145">
        <v>1</v>
      </c>
      <c r="S145" s="9">
        <f t="shared" si="11"/>
        <v>0</v>
      </c>
      <c r="T145" s="9">
        <f t="shared" si="12"/>
        <v>0</v>
      </c>
      <c r="U145" s="9">
        <f t="shared" si="17"/>
        <v>72.330815217391347</v>
      </c>
      <c r="W145">
        <v>114.7</v>
      </c>
      <c r="Y145">
        <f t="shared" si="15"/>
        <v>85466.000000000015</v>
      </c>
      <c r="Z145">
        <f t="shared" si="18"/>
        <v>8416.6</v>
      </c>
      <c r="AA145" s="30">
        <v>8.112436146817398</v>
      </c>
    </row>
    <row r="146" spans="1:27" x14ac:dyDescent="0.25">
      <c r="A146">
        <v>5240</v>
      </c>
      <c r="B146">
        <v>23690</v>
      </c>
      <c r="C146" s="5">
        <v>42724</v>
      </c>
      <c r="E146" s="30">
        <v>21</v>
      </c>
      <c r="F146" s="57"/>
      <c r="G146">
        <v>2</v>
      </c>
      <c r="H146">
        <v>0.6</v>
      </c>
      <c r="I146">
        <v>3.7</v>
      </c>
      <c r="J146">
        <f t="shared" si="13"/>
        <v>1328.8</v>
      </c>
      <c r="K146">
        <f t="shared" si="19"/>
        <v>73.5</v>
      </c>
      <c r="M146">
        <v>0</v>
      </c>
      <c r="N146">
        <v>0.1</v>
      </c>
      <c r="O146">
        <f t="shared" si="10"/>
        <v>-0.1</v>
      </c>
      <c r="P146">
        <f t="shared" si="14"/>
        <v>50.5</v>
      </c>
      <c r="Q146">
        <v>120</v>
      </c>
      <c r="R146">
        <v>1</v>
      </c>
      <c r="S146" s="9">
        <f t="shared" si="11"/>
        <v>0.1</v>
      </c>
      <c r="T146" s="9">
        <f t="shared" si="12"/>
        <v>-0.1</v>
      </c>
      <c r="U146" s="9">
        <f t="shared" si="17"/>
        <v>72.230815217391353</v>
      </c>
      <c r="W146">
        <v>119.1</v>
      </c>
      <c r="Y146">
        <f t="shared" si="15"/>
        <v>85585.10000000002</v>
      </c>
      <c r="Z146">
        <f t="shared" si="18"/>
        <v>8535.7000000000007</v>
      </c>
      <c r="AA146" s="30">
        <v>8.1106656552992877</v>
      </c>
    </row>
    <row r="147" spans="1:27" x14ac:dyDescent="0.25">
      <c r="A147">
        <v>5240</v>
      </c>
      <c r="B147">
        <v>23690</v>
      </c>
      <c r="C147" s="5">
        <v>42725</v>
      </c>
      <c r="E147" s="30">
        <v>22</v>
      </c>
      <c r="F147" s="57"/>
      <c r="G147">
        <v>3.1</v>
      </c>
      <c r="H147">
        <v>-0.2</v>
      </c>
      <c r="I147">
        <v>6.8</v>
      </c>
      <c r="J147">
        <f t="shared" si="13"/>
        <v>1331.8999999999999</v>
      </c>
      <c r="K147">
        <f t="shared" si="19"/>
        <v>76.599999999999994</v>
      </c>
      <c r="M147">
        <v>14.1</v>
      </c>
      <c r="N147">
        <v>0.3</v>
      </c>
      <c r="O147">
        <f t="shared" si="10"/>
        <v>13.799999999999999</v>
      </c>
      <c r="P147">
        <f t="shared" si="14"/>
        <v>64.3</v>
      </c>
      <c r="Q147">
        <v>121</v>
      </c>
      <c r="R147">
        <v>1</v>
      </c>
      <c r="S147" s="9">
        <f t="shared" si="11"/>
        <v>0.3</v>
      </c>
      <c r="T147" s="9">
        <f t="shared" si="12"/>
        <v>13.799999999999999</v>
      </c>
      <c r="U147" s="9">
        <f t="shared" si="17"/>
        <v>86.03081521739135</v>
      </c>
      <c r="W147">
        <v>103.1</v>
      </c>
      <c r="Y147">
        <f t="shared" si="15"/>
        <v>85688.200000000026</v>
      </c>
      <c r="Z147">
        <f t="shared" si="18"/>
        <v>8638.8000000000011</v>
      </c>
      <c r="AA147" s="30">
        <v>8.1103114753363581</v>
      </c>
    </row>
    <row r="148" spans="1:27" x14ac:dyDescent="0.25">
      <c r="A148">
        <v>5240</v>
      </c>
      <c r="B148">
        <v>23690</v>
      </c>
      <c r="C148" s="5">
        <v>42726</v>
      </c>
      <c r="F148" s="57"/>
      <c r="G148">
        <v>6.5</v>
      </c>
      <c r="H148">
        <v>5.4</v>
      </c>
      <c r="I148">
        <v>8.8000000000000007</v>
      </c>
      <c r="J148">
        <f t="shared" si="13"/>
        <v>1338.3999999999999</v>
      </c>
      <c r="K148">
        <f t="shared" si="19"/>
        <v>83.1</v>
      </c>
      <c r="M148">
        <v>1</v>
      </c>
      <c r="N148">
        <v>0.2</v>
      </c>
      <c r="O148">
        <f t="shared" si="10"/>
        <v>0.8</v>
      </c>
      <c r="P148">
        <f t="shared" si="14"/>
        <v>65.099999999999994</v>
      </c>
      <c r="Q148">
        <v>122</v>
      </c>
      <c r="R148">
        <v>1</v>
      </c>
      <c r="S148" s="9">
        <f t="shared" si="11"/>
        <v>0.2</v>
      </c>
      <c r="T148" s="9">
        <f t="shared" si="12"/>
        <v>0.8</v>
      </c>
      <c r="U148" s="9">
        <f t="shared" si="17"/>
        <v>86.830815217391347</v>
      </c>
      <c r="W148">
        <v>109.8</v>
      </c>
      <c r="Y148">
        <f t="shared" si="15"/>
        <v>85798.000000000029</v>
      </c>
      <c r="Z148">
        <f t="shared" si="18"/>
        <v>8748.6</v>
      </c>
      <c r="AA148" s="30">
        <v>8.1113739335517074</v>
      </c>
    </row>
    <row r="149" spans="1:27" x14ac:dyDescent="0.25">
      <c r="A149">
        <v>5240</v>
      </c>
      <c r="B149">
        <v>23690</v>
      </c>
      <c r="C149" s="5">
        <v>42727</v>
      </c>
      <c r="E149" s="30">
        <v>23</v>
      </c>
      <c r="F149" s="57"/>
      <c r="G149">
        <v>3.7</v>
      </c>
      <c r="H149">
        <v>-0.4</v>
      </c>
      <c r="I149">
        <v>6.9</v>
      </c>
      <c r="J149">
        <f t="shared" si="13"/>
        <v>1342.1</v>
      </c>
      <c r="K149">
        <f t="shared" si="19"/>
        <v>86.8</v>
      </c>
      <c r="M149">
        <v>0.9</v>
      </c>
      <c r="N149">
        <v>0.1</v>
      </c>
      <c r="O149">
        <f t="shared" si="10"/>
        <v>0.8</v>
      </c>
      <c r="P149">
        <f t="shared" si="14"/>
        <v>65.899999999999991</v>
      </c>
      <c r="Q149">
        <v>123</v>
      </c>
      <c r="R149">
        <v>1</v>
      </c>
      <c r="S149" s="9">
        <f t="shared" si="11"/>
        <v>0.1</v>
      </c>
      <c r="T149" s="9">
        <f t="shared" si="12"/>
        <v>0.8</v>
      </c>
      <c r="U149" s="9">
        <f t="shared" si="17"/>
        <v>87.630815217391344</v>
      </c>
      <c r="W149">
        <v>86.5</v>
      </c>
      <c r="Y149">
        <f t="shared" si="15"/>
        <v>85884.500000000029</v>
      </c>
      <c r="Z149">
        <f t="shared" si="18"/>
        <v>8835.1</v>
      </c>
      <c r="AA149" s="30">
        <v>8.1138520503585703</v>
      </c>
    </row>
    <row r="150" spans="1:27" x14ac:dyDescent="0.25">
      <c r="A150">
        <v>5240</v>
      </c>
      <c r="B150">
        <v>23690</v>
      </c>
      <c r="C150" s="5">
        <v>42728</v>
      </c>
      <c r="F150" s="57"/>
      <c r="G150">
        <v>7.1</v>
      </c>
      <c r="H150">
        <v>5.6</v>
      </c>
      <c r="I150">
        <v>8.3000000000000007</v>
      </c>
      <c r="J150">
        <f t="shared" si="13"/>
        <v>1349.1999999999998</v>
      </c>
      <c r="K150">
        <f t="shared" si="19"/>
        <v>93.899999999999991</v>
      </c>
      <c r="M150">
        <v>0</v>
      </c>
      <c r="N150">
        <v>0.1</v>
      </c>
      <c r="O150">
        <f t="shared" si="10"/>
        <v>-0.1</v>
      </c>
      <c r="P150">
        <f t="shared" si="14"/>
        <v>65.8</v>
      </c>
      <c r="Q150">
        <v>124</v>
      </c>
      <c r="R150">
        <v>1</v>
      </c>
      <c r="S150" s="9">
        <f t="shared" si="11"/>
        <v>0.1</v>
      </c>
      <c r="T150" s="9">
        <f t="shared" si="12"/>
        <v>-0.1</v>
      </c>
      <c r="U150" s="9">
        <f t="shared" si="17"/>
        <v>87.53081521739135</v>
      </c>
      <c r="W150">
        <v>286.7</v>
      </c>
      <c r="Y150">
        <f t="shared" si="15"/>
        <v>86171.200000000026</v>
      </c>
      <c r="Z150">
        <f t="shared" si="18"/>
        <v>9121.8000000000011</v>
      </c>
      <c r="AA150" s="30">
        <v>8.1177435433471974</v>
      </c>
    </row>
    <row r="151" spans="1:27" x14ac:dyDescent="0.25">
      <c r="A151">
        <v>5240</v>
      </c>
      <c r="B151">
        <v>23690</v>
      </c>
      <c r="C151" s="5">
        <v>42729</v>
      </c>
      <c r="F151" s="57"/>
      <c r="G151">
        <v>8.6</v>
      </c>
      <c r="H151">
        <v>6.4</v>
      </c>
      <c r="I151">
        <v>9.9</v>
      </c>
      <c r="J151">
        <f t="shared" si="13"/>
        <v>1357.7999999999997</v>
      </c>
      <c r="K151">
        <f t="shared" si="19"/>
        <v>102.49999999999999</v>
      </c>
      <c r="M151">
        <v>0.1</v>
      </c>
      <c r="N151">
        <v>0.2</v>
      </c>
      <c r="O151">
        <f t="shared" si="10"/>
        <v>-0.1</v>
      </c>
      <c r="P151">
        <f t="shared" si="14"/>
        <v>65.7</v>
      </c>
      <c r="Q151">
        <v>125</v>
      </c>
      <c r="R151">
        <v>1</v>
      </c>
      <c r="S151" s="9">
        <f t="shared" si="11"/>
        <v>0.2</v>
      </c>
      <c r="T151" s="9">
        <f t="shared" si="12"/>
        <v>-0.1</v>
      </c>
      <c r="U151" s="9">
        <f t="shared" si="17"/>
        <v>87.430815217391356</v>
      </c>
      <c r="W151">
        <v>81.2</v>
      </c>
      <c r="Y151">
        <f t="shared" si="15"/>
        <v>86252.400000000023</v>
      </c>
      <c r="Z151">
        <f t="shared" si="18"/>
        <v>9203.0000000000018</v>
      </c>
      <c r="AA151" s="30">
        <v>8.1230448351631601</v>
      </c>
    </row>
    <row r="152" spans="1:27" x14ac:dyDescent="0.25">
      <c r="A152">
        <v>5240</v>
      </c>
      <c r="B152">
        <v>23690</v>
      </c>
      <c r="C152" s="5">
        <v>42730</v>
      </c>
      <c r="F152" s="57"/>
      <c r="G152">
        <v>7.5</v>
      </c>
      <c r="H152">
        <v>6.1</v>
      </c>
      <c r="I152">
        <v>9.6</v>
      </c>
      <c r="J152">
        <f t="shared" si="13"/>
        <v>1365.2999999999997</v>
      </c>
      <c r="K152">
        <f t="shared" si="19"/>
        <v>109.99999999999999</v>
      </c>
      <c r="M152">
        <v>0.1</v>
      </c>
      <c r="N152">
        <v>0.2</v>
      </c>
      <c r="O152">
        <f t="shared" si="10"/>
        <v>-0.1</v>
      </c>
      <c r="P152">
        <f t="shared" si="14"/>
        <v>65.600000000000009</v>
      </c>
      <c r="Q152">
        <v>126</v>
      </c>
      <c r="R152">
        <v>1</v>
      </c>
      <c r="S152" s="9">
        <f t="shared" si="11"/>
        <v>0.2</v>
      </c>
      <c r="T152" s="9">
        <f t="shared" si="12"/>
        <v>-0.1</v>
      </c>
      <c r="U152" s="9">
        <f t="shared" si="17"/>
        <v>87.330815217391361</v>
      </c>
      <c r="W152">
        <v>175.1</v>
      </c>
      <c r="Y152">
        <f t="shared" si="15"/>
        <v>86427.500000000029</v>
      </c>
      <c r="Z152">
        <f t="shared" si="18"/>
        <v>9378.1000000000022</v>
      </c>
      <c r="AA152" s="30">
        <v>8.1297510658187591</v>
      </c>
    </row>
    <row r="153" spans="1:27" x14ac:dyDescent="0.25">
      <c r="A153">
        <v>5240</v>
      </c>
      <c r="B153">
        <v>23690</v>
      </c>
      <c r="C153" s="5">
        <v>42731</v>
      </c>
      <c r="E153" s="30">
        <v>24</v>
      </c>
      <c r="F153" s="57"/>
      <c r="G153">
        <v>2.1</v>
      </c>
      <c r="H153">
        <v>-1.4</v>
      </c>
      <c r="I153">
        <v>5.8</v>
      </c>
      <c r="J153">
        <f t="shared" si="13"/>
        <v>1367.3999999999996</v>
      </c>
      <c r="K153">
        <f t="shared" si="19"/>
        <v>112.09999999999998</v>
      </c>
      <c r="M153">
        <v>0.1</v>
      </c>
      <c r="N153">
        <v>0.4</v>
      </c>
      <c r="O153">
        <f t="shared" si="10"/>
        <v>-0.30000000000000004</v>
      </c>
      <c r="P153">
        <f t="shared" si="14"/>
        <v>65.300000000000011</v>
      </c>
      <c r="Q153">
        <v>127</v>
      </c>
      <c r="R153">
        <v>1</v>
      </c>
      <c r="S153" s="9">
        <f t="shared" si="11"/>
        <v>0.4</v>
      </c>
      <c r="T153" s="9">
        <f t="shared" si="12"/>
        <v>-0.30000000000000004</v>
      </c>
      <c r="U153" s="9">
        <f t="shared" si="17"/>
        <v>87.030815217391364</v>
      </c>
      <c r="W153">
        <v>536.5</v>
      </c>
      <c r="Y153">
        <f t="shared" si="15"/>
        <v>86964.000000000029</v>
      </c>
      <c r="Z153">
        <f t="shared" si="18"/>
        <v>9914.6000000000022</v>
      </c>
      <c r="AA153" s="30">
        <v>8.1378561093467461</v>
      </c>
    </row>
    <row r="154" spans="1:27" x14ac:dyDescent="0.25">
      <c r="A154">
        <v>5240</v>
      </c>
      <c r="B154">
        <v>23690</v>
      </c>
      <c r="C154" s="5">
        <v>42732</v>
      </c>
      <c r="E154" s="30">
        <v>25</v>
      </c>
      <c r="F154" s="57"/>
      <c r="G154">
        <v>2.7</v>
      </c>
      <c r="H154">
        <v>0.6</v>
      </c>
      <c r="I154">
        <v>5.6</v>
      </c>
      <c r="J154">
        <f t="shared" si="13"/>
        <v>1370.0999999999997</v>
      </c>
      <c r="K154">
        <f t="shared" si="19"/>
        <v>114.79999999999998</v>
      </c>
      <c r="M154">
        <v>0.1</v>
      </c>
      <c r="N154">
        <v>0.5</v>
      </c>
      <c r="O154">
        <f t="shared" si="10"/>
        <v>-0.4</v>
      </c>
      <c r="P154">
        <f t="shared" si="14"/>
        <v>64.900000000000006</v>
      </c>
      <c r="Q154">
        <v>128</v>
      </c>
      <c r="R154">
        <v>1</v>
      </c>
      <c r="S154" s="9">
        <f t="shared" si="11"/>
        <v>0.5</v>
      </c>
      <c r="T154" s="9">
        <f t="shared" si="12"/>
        <v>-0.4</v>
      </c>
      <c r="U154" s="9">
        <f t="shared" si="17"/>
        <v>86.630815217391358</v>
      </c>
      <c r="W154">
        <v>516.20000000000005</v>
      </c>
      <c r="Y154">
        <f t="shared" si="15"/>
        <v>87480.200000000026</v>
      </c>
      <c r="Z154">
        <f t="shared" si="18"/>
        <v>10430.800000000003</v>
      </c>
      <c r="AA154" s="30">
        <v>8.1473525946743592</v>
      </c>
    </row>
    <row r="155" spans="1:27" x14ac:dyDescent="0.25">
      <c r="A155">
        <v>5240</v>
      </c>
      <c r="B155">
        <v>23690</v>
      </c>
      <c r="C155" s="5">
        <v>42733</v>
      </c>
      <c r="E155" s="30">
        <v>26</v>
      </c>
      <c r="F155" s="57"/>
      <c r="G155">
        <v>-1.3</v>
      </c>
      <c r="H155">
        <v>-1.6</v>
      </c>
      <c r="I155">
        <v>-1.4</v>
      </c>
      <c r="J155">
        <v>1370.1</v>
      </c>
      <c r="K155">
        <v>114.8</v>
      </c>
      <c r="M155">
        <v>0</v>
      </c>
      <c r="N155">
        <v>0.2</v>
      </c>
      <c r="O155">
        <f t="shared" si="10"/>
        <v>-0.2</v>
      </c>
      <c r="P155">
        <f t="shared" si="14"/>
        <v>64.7</v>
      </c>
      <c r="Q155">
        <v>129</v>
      </c>
      <c r="R155">
        <v>1</v>
      </c>
      <c r="S155" s="9">
        <f t="shared" si="11"/>
        <v>0.2</v>
      </c>
      <c r="T155" s="9">
        <f t="shared" si="12"/>
        <v>-0.2</v>
      </c>
      <c r="U155" s="9">
        <f t="shared" si="17"/>
        <v>86.430815217391356</v>
      </c>
      <c r="W155">
        <v>198.3</v>
      </c>
      <c r="Y155">
        <f t="shared" si="15"/>
        <v>87678.500000000029</v>
      </c>
      <c r="Z155">
        <f t="shared" si="18"/>
        <v>10629.100000000002</v>
      </c>
      <c r="AA155" s="30">
        <v>8.158231930565929</v>
      </c>
    </row>
    <row r="156" spans="1:27" x14ac:dyDescent="0.25">
      <c r="A156">
        <v>5240</v>
      </c>
      <c r="B156">
        <v>23690</v>
      </c>
      <c r="C156" s="5">
        <v>42734</v>
      </c>
      <c r="E156" s="30">
        <v>27</v>
      </c>
      <c r="F156" s="57"/>
      <c r="G156">
        <v>-3.4</v>
      </c>
      <c r="H156">
        <v>-3.6</v>
      </c>
      <c r="I156">
        <v>-3.1</v>
      </c>
      <c r="J156">
        <v>1370.1</v>
      </c>
      <c r="K156">
        <v>114.8</v>
      </c>
      <c r="M156">
        <v>0</v>
      </c>
      <c r="N156">
        <v>0.2</v>
      </c>
      <c r="O156">
        <f t="shared" ref="O156:O219" si="20">M156-N156</f>
        <v>-0.2</v>
      </c>
      <c r="P156">
        <f t="shared" si="14"/>
        <v>64.5</v>
      </c>
      <c r="Q156">
        <v>130</v>
      </c>
      <c r="R156">
        <v>1</v>
      </c>
      <c r="S156" s="9">
        <f t="shared" ref="S156:S219" si="21">R156*N156</f>
        <v>0.2</v>
      </c>
      <c r="T156" s="9">
        <f t="shared" ref="T156:T219" si="22">M156-S156</f>
        <v>-0.2</v>
      </c>
      <c r="U156" s="9">
        <f t="shared" si="17"/>
        <v>86.230815217391353</v>
      </c>
      <c r="W156">
        <v>276.10000000000002</v>
      </c>
      <c r="Y156">
        <f t="shared" si="15"/>
        <v>87954.600000000035</v>
      </c>
      <c r="Z156">
        <f t="shared" si="18"/>
        <v>10905.200000000003</v>
      </c>
      <c r="AA156" s="30">
        <v>8.170484334454601</v>
      </c>
    </row>
    <row r="157" spans="1:27" x14ac:dyDescent="0.25">
      <c r="A157">
        <v>5240</v>
      </c>
      <c r="B157">
        <v>23690</v>
      </c>
      <c r="C157" s="5">
        <v>42735</v>
      </c>
      <c r="E157" s="30">
        <v>28</v>
      </c>
      <c r="F157" s="57"/>
      <c r="G157">
        <v>-4.0999999999999996</v>
      </c>
      <c r="H157">
        <v>-4.5</v>
      </c>
      <c r="I157">
        <v>-3.6</v>
      </c>
      <c r="J157">
        <v>1370.1</v>
      </c>
      <c r="K157">
        <v>114.8</v>
      </c>
      <c r="M157">
        <v>0</v>
      </c>
      <c r="N157">
        <v>0.1</v>
      </c>
      <c r="O157">
        <f t="shared" si="20"/>
        <v>-0.1</v>
      </c>
      <c r="P157">
        <f t="shared" ref="P157:P220" si="23">P156+O157</f>
        <v>64.400000000000006</v>
      </c>
      <c r="Q157">
        <v>131</v>
      </c>
      <c r="R157">
        <v>1</v>
      </c>
      <c r="S157" s="9">
        <f t="shared" si="21"/>
        <v>0.1</v>
      </c>
      <c r="T157" s="9">
        <f t="shared" si="22"/>
        <v>-0.1</v>
      </c>
      <c r="U157" s="9">
        <f t="shared" si="17"/>
        <v>86.130815217391358</v>
      </c>
      <c r="W157">
        <v>184.7</v>
      </c>
      <c r="Y157">
        <f t="shared" ref="Y157:Y220" si="24">Y156+W157</f>
        <v>88139.300000000032</v>
      </c>
      <c r="Z157">
        <f t="shared" si="18"/>
        <v>11089.900000000003</v>
      </c>
      <c r="AA157" s="30">
        <v>8.1840988649581483</v>
      </c>
    </row>
    <row r="158" spans="1:27" x14ac:dyDescent="0.25">
      <c r="A158">
        <v>5240</v>
      </c>
      <c r="B158">
        <v>23690</v>
      </c>
      <c r="C158" s="5">
        <v>42736</v>
      </c>
      <c r="E158" s="30">
        <v>29</v>
      </c>
      <c r="F158" s="57"/>
      <c r="G158">
        <v>-2.6</v>
      </c>
      <c r="H158">
        <v>-4.9000000000000004</v>
      </c>
      <c r="I158">
        <v>-0.1</v>
      </c>
      <c r="J158">
        <v>1370.1</v>
      </c>
      <c r="K158">
        <v>114.8</v>
      </c>
      <c r="M158">
        <v>0.4</v>
      </c>
      <c r="N158">
        <v>0.1</v>
      </c>
      <c r="O158">
        <f t="shared" si="20"/>
        <v>0.30000000000000004</v>
      </c>
      <c r="P158">
        <f t="shared" si="23"/>
        <v>64.7</v>
      </c>
      <c r="Q158">
        <v>132</v>
      </c>
      <c r="R158">
        <v>1</v>
      </c>
      <c r="S158" s="9">
        <f t="shared" si="21"/>
        <v>0.1</v>
      </c>
      <c r="T158" s="9">
        <f t="shared" si="22"/>
        <v>0.30000000000000004</v>
      </c>
      <c r="U158" s="9">
        <f t="shared" si="17"/>
        <v>86.430815217391356</v>
      </c>
      <c r="W158">
        <v>125.8</v>
      </c>
      <c r="Y158">
        <f t="shared" si="24"/>
        <v>88265.100000000035</v>
      </c>
      <c r="Z158">
        <f t="shared" si="18"/>
        <v>11215.700000000003</v>
      </c>
      <c r="AA158" s="30">
        <v>8.1990634578508867</v>
      </c>
    </row>
    <row r="159" spans="1:27" x14ac:dyDescent="0.25">
      <c r="A159">
        <v>5240</v>
      </c>
      <c r="B159">
        <v>23690</v>
      </c>
      <c r="C159" s="5">
        <v>42737</v>
      </c>
      <c r="E159" s="30">
        <v>30</v>
      </c>
      <c r="F159" s="57"/>
      <c r="G159">
        <v>0.6</v>
      </c>
      <c r="H159">
        <v>-1</v>
      </c>
      <c r="I159">
        <v>1.2</v>
      </c>
      <c r="J159">
        <f t="shared" ref="J159:J220" si="25">J158+G159</f>
        <v>1370.6999999999998</v>
      </c>
      <c r="K159">
        <f t="shared" si="19"/>
        <v>115.39999999999999</v>
      </c>
      <c r="M159">
        <v>0.5</v>
      </c>
      <c r="N159">
        <v>0.1</v>
      </c>
      <c r="O159">
        <f t="shared" si="20"/>
        <v>0.4</v>
      </c>
      <c r="P159">
        <f t="shared" si="23"/>
        <v>65.100000000000009</v>
      </c>
      <c r="Q159">
        <v>133</v>
      </c>
      <c r="R159">
        <v>1</v>
      </c>
      <c r="S159" s="9">
        <f t="shared" si="21"/>
        <v>0.1</v>
      </c>
      <c r="T159" s="9">
        <f t="shared" si="22"/>
        <v>0.4</v>
      </c>
      <c r="U159" s="9">
        <f t="shared" si="17"/>
        <v>86.830815217391361</v>
      </c>
      <c r="W159">
        <v>99.2</v>
      </c>
      <c r="Y159">
        <f t="shared" si="24"/>
        <v>88364.300000000032</v>
      </c>
      <c r="Z159">
        <f t="shared" si="18"/>
        <v>11314.900000000003</v>
      </c>
      <c r="AA159" s="30">
        <v>8.2153649652434488</v>
      </c>
    </row>
    <row r="160" spans="1:27" x14ac:dyDescent="0.25">
      <c r="A160">
        <v>5240</v>
      </c>
      <c r="B160">
        <v>23690</v>
      </c>
      <c r="C160" s="5">
        <v>42738</v>
      </c>
      <c r="E160" s="30">
        <v>31</v>
      </c>
      <c r="F160" s="57"/>
      <c r="G160">
        <v>-0.7</v>
      </c>
      <c r="H160">
        <v>-0.9</v>
      </c>
      <c r="I160">
        <v>-0.5</v>
      </c>
      <c r="J160">
        <v>1370.7</v>
      </c>
      <c r="K160">
        <v>115.4</v>
      </c>
      <c r="M160">
        <v>0</v>
      </c>
      <c r="N160">
        <v>0.2</v>
      </c>
      <c r="O160">
        <f t="shared" si="20"/>
        <v>-0.2</v>
      </c>
      <c r="P160">
        <f t="shared" si="23"/>
        <v>64.900000000000006</v>
      </c>
      <c r="Q160">
        <v>134</v>
      </c>
      <c r="R160">
        <v>1</v>
      </c>
      <c r="S160" s="9">
        <f t="shared" si="21"/>
        <v>0.2</v>
      </c>
      <c r="T160" s="9">
        <f t="shared" si="22"/>
        <v>-0.2</v>
      </c>
      <c r="U160" s="9">
        <f t="shared" si="17"/>
        <v>86.630815217391358</v>
      </c>
      <c r="W160">
        <v>271.3</v>
      </c>
      <c r="Y160">
        <f t="shared" si="24"/>
        <v>88635.600000000035</v>
      </c>
      <c r="Z160">
        <f t="shared" si="18"/>
        <v>11586.200000000003</v>
      </c>
      <c r="AA160" s="30">
        <v>8.2329891977048906</v>
      </c>
    </row>
    <row r="161" spans="1:27" x14ac:dyDescent="0.25">
      <c r="A161">
        <v>5240</v>
      </c>
      <c r="B161">
        <v>23690</v>
      </c>
      <c r="C161" s="5">
        <v>42739</v>
      </c>
      <c r="E161" s="30">
        <v>32</v>
      </c>
      <c r="F161" s="57"/>
      <c r="G161">
        <v>0.8</v>
      </c>
      <c r="H161">
        <v>-1.5</v>
      </c>
      <c r="I161">
        <v>2.7</v>
      </c>
      <c r="J161">
        <f t="shared" si="25"/>
        <v>1371.5</v>
      </c>
      <c r="K161">
        <f t="shared" si="19"/>
        <v>116.2</v>
      </c>
      <c r="M161">
        <v>0.3</v>
      </c>
      <c r="N161">
        <v>0.1</v>
      </c>
      <c r="O161">
        <f t="shared" si="20"/>
        <v>0.19999999999999998</v>
      </c>
      <c r="P161">
        <f t="shared" si="23"/>
        <v>65.100000000000009</v>
      </c>
      <c r="Q161">
        <v>135</v>
      </c>
      <c r="R161">
        <v>1</v>
      </c>
      <c r="S161" s="9">
        <f t="shared" si="21"/>
        <v>0.1</v>
      </c>
      <c r="T161" s="9">
        <f t="shared" si="22"/>
        <v>0.19999999999999998</v>
      </c>
      <c r="U161" s="9">
        <f t="shared" si="17"/>
        <v>86.830815217391361</v>
      </c>
      <c r="W161">
        <v>96.1</v>
      </c>
      <c r="Y161">
        <f t="shared" si="24"/>
        <v>88731.700000000041</v>
      </c>
      <c r="Z161">
        <f t="shared" si="18"/>
        <v>11682.300000000003</v>
      </c>
      <c r="AA161" s="30">
        <v>8.2519209690473367</v>
      </c>
    </row>
    <row r="162" spans="1:27" x14ac:dyDescent="0.25">
      <c r="A162">
        <v>5240</v>
      </c>
      <c r="B162">
        <v>23690</v>
      </c>
      <c r="C162" s="5">
        <v>42740</v>
      </c>
      <c r="E162" s="30">
        <v>33</v>
      </c>
      <c r="F162" s="57"/>
      <c r="G162">
        <v>0.8</v>
      </c>
      <c r="H162">
        <v>-1.4</v>
      </c>
      <c r="I162">
        <v>4.0999999999999996</v>
      </c>
      <c r="J162">
        <f t="shared" si="25"/>
        <v>1372.3</v>
      </c>
      <c r="K162">
        <f t="shared" si="19"/>
        <v>117</v>
      </c>
      <c r="M162">
        <v>0.1</v>
      </c>
      <c r="N162">
        <v>0.4</v>
      </c>
      <c r="O162">
        <f t="shared" si="20"/>
        <v>-0.30000000000000004</v>
      </c>
      <c r="P162">
        <f t="shared" si="23"/>
        <v>64.800000000000011</v>
      </c>
      <c r="Q162">
        <v>136</v>
      </c>
      <c r="R162">
        <v>1</v>
      </c>
      <c r="S162" s="9">
        <f t="shared" si="21"/>
        <v>0.4</v>
      </c>
      <c r="T162" s="9">
        <f t="shared" si="22"/>
        <v>-0.30000000000000004</v>
      </c>
      <c r="U162" s="9">
        <f t="shared" si="17"/>
        <v>86.530815217391364</v>
      </c>
      <c r="W162">
        <v>493.9</v>
      </c>
      <c r="Y162">
        <f t="shared" si="24"/>
        <v>89225.600000000035</v>
      </c>
      <c r="Z162">
        <f t="shared" si="18"/>
        <v>12176.200000000003</v>
      </c>
      <c r="AA162" s="30">
        <v>8.2721441434822545</v>
      </c>
    </row>
    <row r="163" spans="1:27" x14ac:dyDescent="0.25">
      <c r="A163">
        <v>5240</v>
      </c>
      <c r="B163">
        <v>23690</v>
      </c>
      <c r="C163" s="5">
        <v>42741</v>
      </c>
      <c r="E163" s="30">
        <v>34</v>
      </c>
      <c r="F163" s="57"/>
      <c r="G163">
        <v>-2.2999999999999998</v>
      </c>
      <c r="H163">
        <v>-3.7</v>
      </c>
      <c r="I163">
        <v>0.7</v>
      </c>
      <c r="J163">
        <v>1372.3</v>
      </c>
      <c r="K163">
        <v>117</v>
      </c>
      <c r="M163">
        <v>0</v>
      </c>
      <c r="N163">
        <v>0.3</v>
      </c>
      <c r="O163">
        <f t="shared" si="20"/>
        <v>-0.3</v>
      </c>
      <c r="P163">
        <f t="shared" si="23"/>
        <v>64.500000000000014</v>
      </c>
      <c r="Q163">
        <v>137</v>
      </c>
      <c r="R163">
        <v>1</v>
      </c>
      <c r="S163" s="9">
        <f t="shared" si="21"/>
        <v>0.3</v>
      </c>
      <c r="T163" s="9">
        <f t="shared" si="22"/>
        <v>-0.3</v>
      </c>
      <c r="U163" s="9">
        <f t="shared" si="17"/>
        <v>86.230815217391367</v>
      </c>
      <c r="W163">
        <v>520.5</v>
      </c>
      <c r="Y163">
        <f t="shared" si="24"/>
        <v>89746.100000000035</v>
      </c>
      <c r="Z163">
        <f t="shared" si="18"/>
        <v>12696.700000000003</v>
      </c>
      <c r="AA163" s="30">
        <v>8.2936416848494954</v>
      </c>
    </row>
    <row r="164" spans="1:27" x14ac:dyDescent="0.25">
      <c r="A164">
        <v>5240</v>
      </c>
      <c r="B164">
        <v>23690</v>
      </c>
      <c r="C164" s="5">
        <v>42742</v>
      </c>
      <c r="E164" s="30">
        <v>35</v>
      </c>
      <c r="F164" s="57"/>
      <c r="G164">
        <v>-1.2</v>
      </c>
      <c r="H164">
        <v>-5.2</v>
      </c>
      <c r="I164">
        <v>2.2000000000000002</v>
      </c>
      <c r="J164">
        <v>1372.3</v>
      </c>
      <c r="K164">
        <v>117</v>
      </c>
      <c r="M164">
        <v>1.2</v>
      </c>
      <c r="N164">
        <v>0.2</v>
      </c>
      <c r="O164">
        <f t="shared" si="20"/>
        <v>1</v>
      </c>
      <c r="P164">
        <f t="shared" si="23"/>
        <v>65.500000000000014</v>
      </c>
      <c r="Q164">
        <v>138</v>
      </c>
      <c r="R164">
        <v>1</v>
      </c>
      <c r="S164" s="9">
        <f t="shared" si="21"/>
        <v>0.2</v>
      </c>
      <c r="T164" s="9">
        <f t="shared" si="22"/>
        <v>1</v>
      </c>
      <c r="U164" s="9">
        <f t="shared" si="17"/>
        <v>87.230815217391367</v>
      </c>
      <c r="W164">
        <v>97.1</v>
      </c>
      <c r="Y164">
        <f t="shared" si="24"/>
        <v>89843.200000000041</v>
      </c>
      <c r="Z164">
        <f t="shared" si="18"/>
        <v>12793.800000000003</v>
      </c>
      <c r="AA164" s="30">
        <v>8.3163957076153672</v>
      </c>
    </row>
    <row r="165" spans="1:27" x14ac:dyDescent="0.25">
      <c r="A165">
        <v>5240</v>
      </c>
      <c r="B165">
        <v>23690</v>
      </c>
      <c r="C165" s="5">
        <v>42743</v>
      </c>
      <c r="E165" s="30">
        <v>36</v>
      </c>
      <c r="F165" s="57"/>
      <c r="G165">
        <v>4.2</v>
      </c>
      <c r="H165">
        <v>0.5</v>
      </c>
      <c r="I165">
        <v>6</v>
      </c>
      <c r="J165">
        <f t="shared" si="25"/>
        <v>1376.5</v>
      </c>
      <c r="K165">
        <f t="shared" si="19"/>
        <v>121.2</v>
      </c>
      <c r="M165">
        <v>0.8</v>
      </c>
      <c r="N165">
        <v>0.1</v>
      </c>
      <c r="O165">
        <f t="shared" si="20"/>
        <v>0.70000000000000007</v>
      </c>
      <c r="P165">
        <f t="shared" si="23"/>
        <v>66.200000000000017</v>
      </c>
      <c r="Q165">
        <v>139</v>
      </c>
      <c r="R165">
        <v>1</v>
      </c>
      <c r="S165" s="9">
        <f t="shared" si="21"/>
        <v>0.1</v>
      </c>
      <c r="T165" s="9">
        <f t="shared" si="22"/>
        <v>0.70000000000000007</v>
      </c>
      <c r="U165" s="9">
        <f t="shared" si="17"/>
        <v>87.93081521739137</v>
      </c>
      <c r="W165">
        <v>111.8</v>
      </c>
      <c r="Y165">
        <f t="shared" si="24"/>
        <v>89955.000000000044</v>
      </c>
      <c r="Z165">
        <f t="shared" si="18"/>
        <v>12905.600000000002</v>
      </c>
      <c r="AA165" s="30">
        <v>8.3403875293342278</v>
      </c>
    </row>
    <row r="166" spans="1:27" x14ac:dyDescent="0.25">
      <c r="A166">
        <v>5240</v>
      </c>
      <c r="B166">
        <v>23690</v>
      </c>
      <c r="C166" s="5">
        <v>42744</v>
      </c>
      <c r="F166" s="57"/>
      <c r="G166">
        <v>6.2</v>
      </c>
      <c r="H166">
        <v>4.8</v>
      </c>
      <c r="I166">
        <v>7.2</v>
      </c>
      <c r="J166">
        <f t="shared" si="25"/>
        <v>1382.7</v>
      </c>
      <c r="K166">
        <f t="shared" si="19"/>
        <v>127.4</v>
      </c>
      <c r="M166">
        <v>5.6</v>
      </c>
      <c r="N166">
        <v>0.2</v>
      </c>
      <c r="O166">
        <f t="shared" si="20"/>
        <v>5.3999999999999995</v>
      </c>
      <c r="P166">
        <f t="shared" si="23"/>
        <v>71.600000000000023</v>
      </c>
      <c r="Q166">
        <v>140</v>
      </c>
      <c r="R166">
        <v>1</v>
      </c>
      <c r="S166" s="9">
        <f t="shared" si="21"/>
        <v>0.2</v>
      </c>
      <c r="T166" s="9">
        <f t="shared" si="22"/>
        <v>5.3999999999999995</v>
      </c>
      <c r="U166" s="9">
        <f t="shared" si="17"/>
        <v>93.330815217391375</v>
      </c>
      <c r="W166">
        <v>130</v>
      </c>
      <c r="Y166">
        <f t="shared" si="24"/>
        <v>90085.000000000044</v>
      </c>
      <c r="Z166">
        <f t="shared" si="18"/>
        <v>13035.600000000002</v>
      </c>
      <c r="AA166" s="30">
        <v>8.3655977242691186</v>
      </c>
    </row>
    <row r="167" spans="1:27" x14ac:dyDescent="0.25">
      <c r="A167">
        <v>5240</v>
      </c>
      <c r="B167">
        <v>23690</v>
      </c>
      <c r="C167" s="5">
        <v>42745</v>
      </c>
      <c r="F167" s="57"/>
      <c r="G167">
        <v>5.0999999999999996</v>
      </c>
      <c r="H167">
        <v>3.5</v>
      </c>
      <c r="I167">
        <v>7</v>
      </c>
      <c r="J167">
        <f t="shared" si="25"/>
        <v>1387.8</v>
      </c>
      <c r="K167">
        <f t="shared" si="19"/>
        <v>132.5</v>
      </c>
      <c r="M167">
        <v>0.8</v>
      </c>
      <c r="N167">
        <v>0.2</v>
      </c>
      <c r="O167">
        <f t="shared" si="20"/>
        <v>0.60000000000000009</v>
      </c>
      <c r="P167">
        <f t="shared" si="23"/>
        <v>72.200000000000017</v>
      </c>
      <c r="Q167">
        <v>141</v>
      </c>
      <c r="R167">
        <v>1</v>
      </c>
      <c r="S167" s="9">
        <f t="shared" si="21"/>
        <v>0.2</v>
      </c>
      <c r="T167" s="9">
        <f t="shared" si="22"/>
        <v>0.60000000000000009</v>
      </c>
      <c r="U167" s="9">
        <f t="shared" si="17"/>
        <v>93.93081521739137</v>
      </c>
      <c r="W167">
        <v>169.8</v>
      </c>
      <c r="Y167">
        <f t="shared" si="24"/>
        <v>90254.800000000047</v>
      </c>
      <c r="Z167">
        <f t="shared" si="18"/>
        <v>13205.400000000001</v>
      </c>
      <c r="AA167" s="30">
        <v>8.3920061778709076</v>
      </c>
    </row>
    <row r="168" spans="1:27" x14ac:dyDescent="0.25">
      <c r="A168">
        <v>5240</v>
      </c>
      <c r="B168">
        <v>23690</v>
      </c>
      <c r="C168" s="5">
        <v>42746</v>
      </c>
      <c r="F168" s="57"/>
      <c r="G168">
        <v>7.1</v>
      </c>
      <c r="H168">
        <v>3</v>
      </c>
      <c r="I168">
        <v>9.4</v>
      </c>
      <c r="J168">
        <f t="shared" si="25"/>
        <v>1394.8999999999999</v>
      </c>
      <c r="K168">
        <f t="shared" si="19"/>
        <v>139.6</v>
      </c>
      <c r="M168">
        <v>0.5</v>
      </c>
      <c r="N168">
        <v>0</v>
      </c>
      <c r="O168">
        <f t="shared" si="20"/>
        <v>0.5</v>
      </c>
      <c r="P168">
        <f t="shared" si="23"/>
        <v>72.700000000000017</v>
      </c>
      <c r="Q168">
        <v>142</v>
      </c>
      <c r="R168">
        <v>1</v>
      </c>
      <c r="S168" s="9">
        <f t="shared" si="21"/>
        <v>0</v>
      </c>
      <c r="T168" s="9">
        <f t="shared" si="22"/>
        <v>0.5</v>
      </c>
      <c r="U168" s="9">
        <f t="shared" ref="U168:U231" si="26">MIN(U167+T168,218.9)</f>
        <v>94.43081521739137</v>
      </c>
      <c r="W168">
        <v>88.1</v>
      </c>
      <c r="Y168">
        <f t="shared" si="24"/>
        <v>90342.900000000052</v>
      </c>
      <c r="Z168">
        <f t="shared" si="18"/>
        <v>13293.500000000002</v>
      </c>
      <c r="AA168" s="30">
        <v>8.4195921418217488</v>
      </c>
    </row>
    <row r="169" spans="1:27" x14ac:dyDescent="0.25">
      <c r="A169">
        <v>5240</v>
      </c>
      <c r="B169">
        <v>23690</v>
      </c>
      <c r="C169" s="5">
        <v>42747</v>
      </c>
      <c r="F169" s="57"/>
      <c r="G169">
        <v>6.2</v>
      </c>
      <c r="H169">
        <v>5.4</v>
      </c>
      <c r="I169">
        <v>8.5</v>
      </c>
      <c r="J169">
        <f t="shared" si="25"/>
        <v>1401.1</v>
      </c>
      <c r="K169">
        <f t="shared" si="19"/>
        <v>145.79999999999998</v>
      </c>
      <c r="M169">
        <v>6.4</v>
      </c>
      <c r="N169">
        <v>0.6</v>
      </c>
      <c r="O169">
        <f t="shared" si="20"/>
        <v>5.8000000000000007</v>
      </c>
      <c r="P169">
        <f t="shared" si="23"/>
        <v>78.500000000000014</v>
      </c>
      <c r="Q169">
        <v>143</v>
      </c>
      <c r="R169">
        <v>1</v>
      </c>
      <c r="S169" s="9">
        <f t="shared" si="21"/>
        <v>0.6</v>
      </c>
      <c r="T169" s="9">
        <f t="shared" si="22"/>
        <v>5.8000000000000007</v>
      </c>
      <c r="U169" s="9">
        <f t="shared" si="26"/>
        <v>100.23081521739137</v>
      </c>
      <c r="W169">
        <v>81.8</v>
      </c>
      <c r="Y169">
        <f t="shared" si="24"/>
        <v>90424.700000000055</v>
      </c>
      <c r="Z169">
        <f t="shared" si="18"/>
        <v>13375.300000000001</v>
      </c>
      <c r="AA169" s="30">
        <v>8.4483342893574953</v>
      </c>
    </row>
    <row r="170" spans="1:27" x14ac:dyDescent="0.25">
      <c r="A170">
        <v>5240</v>
      </c>
      <c r="B170">
        <v>23690</v>
      </c>
      <c r="C170" s="5">
        <v>42748</v>
      </c>
      <c r="E170" s="30">
        <v>37</v>
      </c>
      <c r="F170" s="57"/>
      <c r="G170">
        <v>2.8</v>
      </c>
      <c r="H170">
        <v>1</v>
      </c>
      <c r="I170">
        <v>4.3</v>
      </c>
      <c r="J170">
        <f t="shared" si="25"/>
        <v>1403.8999999999999</v>
      </c>
      <c r="K170">
        <f t="shared" si="19"/>
        <v>148.6</v>
      </c>
      <c r="M170">
        <v>1.3</v>
      </c>
      <c r="N170">
        <v>0.4</v>
      </c>
      <c r="O170">
        <f t="shared" si="20"/>
        <v>0.9</v>
      </c>
      <c r="P170">
        <f t="shared" si="23"/>
        <v>79.40000000000002</v>
      </c>
      <c r="Q170">
        <v>144</v>
      </c>
      <c r="R170">
        <v>1</v>
      </c>
      <c r="S170" s="9">
        <f t="shared" si="21"/>
        <v>0.4</v>
      </c>
      <c r="T170" s="9">
        <f t="shared" si="22"/>
        <v>0.9</v>
      </c>
      <c r="U170" s="9">
        <f t="shared" si="26"/>
        <v>101.13081521739137</v>
      </c>
      <c r="W170">
        <v>480</v>
      </c>
      <c r="Y170">
        <f t="shared" si="24"/>
        <v>90904.700000000055</v>
      </c>
      <c r="Z170">
        <f t="shared" si="18"/>
        <v>13855.300000000001</v>
      </c>
      <c r="AA170" s="30">
        <v>8.4782107705944991</v>
      </c>
    </row>
    <row r="171" spans="1:27" x14ac:dyDescent="0.25">
      <c r="A171">
        <v>5240</v>
      </c>
      <c r="B171">
        <v>23690</v>
      </c>
      <c r="C171" s="5">
        <v>42749</v>
      </c>
      <c r="E171" s="30">
        <v>38</v>
      </c>
      <c r="F171" s="57"/>
      <c r="G171">
        <v>1.7</v>
      </c>
      <c r="H171">
        <v>0.5</v>
      </c>
      <c r="I171">
        <v>3</v>
      </c>
      <c r="J171">
        <f t="shared" si="25"/>
        <v>1405.6</v>
      </c>
      <c r="K171">
        <f t="shared" si="19"/>
        <v>150.29999999999998</v>
      </c>
      <c r="M171">
        <v>1.7</v>
      </c>
      <c r="N171">
        <v>0.3</v>
      </c>
      <c r="O171">
        <f t="shared" si="20"/>
        <v>1.4</v>
      </c>
      <c r="P171">
        <f t="shared" si="23"/>
        <v>80.800000000000026</v>
      </c>
      <c r="Q171">
        <v>145</v>
      </c>
      <c r="R171">
        <v>1</v>
      </c>
      <c r="S171" s="9">
        <f t="shared" si="21"/>
        <v>0.3</v>
      </c>
      <c r="T171" s="9">
        <f t="shared" si="22"/>
        <v>1.4</v>
      </c>
      <c r="U171" s="9">
        <f t="shared" si="26"/>
        <v>102.53081521739138</v>
      </c>
      <c r="W171">
        <v>379.5</v>
      </c>
      <c r="Y171">
        <f t="shared" si="24"/>
        <v>91284.200000000055</v>
      </c>
      <c r="Z171">
        <f t="shared" si="18"/>
        <v>14234.800000000001</v>
      </c>
      <c r="AA171" s="30">
        <v>8.5091992675990245</v>
      </c>
    </row>
    <row r="172" spans="1:27" x14ac:dyDescent="0.25">
      <c r="A172">
        <v>5240</v>
      </c>
      <c r="B172">
        <v>23690</v>
      </c>
      <c r="C172" s="5">
        <v>42750</v>
      </c>
      <c r="E172" s="30">
        <v>39</v>
      </c>
      <c r="F172" s="57"/>
      <c r="G172">
        <v>1.6</v>
      </c>
      <c r="H172">
        <v>-0.2</v>
      </c>
      <c r="I172">
        <v>3.1</v>
      </c>
      <c r="J172">
        <f t="shared" si="25"/>
        <v>1407.1999999999998</v>
      </c>
      <c r="K172">
        <f t="shared" si="19"/>
        <v>151.89999999999998</v>
      </c>
      <c r="M172">
        <v>4.0999999999999996</v>
      </c>
      <c r="N172">
        <v>0.1</v>
      </c>
      <c r="O172">
        <f t="shared" si="20"/>
        <v>3.9999999999999996</v>
      </c>
      <c r="P172">
        <f t="shared" si="23"/>
        <v>84.800000000000026</v>
      </c>
      <c r="Q172">
        <v>146</v>
      </c>
      <c r="R172">
        <v>1</v>
      </c>
      <c r="S172" s="9">
        <f t="shared" si="21"/>
        <v>0.1</v>
      </c>
      <c r="T172" s="9">
        <f t="shared" si="22"/>
        <v>3.9999999999999996</v>
      </c>
      <c r="U172" s="9">
        <f t="shared" si="26"/>
        <v>106.53081521739138</v>
      </c>
      <c r="W172">
        <v>81.3</v>
      </c>
      <c r="Y172">
        <f t="shared" si="24"/>
        <v>91365.500000000058</v>
      </c>
      <c r="Z172">
        <f t="shared" si="18"/>
        <v>14316.1</v>
      </c>
      <c r="AA172" s="30">
        <v>8.5412770489516987</v>
      </c>
    </row>
    <row r="173" spans="1:27" x14ac:dyDescent="0.25">
      <c r="A173">
        <v>5240</v>
      </c>
      <c r="B173">
        <v>23690</v>
      </c>
      <c r="C173" s="5">
        <v>42751</v>
      </c>
      <c r="E173" s="30">
        <v>40</v>
      </c>
      <c r="F173" s="57"/>
      <c r="G173">
        <v>1.5</v>
      </c>
      <c r="H173">
        <v>1</v>
      </c>
      <c r="I173">
        <v>2.5</v>
      </c>
      <c r="J173">
        <f t="shared" si="25"/>
        <v>1408.6999999999998</v>
      </c>
      <c r="K173">
        <f t="shared" si="19"/>
        <v>153.39999999999998</v>
      </c>
      <c r="M173">
        <v>0</v>
      </c>
      <c r="N173">
        <v>0.1</v>
      </c>
      <c r="O173">
        <f t="shared" si="20"/>
        <v>-0.1</v>
      </c>
      <c r="P173">
        <f t="shared" si="23"/>
        <v>84.700000000000031</v>
      </c>
      <c r="Q173">
        <v>147</v>
      </c>
      <c r="R173">
        <v>1</v>
      </c>
      <c r="S173" s="9">
        <f t="shared" si="21"/>
        <v>0.1</v>
      </c>
      <c r="T173" s="9">
        <f t="shared" si="22"/>
        <v>-0.1</v>
      </c>
      <c r="U173" s="9">
        <f t="shared" si="26"/>
        <v>106.43081521739138</v>
      </c>
      <c r="W173">
        <v>119.1</v>
      </c>
      <c r="Y173">
        <f t="shared" si="24"/>
        <v>91484.600000000064</v>
      </c>
      <c r="Z173">
        <f t="shared" si="18"/>
        <v>14435.2</v>
      </c>
      <c r="AA173" s="30">
        <v>8.5744210235751073</v>
      </c>
    </row>
    <row r="174" spans="1:27" x14ac:dyDescent="0.25">
      <c r="A174">
        <v>5240</v>
      </c>
      <c r="B174">
        <v>23690</v>
      </c>
      <c r="C174" s="5">
        <v>42752</v>
      </c>
      <c r="E174" s="30">
        <v>41</v>
      </c>
      <c r="F174" s="57"/>
      <c r="G174">
        <v>-1.6</v>
      </c>
      <c r="H174">
        <v>-2.2999999999999998</v>
      </c>
      <c r="I174">
        <v>0.1</v>
      </c>
      <c r="J174">
        <v>1408.7</v>
      </c>
      <c r="K174">
        <v>153.4</v>
      </c>
      <c r="M174">
        <v>0</v>
      </c>
      <c r="N174">
        <v>0.4</v>
      </c>
      <c r="O174">
        <f t="shared" si="20"/>
        <v>-0.4</v>
      </c>
      <c r="P174">
        <f t="shared" si="23"/>
        <v>84.300000000000026</v>
      </c>
      <c r="Q174">
        <v>148</v>
      </c>
      <c r="R174">
        <v>1</v>
      </c>
      <c r="S174" s="9">
        <f t="shared" si="21"/>
        <v>0.4</v>
      </c>
      <c r="T174" s="9">
        <f t="shared" si="22"/>
        <v>-0.4</v>
      </c>
      <c r="U174" s="9">
        <f t="shared" si="26"/>
        <v>106.03081521739138</v>
      </c>
      <c r="W174">
        <v>667.7</v>
      </c>
      <c r="Y174">
        <f t="shared" si="24"/>
        <v>92152.300000000061</v>
      </c>
      <c r="Z174">
        <f t="shared" si="18"/>
        <v>15102.900000000001</v>
      </c>
      <c r="AA174" s="30">
        <v>8.6086077936092344</v>
      </c>
    </row>
    <row r="175" spans="1:27" x14ac:dyDescent="0.25">
      <c r="A175">
        <v>5240</v>
      </c>
      <c r="B175">
        <v>23690</v>
      </c>
      <c r="C175" s="5">
        <v>42753</v>
      </c>
      <c r="E175" s="30">
        <v>42</v>
      </c>
      <c r="F175" s="57"/>
      <c r="G175">
        <v>-2.6</v>
      </c>
      <c r="H175">
        <v>-4.5999999999999996</v>
      </c>
      <c r="I175">
        <v>-0.7</v>
      </c>
      <c r="J175">
        <v>1408.7</v>
      </c>
      <c r="K175">
        <v>153.4</v>
      </c>
      <c r="M175">
        <v>0</v>
      </c>
      <c r="N175">
        <v>0.6</v>
      </c>
      <c r="O175">
        <f t="shared" si="20"/>
        <v>-0.6</v>
      </c>
      <c r="P175">
        <f t="shared" si="23"/>
        <v>83.700000000000031</v>
      </c>
      <c r="Q175">
        <v>149</v>
      </c>
      <c r="R175">
        <v>1</v>
      </c>
      <c r="S175" s="9">
        <f t="shared" si="21"/>
        <v>0.6</v>
      </c>
      <c r="T175" s="9">
        <f t="shared" si="22"/>
        <v>-0.6</v>
      </c>
      <c r="U175" s="9">
        <f t="shared" si="26"/>
        <v>105.43081521739138</v>
      </c>
      <c r="W175">
        <v>687</v>
      </c>
      <c r="Y175">
        <f t="shared" si="24"/>
        <v>92839.300000000061</v>
      </c>
      <c r="Z175">
        <f t="shared" si="18"/>
        <v>15789.900000000001</v>
      </c>
      <c r="AA175" s="30">
        <v>8.6438137061368838</v>
      </c>
    </row>
    <row r="176" spans="1:27" x14ac:dyDescent="0.25">
      <c r="A176">
        <v>5240</v>
      </c>
      <c r="B176">
        <v>23690</v>
      </c>
      <c r="C176" s="5">
        <v>42754</v>
      </c>
      <c r="E176" s="30">
        <v>43</v>
      </c>
      <c r="F176" s="57"/>
      <c r="G176">
        <v>-3.2</v>
      </c>
      <c r="H176">
        <v>-4.8</v>
      </c>
      <c r="I176">
        <v>-1.4</v>
      </c>
      <c r="J176">
        <v>1408.7</v>
      </c>
      <c r="K176">
        <v>153.4</v>
      </c>
      <c r="M176">
        <v>0</v>
      </c>
      <c r="N176">
        <v>0.5</v>
      </c>
      <c r="O176">
        <f t="shared" si="20"/>
        <v>-0.5</v>
      </c>
      <c r="P176">
        <f t="shared" si="23"/>
        <v>83.200000000000031</v>
      </c>
      <c r="Q176">
        <v>150</v>
      </c>
      <c r="R176">
        <v>1</v>
      </c>
      <c r="S176" s="9">
        <f t="shared" si="21"/>
        <v>0.5</v>
      </c>
      <c r="T176" s="9">
        <f t="shared" si="22"/>
        <v>-0.5</v>
      </c>
      <c r="U176" s="9">
        <f t="shared" si="26"/>
        <v>104.93081521739138</v>
      </c>
      <c r="W176">
        <v>758.5</v>
      </c>
      <c r="Y176">
        <f t="shared" si="24"/>
        <v>93597.800000000061</v>
      </c>
      <c r="Z176">
        <f t="shared" si="18"/>
        <v>16548.400000000001</v>
      </c>
      <c r="AA176" s="30">
        <v>8.6800149035792167</v>
      </c>
    </row>
    <row r="177" spans="1:28" x14ac:dyDescent="0.25">
      <c r="A177">
        <v>5240</v>
      </c>
      <c r="B177">
        <v>23690</v>
      </c>
      <c r="C177" s="5">
        <v>42755</v>
      </c>
      <c r="E177" s="30">
        <v>44</v>
      </c>
      <c r="F177" s="57"/>
      <c r="G177">
        <v>-4.0999999999999996</v>
      </c>
      <c r="H177">
        <v>-6.1</v>
      </c>
      <c r="I177">
        <v>-1.6</v>
      </c>
      <c r="J177">
        <v>1408.7</v>
      </c>
      <c r="K177">
        <v>153.4</v>
      </c>
      <c r="M177">
        <v>0</v>
      </c>
      <c r="N177">
        <v>0.5</v>
      </c>
      <c r="O177">
        <f t="shared" si="20"/>
        <v>-0.5</v>
      </c>
      <c r="P177">
        <f t="shared" si="23"/>
        <v>82.700000000000031</v>
      </c>
      <c r="Q177">
        <v>151</v>
      </c>
      <c r="R177">
        <v>1</v>
      </c>
      <c r="S177" s="9">
        <f t="shared" si="21"/>
        <v>0.5</v>
      </c>
      <c r="T177" s="9">
        <f t="shared" si="22"/>
        <v>-0.5</v>
      </c>
      <c r="U177" s="9">
        <f t="shared" si="26"/>
        <v>104.43081521739138</v>
      </c>
      <c r="W177">
        <v>756.7</v>
      </c>
      <c r="Y177">
        <f t="shared" si="24"/>
        <v>94354.500000000058</v>
      </c>
      <c r="Z177">
        <f t="shared" si="18"/>
        <v>17305.100000000002</v>
      </c>
      <c r="AA177" s="30">
        <v>8.7171873725996978</v>
      </c>
    </row>
    <row r="178" spans="1:28" x14ac:dyDescent="0.25">
      <c r="A178">
        <v>5240</v>
      </c>
      <c r="B178">
        <v>23690</v>
      </c>
      <c r="C178" s="5">
        <v>42756</v>
      </c>
      <c r="E178" s="30">
        <v>45</v>
      </c>
      <c r="F178" s="57"/>
      <c r="G178">
        <v>-3.4</v>
      </c>
      <c r="H178">
        <v>-7.8</v>
      </c>
      <c r="I178">
        <v>0.2</v>
      </c>
      <c r="J178">
        <v>1408.7</v>
      </c>
      <c r="K178">
        <v>153.4</v>
      </c>
      <c r="M178">
        <v>0</v>
      </c>
      <c r="N178">
        <v>0.3</v>
      </c>
      <c r="O178">
        <f t="shared" si="20"/>
        <v>-0.3</v>
      </c>
      <c r="P178">
        <f t="shared" si="23"/>
        <v>82.400000000000034</v>
      </c>
      <c r="Q178">
        <v>152</v>
      </c>
      <c r="R178">
        <v>1</v>
      </c>
      <c r="S178" s="9">
        <f t="shared" si="21"/>
        <v>0.3</v>
      </c>
      <c r="T178" s="9">
        <f t="shared" si="22"/>
        <v>-0.3</v>
      </c>
      <c r="U178" s="9">
        <f t="shared" si="26"/>
        <v>104.13081521739139</v>
      </c>
      <c r="W178">
        <v>649.29999999999995</v>
      </c>
      <c r="Y178">
        <f t="shared" si="24"/>
        <v>95003.800000000061</v>
      </c>
      <c r="Z178">
        <f t="shared" si="18"/>
        <v>17954.400000000001</v>
      </c>
      <c r="AA178" s="30">
        <v>8.7553069913731996</v>
      </c>
    </row>
    <row r="179" spans="1:28" x14ac:dyDescent="0.25">
      <c r="A179">
        <v>5240</v>
      </c>
      <c r="B179">
        <v>23690</v>
      </c>
      <c r="C179" s="5">
        <v>42757</v>
      </c>
      <c r="E179" s="30">
        <v>46</v>
      </c>
      <c r="F179" s="57"/>
      <c r="G179">
        <v>-1.7</v>
      </c>
      <c r="H179">
        <v>-6.6</v>
      </c>
      <c r="I179">
        <v>2.5</v>
      </c>
      <c r="J179">
        <v>1408.7</v>
      </c>
      <c r="K179">
        <v>153.4</v>
      </c>
      <c r="M179">
        <v>0</v>
      </c>
      <c r="N179">
        <v>0.4</v>
      </c>
      <c r="O179">
        <f t="shared" si="20"/>
        <v>-0.4</v>
      </c>
      <c r="P179">
        <f t="shared" si="23"/>
        <v>82.000000000000028</v>
      </c>
      <c r="Q179">
        <v>153</v>
      </c>
      <c r="R179">
        <v>1</v>
      </c>
      <c r="S179" s="9">
        <f t="shared" si="21"/>
        <v>0.4</v>
      </c>
      <c r="T179" s="9">
        <f t="shared" si="22"/>
        <v>-0.4</v>
      </c>
      <c r="U179" s="9">
        <f t="shared" si="26"/>
        <v>103.73081521739138</v>
      </c>
      <c r="W179">
        <v>662.6</v>
      </c>
      <c r="Y179">
        <f t="shared" si="24"/>
        <v>95666.400000000067</v>
      </c>
      <c r="Z179">
        <f t="shared" si="18"/>
        <v>18617</v>
      </c>
      <c r="AA179" s="30">
        <v>8.79434957509506</v>
      </c>
    </row>
    <row r="180" spans="1:28" x14ac:dyDescent="0.25">
      <c r="A180">
        <v>5240</v>
      </c>
      <c r="B180">
        <v>23690</v>
      </c>
      <c r="C180" s="5">
        <v>42758</v>
      </c>
      <c r="E180" s="30">
        <v>47</v>
      </c>
      <c r="F180" s="57"/>
      <c r="G180">
        <v>-1.7</v>
      </c>
      <c r="H180">
        <v>-4.4000000000000004</v>
      </c>
      <c r="I180">
        <v>2</v>
      </c>
      <c r="J180">
        <v>1408.7</v>
      </c>
      <c r="K180">
        <v>153.4</v>
      </c>
      <c r="M180">
        <v>0</v>
      </c>
      <c r="N180">
        <v>0.6</v>
      </c>
      <c r="O180">
        <f t="shared" si="20"/>
        <v>-0.6</v>
      </c>
      <c r="P180">
        <f t="shared" si="23"/>
        <v>81.400000000000034</v>
      </c>
      <c r="Q180">
        <v>154</v>
      </c>
      <c r="R180">
        <v>1</v>
      </c>
      <c r="S180" s="9">
        <f t="shared" si="21"/>
        <v>0.6</v>
      </c>
      <c r="T180" s="9">
        <f t="shared" si="22"/>
        <v>-0.6</v>
      </c>
      <c r="U180" s="9">
        <f t="shared" si="26"/>
        <v>103.13081521739139</v>
      </c>
      <c r="W180">
        <v>791.7</v>
      </c>
      <c r="Y180">
        <f t="shared" si="24"/>
        <v>96458.100000000064</v>
      </c>
      <c r="Z180">
        <f t="shared" si="18"/>
        <v>19408.7</v>
      </c>
      <c r="AA180" s="30">
        <v>8.8342909196228963</v>
      </c>
    </row>
    <row r="181" spans="1:28" x14ac:dyDescent="0.25">
      <c r="A181">
        <v>5240</v>
      </c>
      <c r="B181">
        <v>23690</v>
      </c>
      <c r="C181" s="5">
        <v>42759</v>
      </c>
      <c r="E181" s="30">
        <v>48</v>
      </c>
      <c r="F181" s="57"/>
      <c r="G181">
        <v>-1.3</v>
      </c>
      <c r="H181">
        <v>-4.5</v>
      </c>
      <c r="I181">
        <v>0.8</v>
      </c>
      <c r="J181">
        <v>1408.7</v>
      </c>
      <c r="K181">
        <v>153.4</v>
      </c>
      <c r="M181">
        <v>0.2</v>
      </c>
      <c r="N181">
        <v>0.2</v>
      </c>
      <c r="O181">
        <f t="shared" si="20"/>
        <v>0</v>
      </c>
      <c r="P181">
        <f t="shared" si="23"/>
        <v>81.400000000000034</v>
      </c>
      <c r="Q181">
        <v>155</v>
      </c>
      <c r="R181">
        <v>1</v>
      </c>
      <c r="S181" s="9">
        <f t="shared" si="21"/>
        <v>0.2</v>
      </c>
      <c r="T181" s="9">
        <f t="shared" si="22"/>
        <v>0</v>
      </c>
      <c r="U181" s="9">
        <f t="shared" si="26"/>
        <v>103.13081521739139</v>
      </c>
      <c r="W181">
        <v>196.7</v>
      </c>
      <c r="Y181">
        <f t="shared" si="24"/>
        <v>96654.800000000061</v>
      </c>
      <c r="Z181">
        <f t="shared" si="18"/>
        <v>19605.400000000001</v>
      </c>
      <c r="AA181" s="30">
        <v>8.8751068431612801</v>
      </c>
    </row>
    <row r="182" spans="1:28" x14ac:dyDescent="0.25">
      <c r="A182">
        <v>5240</v>
      </c>
      <c r="B182">
        <v>23690</v>
      </c>
      <c r="C182" s="5">
        <v>42760</v>
      </c>
      <c r="E182" s="30">
        <v>49</v>
      </c>
      <c r="F182" s="57"/>
      <c r="G182">
        <v>-1.6</v>
      </c>
      <c r="H182">
        <v>-2.2000000000000002</v>
      </c>
      <c r="I182">
        <v>-0.8</v>
      </c>
      <c r="J182">
        <v>1408.7</v>
      </c>
      <c r="K182">
        <v>153.4</v>
      </c>
      <c r="M182">
        <v>0</v>
      </c>
      <c r="N182">
        <v>0.3</v>
      </c>
      <c r="O182">
        <f t="shared" si="20"/>
        <v>-0.3</v>
      </c>
      <c r="P182">
        <f t="shared" si="23"/>
        <v>81.100000000000037</v>
      </c>
      <c r="Q182">
        <v>156</v>
      </c>
      <c r="R182">
        <v>1</v>
      </c>
      <c r="S182" s="9">
        <f t="shared" si="21"/>
        <v>0.3</v>
      </c>
      <c r="T182" s="9">
        <f t="shared" si="22"/>
        <v>-0.3</v>
      </c>
      <c r="U182" s="9">
        <f t="shared" si="26"/>
        <v>102.83081521739139</v>
      </c>
      <c r="W182">
        <v>120.3</v>
      </c>
      <c r="Y182">
        <f t="shared" si="24"/>
        <v>96775.100000000064</v>
      </c>
      <c r="Z182">
        <f t="shared" si="18"/>
        <v>19725.7</v>
      </c>
      <c r="AA182" s="30">
        <v>8.9167732259162431</v>
      </c>
    </row>
    <row r="183" spans="1:28" x14ac:dyDescent="0.25">
      <c r="A183">
        <v>5240</v>
      </c>
      <c r="B183">
        <v>23690</v>
      </c>
      <c r="C183" s="5">
        <v>42761</v>
      </c>
      <c r="E183" s="30">
        <v>50</v>
      </c>
      <c r="F183" s="57"/>
      <c r="G183">
        <v>-2.2000000000000002</v>
      </c>
      <c r="H183">
        <v>-6.1</v>
      </c>
      <c r="I183">
        <v>-0.2</v>
      </c>
      <c r="J183">
        <v>1408.7</v>
      </c>
      <c r="K183">
        <v>153.4</v>
      </c>
      <c r="M183">
        <v>0</v>
      </c>
      <c r="N183">
        <v>0.5</v>
      </c>
      <c r="O183">
        <f t="shared" si="20"/>
        <v>-0.5</v>
      </c>
      <c r="P183">
        <f t="shared" si="23"/>
        <v>80.600000000000037</v>
      </c>
      <c r="Q183">
        <v>157</v>
      </c>
      <c r="R183">
        <v>1</v>
      </c>
      <c r="S183" s="9">
        <f t="shared" si="21"/>
        <v>0.5</v>
      </c>
      <c r="T183" s="9">
        <f t="shared" si="22"/>
        <v>-0.5</v>
      </c>
      <c r="U183" s="9">
        <f t="shared" si="26"/>
        <v>102.33081521739139</v>
      </c>
      <c r="W183">
        <v>819.9</v>
      </c>
      <c r="Y183">
        <f t="shared" si="24"/>
        <v>97595.000000000058</v>
      </c>
      <c r="Z183">
        <f t="shared" si="18"/>
        <v>20545.600000000002</v>
      </c>
      <c r="AA183" s="30">
        <v>8.9592660476626076</v>
      </c>
    </row>
    <row r="184" spans="1:28" x14ac:dyDescent="0.25">
      <c r="A184">
        <v>5240</v>
      </c>
      <c r="B184">
        <v>23690</v>
      </c>
      <c r="C184" s="5">
        <v>42762</v>
      </c>
      <c r="F184" s="57"/>
      <c r="G184">
        <v>4.3</v>
      </c>
      <c r="H184">
        <v>-0.5</v>
      </c>
      <c r="I184">
        <v>7.2</v>
      </c>
      <c r="J184">
        <f t="shared" si="25"/>
        <v>1413</v>
      </c>
      <c r="K184">
        <f t="shared" si="19"/>
        <v>157.70000000000002</v>
      </c>
      <c r="M184">
        <v>0.2</v>
      </c>
      <c r="N184">
        <v>0.5</v>
      </c>
      <c r="O184">
        <f t="shared" si="20"/>
        <v>-0.3</v>
      </c>
      <c r="P184">
        <f t="shared" si="23"/>
        <v>80.30000000000004</v>
      </c>
      <c r="Q184">
        <v>158</v>
      </c>
      <c r="R184">
        <v>1</v>
      </c>
      <c r="S184" s="9">
        <f t="shared" si="21"/>
        <v>0.5</v>
      </c>
      <c r="T184" s="9">
        <f t="shared" si="22"/>
        <v>-0.3</v>
      </c>
      <c r="U184" s="9">
        <f t="shared" si="26"/>
        <v>102.03081521739139</v>
      </c>
      <c r="W184">
        <v>546.5</v>
      </c>
      <c r="Y184">
        <f t="shared" si="24"/>
        <v>98141.500000000058</v>
      </c>
      <c r="Z184">
        <f t="shared" si="18"/>
        <v>21092.100000000002</v>
      </c>
      <c r="AA184">
        <v>9.002561423182323</v>
      </c>
    </row>
    <row r="185" spans="1:28" x14ac:dyDescent="0.25">
      <c r="A185">
        <v>5240</v>
      </c>
      <c r="B185">
        <v>23690</v>
      </c>
      <c r="C185" s="5">
        <v>42763</v>
      </c>
      <c r="F185" s="57"/>
      <c r="G185">
        <v>6</v>
      </c>
      <c r="H185">
        <v>4.9000000000000004</v>
      </c>
      <c r="I185">
        <v>7.2</v>
      </c>
      <c r="J185">
        <f t="shared" si="25"/>
        <v>1419</v>
      </c>
      <c r="K185">
        <f t="shared" si="19"/>
        <v>163.70000000000002</v>
      </c>
      <c r="M185">
        <v>0.1</v>
      </c>
      <c r="N185">
        <v>0.5</v>
      </c>
      <c r="O185">
        <f t="shared" si="20"/>
        <v>-0.4</v>
      </c>
      <c r="P185">
        <f t="shared" si="23"/>
        <v>79.900000000000034</v>
      </c>
      <c r="Q185">
        <v>159</v>
      </c>
      <c r="R185">
        <v>1</v>
      </c>
      <c r="S185" s="9">
        <f t="shared" si="21"/>
        <v>0.5</v>
      </c>
      <c r="T185" s="9">
        <f t="shared" si="22"/>
        <v>-0.4</v>
      </c>
      <c r="U185" s="9">
        <f t="shared" si="26"/>
        <v>101.63081521739139</v>
      </c>
      <c r="W185">
        <v>253</v>
      </c>
      <c r="Y185">
        <f t="shared" si="24"/>
        <v>98394.500000000058</v>
      </c>
      <c r="Z185">
        <f t="shared" si="18"/>
        <v>21345.100000000002</v>
      </c>
      <c r="AA185">
        <v>9.046635635546405</v>
      </c>
    </row>
    <row r="186" spans="1:28" s="14" customFormat="1" ht="15.75" thickBot="1" x14ac:dyDescent="0.3">
      <c r="A186" s="14">
        <v>5240</v>
      </c>
      <c r="B186" s="14">
        <v>23690</v>
      </c>
      <c r="C186" s="15">
        <v>42764</v>
      </c>
      <c r="D186" s="14" t="s">
        <v>33</v>
      </c>
      <c r="F186" s="58"/>
      <c r="G186" s="14">
        <v>4.9000000000000004</v>
      </c>
      <c r="H186" s="14">
        <v>1.9</v>
      </c>
      <c r="I186" s="14">
        <v>7.4</v>
      </c>
      <c r="J186" s="14">
        <f t="shared" si="25"/>
        <v>1423.9</v>
      </c>
      <c r="K186" s="14">
        <f t="shared" si="19"/>
        <v>168.60000000000002</v>
      </c>
      <c r="M186" s="14">
        <v>0.4</v>
      </c>
      <c r="N186" s="14">
        <v>0.2</v>
      </c>
      <c r="O186" s="14">
        <f t="shared" si="20"/>
        <v>0.2</v>
      </c>
      <c r="P186" s="14">
        <f t="shared" si="23"/>
        <v>80.100000000000037</v>
      </c>
      <c r="Q186" s="14">
        <v>160</v>
      </c>
      <c r="R186" s="14">
        <v>1</v>
      </c>
      <c r="S186" s="16">
        <f t="shared" si="21"/>
        <v>0.2</v>
      </c>
      <c r="T186" s="16">
        <f t="shared" si="22"/>
        <v>0.2</v>
      </c>
      <c r="U186" s="40">
        <f t="shared" si="26"/>
        <v>101.83081521739139</v>
      </c>
      <c r="W186" s="14">
        <v>68.8</v>
      </c>
      <c r="Y186" s="14">
        <f t="shared" si="24"/>
        <v>98463.300000000061</v>
      </c>
      <c r="Z186" s="14">
        <f t="shared" si="18"/>
        <v>21413.9</v>
      </c>
      <c r="AA186" s="14">
        <v>9.0914651672263354</v>
      </c>
    </row>
    <row r="187" spans="1:28" ht="15" customHeight="1" x14ac:dyDescent="0.25">
      <c r="A187">
        <v>5240</v>
      </c>
      <c r="B187">
        <v>23690</v>
      </c>
      <c r="C187" s="5">
        <v>42765</v>
      </c>
      <c r="F187" s="59" t="s">
        <v>54</v>
      </c>
      <c r="G187">
        <v>8.8000000000000007</v>
      </c>
      <c r="H187">
        <v>7</v>
      </c>
      <c r="I187">
        <v>9.6999999999999993</v>
      </c>
      <c r="J187">
        <f t="shared" si="25"/>
        <v>1432.7</v>
      </c>
      <c r="K187">
        <v>8.8000000000000007</v>
      </c>
      <c r="L187" s="19" t="s">
        <v>37</v>
      </c>
      <c r="M187">
        <v>2.2000000000000002</v>
      </c>
      <c r="N187">
        <v>0.1</v>
      </c>
      <c r="O187">
        <f t="shared" si="20"/>
        <v>2.1</v>
      </c>
      <c r="P187">
        <f t="shared" si="23"/>
        <v>82.200000000000031</v>
      </c>
      <c r="Q187">
        <v>161</v>
      </c>
      <c r="R187">
        <f>1+((Q187-160)/59)*(1.15-1)</f>
        <v>1.0025423728813558</v>
      </c>
      <c r="S187" s="9">
        <f t="shared" si="21"/>
        <v>0.10025423728813559</v>
      </c>
      <c r="T187" s="9">
        <f t="shared" si="22"/>
        <v>2.0997457627118647</v>
      </c>
      <c r="U187" s="9">
        <f t="shared" si="26"/>
        <v>103.93056098010325</v>
      </c>
      <c r="V187" s="20" t="s">
        <v>44</v>
      </c>
      <c r="W187">
        <v>125.4</v>
      </c>
      <c r="Y187">
        <f t="shared" si="24"/>
        <v>98588.700000000055</v>
      </c>
      <c r="Z187">
        <f>W187</f>
        <v>125.4</v>
      </c>
      <c r="AA187">
        <v>9.1370267290331437</v>
      </c>
      <c r="AB187" s="20" t="s">
        <v>49</v>
      </c>
    </row>
    <row r="188" spans="1:28" x14ac:dyDescent="0.25">
      <c r="A188">
        <v>5240</v>
      </c>
      <c r="B188">
        <v>23690</v>
      </c>
      <c r="C188" s="5">
        <v>42766</v>
      </c>
      <c r="F188" s="60"/>
      <c r="G188">
        <v>10.6</v>
      </c>
      <c r="H188">
        <v>9.6</v>
      </c>
      <c r="I188">
        <v>12.3</v>
      </c>
      <c r="J188">
        <f t="shared" si="25"/>
        <v>1443.3</v>
      </c>
      <c r="K188">
        <f t="shared" si="19"/>
        <v>19.399999999999999</v>
      </c>
      <c r="L188" s="11">
        <v>455.9</v>
      </c>
      <c r="M188">
        <v>0.2</v>
      </c>
      <c r="N188">
        <v>0.1</v>
      </c>
      <c r="O188">
        <f t="shared" si="20"/>
        <v>0.1</v>
      </c>
      <c r="P188">
        <f t="shared" si="23"/>
        <v>82.300000000000026</v>
      </c>
      <c r="Q188">
        <v>162</v>
      </c>
      <c r="R188">
        <f t="shared" ref="R188:R245" si="27">1+((Q188-160)/59)*(1.15-1)</f>
        <v>1.0050847457627119</v>
      </c>
      <c r="S188" s="9">
        <f t="shared" si="21"/>
        <v>0.1005084745762712</v>
      </c>
      <c r="T188" s="9">
        <f t="shared" si="22"/>
        <v>9.9491525423728813E-2</v>
      </c>
      <c r="U188" s="9">
        <f t="shared" si="26"/>
        <v>104.03005250552698</v>
      </c>
      <c r="V188">
        <v>0</v>
      </c>
      <c r="W188">
        <v>78.2</v>
      </c>
      <c r="Y188">
        <f t="shared" si="24"/>
        <v>98666.900000000052</v>
      </c>
      <c r="Z188">
        <f t="shared" si="18"/>
        <v>203.60000000000002</v>
      </c>
      <c r="AA188">
        <v>9.1832972868937972</v>
      </c>
      <c r="AB188">
        <v>31644.400000000001</v>
      </c>
    </row>
    <row r="189" spans="1:28" x14ac:dyDescent="0.25">
      <c r="A189">
        <v>5240</v>
      </c>
      <c r="B189">
        <v>23690</v>
      </c>
      <c r="C189" s="5">
        <v>42767</v>
      </c>
      <c r="F189" s="60"/>
      <c r="G189">
        <v>8.5</v>
      </c>
      <c r="H189">
        <v>7.7</v>
      </c>
      <c r="I189">
        <v>9.4</v>
      </c>
      <c r="J189">
        <f t="shared" si="25"/>
        <v>1451.8</v>
      </c>
      <c r="K189">
        <f t="shared" si="19"/>
        <v>27.9</v>
      </c>
      <c r="L189" s="19" t="s">
        <v>38</v>
      </c>
      <c r="M189">
        <v>0.1</v>
      </c>
      <c r="N189">
        <v>0.3</v>
      </c>
      <c r="O189">
        <f t="shared" si="20"/>
        <v>-0.19999999999999998</v>
      </c>
      <c r="P189">
        <f t="shared" si="23"/>
        <v>82.100000000000023</v>
      </c>
      <c r="Q189">
        <v>163</v>
      </c>
      <c r="R189">
        <f t="shared" si="27"/>
        <v>1.0076271186440677</v>
      </c>
      <c r="S189" s="9">
        <f t="shared" si="21"/>
        <v>0.30228813559322032</v>
      </c>
      <c r="T189" s="9">
        <f t="shared" si="22"/>
        <v>-0.20228813559322031</v>
      </c>
      <c r="U189" s="9">
        <f t="shared" si="26"/>
        <v>103.82776436993376</v>
      </c>
      <c r="V189" s="20" t="s">
        <v>45</v>
      </c>
      <c r="W189">
        <v>402.4</v>
      </c>
      <c r="Y189">
        <f t="shared" si="24"/>
        <v>99069.300000000047</v>
      </c>
      <c r="Z189">
        <f t="shared" si="18"/>
        <v>606</v>
      </c>
      <c r="AA189">
        <v>9.2302540864846616</v>
      </c>
      <c r="AB189" s="20" t="s">
        <v>50</v>
      </c>
    </row>
    <row r="190" spans="1:28" x14ac:dyDescent="0.25">
      <c r="A190">
        <v>5240</v>
      </c>
      <c r="B190">
        <v>23690</v>
      </c>
      <c r="C190" s="5">
        <v>42768</v>
      </c>
      <c r="F190" s="60"/>
      <c r="G190">
        <v>9</v>
      </c>
      <c r="H190">
        <v>7.2</v>
      </c>
      <c r="I190">
        <v>10.7</v>
      </c>
      <c r="J190">
        <f t="shared" si="25"/>
        <v>1460.8</v>
      </c>
      <c r="K190">
        <f t="shared" ref="K190:K253" si="28">K189+G190</f>
        <v>36.9</v>
      </c>
      <c r="L190" s="41">
        <f>AVERAGE(G187:G245)</f>
        <v>7.7254237288135599</v>
      </c>
      <c r="M190">
        <v>1.2</v>
      </c>
      <c r="N190">
        <v>0.4</v>
      </c>
      <c r="O190">
        <f t="shared" si="20"/>
        <v>0.79999999999999993</v>
      </c>
      <c r="P190">
        <f t="shared" si="23"/>
        <v>82.90000000000002</v>
      </c>
      <c r="Q190">
        <v>164</v>
      </c>
      <c r="R190">
        <f t="shared" si="27"/>
        <v>1.0101694915254238</v>
      </c>
      <c r="S190" s="9">
        <f t="shared" si="21"/>
        <v>0.40406779661016956</v>
      </c>
      <c r="T190" s="9">
        <f t="shared" si="22"/>
        <v>0.79593220338983039</v>
      </c>
      <c r="U190" s="9">
        <f t="shared" si="26"/>
        <v>104.62369657332358</v>
      </c>
      <c r="V190">
        <v>0</v>
      </c>
      <c r="W190">
        <v>107.7</v>
      </c>
      <c r="Y190">
        <f t="shared" si="24"/>
        <v>99177.000000000044</v>
      </c>
      <c r="Z190">
        <f t="shared" ref="Z190:Z253" si="29">Z189+W190</f>
        <v>713.7</v>
      </c>
      <c r="AA190">
        <v>9.2778746757511961</v>
      </c>
      <c r="AB190">
        <f>(AB188/100)/L188</f>
        <v>0.69410835709585439</v>
      </c>
    </row>
    <row r="191" spans="1:28" x14ac:dyDescent="0.25">
      <c r="A191">
        <v>5240</v>
      </c>
      <c r="B191">
        <v>23690</v>
      </c>
      <c r="C191" s="5">
        <v>42769</v>
      </c>
      <c r="F191" s="60"/>
      <c r="G191">
        <v>7.2</v>
      </c>
      <c r="H191">
        <v>6.2</v>
      </c>
      <c r="I191">
        <v>9.1</v>
      </c>
      <c r="J191">
        <f t="shared" si="25"/>
        <v>1468</v>
      </c>
      <c r="K191">
        <f t="shared" si="28"/>
        <v>44.1</v>
      </c>
      <c r="L191" s="19" t="s">
        <v>39</v>
      </c>
      <c r="M191">
        <v>10</v>
      </c>
      <c r="N191">
        <v>0.7</v>
      </c>
      <c r="O191">
        <f t="shared" si="20"/>
        <v>9.3000000000000007</v>
      </c>
      <c r="P191">
        <f t="shared" si="23"/>
        <v>92.200000000000017</v>
      </c>
      <c r="Q191">
        <v>165</v>
      </c>
      <c r="R191">
        <f t="shared" si="27"/>
        <v>1.0127118644067796</v>
      </c>
      <c r="S191" s="9">
        <f t="shared" si="21"/>
        <v>0.70889830508474572</v>
      </c>
      <c r="T191" s="9">
        <f t="shared" si="22"/>
        <v>9.2911016949152536</v>
      </c>
      <c r="U191" s="9">
        <f t="shared" si="26"/>
        <v>113.91479826823884</v>
      </c>
      <c r="V191" s="20" t="s">
        <v>46</v>
      </c>
      <c r="W191">
        <v>427.9</v>
      </c>
      <c r="Y191">
        <f t="shared" si="24"/>
        <v>99604.900000000038</v>
      </c>
      <c r="Z191">
        <f t="shared" si="29"/>
        <v>1141.5999999999999</v>
      </c>
      <c r="AA191">
        <v>9.3261369253511752</v>
      </c>
      <c r="AB191" s="20" t="s">
        <v>51</v>
      </c>
    </row>
    <row r="192" spans="1:28" x14ac:dyDescent="0.25">
      <c r="A192">
        <v>5240</v>
      </c>
      <c r="B192">
        <v>23690</v>
      </c>
      <c r="C192" s="5">
        <v>42770</v>
      </c>
      <c r="F192" s="60"/>
      <c r="G192">
        <v>5.3</v>
      </c>
      <c r="H192">
        <v>5.2</v>
      </c>
      <c r="I192">
        <v>5.8</v>
      </c>
      <c r="J192">
        <f t="shared" si="25"/>
        <v>1473.3</v>
      </c>
      <c r="K192">
        <f t="shared" si="28"/>
        <v>49.4</v>
      </c>
      <c r="L192" s="12">
        <f>MIN(H187:H245)</f>
        <v>-2.4</v>
      </c>
      <c r="M192">
        <v>6.2</v>
      </c>
      <c r="N192">
        <v>0.3</v>
      </c>
      <c r="O192">
        <f t="shared" si="20"/>
        <v>5.9</v>
      </c>
      <c r="P192">
        <f t="shared" si="23"/>
        <v>98.100000000000023</v>
      </c>
      <c r="Q192">
        <v>166</v>
      </c>
      <c r="R192">
        <f t="shared" si="27"/>
        <v>1.0152542372881357</v>
      </c>
      <c r="S192" s="9">
        <f t="shared" si="21"/>
        <v>0.30457627118644071</v>
      </c>
      <c r="T192" s="9">
        <f t="shared" si="22"/>
        <v>5.8954237288135598</v>
      </c>
      <c r="U192" s="9">
        <f t="shared" si="26"/>
        <v>119.81022199705239</v>
      </c>
      <c r="V192" s="9">
        <f>MIN(U187:U245)</f>
        <v>103.82776436993376</v>
      </c>
      <c r="W192">
        <v>138.5</v>
      </c>
      <c r="Y192">
        <f t="shared" si="24"/>
        <v>99743.400000000038</v>
      </c>
      <c r="Z192">
        <f t="shared" si="29"/>
        <v>1280.0999999999999</v>
      </c>
      <c r="AA192">
        <v>9.3750190470660204</v>
      </c>
      <c r="AB192">
        <v>51</v>
      </c>
    </row>
    <row r="193" spans="1:29" x14ac:dyDescent="0.25">
      <c r="A193">
        <v>5240</v>
      </c>
      <c r="B193">
        <v>23690</v>
      </c>
      <c r="C193" s="5">
        <v>42771</v>
      </c>
      <c r="F193" s="60"/>
      <c r="G193">
        <v>6.5</v>
      </c>
      <c r="H193">
        <v>4.9000000000000004</v>
      </c>
      <c r="I193">
        <v>9</v>
      </c>
      <c r="J193">
        <f t="shared" si="25"/>
        <v>1479.8</v>
      </c>
      <c r="K193">
        <f t="shared" si="28"/>
        <v>55.9</v>
      </c>
      <c r="L193" s="19" t="s">
        <v>40</v>
      </c>
      <c r="M193">
        <v>1.6</v>
      </c>
      <c r="N193">
        <v>0.5</v>
      </c>
      <c r="O193">
        <f t="shared" si="20"/>
        <v>1.1000000000000001</v>
      </c>
      <c r="P193">
        <f t="shared" si="23"/>
        <v>99.200000000000017</v>
      </c>
      <c r="Q193">
        <v>167</v>
      </c>
      <c r="R193">
        <f t="shared" si="27"/>
        <v>1.0177966101694915</v>
      </c>
      <c r="S193" s="9">
        <f t="shared" si="21"/>
        <v>0.50889830508474576</v>
      </c>
      <c r="T193" s="9">
        <f t="shared" si="22"/>
        <v>1.0911016949152543</v>
      </c>
      <c r="U193" s="9">
        <f t="shared" si="26"/>
        <v>120.90132369196765</v>
      </c>
      <c r="V193" s="20" t="s">
        <v>47</v>
      </c>
      <c r="W193">
        <v>203.2</v>
      </c>
      <c r="Y193">
        <f t="shared" si="24"/>
        <v>99946.600000000035</v>
      </c>
      <c r="Z193">
        <f t="shared" si="29"/>
        <v>1483.3</v>
      </c>
      <c r="AA193">
        <v>9.4244996102311074</v>
      </c>
    </row>
    <row r="194" spans="1:29" x14ac:dyDescent="0.25">
      <c r="A194">
        <v>5240</v>
      </c>
      <c r="B194">
        <v>23690</v>
      </c>
      <c r="C194" s="5">
        <v>42772</v>
      </c>
      <c r="F194" s="60"/>
      <c r="G194">
        <v>5.3</v>
      </c>
      <c r="H194">
        <v>3.5</v>
      </c>
      <c r="I194">
        <v>7.1</v>
      </c>
      <c r="J194">
        <f t="shared" si="25"/>
        <v>1485.1</v>
      </c>
      <c r="K194">
        <f t="shared" si="28"/>
        <v>61.199999999999996</v>
      </c>
      <c r="L194" s="11">
        <f>MAX(I187:I245)</f>
        <v>17.7</v>
      </c>
      <c r="M194">
        <v>5.5</v>
      </c>
      <c r="N194">
        <v>0.4</v>
      </c>
      <c r="O194">
        <f t="shared" si="20"/>
        <v>5.0999999999999996</v>
      </c>
      <c r="P194">
        <f t="shared" si="23"/>
        <v>104.30000000000001</v>
      </c>
      <c r="Q194">
        <v>168</v>
      </c>
      <c r="R194">
        <f t="shared" si="27"/>
        <v>1.0203389830508474</v>
      </c>
      <c r="S194" s="9">
        <f t="shared" si="21"/>
        <v>0.40813559322033899</v>
      </c>
      <c r="T194" s="9">
        <f t="shared" si="22"/>
        <v>5.0918644067796608</v>
      </c>
      <c r="U194" s="9">
        <f t="shared" si="26"/>
        <v>125.99318809874731</v>
      </c>
      <c r="V194" s="9">
        <f>MAX(U187:U245)</f>
        <v>171.2243745394253</v>
      </c>
      <c r="W194">
        <v>316.3</v>
      </c>
      <c r="Y194">
        <f t="shared" si="24"/>
        <v>100262.90000000004</v>
      </c>
      <c r="Z194">
        <f t="shared" si="29"/>
        <v>1799.6</v>
      </c>
      <c r="AA194">
        <v>9.4745575562412903</v>
      </c>
    </row>
    <row r="195" spans="1:29" x14ac:dyDescent="0.25">
      <c r="A195">
        <v>5240</v>
      </c>
      <c r="B195">
        <v>23690</v>
      </c>
      <c r="C195" s="5">
        <v>42773</v>
      </c>
      <c r="F195" s="60"/>
      <c r="G195">
        <v>6.8</v>
      </c>
      <c r="H195">
        <v>4.3</v>
      </c>
      <c r="I195">
        <v>10.4</v>
      </c>
      <c r="J195">
        <f t="shared" si="25"/>
        <v>1491.8999999999999</v>
      </c>
      <c r="K195">
        <f t="shared" si="28"/>
        <v>68</v>
      </c>
      <c r="L195" s="19" t="s">
        <v>41</v>
      </c>
      <c r="M195">
        <v>0.6</v>
      </c>
      <c r="N195">
        <v>0.6</v>
      </c>
      <c r="O195">
        <f t="shared" si="20"/>
        <v>0</v>
      </c>
      <c r="P195">
        <f t="shared" si="23"/>
        <v>104.30000000000001</v>
      </c>
      <c r="Q195">
        <v>169</v>
      </c>
      <c r="R195">
        <f t="shared" si="27"/>
        <v>1.0228813559322034</v>
      </c>
      <c r="S195" s="9">
        <f t="shared" si="21"/>
        <v>0.61372881355932207</v>
      </c>
      <c r="T195" s="9">
        <f t="shared" si="22"/>
        <v>-1.3728813559322095E-2</v>
      </c>
      <c r="U195" s="9">
        <f t="shared" si="26"/>
        <v>125.97945928518799</v>
      </c>
      <c r="V195" s="20" t="s">
        <v>48</v>
      </c>
      <c r="W195">
        <v>486.6</v>
      </c>
      <c r="Y195">
        <f t="shared" si="24"/>
        <v>100749.50000000004</v>
      </c>
      <c r="Z195">
        <f t="shared" si="29"/>
        <v>2286.1999999999998</v>
      </c>
      <c r="AA195">
        <v>9.5251722111923893</v>
      </c>
    </row>
    <row r="196" spans="1:29" x14ac:dyDescent="0.25">
      <c r="A196">
        <v>5240</v>
      </c>
      <c r="B196">
        <v>23690</v>
      </c>
      <c r="C196" s="5">
        <v>42774</v>
      </c>
      <c r="F196" s="60"/>
      <c r="G196">
        <v>5.5</v>
      </c>
      <c r="H196">
        <v>4.3</v>
      </c>
      <c r="I196">
        <v>7.3</v>
      </c>
      <c r="J196">
        <f t="shared" si="25"/>
        <v>1497.3999999999999</v>
      </c>
      <c r="K196">
        <f t="shared" si="28"/>
        <v>73.5</v>
      </c>
      <c r="L196" s="11">
        <v>0</v>
      </c>
      <c r="M196">
        <v>0</v>
      </c>
      <c r="N196">
        <v>0.5</v>
      </c>
      <c r="O196">
        <f t="shared" si="20"/>
        <v>-0.5</v>
      </c>
      <c r="P196">
        <f t="shared" si="23"/>
        <v>103.80000000000001</v>
      </c>
      <c r="Q196">
        <v>170</v>
      </c>
      <c r="R196">
        <f t="shared" si="27"/>
        <v>1.0254237288135593</v>
      </c>
      <c r="S196" s="9">
        <f t="shared" si="21"/>
        <v>0.51271186440677963</v>
      </c>
      <c r="T196" s="9">
        <f t="shared" si="22"/>
        <v>-0.51271186440677963</v>
      </c>
      <c r="U196" s="9">
        <f t="shared" si="26"/>
        <v>125.4667474207812</v>
      </c>
      <c r="V196" s="9">
        <f>AVERAGE(U187:U245)</f>
        <v>140.56776867904034</v>
      </c>
      <c r="W196">
        <v>241.3</v>
      </c>
      <c r="Y196">
        <f t="shared" si="24"/>
        <v>100990.80000000005</v>
      </c>
      <c r="Z196">
        <f t="shared" si="29"/>
        <v>2527.5</v>
      </c>
      <c r="AA196">
        <v>9.576323296723066</v>
      </c>
    </row>
    <row r="197" spans="1:29" x14ac:dyDescent="0.25">
      <c r="A197">
        <v>5240</v>
      </c>
      <c r="B197">
        <v>23690</v>
      </c>
      <c r="C197" s="5">
        <v>42775</v>
      </c>
      <c r="F197" s="60"/>
      <c r="G197">
        <v>2.2000000000000002</v>
      </c>
      <c r="H197">
        <v>1.2</v>
      </c>
      <c r="I197">
        <v>4</v>
      </c>
      <c r="J197">
        <f t="shared" si="25"/>
        <v>1499.6</v>
      </c>
      <c r="K197">
        <f t="shared" si="28"/>
        <v>75.7</v>
      </c>
      <c r="L197" s="19" t="s">
        <v>42</v>
      </c>
      <c r="M197">
        <v>0</v>
      </c>
      <c r="N197">
        <v>0.3</v>
      </c>
      <c r="O197">
        <f t="shared" si="20"/>
        <v>-0.3</v>
      </c>
      <c r="P197">
        <f t="shared" si="23"/>
        <v>103.50000000000001</v>
      </c>
      <c r="Q197">
        <v>171</v>
      </c>
      <c r="R197">
        <f t="shared" si="27"/>
        <v>1.0279661016949153</v>
      </c>
      <c r="S197" s="9">
        <f t="shared" si="21"/>
        <v>0.30838983050847457</v>
      </c>
      <c r="T197" s="9">
        <f t="shared" si="22"/>
        <v>-0.30838983050847457</v>
      </c>
      <c r="U197" s="9">
        <f t="shared" si="26"/>
        <v>125.15835759027273</v>
      </c>
      <c r="W197">
        <v>239.9</v>
      </c>
      <c r="Y197">
        <f t="shared" si="24"/>
        <v>101230.70000000004</v>
      </c>
      <c r="Z197">
        <f t="shared" si="29"/>
        <v>2767.4</v>
      </c>
      <c r="AA197">
        <v>9.6279909391244676</v>
      </c>
    </row>
    <row r="198" spans="1:29" x14ac:dyDescent="0.25">
      <c r="A198">
        <v>5240</v>
      </c>
      <c r="B198">
        <v>23690</v>
      </c>
      <c r="C198" s="5">
        <v>42776</v>
      </c>
      <c r="F198" s="60"/>
      <c r="G198">
        <v>0.2</v>
      </c>
      <c r="H198">
        <v>-0.6</v>
      </c>
      <c r="I198">
        <v>1.8</v>
      </c>
      <c r="J198">
        <f t="shared" si="25"/>
        <v>1499.8</v>
      </c>
      <c r="K198">
        <f t="shared" si="28"/>
        <v>75.900000000000006</v>
      </c>
      <c r="L198" s="11">
        <v>22</v>
      </c>
      <c r="M198" s="68">
        <v>0</v>
      </c>
      <c r="N198">
        <v>0.3</v>
      </c>
      <c r="O198">
        <f t="shared" si="20"/>
        <v>-0.3</v>
      </c>
      <c r="P198">
        <f t="shared" si="23"/>
        <v>103.20000000000002</v>
      </c>
      <c r="Q198">
        <v>172</v>
      </c>
      <c r="R198">
        <f t="shared" si="27"/>
        <v>1.0305084745762711</v>
      </c>
      <c r="S198" s="9">
        <f t="shared" si="21"/>
        <v>0.30915254237288131</v>
      </c>
      <c r="T198" s="9">
        <f t="shared" si="22"/>
        <v>-0.30915254237288131</v>
      </c>
      <c r="U198" s="9">
        <f t="shared" si="26"/>
        <v>124.84920504789984</v>
      </c>
      <c r="V198" s="32">
        <f>(V196*100)/218.9</f>
        <v>64.215517898145421</v>
      </c>
      <c r="W198">
        <v>220.6</v>
      </c>
      <c r="Y198">
        <f t="shared" si="24"/>
        <v>101451.30000000005</v>
      </c>
      <c r="Z198">
        <f t="shared" si="29"/>
        <v>2988</v>
      </c>
      <c r="AA198">
        <v>9.680155676787189</v>
      </c>
      <c r="AC198" s="1" t="s">
        <v>66</v>
      </c>
    </row>
    <row r="199" spans="1:29" x14ac:dyDescent="0.25">
      <c r="A199">
        <v>5240</v>
      </c>
      <c r="B199">
        <v>23690</v>
      </c>
      <c r="C199" s="5">
        <v>42777</v>
      </c>
      <c r="F199" s="60"/>
      <c r="G199">
        <v>-0.1</v>
      </c>
      <c r="H199">
        <v>-1.8</v>
      </c>
      <c r="I199">
        <v>0.9</v>
      </c>
      <c r="J199">
        <v>1499.8</v>
      </c>
      <c r="K199">
        <v>75.900000000000006</v>
      </c>
      <c r="L199" s="19" t="s">
        <v>43</v>
      </c>
      <c r="M199" s="68">
        <v>0</v>
      </c>
      <c r="N199">
        <v>0.2</v>
      </c>
      <c r="O199">
        <f t="shared" si="20"/>
        <v>-0.2</v>
      </c>
      <c r="P199">
        <f t="shared" si="23"/>
        <v>103.00000000000001</v>
      </c>
      <c r="Q199">
        <v>173</v>
      </c>
      <c r="R199">
        <f t="shared" si="27"/>
        <v>1.033050847457627</v>
      </c>
      <c r="S199" s="9">
        <f t="shared" si="21"/>
        <v>0.20661016949152541</v>
      </c>
      <c r="T199" s="9">
        <f t="shared" si="22"/>
        <v>-0.20661016949152541</v>
      </c>
      <c r="U199" s="9">
        <f t="shared" si="26"/>
        <v>124.64259487840832</v>
      </c>
      <c r="V199" s="32"/>
      <c r="W199">
        <v>253.9</v>
      </c>
      <c r="Y199">
        <f t="shared" si="24"/>
        <v>101705.20000000004</v>
      </c>
      <c r="Z199">
        <f t="shared" si="29"/>
        <v>3241.9</v>
      </c>
      <c r="AA199">
        <v>9.7327984660567139</v>
      </c>
      <c r="AC199" s="9">
        <f>AVERAGE(U205:U218)</f>
        <v>123.35011303821462</v>
      </c>
    </row>
    <row r="200" spans="1:29" x14ac:dyDescent="0.25">
      <c r="A200">
        <v>5240</v>
      </c>
      <c r="B200">
        <v>23690</v>
      </c>
      <c r="C200" s="5">
        <v>42778</v>
      </c>
      <c r="F200" s="60"/>
      <c r="G200">
        <v>2.8</v>
      </c>
      <c r="H200">
        <v>-0.7</v>
      </c>
      <c r="I200">
        <v>6.5</v>
      </c>
      <c r="J200">
        <f t="shared" si="25"/>
        <v>1502.6</v>
      </c>
      <c r="K200">
        <f t="shared" si="28"/>
        <v>78.7</v>
      </c>
      <c r="L200" s="11">
        <v>5</v>
      </c>
      <c r="M200" s="68">
        <v>0</v>
      </c>
      <c r="N200">
        <v>0.4</v>
      </c>
      <c r="O200">
        <f t="shared" si="20"/>
        <v>-0.4</v>
      </c>
      <c r="P200">
        <f t="shared" si="23"/>
        <v>102.60000000000001</v>
      </c>
      <c r="Q200">
        <v>174</v>
      </c>
      <c r="R200">
        <f t="shared" si="27"/>
        <v>1.035593220338983</v>
      </c>
      <c r="S200" s="9">
        <f t="shared" si="21"/>
        <v>0.41423728813559324</v>
      </c>
      <c r="T200" s="9">
        <f t="shared" si="22"/>
        <v>-0.41423728813559324</v>
      </c>
      <c r="U200" s="9">
        <f t="shared" si="26"/>
        <v>124.22835759027272</v>
      </c>
      <c r="W200">
        <v>137.80000000000001</v>
      </c>
      <c r="Y200">
        <f t="shared" si="24"/>
        <v>101843.00000000004</v>
      </c>
      <c r="Z200">
        <f t="shared" si="29"/>
        <v>3379.7000000000003</v>
      </c>
      <c r="AA200">
        <v>9.7859006855694535</v>
      </c>
      <c r="AC200" s="1" t="s">
        <v>67</v>
      </c>
    </row>
    <row r="201" spans="1:29" x14ac:dyDescent="0.25">
      <c r="A201">
        <v>5240</v>
      </c>
      <c r="B201">
        <v>23690</v>
      </c>
      <c r="C201" s="5">
        <v>42779</v>
      </c>
      <c r="F201" s="60"/>
      <c r="G201">
        <v>5.8</v>
      </c>
      <c r="H201">
        <v>2.8</v>
      </c>
      <c r="I201">
        <v>9</v>
      </c>
      <c r="J201">
        <f t="shared" si="25"/>
        <v>1508.3999999999999</v>
      </c>
      <c r="K201">
        <f t="shared" si="28"/>
        <v>84.5</v>
      </c>
      <c r="M201" s="68">
        <v>0.3</v>
      </c>
      <c r="N201">
        <v>1.2</v>
      </c>
      <c r="O201">
        <f t="shared" si="20"/>
        <v>-0.89999999999999991</v>
      </c>
      <c r="P201">
        <f t="shared" si="23"/>
        <v>101.7</v>
      </c>
      <c r="Q201">
        <v>175</v>
      </c>
      <c r="R201">
        <f t="shared" si="27"/>
        <v>1.0381355932203389</v>
      </c>
      <c r="S201" s="9">
        <f t="shared" si="21"/>
        <v>1.2457627118644066</v>
      </c>
      <c r="T201" s="9">
        <f t="shared" si="22"/>
        <v>-0.94576271186440652</v>
      </c>
      <c r="U201" s="9">
        <f t="shared" si="26"/>
        <v>123.28259487840832</v>
      </c>
      <c r="W201">
        <v>895.1</v>
      </c>
      <c r="Y201">
        <f t="shared" si="24"/>
        <v>102738.10000000005</v>
      </c>
      <c r="Z201">
        <f t="shared" si="29"/>
        <v>4274.8</v>
      </c>
      <c r="AA201">
        <v>9.8394441391418663</v>
      </c>
      <c r="AC201">
        <v>3</v>
      </c>
    </row>
    <row r="202" spans="1:29" x14ac:dyDescent="0.25">
      <c r="A202">
        <v>5240</v>
      </c>
      <c r="B202">
        <v>23690</v>
      </c>
      <c r="C202" s="5">
        <v>42780</v>
      </c>
      <c r="F202" s="60"/>
      <c r="G202">
        <v>9</v>
      </c>
      <c r="H202">
        <v>4.9000000000000004</v>
      </c>
      <c r="I202">
        <v>12.1</v>
      </c>
      <c r="J202">
        <f t="shared" si="25"/>
        <v>1517.3999999999999</v>
      </c>
      <c r="K202">
        <f t="shared" si="28"/>
        <v>93.5</v>
      </c>
      <c r="M202" s="68">
        <v>0</v>
      </c>
      <c r="N202">
        <v>0.4</v>
      </c>
      <c r="O202">
        <f t="shared" si="20"/>
        <v>-0.4</v>
      </c>
      <c r="P202">
        <f t="shared" si="23"/>
        <v>101.3</v>
      </c>
      <c r="Q202">
        <v>176</v>
      </c>
      <c r="R202">
        <f t="shared" si="27"/>
        <v>1.0406779661016949</v>
      </c>
      <c r="S202" s="9">
        <f t="shared" si="21"/>
        <v>0.41627118644067801</v>
      </c>
      <c r="T202" s="9">
        <f t="shared" si="22"/>
        <v>-0.41627118644067801</v>
      </c>
      <c r="U202" s="9">
        <f t="shared" si="26"/>
        <v>122.86632369196764</v>
      </c>
      <c r="W202">
        <v>273.60000000000002</v>
      </c>
      <c r="Y202">
        <f t="shared" si="24"/>
        <v>103011.70000000006</v>
      </c>
      <c r="Z202">
        <f t="shared" si="29"/>
        <v>4548.4000000000005</v>
      </c>
      <c r="AA202">
        <v>9.8934110572852045</v>
      </c>
      <c r="AC202" s="1" t="s">
        <v>68</v>
      </c>
    </row>
    <row r="203" spans="1:29" x14ac:dyDescent="0.25">
      <c r="A203">
        <v>5240</v>
      </c>
      <c r="B203">
        <v>23690</v>
      </c>
      <c r="C203" s="5">
        <v>42781</v>
      </c>
      <c r="F203" s="60"/>
      <c r="G203">
        <v>10.199999999999999</v>
      </c>
      <c r="H203">
        <v>7.8</v>
      </c>
      <c r="I203">
        <v>14.5</v>
      </c>
      <c r="J203">
        <f t="shared" si="25"/>
        <v>1527.6</v>
      </c>
      <c r="K203">
        <f t="shared" si="28"/>
        <v>103.7</v>
      </c>
      <c r="M203" s="68">
        <v>1.3</v>
      </c>
      <c r="N203">
        <v>1.2</v>
      </c>
      <c r="O203">
        <f t="shared" si="20"/>
        <v>0.10000000000000009</v>
      </c>
      <c r="P203">
        <f t="shared" si="23"/>
        <v>101.39999999999999</v>
      </c>
      <c r="Q203">
        <v>177</v>
      </c>
      <c r="R203">
        <f t="shared" si="27"/>
        <v>1.0432203389830508</v>
      </c>
      <c r="S203" s="9">
        <f t="shared" si="21"/>
        <v>1.2518644067796609</v>
      </c>
      <c r="T203" s="9">
        <f t="shared" si="22"/>
        <v>4.8135593220339112E-2</v>
      </c>
      <c r="U203" s="9">
        <f t="shared" si="26"/>
        <v>122.91445928518797</v>
      </c>
      <c r="W203">
        <v>874.6</v>
      </c>
      <c r="Y203">
        <f t="shared" si="24"/>
        <v>103886.30000000006</v>
      </c>
      <c r="Z203">
        <f t="shared" si="29"/>
        <v>5423.0000000000009</v>
      </c>
      <c r="AA203">
        <v>9.9477840974177969</v>
      </c>
      <c r="AC203">
        <v>6</v>
      </c>
    </row>
    <row r="204" spans="1:29" x14ac:dyDescent="0.25">
      <c r="A204">
        <v>5240</v>
      </c>
      <c r="B204">
        <v>23690</v>
      </c>
      <c r="C204" s="5">
        <v>42782</v>
      </c>
      <c r="F204" s="60"/>
      <c r="G204">
        <v>8.5</v>
      </c>
      <c r="H204">
        <v>5.7</v>
      </c>
      <c r="I204">
        <v>12.3</v>
      </c>
      <c r="J204">
        <f t="shared" si="25"/>
        <v>1536.1</v>
      </c>
      <c r="K204">
        <f t="shared" si="28"/>
        <v>112.2</v>
      </c>
      <c r="M204" s="68">
        <v>1.8</v>
      </c>
      <c r="N204">
        <v>0.6</v>
      </c>
      <c r="O204">
        <f t="shared" si="20"/>
        <v>1.2000000000000002</v>
      </c>
      <c r="P204">
        <f t="shared" si="23"/>
        <v>102.6</v>
      </c>
      <c r="Q204">
        <v>178</v>
      </c>
      <c r="R204">
        <f t="shared" si="27"/>
        <v>1.0457627118644068</v>
      </c>
      <c r="S204" s="9">
        <f t="shared" si="21"/>
        <v>0.62745762711864406</v>
      </c>
      <c r="T204" s="9">
        <f t="shared" si="22"/>
        <v>1.172542372881356</v>
      </c>
      <c r="U204" s="9">
        <f t="shared" si="26"/>
        <v>124.08700165806933</v>
      </c>
      <c r="W204">
        <v>462.7</v>
      </c>
      <c r="Y204">
        <f t="shared" si="24"/>
        <v>104349.00000000006</v>
      </c>
      <c r="Z204">
        <f t="shared" si="29"/>
        <v>5885.7000000000007</v>
      </c>
      <c r="AA204">
        <v>10.00254634284601</v>
      </c>
      <c r="AC204" s="1" t="s">
        <v>69</v>
      </c>
    </row>
    <row r="205" spans="1:29" x14ac:dyDescent="0.25">
      <c r="A205">
        <v>5240</v>
      </c>
      <c r="B205">
        <v>23690</v>
      </c>
      <c r="C205" s="5">
        <v>42783</v>
      </c>
      <c r="F205" s="60"/>
      <c r="G205">
        <v>4.5</v>
      </c>
      <c r="H205">
        <v>2.8</v>
      </c>
      <c r="I205">
        <v>7.3</v>
      </c>
      <c r="J205">
        <f t="shared" si="25"/>
        <v>1540.6</v>
      </c>
      <c r="K205">
        <f t="shared" si="28"/>
        <v>116.7</v>
      </c>
      <c r="M205" s="68">
        <v>0</v>
      </c>
      <c r="N205">
        <v>0.5</v>
      </c>
      <c r="O205">
        <f t="shared" si="20"/>
        <v>-0.5</v>
      </c>
      <c r="P205">
        <f t="shared" si="23"/>
        <v>102.1</v>
      </c>
      <c r="Q205">
        <v>179</v>
      </c>
      <c r="R205">
        <f t="shared" si="27"/>
        <v>1.0483050847457627</v>
      </c>
      <c r="S205" s="9">
        <f t="shared" si="21"/>
        <v>0.52415254237288134</v>
      </c>
      <c r="T205" s="9">
        <f t="shared" si="22"/>
        <v>-0.52415254237288134</v>
      </c>
      <c r="U205" s="69">
        <f t="shared" si="26"/>
        <v>123.56284911569645</v>
      </c>
      <c r="W205">
        <v>450.5</v>
      </c>
      <c r="Y205">
        <f t="shared" si="24"/>
        <v>104799.50000000006</v>
      </c>
      <c r="Z205">
        <f t="shared" si="29"/>
        <v>6336.2000000000007</v>
      </c>
      <c r="AA205">
        <v>10.05768130058375</v>
      </c>
      <c r="AC205">
        <v>0</v>
      </c>
    </row>
    <row r="206" spans="1:29" x14ac:dyDescent="0.25">
      <c r="A206">
        <v>5240</v>
      </c>
      <c r="B206">
        <v>23690</v>
      </c>
      <c r="C206" s="5">
        <v>42784</v>
      </c>
      <c r="F206" s="60"/>
      <c r="G206">
        <v>4.4000000000000004</v>
      </c>
      <c r="H206">
        <v>0.6</v>
      </c>
      <c r="I206">
        <v>9.4</v>
      </c>
      <c r="J206">
        <f t="shared" si="25"/>
        <v>1545</v>
      </c>
      <c r="K206">
        <f t="shared" si="28"/>
        <v>121.10000000000001</v>
      </c>
      <c r="M206" s="68">
        <v>0</v>
      </c>
      <c r="N206">
        <v>1</v>
      </c>
      <c r="O206">
        <f t="shared" si="20"/>
        <v>-1</v>
      </c>
      <c r="P206">
        <f t="shared" si="23"/>
        <v>101.1</v>
      </c>
      <c r="Q206">
        <v>180</v>
      </c>
      <c r="R206">
        <f t="shared" si="27"/>
        <v>1.0508474576271185</v>
      </c>
      <c r="S206" s="9">
        <f t="shared" si="21"/>
        <v>1.0508474576271185</v>
      </c>
      <c r="T206" s="9">
        <f t="shared" si="22"/>
        <v>-1.0508474576271185</v>
      </c>
      <c r="U206" s="69">
        <f t="shared" si="26"/>
        <v>122.51200165806934</v>
      </c>
      <c r="W206">
        <v>1000.4</v>
      </c>
      <c r="Y206">
        <f t="shared" si="24"/>
        <v>105799.90000000005</v>
      </c>
      <c r="Z206">
        <f t="shared" si="29"/>
        <v>7336.6</v>
      </c>
      <c r="AA206">
        <v>10.113172898078894</v>
      </c>
      <c r="AC206" s="1" t="s">
        <v>70</v>
      </c>
    </row>
    <row r="207" spans="1:29" x14ac:dyDescent="0.25">
      <c r="A207">
        <v>5240</v>
      </c>
      <c r="B207">
        <v>23690</v>
      </c>
      <c r="C207" s="5">
        <v>42785</v>
      </c>
      <c r="F207" s="60"/>
      <c r="G207">
        <v>5</v>
      </c>
      <c r="H207">
        <v>-2.4</v>
      </c>
      <c r="I207">
        <v>9.1999999999999993</v>
      </c>
      <c r="J207">
        <f t="shared" si="25"/>
        <v>1550</v>
      </c>
      <c r="K207">
        <f t="shared" si="28"/>
        <v>126.10000000000001</v>
      </c>
      <c r="M207" s="68">
        <v>0.2</v>
      </c>
      <c r="N207">
        <v>0.6</v>
      </c>
      <c r="O207">
        <f t="shared" si="20"/>
        <v>-0.39999999999999997</v>
      </c>
      <c r="P207">
        <f t="shared" si="23"/>
        <v>100.69999999999999</v>
      </c>
      <c r="Q207">
        <v>181</v>
      </c>
      <c r="R207">
        <f t="shared" si="27"/>
        <v>1.0533898305084746</v>
      </c>
      <c r="S207" s="9">
        <f t="shared" si="21"/>
        <v>0.63203389830508472</v>
      </c>
      <c r="T207" s="9">
        <f t="shared" si="22"/>
        <v>-0.43203389830508471</v>
      </c>
      <c r="U207" s="69">
        <f t="shared" si="26"/>
        <v>122.07996775976426</v>
      </c>
      <c r="W207">
        <v>762.1</v>
      </c>
      <c r="Y207">
        <f t="shared" si="24"/>
        <v>106562.00000000006</v>
      </c>
      <c r="Z207">
        <f t="shared" si="29"/>
        <v>8098.7000000000007</v>
      </c>
      <c r="AA207">
        <v>10.169005478913249</v>
      </c>
      <c r="AC207">
        <f>SUM(M209:M218)</f>
        <v>19.5</v>
      </c>
    </row>
    <row r="208" spans="1:29" s="65" customFormat="1" x14ac:dyDescent="0.25">
      <c r="A208" s="65">
        <v>5240</v>
      </c>
      <c r="B208" s="65">
        <v>23690</v>
      </c>
      <c r="C208" s="66">
        <v>42786</v>
      </c>
      <c r="D208" s="65" t="s">
        <v>64</v>
      </c>
      <c r="F208" s="60"/>
      <c r="G208" s="65">
        <v>8.6</v>
      </c>
      <c r="H208" s="65">
        <v>6.2</v>
      </c>
      <c r="I208" s="65">
        <v>10.5</v>
      </c>
      <c r="J208" s="65">
        <f t="shared" si="25"/>
        <v>1558.6</v>
      </c>
      <c r="K208" s="65">
        <f t="shared" si="28"/>
        <v>134.70000000000002</v>
      </c>
      <c r="M208" s="65">
        <v>0.2</v>
      </c>
      <c r="N208" s="65">
        <v>0.2</v>
      </c>
      <c r="O208" s="65">
        <f t="shared" si="20"/>
        <v>0</v>
      </c>
      <c r="P208" s="65">
        <f t="shared" si="23"/>
        <v>100.69999999999999</v>
      </c>
      <c r="Q208" s="65">
        <v>182</v>
      </c>
      <c r="R208" s="65">
        <f t="shared" si="27"/>
        <v>1.0559322033898304</v>
      </c>
      <c r="S208" s="67">
        <f t="shared" si="21"/>
        <v>0.2111864406779661</v>
      </c>
      <c r="T208" s="67">
        <f t="shared" si="22"/>
        <v>-1.1186440677966092E-2</v>
      </c>
      <c r="U208" s="67">
        <f t="shared" si="26"/>
        <v>122.0687813190863</v>
      </c>
      <c r="W208" s="65">
        <v>183.4</v>
      </c>
      <c r="Y208" s="65">
        <f t="shared" si="24"/>
        <v>106745.40000000005</v>
      </c>
      <c r="Z208" s="65">
        <f t="shared" si="29"/>
        <v>8282.1</v>
      </c>
      <c r="AA208" s="65">
        <v>10.225163797540738</v>
      </c>
    </row>
    <row r="209" spans="1:30" x14ac:dyDescent="0.25">
      <c r="A209">
        <v>5240</v>
      </c>
      <c r="B209">
        <v>23690</v>
      </c>
      <c r="C209" s="5">
        <v>42787</v>
      </c>
      <c r="F209" s="60"/>
      <c r="G209">
        <v>10.199999999999999</v>
      </c>
      <c r="H209">
        <v>9.1999999999999993</v>
      </c>
      <c r="I209">
        <v>10.9</v>
      </c>
      <c r="J209">
        <f t="shared" si="25"/>
        <v>1568.8</v>
      </c>
      <c r="K209">
        <f t="shared" si="28"/>
        <v>144.9</v>
      </c>
      <c r="M209" s="68">
        <v>0</v>
      </c>
      <c r="N209">
        <v>0.3</v>
      </c>
      <c r="O209">
        <f t="shared" si="20"/>
        <v>-0.3</v>
      </c>
      <c r="P209">
        <f t="shared" si="23"/>
        <v>100.39999999999999</v>
      </c>
      <c r="Q209">
        <v>183</v>
      </c>
      <c r="R209">
        <f t="shared" si="27"/>
        <v>1.0584745762711865</v>
      </c>
      <c r="S209" s="9">
        <f t="shared" si="21"/>
        <v>0.31754237288135595</v>
      </c>
      <c r="T209" s="9">
        <f t="shared" si="22"/>
        <v>-0.31754237288135595</v>
      </c>
      <c r="U209" s="69">
        <f t="shared" si="26"/>
        <v>121.75123894620494</v>
      </c>
      <c r="W209">
        <v>175.9</v>
      </c>
      <c r="Y209">
        <f t="shared" si="24"/>
        <v>106921.30000000005</v>
      </c>
      <c r="Z209">
        <f t="shared" si="29"/>
        <v>8458</v>
      </c>
      <c r="AA209">
        <v>10.281633013126291</v>
      </c>
    </row>
    <row r="210" spans="1:30" x14ac:dyDescent="0.25">
      <c r="A210">
        <v>5240</v>
      </c>
      <c r="B210">
        <v>23690</v>
      </c>
      <c r="C210" s="5">
        <v>42788</v>
      </c>
      <c r="F210" s="60"/>
      <c r="G210">
        <v>9.9</v>
      </c>
      <c r="H210">
        <v>9</v>
      </c>
      <c r="I210">
        <v>11</v>
      </c>
      <c r="J210">
        <f t="shared" si="25"/>
        <v>1578.7</v>
      </c>
      <c r="K210">
        <f t="shared" si="28"/>
        <v>154.80000000000001</v>
      </c>
      <c r="M210" s="68">
        <v>0</v>
      </c>
      <c r="N210">
        <v>0.9</v>
      </c>
      <c r="O210">
        <f t="shared" si="20"/>
        <v>-0.9</v>
      </c>
      <c r="P210">
        <f t="shared" si="23"/>
        <v>99.499999999999986</v>
      </c>
      <c r="Q210">
        <v>184</v>
      </c>
      <c r="R210">
        <f t="shared" si="27"/>
        <v>1.0610169491525423</v>
      </c>
      <c r="S210" s="9">
        <f t="shared" si="21"/>
        <v>0.95491525423728807</v>
      </c>
      <c r="T210" s="9">
        <f t="shared" si="22"/>
        <v>-0.95491525423728807</v>
      </c>
      <c r="U210" s="69">
        <f t="shared" si="26"/>
        <v>120.79632369196764</v>
      </c>
      <c r="W210">
        <v>263.89999999999998</v>
      </c>
      <c r="Y210">
        <f t="shared" si="24"/>
        <v>107185.20000000004</v>
      </c>
      <c r="Z210">
        <f t="shared" si="29"/>
        <v>8721.9</v>
      </c>
      <c r="AA210">
        <v>10.338398682545732</v>
      </c>
      <c r="AD210" s="1" t="s">
        <v>66</v>
      </c>
    </row>
    <row r="211" spans="1:30" x14ac:dyDescent="0.25">
      <c r="A211">
        <v>5240</v>
      </c>
      <c r="B211">
        <v>23690</v>
      </c>
      <c r="C211" s="5">
        <v>42789</v>
      </c>
      <c r="F211" s="60"/>
      <c r="G211">
        <v>8.4</v>
      </c>
      <c r="H211">
        <v>8.1999999999999993</v>
      </c>
      <c r="I211">
        <v>9.9</v>
      </c>
      <c r="J211">
        <f t="shared" si="25"/>
        <v>1587.1000000000001</v>
      </c>
      <c r="K211">
        <f t="shared" si="28"/>
        <v>163.20000000000002</v>
      </c>
      <c r="M211" s="68">
        <v>0.2</v>
      </c>
      <c r="N211">
        <v>1.1000000000000001</v>
      </c>
      <c r="O211">
        <f t="shared" si="20"/>
        <v>-0.90000000000000013</v>
      </c>
      <c r="P211">
        <f t="shared" si="23"/>
        <v>98.59999999999998</v>
      </c>
      <c r="Q211">
        <v>185</v>
      </c>
      <c r="R211">
        <f t="shared" si="27"/>
        <v>1.0635593220338984</v>
      </c>
      <c r="S211" s="9">
        <f t="shared" si="21"/>
        <v>1.1699152542372884</v>
      </c>
      <c r="T211" s="9">
        <f t="shared" si="22"/>
        <v>-0.96991525423728842</v>
      </c>
      <c r="U211" s="69">
        <f t="shared" si="26"/>
        <v>119.82640843773035</v>
      </c>
      <c r="W211">
        <v>294.5</v>
      </c>
      <c r="Y211">
        <f t="shared" si="24"/>
        <v>107479.70000000004</v>
      </c>
      <c r="Z211">
        <f t="shared" si="29"/>
        <v>9016.4</v>
      </c>
      <c r="AA211">
        <v>10.395446752604498</v>
      </c>
      <c r="AD211" s="9">
        <f>(AC199*(90/185))+(AC221*(95/185))</f>
        <v>144.68812265800392</v>
      </c>
    </row>
    <row r="212" spans="1:30" x14ac:dyDescent="0.25">
      <c r="A212">
        <v>5240</v>
      </c>
      <c r="B212">
        <v>23690</v>
      </c>
      <c r="C212" s="5">
        <v>42790</v>
      </c>
      <c r="F212" s="60"/>
      <c r="G212">
        <v>4.2</v>
      </c>
      <c r="H212">
        <v>2</v>
      </c>
      <c r="I212">
        <v>8.4</v>
      </c>
      <c r="J212">
        <f t="shared" si="25"/>
        <v>1591.3000000000002</v>
      </c>
      <c r="K212">
        <f t="shared" si="28"/>
        <v>167.4</v>
      </c>
      <c r="M212" s="68">
        <v>0</v>
      </c>
      <c r="N212">
        <v>0.9</v>
      </c>
      <c r="O212">
        <f t="shared" si="20"/>
        <v>-0.9</v>
      </c>
      <c r="P212">
        <f t="shared" si="23"/>
        <v>97.699999999999974</v>
      </c>
      <c r="Q212">
        <v>186</v>
      </c>
      <c r="R212">
        <f t="shared" si="27"/>
        <v>1.0661016949152542</v>
      </c>
      <c r="S212" s="9">
        <f t="shared" si="21"/>
        <v>0.95949152542372884</v>
      </c>
      <c r="T212" s="9">
        <f t="shared" si="22"/>
        <v>-0.95949152542372884</v>
      </c>
      <c r="U212" s="69">
        <f t="shared" si="26"/>
        <v>118.86691691230662</v>
      </c>
      <c r="W212">
        <v>738.7</v>
      </c>
      <c r="Y212">
        <f t="shared" si="24"/>
        <v>108218.40000000004</v>
      </c>
      <c r="Z212">
        <f t="shared" si="29"/>
        <v>9755.1</v>
      </c>
      <c r="AA212">
        <v>10.452763551530637</v>
      </c>
      <c r="AD212" s="1" t="s">
        <v>67</v>
      </c>
    </row>
    <row r="213" spans="1:30" x14ac:dyDescent="0.25">
      <c r="A213">
        <v>5240</v>
      </c>
      <c r="B213">
        <v>23690</v>
      </c>
      <c r="C213" s="5">
        <v>42791</v>
      </c>
      <c r="F213" s="60"/>
      <c r="G213">
        <v>4.5</v>
      </c>
      <c r="H213">
        <v>-1.5</v>
      </c>
      <c r="I213">
        <v>9.3000000000000007</v>
      </c>
      <c r="J213">
        <f t="shared" si="25"/>
        <v>1595.8000000000002</v>
      </c>
      <c r="K213">
        <f t="shared" si="28"/>
        <v>171.9</v>
      </c>
      <c r="M213" s="68">
        <v>0</v>
      </c>
      <c r="N213">
        <v>0.9</v>
      </c>
      <c r="O213">
        <f t="shared" si="20"/>
        <v>-0.9</v>
      </c>
      <c r="P213">
        <f t="shared" si="23"/>
        <v>96.799999999999969</v>
      </c>
      <c r="Q213">
        <v>187</v>
      </c>
      <c r="R213">
        <f t="shared" si="27"/>
        <v>1.06864406779661</v>
      </c>
      <c r="S213" s="9">
        <f t="shared" si="21"/>
        <v>0.96177966101694901</v>
      </c>
      <c r="T213" s="9">
        <f t="shared" si="22"/>
        <v>-0.96177966101694901</v>
      </c>
      <c r="U213" s="69">
        <f t="shared" si="26"/>
        <v>117.90513725128967</v>
      </c>
      <c r="W213">
        <v>856.5</v>
      </c>
      <c r="Y213">
        <f t="shared" si="24"/>
        <v>109074.90000000004</v>
      </c>
      <c r="Z213">
        <f t="shared" si="29"/>
        <v>10611.6</v>
      </c>
      <c r="AA213">
        <v>10.510335779794962</v>
      </c>
      <c r="AD213" s="32">
        <f>(AC201*(90/185))+(AC223*(95/185))</f>
        <v>2.4864864864864868</v>
      </c>
    </row>
    <row r="214" spans="1:30" x14ac:dyDescent="0.25">
      <c r="A214">
        <v>5240</v>
      </c>
      <c r="B214">
        <v>23690</v>
      </c>
      <c r="C214" s="5">
        <v>42792</v>
      </c>
      <c r="F214" s="60"/>
      <c r="G214">
        <v>8.6</v>
      </c>
      <c r="H214">
        <v>5</v>
      </c>
      <c r="I214">
        <v>11.3</v>
      </c>
      <c r="J214">
        <f t="shared" si="25"/>
        <v>1604.4</v>
      </c>
      <c r="K214">
        <f t="shared" si="28"/>
        <v>180.5</v>
      </c>
      <c r="M214" s="68">
        <v>0</v>
      </c>
      <c r="N214">
        <v>0.6</v>
      </c>
      <c r="O214">
        <f t="shared" si="20"/>
        <v>-0.6</v>
      </c>
      <c r="P214">
        <f t="shared" si="23"/>
        <v>96.199999999999974</v>
      </c>
      <c r="Q214">
        <v>188</v>
      </c>
      <c r="R214">
        <f t="shared" si="27"/>
        <v>1.0711864406779661</v>
      </c>
      <c r="S214" s="9">
        <f t="shared" si="21"/>
        <v>0.64271186440677963</v>
      </c>
      <c r="T214" s="9">
        <f t="shared" si="22"/>
        <v>-0.64271186440677963</v>
      </c>
      <c r="U214" s="69">
        <f t="shared" si="26"/>
        <v>117.2624253868829</v>
      </c>
      <c r="W214">
        <v>201.3</v>
      </c>
      <c r="Y214">
        <f t="shared" si="24"/>
        <v>109276.20000000004</v>
      </c>
      <c r="Z214">
        <f t="shared" si="29"/>
        <v>10812.9</v>
      </c>
      <c r="AA214">
        <v>10.568150500308741</v>
      </c>
      <c r="AD214" s="1" t="s">
        <v>68</v>
      </c>
    </row>
    <row r="215" spans="1:30" x14ac:dyDescent="0.25">
      <c r="A215">
        <v>5240</v>
      </c>
      <c r="B215">
        <v>23690</v>
      </c>
      <c r="C215" s="5">
        <v>42793</v>
      </c>
      <c r="F215" s="60"/>
      <c r="G215">
        <v>8</v>
      </c>
      <c r="H215">
        <v>6.4</v>
      </c>
      <c r="I215">
        <v>10</v>
      </c>
      <c r="J215">
        <f t="shared" si="25"/>
        <v>1612.4</v>
      </c>
      <c r="K215">
        <f t="shared" si="28"/>
        <v>188.5</v>
      </c>
      <c r="M215" s="68">
        <v>9.3000000000000007</v>
      </c>
      <c r="N215">
        <v>0.8</v>
      </c>
      <c r="O215">
        <f t="shared" si="20"/>
        <v>8.5</v>
      </c>
      <c r="P215">
        <f t="shared" si="23"/>
        <v>104.69999999999997</v>
      </c>
      <c r="Q215">
        <v>189</v>
      </c>
      <c r="R215">
        <f t="shared" si="27"/>
        <v>1.0737288135593219</v>
      </c>
      <c r="S215" s="9">
        <f t="shared" si="21"/>
        <v>0.85898305084745763</v>
      </c>
      <c r="T215" s="9">
        <f t="shared" si="22"/>
        <v>8.4410169491525426</v>
      </c>
      <c r="U215" s="69">
        <f t="shared" si="26"/>
        <v>125.70344233603544</v>
      </c>
      <c r="W215">
        <v>238.8</v>
      </c>
      <c r="Y215">
        <f t="shared" si="24"/>
        <v>109515.00000000004</v>
      </c>
      <c r="Z215">
        <f t="shared" si="29"/>
        <v>11051.699999999999</v>
      </c>
      <c r="AA215">
        <v>10.62619512804673</v>
      </c>
      <c r="AD215" s="32">
        <f>(AC203*(90/185))+(AC225*(95/185))</f>
        <v>4.4594594594594597</v>
      </c>
    </row>
    <row r="216" spans="1:30" x14ac:dyDescent="0.25">
      <c r="A216">
        <v>5240</v>
      </c>
      <c r="B216">
        <v>23690</v>
      </c>
      <c r="C216" s="5">
        <v>42794</v>
      </c>
      <c r="F216" s="60"/>
      <c r="G216">
        <v>5.2</v>
      </c>
      <c r="H216">
        <v>3.5</v>
      </c>
      <c r="I216">
        <v>6.5</v>
      </c>
      <c r="J216">
        <f t="shared" si="25"/>
        <v>1617.6000000000001</v>
      </c>
      <c r="K216">
        <f t="shared" si="28"/>
        <v>193.7</v>
      </c>
      <c r="M216" s="68">
        <v>2.2000000000000002</v>
      </c>
      <c r="N216">
        <v>0.7</v>
      </c>
      <c r="O216">
        <f t="shared" si="20"/>
        <v>1.5000000000000002</v>
      </c>
      <c r="P216">
        <f t="shared" si="23"/>
        <v>106.19999999999997</v>
      </c>
      <c r="Q216">
        <v>190</v>
      </c>
      <c r="R216">
        <f t="shared" si="27"/>
        <v>1.076271186440678</v>
      </c>
      <c r="S216" s="9">
        <f t="shared" si="21"/>
        <v>0.75338983050847452</v>
      </c>
      <c r="T216" s="9">
        <f t="shared" si="22"/>
        <v>1.4466101694915257</v>
      </c>
      <c r="U216" s="69">
        <f t="shared" si="26"/>
        <v>127.15005250552696</v>
      </c>
      <c r="W216">
        <v>381</v>
      </c>
      <c r="Y216">
        <f t="shared" si="24"/>
        <v>109896.00000000004</v>
      </c>
      <c r="Z216">
        <f t="shared" si="29"/>
        <v>11432.699999999999</v>
      </c>
      <c r="AA216">
        <v>10.684457419140809</v>
      </c>
      <c r="AD216" s="1" t="s">
        <v>69</v>
      </c>
    </row>
    <row r="217" spans="1:30" x14ac:dyDescent="0.25">
      <c r="A217">
        <v>5240</v>
      </c>
      <c r="B217">
        <v>23690</v>
      </c>
      <c r="C217" s="5">
        <v>42795</v>
      </c>
      <c r="F217" s="60"/>
      <c r="G217">
        <v>7.7</v>
      </c>
      <c r="H217">
        <v>5.7</v>
      </c>
      <c r="I217">
        <v>11</v>
      </c>
      <c r="J217">
        <f t="shared" si="25"/>
        <v>1625.3000000000002</v>
      </c>
      <c r="K217">
        <f t="shared" si="28"/>
        <v>201.39999999999998</v>
      </c>
      <c r="M217" s="68">
        <v>7.8</v>
      </c>
      <c r="N217">
        <v>0.6</v>
      </c>
      <c r="O217">
        <f t="shared" si="20"/>
        <v>7.2</v>
      </c>
      <c r="P217">
        <f t="shared" si="23"/>
        <v>113.39999999999998</v>
      </c>
      <c r="Q217">
        <v>191</v>
      </c>
      <c r="R217">
        <f t="shared" si="27"/>
        <v>1.0788135593220338</v>
      </c>
      <c r="S217" s="9">
        <f t="shared" si="21"/>
        <v>0.64728813559322029</v>
      </c>
      <c r="T217" s="9">
        <f t="shared" si="22"/>
        <v>7.1527118644067791</v>
      </c>
      <c r="U217" s="69">
        <f t="shared" si="26"/>
        <v>134.30276436993373</v>
      </c>
      <c r="W217">
        <v>193.7</v>
      </c>
      <c r="Y217">
        <f t="shared" si="24"/>
        <v>110089.70000000004</v>
      </c>
      <c r="Z217">
        <f t="shared" si="29"/>
        <v>11626.4</v>
      </c>
      <c r="AA217">
        <v>10.742925459487026</v>
      </c>
      <c r="AD217">
        <f>(AC205*(90/185))+(AC227*(95/185))</f>
        <v>0</v>
      </c>
    </row>
    <row r="218" spans="1:30" x14ac:dyDescent="0.25">
      <c r="A218">
        <v>5240</v>
      </c>
      <c r="B218">
        <v>23690</v>
      </c>
      <c r="C218" s="5">
        <v>42796</v>
      </c>
      <c r="F218" s="60"/>
      <c r="G218">
        <v>7.3</v>
      </c>
      <c r="H218">
        <v>4.5999999999999996</v>
      </c>
      <c r="I218">
        <v>10.8</v>
      </c>
      <c r="J218">
        <f t="shared" si="25"/>
        <v>1632.6000000000001</v>
      </c>
      <c r="K218">
        <f t="shared" si="28"/>
        <v>208.7</v>
      </c>
      <c r="M218" s="68">
        <v>0</v>
      </c>
      <c r="N218">
        <v>1.1000000000000001</v>
      </c>
      <c r="O218">
        <f t="shared" si="20"/>
        <v>-1.1000000000000001</v>
      </c>
      <c r="P218">
        <f t="shared" si="23"/>
        <v>112.29999999999998</v>
      </c>
      <c r="Q218">
        <v>192</v>
      </c>
      <c r="R218">
        <f t="shared" si="27"/>
        <v>1.0813559322033899</v>
      </c>
      <c r="S218" s="9">
        <f t="shared" si="21"/>
        <v>1.189491525423729</v>
      </c>
      <c r="T218" s="9">
        <f t="shared" si="22"/>
        <v>-1.189491525423729</v>
      </c>
      <c r="U218" s="69">
        <f t="shared" si="26"/>
        <v>133.11327284450999</v>
      </c>
      <c r="W218">
        <v>871.1</v>
      </c>
      <c r="Y218">
        <f t="shared" si="24"/>
        <v>110960.80000000005</v>
      </c>
      <c r="Z218">
        <f t="shared" si="29"/>
        <v>12497.5</v>
      </c>
      <c r="AA218">
        <v>10.80158765290626</v>
      </c>
      <c r="AD218" s="1" t="s">
        <v>70</v>
      </c>
    </row>
    <row r="219" spans="1:30" x14ac:dyDescent="0.25">
      <c r="A219">
        <v>5240</v>
      </c>
      <c r="B219">
        <v>23690</v>
      </c>
      <c r="C219" s="5">
        <v>42797</v>
      </c>
      <c r="F219" s="60"/>
      <c r="G219">
        <v>9.6</v>
      </c>
      <c r="H219">
        <v>4.9000000000000004</v>
      </c>
      <c r="I219">
        <v>12.6</v>
      </c>
      <c r="J219">
        <f t="shared" si="25"/>
        <v>1642.2</v>
      </c>
      <c r="K219">
        <f t="shared" si="28"/>
        <v>218.29999999999998</v>
      </c>
      <c r="M219">
        <v>9.6</v>
      </c>
      <c r="N219">
        <v>0.9</v>
      </c>
      <c r="O219">
        <f t="shared" si="20"/>
        <v>8.6999999999999993</v>
      </c>
      <c r="P219">
        <f t="shared" si="23"/>
        <v>120.99999999999999</v>
      </c>
      <c r="Q219">
        <v>193</v>
      </c>
      <c r="R219">
        <f t="shared" si="27"/>
        <v>1.0838983050847457</v>
      </c>
      <c r="S219" s="9">
        <f t="shared" si="21"/>
        <v>0.97550847457627121</v>
      </c>
      <c r="T219" s="9">
        <f t="shared" si="22"/>
        <v>8.6244915254237284</v>
      </c>
      <c r="U219" s="9">
        <f t="shared" si="26"/>
        <v>141.73776436993373</v>
      </c>
      <c r="W219">
        <v>678.1</v>
      </c>
      <c r="Y219">
        <f t="shared" si="24"/>
        <v>111638.90000000005</v>
      </c>
      <c r="Z219">
        <f t="shared" si="29"/>
        <v>13175.6</v>
      </c>
      <c r="AA219">
        <v>10.86043270889645</v>
      </c>
      <c r="AD219" s="32">
        <f>(AC207*(90/185))+(AC229*(95/185))</f>
        <v>16.932432432432435</v>
      </c>
    </row>
    <row r="220" spans="1:30" x14ac:dyDescent="0.25">
      <c r="A220">
        <v>5240</v>
      </c>
      <c r="B220">
        <v>23690</v>
      </c>
      <c r="C220" s="5">
        <v>42798</v>
      </c>
      <c r="F220" s="60"/>
      <c r="G220">
        <v>7.4</v>
      </c>
      <c r="H220">
        <v>6.3</v>
      </c>
      <c r="I220">
        <v>7.9</v>
      </c>
      <c r="J220">
        <f t="shared" si="25"/>
        <v>1649.6000000000001</v>
      </c>
      <c r="K220">
        <f t="shared" si="28"/>
        <v>225.7</v>
      </c>
      <c r="M220" s="68">
        <v>6.5</v>
      </c>
      <c r="N220">
        <v>0.2</v>
      </c>
      <c r="O220">
        <f t="shared" ref="O220:O283" si="30">M220-N220</f>
        <v>6.3</v>
      </c>
      <c r="P220">
        <f t="shared" si="23"/>
        <v>127.29999999999998</v>
      </c>
      <c r="Q220">
        <v>194</v>
      </c>
      <c r="R220">
        <f t="shared" si="27"/>
        <v>1.0864406779661016</v>
      </c>
      <c r="S220" s="9">
        <f t="shared" ref="S220:S283" si="31">R220*N220</f>
        <v>0.21728813559322033</v>
      </c>
      <c r="T220" s="9">
        <f t="shared" ref="T220:T283" si="32">M220-S220</f>
        <v>6.2827118644067799</v>
      </c>
      <c r="U220" s="9">
        <f t="shared" si="26"/>
        <v>148.02047623434052</v>
      </c>
      <c r="W220">
        <v>244.3</v>
      </c>
      <c r="Y220">
        <f t="shared" si="24"/>
        <v>111883.20000000006</v>
      </c>
      <c r="Z220">
        <f t="shared" si="29"/>
        <v>13419.9</v>
      </c>
      <c r="AA220">
        <v>10.919449630011837</v>
      </c>
      <c r="AC220" s="1" t="s">
        <v>66</v>
      </c>
    </row>
    <row r="221" spans="1:30" x14ac:dyDescent="0.25">
      <c r="A221">
        <v>5240</v>
      </c>
      <c r="B221">
        <v>23690</v>
      </c>
      <c r="C221" s="5">
        <v>42799</v>
      </c>
      <c r="F221" s="60"/>
      <c r="G221">
        <v>6.2</v>
      </c>
      <c r="H221">
        <v>4.0999999999999996</v>
      </c>
      <c r="I221">
        <v>7.6</v>
      </c>
      <c r="J221">
        <f t="shared" ref="J221:J284" si="33">J220+G221</f>
        <v>1655.8000000000002</v>
      </c>
      <c r="K221">
        <f t="shared" si="28"/>
        <v>231.89999999999998</v>
      </c>
      <c r="M221" s="68">
        <v>10.199999999999999</v>
      </c>
      <c r="N221">
        <v>0.4</v>
      </c>
      <c r="O221">
        <f t="shared" si="30"/>
        <v>9.7999999999999989</v>
      </c>
      <c r="P221">
        <f t="shared" ref="P221:P284" si="34">P220+O221</f>
        <v>137.1</v>
      </c>
      <c r="Q221">
        <v>195</v>
      </c>
      <c r="R221">
        <f t="shared" si="27"/>
        <v>1.0889830508474576</v>
      </c>
      <c r="S221" s="9">
        <f t="shared" si="31"/>
        <v>0.43559322033898307</v>
      </c>
      <c r="T221" s="9">
        <f t="shared" si="32"/>
        <v>9.7644067796610159</v>
      </c>
      <c r="U221" s="9">
        <f t="shared" si="26"/>
        <v>157.78488301400154</v>
      </c>
      <c r="W221">
        <v>285.60000000000002</v>
      </c>
      <c r="Y221">
        <f t="shared" ref="Y221:Y284" si="35">Y220+W221</f>
        <v>112168.80000000006</v>
      </c>
      <c r="Z221">
        <f t="shared" si="29"/>
        <v>13705.5</v>
      </c>
      <c r="AA221">
        <v>10.978627698902475</v>
      </c>
      <c r="AC221" s="9">
        <f>AVERAGE(U227:U240)</f>
        <v>164.90307913990955</v>
      </c>
    </row>
    <row r="222" spans="1:30" x14ac:dyDescent="0.25">
      <c r="A222">
        <v>5240</v>
      </c>
      <c r="B222">
        <v>23690</v>
      </c>
      <c r="C222" s="5">
        <v>42800</v>
      </c>
      <c r="F222" s="60"/>
      <c r="G222">
        <v>5.3</v>
      </c>
      <c r="H222">
        <v>3.4</v>
      </c>
      <c r="I222">
        <v>5.7</v>
      </c>
      <c r="J222">
        <f t="shared" si="33"/>
        <v>1661.1000000000001</v>
      </c>
      <c r="K222">
        <f t="shared" si="28"/>
        <v>237.2</v>
      </c>
      <c r="M222" s="68">
        <v>12.5</v>
      </c>
      <c r="N222">
        <v>0.2</v>
      </c>
      <c r="O222">
        <f t="shared" si="30"/>
        <v>12.3</v>
      </c>
      <c r="P222">
        <f t="shared" si="34"/>
        <v>149.4</v>
      </c>
      <c r="Q222">
        <v>196</v>
      </c>
      <c r="R222">
        <f t="shared" si="27"/>
        <v>1.0915254237288134</v>
      </c>
      <c r="S222" s="9">
        <f t="shared" si="31"/>
        <v>0.21830508474576271</v>
      </c>
      <c r="T222" s="9">
        <f t="shared" si="32"/>
        <v>12.281694915254237</v>
      </c>
      <c r="U222" s="9">
        <f t="shared" si="26"/>
        <v>170.06657792925577</v>
      </c>
      <c r="W222">
        <v>185.2</v>
      </c>
      <c r="Y222">
        <f t="shared" si="35"/>
        <v>112354.00000000006</v>
      </c>
      <c r="Z222">
        <f t="shared" si="29"/>
        <v>13890.7</v>
      </c>
      <c r="AA222">
        <v>11.037956465045024</v>
      </c>
      <c r="AC222" s="1" t="s">
        <v>67</v>
      </c>
    </row>
    <row r="223" spans="1:30" x14ac:dyDescent="0.25">
      <c r="A223">
        <v>5240</v>
      </c>
      <c r="B223">
        <v>23690</v>
      </c>
      <c r="C223" s="5">
        <v>42801</v>
      </c>
      <c r="F223" s="60"/>
      <c r="G223">
        <v>6.5</v>
      </c>
      <c r="H223">
        <v>4.4000000000000004</v>
      </c>
      <c r="I223">
        <v>8.3000000000000007</v>
      </c>
      <c r="J223">
        <f t="shared" si="33"/>
        <v>1667.6000000000001</v>
      </c>
      <c r="K223">
        <f t="shared" si="28"/>
        <v>243.7</v>
      </c>
      <c r="M223" s="68">
        <v>1.2</v>
      </c>
      <c r="N223">
        <v>0.6</v>
      </c>
      <c r="O223">
        <f t="shared" si="30"/>
        <v>0.6</v>
      </c>
      <c r="P223">
        <f t="shared" si="34"/>
        <v>150</v>
      </c>
      <c r="Q223">
        <v>197</v>
      </c>
      <c r="R223">
        <f t="shared" si="27"/>
        <v>1.0940677966101695</v>
      </c>
      <c r="S223" s="9">
        <f t="shared" si="31"/>
        <v>0.65644067796610173</v>
      </c>
      <c r="T223" s="9">
        <f t="shared" si="32"/>
        <v>0.54355932203389823</v>
      </c>
      <c r="U223" s="9">
        <f t="shared" si="26"/>
        <v>170.61013725128967</v>
      </c>
      <c r="W223">
        <v>535.70000000000005</v>
      </c>
      <c r="Y223">
        <f t="shared" si="35"/>
        <v>112889.70000000006</v>
      </c>
      <c r="Z223">
        <f t="shared" si="29"/>
        <v>14426.400000000001</v>
      </c>
      <c r="AA223">
        <v>11.097425731193734</v>
      </c>
      <c r="AC223">
        <v>2</v>
      </c>
    </row>
    <row r="224" spans="1:30" x14ac:dyDescent="0.25">
      <c r="A224">
        <v>5240</v>
      </c>
      <c r="B224">
        <v>23690</v>
      </c>
      <c r="C224" s="5">
        <v>42802</v>
      </c>
      <c r="F224" s="60"/>
      <c r="G224">
        <v>9.9</v>
      </c>
      <c r="H224">
        <v>5.9</v>
      </c>
      <c r="I224">
        <v>12.3</v>
      </c>
      <c r="J224">
        <f t="shared" si="33"/>
        <v>1677.5000000000002</v>
      </c>
      <c r="K224">
        <f t="shared" si="28"/>
        <v>253.6</v>
      </c>
      <c r="M224" s="68">
        <v>0.2</v>
      </c>
      <c r="N224">
        <v>0.1</v>
      </c>
      <c r="O224">
        <f t="shared" si="30"/>
        <v>0.1</v>
      </c>
      <c r="P224">
        <f t="shared" si="34"/>
        <v>150.1</v>
      </c>
      <c r="Q224">
        <v>198</v>
      </c>
      <c r="R224">
        <f t="shared" si="27"/>
        <v>1.0966101694915253</v>
      </c>
      <c r="S224" s="9">
        <f t="shared" si="31"/>
        <v>0.10966101694915253</v>
      </c>
      <c r="T224" s="9">
        <f t="shared" si="32"/>
        <v>9.0338983050847477E-2</v>
      </c>
      <c r="U224" s="9">
        <f t="shared" si="26"/>
        <v>170.70047623434053</v>
      </c>
      <c r="W224">
        <v>219.9</v>
      </c>
      <c r="Y224">
        <f t="shared" si="35"/>
        <v>113109.60000000005</v>
      </c>
      <c r="Z224">
        <f t="shared" si="29"/>
        <v>14646.300000000001</v>
      </c>
      <c r="AA224">
        <v>11.157025539578509</v>
      </c>
      <c r="AC224" s="1" t="s">
        <v>68</v>
      </c>
    </row>
    <row r="225" spans="1:29" x14ac:dyDescent="0.25">
      <c r="A225">
        <v>5240</v>
      </c>
      <c r="B225">
        <v>23690</v>
      </c>
      <c r="C225" s="5">
        <v>42803</v>
      </c>
      <c r="F225" s="60"/>
      <c r="G225">
        <v>11.6</v>
      </c>
      <c r="H225">
        <v>10.5</v>
      </c>
      <c r="I225">
        <v>12.7</v>
      </c>
      <c r="J225">
        <f t="shared" si="33"/>
        <v>1689.1000000000001</v>
      </c>
      <c r="K225">
        <f t="shared" si="28"/>
        <v>265.2</v>
      </c>
      <c r="M225" s="68">
        <v>0.1</v>
      </c>
      <c r="N225">
        <v>0.2</v>
      </c>
      <c r="O225">
        <f t="shared" si="30"/>
        <v>-0.1</v>
      </c>
      <c r="P225">
        <f t="shared" si="34"/>
        <v>150</v>
      </c>
      <c r="Q225">
        <v>199</v>
      </c>
      <c r="R225">
        <f t="shared" si="27"/>
        <v>1.0991525423728814</v>
      </c>
      <c r="S225" s="9">
        <f t="shared" si="31"/>
        <v>0.2198305084745763</v>
      </c>
      <c r="T225" s="9">
        <f t="shared" si="32"/>
        <v>-0.1198305084745763</v>
      </c>
      <c r="U225" s="9">
        <f t="shared" si="26"/>
        <v>170.58064572586596</v>
      </c>
      <c r="W225">
        <v>221.4</v>
      </c>
      <c r="Y225">
        <f t="shared" si="35"/>
        <v>113331.00000000004</v>
      </c>
      <c r="Z225">
        <f t="shared" si="29"/>
        <v>14867.7</v>
      </c>
      <c r="AA225">
        <v>11.216746157875015</v>
      </c>
      <c r="AC225">
        <v>3</v>
      </c>
    </row>
    <row r="226" spans="1:29" x14ac:dyDescent="0.25">
      <c r="A226">
        <v>5240</v>
      </c>
      <c r="B226">
        <v>23690</v>
      </c>
      <c r="C226" s="5">
        <v>42804</v>
      </c>
      <c r="F226" s="60"/>
      <c r="G226">
        <v>9.1</v>
      </c>
      <c r="H226">
        <v>8.9</v>
      </c>
      <c r="I226">
        <v>10.5</v>
      </c>
      <c r="J226">
        <f t="shared" si="33"/>
        <v>1698.2</v>
      </c>
      <c r="K226">
        <f t="shared" si="28"/>
        <v>274.3</v>
      </c>
      <c r="M226" s="68">
        <v>0.1</v>
      </c>
      <c r="N226">
        <v>0.4</v>
      </c>
      <c r="O226">
        <f t="shared" si="30"/>
        <v>-0.30000000000000004</v>
      </c>
      <c r="P226">
        <f t="shared" si="34"/>
        <v>149.69999999999999</v>
      </c>
      <c r="Q226">
        <v>200</v>
      </c>
      <c r="R226">
        <f t="shared" si="27"/>
        <v>1.1016949152542372</v>
      </c>
      <c r="S226" s="9">
        <f t="shared" si="31"/>
        <v>0.44067796610169491</v>
      </c>
      <c r="T226" s="9">
        <f t="shared" si="32"/>
        <v>-0.34067796610169487</v>
      </c>
      <c r="U226" s="9">
        <f t="shared" si="26"/>
        <v>170.23996775976426</v>
      </c>
      <c r="W226">
        <v>322.89999999999998</v>
      </c>
      <c r="Y226">
        <f t="shared" si="35"/>
        <v>113653.90000000004</v>
      </c>
      <c r="Z226">
        <f t="shared" si="29"/>
        <v>15190.6</v>
      </c>
      <c r="AA226">
        <v>11.276578064969994</v>
      </c>
      <c r="AC226" s="1" t="s">
        <v>69</v>
      </c>
    </row>
    <row r="227" spans="1:29" x14ac:dyDescent="0.25">
      <c r="A227">
        <v>5240</v>
      </c>
      <c r="B227">
        <v>23690</v>
      </c>
      <c r="C227" s="5">
        <v>42805</v>
      </c>
      <c r="F227" s="60"/>
      <c r="G227">
        <v>8.6</v>
      </c>
      <c r="H227">
        <v>2.6</v>
      </c>
      <c r="I227">
        <v>13.1</v>
      </c>
      <c r="J227">
        <f t="shared" si="33"/>
        <v>1706.8</v>
      </c>
      <c r="K227">
        <f t="shared" si="28"/>
        <v>282.90000000000003</v>
      </c>
      <c r="M227" s="68">
        <v>0</v>
      </c>
      <c r="N227">
        <v>1</v>
      </c>
      <c r="O227">
        <f t="shared" si="30"/>
        <v>-1</v>
      </c>
      <c r="P227">
        <f t="shared" si="34"/>
        <v>148.69999999999999</v>
      </c>
      <c r="Q227">
        <v>201</v>
      </c>
      <c r="R227">
        <f t="shared" si="27"/>
        <v>1.1042372881355931</v>
      </c>
      <c r="S227" s="9">
        <f t="shared" si="31"/>
        <v>1.1042372881355931</v>
      </c>
      <c r="T227" s="9">
        <f t="shared" si="32"/>
        <v>-1.1042372881355931</v>
      </c>
      <c r="U227" s="69">
        <f t="shared" si="26"/>
        <v>169.13573047162868</v>
      </c>
      <c r="W227">
        <v>915.3</v>
      </c>
      <c r="Y227">
        <f t="shared" si="35"/>
        <v>114569.20000000004</v>
      </c>
      <c r="Z227">
        <f t="shared" si="29"/>
        <v>16105.9</v>
      </c>
      <c r="AA227">
        <v>11.336511936543198</v>
      </c>
      <c r="AC227">
        <v>0</v>
      </c>
    </row>
    <row r="228" spans="1:29" x14ac:dyDescent="0.25">
      <c r="A228">
        <v>5240</v>
      </c>
      <c r="B228">
        <v>23690</v>
      </c>
      <c r="C228" s="5">
        <v>42806</v>
      </c>
      <c r="F228" s="60"/>
      <c r="G228">
        <v>10.1</v>
      </c>
      <c r="H228">
        <v>5.2</v>
      </c>
      <c r="I228">
        <v>15.9</v>
      </c>
      <c r="J228">
        <f t="shared" si="33"/>
        <v>1716.8999999999999</v>
      </c>
      <c r="K228">
        <f t="shared" si="28"/>
        <v>293.00000000000006</v>
      </c>
      <c r="M228" s="68">
        <v>0</v>
      </c>
      <c r="N228">
        <v>1.5</v>
      </c>
      <c r="O228">
        <f t="shared" si="30"/>
        <v>-1.5</v>
      </c>
      <c r="P228">
        <f t="shared" si="34"/>
        <v>147.19999999999999</v>
      </c>
      <c r="Q228">
        <v>202</v>
      </c>
      <c r="R228">
        <f t="shared" si="27"/>
        <v>1.1067796610169491</v>
      </c>
      <c r="S228" s="9">
        <f t="shared" si="31"/>
        <v>1.6601694915254237</v>
      </c>
      <c r="T228" s="9">
        <f t="shared" si="32"/>
        <v>-1.6601694915254237</v>
      </c>
      <c r="U228" s="69">
        <f t="shared" si="26"/>
        <v>167.47556098010324</v>
      </c>
      <c r="W228">
        <v>1077.2</v>
      </c>
      <c r="Y228">
        <f t="shared" si="35"/>
        <v>115646.40000000004</v>
      </c>
      <c r="Z228">
        <f t="shared" si="29"/>
        <v>17183.099999999999</v>
      </c>
      <c r="AA228">
        <v>11.396538630485811</v>
      </c>
      <c r="AC228" s="1" t="s">
        <v>70</v>
      </c>
    </row>
    <row r="229" spans="1:29" x14ac:dyDescent="0.25">
      <c r="A229">
        <v>5240</v>
      </c>
      <c r="B229">
        <v>23690</v>
      </c>
      <c r="C229" s="5">
        <v>42807</v>
      </c>
      <c r="F229" s="60"/>
      <c r="G229">
        <v>9.8000000000000007</v>
      </c>
      <c r="H229">
        <v>7.5</v>
      </c>
      <c r="I229">
        <v>12.8</v>
      </c>
      <c r="J229">
        <f t="shared" si="33"/>
        <v>1726.6999999999998</v>
      </c>
      <c r="K229">
        <f t="shared" si="28"/>
        <v>302.80000000000007</v>
      </c>
      <c r="M229" s="68">
        <v>0.1</v>
      </c>
      <c r="N229">
        <v>0.8</v>
      </c>
      <c r="O229">
        <f t="shared" si="30"/>
        <v>-0.70000000000000007</v>
      </c>
      <c r="P229">
        <f t="shared" si="34"/>
        <v>146.5</v>
      </c>
      <c r="Q229">
        <v>203</v>
      </c>
      <c r="R229">
        <f t="shared" si="27"/>
        <v>1.109322033898305</v>
      </c>
      <c r="S229" s="9">
        <f t="shared" si="31"/>
        <v>0.88745762711864407</v>
      </c>
      <c r="T229" s="9">
        <f t="shared" si="32"/>
        <v>-0.78745762711864409</v>
      </c>
      <c r="U229" s="69">
        <f t="shared" si="26"/>
        <v>166.6881033529846</v>
      </c>
      <c r="W229">
        <v>585.29999999999995</v>
      </c>
      <c r="Y229">
        <f t="shared" si="35"/>
        <v>116231.70000000004</v>
      </c>
      <c r="Z229">
        <f t="shared" si="29"/>
        <v>17768.399999999998</v>
      </c>
      <c r="AA229">
        <v>11.456649172173657</v>
      </c>
      <c r="AC229">
        <f>SUM(M231:M240)</f>
        <v>14.5</v>
      </c>
    </row>
    <row r="230" spans="1:29" s="65" customFormat="1" x14ac:dyDescent="0.25">
      <c r="A230" s="65">
        <v>5240</v>
      </c>
      <c r="B230" s="65">
        <v>23690</v>
      </c>
      <c r="C230" s="66">
        <v>42808</v>
      </c>
      <c r="D230" s="65" t="s">
        <v>65</v>
      </c>
      <c r="F230" s="60"/>
      <c r="G230" s="65">
        <v>8</v>
      </c>
      <c r="H230" s="65">
        <v>0.8</v>
      </c>
      <c r="I230" s="65">
        <v>12.6</v>
      </c>
      <c r="J230" s="65">
        <f t="shared" si="33"/>
        <v>1734.6999999999998</v>
      </c>
      <c r="K230" s="65">
        <f t="shared" si="28"/>
        <v>310.80000000000007</v>
      </c>
      <c r="M230" s="65">
        <v>0</v>
      </c>
      <c r="N230" s="65">
        <v>0.7</v>
      </c>
      <c r="O230" s="65">
        <f t="shared" si="30"/>
        <v>-0.7</v>
      </c>
      <c r="P230" s="65">
        <f t="shared" si="34"/>
        <v>145.80000000000001</v>
      </c>
      <c r="Q230" s="65">
        <v>204</v>
      </c>
      <c r="R230" s="65">
        <f t="shared" si="27"/>
        <v>1.111864406779661</v>
      </c>
      <c r="S230" s="67">
        <f t="shared" si="31"/>
        <v>0.77830508474576265</v>
      </c>
      <c r="T230" s="67">
        <f t="shared" si="32"/>
        <v>-0.77830508474576265</v>
      </c>
      <c r="U230" s="67">
        <f t="shared" si="26"/>
        <v>165.90979826823883</v>
      </c>
      <c r="W230" s="65">
        <v>847.6</v>
      </c>
      <c r="Y230" s="65">
        <f t="shared" si="35"/>
        <v>117079.30000000005</v>
      </c>
      <c r="Z230" s="65">
        <f t="shared" si="29"/>
        <v>18615.999999999996</v>
      </c>
      <c r="AA230" s="65">
        <v>11.5168347396122</v>
      </c>
    </row>
    <row r="231" spans="1:29" x14ac:dyDescent="0.25">
      <c r="A231">
        <v>5240</v>
      </c>
      <c r="B231">
        <v>23690</v>
      </c>
      <c r="C231" s="5">
        <v>42809</v>
      </c>
      <c r="F231" s="60"/>
      <c r="G231">
        <v>9.9</v>
      </c>
      <c r="H231">
        <v>8.6999999999999993</v>
      </c>
      <c r="I231">
        <v>11.7</v>
      </c>
      <c r="J231">
        <f t="shared" si="33"/>
        <v>1744.6</v>
      </c>
      <c r="K231">
        <f t="shared" si="28"/>
        <v>320.70000000000005</v>
      </c>
      <c r="M231" s="68">
        <v>0</v>
      </c>
      <c r="N231">
        <v>0.6</v>
      </c>
      <c r="O231">
        <f t="shared" si="30"/>
        <v>-0.6</v>
      </c>
      <c r="P231">
        <f t="shared" si="34"/>
        <v>145.20000000000002</v>
      </c>
      <c r="Q231">
        <v>205</v>
      </c>
      <c r="R231">
        <f t="shared" si="27"/>
        <v>1.1144067796610169</v>
      </c>
      <c r="S231" s="9">
        <f t="shared" si="31"/>
        <v>0.66864406779661012</v>
      </c>
      <c r="T231" s="9">
        <f t="shared" si="32"/>
        <v>-0.66864406779661012</v>
      </c>
      <c r="U231" s="69">
        <f t="shared" si="26"/>
        <v>165.24115420044222</v>
      </c>
      <c r="W231">
        <v>566.70000000000005</v>
      </c>
      <c r="Y231">
        <f t="shared" si="35"/>
        <v>117646.00000000004</v>
      </c>
      <c r="Z231">
        <f t="shared" si="29"/>
        <v>19182.699999999997</v>
      </c>
      <c r="AA231">
        <v>11.577086648468992</v>
      </c>
    </row>
    <row r="232" spans="1:29" x14ac:dyDescent="0.25">
      <c r="A232">
        <v>5240</v>
      </c>
      <c r="B232">
        <v>23690</v>
      </c>
      <c r="C232" s="5">
        <v>42810</v>
      </c>
      <c r="F232" s="60"/>
      <c r="G232">
        <v>10.8</v>
      </c>
      <c r="H232">
        <v>3.8</v>
      </c>
      <c r="I232">
        <v>16.3</v>
      </c>
      <c r="J232">
        <f t="shared" si="33"/>
        <v>1755.3999999999999</v>
      </c>
      <c r="K232">
        <f t="shared" si="28"/>
        <v>331.50000000000006</v>
      </c>
      <c r="M232" s="68">
        <v>0</v>
      </c>
      <c r="N232">
        <v>2.2000000000000002</v>
      </c>
      <c r="O232">
        <f t="shared" si="30"/>
        <v>-2.2000000000000002</v>
      </c>
      <c r="P232">
        <f t="shared" si="34"/>
        <v>143.00000000000003</v>
      </c>
      <c r="Q232">
        <v>206</v>
      </c>
      <c r="R232">
        <f t="shared" si="27"/>
        <v>1.1169491525423729</v>
      </c>
      <c r="S232" s="9">
        <f t="shared" si="31"/>
        <v>2.4572881355932208</v>
      </c>
      <c r="T232" s="9">
        <f t="shared" si="32"/>
        <v>-2.4572881355932208</v>
      </c>
      <c r="U232" s="69">
        <f t="shared" ref="U232:U295" si="36">MIN(U231+T232,218.9)</f>
        <v>162.78386606484901</v>
      </c>
      <c r="W232">
        <v>1717.9</v>
      </c>
      <c r="Y232">
        <f t="shared" si="35"/>
        <v>119363.90000000004</v>
      </c>
      <c r="Z232">
        <f t="shared" si="29"/>
        <v>20900.599999999999</v>
      </c>
      <c r="AA232">
        <v>11.637396337008136</v>
      </c>
    </row>
    <row r="233" spans="1:29" x14ac:dyDescent="0.25">
      <c r="A233">
        <v>5240</v>
      </c>
      <c r="B233">
        <v>23690</v>
      </c>
      <c r="C233" s="5">
        <v>42811</v>
      </c>
      <c r="F233" s="60"/>
      <c r="G233">
        <v>9</v>
      </c>
      <c r="H233">
        <v>7.4</v>
      </c>
      <c r="I233">
        <v>11.5</v>
      </c>
      <c r="J233">
        <f t="shared" si="33"/>
        <v>1764.3999999999999</v>
      </c>
      <c r="K233">
        <f t="shared" si="28"/>
        <v>340.50000000000006</v>
      </c>
      <c r="M233" s="68">
        <v>0.1</v>
      </c>
      <c r="N233">
        <v>1</v>
      </c>
      <c r="O233">
        <f t="shared" si="30"/>
        <v>-0.9</v>
      </c>
      <c r="P233">
        <f t="shared" si="34"/>
        <v>142.10000000000002</v>
      </c>
      <c r="Q233">
        <v>207</v>
      </c>
      <c r="R233">
        <f t="shared" si="27"/>
        <v>1.1194915254237288</v>
      </c>
      <c r="S233" s="9">
        <f t="shared" si="31"/>
        <v>1.1194915254237288</v>
      </c>
      <c r="T233" s="9">
        <f t="shared" si="32"/>
        <v>-1.0194915254237287</v>
      </c>
      <c r="U233" s="69">
        <f t="shared" si="36"/>
        <v>161.76437453942529</v>
      </c>
      <c r="W233">
        <v>537.6</v>
      </c>
      <c r="Y233">
        <f t="shared" si="35"/>
        <v>119901.50000000004</v>
      </c>
      <c r="Z233">
        <f t="shared" si="29"/>
        <v>21438.199999999997</v>
      </c>
      <c r="AA233">
        <v>11.697755350940248</v>
      </c>
    </row>
    <row r="234" spans="1:29" x14ac:dyDescent="0.25">
      <c r="A234">
        <v>5240</v>
      </c>
      <c r="B234">
        <v>23690</v>
      </c>
      <c r="C234" s="5">
        <v>42812</v>
      </c>
      <c r="F234" s="60"/>
      <c r="G234">
        <v>9.8000000000000007</v>
      </c>
      <c r="H234">
        <v>6.5</v>
      </c>
      <c r="I234">
        <v>12</v>
      </c>
      <c r="J234">
        <f t="shared" si="33"/>
        <v>1774.1999999999998</v>
      </c>
      <c r="K234">
        <f t="shared" si="28"/>
        <v>350.30000000000007</v>
      </c>
      <c r="M234" s="68">
        <v>0.1</v>
      </c>
      <c r="N234">
        <v>0.5</v>
      </c>
      <c r="O234">
        <f t="shared" si="30"/>
        <v>-0.4</v>
      </c>
      <c r="P234">
        <f t="shared" si="34"/>
        <v>141.70000000000002</v>
      </c>
      <c r="Q234">
        <v>208</v>
      </c>
      <c r="R234">
        <f t="shared" si="27"/>
        <v>1.1220338983050846</v>
      </c>
      <c r="S234" s="9">
        <f t="shared" si="31"/>
        <v>0.5610169491525423</v>
      </c>
      <c r="T234" s="9">
        <f t="shared" si="32"/>
        <v>-0.46101694915254232</v>
      </c>
      <c r="U234" s="69">
        <f t="shared" si="36"/>
        <v>161.30335759027275</v>
      </c>
      <c r="W234">
        <v>355</v>
      </c>
      <c r="Y234">
        <f t="shared" si="35"/>
        <v>120256.50000000004</v>
      </c>
      <c r="Z234">
        <f t="shared" si="29"/>
        <v>21793.199999999997</v>
      </c>
      <c r="AA234">
        <v>11.758155328200523</v>
      </c>
    </row>
    <row r="235" spans="1:29" x14ac:dyDescent="0.25">
      <c r="A235">
        <v>5240</v>
      </c>
      <c r="B235">
        <v>23690</v>
      </c>
      <c r="C235" s="5">
        <v>42813</v>
      </c>
      <c r="F235" s="60"/>
      <c r="G235">
        <v>10.9</v>
      </c>
      <c r="H235">
        <v>9.8000000000000007</v>
      </c>
      <c r="I235">
        <v>11.8</v>
      </c>
      <c r="J235">
        <f t="shared" si="33"/>
        <v>1785.1</v>
      </c>
      <c r="K235">
        <f t="shared" si="28"/>
        <v>361.20000000000005</v>
      </c>
      <c r="M235" s="68">
        <v>0</v>
      </c>
      <c r="N235">
        <v>0.7</v>
      </c>
      <c r="O235">
        <f t="shared" si="30"/>
        <v>-0.7</v>
      </c>
      <c r="P235">
        <f t="shared" si="34"/>
        <v>141.00000000000003</v>
      </c>
      <c r="Q235">
        <v>209</v>
      </c>
      <c r="R235">
        <f t="shared" si="27"/>
        <v>1.1245762711864407</v>
      </c>
      <c r="S235" s="9">
        <f t="shared" si="31"/>
        <v>0.78720338983050842</v>
      </c>
      <c r="T235" s="9">
        <f t="shared" si="32"/>
        <v>-0.78720338983050842</v>
      </c>
      <c r="U235" s="69">
        <f t="shared" si="36"/>
        <v>160.51615420044226</v>
      </c>
      <c r="W235">
        <v>211</v>
      </c>
      <c r="Y235">
        <f t="shared" si="35"/>
        <v>120467.50000000004</v>
      </c>
      <c r="Z235">
        <f t="shared" si="29"/>
        <v>22004.199999999997</v>
      </c>
      <c r="AA235">
        <v>11.818587983666626</v>
      </c>
    </row>
    <row r="236" spans="1:29" x14ac:dyDescent="0.25">
      <c r="A236">
        <v>5240</v>
      </c>
      <c r="B236">
        <v>23690</v>
      </c>
      <c r="C236" s="5">
        <v>42814</v>
      </c>
      <c r="F236" s="60"/>
      <c r="G236">
        <v>9.9</v>
      </c>
      <c r="H236">
        <v>8.4</v>
      </c>
      <c r="I236">
        <v>10.9</v>
      </c>
      <c r="J236">
        <f t="shared" si="33"/>
        <v>1795</v>
      </c>
      <c r="K236">
        <f t="shared" si="28"/>
        <v>371.1</v>
      </c>
      <c r="M236" s="68">
        <v>0.1</v>
      </c>
      <c r="N236">
        <v>0.8</v>
      </c>
      <c r="O236">
        <f t="shared" si="30"/>
        <v>-0.70000000000000007</v>
      </c>
      <c r="P236">
        <f t="shared" si="34"/>
        <v>140.30000000000004</v>
      </c>
      <c r="Q236">
        <v>210</v>
      </c>
      <c r="R236">
        <f t="shared" si="27"/>
        <v>1.1271186440677965</v>
      </c>
      <c r="S236" s="9">
        <f t="shared" si="31"/>
        <v>0.90169491525423728</v>
      </c>
      <c r="T236" s="9">
        <f t="shared" si="32"/>
        <v>-0.80169491525423731</v>
      </c>
      <c r="U236" s="69">
        <f t="shared" si="36"/>
        <v>159.71445928518801</v>
      </c>
      <c r="W236">
        <v>194.1</v>
      </c>
      <c r="Y236">
        <f t="shared" si="35"/>
        <v>120661.60000000005</v>
      </c>
      <c r="Z236">
        <f t="shared" si="29"/>
        <v>22198.299999999996</v>
      </c>
      <c r="AA236">
        <v>11.879045093827576</v>
      </c>
    </row>
    <row r="237" spans="1:29" x14ac:dyDescent="0.25">
      <c r="A237">
        <v>5240</v>
      </c>
      <c r="B237">
        <v>23690</v>
      </c>
      <c r="C237" s="5">
        <v>42815</v>
      </c>
      <c r="F237" s="60"/>
      <c r="G237">
        <v>7.7</v>
      </c>
      <c r="H237">
        <v>7.6</v>
      </c>
      <c r="I237">
        <v>9</v>
      </c>
      <c r="J237">
        <f t="shared" si="33"/>
        <v>1802.7</v>
      </c>
      <c r="K237">
        <f t="shared" si="28"/>
        <v>378.8</v>
      </c>
      <c r="M237" s="68">
        <v>0.4</v>
      </c>
      <c r="N237">
        <v>0.9</v>
      </c>
      <c r="O237">
        <f t="shared" si="30"/>
        <v>-0.5</v>
      </c>
      <c r="P237">
        <f t="shared" si="34"/>
        <v>139.80000000000004</v>
      </c>
      <c r="Q237">
        <v>211</v>
      </c>
      <c r="R237">
        <f t="shared" si="27"/>
        <v>1.1296610169491526</v>
      </c>
      <c r="S237" s="9">
        <f t="shared" si="31"/>
        <v>1.0166949152542373</v>
      </c>
      <c r="T237" s="9">
        <f t="shared" si="32"/>
        <v>-0.61669491525423725</v>
      </c>
      <c r="U237" s="69">
        <f t="shared" si="36"/>
        <v>159.09776436993377</v>
      </c>
      <c r="W237">
        <v>854.4</v>
      </c>
      <c r="Y237">
        <f t="shared" si="35"/>
        <v>121516.00000000004</v>
      </c>
      <c r="Z237">
        <f t="shared" si="29"/>
        <v>23052.699999999997</v>
      </c>
      <c r="AA237">
        <v>11.939518481414012</v>
      </c>
    </row>
    <row r="238" spans="1:29" x14ac:dyDescent="0.25">
      <c r="A238">
        <v>5240</v>
      </c>
      <c r="B238">
        <v>23690</v>
      </c>
      <c r="C238" s="5">
        <v>42816</v>
      </c>
      <c r="F238" s="60"/>
      <c r="G238">
        <v>6.2</v>
      </c>
      <c r="H238">
        <v>2.6</v>
      </c>
      <c r="I238">
        <v>9.9</v>
      </c>
      <c r="J238">
        <f t="shared" si="33"/>
        <v>1808.9</v>
      </c>
      <c r="K238">
        <f t="shared" si="28"/>
        <v>385</v>
      </c>
      <c r="M238" s="68">
        <v>8.4</v>
      </c>
      <c r="N238">
        <v>0.7</v>
      </c>
      <c r="O238">
        <f t="shared" si="30"/>
        <v>7.7</v>
      </c>
      <c r="P238">
        <f t="shared" si="34"/>
        <v>147.50000000000003</v>
      </c>
      <c r="Q238">
        <v>212</v>
      </c>
      <c r="R238">
        <f t="shared" si="27"/>
        <v>1.1322033898305084</v>
      </c>
      <c r="S238" s="9">
        <f t="shared" si="31"/>
        <v>0.79254237288135587</v>
      </c>
      <c r="T238" s="9">
        <f t="shared" si="32"/>
        <v>7.6074576271186443</v>
      </c>
      <c r="U238" s="69">
        <f t="shared" si="36"/>
        <v>166.7052219970524</v>
      </c>
      <c r="W238">
        <v>530.70000000000005</v>
      </c>
      <c r="Y238">
        <f t="shared" si="35"/>
        <v>122046.70000000004</v>
      </c>
      <c r="Z238">
        <f t="shared" si="29"/>
        <v>23583.399999999998</v>
      </c>
      <c r="AA238">
        <v>12</v>
      </c>
    </row>
    <row r="239" spans="1:29" x14ac:dyDescent="0.25">
      <c r="A239">
        <v>5240</v>
      </c>
      <c r="B239">
        <v>23690</v>
      </c>
      <c r="C239" s="5">
        <v>42817</v>
      </c>
      <c r="F239" s="60"/>
      <c r="G239">
        <v>6.9</v>
      </c>
      <c r="H239">
        <v>5.3</v>
      </c>
      <c r="I239">
        <v>8.4</v>
      </c>
      <c r="J239">
        <f t="shared" si="33"/>
        <v>1815.8000000000002</v>
      </c>
      <c r="K239">
        <f t="shared" si="28"/>
        <v>391.9</v>
      </c>
      <c r="M239" s="68">
        <v>5.2</v>
      </c>
      <c r="N239">
        <v>0.6</v>
      </c>
      <c r="O239">
        <f t="shared" si="30"/>
        <v>4.6000000000000005</v>
      </c>
      <c r="P239">
        <f t="shared" si="34"/>
        <v>152.10000000000002</v>
      </c>
      <c r="Q239">
        <v>213</v>
      </c>
      <c r="R239">
        <f t="shared" si="27"/>
        <v>1.1347457627118644</v>
      </c>
      <c r="S239" s="9">
        <f t="shared" si="31"/>
        <v>0.68084745762711862</v>
      </c>
      <c r="T239" s="9">
        <f t="shared" si="32"/>
        <v>4.5191525423728818</v>
      </c>
      <c r="U239" s="69">
        <f t="shared" si="36"/>
        <v>171.2243745394253</v>
      </c>
      <c r="W239">
        <v>273.5</v>
      </c>
      <c r="Y239">
        <f t="shared" si="35"/>
        <v>122320.20000000004</v>
      </c>
      <c r="Z239">
        <f t="shared" si="29"/>
        <v>23856.899999999998</v>
      </c>
      <c r="AA239">
        <v>12.060481518585986</v>
      </c>
    </row>
    <row r="240" spans="1:29" x14ac:dyDescent="0.25">
      <c r="A240">
        <v>5240</v>
      </c>
      <c r="B240">
        <v>23690</v>
      </c>
      <c r="C240" s="5">
        <v>42818</v>
      </c>
      <c r="F240" s="60"/>
      <c r="G240">
        <v>7.8</v>
      </c>
      <c r="H240">
        <v>2.4</v>
      </c>
      <c r="I240">
        <v>10.9</v>
      </c>
      <c r="J240">
        <f t="shared" si="33"/>
        <v>1823.6000000000001</v>
      </c>
      <c r="K240">
        <f t="shared" si="28"/>
        <v>399.7</v>
      </c>
      <c r="M240" s="68">
        <v>0.2</v>
      </c>
      <c r="N240">
        <v>0.3</v>
      </c>
      <c r="O240">
        <f t="shared" si="30"/>
        <v>-9.9999999999999978E-2</v>
      </c>
      <c r="P240">
        <f t="shared" si="34"/>
        <v>152.00000000000003</v>
      </c>
      <c r="Q240">
        <v>214</v>
      </c>
      <c r="R240">
        <f t="shared" si="27"/>
        <v>1.1372881355932203</v>
      </c>
      <c r="S240" s="9">
        <f t="shared" si="31"/>
        <v>0.34118644067796605</v>
      </c>
      <c r="T240" s="9">
        <f t="shared" si="32"/>
        <v>-0.14118644067796604</v>
      </c>
      <c r="U240" s="69">
        <f t="shared" si="36"/>
        <v>171.08318809874734</v>
      </c>
      <c r="W240">
        <v>480.8</v>
      </c>
      <c r="Y240">
        <f t="shared" si="35"/>
        <v>122801.00000000004</v>
      </c>
      <c r="Z240">
        <f t="shared" si="29"/>
        <v>24337.699999999997</v>
      </c>
      <c r="AA240">
        <v>12.120954906172424</v>
      </c>
    </row>
    <row r="241" spans="1:28" x14ac:dyDescent="0.25">
      <c r="A241">
        <v>5240</v>
      </c>
      <c r="B241">
        <v>23690</v>
      </c>
      <c r="C241" s="5">
        <v>42819</v>
      </c>
      <c r="F241" s="60"/>
      <c r="G241">
        <v>10.9</v>
      </c>
      <c r="H241">
        <v>6</v>
      </c>
      <c r="I241">
        <v>14.9</v>
      </c>
      <c r="J241">
        <f t="shared" si="33"/>
        <v>1834.5000000000002</v>
      </c>
      <c r="K241">
        <f t="shared" si="28"/>
        <v>410.59999999999997</v>
      </c>
      <c r="M241">
        <v>0</v>
      </c>
      <c r="N241">
        <v>2.7</v>
      </c>
      <c r="O241">
        <f t="shared" si="30"/>
        <v>-2.7</v>
      </c>
      <c r="P241">
        <f t="shared" si="34"/>
        <v>149.30000000000004</v>
      </c>
      <c r="Q241">
        <v>215</v>
      </c>
      <c r="R241">
        <f t="shared" si="27"/>
        <v>1.1398305084745761</v>
      </c>
      <c r="S241" s="9">
        <f t="shared" si="31"/>
        <v>3.0775423728813558</v>
      </c>
      <c r="T241" s="9">
        <f t="shared" si="32"/>
        <v>-3.0775423728813558</v>
      </c>
      <c r="U241" s="9">
        <f t="shared" si="36"/>
        <v>168.00564572586597</v>
      </c>
      <c r="W241">
        <v>1833.1</v>
      </c>
      <c r="Y241">
        <f t="shared" si="35"/>
        <v>124634.10000000005</v>
      </c>
      <c r="Z241">
        <f t="shared" si="29"/>
        <v>26170.799999999996</v>
      </c>
      <c r="AA241">
        <v>12.181412016333372</v>
      </c>
    </row>
    <row r="242" spans="1:28" x14ac:dyDescent="0.25">
      <c r="A242">
        <v>5240</v>
      </c>
      <c r="B242">
        <v>23690</v>
      </c>
      <c r="C242" s="5">
        <v>42820</v>
      </c>
      <c r="F242" s="60"/>
      <c r="G242">
        <v>10.6</v>
      </c>
      <c r="H242">
        <v>5.4</v>
      </c>
      <c r="I242">
        <v>14.3</v>
      </c>
      <c r="J242">
        <f t="shared" si="33"/>
        <v>1845.1000000000001</v>
      </c>
      <c r="K242">
        <f t="shared" si="28"/>
        <v>421.2</v>
      </c>
      <c r="M242">
        <v>0</v>
      </c>
      <c r="N242">
        <v>2.1</v>
      </c>
      <c r="O242">
        <f t="shared" si="30"/>
        <v>-2.1</v>
      </c>
      <c r="P242">
        <f t="shared" si="34"/>
        <v>147.20000000000005</v>
      </c>
      <c r="Q242">
        <v>216</v>
      </c>
      <c r="R242">
        <f t="shared" si="27"/>
        <v>1.1423728813559322</v>
      </c>
      <c r="S242" s="9">
        <f t="shared" si="31"/>
        <v>2.3989830508474577</v>
      </c>
      <c r="T242" s="9">
        <f t="shared" si="32"/>
        <v>-2.3989830508474577</v>
      </c>
      <c r="U242" s="9">
        <f t="shared" si="36"/>
        <v>165.60666267501853</v>
      </c>
      <c r="W242">
        <v>1626.4</v>
      </c>
      <c r="Y242">
        <f t="shared" si="35"/>
        <v>126260.50000000004</v>
      </c>
      <c r="Z242">
        <f t="shared" si="29"/>
        <v>27797.199999999997</v>
      </c>
      <c r="AA242">
        <v>12.241844671799477</v>
      </c>
    </row>
    <row r="243" spans="1:28" x14ac:dyDescent="0.25">
      <c r="A243">
        <v>5240</v>
      </c>
      <c r="B243">
        <v>23690</v>
      </c>
      <c r="C243" s="5">
        <v>42821</v>
      </c>
      <c r="F243" s="60"/>
      <c r="G243">
        <v>11.8</v>
      </c>
      <c r="H243">
        <v>6.7</v>
      </c>
      <c r="I243">
        <v>17.3</v>
      </c>
      <c r="J243">
        <f t="shared" si="33"/>
        <v>1856.9</v>
      </c>
      <c r="K243">
        <f t="shared" si="28"/>
        <v>433</v>
      </c>
      <c r="M243">
        <v>0</v>
      </c>
      <c r="N243">
        <v>2.5</v>
      </c>
      <c r="O243">
        <f t="shared" si="30"/>
        <v>-2.5</v>
      </c>
      <c r="P243">
        <f t="shared" si="34"/>
        <v>144.70000000000005</v>
      </c>
      <c r="Q243">
        <v>217</v>
      </c>
      <c r="R243">
        <f t="shared" si="27"/>
        <v>1.144915254237288</v>
      </c>
      <c r="S243" s="9">
        <f t="shared" si="31"/>
        <v>2.8622881355932202</v>
      </c>
      <c r="T243" s="9">
        <f t="shared" si="32"/>
        <v>-2.8622881355932202</v>
      </c>
      <c r="U243" s="9">
        <f t="shared" si="36"/>
        <v>162.74437453942531</v>
      </c>
      <c r="W243">
        <v>1647.7</v>
      </c>
      <c r="Y243">
        <f t="shared" si="35"/>
        <v>127908.20000000004</v>
      </c>
      <c r="Z243">
        <f t="shared" si="29"/>
        <v>29444.899999999998</v>
      </c>
      <c r="AA243">
        <v>12.30224464905975</v>
      </c>
    </row>
    <row r="244" spans="1:28" x14ac:dyDescent="0.25">
      <c r="A244">
        <v>5240</v>
      </c>
      <c r="B244">
        <v>23690</v>
      </c>
      <c r="C244" s="5">
        <v>42822</v>
      </c>
      <c r="F244" s="60"/>
      <c r="G244">
        <v>10.4</v>
      </c>
      <c r="H244">
        <v>5.4</v>
      </c>
      <c r="I244">
        <v>15.2</v>
      </c>
      <c r="J244">
        <f t="shared" si="33"/>
        <v>1867.3000000000002</v>
      </c>
      <c r="K244">
        <f t="shared" si="28"/>
        <v>443.4</v>
      </c>
      <c r="M244">
        <v>0.4</v>
      </c>
      <c r="N244">
        <v>1.1000000000000001</v>
      </c>
      <c r="O244">
        <f t="shared" si="30"/>
        <v>-0.70000000000000007</v>
      </c>
      <c r="P244">
        <f t="shared" si="34"/>
        <v>144.00000000000006</v>
      </c>
      <c r="Q244">
        <v>218</v>
      </c>
      <c r="R244">
        <f t="shared" si="27"/>
        <v>1.1474576271186441</v>
      </c>
      <c r="S244" s="9">
        <f t="shared" si="31"/>
        <v>1.2622033898305085</v>
      </c>
      <c r="T244" s="9">
        <f t="shared" si="32"/>
        <v>-0.86220338983050848</v>
      </c>
      <c r="U244" s="9">
        <f t="shared" si="36"/>
        <v>161.8821711495948</v>
      </c>
      <c r="W244">
        <v>857.8</v>
      </c>
      <c r="Y244">
        <f t="shared" si="35"/>
        <v>128766.00000000004</v>
      </c>
      <c r="Z244">
        <f t="shared" si="29"/>
        <v>30302.699999999997</v>
      </c>
      <c r="AA244">
        <v>12.362603662991864</v>
      </c>
    </row>
    <row r="245" spans="1:28" s="14" customFormat="1" ht="15.75" thickBot="1" x14ac:dyDescent="0.3">
      <c r="A245" s="14">
        <v>5240</v>
      </c>
      <c r="B245" s="14">
        <v>23690</v>
      </c>
      <c r="C245" s="15">
        <v>42823</v>
      </c>
      <c r="F245" s="61"/>
      <c r="G245" s="14">
        <v>12.5</v>
      </c>
      <c r="H245" s="14">
        <v>6.3</v>
      </c>
      <c r="I245" s="14">
        <v>17.7</v>
      </c>
      <c r="J245" s="14">
        <f t="shared" si="33"/>
        <v>1879.8000000000002</v>
      </c>
      <c r="K245" s="14">
        <f t="shared" si="28"/>
        <v>455.9</v>
      </c>
      <c r="M245" s="14">
        <v>0</v>
      </c>
      <c r="N245" s="14">
        <v>2.1</v>
      </c>
      <c r="O245" s="14">
        <f t="shared" si="30"/>
        <v>-2.1</v>
      </c>
      <c r="P245" s="14">
        <f t="shared" si="34"/>
        <v>141.90000000000006</v>
      </c>
      <c r="Q245" s="14">
        <v>219</v>
      </c>
      <c r="R245" s="14">
        <f t="shared" si="27"/>
        <v>1.1499999999999999</v>
      </c>
      <c r="S245" s="16">
        <f t="shared" si="31"/>
        <v>2.415</v>
      </c>
      <c r="T245" s="16">
        <f t="shared" si="32"/>
        <v>-2.415</v>
      </c>
      <c r="U245" s="16">
        <f t="shared" si="36"/>
        <v>159.4671711495948</v>
      </c>
      <c r="W245" s="14">
        <v>1341.7</v>
      </c>
      <c r="Y245" s="14">
        <f t="shared" si="35"/>
        <v>130107.70000000004</v>
      </c>
      <c r="Z245" s="14">
        <f t="shared" si="29"/>
        <v>31644.399999999998</v>
      </c>
      <c r="AA245" s="14">
        <v>12.422913351531006</v>
      </c>
    </row>
    <row r="246" spans="1:28" s="33" customFormat="1" x14ac:dyDescent="0.25">
      <c r="A246" s="33">
        <v>5240</v>
      </c>
      <c r="B246" s="33">
        <v>23690</v>
      </c>
      <c r="C246" s="38">
        <v>42824</v>
      </c>
      <c r="D246" s="39" t="s">
        <v>35</v>
      </c>
      <c r="F246" s="62" t="s">
        <v>55</v>
      </c>
      <c r="G246" s="33">
        <v>14.5</v>
      </c>
      <c r="H246" s="33">
        <v>6.6</v>
      </c>
      <c r="I246" s="33">
        <v>21.1</v>
      </c>
      <c r="J246" s="33">
        <f t="shared" si="33"/>
        <v>1894.3000000000002</v>
      </c>
      <c r="K246" s="33">
        <f>G246</f>
        <v>14.5</v>
      </c>
      <c r="L246" s="21" t="s">
        <v>37</v>
      </c>
      <c r="M246" s="33">
        <v>0</v>
      </c>
      <c r="N246" s="33">
        <v>2.6</v>
      </c>
      <c r="O246" s="33">
        <f t="shared" si="30"/>
        <v>-2.6</v>
      </c>
      <c r="P246" s="33">
        <f t="shared" si="34"/>
        <v>139.30000000000007</v>
      </c>
      <c r="Q246" s="33">
        <v>220</v>
      </c>
      <c r="R246" s="33">
        <v>1.1499999999999999</v>
      </c>
      <c r="S246" s="34">
        <f t="shared" si="31"/>
        <v>2.9899999999999998</v>
      </c>
      <c r="T246" s="34">
        <f t="shared" si="32"/>
        <v>-2.9899999999999998</v>
      </c>
      <c r="U246" s="9">
        <f t="shared" si="36"/>
        <v>156.4771711495948</v>
      </c>
      <c r="V246" s="23" t="s">
        <v>44</v>
      </c>
      <c r="W246" s="33">
        <v>1604.4</v>
      </c>
      <c r="Y246" s="33">
        <f t="shared" si="35"/>
        <v>131712.10000000003</v>
      </c>
      <c r="Z246" s="33">
        <f>W246</f>
        <v>1604.4</v>
      </c>
      <c r="AA246" s="33">
        <v>12.4831652603878</v>
      </c>
      <c r="AB246" s="23" t="s">
        <v>49</v>
      </c>
    </row>
    <row r="247" spans="1:28" s="35" customFormat="1" x14ac:dyDescent="0.25">
      <c r="A247" s="35">
        <v>5240</v>
      </c>
      <c r="B247" s="35">
        <v>23690</v>
      </c>
      <c r="C247" s="36">
        <v>42825</v>
      </c>
      <c r="F247" s="63"/>
      <c r="G247" s="35">
        <v>13.3</v>
      </c>
      <c r="H247" s="35">
        <v>11.7</v>
      </c>
      <c r="I247" s="35">
        <v>15.6</v>
      </c>
      <c r="J247" s="35">
        <f t="shared" si="33"/>
        <v>1907.6000000000001</v>
      </c>
      <c r="K247">
        <f t="shared" si="28"/>
        <v>27.8</v>
      </c>
      <c r="L247" s="11">
        <v>216.1</v>
      </c>
      <c r="M247" s="35">
        <v>0.3</v>
      </c>
      <c r="N247" s="35">
        <v>1.7</v>
      </c>
      <c r="O247" s="35">
        <f t="shared" si="30"/>
        <v>-1.4</v>
      </c>
      <c r="P247" s="35">
        <f t="shared" si="34"/>
        <v>137.90000000000006</v>
      </c>
      <c r="Q247" s="35">
        <v>221</v>
      </c>
      <c r="R247" s="35">
        <v>1.1499999999999999</v>
      </c>
      <c r="S247" s="37">
        <f t="shared" si="31"/>
        <v>1.9549999999999998</v>
      </c>
      <c r="T247" s="37">
        <f t="shared" si="32"/>
        <v>-1.6549999999999998</v>
      </c>
      <c r="U247" s="9">
        <f t="shared" si="36"/>
        <v>154.82217114959479</v>
      </c>
      <c r="V247">
        <v>0</v>
      </c>
      <c r="W247" s="35">
        <v>791.4</v>
      </c>
      <c r="Y247" s="35">
        <f t="shared" si="35"/>
        <v>132503.50000000003</v>
      </c>
      <c r="Z247" s="33">
        <f t="shared" si="29"/>
        <v>2395.8000000000002</v>
      </c>
      <c r="AA247" s="35">
        <v>12.543350827826341</v>
      </c>
      <c r="AB247">
        <v>29369.5</v>
      </c>
    </row>
    <row r="248" spans="1:28" ht="15" customHeight="1" x14ac:dyDescent="0.25">
      <c r="A248">
        <v>5240</v>
      </c>
      <c r="B248">
        <v>23690</v>
      </c>
      <c r="C248" s="5">
        <v>42826</v>
      </c>
      <c r="F248" s="63"/>
      <c r="G248">
        <v>10.6</v>
      </c>
      <c r="H248">
        <v>7.6</v>
      </c>
      <c r="I248">
        <v>13.6</v>
      </c>
      <c r="J248" s="8">
        <f t="shared" si="33"/>
        <v>1918.2</v>
      </c>
      <c r="K248">
        <f t="shared" si="28"/>
        <v>38.4</v>
      </c>
      <c r="L248" s="21" t="s">
        <v>38</v>
      </c>
      <c r="M248">
        <v>0.1</v>
      </c>
      <c r="N248">
        <v>1.5</v>
      </c>
      <c r="O248">
        <f t="shared" si="30"/>
        <v>-1.4</v>
      </c>
      <c r="P248">
        <f t="shared" si="34"/>
        <v>136.50000000000006</v>
      </c>
      <c r="Q248">
        <v>222</v>
      </c>
      <c r="R248">
        <v>1.1499999999999999</v>
      </c>
      <c r="S248" s="9">
        <f t="shared" si="31"/>
        <v>1.7249999999999999</v>
      </c>
      <c r="T248" s="9">
        <f t="shared" si="32"/>
        <v>-1.6249999999999998</v>
      </c>
      <c r="U248" s="9">
        <f t="shared" si="36"/>
        <v>153.19717114959479</v>
      </c>
      <c r="V248" s="23" t="s">
        <v>45</v>
      </c>
      <c r="W248">
        <v>1148.4000000000001</v>
      </c>
      <c r="Y248">
        <f t="shared" si="35"/>
        <v>133651.90000000002</v>
      </c>
      <c r="Z248" s="33">
        <f t="shared" si="29"/>
        <v>3544.2000000000003</v>
      </c>
      <c r="AA248">
        <v>12.603461369514189</v>
      </c>
      <c r="AB248" s="23" t="s">
        <v>50</v>
      </c>
    </row>
    <row r="249" spans="1:28" x14ac:dyDescent="0.25">
      <c r="A249">
        <v>5240</v>
      </c>
      <c r="B249">
        <v>23690</v>
      </c>
      <c r="C249" s="5">
        <v>42827</v>
      </c>
      <c r="F249" s="63"/>
      <c r="G249">
        <v>10.4</v>
      </c>
      <c r="H249">
        <v>4.5999999999999996</v>
      </c>
      <c r="I249">
        <v>14.5</v>
      </c>
      <c r="J249">
        <f t="shared" si="33"/>
        <v>1928.6000000000001</v>
      </c>
      <c r="K249">
        <f t="shared" si="28"/>
        <v>48.8</v>
      </c>
      <c r="L249" s="41">
        <f>AVERAGE(G246:G266)</f>
        <v>10.290476190476193</v>
      </c>
      <c r="M249">
        <v>0.1</v>
      </c>
      <c r="N249">
        <v>1.5</v>
      </c>
      <c r="O249">
        <f t="shared" si="30"/>
        <v>-1.4</v>
      </c>
      <c r="P249">
        <f t="shared" si="34"/>
        <v>135.10000000000005</v>
      </c>
      <c r="Q249">
        <v>223</v>
      </c>
      <c r="R249">
        <v>1.1499999999999999</v>
      </c>
      <c r="S249" s="9">
        <f t="shared" si="31"/>
        <v>1.7249999999999999</v>
      </c>
      <c r="T249" s="9">
        <f t="shared" si="32"/>
        <v>-1.6249999999999998</v>
      </c>
      <c r="U249" s="9">
        <f t="shared" si="36"/>
        <v>151.57217114959479</v>
      </c>
      <c r="V249">
        <v>0</v>
      </c>
      <c r="W249">
        <v>1246.4000000000001</v>
      </c>
      <c r="Y249">
        <f t="shared" si="35"/>
        <v>134898.30000000002</v>
      </c>
      <c r="Z249" s="33">
        <f t="shared" si="29"/>
        <v>4790.6000000000004</v>
      </c>
      <c r="AA249">
        <v>12.6634880634568</v>
      </c>
      <c r="AB249" s="9">
        <f>(AB247/100)/L247</f>
        <v>1.3590698750578436</v>
      </c>
    </row>
    <row r="250" spans="1:28" x14ac:dyDescent="0.25">
      <c r="A250">
        <v>5240</v>
      </c>
      <c r="B250">
        <v>23690</v>
      </c>
      <c r="C250" s="5">
        <v>42828</v>
      </c>
      <c r="F250" s="63"/>
      <c r="G250">
        <v>11.5</v>
      </c>
      <c r="H250">
        <v>4.8</v>
      </c>
      <c r="I250">
        <v>17.3</v>
      </c>
      <c r="J250">
        <f t="shared" si="33"/>
        <v>1940.1000000000001</v>
      </c>
      <c r="K250">
        <f t="shared" si="28"/>
        <v>60.3</v>
      </c>
      <c r="L250" s="21" t="s">
        <v>39</v>
      </c>
      <c r="M250">
        <v>0</v>
      </c>
      <c r="N250">
        <v>2.2999999999999998</v>
      </c>
      <c r="O250">
        <f t="shared" si="30"/>
        <v>-2.2999999999999998</v>
      </c>
      <c r="P250">
        <f t="shared" si="34"/>
        <v>132.80000000000004</v>
      </c>
      <c r="Q250">
        <v>224</v>
      </c>
      <c r="R250">
        <v>1.1499999999999999</v>
      </c>
      <c r="S250" s="9">
        <f t="shared" si="31"/>
        <v>2.6449999999999996</v>
      </c>
      <c r="T250" s="9">
        <f t="shared" si="32"/>
        <v>-2.6449999999999996</v>
      </c>
      <c r="U250" s="9">
        <f t="shared" si="36"/>
        <v>148.92717114959478</v>
      </c>
      <c r="V250" s="23" t="s">
        <v>46</v>
      </c>
      <c r="W250">
        <v>1594.4</v>
      </c>
      <c r="Y250">
        <f t="shared" si="35"/>
        <v>136492.70000000001</v>
      </c>
      <c r="Z250" s="33">
        <f t="shared" si="29"/>
        <v>6385</v>
      </c>
      <c r="AA250">
        <v>12.723421935030006</v>
      </c>
      <c r="AB250" s="23" t="s">
        <v>51</v>
      </c>
    </row>
    <row r="251" spans="1:28" x14ac:dyDescent="0.25">
      <c r="A251">
        <v>5240</v>
      </c>
      <c r="B251">
        <v>23690</v>
      </c>
      <c r="C251" s="5">
        <v>42829</v>
      </c>
      <c r="F251" s="63"/>
      <c r="G251">
        <v>9.6999999999999993</v>
      </c>
      <c r="H251">
        <v>5.0999999999999996</v>
      </c>
      <c r="I251">
        <v>15.1</v>
      </c>
      <c r="J251">
        <f t="shared" si="33"/>
        <v>1949.8000000000002</v>
      </c>
      <c r="K251">
        <f t="shared" si="28"/>
        <v>70</v>
      </c>
      <c r="L251" s="12">
        <f>MIN(H246:H266)</f>
        <v>1.2</v>
      </c>
      <c r="M251">
        <v>0.2</v>
      </c>
      <c r="N251">
        <v>1</v>
      </c>
      <c r="O251">
        <f t="shared" si="30"/>
        <v>-0.8</v>
      </c>
      <c r="P251">
        <f t="shared" si="34"/>
        <v>132.00000000000003</v>
      </c>
      <c r="Q251">
        <v>225</v>
      </c>
      <c r="R251">
        <v>1.1499999999999999</v>
      </c>
      <c r="S251" s="9">
        <f t="shared" si="31"/>
        <v>1.1499999999999999</v>
      </c>
      <c r="T251" s="9">
        <f t="shared" si="32"/>
        <v>-0.95</v>
      </c>
      <c r="U251" s="9">
        <f t="shared" si="36"/>
        <v>147.9771711495948</v>
      </c>
      <c r="V251" s="9">
        <f>MIN(U246:U266)</f>
        <v>113.95217114959483</v>
      </c>
      <c r="W251">
        <v>584.79999999999995</v>
      </c>
      <c r="Y251">
        <f t="shared" si="35"/>
        <v>137077.5</v>
      </c>
      <c r="Z251" s="33">
        <f t="shared" si="29"/>
        <v>6969.8</v>
      </c>
      <c r="AA251">
        <v>12.783253842124983</v>
      </c>
      <c r="AB251">
        <v>5</v>
      </c>
    </row>
    <row r="252" spans="1:28" x14ac:dyDescent="0.25">
      <c r="A252">
        <v>5240</v>
      </c>
      <c r="B252">
        <v>23690</v>
      </c>
      <c r="C252" s="5">
        <v>42830</v>
      </c>
      <c r="F252" s="63"/>
      <c r="G252">
        <v>10.199999999999999</v>
      </c>
      <c r="H252">
        <v>6.6</v>
      </c>
      <c r="I252">
        <v>13.9</v>
      </c>
      <c r="J252">
        <f t="shared" si="33"/>
        <v>1960.0000000000002</v>
      </c>
      <c r="K252">
        <f t="shared" si="28"/>
        <v>80.2</v>
      </c>
      <c r="L252" s="21" t="s">
        <v>40</v>
      </c>
      <c r="M252">
        <v>0</v>
      </c>
      <c r="N252">
        <v>2</v>
      </c>
      <c r="O252">
        <f t="shared" si="30"/>
        <v>-2</v>
      </c>
      <c r="P252">
        <f t="shared" si="34"/>
        <v>130.00000000000003</v>
      </c>
      <c r="Q252">
        <v>226</v>
      </c>
      <c r="R252">
        <v>1.1499999999999999</v>
      </c>
      <c r="S252" s="9">
        <f t="shared" si="31"/>
        <v>2.2999999999999998</v>
      </c>
      <c r="T252" s="9">
        <f t="shared" si="32"/>
        <v>-2.2999999999999998</v>
      </c>
      <c r="U252" s="9">
        <f t="shared" si="36"/>
        <v>145.67717114959478</v>
      </c>
      <c r="V252" s="23" t="s">
        <v>47</v>
      </c>
      <c r="W252">
        <v>1440.9</v>
      </c>
      <c r="Y252">
        <f t="shared" si="35"/>
        <v>138518.39999999999</v>
      </c>
      <c r="Z252" s="33">
        <f t="shared" si="29"/>
        <v>8410.7000000000007</v>
      </c>
      <c r="AA252">
        <v>12.842974460421489</v>
      </c>
    </row>
    <row r="253" spans="1:28" x14ac:dyDescent="0.25">
      <c r="A253">
        <v>5240</v>
      </c>
      <c r="B253">
        <v>23690</v>
      </c>
      <c r="C253" s="5">
        <v>42831</v>
      </c>
      <c r="F253" s="63"/>
      <c r="G253">
        <v>8.4</v>
      </c>
      <c r="H253">
        <v>3.8</v>
      </c>
      <c r="I253">
        <v>12.8</v>
      </c>
      <c r="J253">
        <f t="shared" si="33"/>
        <v>1968.4000000000003</v>
      </c>
      <c r="K253">
        <f t="shared" si="28"/>
        <v>88.600000000000009</v>
      </c>
      <c r="L253" s="11">
        <f>MAX(I246:I266)</f>
        <v>22.4</v>
      </c>
      <c r="M253">
        <v>0</v>
      </c>
      <c r="N253">
        <v>2.4</v>
      </c>
      <c r="O253">
        <f t="shared" si="30"/>
        <v>-2.4</v>
      </c>
      <c r="P253">
        <f t="shared" si="34"/>
        <v>127.60000000000002</v>
      </c>
      <c r="Q253">
        <v>227</v>
      </c>
      <c r="R253">
        <v>1.1499999999999999</v>
      </c>
      <c r="S253" s="9">
        <f t="shared" si="31"/>
        <v>2.76</v>
      </c>
      <c r="T253" s="9">
        <f t="shared" si="32"/>
        <v>-2.76</v>
      </c>
      <c r="U253" s="9">
        <f t="shared" si="36"/>
        <v>142.91717114959479</v>
      </c>
      <c r="V253" s="9">
        <f>MAX(U246:U266)</f>
        <v>156.4771711495948</v>
      </c>
      <c r="W253">
        <v>1700.2</v>
      </c>
      <c r="Y253">
        <f t="shared" si="35"/>
        <v>140218.6</v>
      </c>
      <c r="Z253" s="33">
        <f t="shared" si="29"/>
        <v>10110.900000000001</v>
      </c>
      <c r="AA253">
        <v>12.902574268806264</v>
      </c>
    </row>
    <row r="254" spans="1:28" x14ac:dyDescent="0.25">
      <c r="A254">
        <v>5240</v>
      </c>
      <c r="B254">
        <v>23690</v>
      </c>
      <c r="C254" s="5">
        <v>42832</v>
      </c>
      <c r="F254" s="63"/>
      <c r="G254">
        <v>9.6999999999999993</v>
      </c>
      <c r="H254">
        <v>2.7</v>
      </c>
      <c r="I254">
        <v>15.5</v>
      </c>
      <c r="J254">
        <f t="shared" si="33"/>
        <v>1978.1000000000004</v>
      </c>
      <c r="K254">
        <f t="shared" ref="K254:K317" si="37">K253+G254</f>
        <v>98.300000000000011</v>
      </c>
      <c r="L254" s="21" t="s">
        <v>41</v>
      </c>
      <c r="M254">
        <v>0</v>
      </c>
      <c r="N254">
        <v>2.7</v>
      </c>
      <c r="O254">
        <f t="shared" si="30"/>
        <v>-2.7</v>
      </c>
      <c r="P254">
        <f t="shared" si="34"/>
        <v>124.90000000000002</v>
      </c>
      <c r="Q254">
        <v>228</v>
      </c>
      <c r="R254">
        <v>1.1499999999999999</v>
      </c>
      <c r="S254" s="9">
        <f t="shared" si="31"/>
        <v>3.105</v>
      </c>
      <c r="T254" s="9">
        <f t="shared" si="32"/>
        <v>-3.105</v>
      </c>
      <c r="U254" s="9">
        <f t="shared" si="36"/>
        <v>139.8121711495948</v>
      </c>
      <c r="V254" s="23" t="s">
        <v>48</v>
      </c>
      <c r="W254">
        <v>2099.8000000000002</v>
      </c>
      <c r="Y254">
        <f t="shared" si="35"/>
        <v>142318.39999999999</v>
      </c>
      <c r="Z254" s="33">
        <f t="shared" ref="Z254:Z317" si="38">Z253+W254</f>
        <v>12210.7</v>
      </c>
      <c r="AA254">
        <v>12.962043534954976</v>
      </c>
    </row>
    <row r="255" spans="1:28" x14ac:dyDescent="0.25">
      <c r="A255">
        <v>5240</v>
      </c>
      <c r="B255">
        <v>23690</v>
      </c>
      <c r="C255" s="5">
        <v>42833</v>
      </c>
      <c r="F255" s="63"/>
      <c r="G255">
        <v>12</v>
      </c>
      <c r="H255">
        <v>3.4</v>
      </c>
      <c r="I255">
        <v>18.5</v>
      </c>
      <c r="J255">
        <f t="shared" si="33"/>
        <v>1990.1000000000004</v>
      </c>
      <c r="K255">
        <f t="shared" si="37"/>
        <v>110.30000000000001</v>
      </c>
      <c r="L255" s="11">
        <v>0</v>
      </c>
      <c r="M255">
        <v>0</v>
      </c>
      <c r="N255">
        <v>3</v>
      </c>
      <c r="O255">
        <f t="shared" si="30"/>
        <v>-3</v>
      </c>
      <c r="P255">
        <f t="shared" si="34"/>
        <v>121.90000000000002</v>
      </c>
      <c r="Q255">
        <v>229</v>
      </c>
      <c r="R255">
        <v>1.1499999999999999</v>
      </c>
      <c r="S255" s="9">
        <f t="shared" si="31"/>
        <v>3.4499999999999997</v>
      </c>
      <c r="T255" s="9">
        <f t="shared" si="32"/>
        <v>-3.4499999999999997</v>
      </c>
      <c r="U255" s="9">
        <f t="shared" si="36"/>
        <v>136.36217114959481</v>
      </c>
      <c r="V255" s="9">
        <f>AVERAGE(U246:U266)</f>
        <v>134.74264734007096</v>
      </c>
      <c r="W255">
        <v>2245</v>
      </c>
      <c r="Y255">
        <f t="shared" si="35"/>
        <v>144563.4</v>
      </c>
      <c r="Z255" s="33">
        <f t="shared" si="38"/>
        <v>14455.7</v>
      </c>
      <c r="AA255">
        <v>13.021372301097525</v>
      </c>
    </row>
    <row r="256" spans="1:28" x14ac:dyDescent="0.25">
      <c r="A256">
        <v>5240</v>
      </c>
      <c r="B256">
        <v>23690</v>
      </c>
      <c r="C256" s="5">
        <v>42834</v>
      </c>
      <c r="F256" s="63"/>
      <c r="G256">
        <v>15</v>
      </c>
      <c r="H256">
        <v>5.4</v>
      </c>
      <c r="I256">
        <v>22.4</v>
      </c>
      <c r="J256">
        <f t="shared" si="33"/>
        <v>2005.1000000000004</v>
      </c>
      <c r="K256">
        <f t="shared" si="37"/>
        <v>125.30000000000001</v>
      </c>
      <c r="L256" s="21" t="s">
        <v>42</v>
      </c>
      <c r="M256">
        <v>0</v>
      </c>
      <c r="N256">
        <v>3.7</v>
      </c>
      <c r="O256">
        <f t="shared" si="30"/>
        <v>-3.7</v>
      </c>
      <c r="P256">
        <f t="shared" si="34"/>
        <v>118.20000000000002</v>
      </c>
      <c r="Q256">
        <v>230</v>
      </c>
      <c r="R256">
        <v>1.1499999999999999</v>
      </c>
      <c r="S256" s="9">
        <f t="shared" si="31"/>
        <v>4.2549999999999999</v>
      </c>
      <c r="T256" s="9">
        <f t="shared" si="32"/>
        <v>-4.2549999999999999</v>
      </c>
      <c r="U256" s="9">
        <f t="shared" si="36"/>
        <v>132.10717114959482</v>
      </c>
      <c r="W256">
        <v>2283</v>
      </c>
      <c r="Y256">
        <f t="shared" si="35"/>
        <v>146846.39999999999</v>
      </c>
      <c r="Z256" s="33">
        <f t="shared" si="38"/>
        <v>16738.7</v>
      </c>
      <c r="AA256">
        <v>13.080550369988162</v>
      </c>
    </row>
    <row r="257" spans="1:28" x14ac:dyDescent="0.25">
      <c r="A257">
        <v>5240</v>
      </c>
      <c r="B257">
        <v>23690</v>
      </c>
      <c r="C257" s="5">
        <v>42835</v>
      </c>
      <c r="F257" s="63"/>
      <c r="G257">
        <v>11</v>
      </c>
      <c r="H257">
        <v>9.4</v>
      </c>
      <c r="I257">
        <v>14.3</v>
      </c>
      <c r="J257">
        <f t="shared" si="33"/>
        <v>2016.1000000000004</v>
      </c>
      <c r="K257">
        <f t="shared" si="37"/>
        <v>136.30000000000001</v>
      </c>
      <c r="L257" s="11">
        <v>9</v>
      </c>
      <c r="M257">
        <v>0</v>
      </c>
      <c r="N257">
        <v>1.3</v>
      </c>
      <c r="O257">
        <f t="shared" si="30"/>
        <v>-1.3</v>
      </c>
      <c r="P257">
        <f t="shared" si="34"/>
        <v>116.90000000000002</v>
      </c>
      <c r="Q257">
        <v>231</v>
      </c>
      <c r="R257">
        <v>1.1499999999999999</v>
      </c>
      <c r="S257" s="9">
        <f t="shared" si="31"/>
        <v>1.4949999999999999</v>
      </c>
      <c r="T257" s="9">
        <f t="shared" si="32"/>
        <v>-1.4949999999999999</v>
      </c>
      <c r="U257" s="9">
        <f t="shared" si="36"/>
        <v>130.61217114959481</v>
      </c>
      <c r="V257" s="32">
        <f>(V255*100)/218.9</f>
        <v>61.554430032010487</v>
      </c>
      <c r="W257">
        <v>629.70000000000005</v>
      </c>
      <c r="Y257">
        <f t="shared" si="35"/>
        <v>147476.1</v>
      </c>
      <c r="Z257" s="33">
        <f t="shared" si="38"/>
        <v>17368.400000000001</v>
      </c>
      <c r="AA257">
        <v>13.13956729110355</v>
      </c>
    </row>
    <row r="258" spans="1:28" x14ac:dyDescent="0.25">
      <c r="A258">
        <v>5240</v>
      </c>
      <c r="B258">
        <v>23690</v>
      </c>
      <c r="C258" s="5">
        <v>42836</v>
      </c>
      <c r="F258" s="63"/>
      <c r="G258">
        <v>9.3000000000000007</v>
      </c>
      <c r="H258">
        <v>4</v>
      </c>
      <c r="I258">
        <v>14.2</v>
      </c>
      <c r="J258">
        <f t="shared" si="33"/>
        <v>2025.4000000000003</v>
      </c>
      <c r="K258">
        <f t="shared" si="37"/>
        <v>145.60000000000002</v>
      </c>
      <c r="L258" s="21" t="s">
        <v>43</v>
      </c>
      <c r="M258">
        <v>0</v>
      </c>
      <c r="N258">
        <v>2.5</v>
      </c>
      <c r="O258">
        <f t="shared" si="30"/>
        <v>-2.5</v>
      </c>
      <c r="P258">
        <f t="shared" si="34"/>
        <v>114.40000000000002</v>
      </c>
      <c r="Q258">
        <v>232</v>
      </c>
      <c r="R258">
        <v>1.1499999999999999</v>
      </c>
      <c r="S258" s="9">
        <f t="shared" si="31"/>
        <v>2.875</v>
      </c>
      <c r="T258" s="9">
        <f t="shared" si="32"/>
        <v>-2.875</v>
      </c>
      <c r="U258" s="9">
        <f t="shared" si="36"/>
        <v>127.73717114959481</v>
      </c>
      <c r="W258">
        <v>1801.5</v>
      </c>
      <c r="Y258">
        <f t="shared" si="35"/>
        <v>149277.6</v>
      </c>
      <c r="Z258" s="33">
        <f t="shared" si="38"/>
        <v>19169.900000000001</v>
      </c>
      <c r="AA258">
        <v>13.19841234709374</v>
      </c>
    </row>
    <row r="259" spans="1:28" x14ac:dyDescent="0.25">
      <c r="A259">
        <v>5240</v>
      </c>
      <c r="B259">
        <v>23690</v>
      </c>
      <c r="C259" s="5">
        <v>42837</v>
      </c>
      <c r="F259" s="63"/>
      <c r="G259">
        <v>10</v>
      </c>
      <c r="H259">
        <v>2.7</v>
      </c>
      <c r="I259">
        <v>15.9</v>
      </c>
      <c r="J259">
        <f t="shared" si="33"/>
        <v>2035.4000000000003</v>
      </c>
      <c r="K259">
        <f t="shared" si="37"/>
        <v>155.60000000000002</v>
      </c>
      <c r="L259" s="22">
        <v>0</v>
      </c>
      <c r="M259">
        <v>0</v>
      </c>
      <c r="N259">
        <v>2.6</v>
      </c>
      <c r="O259">
        <f t="shared" si="30"/>
        <v>-2.6</v>
      </c>
      <c r="P259">
        <f t="shared" si="34"/>
        <v>111.80000000000003</v>
      </c>
      <c r="Q259">
        <v>233</v>
      </c>
      <c r="R259">
        <v>1.1499999999999999</v>
      </c>
      <c r="S259" s="9">
        <f t="shared" si="31"/>
        <v>2.9899999999999998</v>
      </c>
      <c r="T259" s="9">
        <f t="shared" si="32"/>
        <v>-2.9899999999999998</v>
      </c>
      <c r="U259" s="9">
        <f t="shared" si="36"/>
        <v>124.74717114959482</v>
      </c>
      <c r="W259">
        <v>2007.1</v>
      </c>
      <c r="Y259">
        <f t="shared" si="35"/>
        <v>151284.70000000001</v>
      </c>
      <c r="Z259" s="33">
        <f t="shared" si="38"/>
        <v>21177</v>
      </c>
      <c r="AA259">
        <v>13.257074540512974</v>
      </c>
    </row>
    <row r="260" spans="1:28" x14ac:dyDescent="0.25">
      <c r="A260">
        <v>5240</v>
      </c>
      <c r="B260">
        <v>23690</v>
      </c>
      <c r="C260" s="5">
        <v>42838</v>
      </c>
      <c r="F260" s="63"/>
      <c r="G260">
        <v>10.3</v>
      </c>
      <c r="H260">
        <v>5.5</v>
      </c>
      <c r="I260">
        <v>13.8</v>
      </c>
      <c r="J260">
        <f t="shared" si="33"/>
        <v>2045.7000000000003</v>
      </c>
      <c r="K260">
        <f t="shared" si="37"/>
        <v>165.90000000000003</v>
      </c>
      <c r="M260">
        <v>0</v>
      </c>
      <c r="N260">
        <v>1.6</v>
      </c>
      <c r="O260">
        <f t="shared" si="30"/>
        <v>-1.6</v>
      </c>
      <c r="P260">
        <f t="shared" si="34"/>
        <v>110.20000000000003</v>
      </c>
      <c r="Q260">
        <v>234</v>
      </c>
      <c r="R260">
        <v>1.1499999999999999</v>
      </c>
      <c r="S260" s="9">
        <f t="shared" si="31"/>
        <v>1.8399999999999999</v>
      </c>
      <c r="T260" s="9">
        <f t="shared" si="32"/>
        <v>-1.8399999999999999</v>
      </c>
      <c r="U260" s="9">
        <f t="shared" si="36"/>
        <v>122.90717114959482</v>
      </c>
      <c r="V260" s="32"/>
      <c r="W260">
        <v>1164.3</v>
      </c>
      <c r="Y260">
        <f t="shared" si="35"/>
        <v>152449</v>
      </c>
      <c r="Z260" s="33">
        <f t="shared" si="38"/>
        <v>22341.3</v>
      </c>
      <c r="AA260">
        <v>13.315542580859191</v>
      </c>
    </row>
    <row r="261" spans="1:28" x14ac:dyDescent="0.25">
      <c r="A261">
        <v>5240</v>
      </c>
      <c r="B261">
        <v>23690</v>
      </c>
      <c r="C261" s="5">
        <v>42839</v>
      </c>
      <c r="F261" s="63"/>
      <c r="G261">
        <v>11</v>
      </c>
      <c r="H261">
        <v>7.9</v>
      </c>
      <c r="I261">
        <v>15</v>
      </c>
      <c r="J261">
        <f t="shared" si="33"/>
        <v>2056.7000000000003</v>
      </c>
      <c r="K261">
        <f t="shared" si="37"/>
        <v>176.90000000000003</v>
      </c>
      <c r="M261">
        <v>0</v>
      </c>
      <c r="N261">
        <v>1.5</v>
      </c>
      <c r="O261">
        <f t="shared" si="30"/>
        <v>-1.5</v>
      </c>
      <c r="P261">
        <f t="shared" si="34"/>
        <v>108.70000000000003</v>
      </c>
      <c r="Q261">
        <v>235</v>
      </c>
      <c r="R261">
        <v>1.1499999999999999</v>
      </c>
      <c r="S261" s="9">
        <f t="shared" si="31"/>
        <v>1.7249999999999999</v>
      </c>
      <c r="T261" s="9">
        <f t="shared" si="32"/>
        <v>-1.7249999999999999</v>
      </c>
      <c r="U261" s="9">
        <f t="shared" si="36"/>
        <v>121.18217114959482</v>
      </c>
      <c r="W261">
        <v>861.1</v>
      </c>
      <c r="Y261">
        <f t="shared" si="35"/>
        <v>153310.1</v>
      </c>
      <c r="Z261" s="33">
        <f t="shared" si="38"/>
        <v>23202.399999999998</v>
      </c>
      <c r="AA261">
        <v>13.37380487195327</v>
      </c>
    </row>
    <row r="262" spans="1:28" x14ac:dyDescent="0.25">
      <c r="A262">
        <v>5240</v>
      </c>
      <c r="B262">
        <v>23690</v>
      </c>
      <c r="C262" s="5">
        <v>42840</v>
      </c>
      <c r="F262" s="63"/>
      <c r="G262">
        <v>9.6</v>
      </c>
      <c r="H262">
        <v>6.6</v>
      </c>
      <c r="I262">
        <v>11.9</v>
      </c>
      <c r="J262">
        <f t="shared" si="33"/>
        <v>2066.3000000000002</v>
      </c>
      <c r="K262">
        <f t="shared" si="37"/>
        <v>186.50000000000003</v>
      </c>
      <c r="M262">
        <v>2.1</v>
      </c>
      <c r="N262">
        <v>0.5</v>
      </c>
      <c r="O262">
        <f t="shared" si="30"/>
        <v>1.6</v>
      </c>
      <c r="P262">
        <f t="shared" si="34"/>
        <v>110.30000000000003</v>
      </c>
      <c r="Q262">
        <v>236</v>
      </c>
      <c r="R262">
        <v>1.1499999999999999</v>
      </c>
      <c r="S262" s="9">
        <f t="shared" si="31"/>
        <v>0.57499999999999996</v>
      </c>
      <c r="T262" s="9">
        <f t="shared" si="32"/>
        <v>1.5250000000000001</v>
      </c>
      <c r="U262" s="9">
        <f t="shared" si="36"/>
        <v>122.70717114959483</v>
      </c>
      <c r="W262">
        <v>372.1</v>
      </c>
      <c r="Y262">
        <f t="shared" si="35"/>
        <v>153682.20000000001</v>
      </c>
      <c r="Z262" s="33">
        <f t="shared" si="38"/>
        <v>23574.499999999996</v>
      </c>
      <c r="AA262">
        <v>13.431849499691257</v>
      </c>
    </row>
    <row r="263" spans="1:28" x14ac:dyDescent="0.25">
      <c r="A263">
        <v>5240</v>
      </c>
      <c r="B263">
        <v>23690</v>
      </c>
      <c r="C263" s="5">
        <v>42841</v>
      </c>
      <c r="F263" s="63"/>
      <c r="G263">
        <v>9.3000000000000007</v>
      </c>
      <c r="H263">
        <v>5.0999999999999996</v>
      </c>
      <c r="I263">
        <v>13.1</v>
      </c>
      <c r="J263">
        <f t="shared" si="33"/>
        <v>2075.6000000000004</v>
      </c>
      <c r="K263">
        <f t="shared" si="37"/>
        <v>195.80000000000004</v>
      </c>
      <c r="M263">
        <v>0</v>
      </c>
      <c r="N263">
        <v>2.2999999999999998</v>
      </c>
      <c r="O263">
        <f t="shared" si="30"/>
        <v>-2.2999999999999998</v>
      </c>
      <c r="P263">
        <f t="shared" si="34"/>
        <v>108.00000000000003</v>
      </c>
      <c r="Q263">
        <v>237</v>
      </c>
      <c r="R263">
        <v>1.1499999999999999</v>
      </c>
      <c r="S263" s="9">
        <f t="shared" si="31"/>
        <v>2.6449999999999996</v>
      </c>
      <c r="T263" s="9">
        <f t="shared" si="32"/>
        <v>-2.6449999999999996</v>
      </c>
      <c r="U263" s="9">
        <f t="shared" si="36"/>
        <v>120.06217114959483</v>
      </c>
      <c r="W263">
        <v>1717.7</v>
      </c>
      <c r="Y263">
        <f t="shared" si="35"/>
        <v>155399.90000000002</v>
      </c>
      <c r="Z263" s="33">
        <f t="shared" si="38"/>
        <v>25292.199999999997</v>
      </c>
      <c r="AA263">
        <v>13.489664220205036</v>
      </c>
    </row>
    <row r="264" spans="1:28" x14ac:dyDescent="0.25">
      <c r="A264">
        <v>5240</v>
      </c>
      <c r="B264">
        <v>23690</v>
      </c>
      <c r="C264" s="5">
        <v>42842</v>
      </c>
      <c r="F264" s="63"/>
      <c r="G264">
        <v>8.9</v>
      </c>
      <c r="H264">
        <v>5.6</v>
      </c>
      <c r="I264">
        <v>12.7</v>
      </c>
      <c r="J264">
        <f t="shared" si="33"/>
        <v>2084.5000000000005</v>
      </c>
      <c r="K264">
        <f t="shared" si="37"/>
        <v>204.70000000000005</v>
      </c>
      <c r="M264">
        <v>0.1</v>
      </c>
      <c r="N264">
        <v>1.3</v>
      </c>
      <c r="O264">
        <f t="shared" si="30"/>
        <v>-1.2</v>
      </c>
      <c r="P264">
        <f t="shared" si="34"/>
        <v>106.80000000000003</v>
      </c>
      <c r="Q264">
        <v>238</v>
      </c>
      <c r="R264">
        <v>1.1499999999999999</v>
      </c>
      <c r="S264" s="9">
        <f t="shared" si="31"/>
        <v>1.4949999999999999</v>
      </c>
      <c r="T264" s="9">
        <f t="shared" si="32"/>
        <v>-1.3949999999999998</v>
      </c>
      <c r="U264" s="9">
        <f t="shared" si="36"/>
        <v>118.66717114959484</v>
      </c>
      <c r="W264">
        <v>1035.3</v>
      </c>
      <c r="Y264">
        <f t="shared" si="35"/>
        <v>156435.20000000001</v>
      </c>
      <c r="Z264" s="33">
        <f t="shared" si="38"/>
        <v>26327.499999999996</v>
      </c>
      <c r="AA264">
        <v>13.547236448469361</v>
      </c>
    </row>
    <row r="265" spans="1:28" x14ac:dyDescent="0.25">
      <c r="A265">
        <v>5240</v>
      </c>
      <c r="B265">
        <v>23690</v>
      </c>
      <c r="C265" s="5">
        <v>42843</v>
      </c>
      <c r="F265" s="63"/>
      <c r="G265">
        <v>5.9</v>
      </c>
      <c r="H265">
        <v>4</v>
      </c>
      <c r="I265">
        <v>9.6999999999999993</v>
      </c>
      <c r="J265">
        <f t="shared" si="33"/>
        <v>2090.4000000000005</v>
      </c>
      <c r="K265">
        <f t="shared" si="37"/>
        <v>210.60000000000005</v>
      </c>
      <c r="M265">
        <v>0</v>
      </c>
      <c r="N265">
        <v>1.3</v>
      </c>
      <c r="O265">
        <f t="shared" si="30"/>
        <v>-1.3</v>
      </c>
      <c r="P265">
        <f t="shared" si="34"/>
        <v>105.50000000000003</v>
      </c>
      <c r="Q265">
        <v>239</v>
      </c>
      <c r="R265">
        <v>1.1499999999999999</v>
      </c>
      <c r="S265" s="9">
        <f t="shared" si="31"/>
        <v>1.4949999999999999</v>
      </c>
      <c r="T265" s="9">
        <f t="shared" si="32"/>
        <v>-1.4949999999999999</v>
      </c>
      <c r="U265" s="9">
        <f t="shared" si="36"/>
        <v>117.17217114959483</v>
      </c>
      <c r="W265">
        <v>1019.6</v>
      </c>
      <c r="Y265">
        <f t="shared" si="35"/>
        <v>157454.80000000002</v>
      </c>
      <c r="Z265" s="33">
        <f t="shared" si="38"/>
        <v>27347.099999999995</v>
      </c>
      <c r="AA265">
        <v>13.604553247395502</v>
      </c>
    </row>
    <row r="266" spans="1:28" s="14" customFormat="1" ht="15.75" thickBot="1" x14ac:dyDescent="0.3">
      <c r="A266" s="14">
        <v>5240</v>
      </c>
      <c r="B266" s="14">
        <v>23690</v>
      </c>
      <c r="C266" s="15">
        <v>42844</v>
      </c>
      <c r="D266" s="14" t="s">
        <v>36</v>
      </c>
      <c r="F266" s="64"/>
      <c r="G266" s="14">
        <v>5.5</v>
      </c>
      <c r="H266" s="14">
        <v>1.2</v>
      </c>
      <c r="I266" s="14">
        <v>11</v>
      </c>
      <c r="J266" s="14">
        <f t="shared" si="33"/>
        <v>2095.9000000000005</v>
      </c>
      <c r="K266" s="14">
        <f t="shared" si="37"/>
        <v>216.10000000000005</v>
      </c>
      <c r="M266" s="14">
        <v>0</v>
      </c>
      <c r="N266" s="14">
        <v>2.8</v>
      </c>
      <c r="O266" s="14">
        <f t="shared" si="30"/>
        <v>-2.8</v>
      </c>
      <c r="P266" s="14">
        <f t="shared" si="34"/>
        <v>102.70000000000003</v>
      </c>
      <c r="Q266" s="14">
        <v>240</v>
      </c>
      <c r="R266" s="14">
        <v>1.1499999999999999</v>
      </c>
      <c r="S266" s="16">
        <f t="shared" si="31"/>
        <v>3.2199999999999998</v>
      </c>
      <c r="T266" s="16">
        <f t="shared" si="32"/>
        <v>-3.2199999999999998</v>
      </c>
      <c r="U266" s="16">
        <f t="shared" si="36"/>
        <v>113.95217114959483</v>
      </c>
      <c r="W266" s="14">
        <v>2022.4</v>
      </c>
      <c r="Y266" s="14">
        <f t="shared" si="35"/>
        <v>159477.20000000001</v>
      </c>
      <c r="Z266" s="14">
        <f t="shared" si="38"/>
        <v>29369.499999999996</v>
      </c>
      <c r="AA266" s="14">
        <v>13.661601317454268</v>
      </c>
    </row>
    <row r="267" spans="1:28" x14ac:dyDescent="0.25">
      <c r="A267">
        <v>5240</v>
      </c>
      <c r="B267">
        <v>23690</v>
      </c>
      <c r="C267" s="5">
        <v>42845</v>
      </c>
      <c r="F267" s="42" t="s">
        <v>56</v>
      </c>
      <c r="G267">
        <v>6</v>
      </c>
      <c r="H267">
        <v>-0.1</v>
      </c>
      <c r="I267">
        <v>11.4</v>
      </c>
      <c r="J267">
        <f t="shared" si="33"/>
        <v>2101.9000000000005</v>
      </c>
      <c r="K267">
        <f>G267</f>
        <v>6</v>
      </c>
      <c r="L267" s="24" t="s">
        <v>37</v>
      </c>
      <c r="M267">
        <v>0</v>
      </c>
      <c r="N267">
        <v>2.9</v>
      </c>
      <c r="O267">
        <f t="shared" si="30"/>
        <v>-2.9</v>
      </c>
      <c r="P267">
        <f t="shared" si="34"/>
        <v>99.800000000000026</v>
      </c>
      <c r="Q267">
        <v>241</v>
      </c>
      <c r="R267">
        <v>1.1499999999999999</v>
      </c>
      <c r="S267" s="9">
        <f t="shared" si="31"/>
        <v>3.3349999999999995</v>
      </c>
      <c r="T267" s="9">
        <f t="shared" si="32"/>
        <v>-3.3349999999999995</v>
      </c>
      <c r="U267" s="9">
        <f t="shared" si="36"/>
        <v>110.61717114959484</v>
      </c>
      <c r="V267" s="25" t="s">
        <v>44</v>
      </c>
      <c r="W267">
        <v>2287.5</v>
      </c>
      <c r="Y267">
        <f t="shared" si="35"/>
        <v>161764.70000000001</v>
      </c>
      <c r="Z267" s="33">
        <f>W267</f>
        <v>2287.5</v>
      </c>
      <c r="AA267">
        <v>13.718366986873709</v>
      </c>
      <c r="AB267" s="25" t="s">
        <v>49</v>
      </c>
    </row>
    <row r="268" spans="1:28" s="35" customFormat="1" x14ac:dyDescent="0.25">
      <c r="A268" s="35">
        <v>5240</v>
      </c>
      <c r="B268" s="35">
        <v>23690</v>
      </c>
      <c r="C268" s="36">
        <v>42846</v>
      </c>
      <c r="F268" s="43"/>
      <c r="G268" s="35">
        <v>9.3000000000000007</v>
      </c>
      <c r="H268" s="35">
        <v>1.3</v>
      </c>
      <c r="I268" s="35">
        <v>16.100000000000001</v>
      </c>
      <c r="J268" s="35">
        <f t="shared" si="33"/>
        <v>2111.2000000000007</v>
      </c>
      <c r="K268">
        <f t="shared" si="37"/>
        <v>15.3</v>
      </c>
      <c r="L268" s="11">
        <v>307.60000000000002</v>
      </c>
      <c r="M268" s="35">
        <v>0</v>
      </c>
      <c r="N268" s="35">
        <v>3.6</v>
      </c>
      <c r="O268" s="35">
        <f t="shared" si="30"/>
        <v>-3.6</v>
      </c>
      <c r="P268" s="35">
        <f t="shared" si="34"/>
        <v>96.200000000000031</v>
      </c>
      <c r="Q268" s="35">
        <v>242</v>
      </c>
      <c r="R268" s="35">
        <v>1.1499999999999999</v>
      </c>
      <c r="S268" s="37">
        <f t="shared" si="31"/>
        <v>4.1399999999999997</v>
      </c>
      <c r="T268" s="37">
        <f t="shared" si="32"/>
        <v>-4.1399999999999997</v>
      </c>
      <c r="U268" s="9">
        <f t="shared" si="36"/>
        <v>106.47717114959484</v>
      </c>
      <c r="V268">
        <v>0</v>
      </c>
      <c r="W268" s="35">
        <v>2591.8000000000002</v>
      </c>
      <c r="Y268" s="35">
        <f t="shared" si="35"/>
        <v>164356.5</v>
      </c>
      <c r="Z268" s="33">
        <f t="shared" si="38"/>
        <v>4879.3</v>
      </c>
      <c r="AA268" s="35">
        <v>13.774836202459262</v>
      </c>
      <c r="AB268">
        <v>43469.2</v>
      </c>
    </row>
    <row r="269" spans="1:28" ht="15" customHeight="1" x14ac:dyDescent="0.25">
      <c r="A269">
        <v>5240</v>
      </c>
      <c r="B269">
        <v>23690</v>
      </c>
      <c r="C269" s="5">
        <v>42847</v>
      </c>
      <c r="F269" s="43"/>
      <c r="G269">
        <v>9.9</v>
      </c>
      <c r="H269">
        <v>5.3</v>
      </c>
      <c r="I269">
        <v>15.1</v>
      </c>
      <c r="J269">
        <f t="shared" si="33"/>
        <v>2121.1000000000008</v>
      </c>
      <c r="K269">
        <f t="shared" si="37"/>
        <v>25.200000000000003</v>
      </c>
      <c r="L269" s="24" t="s">
        <v>38</v>
      </c>
      <c r="M269">
        <v>0</v>
      </c>
      <c r="N269">
        <v>2.2999999999999998</v>
      </c>
      <c r="O269">
        <f t="shared" si="30"/>
        <v>-2.2999999999999998</v>
      </c>
      <c r="P269">
        <f t="shared" si="34"/>
        <v>93.900000000000034</v>
      </c>
      <c r="Q269">
        <v>243</v>
      </c>
      <c r="R269">
        <v>1.1499999999999999</v>
      </c>
      <c r="S269" s="9">
        <f t="shared" si="31"/>
        <v>2.6449999999999996</v>
      </c>
      <c r="T269" s="9">
        <f t="shared" si="32"/>
        <v>-2.6449999999999996</v>
      </c>
      <c r="U269" s="9">
        <f t="shared" si="36"/>
        <v>103.83217114959484</v>
      </c>
      <c r="V269" s="25" t="s">
        <v>45</v>
      </c>
      <c r="W269">
        <v>1511.2</v>
      </c>
      <c r="Y269">
        <f t="shared" si="35"/>
        <v>165867.70000000001</v>
      </c>
      <c r="Z269" s="33">
        <f t="shared" si="38"/>
        <v>6390.5</v>
      </c>
      <c r="AA269">
        <v>13.830994521086751</v>
      </c>
      <c r="AB269" s="25" t="s">
        <v>50</v>
      </c>
    </row>
    <row r="270" spans="1:28" x14ac:dyDescent="0.25">
      <c r="A270">
        <v>5240</v>
      </c>
      <c r="B270">
        <v>23690</v>
      </c>
      <c r="C270" s="5">
        <v>42848</v>
      </c>
      <c r="F270" s="43"/>
      <c r="G270">
        <v>8.6999999999999993</v>
      </c>
      <c r="H270">
        <v>3.9</v>
      </c>
      <c r="I270">
        <v>13.6</v>
      </c>
      <c r="J270">
        <f t="shared" si="33"/>
        <v>2129.8000000000006</v>
      </c>
      <c r="K270">
        <f t="shared" si="37"/>
        <v>33.900000000000006</v>
      </c>
      <c r="L270" s="41">
        <f>AVERAGE(G267:G294)</f>
        <v>10.985714285714284</v>
      </c>
      <c r="M270">
        <v>0</v>
      </c>
      <c r="N270">
        <v>2.8</v>
      </c>
      <c r="O270">
        <f t="shared" si="30"/>
        <v>-2.8</v>
      </c>
      <c r="P270">
        <f t="shared" si="34"/>
        <v>91.100000000000037</v>
      </c>
      <c r="Q270">
        <v>244</v>
      </c>
      <c r="R270">
        <v>1.1499999999999999</v>
      </c>
      <c r="S270" s="9">
        <f t="shared" si="31"/>
        <v>3.2199999999999998</v>
      </c>
      <c r="T270" s="9">
        <f t="shared" si="32"/>
        <v>-3.2199999999999998</v>
      </c>
      <c r="U270" s="9">
        <f t="shared" si="36"/>
        <v>100.61217114959484</v>
      </c>
      <c r="V270">
        <v>0</v>
      </c>
      <c r="W270">
        <v>1953.8</v>
      </c>
      <c r="Y270">
        <f t="shared" si="35"/>
        <v>167821.5</v>
      </c>
      <c r="Z270" s="33">
        <f t="shared" si="38"/>
        <v>8344.2999999999993</v>
      </c>
      <c r="AA270">
        <v>13.886827101921106</v>
      </c>
      <c r="AB270">
        <f>(AB268/100)/L268</f>
        <v>1.4131729518855654</v>
      </c>
    </row>
    <row r="271" spans="1:28" x14ac:dyDescent="0.25">
      <c r="A271">
        <v>5240</v>
      </c>
      <c r="B271">
        <v>23690</v>
      </c>
      <c r="C271" s="5">
        <v>42849</v>
      </c>
      <c r="F271" s="43"/>
      <c r="G271">
        <v>9.3000000000000007</v>
      </c>
      <c r="H271">
        <v>2.5</v>
      </c>
      <c r="I271">
        <v>14.9</v>
      </c>
      <c r="J271">
        <f t="shared" si="33"/>
        <v>2139.1000000000008</v>
      </c>
      <c r="K271">
        <f t="shared" si="37"/>
        <v>43.2</v>
      </c>
      <c r="L271" s="24" t="s">
        <v>39</v>
      </c>
      <c r="M271">
        <v>0</v>
      </c>
      <c r="N271">
        <v>2.7</v>
      </c>
      <c r="O271">
        <f t="shared" si="30"/>
        <v>-2.7</v>
      </c>
      <c r="P271">
        <f t="shared" si="34"/>
        <v>88.400000000000034</v>
      </c>
      <c r="Q271">
        <v>245</v>
      </c>
      <c r="R271">
        <v>1.1499999999999999</v>
      </c>
      <c r="S271" s="9">
        <f t="shared" si="31"/>
        <v>3.105</v>
      </c>
      <c r="T271" s="9">
        <f t="shared" si="32"/>
        <v>-3.105</v>
      </c>
      <c r="U271" s="9">
        <f t="shared" si="36"/>
        <v>97.507171149594839</v>
      </c>
      <c r="V271" s="25" t="s">
        <v>46</v>
      </c>
      <c r="W271">
        <v>2080.6999999999998</v>
      </c>
      <c r="Y271">
        <f t="shared" si="35"/>
        <v>169902.2</v>
      </c>
      <c r="Z271" s="33">
        <f t="shared" si="38"/>
        <v>10425</v>
      </c>
      <c r="AA271">
        <v>13.942318699416248</v>
      </c>
      <c r="AB271" s="25" t="s">
        <v>51</v>
      </c>
    </row>
    <row r="272" spans="1:28" x14ac:dyDescent="0.25">
      <c r="A272">
        <v>5240</v>
      </c>
      <c r="B272">
        <v>23690</v>
      </c>
      <c r="C272" s="5">
        <v>42850</v>
      </c>
      <c r="F272" s="43"/>
      <c r="G272">
        <v>6.7</v>
      </c>
      <c r="H272">
        <v>5.8</v>
      </c>
      <c r="I272">
        <v>8.3000000000000007</v>
      </c>
      <c r="J272">
        <f t="shared" si="33"/>
        <v>2145.8000000000006</v>
      </c>
      <c r="K272">
        <f t="shared" si="37"/>
        <v>49.900000000000006</v>
      </c>
      <c r="L272" s="12">
        <f>MIN(H267:H294)</f>
        <v>-0.1</v>
      </c>
      <c r="M272">
        <v>0.1</v>
      </c>
      <c r="N272">
        <v>2.1</v>
      </c>
      <c r="O272">
        <f t="shared" si="30"/>
        <v>-2</v>
      </c>
      <c r="P272">
        <f t="shared" si="34"/>
        <v>86.400000000000034</v>
      </c>
      <c r="Q272">
        <v>246</v>
      </c>
      <c r="R272">
        <v>1.1499999999999999</v>
      </c>
      <c r="S272" s="9">
        <f t="shared" si="31"/>
        <v>2.415</v>
      </c>
      <c r="T272" s="9">
        <f t="shared" si="32"/>
        <v>-2.3149999999999999</v>
      </c>
      <c r="U272" s="9">
        <f t="shared" si="36"/>
        <v>95.192171149594841</v>
      </c>
      <c r="V272" s="9">
        <f>MIN(U267:U294)</f>
        <v>89.237171149594843</v>
      </c>
      <c r="W272">
        <v>1463.7</v>
      </c>
      <c r="Y272">
        <f t="shared" si="35"/>
        <v>171365.90000000002</v>
      </c>
      <c r="Z272" s="33">
        <f t="shared" si="38"/>
        <v>11888.7</v>
      </c>
      <c r="AA272">
        <v>13.997453657153988</v>
      </c>
      <c r="AB272">
        <v>4</v>
      </c>
    </row>
    <row r="273" spans="1:27" x14ac:dyDescent="0.25">
      <c r="A273">
        <v>5240</v>
      </c>
      <c r="B273">
        <v>23690</v>
      </c>
      <c r="C273" s="5">
        <v>42851</v>
      </c>
      <c r="F273" s="43"/>
      <c r="G273">
        <v>4.5</v>
      </c>
      <c r="H273">
        <v>0.9</v>
      </c>
      <c r="I273">
        <v>9</v>
      </c>
      <c r="J273">
        <f t="shared" si="33"/>
        <v>2150.3000000000006</v>
      </c>
      <c r="K273">
        <f t="shared" si="37"/>
        <v>54.400000000000006</v>
      </c>
      <c r="L273" s="24" t="s">
        <v>40</v>
      </c>
      <c r="M273">
        <v>0.5</v>
      </c>
      <c r="N273">
        <v>2.4</v>
      </c>
      <c r="O273">
        <f t="shared" si="30"/>
        <v>-1.9</v>
      </c>
      <c r="P273">
        <f t="shared" si="34"/>
        <v>84.500000000000028</v>
      </c>
      <c r="Q273">
        <v>247</v>
      </c>
      <c r="R273">
        <v>1.1499999999999999</v>
      </c>
      <c r="S273" s="9">
        <f t="shared" si="31"/>
        <v>2.76</v>
      </c>
      <c r="T273" s="9">
        <f t="shared" si="32"/>
        <v>-2.2599999999999998</v>
      </c>
      <c r="U273" s="9">
        <f t="shared" si="36"/>
        <v>92.932171149594836</v>
      </c>
      <c r="V273" s="25" t="s">
        <v>47</v>
      </c>
      <c r="W273">
        <v>2184.4</v>
      </c>
      <c r="Y273">
        <f t="shared" si="35"/>
        <v>173550.30000000002</v>
      </c>
      <c r="Z273" s="33">
        <f t="shared" si="38"/>
        <v>14073.1</v>
      </c>
      <c r="AA273">
        <v>14.052215902582201</v>
      </c>
    </row>
    <row r="274" spans="1:27" x14ac:dyDescent="0.25">
      <c r="A274">
        <v>5240</v>
      </c>
      <c r="B274">
        <v>23690</v>
      </c>
      <c r="C274" s="5">
        <v>42852</v>
      </c>
      <c r="F274" s="43"/>
      <c r="G274">
        <v>5.3</v>
      </c>
      <c r="H274">
        <v>0.9</v>
      </c>
      <c r="I274">
        <v>9.4</v>
      </c>
      <c r="J274">
        <f t="shared" si="33"/>
        <v>2155.6000000000008</v>
      </c>
      <c r="K274">
        <f t="shared" si="37"/>
        <v>59.7</v>
      </c>
      <c r="L274" s="11">
        <f>MAX(I267:I294)</f>
        <v>26.5</v>
      </c>
      <c r="M274">
        <v>1.9</v>
      </c>
      <c r="N274">
        <v>1.6</v>
      </c>
      <c r="O274">
        <f t="shared" si="30"/>
        <v>0.29999999999999982</v>
      </c>
      <c r="P274">
        <f t="shared" si="34"/>
        <v>84.800000000000026</v>
      </c>
      <c r="Q274">
        <v>248</v>
      </c>
      <c r="R274">
        <v>1.1499999999999999</v>
      </c>
      <c r="S274" s="9">
        <f t="shared" si="31"/>
        <v>1.8399999999999999</v>
      </c>
      <c r="T274" s="9">
        <f t="shared" si="32"/>
        <v>6.0000000000000053E-2</v>
      </c>
      <c r="U274" s="9">
        <f t="shared" si="36"/>
        <v>92.992171149594839</v>
      </c>
      <c r="V274" s="9">
        <f>MAX(U267:U294)</f>
        <v>110.61717114959484</v>
      </c>
      <c r="W274">
        <v>1362.6</v>
      </c>
      <c r="Y274">
        <f t="shared" si="35"/>
        <v>174912.90000000002</v>
      </c>
      <c r="Z274" s="33">
        <f t="shared" si="38"/>
        <v>15435.7</v>
      </c>
      <c r="AA274">
        <v>14.106588942714794</v>
      </c>
    </row>
    <row r="275" spans="1:27" x14ac:dyDescent="0.25">
      <c r="A275">
        <v>5240</v>
      </c>
      <c r="B275">
        <v>23690</v>
      </c>
      <c r="C275" s="5">
        <v>42853</v>
      </c>
      <c r="F275" s="43"/>
      <c r="G275">
        <v>7.8</v>
      </c>
      <c r="H275">
        <v>2.1</v>
      </c>
      <c r="I275">
        <v>12.2</v>
      </c>
      <c r="J275">
        <f t="shared" si="33"/>
        <v>2163.400000000001</v>
      </c>
      <c r="K275">
        <f t="shared" si="37"/>
        <v>67.5</v>
      </c>
      <c r="L275" s="24" t="s">
        <v>41</v>
      </c>
      <c r="M275">
        <v>0.5</v>
      </c>
      <c r="N275">
        <v>1.1000000000000001</v>
      </c>
      <c r="O275">
        <f t="shared" si="30"/>
        <v>-0.60000000000000009</v>
      </c>
      <c r="P275">
        <f t="shared" si="34"/>
        <v>84.200000000000031</v>
      </c>
      <c r="Q275">
        <v>249</v>
      </c>
      <c r="R275">
        <v>1.1499999999999999</v>
      </c>
      <c r="S275" s="9">
        <f t="shared" si="31"/>
        <v>1.2649999999999999</v>
      </c>
      <c r="T275" s="9">
        <f t="shared" si="32"/>
        <v>-0.7649999999999999</v>
      </c>
      <c r="U275" s="9">
        <f t="shared" si="36"/>
        <v>92.227171149594838</v>
      </c>
      <c r="V275" s="25" t="s">
        <v>48</v>
      </c>
      <c r="W275">
        <v>829.4</v>
      </c>
      <c r="Y275">
        <f t="shared" si="35"/>
        <v>175742.30000000002</v>
      </c>
      <c r="Z275" s="33">
        <f t="shared" si="38"/>
        <v>16265.1</v>
      </c>
      <c r="AA275">
        <v>14.160555860858134</v>
      </c>
    </row>
    <row r="276" spans="1:27" x14ac:dyDescent="0.25">
      <c r="A276">
        <v>5240</v>
      </c>
      <c r="B276">
        <v>23690</v>
      </c>
      <c r="C276" s="5">
        <v>42854</v>
      </c>
      <c r="F276" s="43"/>
      <c r="G276">
        <v>10</v>
      </c>
      <c r="H276">
        <v>3.9</v>
      </c>
      <c r="I276">
        <v>15.8</v>
      </c>
      <c r="J276">
        <f t="shared" si="33"/>
        <v>2173.400000000001</v>
      </c>
      <c r="K276">
        <f t="shared" si="37"/>
        <v>77.5</v>
      </c>
      <c r="L276" s="11">
        <v>2</v>
      </c>
      <c r="M276">
        <v>0</v>
      </c>
      <c r="N276">
        <v>2.6</v>
      </c>
      <c r="O276">
        <f t="shared" si="30"/>
        <v>-2.6</v>
      </c>
      <c r="P276">
        <f t="shared" si="34"/>
        <v>81.600000000000037</v>
      </c>
      <c r="Q276">
        <v>250</v>
      </c>
      <c r="R276">
        <v>1.1499999999999999</v>
      </c>
      <c r="S276" s="9">
        <f t="shared" si="31"/>
        <v>2.9899999999999998</v>
      </c>
      <c r="T276" s="9">
        <f t="shared" si="32"/>
        <v>-2.9899999999999998</v>
      </c>
      <c r="U276" s="9">
        <f t="shared" si="36"/>
        <v>89.237171149594843</v>
      </c>
      <c r="V276" s="9">
        <f>AVERAGE(U267:U294)</f>
        <v>98.698599721023442</v>
      </c>
      <c r="W276">
        <v>1730.4</v>
      </c>
      <c r="Y276">
        <f t="shared" si="35"/>
        <v>177472.7</v>
      </c>
      <c r="Z276" s="33">
        <f t="shared" si="38"/>
        <v>17995.5</v>
      </c>
      <c r="AA276">
        <v>14.214099314430545</v>
      </c>
    </row>
    <row r="277" spans="1:27" x14ac:dyDescent="0.25">
      <c r="A277">
        <v>5240</v>
      </c>
      <c r="B277">
        <v>23690</v>
      </c>
      <c r="C277" s="5">
        <v>42855</v>
      </c>
      <c r="F277" s="43"/>
      <c r="G277">
        <v>8.5</v>
      </c>
      <c r="H277">
        <v>5.4</v>
      </c>
      <c r="I277">
        <v>12.1</v>
      </c>
      <c r="J277">
        <f t="shared" si="33"/>
        <v>2181.900000000001</v>
      </c>
      <c r="K277">
        <f t="shared" si="37"/>
        <v>86</v>
      </c>
      <c r="L277" s="24" t="s">
        <v>42</v>
      </c>
      <c r="M277">
        <v>11.5</v>
      </c>
      <c r="N277">
        <v>2.2000000000000002</v>
      </c>
      <c r="O277">
        <f t="shared" si="30"/>
        <v>9.3000000000000007</v>
      </c>
      <c r="P277">
        <f t="shared" si="34"/>
        <v>90.900000000000034</v>
      </c>
      <c r="Q277">
        <v>251</v>
      </c>
      <c r="R277">
        <v>1.1499999999999999</v>
      </c>
      <c r="S277" s="9">
        <f t="shared" si="31"/>
        <v>2.5299999999999998</v>
      </c>
      <c r="T277" s="9">
        <f t="shared" si="32"/>
        <v>8.9700000000000006</v>
      </c>
      <c r="U277" s="9">
        <f t="shared" si="36"/>
        <v>98.207171149594842</v>
      </c>
      <c r="W277">
        <v>1752.8</v>
      </c>
      <c r="Y277">
        <f t="shared" si="35"/>
        <v>179225.5</v>
      </c>
      <c r="Z277" s="33">
        <f t="shared" si="38"/>
        <v>19748.3</v>
      </c>
      <c r="AA277">
        <v>14.267201533943284</v>
      </c>
    </row>
    <row r="278" spans="1:27" x14ac:dyDescent="0.25">
      <c r="A278">
        <v>5240</v>
      </c>
      <c r="B278">
        <v>23690</v>
      </c>
      <c r="C278" s="5">
        <v>42856</v>
      </c>
      <c r="F278" s="43"/>
      <c r="G278">
        <v>9.8000000000000007</v>
      </c>
      <c r="H278">
        <v>7</v>
      </c>
      <c r="I278">
        <v>13.2</v>
      </c>
      <c r="J278">
        <f t="shared" si="33"/>
        <v>2191.7000000000012</v>
      </c>
      <c r="K278">
        <f t="shared" si="37"/>
        <v>95.8</v>
      </c>
      <c r="L278" s="11">
        <v>7</v>
      </c>
      <c r="M278">
        <v>0.9</v>
      </c>
      <c r="N278">
        <v>2.4</v>
      </c>
      <c r="O278">
        <f t="shared" si="30"/>
        <v>-1.5</v>
      </c>
      <c r="P278">
        <f t="shared" si="34"/>
        <v>89.400000000000034</v>
      </c>
      <c r="Q278">
        <v>252</v>
      </c>
      <c r="R278">
        <v>1.1499999999999999</v>
      </c>
      <c r="S278" s="9">
        <f t="shared" si="31"/>
        <v>2.76</v>
      </c>
      <c r="T278" s="9">
        <f t="shared" si="32"/>
        <v>-1.8599999999999999</v>
      </c>
      <c r="U278" s="9">
        <f t="shared" si="36"/>
        <v>96.347171149594843</v>
      </c>
      <c r="V278" s="32">
        <f>(V276*100)/218.9</f>
        <v>45.088442083610524</v>
      </c>
      <c r="W278">
        <v>1479.7</v>
      </c>
      <c r="Y278">
        <f t="shared" si="35"/>
        <v>180705.2</v>
      </c>
      <c r="Z278" s="33">
        <f t="shared" si="38"/>
        <v>21228</v>
      </c>
      <c r="AA278">
        <v>14.319844323212809</v>
      </c>
    </row>
    <row r="279" spans="1:27" x14ac:dyDescent="0.25">
      <c r="A279">
        <v>5240</v>
      </c>
      <c r="B279">
        <v>23690</v>
      </c>
      <c r="C279" s="5">
        <v>42857</v>
      </c>
      <c r="F279" s="43"/>
      <c r="G279">
        <v>10.9</v>
      </c>
      <c r="H279">
        <v>7.5</v>
      </c>
      <c r="I279">
        <v>14.6</v>
      </c>
      <c r="J279">
        <f t="shared" si="33"/>
        <v>2202.6000000000013</v>
      </c>
      <c r="K279">
        <f t="shared" si="37"/>
        <v>106.7</v>
      </c>
      <c r="L279" s="24" t="s">
        <v>43</v>
      </c>
      <c r="M279">
        <v>0</v>
      </c>
      <c r="N279">
        <v>2.2000000000000002</v>
      </c>
      <c r="O279">
        <f t="shared" si="30"/>
        <v>-2.2000000000000002</v>
      </c>
      <c r="P279">
        <f t="shared" si="34"/>
        <v>87.200000000000031</v>
      </c>
      <c r="Q279">
        <v>253</v>
      </c>
      <c r="R279">
        <v>1.1499999999999999</v>
      </c>
      <c r="S279" s="9">
        <f t="shared" si="31"/>
        <v>2.5299999999999998</v>
      </c>
      <c r="T279" s="9">
        <f t="shared" si="32"/>
        <v>-2.5299999999999998</v>
      </c>
      <c r="U279" s="9">
        <f t="shared" si="36"/>
        <v>93.817171149594841</v>
      </c>
      <c r="W279">
        <v>1577.2</v>
      </c>
      <c r="Y279">
        <f t="shared" si="35"/>
        <v>182282.40000000002</v>
      </c>
      <c r="Z279" s="33">
        <f t="shared" si="38"/>
        <v>22805.200000000001</v>
      </c>
      <c r="AA279">
        <v>14.372009060875531</v>
      </c>
    </row>
    <row r="280" spans="1:27" x14ac:dyDescent="0.25">
      <c r="A280">
        <v>5240</v>
      </c>
      <c r="B280">
        <v>23690</v>
      </c>
      <c r="C280" s="5">
        <v>42858</v>
      </c>
      <c r="F280" s="43"/>
      <c r="G280">
        <v>9.1</v>
      </c>
      <c r="H280">
        <v>8.4</v>
      </c>
      <c r="I280">
        <v>10.7</v>
      </c>
      <c r="J280">
        <f t="shared" si="33"/>
        <v>2211.7000000000012</v>
      </c>
      <c r="K280">
        <f t="shared" si="37"/>
        <v>115.8</v>
      </c>
      <c r="L280" s="22">
        <v>1</v>
      </c>
      <c r="M280">
        <v>7.5</v>
      </c>
      <c r="N280">
        <v>0.6</v>
      </c>
      <c r="O280">
        <f t="shared" si="30"/>
        <v>6.9</v>
      </c>
      <c r="P280">
        <f t="shared" si="34"/>
        <v>94.100000000000037</v>
      </c>
      <c r="Q280">
        <v>254</v>
      </c>
      <c r="R280">
        <v>1.1499999999999999</v>
      </c>
      <c r="S280" s="9">
        <f t="shared" si="31"/>
        <v>0.69</v>
      </c>
      <c r="T280" s="9">
        <f t="shared" si="32"/>
        <v>6.8100000000000005</v>
      </c>
      <c r="U280" s="9">
        <f t="shared" si="36"/>
        <v>100.62717114959484</v>
      </c>
      <c r="W280">
        <v>390.5</v>
      </c>
      <c r="Y280">
        <f t="shared" si="35"/>
        <v>182672.90000000002</v>
      </c>
      <c r="Z280" s="33">
        <f t="shared" si="38"/>
        <v>23195.7</v>
      </c>
      <c r="AA280">
        <v>14.423676703276932</v>
      </c>
    </row>
    <row r="281" spans="1:27" x14ac:dyDescent="0.25">
      <c r="A281">
        <v>5240</v>
      </c>
      <c r="B281">
        <v>23690</v>
      </c>
      <c r="C281" s="5">
        <v>42859</v>
      </c>
      <c r="F281" s="43"/>
      <c r="G281">
        <v>10.5</v>
      </c>
      <c r="H281">
        <v>7.7</v>
      </c>
      <c r="I281">
        <v>13.5</v>
      </c>
      <c r="J281">
        <f t="shared" si="33"/>
        <v>2222.2000000000012</v>
      </c>
      <c r="K281">
        <f t="shared" si="37"/>
        <v>126.3</v>
      </c>
      <c r="M281">
        <v>1.2</v>
      </c>
      <c r="N281">
        <v>1.6</v>
      </c>
      <c r="O281">
        <f t="shared" si="30"/>
        <v>-0.40000000000000013</v>
      </c>
      <c r="P281">
        <f t="shared" si="34"/>
        <v>93.700000000000031</v>
      </c>
      <c r="Q281">
        <v>255</v>
      </c>
      <c r="R281">
        <v>1.1499999999999999</v>
      </c>
      <c r="S281" s="9">
        <f t="shared" si="31"/>
        <v>1.8399999999999999</v>
      </c>
      <c r="T281" s="9">
        <f t="shared" si="32"/>
        <v>-0.6399999999999999</v>
      </c>
      <c r="U281" s="9">
        <f t="shared" si="36"/>
        <v>99.987171149594843</v>
      </c>
      <c r="W281">
        <v>1188.8</v>
      </c>
      <c r="Y281">
        <f t="shared" si="35"/>
        <v>183861.7</v>
      </c>
      <c r="Z281" s="33">
        <f t="shared" si="38"/>
        <v>24384.5</v>
      </c>
      <c r="AA281">
        <v>14.474827788807611</v>
      </c>
    </row>
    <row r="282" spans="1:27" x14ac:dyDescent="0.25">
      <c r="A282">
        <v>5240</v>
      </c>
      <c r="B282">
        <v>23690</v>
      </c>
      <c r="C282" s="5">
        <v>42860</v>
      </c>
      <c r="F282" s="43"/>
      <c r="G282">
        <v>12.4</v>
      </c>
      <c r="H282">
        <v>7.1</v>
      </c>
      <c r="I282">
        <v>16.399999999999999</v>
      </c>
      <c r="J282">
        <f t="shared" si="33"/>
        <v>2234.6000000000013</v>
      </c>
      <c r="K282">
        <f t="shared" si="37"/>
        <v>138.69999999999999</v>
      </c>
      <c r="M282">
        <v>2.6</v>
      </c>
      <c r="N282">
        <v>2.4</v>
      </c>
      <c r="O282">
        <f t="shared" si="30"/>
        <v>0.20000000000000018</v>
      </c>
      <c r="P282">
        <f t="shared" si="34"/>
        <v>93.900000000000034</v>
      </c>
      <c r="Q282">
        <v>256</v>
      </c>
      <c r="R282">
        <v>1.1499999999999999</v>
      </c>
      <c r="S282" s="9">
        <f t="shared" si="31"/>
        <v>2.76</v>
      </c>
      <c r="T282" s="9">
        <f t="shared" si="32"/>
        <v>-0.1599999999999997</v>
      </c>
      <c r="U282" s="9">
        <f t="shared" si="36"/>
        <v>99.827171149594847</v>
      </c>
      <c r="W282">
        <v>1860.5</v>
      </c>
      <c r="Y282">
        <f t="shared" si="35"/>
        <v>185722.2</v>
      </c>
      <c r="Z282" s="33">
        <f t="shared" si="38"/>
        <v>26245</v>
      </c>
      <c r="AA282">
        <v>14.52544244375871</v>
      </c>
    </row>
    <row r="283" spans="1:27" x14ac:dyDescent="0.25">
      <c r="A283">
        <v>5240</v>
      </c>
      <c r="B283">
        <v>23690</v>
      </c>
      <c r="C283" s="5">
        <v>42861</v>
      </c>
      <c r="F283" s="43"/>
      <c r="G283">
        <v>11.5</v>
      </c>
      <c r="H283">
        <v>9.9</v>
      </c>
      <c r="I283">
        <v>12.5</v>
      </c>
      <c r="J283">
        <f t="shared" si="33"/>
        <v>2246.1000000000013</v>
      </c>
      <c r="K283">
        <f t="shared" si="37"/>
        <v>150.19999999999999</v>
      </c>
      <c r="M283">
        <v>9.9</v>
      </c>
      <c r="N283">
        <v>0.7</v>
      </c>
      <c r="O283">
        <f t="shared" si="30"/>
        <v>9.2000000000000011</v>
      </c>
      <c r="P283">
        <f t="shared" si="34"/>
        <v>103.10000000000004</v>
      </c>
      <c r="Q283">
        <v>257</v>
      </c>
      <c r="R283">
        <v>1.1499999999999999</v>
      </c>
      <c r="S283" s="9">
        <f t="shared" si="31"/>
        <v>0.80499999999999994</v>
      </c>
      <c r="T283" s="9">
        <f t="shared" si="32"/>
        <v>9.0950000000000006</v>
      </c>
      <c r="U283" s="9">
        <f t="shared" si="36"/>
        <v>108.92217114959485</v>
      </c>
      <c r="W283">
        <v>379.9</v>
      </c>
      <c r="Y283">
        <f t="shared" si="35"/>
        <v>186102.1</v>
      </c>
      <c r="Z283" s="33">
        <f t="shared" si="38"/>
        <v>26624.9</v>
      </c>
      <c r="AA283">
        <v>14.575500389768891</v>
      </c>
    </row>
    <row r="284" spans="1:27" x14ac:dyDescent="0.25">
      <c r="A284">
        <v>5240</v>
      </c>
      <c r="B284">
        <v>23690</v>
      </c>
      <c r="C284" s="5">
        <v>42862</v>
      </c>
      <c r="F284" s="43"/>
      <c r="G284">
        <v>11.6</v>
      </c>
      <c r="H284">
        <v>9.8000000000000007</v>
      </c>
      <c r="I284">
        <v>15.1</v>
      </c>
      <c r="J284">
        <f t="shared" si="33"/>
        <v>2257.7000000000012</v>
      </c>
      <c r="K284">
        <f t="shared" si="37"/>
        <v>161.79999999999998</v>
      </c>
      <c r="M284">
        <v>0</v>
      </c>
      <c r="N284">
        <v>2</v>
      </c>
      <c r="O284">
        <f t="shared" ref="O284:O347" si="39">M284-N284</f>
        <v>-2</v>
      </c>
      <c r="P284">
        <f t="shared" si="34"/>
        <v>101.10000000000004</v>
      </c>
      <c r="Q284">
        <v>258</v>
      </c>
      <c r="R284">
        <v>1.1499999999999999</v>
      </c>
      <c r="S284" s="9">
        <f t="shared" ref="S284:S347" si="40">R284*N284</f>
        <v>2.2999999999999998</v>
      </c>
      <c r="T284" s="9">
        <f t="shared" ref="T284:T347" si="41">M284-S284</f>
        <v>-2.2999999999999998</v>
      </c>
      <c r="U284" s="9">
        <f t="shared" si="36"/>
        <v>106.62217114959485</v>
      </c>
      <c r="W284">
        <v>1097.5</v>
      </c>
      <c r="Y284">
        <f t="shared" si="35"/>
        <v>187199.6</v>
      </c>
      <c r="Z284" s="33">
        <f t="shared" si="38"/>
        <v>27722.400000000001</v>
      </c>
      <c r="AA284">
        <v>14.62498095293398</v>
      </c>
    </row>
    <row r="285" spans="1:27" x14ac:dyDescent="0.25">
      <c r="A285">
        <v>5240</v>
      </c>
      <c r="B285">
        <v>23690</v>
      </c>
      <c r="C285" s="5">
        <v>42863</v>
      </c>
      <c r="F285" s="43"/>
      <c r="G285">
        <v>10</v>
      </c>
      <c r="H285">
        <v>8.1999999999999993</v>
      </c>
      <c r="I285">
        <v>13.1</v>
      </c>
      <c r="J285">
        <f t="shared" ref="J285:J348" si="42">J284+G285</f>
        <v>2267.7000000000012</v>
      </c>
      <c r="K285">
        <f t="shared" si="37"/>
        <v>171.79999999999998</v>
      </c>
      <c r="M285">
        <v>0</v>
      </c>
      <c r="N285">
        <v>1.5</v>
      </c>
      <c r="O285">
        <f t="shared" si="39"/>
        <v>-1.5</v>
      </c>
      <c r="P285">
        <f t="shared" ref="P285:P348" si="43">P284+O285</f>
        <v>99.600000000000037</v>
      </c>
      <c r="Q285">
        <v>259</v>
      </c>
      <c r="R285">
        <v>1.1499999999999999</v>
      </c>
      <c r="S285" s="9">
        <f t="shared" si="40"/>
        <v>1.7249999999999999</v>
      </c>
      <c r="T285" s="9">
        <f t="shared" si="41"/>
        <v>-1.7249999999999999</v>
      </c>
      <c r="U285" s="9">
        <f t="shared" si="36"/>
        <v>104.89717114959485</v>
      </c>
      <c r="W285">
        <v>723.5</v>
      </c>
      <c r="Y285">
        <f t="shared" ref="Y285:Y348" si="44">Y284+W285</f>
        <v>187923.1</v>
      </c>
      <c r="Z285" s="33">
        <f t="shared" si="38"/>
        <v>28445.9</v>
      </c>
      <c r="AA285">
        <v>14.673863074648823</v>
      </c>
    </row>
    <row r="286" spans="1:27" x14ac:dyDescent="0.25">
      <c r="A286">
        <v>5240</v>
      </c>
      <c r="B286">
        <v>23690</v>
      </c>
      <c r="C286" s="5">
        <v>42864</v>
      </c>
      <c r="F286" s="43"/>
      <c r="G286">
        <v>10.9</v>
      </c>
      <c r="H286">
        <v>5.6</v>
      </c>
      <c r="I286">
        <v>15.4</v>
      </c>
      <c r="J286">
        <f t="shared" si="42"/>
        <v>2278.6000000000013</v>
      </c>
      <c r="K286">
        <f t="shared" si="37"/>
        <v>182.7</v>
      </c>
      <c r="M286">
        <v>0</v>
      </c>
      <c r="N286">
        <v>3.1</v>
      </c>
      <c r="O286">
        <f t="shared" si="39"/>
        <v>-3.1</v>
      </c>
      <c r="P286">
        <f t="shared" si="43"/>
        <v>96.500000000000043</v>
      </c>
      <c r="Q286">
        <v>260</v>
      </c>
      <c r="R286">
        <v>1.1499999999999999</v>
      </c>
      <c r="S286" s="9">
        <f t="shared" si="40"/>
        <v>3.5649999999999999</v>
      </c>
      <c r="T286" s="9">
        <f t="shared" si="41"/>
        <v>-3.5649999999999999</v>
      </c>
      <c r="U286" s="9">
        <f t="shared" si="36"/>
        <v>101.33217114959486</v>
      </c>
      <c r="W286">
        <v>2219.6999999999998</v>
      </c>
      <c r="Y286">
        <f t="shared" si="44"/>
        <v>190142.80000000002</v>
      </c>
      <c r="Z286" s="33">
        <f t="shared" si="38"/>
        <v>30665.600000000002</v>
      </c>
      <c r="AA286">
        <v>14.722125324248802</v>
      </c>
    </row>
    <row r="287" spans="1:27" x14ac:dyDescent="0.25">
      <c r="A287">
        <v>5240</v>
      </c>
      <c r="B287">
        <v>23690</v>
      </c>
      <c r="C287" s="5">
        <v>42865</v>
      </c>
      <c r="F287" s="43"/>
      <c r="G287">
        <v>13.7</v>
      </c>
      <c r="H287">
        <v>6.2</v>
      </c>
      <c r="I287">
        <v>18.5</v>
      </c>
      <c r="J287">
        <f t="shared" si="42"/>
        <v>2292.3000000000011</v>
      </c>
      <c r="K287">
        <f t="shared" si="37"/>
        <v>196.39999999999998</v>
      </c>
      <c r="M287">
        <v>2.4</v>
      </c>
      <c r="N287">
        <v>3.3</v>
      </c>
      <c r="O287">
        <f t="shared" si="39"/>
        <v>-0.89999999999999991</v>
      </c>
      <c r="P287">
        <f t="shared" si="43"/>
        <v>95.600000000000037</v>
      </c>
      <c r="Q287">
        <v>261</v>
      </c>
      <c r="R287">
        <v>1.1499999999999999</v>
      </c>
      <c r="S287" s="9">
        <f t="shared" si="40"/>
        <v>3.7949999999999995</v>
      </c>
      <c r="T287" s="9">
        <f t="shared" si="41"/>
        <v>-1.3949999999999996</v>
      </c>
      <c r="U287" s="9">
        <f t="shared" si="36"/>
        <v>99.93717114959486</v>
      </c>
      <c r="W287">
        <v>2168.4</v>
      </c>
      <c r="Y287">
        <f t="shared" si="44"/>
        <v>192311.2</v>
      </c>
      <c r="Z287" s="33">
        <f t="shared" si="38"/>
        <v>32834</v>
      </c>
      <c r="AA287">
        <v>14.769745913515338</v>
      </c>
    </row>
    <row r="288" spans="1:27" x14ac:dyDescent="0.25">
      <c r="A288">
        <v>5240</v>
      </c>
      <c r="B288">
        <v>23690</v>
      </c>
      <c r="C288" s="5">
        <v>42866</v>
      </c>
      <c r="F288" s="43"/>
      <c r="G288">
        <v>12.9</v>
      </c>
      <c r="H288">
        <v>12</v>
      </c>
      <c r="I288">
        <v>14.1</v>
      </c>
      <c r="J288">
        <f t="shared" si="42"/>
        <v>2305.2000000000012</v>
      </c>
      <c r="K288">
        <f t="shared" si="37"/>
        <v>209.29999999999998</v>
      </c>
      <c r="M288">
        <v>2.5</v>
      </c>
      <c r="N288">
        <v>1.9</v>
      </c>
      <c r="O288">
        <f t="shared" si="39"/>
        <v>0.60000000000000009</v>
      </c>
      <c r="P288">
        <f t="shared" si="43"/>
        <v>96.200000000000031</v>
      </c>
      <c r="Q288">
        <v>262</v>
      </c>
      <c r="R288">
        <v>1.1499999999999999</v>
      </c>
      <c r="S288" s="9">
        <f t="shared" si="40"/>
        <v>2.1849999999999996</v>
      </c>
      <c r="T288" s="9">
        <f t="shared" si="41"/>
        <v>0.31500000000000039</v>
      </c>
      <c r="U288" s="9">
        <f t="shared" si="36"/>
        <v>100.25217114959486</v>
      </c>
      <c r="W288">
        <v>1248.5999999999999</v>
      </c>
      <c r="Y288">
        <f t="shared" si="44"/>
        <v>193559.80000000002</v>
      </c>
      <c r="Z288" s="33">
        <f t="shared" si="38"/>
        <v>34082.6</v>
      </c>
      <c r="AA288">
        <v>14.816702713106203</v>
      </c>
    </row>
    <row r="289" spans="1:28" x14ac:dyDescent="0.25">
      <c r="A289">
        <v>5240</v>
      </c>
      <c r="B289">
        <v>23690</v>
      </c>
      <c r="C289" s="5">
        <v>42867</v>
      </c>
      <c r="F289" s="43"/>
      <c r="G289">
        <v>14.4</v>
      </c>
      <c r="H289">
        <v>11.2</v>
      </c>
      <c r="I289">
        <v>19</v>
      </c>
      <c r="J289">
        <f t="shared" si="42"/>
        <v>2319.6000000000013</v>
      </c>
      <c r="K289">
        <f t="shared" si="37"/>
        <v>223.7</v>
      </c>
      <c r="M289">
        <v>3.5</v>
      </c>
      <c r="N289">
        <v>2</v>
      </c>
      <c r="O289">
        <f t="shared" si="39"/>
        <v>1.5</v>
      </c>
      <c r="P289">
        <f t="shared" si="43"/>
        <v>97.700000000000031</v>
      </c>
      <c r="Q289">
        <v>263</v>
      </c>
      <c r="R289">
        <v>1.1499999999999999</v>
      </c>
      <c r="S289" s="9">
        <f t="shared" si="40"/>
        <v>2.2999999999999998</v>
      </c>
      <c r="T289" s="9">
        <f t="shared" si="41"/>
        <v>1.2000000000000002</v>
      </c>
      <c r="U289" s="9">
        <f t="shared" si="36"/>
        <v>101.45217114959486</v>
      </c>
      <c r="W289">
        <v>1225.5</v>
      </c>
      <c r="Y289">
        <f t="shared" si="44"/>
        <v>194785.30000000002</v>
      </c>
      <c r="Z289" s="33">
        <f t="shared" si="38"/>
        <v>35308.1</v>
      </c>
      <c r="AA289">
        <v>14.862973270966854</v>
      </c>
    </row>
    <row r="290" spans="1:28" x14ac:dyDescent="0.25">
      <c r="A290">
        <v>5240</v>
      </c>
      <c r="B290">
        <v>23690</v>
      </c>
      <c r="C290" s="5">
        <v>42868</v>
      </c>
      <c r="F290" s="43"/>
      <c r="G290">
        <v>14.2</v>
      </c>
      <c r="H290">
        <v>11.2</v>
      </c>
      <c r="I290">
        <v>17.8</v>
      </c>
      <c r="J290">
        <f t="shared" si="42"/>
        <v>2333.8000000000011</v>
      </c>
      <c r="K290">
        <f t="shared" si="37"/>
        <v>237.89999999999998</v>
      </c>
      <c r="M290">
        <v>0</v>
      </c>
      <c r="N290">
        <v>2.6</v>
      </c>
      <c r="O290">
        <f t="shared" si="39"/>
        <v>-2.6</v>
      </c>
      <c r="P290">
        <f t="shared" si="43"/>
        <v>95.100000000000037</v>
      </c>
      <c r="Q290">
        <v>264</v>
      </c>
      <c r="R290">
        <v>1.1499999999999999</v>
      </c>
      <c r="S290" s="9">
        <f t="shared" si="40"/>
        <v>2.9899999999999998</v>
      </c>
      <c r="T290" s="9">
        <f t="shared" si="41"/>
        <v>-2.9899999999999998</v>
      </c>
      <c r="U290" s="9">
        <f t="shared" si="36"/>
        <v>98.462171149594866</v>
      </c>
      <c r="W290">
        <v>1549.1</v>
      </c>
      <c r="Y290">
        <f t="shared" si="44"/>
        <v>196334.40000000002</v>
      </c>
      <c r="Z290" s="33">
        <f t="shared" si="38"/>
        <v>36857.199999999997</v>
      </c>
      <c r="AA290">
        <v>14.908534832773665</v>
      </c>
    </row>
    <row r="291" spans="1:28" x14ac:dyDescent="0.25">
      <c r="A291">
        <v>5240</v>
      </c>
      <c r="B291">
        <v>23690</v>
      </c>
      <c r="C291" s="5">
        <v>42869</v>
      </c>
      <c r="F291" s="43"/>
      <c r="G291">
        <v>14.1</v>
      </c>
      <c r="H291">
        <v>10.1</v>
      </c>
      <c r="I291">
        <v>18.8</v>
      </c>
      <c r="J291">
        <f t="shared" si="42"/>
        <v>2347.900000000001</v>
      </c>
      <c r="K291">
        <f t="shared" si="37"/>
        <v>251.99999999999997</v>
      </c>
      <c r="M291">
        <v>0.3</v>
      </c>
      <c r="N291">
        <v>3.2</v>
      </c>
      <c r="O291">
        <f t="shared" si="39"/>
        <v>-2.9000000000000004</v>
      </c>
      <c r="P291">
        <f t="shared" si="43"/>
        <v>92.200000000000031</v>
      </c>
      <c r="Q291">
        <v>265</v>
      </c>
      <c r="R291">
        <v>1.1499999999999999</v>
      </c>
      <c r="S291" s="9">
        <f t="shared" si="40"/>
        <v>3.6799999999999997</v>
      </c>
      <c r="T291" s="9">
        <f t="shared" si="41"/>
        <v>-3.38</v>
      </c>
      <c r="U291" s="9">
        <f t="shared" si="36"/>
        <v>95.08217114959487</v>
      </c>
      <c r="W291">
        <v>1959.2</v>
      </c>
      <c r="Y291">
        <f t="shared" si="44"/>
        <v>198293.60000000003</v>
      </c>
      <c r="Z291" s="33">
        <f t="shared" si="38"/>
        <v>38816.399999999994</v>
      </c>
      <c r="AA291">
        <v>14.953364364453595</v>
      </c>
    </row>
    <row r="292" spans="1:28" x14ac:dyDescent="0.25">
      <c r="A292">
        <v>5240</v>
      </c>
      <c r="B292">
        <v>23690</v>
      </c>
      <c r="C292" s="5">
        <v>42870</v>
      </c>
      <c r="F292" s="43"/>
      <c r="G292">
        <v>16.2</v>
      </c>
      <c r="H292">
        <v>7.7</v>
      </c>
      <c r="I292">
        <v>21.4</v>
      </c>
      <c r="J292">
        <f t="shared" si="42"/>
        <v>2364.1000000000008</v>
      </c>
      <c r="K292">
        <f t="shared" si="37"/>
        <v>268.2</v>
      </c>
      <c r="M292">
        <v>0</v>
      </c>
      <c r="N292">
        <v>2.2999999999999998</v>
      </c>
      <c r="O292">
        <f t="shared" si="39"/>
        <v>-2.2999999999999998</v>
      </c>
      <c r="P292">
        <f t="shared" si="43"/>
        <v>89.900000000000034</v>
      </c>
      <c r="Q292">
        <v>266</v>
      </c>
      <c r="R292">
        <v>1.1499999999999999</v>
      </c>
      <c r="S292" s="9">
        <f t="shared" si="40"/>
        <v>2.6449999999999996</v>
      </c>
      <c r="T292" s="9">
        <f t="shared" si="41"/>
        <v>-2.6449999999999996</v>
      </c>
      <c r="U292" s="9">
        <f t="shared" si="36"/>
        <v>92.437171149594874</v>
      </c>
      <c r="W292">
        <v>1547.3</v>
      </c>
      <c r="Y292">
        <f t="shared" si="44"/>
        <v>199840.90000000002</v>
      </c>
      <c r="Z292" s="33">
        <f t="shared" si="38"/>
        <v>40363.699999999997</v>
      </c>
      <c r="AA292">
        <v>14.997438576817677</v>
      </c>
    </row>
    <row r="293" spans="1:28" x14ac:dyDescent="0.25">
      <c r="A293">
        <v>5240</v>
      </c>
      <c r="B293">
        <v>23690</v>
      </c>
      <c r="C293" s="5">
        <v>42871</v>
      </c>
      <c r="F293" s="43"/>
      <c r="G293">
        <v>20.2</v>
      </c>
      <c r="H293">
        <v>14.8</v>
      </c>
      <c r="I293">
        <v>25.3</v>
      </c>
      <c r="J293">
        <f t="shared" si="42"/>
        <v>2384.3000000000006</v>
      </c>
      <c r="K293">
        <f t="shared" si="37"/>
        <v>288.39999999999998</v>
      </c>
      <c r="M293">
        <v>0</v>
      </c>
      <c r="N293">
        <v>2.5</v>
      </c>
      <c r="O293">
        <f t="shared" si="39"/>
        <v>-2.5</v>
      </c>
      <c r="P293">
        <f t="shared" si="43"/>
        <v>87.400000000000034</v>
      </c>
      <c r="Q293">
        <v>267</v>
      </c>
      <c r="R293">
        <v>1.1499999999999999</v>
      </c>
      <c r="S293" s="9">
        <f t="shared" si="40"/>
        <v>2.875</v>
      </c>
      <c r="T293" s="9">
        <f t="shared" si="41"/>
        <v>-2.875</v>
      </c>
      <c r="U293" s="9">
        <f t="shared" si="36"/>
        <v>89.562171149594874</v>
      </c>
      <c r="W293">
        <v>1300.8</v>
      </c>
      <c r="Y293">
        <f t="shared" si="44"/>
        <v>201141.7</v>
      </c>
      <c r="Z293" s="33">
        <f t="shared" si="38"/>
        <v>41664.5</v>
      </c>
      <c r="AA293">
        <v>15.040733952337392</v>
      </c>
    </row>
    <row r="294" spans="1:28" s="14" customFormat="1" ht="15.75" thickBot="1" x14ac:dyDescent="0.3">
      <c r="A294" s="14">
        <v>5240</v>
      </c>
      <c r="B294" s="14">
        <v>23690</v>
      </c>
      <c r="C294" s="15">
        <v>42872</v>
      </c>
      <c r="F294" s="44"/>
      <c r="G294" s="14">
        <v>19.2</v>
      </c>
      <c r="H294" s="14">
        <v>16.2</v>
      </c>
      <c r="I294" s="14">
        <v>26.5</v>
      </c>
      <c r="J294" s="14">
        <f t="shared" si="42"/>
        <v>2403.5000000000005</v>
      </c>
      <c r="K294" s="14">
        <f t="shared" si="37"/>
        <v>307.59999999999997</v>
      </c>
      <c r="M294" s="14">
        <v>9.1999999999999993</v>
      </c>
      <c r="N294" s="14">
        <v>4</v>
      </c>
      <c r="O294" s="14">
        <f t="shared" si="39"/>
        <v>5.1999999999999993</v>
      </c>
      <c r="P294" s="14">
        <f t="shared" si="43"/>
        <v>92.600000000000037</v>
      </c>
      <c r="Q294" s="14">
        <v>268</v>
      </c>
      <c r="R294" s="14">
        <v>1.1499999999999999</v>
      </c>
      <c r="S294" s="16">
        <f t="shared" si="40"/>
        <v>4.5999999999999996</v>
      </c>
      <c r="T294" s="16">
        <f t="shared" si="41"/>
        <v>4.5999999999999996</v>
      </c>
      <c r="U294" s="16">
        <f t="shared" si="36"/>
        <v>94.162171149594869</v>
      </c>
      <c r="W294" s="14">
        <v>1804.7</v>
      </c>
      <c r="Y294" s="14">
        <f t="shared" si="44"/>
        <v>202946.40000000002</v>
      </c>
      <c r="Z294" s="14">
        <f t="shared" si="38"/>
        <v>43469.2</v>
      </c>
      <c r="AA294" s="14">
        <v>15.083226774083755</v>
      </c>
    </row>
    <row r="295" spans="1:28" s="35" customFormat="1" x14ac:dyDescent="0.25">
      <c r="A295" s="35">
        <v>5240</v>
      </c>
      <c r="B295" s="35">
        <v>23690</v>
      </c>
      <c r="C295" s="36">
        <v>42873</v>
      </c>
      <c r="F295" s="45" t="s">
        <v>57</v>
      </c>
      <c r="G295" s="35">
        <v>13.6</v>
      </c>
      <c r="H295" s="35">
        <v>10.199999999999999</v>
      </c>
      <c r="I295" s="35">
        <v>18.100000000000001</v>
      </c>
      <c r="J295" s="35">
        <f t="shared" si="42"/>
        <v>2417.1000000000004</v>
      </c>
      <c r="K295">
        <f>G295</f>
        <v>13.6</v>
      </c>
      <c r="L295" s="26" t="s">
        <v>37</v>
      </c>
      <c r="M295" s="35">
        <v>23.5</v>
      </c>
      <c r="N295" s="35">
        <v>0.9</v>
      </c>
      <c r="O295" s="35">
        <f t="shared" si="39"/>
        <v>22.6</v>
      </c>
      <c r="P295" s="35">
        <f t="shared" si="43"/>
        <v>115.20000000000005</v>
      </c>
      <c r="Q295" s="35">
        <v>269</v>
      </c>
      <c r="R295">
        <f>1.15+((Q295-268)/79)*(0.35-1.15)</f>
        <v>1.1398734177215188</v>
      </c>
      <c r="S295" s="37">
        <f t="shared" si="40"/>
        <v>1.0258860759493671</v>
      </c>
      <c r="T295" s="37">
        <f t="shared" si="41"/>
        <v>22.474113924050634</v>
      </c>
      <c r="U295" s="9">
        <f t="shared" si="36"/>
        <v>116.6362850736455</v>
      </c>
      <c r="V295" s="27" t="s">
        <v>44</v>
      </c>
      <c r="W295" s="35">
        <v>454</v>
      </c>
      <c r="Y295" s="35">
        <f t="shared" si="44"/>
        <v>203400.40000000002</v>
      </c>
      <c r="Z295" s="33">
        <f>W295</f>
        <v>454</v>
      </c>
      <c r="AA295" s="35">
        <v>15.12489315683872</v>
      </c>
      <c r="AB295" s="27" t="s">
        <v>49</v>
      </c>
    </row>
    <row r="296" spans="1:28" ht="15" customHeight="1" x14ac:dyDescent="0.25">
      <c r="A296">
        <v>5240</v>
      </c>
      <c r="B296">
        <v>23690</v>
      </c>
      <c r="C296" s="5">
        <v>42874</v>
      </c>
      <c r="F296" s="46"/>
      <c r="G296">
        <v>10.4</v>
      </c>
      <c r="H296">
        <v>8.6</v>
      </c>
      <c r="I296">
        <v>14.7</v>
      </c>
      <c r="J296">
        <f t="shared" si="42"/>
        <v>2427.5000000000005</v>
      </c>
      <c r="K296">
        <f t="shared" si="37"/>
        <v>24</v>
      </c>
      <c r="L296" s="11">
        <v>300.10000000000002</v>
      </c>
      <c r="M296">
        <v>2.2999999999999998</v>
      </c>
      <c r="N296">
        <v>2.2999999999999998</v>
      </c>
      <c r="O296">
        <f t="shared" si="39"/>
        <v>0</v>
      </c>
      <c r="P296">
        <f t="shared" si="43"/>
        <v>115.20000000000005</v>
      </c>
      <c r="Q296">
        <v>270</v>
      </c>
      <c r="R296">
        <f t="shared" ref="R296:R359" si="45">1.15+((Q296-268)/79)*(0.35-1.15)</f>
        <v>1.1297468354430378</v>
      </c>
      <c r="S296" s="9">
        <f t="shared" si="40"/>
        <v>2.5984177215189868</v>
      </c>
      <c r="T296" s="9">
        <f t="shared" si="41"/>
        <v>-0.29841772151898693</v>
      </c>
      <c r="U296" s="9">
        <f t="shared" ref="U296:U359" si="46">MIN(U295+T296,218.9)</f>
        <v>116.33786735212651</v>
      </c>
      <c r="V296">
        <v>0</v>
      </c>
      <c r="W296">
        <v>1621.8</v>
      </c>
      <c r="Y296">
        <f t="shared" si="44"/>
        <v>205022.2</v>
      </c>
      <c r="Z296" s="33">
        <f t="shared" si="38"/>
        <v>2075.8000000000002</v>
      </c>
      <c r="AA296">
        <v>15.165709080377102</v>
      </c>
      <c r="AB296">
        <v>31663.9</v>
      </c>
    </row>
    <row r="297" spans="1:28" x14ac:dyDescent="0.25">
      <c r="A297">
        <v>5240</v>
      </c>
      <c r="B297">
        <v>23690</v>
      </c>
      <c r="C297" s="5">
        <v>42875</v>
      </c>
      <c r="F297" s="46"/>
      <c r="G297">
        <v>11.4</v>
      </c>
      <c r="H297">
        <v>6.9</v>
      </c>
      <c r="I297">
        <v>15.5</v>
      </c>
      <c r="J297">
        <f t="shared" si="42"/>
        <v>2438.9000000000005</v>
      </c>
      <c r="K297">
        <f t="shared" si="37"/>
        <v>35.4</v>
      </c>
      <c r="L297" s="26" t="s">
        <v>38</v>
      </c>
      <c r="M297">
        <v>0.2</v>
      </c>
      <c r="N297">
        <v>2.4</v>
      </c>
      <c r="O297">
        <f t="shared" si="39"/>
        <v>-2.1999999999999997</v>
      </c>
      <c r="P297">
        <f t="shared" si="43"/>
        <v>113.00000000000004</v>
      </c>
      <c r="Q297">
        <v>271</v>
      </c>
      <c r="R297">
        <f t="shared" si="45"/>
        <v>1.1196202531645569</v>
      </c>
      <c r="S297" s="9">
        <f t="shared" si="40"/>
        <v>2.6870886075949367</v>
      </c>
      <c r="T297" s="9">
        <f t="shared" si="41"/>
        <v>-2.4870886075949366</v>
      </c>
      <c r="U297" s="9">
        <f t="shared" si="46"/>
        <v>113.85077874453157</v>
      </c>
      <c r="V297" s="27" t="s">
        <v>45</v>
      </c>
      <c r="W297">
        <v>1706</v>
      </c>
      <c r="Y297">
        <f t="shared" si="44"/>
        <v>206728.2</v>
      </c>
      <c r="Z297" s="33">
        <f t="shared" si="38"/>
        <v>3781.8</v>
      </c>
      <c r="AA297">
        <v>15.20565042490494</v>
      </c>
      <c r="AB297" s="27" t="s">
        <v>50</v>
      </c>
    </row>
    <row r="298" spans="1:28" x14ac:dyDescent="0.25">
      <c r="A298">
        <v>5240</v>
      </c>
      <c r="B298">
        <v>23690</v>
      </c>
      <c r="C298" s="5">
        <v>42876</v>
      </c>
      <c r="F298" s="46"/>
      <c r="G298">
        <v>14.6</v>
      </c>
      <c r="H298">
        <v>8.3000000000000007</v>
      </c>
      <c r="I298">
        <v>19.100000000000001</v>
      </c>
      <c r="J298">
        <f t="shared" si="42"/>
        <v>2453.5000000000005</v>
      </c>
      <c r="K298">
        <f t="shared" si="37"/>
        <v>50</v>
      </c>
      <c r="L298" s="41">
        <f>AVERAGE(G295:G311)</f>
        <v>17.652941176470591</v>
      </c>
      <c r="M298">
        <v>0</v>
      </c>
      <c r="N298">
        <v>3.1</v>
      </c>
      <c r="O298">
        <f t="shared" si="39"/>
        <v>-3.1</v>
      </c>
      <c r="P298">
        <f t="shared" si="43"/>
        <v>109.90000000000005</v>
      </c>
      <c r="Q298">
        <v>272</v>
      </c>
      <c r="R298">
        <f t="shared" si="45"/>
        <v>1.1094936708860759</v>
      </c>
      <c r="S298" s="9">
        <f t="shared" si="40"/>
        <v>3.4394303797468351</v>
      </c>
      <c r="T298" s="9">
        <f t="shared" si="41"/>
        <v>-3.4394303797468351</v>
      </c>
      <c r="U298" s="9">
        <f t="shared" si="46"/>
        <v>110.41134836478473</v>
      </c>
      <c r="V298">
        <v>2</v>
      </c>
      <c r="W298">
        <v>2101.6</v>
      </c>
      <c r="Y298">
        <f t="shared" si="44"/>
        <v>208829.80000000002</v>
      </c>
      <c r="Z298" s="33">
        <f t="shared" si="38"/>
        <v>5883.4</v>
      </c>
      <c r="AA298">
        <v>15.244693008626799</v>
      </c>
      <c r="AB298">
        <f>(AB296/100)/L296</f>
        <v>1.0551116294568477</v>
      </c>
    </row>
    <row r="299" spans="1:28" x14ac:dyDescent="0.25">
      <c r="A299">
        <v>5240</v>
      </c>
      <c r="B299">
        <v>23690</v>
      </c>
      <c r="C299" s="5">
        <v>42877</v>
      </c>
      <c r="F299" s="46"/>
      <c r="G299">
        <v>17.7</v>
      </c>
      <c r="H299">
        <v>11.7</v>
      </c>
      <c r="I299">
        <v>23.3</v>
      </c>
      <c r="J299">
        <f t="shared" si="42"/>
        <v>2471.2000000000003</v>
      </c>
      <c r="K299">
        <f t="shared" si="37"/>
        <v>67.7</v>
      </c>
      <c r="L299" s="26" t="s">
        <v>39</v>
      </c>
      <c r="M299">
        <v>0</v>
      </c>
      <c r="N299">
        <v>4.4000000000000004</v>
      </c>
      <c r="O299">
        <f t="shared" si="39"/>
        <v>-4.4000000000000004</v>
      </c>
      <c r="P299">
        <f t="shared" si="43"/>
        <v>105.50000000000004</v>
      </c>
      <c r="Q299">
        <v>273</v>
      </c>
      <c r="R299">
        <f t="shared" si="45"/>
        <v>1.0993670886075948</v>
      </c>
      <c r="S299" s="9">
        <f t="shared" si="40"/>
        <v>4.8372151898734179</v>
      </c>
      <c r="T299" s="9">
        <f t="shared" si="41"/>
        <v>-4.8372151898734179</v>
      </c>
      <c r="U299" s="9">
        <f t="shared" si="46"/>
        <v>105.57413317491131</v>
      </c>
      <c r="V299" s="27" t="s">
        <v>46</v>
      </c>
      <c r="W299">
        <v>2600.4</v>
      </c>
      <c r="Y299">
        <f t="shared" si="44"/>
        <v>211430.2</v>
      </c>
      <c r="Z299" s="33">
        <f t="shared" si="38"/>
        <v>8483.7999999999993</v>
      </c>
      <c r="AA299">
        <v>15.2828126274003</v>
      </c>
      <c r="AB299" s="27" t="s">
        <v>51</v>
      </c>
    </row>
    <row r="300" spans="1:28" x14ac:dyDescent="0.25">
      <c r="A300">
        <v>5240</v>
      </c>
      <c r="B300">
        <v>23690</v>
      </c>
      <c r="C300" s="5">
        <v>42878</v>
      </c>
      <c r="F300" s="46"/>
      <c r="G300">
        <v>17.3</v>
      </c>
      <c r="H300">
        <v>12.9</v>
      </c>
      <c r="I300">
        <v>21.5</v>
      </c>
      <c r="J300">
        <f t="shared" si="42"/>
        <v>2488.5000000000005</v>
      </c>
      <c r="K300">
        <f t="shared" si="37"/>
        <v>85</v>
      </c>
      <c r="L300" s="12">
        <f>MIN(H295:H311)</f>
        <v>6.9</v>
      </c>
      <c r="M300">
        <v>0</v>
      </c>
      <c r="N300">
        <v>3.3</v>
      </c>
      <c r="O300">
        <f t="shared" si="39"/>
        <v>-3.3</v>
      </c>
      <c r="P300">
        <f t="shared" si="43"/>
        <v>102.20000000000005</v>
      </c>
      <c r="Q300">
        <v>274</v>
      </c>
      <c r="R300">
        <f t="shared" si="45"/>
        <v>1.0892405063291137</v>
      </c>
      <c r="S300" s="9">
        <f t="shared" si="40"/>
        <v>3.5944936708860751</v>
      </c>
      <c r="T300" s="9">
        <f t="shared" si="41"/>
        <v>-3.5944936708860751</v>
      </c>
      <c r="U300" s="9">
        <f t="shared" si="46"/>
        <v>101.97963950402523</v>
      </c>
      <c r="V300" s="9">
        <f>MIN(U295:U311)</f>
        <v>67.385398997696115</v>
      </c>
      <c r="W300">
        <v>1918.7</v>
      </c>
      <c r="Y300">
        <f t="shared" si="44"/>
        <v>213348.90000000002</v>
      </c>
      <c r="Z300" s="33">
        <f t="shared" si="38"/>
        <v>10402.5</v>
      </c>
      <c r="AA300">
        <v>15.319985096420783</v>
      </c>
      <c r="AB300">
        <v>2</v>
      </c>
    </row>
    <row r="301" spans="1:28" x14ac:dyDescent="0.25">
      <c r="A301">
        <v>5240</v>
      </c>
      <c r="B301">
        <v>23690</v>
      </c>
      <c r="C301" s="5">
        <v>42879</v>
      </c>
      <c r="F301" s="46"/>
      <c r="G301">
        <v>17.5</v>
      </c>
      <c r="H301">
        <v>13.2</v>
      </c>
      <c r="I301">
        <v>21.3</v>
      </c>
      <c r="J301">
        <f t="shared" si="42"/>
        <v>2506.0000000000005</v>
      </c>
      <c r="K301">
        <f t="shared" si="37"/>
        <v>102.5</v>
      </c>
      <c r="L301" s="26" t="s">
        <v>40</v>
      </c>
      <c r="M301">
        <v>0</v>
      </c>
      <c r="N301">
        <v>1.8</v>
      </c>
      <c r="O301">
        <f t="shared" si="39"/>
        <v>-1.8</v>
      </c>
      <c r="P301">
        <f t="shared" si="43"/>
        <v>100.40000000000005</v>
      </c>
      <c r="Q301">
        <v>275</v>
      </c>
      <c r="R301">
        <f t="shared" si="45"/>
        <v>1.0791139240506329</v>
      </c>
      <c r="S301" s="9">
        <f t="shared" si="40"/>
        <v>1.9424050632911392</v>
      </c>
      <c r="T301" s="9">
        <f t="shared" si="41"/>
        <v>-1.9424050632911392</v>
      </c>
      <c r="U301" s="9">
        <f t="shared" si="46"/>
        <v>100.0372344407341</v>
      </c>
      <c r="V301" s="27" t="s">
        <v>47</v>
      </c>
      <c r="W301">
        <v>1112.8</v>
      </c>
      <c r="Y301">
        <f t="shared" si="44"/>
        <v>214461.7</v>
      </c>
      <c r="Z301" s="33">
        <f t="shared" si="38"/>
        <v>11515.3</v>
      </c>
      <c r="AA301">
        <v>15.356186293863114</v>
      </c>
    </row>
    <row r="302" spans="1:28" x14ac:dyDescent="0.25">
      <c r="A302">
        <v>5240</v>
      </c>
      <c r="B302">
        <v>23690</v>
      </c>
      <c r="C302" s="5">
        <v>42880</v>
      </c>
      <c r="F302" s="46"/>
      <c r="G302">
        <v>19.899999999999999</v>
      </c>
      <c r="H302">
        <v>14.4</v>
      </c>
      <c r="I302">
        <v>24.4</v>
      </c>
      <c r="J302">
        <f t="shared" si="42"/>
        <v>2525.9000000000005</v>
      </c>
      <c r="K302">
        <f t="shared" si="37"/>
        <v>122.4</v>
      </c>
      <c r="L302" s="11">
        <f>MAX(I295:I311)</f>
        <v>27.5</v>
      </c>
      <c r="M302">
        <v>0</v>
      </c>
      <c r="N302">
        <v>5.7</v>
      </c>
      <c r="O302">
        <f t="shared" si="39"/>
        <v>-5.7</v>
      </c>
      <c r="P302">
        <f t="shared" si="43"/>
        <v>94.700000000000045</v>
      </c>
      <c r="Q302">
        <v>276</v>
      </c>
      <c r="R302">
        <f t="shared" si="45"/>
        <v>1.0689873417721518</v>
      </c>
      <c r="S302" s="9">
        <f t="shared" si="40"/>
        <v>6.0932278481012654</v>
      </c>
      <c r="T302" s="9">
        <f t="shared" si="41"/>
        <v>-6.0932278481012654</v>
      </c>
      <c r="U302" s="9">
        <f t="shared" si="46"/>
        <v>93.944006592632832</v>
      </c>
      <c r="V302" s="9">
        <f>MAX(U295:U311)</f>
        <v>116.6362850736455</v>
      </c>
      <c r="W302">
        <v>3032.9</v>
      </c>
      <c r="Y302">
        <f t="shared" si="44"/>
        <v>217494.6</v>
      </c>
      <c r="Z302" s="33">
        <f t="shared" si="38"/>
        <v>14548.199999999999</v>
      </c>
      <c r="AA302">
        <v>15.391392206390767</v>
      </c>
    </row>
    <row r="303" spans="1:28" x14ac:dyDescent="0.25">
      <c r="A303">
        <v>5240</v>
      </c>
      <c r="B303">
        <v>23690</v>
      </c>
      <c r="C303" s="5">
        <v>42881</v>
      </c>
      <c r="F303" s="46"/>
      <c r="G303">
        <v>20.5</v>
      </c>
      <c r="H303">
        <v>15.4</v>
      </c>
      <c r="I303">
        <v>25.4</v>
      </c>
      <c r="J303">
        <f t="shared" si="42"/>
        <v>2546.4000000000005</v>
      </c>
      <c r="K303">
        <f t="shared" si="37"/>
        <v>142.9</v>
      </c>
      <c r="L303" s="26" t="s">
        <v>41</v>
      </c>
      <c r="M303">
        <v>0</v>
      </c>
      <c r="N303">
        <v>6.2</v>
      </c>
      <c r="O303">
        <f t="shared" si="39"/>
        <v>-6.2</v>
      </c>
      <c r="P303">
        <f t="shared" si="43"/>
        <v>88.500000000000043</v>
      </c>
      <c r="Q303">
        <v>277</v>
      </c>
      <c r="R303">
        <f t="shared" si="45"/>
        <v>1.0588607594936708</v>
      </c>
      <c r="S303" s="9">
        <f t="shared" si="40"/>
        <v>6.5649367088607589</v>
      </c>
      <c r="T303" s="9">
        <f t="shared" si="41"/>
        <v>-6.5649367088607589</v>
      </c>
      <c r="U303" s="9">
        <f t="shared" si="46"/>
        <v>87.379069883772075</v>
      </c>
      <c r="V303" s="27" t="s">
        <v>48</v>
      </c>
      <c r="W303">
        <v>3086.7</v>
      </c>
      <c r="Y303">
        <f t="shared" si="44"/>
        <v>220581.30000000002</v>
      </c>
      <c r="Z303" s="33">
        <f t="shared" si="38"/>
        <v>17634.899999999998</v>
      </c>
      <c r="AA303">
        <v>15.425578976424891</v>
      </c>
    </row>
    <row r="304" spans="1:28" x14ac:dyDescent="0.25">
      <c r="A304">
        <v>5240</v>
      </c>
      <c r="B304">
        <v>23690</v>
      </c>
      <c r="C304" s="5">
        <v>42882</v>
      </c>
      <c r="F304" s="46"/>
      <c r="G304">
        <v>22.5</v>
      </c>
      <c r="H304">
        <v>16.100000000000001</v>
      </c>
      <c r="I304">
        <v>27.1</v>
      </c>
      <c r="J304">
        <f t="shared" si="42"/>
        <v>2568.9000000000005</v>
      </c>
      <c r="K304">
        <f t="shared" si="37"/>
        <v>165.4</v>
      </c>
      <c r="L304" s="11">
        <v>6</v>
      </c>
      <c r="M304">
        <v>1.9</v>
      </c>
      <c r="N304">
        <v>3.2</v>
      </c>
      <c r="O304">
        <f t="shared" si="39"/>
        <v>-1.3000000000000003</v>
      </c>
      <c r="P304">
        <f t="shared" si="43"/>
        <v>87.200000000000045</v>
      </c>
      <c r="Q304">
        <v>278</v>
      </c>
      <c r="R304">
        <f t="shared" si="45"/>
        <v>1.0487341772151897</v>
      </c>
      <c r="S304" s="9">
        <f t="shared" si="40"/>
        <v>3.3559493670886074</v>
      </c>
      <c r="T304" s="9">
        <f t="shared" si="41"/>
        <v>-1.4559493670886074</v>
      </c>
      <c r="U304" s="9">
        <f t="shared" si="46"/>
        <v>85.923120516683468</v>
      </c>
      <c r="V304" s="9">
        <f>AVERAGE(U295:U311)</f>
        <v>92.149330494345406</v>
      </c>
      <c r="W304">
        <v>1627.4</v>
      </c>
      <c r="Y304">
        <f t="shared" si="44"/>
        <v>222208.7</v>
      </c>
      <c r="Z304" s="33">
        <f t="shared" si="38"/>
        <v>19262.3</v>
      </c>
      <c r="AA304">
        <v>15.4587229510483</v>
      </c>
    </row>
    <row r="305" spans="1:28" x14ac:dyDescent="0.25">
      <c r="A305">
        <v>5240</v>
      </c>
      <c r="B305">
        <v>23690</v>
      </c>
      <c r="C305" s="5">
        <v>42883</v>
      </c>
      <c r="F305" s="46"/>
      <c r="G305">
        <v>22.8</v>
      </c>
      <c r="H305">
        <v>17.399999999999999</v>
      </c>
      <c r="I305">
        <v>27.3</v>
      </c>
      <c r="J305">
        <f t="shared" si="42"/>
        <v>2591.7000000000007</v>
      </c>
      <c r="K305">
        <f t="shared" si="37"/>
        <v>188.20000000000002</v>
      </c>
      <c r="L305" s="26" t="s">
        <v>42</v>
      </c>
      <c r="M305">
        <v>0</v>
      </c>
      <c r="N305">
        <v>4.2</v>
      </c>
      <c r="O305">
        <f t="shared" si="39"/>
        <v>-4.2</v>
      </c>
      <c r="P305">
        <f t="shared" si="43"/>
        <v>83.000000000000043</v>
      </c>
      <c r="Q305">
        <v>279</v>
      </c>
      <c r="R305">
        <f t="shared" si="45"/>
        <v>1.0386075949367088</v>
      </c>
      <c r="S305" s="9">
        <f t="shared" si="40"/>
        <v>4.3621518987341776</v>
      </c>
      <c r="T305" s="9">
        <f t="shared" si="41"/>
        <v>-4.3621518987341776</v>
      </c>
      <c r="U305" s="9">
        <f t="shared" si="46"/>
        <v>81.560968617949285</v>
      </c>
      <c r="W305">
        <v>2378.1999999999998</v>
      </c>
      <c r="Y305">
        <f t="shared" si="44"/>
        <v>224586.90000000002</v>
      </c>
      <c r="Z305" s="33">
        <f t="shared" si="38"/>
        <v>21640.5</v>
      </c>
      <c r="AA305">
        <v>15.490800732400974</v>
      </c>
    </row>
    <row r="306" spans="1:28" x14ac:dyDescent="0.25">
      <c r="A306">
        <v>5240</v>
      </c>
      <c r="B306">
        <v>23690</v>
      </c>
      <c r="C306" s="5">
        <v>42884</v>
      </c>
      <c r="F306" s="46"/>
      <c r="G306">
        <v>21.4</v>
      </c>
      <c r="H306">
        <v>20.2</v>
      </c>
      <c r="I306">
        <v>25.3</v>
      </c>
      <c r="J306">
        <f t="shared" si="42"/>
        <v>2613.1000000000008</v>
      </c>
      <c r="K306">
        <f t="shared" si="37"/>
        <v>209.60000000000002</v>
      </c>
      <c r="L306" s="11">
        <v>0</v>
      </c>
      <c r="M306">
        <v>0.2</v>
      </c>
      <c r="N306">
        <v>3.9</v>
      </c>
      <c r="O306">
        <f t="shared" si="39"/>
        <v>-3.6999999999999997</v>
      </c>
      <c r="P306">
        <f t="shared" si="43"/>
        <v>79.30000000000004</v>
      </c>
      <c r="Q306">
        <v>280</v>
      </c>
      <c r="R306">
        <f t="shared" si="45"/>
        <v>1.0284810126582278</v>
      </c>
      <c r="S306" s="9">
        <f t="shared" si="40"/>
        <v>4.011075949367088</v>
      </c>
      <c r="T306" s="9">
        <f t="shared" si="41"/>
        <v>-3.8110759493670878</v>
      </c>
      <c r="U306" s="9">
        <f t="shared" si="46"/>
        <v>77.749892668582191</v>
      </c>
      <c r="V306" s="32">
        <f>(V304*100)/218.9</f>
        <v>42.096542025740249</v>
      </c>
      <c r="W306">
        <v>1971.3</v>
      </c>
      <c r="Y306">
        <f t="shared" si="44"/>
        <v>226558.2</v>
      </c>
      <c r="Z306" s="33">
        <f t="shared" si="38"/>
        <v>23611.8</v>
      </c>
      <c r="AA306">
        <v>15.521789229405501</v>
      </c>
    </row>
    <row r="307" spans="1:28" x14ac:dyDescent="0.25">
      <c r="A307">
        <v>5240</v>
      </c>
      <c r="B307">
        <v>23690</v>
      </c>
      <c r="C307" s="5">
        <v>42885</v>
      </c>
      <c r="F307" s="46"/>
      <c r="G307">
        <v>17.8</v>
      </c>
      <c r="H307">
        <v>15.9</v>
      </c>
      <c r="I307">
        <v>21.1</v>
      </c>
      <c r="J307">
        <f t="shared" si="42"/>
        <v>2630.900000000001</v>
      </c>
      <c r="K307">
        <f t="shared" si="37"/>
        <v>227.40000000000003</v>
      </c>
      <c r="L307" s="26" t="s">
        <v>43</v>
      </c>
      <c r="M307">
        <v>0</v>
      </c>
      <c r="N307">
        <v>2.5</v>
      </c>
      <c r="O307">
        <f t="shared" si="39"/>
        <v>-2.5</v>
      </c>
      <c r="P307">
        <f t="shared" si="43"/>
        <v>76.80000000000004</v>
      </c>
      <c r="Q307">
        <v>281</v>
      </c>
      <c r="R307">
        <f t="shared" si="45"/>
        <v>1.0183544303797467</v>
      </c>
      <c r="S307" s="9">
        <f t="shared" si="40"/>
        <v>2.5458860759493667</v>
      </c>
      <c r="T307" s="9">
        <f t="shared" si="41"/>
        <v>-2.5458860759493667</v>
      </c>
      <c r="U307" s="9">
        <f t="shared" si="46"/>
        <v>75.204006592632823</v>
      </c>
      <c r="W307">
        <v>1187.5999999999999</v>
      </c>
      <c r="Y307">
        <f t="shared" si="44"/>
        <v>227745.80000000002</v>
      </c>
      <c r="Z307" s="33">
        <f t="shared" si="38"/>
        <v>24799.399999999998</v>
      </c>
      <c r="AA307">
        <v>15.551665710642503</v>
      </c>
    </row>
    <row r="308" spans="1:28" x14ac:dyDescent="0.25">
      <c r="A308">
        <v>5240</v>
      </c>
      <c r="B308">
        <v>23690</v>
      </c>
      <c r="C308" s="5">
        <v>42886</v>
      </c>
      <c r="F308" s="46"/>
      <c r="G308">
        <v>17.899999999999999</v>
      </c>
      <c r="H308">
        <v>12.2</v>
      </c>
      <c r="I308">
        <v>22</v>
      </c>
      <c r="J308">
        <f t="shared" si="42"/>
        <v>2648.8000000000011</v>
      </c>
      <c r="K308">
        <f t="shared" si="37"/>
        <v>245.30000000000004</v>
      </c>
      <c r="L308" s="22">
        <v>0</v>
      </c>
      <c r="M308">
        <v>0</v>
      </c>
      <c r="N308">
        <v>3.3</v>
      </c>
      <c r="O308">
        <f t="shared" si="39"/>
        <v>-3.3</v>
      </c>
      <c r="P308">
        <f t="shared" si="43"/>
        <v>73.500000000000043</v>
      </c>
      <c r="Q308">
        <v>282</v>
      </c>
      <c r="R308">
        <f t="shared" si="45"/>
        <v>1.0082278481012659</v>
      </c>
      <c r="S308" s="9">
        <f t="shared" si="40"/>
        <v>3.327151898734177</v>
      </c>
      <c r="T308" s="9">
        <f t="shared" si="41"/>
        <v>-3.327151898734177</v>
      </c>
      <c r="U308" s="9">
        <f t="shared" si="46"/>
        <v>71.87685469389865</v>
      </c>
      <c r="W308">
        <v>1979.5</v>
      </c>
      <c r="Y308">
        <f t="shared" si="44"/>
        <v>229725.30000000002</v>
      </c>
      <c r="Z308" s="33">
        <f t="shared" si="38"/>
        <v>26778.899999999998</v>
      </c>
      <c r="AA308">
        <v>15.580407858178248</v>
      </c>
    </row>
    <row r="309" spans="1:28" x14ac:dyDescent="0.25">
      <c r="A309">
        <v>5240</v>
      </c>
      <c r="B309">
        <v>23690</v>
      </c>
      <c r="C309" s="5">
        <v>42887</v>
      </c>
      <c r="F309" s="46"/>
      <c r="G309">
        <v>20.5</v>
      </c>
      <c r="H309">
        <v>14.9</v>
      </c>
      <c r="I309">
        <v>25.2</v>
      </c>
      <c r="J309">
        <f t="shared" si="42"/>
        <v>2669.3000000000011</v>
      </c>
      <c r="K309">
        <f t="shared" si="37"/>
        <v>265.80000000000007</v>
      </c>
      <c r="M309">
        <v>0</v>
      </c>
      <c r="N309">
        <v>4.5</v>
      </c>
      <c r="O309">
        <f t="shared" si="39"/>
        <v>-4.5</v>
      </c>
      <c r="P309">
        <f t="shared" si="43"/>
        <v>69.000000000000043</v>
      </c>
      <c r="Q309">
        <v>283</v>
      </c>
      <c r="R309">
        <f t="shared" si="45"/>
        <v>0.99810126582278469</v>
      </c>
      <c r="S309" s="9">
        <f t="shared" si="40"/>
        <v>4.4914556962025314</v>
      </c>
      <c r="T309" s="9">
        <f t="shared" si="41"/>
        <v>-4.4914556962025314</v>
      </c>
      <c r="U309" s="9">
        <f t="shared" si="46"/>
        <v>67.385398997696115</v>
      </c>
      <c r="W309">
        <v>2377.6999999999998</v>
      </c>
      <c r="Y309">
        <f t="shared" si="44"/>
        <v>232103.00000000003</v>
      </c>
      <c r="Z309" s="33">
        <f t="shared" si="38"/>
        <v>29156.6</v>
      </c>
      <c r="AA309">
        <v>15.607993822129092</v>
      </c>
    </row>
    <row r="310" spans="1:28" x14ac:dyDescent="0.25">
      <c r="A310">
        <v>5240</v>
      </c>
      <c r="B310">
        <v>23690</v>
      </c>
      <c r="C310" s="5">
        <v>42888</v>
      </c>
      <c r="F310" s="46"/>
      <c r="G310">
        <v>19.899999999999999</v>
      </c>
      <c r="H310">
        <v>16.899999999999999</v>
      </c>
      <c r="I310">
        <v>27.5</v>
      </c>
      <c r="J310">
        <f t="shared" si="42"/>
        <v>2689.2000000000012</v>
      </c>
      <c r="K310">
        <f t="shared" si="37"/>
        <v>285.70000000000005</v>
      </c>
      <c r="M310">
        <v>15.8</v>
      </c>
      <c r="N310">
        <v>3.4</v>
      </c>
      <c r="O310">
        <f t="shared" si="39"/>
        <v>12.4</v>
      </c>
      <c r="P310">
        <f t="shared" si="43"/>
        <v>81.400000000000048</v>
      </c>
      <c r="Q310">
        <v>284</v>
      </c>
      <c r="R310">
        <f t="shared" si="45"/>
        <v>0.98797468354430373</v>
      </c>
      <c r="S310" s="9">
        <f t="shared" si="40"/>
        <v>3.3591139240506327</v>
      </c>
      <c r="T310" s="9">
        <f t="shared" si="41"/>
        <v>12.440886075949368</v>
      </c>
      <c r="U310" s="9">
        <f t="shared" si="46"/>
        <v>79.826285073645479</v>
      </c>
      <c r="W310">
        <v>1626.9</v>
      </c>
      <c r="Y310">
        <f t="shared" si="44"/>
        <v>233729.90000000002</v>
      </c>
      <c r="Z310" s="33">
        <f t="shared" si="38"/>
        <v>30783.5</v>
      </c>
      <c r="AA310">
        <v>15.634402275730878</v>
      </c>
    </row>
    <row r="311" spans="1:28" s="14" customFormat="1" ht="15.75" thickBot="1" x14ac:dyDescent="0.3">
      <c r="A311" s="14">
        <v>5240</v>
      </c>
      <c r="B311" s="14">
        <v>23690</v>
      </c>
      <c r="C311" s="15">
        <v>42889</v>
      </c>
      <c r="F311" s="47"/>
      <c r="G311" s="14">
        <v>14.4</v>
      </c>
      <c r="H311" s="14">
        <v>13.9</v>
      </c>
      <c r="I311" s="14">
        <v>17.399999999999999</v>
      </c>
      <c r="J311" s="14">
        <f t="shared" si="42"/>
        <v>2703.6000000000013</v>
      </c>
      <c r="K311" s="14">
        <f t="shared" si="37"/>
        <v>300.10000000000002</v>
      </c>
      <c r="M311" s="14">
        <v>2.6</v>
      </c>
      <c r="N311" s="14">
        <v>1.6</v>
      </c>
      <c r="O311" s="14">
        <f t="shared" si="39"/>
        <v>1</v>
      </c>
      <c r="P311" s="14">
        <f t="shared" si="43"/>
        <v>82.400000000000048</v>
      </c>
      <c r="Q311" s="14">
        <v>285</v>
      </c>
      <c r="R311" s="14">
        <f t="shared" si="45"/>
        <v>0.97784810126582267</v>
      </c>
      <c r="S311" s="16">
        <f t="shared" si="40"/>
        <v>1.5645569620253164</v>
      </c>
      <c r="T311" s="16">
        <f t="shared" si="41"/>
        <v>1.0354430379746837</v>
      </c>
      <c r="U311" s="16">
        <f t="shared" si="46"/>
        <v>80.861728111620167</v>
      </c>
      <c r="W311" s="14">
        <v>880.4</v>
      </c>
      <c r="Y311" s="14">
        <f t="shared" si="44"/>
        <v>234610.30000000002</v>
      </c>
      <c r="Z311" s="14">
        <f t="shared" si="38"/>
        <v>31663.9</v>
      </c>
      <c r="AA311" s="14">
        <v>15.65961247066577</v>
      </c>
    </row>
    <row r="312" spans="1:28" s="35" customFormat="1" x14ac:dyDescent="0.25">
      <c r="A312" s="35">
        <v>5240</v>
      </c>
      <c r="B312" s="35">
        <v>23690</v>
      </c>
      <c r="C312" s="36">
        <v>42890</v>
      </c>
      <c r="F312" s="48" t="s">
        <v>58</v>
      </c>
      <c r="G312" s="35">
        <v>14.7</v>
      </c>
      <c r="H312" s="35">
        <v>9</v>
      </c>
      <c r="I312" s="35">
        <v>19.3</v>
      </c>
      <c r="J312" s="35">
        <f t="shared" si="42"/>
        <v>2718.3000000000011</v>
      </c>
      <c r="K312">
        <f>G312</f>
        <v>14.7</v>
      </c>
      <c r="L312" s="28" t="s">
        <v>37</v>
      </c>
      <c r="M312" s="35">
        <v>0</v>
      </c>
      <c r="N312" s="35">
        <v>2.4</v>
      </c>
      <c r="O312" s="35">
        <f t="shared" si="39"/>
        <v>-2.4</v>
      </c>
      <c r="P312" s="35">
        <f t="shared" si="43"/>
        <v>80.000000000000043</v>
      </c>
      <c r="Q312" s="35">
        <v>286</v>
      </c>
      <c r="R312">
        <f t="shared" si="45"/>
        <v>0.96772151898734171</v>
      </c>
      <c r="S312" s="37">
        <f t="shared" si="40"/>
        <v>2.3225316455696201</v>
      </c>
      <c r="T312" s="37">
        <f t="shared" si="41"/>
        <v>-2.3225316455696201</v>
      </c>
      <c r="U312" s="9">
        <f t="shared" si="46"/>
        <v>78.539196466050541</v>
      </c>
      <c r="V312" s="29" t="s">
        <v>44</v>
      </c>
      <c r="W312" s="35">
        <v>1642.1</v>
      </c>
      <c r="Y312" s="35">
        <f t="shared" si="44"/>
        <v>236252.40000000002</v>
      </c>
      <c r="Z312" s="33">
        <f>W312</f>
        <v>1642.1</v>
      </c>
      <c r="AA312" s="35">
        <v>15.683604292384633</v>
      </c>
      <c r="AB312" s="29" t="s">
        <v>49</v>
      </c>
    </row>
    <row r="313" spans="1:28" ht="15" customHeight="1" x14ac:dyDescent="0.25">
      <c r="A313">
        <v>5240</v>
      </c>
      <c r="B313">
        <v>23690</v>
      </c>
      <c r="C313" s="5">
        <v>42891</v>
      </c>
      <c r="F313" s="49"/>
      <c r="G313">
        <v>16.2</v>
      </c>
      <c r="H313">
        <v>11.7</v>
      </c>
      <c r="I313">
        <v>20.5</v>
      </c>
      <c r="J313">
        <f t="shared" si="42"/>
        <v>2734.5000000000009</v>
      </c>
      <c r="K313">
        <f t="shared" si="37"/>
        <v>30.9</v>
      </c>
      <c r="L313" s="11">
        <v>414.3</v>
      </c>
      <c r="M313">
        <v>6.8</v>
      </c>
      <c r="N313">
        <v>3.3</v>
      </c>
      <c r="O313">
        <f t="shared" si="39"/>
        <v>3.5</v>
      </c>
      <c r="P313">
        <f t="shared" si="43"/>
        <v>83.500000000000043</v>
      </c>
      <c r="Q313">
        <v>287</v>
      </c>
      <c r="R313">
        <f t="shared" si="45"/>
        <v>0.95759493670886064</v>
      </c>
      <c r="S313" s="9">
        <f t="shared" si="40"/>
        <v>3.1600632911392399</v>
      </c>
      <c r="T313" s="9">
        <f t="shared" si="41"/>
        <v>3.6399367088607599</v>
      </c>
      <c r="U313" s="9">
        <f t="shared" si="46"/>
        <v>82.1791331749113</v>
      </c>
      <c r="V313">
        <v>0</v>
      </c>
      <c r="W313">
        <v>1768.9</v>
      </c>
      <c r="Y313">
        <f t="shared" si="44"/>
        <v>238021.30000000002</v>
      </c>
      <c r="Z313" s="33">
        <f t="shared" si="38"/>
        <v>3411</v>
      </c>
      <c r="AA313">
        <v>15.706358315150505</v>
      </c>
      <c r="AB313">
        <v>47203.8</v>
      </c>
    </row>
    <row r="314" spans="1:28" x14ac:dyDescent="0.25">
      <c r="A314">
        <v>5240</v>
      </c>
      <c r="B314">
        <v>23690</v>
      </c>
      <c r="C314" s="5">
        <v>42892</v>
      </c>
      <c r="F314" s="49"/>
      <c r="G314">
        <v>12.3</v>
      </c>
      <c r="H314">
        <v>11.1</v>
      </c>
      <c r="I314">
        <v>13.9</v>
      </c>
      <c r="J314">
        <f t="shared" si="42"/>
        <v>2746.8000000000011</v>
      </c>
      <c r="K314">
        <f t="shared" si="37"/>
        <v>43.2</v>
      </c>
      <c r="L314" s="28" t="s">
        <v>38</v>
      </c>
      <c r="M314">
        <v>2.2999999999999998</v>
      </c>
      <c r="N314">
        <v>2.7</v>
      </c>
      <c r="O314">
        <f t="shared" si="39"/>
        <v>-0.40000000000000036</v>
      </c>
      <c r="P314">
        <f t="shared" si="43"/>
        <v>83.100000000000037</v>
      </c>
      <c r="Q314">
        <v>288</v>
      </c>
      <c r="R314">
        <f t="shared" si="45"/>
        <v>0.94746835443037969</v>
      </c>
      <c r="S314" s="9">
        <f t="shared" si="40"/>
        <v>2.5581645569620255</v>
      </c>
      <c r="T314" s="9">
        <f t="shared" si="41"/>
        <v>-0.25816455696202567</v>
      </c>
      <c r="U314" s="9">
        <f t="shared" si="46"/>
        <v>81.920968617949271</v>
      </c>
      <c r="V314" s="29" t="s">
        <v>45</v>
      </c>
      <c r="W314">
        <v>1946.8</v>
      </c>
      <c r="Y314">
        <f t="shared" si="44"/>
        <v>239968.1</v>
      </c>
      <c r="Z314" s="33">
        <f t="shared" si="38"/>
        <v>5357.8</v>
      </c>
      <c r="AA314">
        <v>15.727855856517744</v>
      </c>
      <c r="AB314" s="29" t="s">
        <v>50</v>
      </c>
    </row>
    <row r="315" spans="1:28" x14ac:dyDescent="0.25">
      <c r="A315">
        <v>5240</v>
      </c>
      <c r="B315">
        <v>23690</v>
      </c>
      <c r="C315" s="5">
        <v>42893</v>
      </c>
      <c r="F315" s="49"/>
      <c r="G315">
        <v>14</v>
      </c>
      <c r="H315">
        <v>9.5</v>
      </c>
      <c r="I315">
        <v>18.600000000000001</v>
      </c>
      <c r="J315">
        <f t="shared" si="42"/>
        <v>2760.8000000000011</v>
      </c>
      <c r="K315">
        <f t="shared" si="37"/>
        <v>57.2</v>
      </c>
      <c r="L315" s="41">
        <f>AVERAGE(G312:G332)</f>
        <v>19.728571428571428</v>
      </c>
      <c r="M315">
        <v>0</v>
      </c>
      <c r="N315">
        <v>3.4</v>
      </c>
      <c r="O315">
        <f t="shared" si="39"/>
        <v>-3.4</v>
      </c>
      <c r="P315">
        <f t="shared" si="43"/>
        <v>79.700000000000031</v>
      </c>
      <c r="Q315">
        <v>289</v>
      </c>
      <c r="R315">
        <f t="shared" si="45"/>
        <v>0.93734177215189862</v>
      </c>
      <c r="S315" s="9">
        <f t="shared" si="40"/>
        <v>3.1869620253164554</v>
      </c>
      <c r="T315" s="9">
        <f t="shared" si="41"/>
        <v>-3.1869620253164554</v>
      </c>
      <c r="U315" s="9">
        <f t="shared" si="46"/>
        <v>78.734006592632809</v>
      </c>
      <c r="V315">
        <v>12</v>
      </c>
      <c r="W315">
        <v>2008.2</v>
      </c>
      <c r="Y315">
        <f t="shared" si="44"/>
        <v>241976.30000000002</v>
      </c>
      <c r="Z315" s="33">
        <f t="shared" si="38"/>
        <v>7366</v>
      </c>
      <c r="AA315">
        <v>15.748079030952661</v>
      </c>
      <c r="AB315">
        <f>(AB313/100)/L313</f>
        <v>1.1393627805937727</v>
      </c>
    </row>
    <row r="316" spans="1:28" x14ac:dyDescent="0.25">
      <c r="A316">
        <v>5240</v>
      </c>
      <c r="B316">
        <v>23690</v>
      </c>
      <c r="C316" s="5">
        <v>42894</v>
      </c>
      <c r="F316" s="49"/>
      <c r="G316">
        <v>18.399999999999999</v>
      </c>
      <c r="H316">
        <v>11</v>
      </c>
      <c r="I316">
        <v>25.1</v>
      </c>
      <c r="J316">
        <f t="shared" si="42"/>
        <v>2779.2000000000012</v>
      </c>
      <c r="K316">
        <f t="shared" si="37"/>
        <v>75.599999999999994</v>
      </c>
      <c r="L316" s="28" t="s">
        <v>39</v>
      </c>
      <c r="M316">
        <v>14.9</v>
      </c>
      <c r="N316">
        <v>4.0999999999999996</v>
      </c>
      <c r="O316">
        <f t="shared" si="39"/>
        <v>10.8</v>
      </c>
      <c r="P316">
        <f t="shared" si="43"/>
        <v>90.500000000000028</v>
      </c>
      <c r="Q316">
        <v>290</v>
      </c>
      <c r="R316">
        <f t="shared" si="45"/>
        <v>0.92721518987341767</v>
      </c>
      <c r="S316" s="9">
        <f t="shared" si="40"/>
        <v>3.8015822784810123</v>
      </c>
      <c r="T316" s="9">
        <f t="shared" si="41"/>
        <v>11.098417721518988</v>
      </c>
      <c r="U316" s="9">
        <f t="shared" si="46"/>
        <v>89.832424314151794</v>
      </c>
      <c r="V316" s="29" t="s">
        <v>46</v>
      </c>
      <c r="W316">
        <v>2338.6999999999998</v>
      </c>
      <c r="Y316">
        <f t="shared" si="44"/>
        <v>244315.00000000003</v>
      </c>
      <c r="Z316" s="33">
        <f t="shared" si="38"/>
        <v>9704.7000000000007</v>
      </c>
      <c r="AA316">
        <v>15.767010802295108</v>
      </c>
      <c r="AB316" s="29" t="s">
        <v>51</v>
      </c>
    </row>
    <row r="317" spans="1:28" x14ac:dyDescent="0.25">
      <c r="A317">
        <v>5240</v>
      </c>
      <c r="B317">
        <v>23690</v>
      </c>
      <c r="C317" s="5">
        <v>42895</v>
      </c>
      <c r="F317" s="49"/>
      <c r="G317">
        <v>17.899999999999999</v>
      </c>
      <c r="H317">
        <v>15.4</v>
      </c>
      <c r="I317">
        <v>20.8</v>
      </c>
      <c r="J317">
        <f t="shared" si="42"/>
        <v>2797.1000000000013</v>
      </c>
      <c r="K317">
        <f t="shared" si="37"/>
        <v>93.5</v>
      </c>
      <c r="L317" s="12">
        <f>MIN(H312:H332)</f>
        <v>9</v>
      </c>
      <c r="M317">
        <v>0</v>
      </c>
      <c r="N317">
        <v>2.9</v>
      </c>
      <c r="O317">
        <f t="shared" si="39"/>
        <v>-2.9</v>
      </c>
      <c r="P317">
        <f t="shared" si="43"/>
        <v>87.600000000000023</v>
      </c>
      <c r="Q317">
        <v>291</v>
      </c>
      <c r="R317">
        <f t="shared" si="45"/>
        <v>0.9170886075949366</v>
      </c>
      <c r="S317" s="9">
        <f t="shared" si="40"/>
        <v>2.6595569620253161</v>
      </c>
      <c r="T317" s="9">
        <f t="shared" si="41"/>
        <v>-2.6595569620253161</v>
      </c>
      <c r="U317" s="9">
        <f t="shared" si="46"/>
        <v>87.172867352126474</v>
      </c>
      <c r="V317" s="9">
        <f>MIN(U312:U332)</f>
        <v>23.902614187569519</v>
      </c>
      <c r="W317">
        <v>1511.7</v>
      </c>
      <c r="Y317">
        <f t="shared" si="44"/>
        <v>245826.70000000004</v>
      </c>
      <c r="Z317" s="33">
        <f t="shared" si="38"/>
        <v>11216.400000000001</v>
      </c>
      <c r="AA317">
        <v>15.784635034756553</v>
      </c>
      <c r="AB317">
        <v>0</v>
      </c>
    </row>
    <row r="318" spans="1:28" x14ac:dyDescent="0.25">
      <c r="A318">
        <v>5240</v>
      </c>
      <c r="B318">
        <v>23690</v>
      </c>
      <c r="C318" s="5">
        <v>42896</v>
      </c>
      <c r="F318" s="49"/>
      <c r="G318">
        <v>19.8</v>
      </c>
      <c r="H318">
        <v>14.6</v>
      </c>
      <c r="I318">
        <v>25</v>
      </c>
      <c r="J318">
        <f t="shared" si="42"/>
        <v>2816.9000000000015</v>
      </c>
      <c r="K318">
        <f t="shared" ref="K318:K373" si="47">K317+G318</f>
        <v>113.3</v>
      </c>
      <c r="L318" s="28" t="s">
        <v>40</v>
      </c>
      <c r="M318">
        <v>0</v>
      </c>
      <c r="N318">
        <v>6</v>
      </c>
      <c r="O318">
        <f t="shared" si="39"/>
        <v>-6</v>
      </c>
      <c r="P318">
        <f t="shared" si="43"/>
        <v>81.600000000000023</v>
      </c>
      <c r="Q318">
        <v>292</v>
      </c>
      <c r="R318">
        <f t="shared" si="45"/>
        <v>0.90696202531645564</v>
      </c>
      <c r="S318" s="9">
        <f t="shared" si="40"/>
        <v>5.4417721518987339</v>
      </c>
      <c r="T318" s="9">
        <f t="shared" si="41"/>
        <v>-5.4417721518987339</v>
      </c>
      <c r="U318" s="9">
        <f t="shared" si="46"/>
        <v>81.731095200227742</v>
      </c>
      <c r="V318" s="29" t="s">
        <v>47</v>
      </c>
      <c r="W318">
        <v>3040.5</v>
      </c>
      <c r="Y318">
        <f t="shared" si="44"/>
        <v>248867.20000000004</v>
      </c>
      <c r="Z318" s="33">
        <f t="shared" ref="Z318:Z373" si="48">Z317+W318</f>
        <v>14256.900000000001</v>
      </c>
      <c r="AA318">
        <v>15.800936542149111</v>
      </c>
    </row>
    <row r="319" spans="1:28" x14ac:dyDescent="0.25">
      <c r="A319">
        <v>5240</v>
      </c>
      <c r="B319">
        <v>23690</v>
      </c>
      <c r="C319" s="5">
        <v>42897</v>
      </c>
      <c r="F319" s="49"/>
      <c r="G319">
        <v>20.5</v>
      </c>
      <c r="H319">
        <v>15</v>
      </c>
      <c r="I319">
        <v>27.5</v>
      </c>
      <c r="J319">
        <f t="shared" si="42"/>
        <v>2837.4000000000015</v>
      </c>
      <c r="K319">
        <f t="shared" si="47"/>
        <v>133.80000000000001</v>
      </c>
      <c r="L319" s="11">
        <f>MAX(I312:I332)</f>
        <v>34.200000000000003</v>
      </c>
      <c r="M319">
        <v>0</v>
      </c>
      <c r="N319">
        <v>4.7</v>
      </c>
      <c r="O319">
        <f t="shared" si="39"/>
        <v>-4.7</v>
      </c>
      <c r="P319">
        <f t="shared" si="43"/>
        <v>76.90000000000002</v>
      </c>
      <c r="Q319">
        <v>293</v>
      </c>
      <c r="R319">
        <f t="shared" si="45"/>
        <v>0.89683544303797458</v>
      </c>
      <c r="S319" s="9">
        <f t="shared" si="40"/>
        <v>4.2151265822784802</v>
      </c>
      <c r="T319" s="9">
        <f t="shared" si="41"/>
        <v>-4.2151265822784802</v>
      </c>
      <c r="U319" s="9">
        <f t="shared" si="46"/>
        <v>77.515968617949255</v>
      </c>
      <c r="V319" s="9">
        <f>MAX(U312:U332)</f>
        <v>89.832424314151794</v>
      </c>
      <c r="W319">
        <v>2040.9</v>
      </c>
      <c r="Y319">
        <f t="shared" si="44"/>
        <v>250908.10000000003</v>
      </c>
      <c r="Z319" s="33">
        <f t="shared" si="48"/>
        <v>16297.800000000001</v>
      </c>
      <c r="AA319">
        <v>15.81590113504185</v>
      </c>
    </row>
    <row r="320" spans="1:28" x14ac:dyDescent="0.25">
      <c r="A320">
        <v>5240</v>
      </c>
      <c r="B320">
        <v>23690</v>
      </c>
      <c r="C320" s="5">
        <v>42898</v>
      </c>
      <c r="F320" s="49"/>
      <c r="G320">
        <v>16.399999999999999</v>
      </c>
      <c r="H320">
        <v>13.2</v>
      </c>
      <c r="I320">
        <v>20.100000000000001</v>
      </c>
      <c r="J320">
        <f t="shared" si="42"/>
        <v>2853.8000000000015</v>
      </c>
      <c r="K320">
        <f t="shared" si="47"/>
        <v>150.20000000000002</v>
      </c>
      <c r="L320" s="28" t="s">
        <v>41</v>
      </c>
      <c r="M320">
        <v>0</v>
      </c>
      <c r="N320">
        <v>4.2</v>
      </c>
      <c r="O320">
        <f t="shared" si="39"/>
        <v>-4.2</v>
      </c>
      <c r="P320">
        <f t="shared" si="43"/>
        <v>72.700000000000017</v>
      </c>
      <c r="Q320">
        <v>294</v>
      </c>
      <c r="R320">
        <f t="shared" si="45"/>
        <v>0.88670886075949362</v>
      </c>
      <c r="S320" s="9">
        <f t="shared" si="40"/>
        <v>3.7241772151898735</v>
      </c>
      <c r="T320" s="9">
        <f t="shared" si="41"/>
        <v>-3.7241772151898735</v>
      </c>
      <c r="U320" s="9">
        <f t="shared" si="46"/>
        <v>73.791791402759387</v>
      </c>
      <c r="V320" s="29" t="s">
        <v>48</v>
      </c>
      <c r="W320">
        <v>2190.9</v>
      </c>
      <c r="Y320">
        <f t="shared" si="44"/>
        <v>253099.00000000003</v>
      </c>
      <c r="Z320" s="33">
        <f t="shared" si="48"/>
        <v>18488.7</v>
      </c>
      <c r="AA320">
        <v>15.829515665545397</v>
      </c>
    </row>
    <row r="321" spans="1:27" x14ac:dyDescent="0.25">
      <c r="A321">
        <v>5240</v>
      </c>
      <c r="B321">
        <v>23690</v>
      </c>
      <c r="C321" s="5">
        <v>42899</v>
      </c>
      <c r="F321" s="49"/>
      <c r="G321">
        <v>16.399999999999999</v>
      </c>
      <c r="H321">
        <v>10.8</v>
      </c>
      <c r="I321">
        <v>20.9</v>
      </c>
      <c r="J321">
        <f t="shared" si="42"/>
        <v>2870.2000000000016</v>
      </c>
      <c r="K321">
        <f t="shared" si="47"/>
        <v>166.60000000000002</v>
      </c>
      <c r="L321" s="11">
        <v>11</v>
      </c>
      <c r="M321">
        <v>0</v>
      </c>
      <c r="N321">
        <v>4.5</v>
      </c>
      <c r="O321">
        <f t="shared" si="39"/>
        <v>-4.5</v>
      </c>
      <c r="P321">
        <f t="shared" si="43"/>
        <v>68.200000000000017</v>
      </c>
      <c r="Q321">
        <v>295</v>
      </c>
      <c r="R321">
        <f t="shared" si="45"/>
        <v>0.87658227848101267</v>
      </c>
      <c r="S321" s="9">
        <f t="shared" si="40"/>
        <v>3.9446202531645569</v>
      </c>
      <c r="T321" s="9">
        <f t="shared" si="41"/>
        <v>-3.9446202531645569</v>
      </c>
      <c r="U321" s="9">
        <f t="shared" si="46"/>
        <v>69.847171149594828</v>
      </c>
      <c r="V321" s="9">
        <f>AVERAGE(U312:U332)</f>
        <v>61.644021661951669</v>
      </c>
      <c r="W321">
        <v>2745.9</v>
      </c>
      <c r="Y321">
        <f t="shared" si="44"/>
        <v>255844.90000000002</v>
      </c>
      <c r="Z321" s="33">
        <f t="shared" si="48"/>
        <v>21234.600000000002</v>
      </c>
      <c r="AA321">
        <v>15.841768069434071</v>
      </c>
    </row>
    <row r="322" spans="1:27" x14ac:dyDescent="0.25">
      <c r="A322">
        <v>5240</v>
      </c>
      <c r="B322">
        <v>23690</v>
      </c>
      <c r="C322" s="5">
        <v>42900</v>
      </c>
      <c r="F322" s="49"/>
      <c r="G322">
        <v>21.6</v>
      </c>
      <c r="H322">
        <v>15</v>
      </c>
      <c r="I322">
        <v>27.3</v>
      </c>
      <c r="J322">
        <f t="shared" si="42"/>
        <v>2891.8000000000015</v>
      </c>
      <c r="K322">
        <f t="shared" si="47"/>
        <v>188.20000000000002</v>
      </c>
      <c r="L322" s="28" t="s">
        <v>42</v>
      </c>
      <c r="M322">
        <v>0</v>
      </c>
      <c r="N322">
        <v>3.1</v>
      </c>
      <c r="O322">
        <f t="shared" si="39"/>
        <v>-3.1</v>
      </c>
      <c r="P322">
        <f t="shared" si="43"/>
        <v>65.100000000000023</v>
      </c>
      <c r="Q322">
        <v>296</v>
      </c>
      <c r="R322">
        <f t="shared" si="45"/>
        <v>0.8664556962025316</v>
      </c>
      <c r="S322" s="9">
        <f t="shared" si="40"/>
        <v>2.6860126582278481</v>
      </c>
      <c r="T322" s="9">
        <f t="shared" si="41"/>
        <v>-2.6860126582278481</v>
      </c>
      <c r="U322" s="9">
        <f t="shared" si="46"/>
        <v>67.161158491366976</v>
      </c>
      <c r="V322" t="s">
        <v>59</v>
      </c>
      <c r="W322">
        <v>1462.1</v>
      </c>
      <c r="Y322">
        <f t="shared" si="44"/>
        <v>257307.00000000003</v>
      </c>
      <c r="Z322" s="33">
        <f t="shared" si="48"/>
        <v>22696.7</v>
      </c>
      <c r="AA322">
        <v>15.852647405325641</v>
      </c>
    </row>
    <row r="323" spans="1:27" x14ac:dyDescent="0.25">
      <c r="A323">
        <v>5240</v>
      </c>
      <c r="B323">
        <v>23690</v>
      </c>
      <c r="C323" s="5">
        <v>42901</v>
      </c>
      <c r="F323" s="49"/>
      <c r="G323">
        <v>22</v>
      </c>
      <c r="H323">
        <v>19.2</v>
      </c>
      <c r="I323">
        <v>27.2</v>
      </c>
      <c r="J323">
        <f t="shared" si="42"/>
        <v>2913.8000000000015</v>
      </c>
      <c r="K323">
        <f t="shared" si="47"/>
        <v>210.20000000000002</v>
      </c>
      <c r="L323" s="11">
        <v>0</v>
      </c>
      <c r="M323">
        <v>0</v>
      </c>
      <c r="N323">
        <v>5.3</v>
      </c>
      <c r="O323">
        <f t="shared" si="39"/>
        <v>-5.3</v>
      </c>
      <c r="P323">
        <f t="shared" si="43"/>
        <v>59.800000000000026</v>
      </c>
      <c r="Q323">
        <v>297</v>
      </c>
      <c r="R323">
        <f t="shared" si="45"/>
        <v>0.85632911392405053</v>
      </c>
      <c r="S323" s="9">
        <f t="shared" si="40"/>
        <v>4.538544303797468</v>
      </c>
      <c r="T323" s="9">
        <f t="shared" si="41"/>
        <v>-4.538544303797468</v>
      </c>
      <c r="U323" s="9">
        <f t="shared" si="46"/>
        <v>62.622614187569511</v>
      </c>
      <c r="V323" s="32">
        <f>(V321*100)/218.9</f>
        <v>28.16081391592127</v>
      </c>
      <c r="W323">
        <v>2418.5</v>
      </c>
      <c r="Y323">
        <f t="shared" si="44"/>
        <v>259725.50000000003</v>
      </c>
      <c r="Z323" s="33">
        <f t="shared" si="48"/>
        <v>25115.200000000001</v>
      </c>
      <c r="AA323">
        <v>15.862143890653256</v>
      </c>
    </row>
    <row r="324" spans="1:27" x14ac:dyDescent="0.25">
      <c r="A324">
        <v>5240</v>
      </c>
      <c r="B324">
        <v>23690</v>
      </c>
      <c r="C324" s="5">
        <v>42902</v>
      </c>
      <c r="F324" s="49"/>
      <c r="G324">
        <v>17.399999999999999</v>
      </c>
      <c r="H324">
        <v>13.6</v>
      </c>
      <c r="I324">
        <v>21.5</v>
      </c>
      <c r="J324">
        <f t="shared" si="42"/>
        <v>2931.2000000000016</v>
      </c>
      <c r="K324">
        <f t="shared" si="47"/>
        <v>227.60000000000002</v>
      </c>
      <c r="L324" s="28" t="s">
        <v>43</v>
      </c>
      <c r="M324">
        <v>0</v>
      </c>
      <c r="N324">
        <v>4.9000000000000004</v>
      </c>
      <c r="O324">
        <f t="shared" si="39"/>
        <v>-4.9000000000000004</v>
      </c>
      <c r="P324">
        <f t="shared" si="43"/>
        <v>54.900000000000027</v>
      </c>
      <c r="Q324">
        <v>298</v>
      </c>
      <c r="R324">
        <f t="shared" si="45"/>
        <v>0.84620253164556947</v>
      </c>
      <c r="S324" s="9">
        <f t="shared" si="40"/>
        <v>4.146392405063291</v>
      </c>
      <c r="T324" s="9">
        <f t="shared" si="41"/>
        <v>-4.146392405063291</v>
      </c>
      <c r="U324" s="9">
        <f t="shared" si="46"/>
        <v>58.476221782506222</v>
      </c>
      <c r="W324">
        <v>2676.5</v>
      </c>
      <c r="Y324">
        <f t="shared" si="44"/>
        <v>262402</v>
      </c>
      <c r="Z324" s="33">
        <f t="shared" si="48"/>
        <v>27791.7</v>
      </c>
      <c r="AA324">
        <v>15.870248934181241</v>
      </c>
    </row>
    <row r="325" spans="1:27" x14ac:dyDescent="0.25">
      <c r="A325">
        <v>5240</v>
      </c>
      <c r="B325">
        <v>23690</v>
      </c>
      <c r="C325" s="5">
        <v>42903</v>
      </c>
      <c r="F325" s="49"/>
      <c r="G325">
        <v>20.2</v>
      </c>
      <c r="H325">
        <v>12.7</v>
      </c>
      <c r="I325">
        <v>25.7</v>
      </c>
      <c r="J325">
        <f t="shared" si="42"/>
        <v>2951.4000000000015</v>
      </c>
      <c r="K325">
        <f t="shared" si="47"/>
        <v>247.8</v>
      </c>
      <c r="L325" s="22">
        <v>0</v>
      </c>
      <c r="M325">
        <v>0</v>
      </c>
      <c r="N325">
        <v>4.2</v>
      </c>
      <c r="O325">
        <f t="shared" si="39"/>
        <v>-4.2</v>
      </c>
      <c r="P325">
        <f t="shared" si="43"/>
        <v>50.700000000000024</v>
      </c>
      <c r="Q325">
        <v>299</v>
      </c>
      <c r="R325">
        <f t="shared" si="45"/>
        <v>0.83607594936708862</v>
      </c>
      <c r="S325" s="9">
        <f t="shared" si="40"/>
        <v>3.5115189873417725</v>
      </c>
      <c r="T325" s="9">
        <f t="shared" si="41"/>
        <v>-3.5115189873417725</v>
      </c>
      <c r="U325" s="9">
        <f t="shared" si="46"/>
        <v>54.964702795164449</v>
      </c>
      <c r="W325">
        <v>2162.6999999999998</v>
      </c>
      <c r="Y325">
        <f t="shared" si="44"/>
        <v>264564.7</v>
      </c>
      <c r="Z325" s="33">
        <f t="shared" si="48"/>
        <v>29954.400000000001</v>
      </c>
      <c r="AA325">
        <v>15.87695516483684</v>
      </c>
    </row>
    <row r="326" spans="1:27" x14ac:dyDescent="0.25">
      <c r="A326">
        <v>5240</v>
      </c>
      <c r="B326">
        <v>23690</v>
      </c>
      <c r="C326" s="5">
        <v>42904</v>
      </c>
      <c r="F326" s="49"/>
      <c r="G326">
        <v>22.8</v>
      </c>
      <c r="H326">
        <v>17.5</v>
      </c>
      <c r="I326">
        <v>27.5</v>
      </c>
      <c r="J326">
        <f t="shared" si="42"/>
        <v>2974.2000000000016</v>
      </c>
      <c r="K326">
        <f t="shared" si="47"/>
        <v>270.60000000000002</v>
      </c>
      <c r="M326">
        <v>0</v>
      </c>
      <c r="N326">
        <v>6.7</v>
      </c>
      <c r="O326">
        <f t="shared" si="39"/>
        <v>-6.7</v>
      </c>
      <c r="P326">
        <f t="shared" si="43"/>
        <v>44.000000000000021</v>
      </c>
      <c r="Q326">
        <v>300</v>
      </c>
      <c r="R326">
        <f t="shared" si="45"/>
        <v>0.82594936708860756</v>
      </c>
      <c r="S326" s="9">
        <f t="shared" si="40"/>
        <v>5.5338607594936704</v>
      </c>
      <c r="T326" s="9">
        <f t="shared" si="41"/>
        <v>-5.5338607594936704</v>
      </c>
      <c r="U326" s="9">
        <f t="shared" si="46"/>
        <v>49.430842035670779</v>
      </c>
      <c r="W326">
        <v>3152.9</v>
      </c>
      <c r="Y326">
        <f t="shared" si="44"/>
        <v>267717.60000000003</v>
      </c>
      <c r="Z326" s="33">
        <f t="shared" si="48"/>
        <v>33107.300000000003</v>
      </c>
      <c r="AA326">
        <v>15.882256456652801</v>
      </c>
    </row>
    <row r="327" spans="1:27" x14ac:dyDescent="0.25">
      <c r="A327">
        <v>5240</v>
      </c>
      <c r="B327">
        <v>23690</v>
      </c>
      <c r="C327" s="5">
        <v>42905</v>
      </c>
      <c r="F327" s="49"/>
      <c r="G327">
        <v>25</v>
      </c>
      <c r="H327">
        <v>18.7</v>
      </c>
      <c r="I327">
        <v>31.5</v>
      </c>
      <c r="J327">
        <f t="shared" si="42"/>
        <v>2999.2000000000016</v>
      </c>
      <c r="K327">
        <f t="shared" si="47"/>
        <v>295.60000000000002</v>
      </c>
      <c r="M327">
        <v>0</v>
      </c>
      <c r="N327">
        <v>6</v>
      </c>
      <c r="O327">
        <f t="shared" si="39"/>
        <v>-6</v>
      </c>
      <c r="P327">
        <f t="shared" si="43"/>
        <v>38.000000000000021</v>
      </c>
      <c r="Q327">
        <v>301</v>
      </c>
      <c r="R327">
        <f t="shared" si="45"/>
        <v>0.81582278481012649</v>
      </c>
      <c r="S327" s="9">
        <f t="shared" si="40"/>
        <v>4.8949367088607589</v>
      </c>
      <c r="T327" s="9">
        <f t="shared" si="41"/>
        <v>-4.8949367088607589</v>
      </c>
      <c r="U327" s="9">
        <f t="shared" si="46"/>
        <v>44.535905326810017</v>
      </c>
      <c r="W327">
        <v>2693.9</v>
      </c>
      <c r="Y327">
        <f t="shared" si="44"/>
        <v>270411.50000000006</v>
      </c>
      <c r="Z327" s="33">
        <f t="shared" si="48"/>
        <v>35801.200000000004</v>
      </c>
      <c r="AA327">
        <v>15.886147949641428</v>
      </c>
    </row>
    <row r="328" spans="1:27" x14ac:dyDescent="0.25">
      <c r="A328">
        <v>5240</v>
      </c>
      <c r="B328">
        <v>23690</v>
      </c>
      <c r="C328" s="5">
        <v>42906</v>
      </c>
      <c r="F328" s="49"/>
      <c r="G328">
        <v>26.8</v>
      </c>
      <c r="H328">
        <v>18.3</v>
      </c>
      <c r="I328">
        <v>33.1</v>
      </c>
      <c r="J328">
        <f t="shared" si="42"/>
        <v>3026.0000000000018</v>
      </c>
      <c r="K328">
        <f t="shared" si="47"/>
        <v>322.40000000000003</v>
      </c>
      <c r="M328">
        <v>0</v>
      </c>
      <c r="N328">
        <v>4.9000000000000004</v>
      </c>
      <c r="O328">
        <f t="shared" si="39"/>
        <v>-4.9000000000000004</v>
      </c>
      <c r="P328">
        <f t="shared" si="43"/>
        <v>33.100000000000023</v>
      </c>
      <c r="Q328">
        <v>302</v>
      </c>
      <c r="R328">
        <f t="shared" si="45"/>
        <v>0.80569620253164542</v>
      </c>
      <c r="S328" s="9">
        <f t="shared" si="40"/>
        <v>3.9479113924050631</v>
      </c>
      <c r="T328" s="9">
        <f t="shared" si="41"/>
        <v>-3.9479113924050631</v>
      </c>
      <c r="U328" s="9">
        <f t="shared" si="46"/>
        <v>40.587993934404956</v>
      </c>
      <c r="W328">
        <v>2180.1999999999998</v>
      </c>
      <c r="Y328">
        <f t="shared" si="44"/>
        <v>272591.70000000007</v>
      </c>
      <c r="Z328" s="33">
        <f t="shared" si="48"/>
        <v>37981.4</v>
      </c>
      <c r="AA328">
        <v>15.888626066448291</v>
      </c>
    </row>
    <row r="329" spans="1:27" x14ac:dyDescent="0.25">
      <c r="A329">
        <v>5240</v>
      </c>
      <c r="B329">
        <v>23690</v>
      </c>
      <c r="C329" s="5">
        <v>42907</v>
      </c>
      <c r="F329" s="49"/>
      <c r="G329">
        <v>28.3</v>
      </c>
      <c r="H329">
        <v>23.2</v>
      </c>
      <c r="I329">
        <v>34.200000000000003</v>
      </c>
      <c r="J329">
        <f t="shared" si="42"/>
        <v>3054.300000000002</v>
      </c>
      <c r="K329">
        <f t="shared" si="47"/>
        <v>350.70000000000005</v>
      </c>
      <c r="M329">
        <v>0</v>
      </c>
      <c r="N329">
        <v>7.4</v>
      </c>
      <c r="O329">
        <f t="shared" si="39"/>
        <v>-7.4</v>
      </c>
      <c r="P329">
        <f t="shared" si="43"/>
        <v>25.700000000000024</v>
      </c>
      <c r="Q329">
        <v>303</v>
      </c>
      <c r="R329">
        <f t="shared" si="45"/>
        <v>0.79556962025316458</v>
      </c>
      <c r="S329" s="9">
        <f t="shared" si="40"/>
        <v>5.8872151898734177</v>
      </c>
      <c r="T329" s="9">
        <f t="shared" si="41"/>
        <v>-5.8872151898734177</v>
      </c>
      <c r="U329" s="9">
        <f t="shared" si="46"/>
        <v>34.70077874453154</v>
      </c>
      <c r="W329">
        <v>3050.2</v>
      </c>
      <c r="Y329">
        <f t="shared" si="44"/>
        <v>275641.90000000008</v>
      </c>
      <c r="Z329" s="33">
        <f t="shared" si="48"/>
        <v>41031.599999999999</v>
      </c>
      <c r="AA329">
        <v>15.889688524663642</v>
      </c>
    </row>
    <row r="330" spans="1:27" x14ac:dyDescent="0.25">
      <c r="A330">
        <v>5240</v>
      </c>
      <c r="B330">
        <v>23690</v>
      </c>
      <c r="C330" s="5">
        <v>42908</v>
      </c>
      <c r="F330" s="49"/>
      <c r="G330">
        <v>25.7</v>
      </c>
      <c r="H330">
        <v>21</v>
      </c>
      <c r="I330">
        <v>32.200000000000003</v>
      </c>
      <c r="J330">
        <f t="shared" si="42"/>
        <v>3080.0000000000018</v>
      </c>
      <c r="K330">
        <f t="shared" si="47"/>
        <v>376.40000000000003</v>
      </c>
      <c r="M330">
        <v>0</v>
      </c>
      <c r="N330">
        <v>5.9</v>
      </c>
      <c r="O330">
        <f t="shared" si="39"/>
        <v>-5.9</v>
      </c>
      <c r="P330">
        <f t="shared" si="43"/>
        <v>19.800000000000026</v>
      </c>
      <c r="Q330">
        <v>304</v>
      </c>
      <c r="R330">
        <f t="shared" si="45"/>
        <v>0.78544303797468351</v>
      </c>
      <c r="S330" s="9">
        <f t="shared" si="40"/>
        <v>4.6341139240506326</v>
      </c>
      <c r="T330" s="9">
        <f t="shared" si="41"/>
        <v>-4.6341139240506326</v>
      </c>
      <c r="U330" s="9">
        <f t="shared" si="46"/>
        <v>30.066664820480909</v>
      </c>
      <c r="W330">
        <v>2521.6</v>
      </c>
      <c r="Y330">
        <f t="shared" si="44"/>
        <v>278163.50000000006</v>
      </c>
      <c r="Z330" s="33">
        <f t="shared" si="48"/>
        <v>43553.2</v>
      </c>
      <c r="AA330">
        <v>15.88933434470071</v>
      </c>
    </row>
    <row r="331" spans="1:27" x14ac:dyDescent="0.25">
      <c r="A331">
        <v>5240</v>
      </c>
      <c r="B331">
        <v>23690</v>
      </c>
      <c r="C331" s="5">
        <v>42909</v>
      </c>
      <c r="F331" s="49"/>
      <c r="G331">
        <v>18.7</v>
      </c>
      <c r="H331">
        <v>15.9</v>
      </c>
      <c r="I331">
        <v>22.5</v>
      </c>
      <c r="J331">
        <f t="shared" si="42"/>
        <v>3098.7000000000016</v>
      </c>
      <c r="K331">
        <f t="shared" si="47"/>
        <v>395.1</v>
      </c>
      <c r="M331">
        <v>0</v>
      </c>
      <c r="N331">
        <v>4.2</v>
      </c>
      <c r="O331">
        <f t="shared" si="39"/>
        <v>-4.2</v>
      </c>
      <c r="P331">
        <f t="shared" si="43"/>
        <v>15.600000000000026</v>
      </c>
      <c r="Q331">
        <v>305</v>
      </c>
      <c r="R331">
        <f t="shared" si="45"/>
        <v>0.77531645569620244</v>
      </c>
      <c r="S331" s="9">
        <f t="shared" si="40"/>
        <v>3.2563291139240502</v>
      </c>
      <c r="T331" s="9">
        <f t="shared" si="41"/>
        <v>-3.2563291139240502</v>
      </c>
      <c r="U331" s="9">
        <f t="shared" si="46"/>
        <v>26.810335706556859</v>
      </c>
      <c r="W331">
        <v>1811.6</v>
      </c>
      <c r="Y331">
        <f t="shared" si="44"/>
        <v>279975.10000000003</v>
      </c>
      <c r="Z331" s="33">
        <f t="shared" si="48"/>
        <v>45364.799999999996</v>
      </c>
      <c r="AA331">
        <v>15.887563853182602</v>
      </c>
    </row>
    <row r="332" spans="1:27" s="14" customFormat="1" ht="15.75" thickBot="1" x14ac:dyDescent="0.3">
      <c r="A332" s="14">
        <v>5240</v>
      </c>
      <c r="B332" s="14">
        <v>23690</v>
      </c>
      <c r="C332" s="15">
        <v>42910</v>
      </c>
      <c r="F332" s="50"/>
      <c r="G332" s="14">
        <v>19.2</v>
      </c>
      <c r="H332" s="14">
        <v>13.1</v>
      </c>
      <c r="I332" s="14">
        <v>24.1</v>
      </c>
      <c r="J332" s="14">
        <f t="shared" si="42"/>
        <v>3117.9000000000015</v>
      </c>
      <c r="K332" s="14">
        <f t="shared" si="47"/>
        <v>414.3</v>
      </c>
      <c r="M332" s="14">
        <v>0</v>
      </c>
      <c r="N332" s="14">
        <v>3.8</v>
      </c>
      <c r="O332" s="14">
        <f t="shared" si="39"/>
        <v>-3.8</v>
      </c>
      <c r="P332" s="14">
        <f t="shared" si="43"/>
        <v>11.800000000000026</v>
      </c>
      <c r="Q332" s="14">
        <v>306</v>
      </c>
      <c r="R332" s="14">
        <f t="shared" si="45"/>
        <v>0.76518987341772138</v>
      </c>
      <c r="S332" s="16">
        <f t="shared" si="40"/>
        <v>2.9077215189873411</v>
      </c>
      <c r="T332" s="16">
        <f t="shared" si="41"/>
        <v>-2.9077215189873411</v>
      </c>
      <c r="U332" s="16">
        <f t="shared" si="46"/>
        <v>23.902614187569519</v>
      </c>
      <c r="W332" s="14">
        <v>1839</v>
      </c>
      <c r="Y332" s="14">
        <f t="shared" si="44"/>
        <v>281814.10000000003</v>
      </c>
      <c r="Z332" s="14">
        <f t="shared" si="48"/>
        <v>47203.799999999996</v>
      </c>
      <c r="AA332" s="14">
        <v>15.884378681812635</v>
      </c>
    </row>
    <row r="333" spans="1:27" s="35" customFormat="1" x14ac:dyDescent="0.25">
      <c r="A333" s="35">
        <v>5240</v>
      </c>
      <c r="B333" s="35">
        <v>23690</v>
      </c>
      <c r="C333" s="36">
        <v>42911</v>
      </c>
      <c r="D333" s="35">
        <v>1000</v>
      </c>
      <c r="G333" s="35">
        <v>20.5</v>
      </c>
      <c r="H333" s="35">
        <v>16.600000000000001</v>
      </c>
      <c r="I333" s="35">
        <v>25.4</v>
      </c>
      <c r="J333" s="35">
        <f t="shared" si="42"/>
        <v>3138.4000000000015</v>
      </c>
      <c r="K333">
        <f t="shared" si="47"/>
        <v>434.8</v>
      </c>
      <c r="M333" s="35">
        <v>0</v>
      </c>
      <c r="N333" s="35">
        <v>3.4</v>
      </c>
      <c r="O333" s="35">
        <f t="shared" si="39"/>
        <v>-3.4</v>
      </c>
      <c r="P333" s="35">
        <f t="shared" si="43"/>
        <v>8.4000000000000252</v>
      </c>
      <c r="Q333" s="35">
        <v>307</v>
      </c>
      <c r="R333">
        <f t="shared" si="45"/>
        <v>0.75506329113924042</v>
      </c>
      <c r="S333" s="37">
        <f t="shared" si="40"/>
        <v>2.5672151898734175</v>
      </c>
      <c r="T333" s="37">
        <f t="shared" si="41"/>
        <v>-2.5672151898734175</v>
      </c>
      <c r="U333" s="9">
        <f t="shared" si="46"/>
        <v>21.335398997696103</v>
      </c>
      <c r="W333" s="35">
        <v>1418.9</v>
      </c>
      <c r="Y333" s="35">
        <f t="shared" si="44"/>
        <v>283233.00000000006</v>
      </c>
      <c r="Z333" s="33">
        <f t="shared" si="48"/>
        <v>48622.7</v>
      </c>
      <c r="AA333" s="35">
        <v>15.879781761736499</v>
      </c>
    </row>
    <row r="334" spans="1:27" x14ac:dyDescent="0.25">
      <c r="A334">
        <v>5240</v>
      </c>
      <c r="B334">
        <v>23690</v>
      </c>
      <c r="C334" s="5">
        <v>42912</v>
      </c>
      <c r="G334">
        <v>21</v>
      </c>
      <c r="H334">
        <v>15.2</v>
      </c>
      <c r="I334">
        <v>25.7</v>
      </c>
      <c r="J334">
        <f t="shared" si="42"/>
        <v>3159.4000000000015</v>
      </c>
      <c r="K334">
        <f t="shared" si="47"/>
        <v>455.8</v>
      </c>
      <c r="M334">
        <v>3.6</v>
      </c>
      <c r="N334">
        <v>3.9</v>
      </c>
      <c r="O334">
        <f t="shared" si="39"/>
        <v>-0.29999999999999982</v>
      </c>
      <c r="P334">
        <f t="shared" si="43"/>
        <v>8.1000000000000263</v>
      </c>
      <c r="Q334">
        <v>308</v>
      </c>
      <c r="R334">
        <f t="shared" si="45"/>
        <v>0.74493670886075947</v>
      </c>
      <c r="S334" s="9">
        <f t="shared" si="40"/>
        <v>2.9052531645569619</v>
      </c>
      <c r="T334" s="9">
        <f t="shared" si="41"/>
        <v>0.69474683544303817</v>
      </c>
      <c r="U334" s="9">
        <f t="shared" si="46"/>
        <v>22.030145833139141</v>
      </c>
      <c r="W334">
        <v>1969.5</v>
      </c>
      <c r="Y334">
        <f t="shared" si="44"/>
        <v>285202.50000000006</v>
      </c>
      <c r="Z334" s="33">
        <f t="shared" si="48"/>
        <v>50592.2</v>
      </c>
      <c r="AA334">
        <v>15.873777313438088</v>
      </c>
    </row>
    <row r="335" spans="1:27" x14ac:dyDescent="0.25">
      <c r="A335">
        <v>5240</v>
      </c>
      <c r="B335">
        <v>23690</v>
      </c>
      <c r="C335" s="5">
        <v>42913</v>
      </c>
      <c r="G335">
        <v>20</v>
      </c>
      <c r="H335">
        <v>18.3</v>
      </c>
      <c r="I335">
        <v>23.4</v>
      </c>
      <c r="J335">
        <f t="shared" si="42"/>
        <v>3179.4000000000015</v>
      </c>
      <c r="K335">
        <f t="shared" si="47"/>
        <v>475.8</v>
      </c>
      <c r="M335">
        <v>2.6</v>
      </c>
      <c r="N335">
        <v>2.8</v>
      </c>
      <c r="O335">
        <f t="shared" si="39"/>
        <v>-0.19999999999999973</v>
      </c>
      <c r="P335">
        <f t="shared" si="43"/>
        <v>7.900000000000027</v>
      </c>
      <c r="Q335">
        <v>309</v>
      </c>
      <c r="R335">
        <f t="shared" si="45"/>
        <v>0.7348101265822784</v>
      </c>
      <c r="S335" s="9">
        <f t="shared" si="40"/>
        <v>2.0574683544303793</v>
      </c>
      <c r="T335" s="9">
        <f t="shared" si="41"/>
        <v>0.54253164556962075</v>
      </c>
      <c r="U335" s="9">
        <f t="shared" si="46"/>
        <v>22.572677478708762</v>
      </c>
      <c r="W335">
        <v>1351.3</v>
      </c>
      <c r="Y335">
        <f t="shared" si="44"/>
        <v>286553.80000000005</v>
      </c>
      <c r="Z335" s="33">
        <f t="shared" si="48"/>
        <v>51943.5</v>
      </c>
      <c r="AA335">
        <v>15.866370832243568</v>
      </c>
    </row>
    <row r="336" spans="1:27" x14ac:dyDescent="0.25">
      <c r="A336">
        <v>5240</v>
      </c>
      <c r="B336">
        <v>23690</v>
      </c>
      <c r="C336" s="5">
        <v>42914</v>
      </c>
      <c r="G336">
        <v>17.8</v>
      </c>
      <c r="H336">
        <v>16</v>
      </c>
      <c r="I336">
        <v>21.2</v>
      </c>
      <c r="J336">
        <f t="shared" si="42"/>
        <v>3197.2000000000016</v>
      </c>
      <c r="K336">
        <f t="shared" si="47"/>
        <v>493.6</v>
      </c>
      <c r="M336">
        <v>8.3000000000000007</v>
      </c>
      <c r="N336">
        <v>2.8</v>
      </c>
      <c r="O336">
        <f t="shared" si="39"/>
        <v>5.5000000000000009</v>
      </c>
      <c r="P336">
        <f t="shared" si="43"/>
        <v>13.400000000000027</v>
      </c>
      <c r="Q336">
        <v>310</v>
      </c>
      <c r="R336">
        <f t="shared" si="45"/>
        <v>0.72468354430379744</v>
      </c>
      <c r="S336" s="9">
        <f t="shared" si="40"/>
        <v>2.0291139240506326</v>
      </c>
      <c r="T336" s="9">
        <f t="shared" si="41"/>
        <v>6.2708860759493685</v>
      </c>
      <c r="U336" s="9">
        <f t="shared" si="46"/>
        <v>28.843563554658132</v>
      </c>
      <c r="W336">
        <v>1448.8</v>
      </c>
      <c r="Y336">
        <f t="shared" si="44"/>
        <v>288002.60000000003</v>
      </c>
      <c r="Z336" s="33">
        <f t="shared" si="48"/>
        <v>53392.3</v>
      </c>
      <c r="AA336">
        <v>15.857569069540382</v>
      </c>
    </row>
    <row r="337" spans="1:27" x14ac:dyDescent="0.25">
      <c r="A337">
        <v>5240</v>
      </c>
      <c r="B337">
        <v>23690</v>
      </c>
      <c r="C337" s="5">
        <v>42915</v>
      </c>
      <c r="G337">
        <v>16.399999999999999</v>
      </c>
      <c r="H337">
        <v>12.9</v>
      </c>
      <c r="I337">
        <v>20</v>
      </c>
      <c r="J337">
        <f t="shared" si="42"/>
        <v>3213.6000000000017</v>
      </c>
      <c r="K337">
        <f t="shared" si="47"/>
        <v>510</v>
      </c>
      <c r="M337">
        <v>5.0999999999999996</v>
      </c>
      <c r="N337">
        <v>3.7</v>
      </c>
      <c r="O337">
        <f t="shared" si="39"/>
        <v>1.3999999999999995</v>
      </c>
      <c r="P337">
        <f t="shared" si="43"/>
        <v>14.800000000000026</v>
      </c>
      <c r="Q337">
        <v>311</v>
      </c>
      <c r="R337">
        <f t="shared" si="45"/>
        <v>0.71455696202531638</v>
      </c>
      <c r="S337" s="9">
        <f t="shared" si="40"/>
        <v>2.6438607594936707</v>
      </c>
      <c r="T337" s="9">
        <f t="shared" si="41"/>
        <v>2.4561392405063289</v>
      </c>
      <c r="U337" s="9">
        <f t="shared" si="46"/>
        <v>31.29970279516446</v>
      </c>
      <c r="W337">
        <v>2253</v>
      </c>
      <c r="Y337">
        <f t="shared" si="44"/>
        <v>290255.60000000003</v>
      </c>
      <c r="Z337" s="33">
        <f t="shared" si="48"/>
        <v>55645.3</v>
      </c>
      <c r="AA337">
        <v>15.847380009848157</v>
      </c>
    </row>
    <row r="338" spans="1:27" x14ac:dyDescent="0.25">
      <c r="A338">
        <v>5240</v>
      </c>
      <c r="B338">
        <v>23690</v>
      </c>
      <c r="C338" s="5">
        <v>42916</v>
      </c>
      <c r="G338">
        <v>14.7</v>
      </c>
      <c r="H338">
        <v>13.7</v>
      </c>
      <c r="I338">
        <v>16.399999999999999</v>
      </c>
      <c r="J338">
        <f t="shared" si="42"/>
        <v>3228.3000000000015</v>
      </c>
      <c r="K338">
        <f t="shared" si="47"/>
        <v>524.70000000000005</v>
      </c>
      <c r="M338">
        <v>3.6</v>
      </c>
      <c r="N338">
        <v>1.4</v>
      </c>
      <c r="O338">
        <f t="shared" si="39"/>
        <v>2.2000000000000002</v>
      </c>
      <c r="P338">
        <f t="shared" si="43"/>
        <v>17.000000000000025</v>
      </c>
      <c r="Q338">
        <v>312</v>
      </c>
      <c r="R338">
        <f t="shared" si="45"/>
        <v>0.70443037974683542</v>
      </c>
      <c r="S338" s="9">
        <f t="shared" si="40"/>
        <v>0.98620253164556948</v>
      </c>
      <c r="T338" s="9">
        <f t="shared" si="41"/>
        <v>2.6137974683544307</v>
      </c>
      <c r="U338" s="9">
        <f t="shared" si="46"/>
        <v>33.913500263518891</v>
      </c>
      <c r="W338">
        <v>702.4</v>
      </c>
      <c r="Y338">
        <f t="shared" si="44"/>
        <v>290958.00000000006</v>
      </c>
      <c r="Z338" s="33">
        <f t="shared" si="48"/>
        <v>56347.700000000004</v>
      </c>
      <c r="AA338">
        <v>15.835812843907462</v>
      </c>
    </row>
    <row r="339" spans="1:27" x14ac:dyDescent="0.25">
      <c r="A339">
        <v>5240</v>
      </c>
      <c r="B339">
        <v>23690</v>
      </c>
      <c r="C339" s="5">
        <v>42917</v>
      </c>
      <c r="G339">
        <v>15.6</v>
      </c>
      <c r="H339">
        <v>13.5</v>
      </c>
      <c r="I339">
        <v>18.899999999999999</v>
      </c>
      <c r="J339">
        <f t="shared" si="42"/>
        <v>3243.9000000000015</v>
      </c>
      <c r="K339">
        <f t="shared" si="47"/>
        <v>540.30000000000007</v>
      </c>
      <c r="M339">
        <v>3.7</v>
      </c>
      <c r="N339">
        <v>1.6</v>
      </c>
      <c r="O339">
        <f t="shared" si="39"/>
        <v>2.1</v>
      </c>
      <c r="P339">
        <f t="shared" si="43"/>
        <v>19.100000000000026</v>
      </c>
      <c r="Q339">
        <v>313</v>
      </c>
      <c r="R339">
        <f t="shared" si="45"/>
        <v>0.69430379746835436</v>
      </c>
      <c r="S339" s="9">
        <f t="shared" si="40"/>
        <v>1.1108860759493671</v>
      </c>
      <c r="T339" s="9">
        <f t="shared" si="41"/>
        <v>2.5891139240506331</v>
      </c>
      <c r="U339" s="9">
        <f t="shared" si="46"/>
        <v>36.502614187569527</v>
      </c>
      <c r="W339">
        <v>733.9</v>
      </c>
      <c r="Y339">
        <f t="shared" si="44"/>
        <v>291691.90000000008</v>
      </c>
      <c r="Z339" s="33">
        <f t="shared" si="48"/>
        <v>57081.600000000006</v>
      </c>
      <c r="AA339">
        <v>15.822877937978916</v>
      </c>
    </row>
    <row r="340" spans="1:27" x14ac:dyDescent="0.25">
      <c r="A340">
        <v>5240</v>
      </c>
      <c r="B340">
        <v>23690</v>
      </c>
      <c r="C340" s="5">
        <v>42918</v>
      </c>
      <c r="G340">
        <v>16.8</v>
      </c>
      <c r="H340">
        <v>11.9</v>
      </c>
      <c r="I340">
        <v>22.2</v>
      </c>
      <c r="J340">
        <f t="shared" si="42"/>
        <v>3260.7000000000016</v>
      </c>
      <c r="K340">
        <f t="shared" si="47"/>
        <v>557.1</v>
      </c>
      <c r="M340">
        <v>0.3</v>
      </c>
      <c r="N340">
        <v>1.7</v>
      </c>
      <c r="O340">
        <f t="shared" si="39"/>
        <v>-1.4</v>
      </c>
      <c r="P340">
        <f t="shared" si="43"/>
        <v>17.700000000000028</v>
      </c>
      <c r="Q340">
        <v>314</v>
      </c>
      <c r="R340">
        <f t="shared" si="45"/>
        <v>0.68417721518987329</v>
      </c>
      <c r="S340" s="9">
        <f t="shared" si="40"/>
        <v>1.1631012658227846</v>
      </c>
      <c r="T340" s="9">
        <f t="shared" si="41"/>
        <v>-0.86310126582278457</v>
      </c>
      <c r="U340" s="9">
        <f t="shared" si="46"/>
        <v>35.639512921746743</v>
      </c>
      <c r="W340">
        <v>871.2</v>
      </c>
      <c r="Y340">
        <f t="shared" si="44"/>
        <v>292563.10000000009</v>
      </c>
      <c r="Z340" s="33">
        <f t="shared" si="48"/>
        <v>57952.800000000003</v>
      </c>
      <c r="AA340">
        <v>15.80858679956949</v>
      </c>
    </row>
    <row r="341" spans="1:27" x14ac:dyDescent="0.25">
      <c r="A341">
        <v>5240</v>
      </c>
      <c r="B341">
        <v>23690</v>
      </c>
      <c r="C341" s="5">
        <v>42919</v>
      </c>
      <c r="G341">
        <v>18.7</v>
      </c>
      <c r="H341">
        <v>13.2</v>
      </c>
      <c r="I341">
        <v>23.9</v>
      </c>
      <c r="J341">
        <f t="shared" si="42"/>
        <v>3279.4000000000015</v>
      </c>
      <c r="K341">
        <f t="shared" si="47"/>
        <v>575.80000000000007</v>
      </c>
      <c r="M341">
        <v>0</v>
      </c>
      <c r="N341">
        <v>3.2</v>
      </c>
      <c r="O341">
        <f t="shared" si="39"/>
        <v>-3.2</v>
      </c>
      <c r="P341">
        <f t="shared" si="43"/>
        <v>14.500000000000028</v>
      </c>
      <c r="Q341">
        <v>315</v>
      </c>
      <c r="R341">
        <f t="shared" si="45"/>
        <v>0.67405063291139244</v>
      </c>
      <c r="S341" s="9">
        <f t="shared" si="40"/>
        <v>2.1569620253164561</v>
      </c>
      <c r="T341" s="9">
        <f t="shared" si="41"/>
        <v>-2.1569620253164561</v>
      </c>
      <c r="U341" s="9">
        <f t="shared" si="46"/>
        <v>33.48255089643029</v>
      </c>
      <c r="W341">
        <v>1662</v>
      </c>
      <c r="Y341">
        <f t="shared" si="44"/>
        <v>294225.10000000009</v>
      </c>
      <c r="Z341" s="33">
        <f t="shared" si="48"/>
        <v>59614.8</v>
      </c>
      <c r="AA341">
        <v>15.792952039824486</v>
      </c>
    </row>
    <row r="342" spans="1:27" x14ac:dyDescent="0.25">
      <c r="A342">
        <v>5240</v>
      </c>
      <c r="B342">
        <v>23690</v>
      </c>
      <c r="C342" s="5">
        <v>42920</v>
      </c>
      <c r="G342">
        <v>21.3</v>
      </c>
      <c r="H342">
        <v>13.2</v>
      </c>
      <c r="I342">
        <v>28.1</v>
      </c>
      <c r="J342">
        <f t="shared" si="42"/>
        <v>3300.7000000000016</v>
      </c>
      <c r="K342">
        <f t="shared" si="47"/>
        <v>597.1</v>
      </c>
      <c r="M342">
        <v>0</v>
      </c>
      <c r="N342">
        <v>5.3</v>
      </c>
      <c r="O342">
        <f t="shared" si="39"/>
        <v>-5.3</v>
      </c>
      <c r="P342">
        <f t="shared" si="43"/>
        <v>9.2000000000000277</v>
      </c>
      <c r="Q342">
        <v>316</v>
      </c>
      <c r="R342">
        <f t="shared" si="45"/>
        <v>0.66392405063291138</v>
      </c>
      <c r="S342" s="9">
        <f t="shared" si="40"/>
        <v>3.5187974683544301</v>
      </c>
      <c r="T342" s="9">
        <f t="shared" si="41"/>
        <v>-3.5187974683544301</v>
      </c>
      <c r="U342" s="9">
        <f t="shared" si="46"/>
        <v>29.963753428075862</v>
      </c>
      <c r="W342">
        <v>2718.2</v>
      </c>
      <c r="Y342">
        <f t="shared" si="44"/>
        <v>296943.3000000001</v>
      </c>
      <c r="Z342" s="33">
        <f t="shared" si="48"/>
        <v>62333</v>
      </c>
      <c r="AA342">
        <v>15.775987332842432</v>
      </c>
    </row>
    <row r="343" spans="1:27" x14ac:dyDescent="0.25">
      <c r="A343">
        <v>5240</v>
      </c>
      <c r="B343">
        <v>23690</v>
      </c>
      <c r="C343" s="5">
        <v>42921</v>
      </c>
      <c r="G343">
        <v>24.3</v>
      </c>
      <c r="H343">
        <v>16.3</v>
      </c>
      <c r="I343">
        <v>29.8</v>
      </c>
      <c r="J343">
        <f t="shared" si="42"/>
        <v>3325.0000000000018</v>
      </c>
      <c r="K343">
        <f t="shared" si="47"/>
        <v>621.4</v>
      </c>
      <c r="M343">
        <v>0</v>
      </c>
      <c r="N343">
        <v>5.6</v>
      </c>
      <c r="O343">
        <f t="shared" si="39"/>
        <v>-5.6</v>
      </c>
      <c r="P343">
        <f t="shared" si="43"/>
        <v>3.6000000000000281</v>
      </c>
      <c r="Q343">
        <v>317</v>
      </c>
      <c r="R343">
        <f t="shared" si="45"/>
        <v>0.65379746835443031</v>
      </c>
      <c r="S343" s="9">
        <f t="shared" si="40"/>
        <v>3.6612658227848094</v>
      </c>
      <c r="T343" s="9">
        <f t="shared" si="41"/>
        <v>-3.6612658227848094</v>
      </c>
      <c r="U343" s="9">
        <f t="shared" si="46"/>
        <v>26.302487605291052</v>
      </c>
      <c r="W343">
        <v>2461.1999999999998</v>
      </c>
      <c r="Y343">
        <f t="shared" si="44"/>
        <v>299404.50000000012</v>
      </c>
      <c r="Z343" s="33">
        <f t="shared" si="48"/>
        <v>64794.2</v>
      </c>
      <c r="AA343">
        <v>15.757707372185974</v>
      </c>
    </row>
    <row r="344" spans="1:27" x14ac:dyDescent="0.25">
      <c r="A344">
        <v>5240</v>
      </c>
      <c r="B344">
        <v>23690</v>
      </c>
      <c r="C344" s="5">
        <v>42922</v>
      </c>
      <c r="G344">
        <v>26.9</v>
      </c>
      <c r="H344">
        <v>21.6</v>
      </c>
      <c r="I344">
        <v>32</v>
      </c>
      <c r="J344">
        <f t="shared" si="42"/>
        <v>3351.9000000000019</v>
      </c>
      <c r="K344">
        <f t="shared" si="47"/>
        <v>648.29999999999995</v>
      </c>
      <c r="M344">
        <v>0</v>
      </c>
      <c r="N344">
        <v>4.8</v>
      </c>
      <c r="O344">
        <f t="shared" si="39"/>
        <v>-4.8</v>
      </c>
      <c r="P344">
        <v>0</v>
      </c>
      <c r="Q344">
        <v>318</v>
      </c>
      <c r="R344">
        <f t="shared" si="45"/>
        <v>0.64367088607594924</v>
      </c>
      <c r="S344" s="9">
        <f t="shared" si="40"/>
        <v>3.0896202531645565</v>
      </c>
      <c r="T344" s="9">
        <f t="shared" si="41"/>
        <v>-3.0896202531645565</v>
      </c>
      <c r="U344" s="9">
        <f t="shared" si="46"/>
        <v>23.212867352126494</v>
      </c>
      <c r="W344">
        <v>1813.3</v>
      </c>
      <c r="Y344">
        <f t="shared" si="44"/>
        <v>301217.8000000001</v>
      </c>
      <c r="Z344" s="33">
        <f t="shared" si="48"/>
        <v>66607.5</v>
      </c>
      <c r="AA344">
        <v>15.738127824874471</v>
      </c>
    </row>
    <row r="345" spans="1:27" x14ac:dyDescent="0.25">
      <c r="A345">
        <v>5240</v>
      </c>
      <c r="B345">
        <v>23690</v>
      </c>
      <c r="C345" s="5">
        <v>42923</v>
      </c>
      <c r="G345">
        <v>26.1</v>
      </c>
      <c r="H345">
        <v>21</v>
      </c>
      <c r="I345">
        <v>32.1</v>
      </c>
      <c r="J345">
        <f t="shared" si="42"/>
        <v>3378.0000000000018</v>
      </c>
      <c r="K345">
        <f t="shared" si="47"/>
        <v>674.4</v>
      </c>
      <c r="M345">
        <v>0</v>
      </c>
      <c r="N345">
        <v>6.1</v>
      </c>
      <c r="O345">
        <f t="shared" si="39"/>
        <v>-6.1</v>
      </c>
      <c r="P345">
        <v>0</v>
      </c>
      <c r="Q345">
        <v>319</v>
      </c>
      <c r="R345">
        <f t="shared" si="45"/>
        <v>0.63354430379746829</v>
      </c>
      <c r="S345" s="9">
        <f t="shared" si="40"/>
        <v>3.8646202531645564</v>
      </c>
      <c r="T345" s="9">
        <f t="shared" si="41"/>
        <v>-3.8646202531645564</v>
      </c>
      <c r="U345" s="9">
        <f t="shared" si="46"/>
        <v>19.348247098961938</v>
      </c>
      <c r="W345">
        <v>2530</v>
      </c>
      <c r="Y345">
        <f t="shared" si="44"/>
        <v>303747.8000000001</v>
      </c>
      <c r="Z345" s="33">
        <f t="shared" si="48"/>
        <v>69137.5</v>
      </c>
      <c r="AA345">
        <v>15.717265283153621</v>
      </c>
    </row>
    <row r="346" spans="1:27" x14ac:dyDescent="0.25">
      <c r="A346">
        <v>5240</v>
      </c>
      <c r="B346">
        <v>23690</v>
      </c>
      <c r="C346" s="5">
        <v>42924</v>
      </c>
      <c r="G346">
        <v>23.6</v>
      </c>
      <c r="H346">
        <v>18</v>
      </c>
      <c r="I346">
        <v>28.9</v>
      </c>
      <c r="J346">
        <f t="shared" si="42"/>
        <v>3401.6000000000017</v>
      </c>
      <c r="K346">
        <f t="shared" si="47"/>
        <v>698</v>
      </c>
      <c r="M346">
        <v>0</v>
      </c>
      <c r="N346">
        <v>5.7</v>
      </c>
      <c r="O346">
        <f t="shared" si="39"/>
        <v>-5.7</v>
      </c>
      <c r="P346">
        <v>0</v>
      </c>
      <c r="Q346">
        <v>320</v>
      </c>
      <c r="R346">
        <f t="shared" si="45"/>
        <v>0.62341772151898733</v>
      </c>
      <c r="S346" s="9">
        <f t="shared" si="40"/>
        <v>3.5534810126582279</v>
      </c>
      <c r="T346" s="9">
        <f t="shared" si="41"/>
        <v>-3.5534810126582279</v>
      </c>
      <c r="U346" s="9">
        <f t="shared" si="46"/>
        <v>15.79476608630371</v>
      </c>
      <c r="W346">
        <v>2409.6</v>
      </c>
      <c r="Y346">
        <f t="shared" si="44"/>
        <v>306157.40000000008</v>
      </c>
      <c r="Z346" s="33">
        <f t="shared" si="48"/>
        <v>71547.100000000006</v>
      </c>
      <c r="AA346">
        <v>15.695137214343724</v>
      </c>
    </row>
    <row r="347" spans="1:27" x14ac:dyDescent="0.25">
      <c r="A347">
        <v>5240</v>
      </c>
      <c r="B347">
        <v>23690</v>
      </c>
      <c r="C347" s="5">
        <v>42925</v>
      </c>
      <c r="G347">
        <v>20.8</v>
      </c>
      <c r="H347">
        <v>19.100000000000001</v>
      </c>
      <c r="I347">
        <v>26</v>
      </c>
      <c r="J347">
        <f t="shared" si="42"/>
        <v>3422.4000000000019</v>
      </c>
      <c r="K347">
        <f t="shared" si="47"/>
        <v>718.8</v>
      </c>
      <c r="M347">
        <v>12.8</v>
      </c>
      <c r="N347">
        <v>2.8</v>
      </c>
      <c r="O347">
        <f t="shared" si="39"/>
        <v>10</v>
      </c>
      <c r="P347">
        <f t="shared" si="43"/>
        <v>10</v>
      </c>
      <c r="Q347">
        <v>321</v>
      </c>
      <c r="R347">
        <f t="shared" si="45"/>
        <v>0.61329113924050627</v>
      </c>
      <c r="S347" s="9">
        <f t="shared" si="40"/>
        <v>1.7172151898734174</v>
      </c>
      <c r="T347" s="9">
        <f t="shared" si="41"/>
        <v>11.082784810126583</v>
      </c>
      <c r="U347" s="9">
        <f t="shared" si="46"/>
        <v>26.877550896430293</v>
      </c>
      <c r="W347">
        <v>1099</v>
      </c>
      <c r="Y347">
        <f t="shared" si="44"/>
        <v>307256.40000000008</v>
      </c>
      <c r="Z347" s="33">
        <f t="shared" si="48"/>
        <v>72646.100000000006</v>
      </c>
      <c r="AA347">
        <v>15.671761909071694</v>
      </c>
    </row>
    <row r="348" spans="1:27" x14ac:dyDescent="0.25">
      <c r="A348">
        <v>5240</v>
      </c>
      <c r="B348">
        <v>23690</v>
      </c>
      <c r="C348" s="5">
        <v>42926</v>
      </c>
      <c r="G348">
        <v>18</v>
      </c>
      <c r="H348">
        <v>15.9</v>
      </c>
      <c r="I348">
        <v>20.9</v>
      </c>
      <c r="J348">
        <f t="shared" si="42"/>
        <v>3440.4000000000019</v>
      </c>
      <c r="K348">
        <f t="shared" si="47"/>
        <v>736.8</v>
      </c>
      <c r="M348">
        <v>1.3</v>
      </c>
      <c r="N348">
        <v>1.9</v>
      </c>
      <c r="O348">
        <f t="shared" ref="O348:O373" si="49">M348-N348</f>
        <v>-0.59999999999999987</v>
      </c>
      <c r="P348">
        <f t="shared" si="43"/>
        <v>9.4</v>
      </c>
      <c r="Q348">
        <v>322</v>
      </c>
      <c r="R348">
        <f t="shared" si="45"/>
        <v>0.60316455696202531</v>
      </c>
      <c r="S348" s="9">
        <f t="shared" ref="S348:S373" si="50">R348*N348</f>
        <v>1.146012658227848</v>
      </c>
      <c r="T348" s="9">
        <f t="shared" ref="T348:T373" si="51">M348-S348</f>
        <v>0.15398734177215201</v>
      </c>
      <c r="U348" s="9">
        <f t="shared" si="46"/>
        <v>27.031538238202444</v>
      </c>
      <c r="W348">
        <v>884.6</v>
      </c>
      <c r="Y348">
        <f t="shared" si="44"/>
        <v>308141.00000000006</v>
      </c>
      <c r="Z348" s="33">
        <f t="shared" si="48"/>
        <v>73530.700000000012</v>
      </c>
      <c r="AA348">
        <v>15.64715842819205</v>
      </c>
    </row>
    <row r="349" spans="1:27" x14ac:dyDescent="0.25">
      <c r="A349">
        <v>5240</v>
      </c>
      <c r="B349">
        <v>23690</v>
      </c>
      <c r="C349" s="5">
        <v>42927</v>
      </c>
      <c r="G349">
        <v>18.8</v>
      </c>
      <c r="H349">
        <v>13.9</v>
      </c>
      <c r="I349">
        <v>22.3</v>
      </c>
      <c r="J349">
        <f t="shared" ref="J349:J373" si="52">J348+G349</f>
        <v>3459.2000000000021</v>
      </c>
      <c r="K349">
        <f t="shared" si="47"/>
        <v>755.59999999999991</v>
      </c>
      <c r="M349">
        <v>0.5</v>
      </c>
      <c r="N349">
        <v>2.9</v>
      </c>
      <c r="O349">
        <f t="shared" si="49"/>
        <v>-2.4</v>
      </c>
      <c r="P349">
        <f t="shared" ref="P349:P366" si="53">P348+O349</f>
        <v>7</v>
      </c>
      <c r="Q349">
        <v>323</v>
      </c>
      <c r="R349">
        <f t="shared" si="45"/>
        <v>0.59303797468354424</v>
      </c>
      <c r="S349" s="9">
        <f t="shared" si="50"/>
        <v>1.7198101265822783</v>
      </c>
      <c r="T349" s="9">
        <f t="shared" si="51"/>
        <v>-1.2198101265822783</v>
      </c>
      <c r="U349" s="9">
        <f t="shared" si="46"/>
        <v>25.811728111620166</v>
      </c>
      <c r="W349">
        <v>1231.2</v>
      </c>
      <c r="Y349">
        <f t="shared" ref="Y349:Y373" si="54">Y348+W349</f>
        <v>309372.20000000007</v>
      </c>
      <c r="Z349" s="33">
        <f t="shared" si="48"/>
        <v>74761.900000000009</v>
      </c>
      <c r="AA349">
        <v>15.621346548699805</v>
      </c>
    </row>
    <row r="350" spans="1:27" x14ac:dyDescent="0.25">
      <c r="A350">
        <v>5240</v>
      </c>
      <c r="B350">
        <v>23690</v>
      </c>
      <c r="C350" s="5">
        <v>42928</v>
      </c>
      <c r="G350">
        <v>18.7</v>
      </c>
      <c r="H350">
        <v>17.2</v>
      </c>
      <c r="I350">
        <v>21.1</v>
      </c>
      <c r="J350">
        <f t="shared" si="52"/>
        <v>3477.9000000000019</v>
      </c>
      <c r="K350">
        <f t="shared" si="47"/>
        <v>774.3</v>
      </c>
      <c r="M350">
        <v>2.6</v>
      </c>
      <c r="N350">
        <v>1.7</v>
      </c>
      <c r="O350">
        <f t="shared" si="49"/>
        <v>0.90000000000000013</v>
      </c>
      <c r="P350">
        <f t="shared" si="53"/>
        <v>7.9</v>
      </c>
      <c r="Q350">
        <v>324</v>
      </c>
      <c r="R350">
        <f t="shared" si="45"/>
        <v>0.58291139240506329</v>
      </c>
      <c r="S350" s="9">
        <f t="shared" si="50"/>
        <v>0.99094936708860759</v>
      </c>
      <c r="T350" s="9">
        <f t="shared" si="51"/>
        <v>1.6090506329113925</v>
      </c>
      <c r="U350" s="9">
        <f t="shared" si="46"/>
        <v>27.42077874453156</v>
      </c>
      <c r="W350">
        <v>601.6</v>
      </c>
      <c r="Y350">
        <f t="shared" si="54"/>
        <v>309973.80000000005</v>
      </c>
      <c r="Z350" s="33">
        <f t="shared" si="48"/>
        <v>75363.500000000015</v>
      </c>
      <c r="AA350">
        <v>15.594346708932887</v>
      </c>
    </row>
    <row r="351" spans="1:27" x14ac:dyDescent="0.25">
      <c r="A351">
        <v>5240</v>
      </c>
      <c r="B351">
        <v>23690</v>
      </c>
      <c r="C351" s="5">
        <v>42929</v>
      </c>
      <c r="G351">
        <v>19.100000000000001</v>
      </c>
      <c r="H351">
        <v>14.9</v>
      </c>
      <c r="I351">
        <v>23</v>
      </c>
      <c r="J351">
        <f t="shared" si="52"/>
        <v>3497.0000000000018</v>
      </c>
      <c r="K351">
        <f t="shared" si="47"/>
        <v>793.4</v>
      </c>
      <c r="M351">
        <v>1</v>
      </c>
      <c r="N351">
        <v>3.7</v>
      </c>
      <c r="O351">
        <f t="shared" si="49"/>
        <v>-2.7</v>
      </c>
      <c r="P351">
        <f t="shared" si="53"/>
        <v>5.2</v>
      </c>
      <c r="Q351">
        <v>325</v>
      </c>
      <c r="R351">
        <f t="shared" si="45"/>
        <v>0.57278481012658222</v>
      </c>
      <c r="S351" s="9">
        <f t="shared" si="50"/>
        <v>2.1193037974683544</v>
      </c>
      <c r="T351" s="9">
        <f t="shared" si="51"/>
        <v>-1.1193037974683544</v>
      </c>
      <c r="U351" s="9">
        <f t="shared" si="46"/>
        <v>26.301474947063205</v>
      </c>
      <c r="W351">
        <v>2000.1</v>
      </c>
      <c r="Y351">
        <f t="shared" si="54"/>
        <v>311973.90000000002</v>
      </c>
      <c r="Z351" s="33">
        <f t="shared" si="48"/>
        <v>77363.60000000002</v>
      </c>
      <c r="AA351">
        <v>15.566179953354153</v>
      </c>
    </row>
    <row r="352" spans="1:27" x14ac:dyDescent="0.25">
      <c r="A352">
        <v>5240</v>
      </c>
      <c r="B352">
        <v>23690</v>
      </c>
      <c r="C352" s="5">
        <v>42930</v>
      </c>
      <c r="G352">
        <v>17.8</v>
      </c>
      <c r="H352">
        <v>15</v>
      </c>
      <c r="I352">
        <v>21.6</v>
      </c>
      <c r="J352">
        <f t="shared" si="52"/>
        <v>3514.800000000002</v>
      </c>
      <c r="K352">
        <f t="shared" si="47"/>
        <v>811.19999999999993</v>
      </c>
      <c r="M352">
        <v>0</v>
      </c>
      <c r="N352">
        <v>3.9</v>
      </c>
      <c r="O352">
        <f t="shared" si="49"/>
        <v>-3.9</v>
      </c>
      <c r="P352">
        <f t="shared" si="53"/>
        <v>1.3000000000000003</v>
      </c>
      <c r="Q352">
        <v>326</v>
      </c>
      <c r="R352">
        <f t="shared" si="45"/>
        <v>0.56265822784810116</v>
      </c>
      <c r="S352" s="9">
        <f t="shared" si="50"/>
        <v>2.1943670886075943</v>
      </c>
      <c r="T352" s="9">
        <f t="shared" si="51"/>
        <v>-2.1943670886075943</v>
      </c>
      <c r="U352" s="9">
        <f t="shared" si="46"/>
        <v>24.10710785845561</v>
      </c>
      <c r="W352">
        <v>1797.7</v>
      </c>
      <c r="Y352">
        <f t="shared" si="54"/>
        <v>313771.60000000003</v>
      </c>
      <c r="Z352" s="33">
        <f t="shared" si="48"/>
        <v>79161.300000000017</v>
      </c>
      <c r="AA352">
        <v>15.536867877193249</v>
      </c>
    </row>
    <row r="353" spans="1:27" x14ac:dyDescent="0.25">
      <c r="A353">
        <v>5240</v>
      </c>
      <c r="B353">
        <v>23690</v>
      </c>
      <c r="C353" s="5">
        <v>42931</v>
      </c>
      <c r="G353">
        <v>19</v>
      </c>
      <c r="H353">
        <v>11.6</v>
      </c>
      <c r="I353">
        <v>24.8</v>
      </c>
      <c r="J353">
        <f t="shared" si="52"/>
        <v>3533.800000000002</v>
      </c>
      <c r="K353">
        <f t="shared" si="47"/>
        <v>830.19999999999993</v>
      </c>
      <c r="M353">
        <v>0</v>
      </c>
      <c r="N353">
        <v>4.3</v>
      </c>
      <c r="O353">
        <f t="shared" si="49"/>
        <v>-4.3</v>
      </c>
      <c r="P353">
        <v>0</v>
      </c>
      <c r="Q353">
        <v>327</v>
      </c>
      <c r="R353">
        <f t="shared" si="45"/>
        <v>0.5525316455696202</v>
      </c>
      <c r="S353" s="9">
        <f t="shared" si="50"/>
        <v>2.3758860759493667</v>
      </c>
      <c r="T353" s="9">
        <f t="shared" si="51"/>
        <v>-2.3758860759493667</v>
      </c>
      <c r="U353" s="9">
        <f t="shared" si="46"/>
        <v>21.731221782506243</v>
      </c>
      <c r="W353">
        <v>2218</v>
      </c>
      <c r="Y353">
        <f t="shared" si="54"/>
        <v>315989.60000000003</v>
      </c>
      <c r="Z353" s="33">
        <f t="shared" si="48"/>
        <v>81379.300000000017</v>
      </c>
      <c r="AA353">
        <v>15.506432571216601</v>
      </c>
    </row>
    <row r="354" spans="1:27" x14ac:dyDescent="0.25">
      <c r="A354">
        <v>5240</v>
      </c>
      <c r="B354">
        <v>23690</v>
      </c>
      <c r="C354" s="5">
        <v>42932</v>
      </c>
      <c r="G354">
        <v>21.3</v>
      </c>
      <c r="H354">
        <v>14.4</v>
      </c>
      <c r="I354">
        <v>27.5</v>
      </c>
      <c r="J354">
        <f t="shared" si="52"/>
        <v>3555.1000000000022</v>
      </c>
      <c r="K354">
        <f t="shared" si="47"/>
        <v>851.49999999999989</v>
      </c>
      <c r="M354">
        <v>0</v>
      </c>
      <c r="N354">
        <v>4.7</v>
      </c>
      <c r="O354">
        <f t="shared" si="49"/>
        <v>-4.7</v>
      </c>
      <c r="P354">
        <v>0</v>
      </c>
      <c r="Q354">
        <v>328</v>
      </c>
      <c r="R354">
        <f t="shared" si="45"/>
        <v>0.54240506329113913</v>
      </c>
      <c r="S354" s="9">
        <f t="shared" si="50"/>
        <v>2.5493037974683541</v>
      </c>
      <c r="T354" s="9">
        <f t="shared" si="51"/>
        <v>-2.5493037974683541</v>
      </c>
      <c r="U354" s="9">
        <f t="shared" si="46"/>
        <v>19.181917985037888</v>
      </c>
      <c r="W354">
        <v>2367</v>
      </c>
      <c r="Y354">
        <f t="shared" si="54"/>
        <v>318356.60000000003</v>
      </c>
      <c r="Z354" s="33">
        <f t="shared" si="48"/>
        <v>83746.300000000017</v>
      </c>
      <c r="AA354">
        <v>15.474896566880519</v>
      </c>
    </row>
    <row r="355" spans="1:27" x14ac:dyDescent="0.25">
      <c r="A355">
        <v>5240</v>
      </c>
      <c r="B355">
        <v>23690</v>
      </c>
      <c r="C355" s="5">
        <v>42933</v>
      </c>
      <c r="G355">
        <v>23.5</v>
      </c>
      <c r="H355">
        <v>16.7</v>
      </c>
      <c r="I355">
        <v>29</v>
      </c>
      <c r="J355">
        <f t="shared" si="52"/>
        <v>3578.6000000000022</v>
      </c>
      <c r="K355">
        <f t="shared" si="47"/>
        <v>874.99999999999989</v>
      </c>
      <c r="M355">
        <v>0</v>
      </c>
      <c r="N355">
        <v>3.9</v>
      </c>
      <c r="O355">
        <f t="shared" si="49"/>
        <v>-3.9</v>
      </c>
      <c r="P355">
        <v>0</v>
      </c>
      <c r="Q355">
        <v>329</v>
      </c>
      <c r="R355">
        <f t="shared" si="45"/>
        <v>0.53227848101265818</v>
      </c>
      <c r="S355" s="9">
        <f t="shared" si="50"/>
        <v>2.0758860759493669</v>
      </c>
      <c r="T355" s="9">
        <f t="shared" si="51"/>
        <v>-2.0758860759493669</v>
      </c>
      <c r="U355" s="9">
        <f t="shared" si="46"/>
        <v>17.106031909088522</v>
      </c>
      <c r="W355">
        <v>1780.2</v>
      </c>
      <c r="Y355">
        <f t="shared" si="54"/>
        <v>320136.80000000005</v>
      </c>
      <c r="Z355" s="33">
        <f t="shared" si="48"/>
        <v>85526.500000000015</v>
      </c>
      <c r="AA355">
        <v>15.442282782107174</v>
      </c>
    </row>
    <row r="356" spans="1:27" x14ac:dyDescent="0.25">
      <c r="A356">
        <v>5240</v>
      </c>
      <c r="B356">
        <v>23690</v>
      </c>
      <c r="C356" s="5">
        <v>42934</v>
      </c>
      <c r="G356">
        <v>26.6</v>
      </c>
      <c r="H356">
        <v>20.399999999999999</v>
      </c>
      <c r="I356">
        <v>32.200000000000003</v>
      </c>
      <c r="J356">
        <f t="shared" si="52"/>
        <v>3605.2000000000021</v>
      </c>
      <c r="K356">
        <f t="shared" si="47"/>
        <v>901.59999999999991</v>
      </c>
      <c r="M356">
        <v>0.1</v>
      </c>
      <c r="N356">
        <v>6.5</v>
      </c>
      <c r="O356">
        <f t="shared" si="49"/>
        <v>-6.4</v>
      </c>
      <c r="P356">
        <v>0</v>
      </c>
      <c r="Q356">
        <v>330</v>
      </c>
      <c r="R356">
        <f t="shared" si="45"/>
        <v>0.52215189873417722</v>
      </c>
      <c r="S356" s="9">
        <f t="shared" si="50"/>
        <v>3.393987341772152</v>
      </c>
      <c r="T356" s="9">
        <f t="shared" si="51"/>
        <v>-3.2939873417721519</v>
      </c>
      <c r="U356" s="9">
        <f t="shared" si="46"/>
        <v>13.81204456731637</v>
      </c>
      <c r="W356">
        <v>2496.8000000000002</v>
      </c>
      <c r="Y356">
        <f t="shared" si="54"/>
        <v>322633.60000000003</v>
      </c>
      <c r="Z356" s="33">
        <f t="shared" si="48"/>
        <v>88023.300000000017</v>
      </c>
      <c r="AA356">
        <v>15.408614467907267</v>
      </c>
    </row>
    <row r="357" spans="1:27" x14ac:dyDescent="0.25">
      <c r="A357">
        <v>5240</v>
      </c>
      <c r="B357">
        <v>23690</v>
      </c>
      <c r="C357" s="5">
        <v>42935</v>
      </c>
      <c r="G357">
        <v>23.4</v>
      </c>
      <c r="H357">
        <v>22.8</v>
      </c>
      <c r="I357">
        <v>25.7</v>
      </c>
      <c r="J357">
        <f t="shared" si="52"/>
        <v>3628.6000000000022</v>
      </c>
      <c r="K357">
        <f t="shared" si="47"/>
        <v>924.99999999999989</v>
      </c>
      <c r="M357">
        <v>0.2</v>
      </c>
      <c r="N357">
        <v>4.5</v>
      </c>
      <c r="O357">
        <f t="shared" si="49"/>
        <v>-4.3</v>
      </c>
      <c r="P357">
        <v>0</v>
      </c>
      <c r="Q357">
        <v>331</v>
      </c>
      <c r="R357">
        <f t="shared" si="45"/>
        <v>0.51202531645569616</v>
      </c>
      <c r="S357" s="9">
        <f t="shared" si="50"/>
        <v>2.3041139240506325</v>
      </c>
      <c r="T357" s="9">
        <f t="shared" si="51"/>
        <v>-2.1041139240506324</v>
      </c>
      <c r="U357" s="9">
        <f t="shared" si="46"/>
        <v>11.707930643265737</v>
      </c>
      <c r="W357">
        <v>1773.4</v>
      </c>
      <c r="Y357">
        <f t="shared" si="54"/>
        <v>324407.00000000006</v>
      </c>
      <c r="Z357" s="33">
        <f t="shared" si="48"/>
        <v>89796.700000000012</v>
      </c>
      <c r="AA357">
        <v>15.373915156055965</v>
      </c>
    </row>
    <row r="358" spans="1:27" x14ac:dyDescent="0.25">
      <c r="A358">
        <v>5240</v>
      </c>
      <c r="B358">
        <v>23690</v>
      </c>
      <c r="C358" s="5">
        <v>42936</v>
      </c>
      <c r="G358">
        <v>18.5</v>
      </c>
      <c r="H358">
        <v>18.100000000000001</v>
      </c>
      <c r="I358">
        <v>21.3</v>
      </c>
      <c r="J358">
        <f t="shared" si="52"/>
        <v>3647.1000000000022</v>
      </c>
      <c r="K358">
        <f t="shared" si="47"/>
        <v>943.49999999999989</v>
      </c>
      <c r="M358">
        <v>0</v>
      </c>
      <c r="N358">
        <v>3.7</v>
      </c>
      <c r="O358">
        <f t="shared" si="49"/>
        <v>-3.7</v>
      </c>
      <c r="P358">
        <v>0</v>
      </c>
      <c r="Q358">
        <v>332</v>
      </c>
      <c r="R358">
        <f t="shared" si="45"/>
        <v>0.5018987341772152</v>
      </c>
      <c r="S358" s="9">
        <f t="shared" si="50"/>
        <v>1.8570253164556962</v>
      </c>
      <c r="T358" s="9">
        <f t="shared" si="51"/>
        <v>-1.8570253164556962</v>
      </c>
      <c r="U358" s="9">
        <f t="shared" si="46"/>
        <v>9.8509053268100413</v>
      </c>
      <c r="W358">
        <v>1446.2</v>
      </c>
      <c r="Y358">
        <f t="shared" si="54"/>
        <v>325853.20000000007</v>
      </c>
      <c r="Z358" s="33">
        <f t="shared" si="48"/>
        <v>91242.900000000009</v>
      </c>
      <c r="AA358">
        <v>15.33820860801108</v>
      </c>
    </row>
    <row r="359" spans="1:27" x14ac:dyDescent="0.25">
      <c r="A359">
        <v>5240</v>
      </c>
      <c r="B359">
        <v>23690</v>
      </c>
      <c r="C359" s="5">
        <v>42937</v>
      </c>
      <c r="G359">
        <v>17.899999999999999</v>
      </c>
      <c r="H359">
        <v>11.4</v>
      </c>
      <c r="I359">
        <v>22.6</v>
      </c>
      <c r="J359">
        <f t="shared" si="52"/>
        <v>3665.0000000000023</v>
      </c>
      <c r="K359">
        <f t="shared" si="47"/>
        <v>961.39999999999986</v>
      </c>
      <c r="M359">
        <v>1.2</v>
      </c>
      <c r="N359">
        <v>4.8</v>
      </c>
      <c r="O359">
        <f t="shared" si="49"/>
        <v>-3.5999999999999996</v>
      </c>
      <c r="P359">
        <v>0</v>
      </c>
      <c r="Q359">
        <v>333</v>
      </c>
      <c r="R359">
        <f t="shared" si="45"/>
        <v>0.49177215189873413</v>
      </c>
      <c r="S359" s="9">
        <f t="shared" si="50"/>
        <v>2.3605063291139237</v>
      </c>
      <c r="T359" s="9">
        <f t="shared" si="51"/>
        <v>-1.1605063291139237</v>
      </c>
      <c r="U359" s="9">
        <f t="shared" si="46"/>
        <v>8.6903989976961178</v>
      </c>
      <c r="W359">
        <v>2580.6</v>
      </c>
      <c r="Y359">
        <f t="shared" si="54"/>
        <v>328433.80000000005</v>
      </c>
      <c r="Z359" s="33">
        <f t="shared" si="48"/>
        <v>93823.500000000015</v>
      </c>
      <c r="AA359">
        <v>15.301518765244261</v>
      </c>
    </row>
    <row r="360" spans="1:27" x14ac:dyDescent="0.25">
      <c r="A360">
        <v>5240</v>
      </c>
      <c r="B360">
        <v>23690</v>
      </c>
      <c r="C360" s="5">
        <v>42938</v>
      </c>
      <c r="G360">
        <v>17.100000000000001</v>
      </c>
      <c r="H360">
        <v>15.1</v>
      </c>
      <c r="I360">
        <v>19.899999999999999</v>
      </c>
      <c r="J360">
        <f t="shared" si="52"/>
        <v>3682.1000000000022</v>
      </c>
      <c r="K360">
        <f t="shared" si="47"/>
        <v>978.49999999999989</v>
      </c>
      <c r="M360">
        <v>0.1</v>
      </c>
      <c r="N360">
        <v>2.1</v>
      </c>
      <c r="O360">
        <f t="shared" si="49"/>
        <v>-2</v>
      </c>
      <c r="P360">
        <v>0</v>
      </c>
      <c r="Q360">
        <v>334</v>
      </c>
      <c r="R360">
        <f t="shared" ref="R360:R373" si="55">1.15+((Q360-268)/79)*(0.35-1.15)</f>
        <v>0.48164556962025318</v>
      </c>
      <c r="S360" s="9">
        <f t="shared" si="50"/>
        <v>1.0114556962025316</v>
      </c>
      <c r="T360" s="9">
        <f t="shared" si="51"/>
        <v>-0.91145569620253164</v>
      </c>
      <c r="U360" s="9">
        <f t="shared" ref="U360:U373" si="56">MIN(U359+T360,218.9)</f>
        <v>7.7789433014935865</v>
      </c>
      <c r="W360">
        <v>815.8</v>
      </c>
      <c r="Y360">
        <f t="shared" si="54"/>
        <v>329249.60000000003</v>
      </c>
      <c r="Z360" s="33">
        <f t="shared" si="48"/>
        <v>94639.300000000017</v>
      </c>
      <c r="AA360">
        <v>15.263869701137686</v>
      </c>
    </row>
    <row r="361" spans="1:27" x14ac:dyDescent="0.25">
      <c r="A361">
        <v>5240</v>
      </c>
      <c r="B361">
        <v>23690</v>
      </c>
      <c r="C361" s="5">
        <v>42939</v>
      </c>
      <c r="G361">
        <v>15.7</v>
      </c>
      <c r="H361">
        <v>13.2</v>
      </c>
      <c r="I361">
        <v>20.2</v>
      </c>
      <c r="J361">
        <f t="shared" si="52"/>
        <v>3697.800000000002</v>
      </c>
      <c r="K361">
        <f t="shared" si="47"/>
        <v>994.19999999999993</v>
      </c>
      <c r="M361">
        <v>10</v>
      </c>
      <c r="N361">
        <v>2.2000000000000002</v>
      </c>
      <c r="O361">
        <f t="shared" si="49"/>
        <v>7.8</v>
      </c>
      <c r="P361">
        <f t="shared" si="53"/>
        <v>7.8</v>
      </c>
      <c r="Q361">
        <v>335</v>
      </c>
      <c r="R361">
        <f t="shared" si="55"/>
        <v>0.47151898734177211</v>
      </c>
      <c r="S361" s="9">
        <f t="shared" si="50"/>
        <v>1.0373417721518987</v>
      </c>
      <c r="T361" s="9">
        <f t="shared" si="51"/>
        <v>8.9626582278481006</v>
      </c>
      <c r="U361" s="9">
        <f t="shared" si="56"/>
        <v>16.741601529341686</v>
      </c>
      <c r="W361">
        <v>838.2</v>
      </c>
      <c r="Y361">
        <f t="shared" si="54"/>
        <v>330087.80000000005</v>
      </c>
      <c r="Z361" s="33">
        <f t="shared" si="48"/>
        <v>95477.500000000015</v>
      </c>
      <c r="AA361">
        <v>15.225285574580498</v>
      </c>
    </row>
    <row r="362" spans="1:27" x14ac:dyDescent="0.25">
      <c r="A362">
        <v>5240</v>
      </c>
      <c r="B362">
        <v>23690</v>
      </c>
      <c r="C362" s="5">
        <v>42940</v>
      </c>
      <c r="G362">
        <v>15.7</v>
      </c>
      <c r="H362">
        <v>13.3</v>
      </c>
      <c r="I362">
        <v>17.399999999999999</v>
      </c>
      <c r="J362">
        <f t="shared" si="52"/>
        <v>3713.5000000000018</v>
      </c>
      <c r="K362">
        <f t="shared" si="47"/>
        <v>1009.9</v>
      </c>
      <c r="M362">
        <v>0.5</v>
      </c>
      <c r="N362">
        <v>1.1000000000000001</v>
      </c>
      <c r="O362">
        <f t="shared" si="49"/>
        <v>-0.60000000000000009</v>
      </c>
      <c r="P362">
        <f t="shared" si="53"/>
        <v>7.1999999999999993</v>
      </c>
      <c r="Q362">
        <v>336</v>
      </c>
      <c r="R362">
        <f t="shared" si="55"/>
        <v>0.46139240506329104</v>
      </c>
      <c r="S362" s="9">
        <f t="shared" si="50"/>
        <v>0.50753164556962016</v>
      </c>
      <c r="T362" s="9">
        <f t="shared" si="51"/>
        <v>-7.5316455696201601E-3</v>
      </c>
      <c r="U362" s="9">
        <f t="shared" si="56"/>
        <v>16.734069883772065</v>
      </c>
      <c r="W362">
        <v>624.29999999999995</v>
      </c>
      <c r="Y362">
        <f t="shared" si="54"/>
        <v>330712.10000000003</v>
      </c>
      <c r="Z362" s="33">
        <f t="shared" si="48"/>
        <v>96101.800000000017</v>
      </c>
      <c r="AA362">
        <v>15.185790585381024</v>
      </c>
    </row>
    <row r="363" spans="1:27" x14ac:dyDescent="0.25">
      <c r="A363">
        <v>5240</v>
      </c>
      <c r="B363">
        <v>23690</v>
      </c>
      <c r="C363" s="5">
        <v>42941</v>
      </c>
      <c r="G363">
        <v>17</v>
      </c>
      <c r="H363">
        <v>14.3</v>
      </c>
      <c r="I363">
        <v>21.1</v>
      </c>
      <c r="J363">
        <f t="shared" si="52"/>
        <v>3730.5000000000018</v>
      </c>
      <c r="K363">
        <f t="shared" si="47"/>
        <v>1026.9000000000001</v>
      </c>
      <c r="M363">
        <v>0</v>
      </c>
      <c r="N363">
        <v>3.1</v>
      </c>
      <c r="O363">
        <f t="shared" si="49"/>
        <v>-3.1</v>
      </c>
      <c r="P363">
        <f t="shared" si="53"/>
        <v>4.0999999999999996</v>
      </c>
      <c r="Q363">
        <v>337</v>
      </c>
      <c r="R363">
        <f t="shared" si="55"/>
        <v>0.45126582278481009</v>
      </c>
      <c r="S363" s="9">
        <f t="shared" si="50"/>
        <v>1.3989240506329113</v>
      </c>
      <c r="T363" s="9">
        <f t="shared" si="51"/>
        <v>-1.3989240506329113</v>
      </c>
      <c r="U363" s="9">
        <f t="shared" si="56"/>
        <v>15.335145833139155</v>
      </c>
      <c r="W363">
        <v>1530.5</v>
      </c>
      <c r="Y363">
        <f t="shared" si="54"/>
        <v>332242.60000000003</v>
      </c>
      <c r="Z363" s="33">
        <f t="shared" si="48"/>
        <v>97632.300000000017</v>
      </c>
      <c r="AA363">
        <v>15.145408931593396</v>
      </c>
    </row>
    <row r="364" spans="1:27" x14ac:dyDescent="0.25">
      <c r="A364">
        <v>5240</v>
      </c>
      <c r="B364">
        <v>23690</v>
      </c>
      <c r="C364" s="5">
        <v>42942</v>
      </c>
      <c r="G364">
        <v>16.7</v>
      </c>
      <c r="H364">
        <v>11.7</v>
      </c>
      <c r="I364">
        <v>19.2</v>
      </c>
      <c r="J364">
        <f t="shared" si="52"/>
        <v>3747.2000000000016</v>
      </c>
      <c r="K364">
        <f t="shared" si="47"/>
        <v>1043.6000000000001</v>
      </c>
      <c r="M364">
        <v>2</v>
      </c>
      <c r="N364">
        <v>1.1000000000000001</v>
      </c>
      <c r="O364">
        <f t="shared" si="49"/>
        <v>0.89999999999999991</v>
      </c>
      <c r="P364">
        <f t="shared" si="53"/>
        <v>5</v>
      </c>
      <c r="Q364">
        <v>338</v>
      </c>
      <c r="R364">
        <f t="shared" si="55"/>
        <v>0.44113924050632913</v>
      </c>
      <c r="S364" s="9">
        <f t="shared" si="50"/>
        <v>0.4852531645569621</v>
      </c>
      <c r="T364" s="9">
        <f t="shared" si="51"/>
        <v>1.514746835443038</v>
      </c>
      <c r="U364" s="9">
        <f t="shared" si="56"/>
        <v>16.849892668582193</v>
      </c>
      <c r="W364">
        <v>698.7</v>
      </c>
      <c r="Y364">
        <f t="shared" si="54"/>
        <v>332941.30000000005</v>
      </c>
      <c r="Z364" s="33">
        <f t="shared" si="48"/>
        <v>98331.000000000015</v>
      </c>
      <c r="AA364">
        <v>15.104164768839823</v>
      </c>
    </row>
    <row r="365" spans="1:27" x14ac:dyDescent="0.25">
      <c r="A365">
        <v>5240</v>
      </c>
      <c r="B365">
        <v>23690</v>
      </c>
      <c r="C365" s="5">
        <v>42943</v>
      </c>
      <c r="G365">
        <v>18.5</v>
      </c>
      <c r="H365">
        <v>16.7</v>
      </c>
      <c r="I365">
        <v>20.7</v>
      </c>
      <c r="J365">
        <f t="shared" si="52"/>
        <v>3765.7000000000016</v>
      </c>
      <c r="K365">
        <f t="shared" si="47"/>
        <v>1062.1000000000001</v>
      </c>
      <c r="M365">
        <v>0.8</v>
      </c>
      <c r="N365">
        <v>1.5</v>
      </c>
      <c r="O365">
        <f t="shared" si="49"/>
        <v>-0.7</v>
      </c>
      <c r="P365">
        <f t="shared" si="53"/>
        <v>4.3</v>
      </c>
      <c r="Q365">
        <v>339</v>
      </c>
      <c r="R365">
        <f t="shared" si="55"/>
        <v>0.43101265822784807</v>
      </c>
      <c r="S365" s="9">
        <f t="shared" si="50"/>
        <v>0.64651898734177204</v>
      </c>
      <c r="T365" s="9">
        <f t="shared" si="51"/>
        <v>0.153481012658228</v>
      </c>
      <c r="U365" s="9">
        <f t="shared" si="56"/>
        <v>17.003373681240422</v>
      </c>
      <c r="W365">
        <v>633.20000000000005</v>
      </c>
      <c r="Y365">
        <f t="shared" si="54"/>
        <v>333574.50000000006</v>
      </c>
      <c r="Z365" s="33">
        <f t="shared" si="48"/>
        <v>98964.200000000012</v>
      </c>
      <c r="AA365">
        <v>15.062082171693541</v>
      </c>
    </row>
    <row r="366" spans="1:27" x14ac:dyDescent="0.25">
      <c r="A366">
        <v>5240</v>
      </c>
      <c r="B366">
        <v>23690</v>
      </c>
      <c r="C366" s="5">
        <v>42944</v>
      </c>
      <c r="G366">
        <v>18.399999999999999</v>
      </c>
      <c r="H366">
        <v>14.4</v>
      </c>
      <c r="I366">
        <v>21.6</v>
      </c>
      <c r="J366">
        <f t="shared" si="52"/>
        <v>3784.1000000000017</v>
      </c>
      <c r="K366">
        <f t="shared" si="47"/>
        <v>1080.5000000000002</v>
      </c>
      <c r="M366">
        <v>0</v>
      </c>
      <c r="N366">
        <v>3.6</v>
      </c>
      <c r="O366">
        <f t="shared" si="49"/>
        <v>-3.6</v>
      </c>
      <c r="P366">
        <f t="shared" si="53"/>
        <v>0.69999999999999973</v>
      </c>
      <c r="Q366">
        <v>340</v>
      </c>
      <c r="R366">
        <f t="shared" si="55"/>
        <v>0.42088607594936711</v>
      </c>
      <c r="S366" s="9">
        <f t="shared" si="50"/>
        <v>1.5151898734177216</v>
      </c>
      <c r="T366" s="9">
        <f t="shared" si="51"/>
        <v>-1.5151898734177216</v>
      </c>
      <c r="U366" s="9">
        <f t="shared" si="56"/>
        <v>15.488183807822701</v>
      </c>
      <c r="W366">
        <v>1582.7</v>
      </c>
      <c r="Y366">
        <f t="shared" si="54"/>
        <v>335157.20000000007</v>
      </c>
      <c r="Z366" s="33">
        <f t="shared" si="48"/>
        <v>100546.90000000001</v>
      </c>
      <c r="AA366">
        <v>15.019185097171666</v>
      </c>
    </row>
    <row r="367" spans="1:27" x14ac:dyDescent="0.25">
      <c r="A367">
        <v>5240</v>
      </c>
      <c r="B367">
        <v>23690</v>
      </c>
      <c r="C367" s="5">
        <v>42945</v>
      </c>
      <c r="G367">
        <v>21.1</v>
      </c>
      <c r="H367">
        <v>16.2</v>
      </c>
      <c r="I367">
        <v>25</v>
      </c>
      <c r="J367">
        <f t="shared" si="52"/>
        <v>3805.2000000000016</v>
      </c>
      <c r="K367">
        <f t="shared" si="47"/>
        <v>1101.6000000000001</v>
      </c>
      <c r="M367">
        <v>0</v>
      </c>
      <c r="N367">
        <v>4.4000000000000004</v>
      </c>
      <c r="O367">
        <f t="shared" si="49"/>
        <v>-4.4000000000000004</v>
      </c>
      <c r="P367">
        <v>0</v>
      </c>
      <c r="Q367">
        <v>341</v>
      </c>
      <c r="R367">
        <f t="shared" si="55"/>
        <v>0.41075949367088604</v>
      </c>
      <c r="S367" s="9">
        <f t="shared" si="50"/>
        <v>1.8073417721518987</v>
      </c>
      <c r="T367" s="9">
        <f t="shared" si="51"/>
        <v>-1.8073417721518987</v>
      </c>
      <c r="U367" s="9">
        <f t="shared" si="56"/>
        <v>13.680842035670802</v>
      </c>
      <c r="W367">
        <v>2047.9</v>
      </c>
      <c r="Y367">
        <f t="shared" si="54"/>
        <v>337205.10000000009</v>
      </c>
      <c r="Z367" s="33">
        <f t="shared" si="48"/>
        <v>102594.8</v>
      </c>
      <c r="AA367">
        <v>14.975497350372477</v>
      </c>
    </row>
    <row r="368" spans="1:27" x14ac:dyDescent="0.25">
      <c r="A368">
        <v>5240</v>
      </c>
      <c r="B368">
        <v>23690</v>
      </c>
      <c r="C368" s="5">
        <v>42946</v>
      </c>
      <c r="G368">
        <v>20.100000000000001</v>
      </c>
      <c r="H368">
        <v>18.5</v>
      </c>
      <c r="I368">
        <v>22.6</v>
      </c>
      <c r="J368">
        <f t="shared" si="52"/>
        <v>3825.3000000000015</v>
      </c>
      <c r="K368">
        <f t="shared" si="47"/>
        <v>1121.7</v>
      </c>
      <c r="M368">
        <v>0</v>
      </c>
      <c r="N368">
        <v>4.3</v>
      </c>
      <c r="O368">
        <f t="shared" si="49"/>
        <v>-4.3</v>
      </c>
      <c r="P368">
        <v>0</v>
      </c>
      <c r="Q368">
        <v>342</v>
      </c>
      <c r="R368">
        <f t="shared" si="55"/>
        <v>0.40063291139240509</v>
      </c>
      <c r="S368" s="9">
        <f t="shared" si="50"/>
        <v>1.7227215189873417</v>
      </c>
      <c r="T368" s="9">
        <f t="shared" si="51"/>
        <v>-1.7227215189873417</v>
      </c>
      <c r="U368" s="9">
        <f t="shared" si="56"/>
        <v>11.95812051668346</v>
      </c>
      <c r="W368">
        <v>1626.1</v>
      </c>
      <c r="Y368">
        <f t="shared" si="54"/>
        <v>338831.20000000007</v>
      </c>
      <c r="Z368" s="33">
        <f t="shared" si="48"/>
        <v>104220.90000000001</v>
      </c>
      <c r="AA368">
        <v>14.931042552277784</v>
      </c>
    </row>
    <row r="369" spans="1:27" x14ac:dyDescent="0.25">
      <c r="A369">
        <v>5240</v>
      </c>
      <c r="B369">
        <v>23690</v>
      </c>
      <c r="C369" s="5">
        <v>42947</v>
      </c>
      <c r="G369">
        <v>18.3</v>
      </c>
      <c r="H369">
        <v>14.2</v>
      </c>
      <c r="I369">
        <v>21.9</v>
      </c>
      <c r="J369">
        <f t="shared" si="52"/>
        <v>3843.6000000000017</v>
      </c>
      <c r="K369">
        <f t="shared" si="47"/>
        <v>1140</v>
      </c>
      <c r="M369">
        <v>2.2000000000000002</v>
      </c>
      <c r="N369">
        <v>2.6</v>
      </c>
      <c r="O369">
        <f t="shared" si="49"/>
        <v>-0.39999999999999991</v>
      </c>
      <c r="P369">
        <v>0</v>
      </c>
      <c r="Q369">
        <v>343</v>
      </c>
      <c r="R369">
        <f t="shared" si="55"/>
        <v>0.39050632911392402</v>
      </c>
      <c r="S369" s="9">
        <f t="shared" si="50"/>
        <v>1.0153164556962024</v>
      </c>
      <c r="T369" s="9">
        <f t="shared" si="51"/>
        <v>1.1846835443037977</v>
      </c>
      <c r="U369" s="9">
        <f t="shared" si="56"/>
        <v>13.142804060987258</v>
      </c>
      <c r="W369">
        <v>1506.4</v>
      </c>
      <c r="Y369">
        <f t="shared" si="54"/>
        <v>340337.60000000009</v>
      </c>
      <c r="Z369" s="33">
        <f t="shared" si="48"/>
        <v>105727.3</v>
      </c>
      <c r="AA369">
        <v>14.8858441097282</v>
      </c>
    </row>
    <row r="370" spans="1:27" x14ac:dyDescent="0.25">
      <c r="A370">
        <v>5240</v>
      </c>
      <c r="B370">
        <v>23690</v>
      </c>
      <c r="C370" s="5">
        <v>42948</v>
      </c>
      <c r="G370">
        <v>19.2</v>
      </c>
      <c r="H370">
        <v>14.5</v>
      </c>
      <c r="I370">
        <v>25</v>
      </c>
      <c r="J370">
        <f t="shared" si="52"/>
        <v>3862.8000000000015</v>
      </c>
      <c r="K370">
        <f t="shared" si="47"/>
        <v>1159.2</v>
      </c>
      <c r="M370">
        <v>0</v>
      </c>
      <c r="N370">
        <v>3.9</v>
      </c>
      <c r="O370">
        <f t="shared" si="49"/>
        <v>-3.9</v>
      </c>
      <c r="P370">
        <v>0</v>
      </c>
      <c r="Q370">
        <v>344</v>
      </c>
      <c r="R370">
        <f t="shared" si="55"/>
        <v>0.38037974683544296</v>
      </c>
      <c r="S370" s="9">
        <f t="shared" si="50"/>
        <v>1.4834810126582274</v>
      </c>
      <c r="T370" s="9">
        <f t="shared" si="51"/>
        <v>-1.4834810126582274</v>
      </c>
      <c r="U370" s="9">
        <f t="shared" si="56"/>
        <v>11.65932304832903</v>
      </c>
      <c r="W370">
        <v>1820.1</v>
      </c>
      <c r="Y370">
        <f t="shared" si="54"/>
        <v>342157.70000000007</v>
      </c>
      <c r="Z370" s="33">
        <f t="shared" si="48"/>
        <v>107547.40000000001</v>
      </c>
      <c r="AA370">
        <v>14.839925187567264</v>
      </c>
    </row>
    <row r="371" spans="1:27" x14ac:dyDescent="0.25">
      <c r="A371">
        <v>5240</v>
      </c>
      <c r="B371">
        <v>23690</v>
      </c>
      <c r="C371" s="5">
        <v>42949</v>
      </c>
      <c r="G371">
        <v>21.4</v>
      </c>
      <c r="H371">
        <v>14.3</v>
      </c>
      <c r="I371">
        <v>27.1</v>
      </c>
      <c r="J371">
        <f t="shared" si="52"/>
        <v>3884.2000000000016</v>
      </c>
      <c r="K371">
        <f t="shared" si="47"/>
        <v>1180.6000000000001</v>
      </c>
      <c r="M371">
        <v>0.1</v>
      </c>
      <c r="N371">
        <v>2.8</v>
      </c>
      <c r="O371">
        <f t="shared" si="49"/>
        <v>-2.6999999999999997</v>
      </c>
      <c r="P371">
        <v>0</v>
      </c>
      <c r="Q371">
        <v>345</v>
      </c>
      <c r="R371">
        <f t="shared" si="55"/>
        <v>0.370253164556962</v>
      </c>
      <c r="S371" s="9">
        <f t="shared" si="50"/>
        <v>1.0367088607594936</v>
      </c>
      <c r="T371" s="9">
        <f t="shared" si="51"/>
        <v>-0.93670886075949367</v>
      </c>
      <c r="U371" s="9">
        <f t="shared" si="56"/>
        <v>10.722614187569537</v>
      </c>
      <c r="W371">
        <v>1110</v>
      </c>
      <c r="Y371">
        <f t="shared" si="54"/>
        <v>343267.70000000007</v>
      </c>
      <c r="Z371" s="33">
        <f t="shared" si="48"/>
        <v>108657.40000000001</v>
      </c>
      <c r="AA371">
        <v>14.7933086829396</v>
      </c>
    </row>
    <row r="372" spans="1:27" x14ac:dyDescent="0.25">
      <c r="A372">
        <v>5240</v>
      </c>
      <c r="B372">
        <v>23690</v>
      </c>
      <c r="C372" s="5">
        <v>42950</v>
      </c>
      <c r="G372">
        <v>21.5</v>
      </c>
      <c r="H372">
        <v>18.7</v>
      </c>
      <c r="I372">
        <v>24.7</v>
      </c>
      <c r="J372">
        <f t="shared" si="52"/>
        <v>3905.7000000000016</v>
      </c>
      <c r="K372">
        <f t="shared" si="47"/>
        <v>1202.1000000000001</v>
      </c>
      <c r="M372">
        <v>0.1</v>
      </c>
      <c r="N372">
        <v>3.9</v>
      </c>
      <c r="O372">
        <f t="shared" si="49"/>
        <v>-3.8</v>
      </c>
      <c r="P372">
        <v>0</v>
      </c>
      <c r="Q372">
        <v>346</v>
      </c>
      <c r="R372">
        <f t="shared" si="55"/>
        <v>0.36012658227848093</v>
      </c>
      <c r="S372" s="9">
        <f t="shared" si="50"/>
        <v>1.4044936708860756</v>
      </c>
      <c r="T372" s="9">
        <f t="shared" si="51"/>
        <v>-1.3044936708860755</v>
      </c>
      <c r="U372" s="9">
        <f t="shared" si="56"/>
        <v>9.4181205166834623</v>
      </c>
      <c r="W372">
        <v>1100.4000000000001</v>
      </c>
      <c r="Y372">
        <f t="shared" si="54"/>
        <v>344368.10000000009</v>
      </c>
      <c r="Z372" s="33">
        <f t="shared" si="48"/>
        <v>109757.8</v>
      </c>
      <c r="AA372">
        <v>14.74601720171851</v>
      </c>
    </row>
    <row r="373" spans="1:27" x14ac:dyDescent="0.25">
      <c r="A373">
        <v>5240</v>
      </c>
      <c r="B373">
        <v>23690</v>
      </c>
      <c r="C373" s="5">
        <v>42951</v>
      </c>
      <c r="G373">
        <v>20.399999999999999</v>
      </c>
      <c r="H373">
        <v>16.8</v>
      </c>
      <c r="I373">
        <v>23.9</v>
      </c>
      <c r="J373">
        <f t="shared" si="52"/>
        <v>3926.1000000000017</v>
      </c>
      <c r="K373">
        <f t="shared" si="47"/>
        <v>1222.5000000000002</v>
      </c>
      <c r="M373">
        <v>0.1</v>
      </c>
      <c r="N373">
        <v>2.5</v>
      </c>
      <c r="O373">
        <f t="shared" si="49"/>
        <v>-2.4</v>
      </c>
      <c r="P373">
        <v>0</v>
      </c>
      <c r="Q373">
        <v>347</v>
      </c>
      <c r="R373">
        <f t="shared" si="55"/>
        <v>0.35</v>
      </c>
      <c r="S373" s="9">
        <f t="shared" si="50"/>
        <v>0.875</v>
      </c>
      <c r="T373" s="9">
        <f t="shared" si="51"/>
        <v>-0.77500000000000002</v>
      </c>
      <c r="U373" s="9">
        <f t="shared" si="56"/>
        <v>8.6431205166834619</v>
      </c>
      <c r="W373">
        <v>857.4</v>
      </c>
      <c r="Y373">
        <f t="shared" si="54"/>
        <v>345225.50000000012</v>
      </c>
      <c r="Z373" s="33">
        <f t="shared" si="48"/>
        <v>110615.2</v>
      </c>
      <c r="AA373">
        <v>14.698073037029664</v>
      </c>
    </row>
    <row r="374" spans="1:27" s="7" customFormat="1" x14ac:dyDescent="0.25">
      <c r="A374" s="53" t="s">
        <v>32</v>
      </c>
      <c r="B374" s="53"/>
      <c r="C374" s="53"/>
      <c r="D374" s="53"/>
      <c r="E374" s="53"/>
      <c r="F374" s="53"/>
    </row>
    <row r="375" spans="1:27" x14ac:dyDescent="0.25">
      <c r="A375">
        <v>5240</v>
      </c>
      <c r="B375">
        <v>23690</v>
      </c>
      <c r="C375" s="5">
        <v>42952</v>
      </c>
      <c r="G375">
        <v>18.5</v>
      </c>
      <c r="H375">
        <v>15.3</v>
      </c>
      <c r="I375">
        <v>22.1</v>
      </c>
      <c r="M375">
        <v>0.1</v>
      </c>
      <c r="N375">
        <v>2.9</v>
      </c>
      <c r="W375">
        <v>1294.8</v>
      </c>
    </row>
    <row r="376" spans="1:27" x14ac:dyDescent="0.25">
      <c r="A376">
        <v>5240</v>
      </c>
      <c r="B376">
        <v>23690</v>
      </c>
      <c r="C376" s="5">
        <v>42953</v>
      </c>
      <c r="G376">
        <v>17</v>
      </c>
      <c r="H376">
        <v>11.2</v>
      </c>
      <c r="I376">
        <v>23</v>
      </c>
      <c r="M376">
        <v>0</v>
      </c>
      <c r="N376">
        <v>4.3</v>
      </c>
      <c r="W376">
        <v>2271.6</v>
      </c>
    </row>
    <row r="377" spans="1:27" x14ac:dyDescent="0.25">
      <c r="A377">
        <v>5240</v>
      </c>
      <c r="B377">
        <v>23690</v>
      </c>
      <c r="C377" s="5">
        <v>42954</v>
      </c>
      <c r="G377">
        <v>19.3</v>
      </c>
      <c r="H377">
        <v>12.5</v>
      </c>
      <c r="I377">
        <v>25.1</v>
      </c>
      <c r="M377">
        <v>0.5</v>
      </c>
      <c r="N377">
        <v>4.4000000000000004</v>
      </c>
      <c r="W377">
        <v>2164.8000000000002</v>
      </c>
    </row>
    <row r="378" spans="1:27" x14ac:dyDescent="0.25">
      <c r="A378">
        <v>5240</v>
      </c>
      <c r="B378">
        <v>23690</v>
      </c>
      <c r="C378" s="5">
        <v>42955</v>
      </c>
      <c r="G378">
        <v>15.8</v>
      </c>
      <c r="H378">
        <v>14.1</v>
      </c>
      <c r="I378">
        <v>17.399999999999999</v>
      </c>
      <c r="M378">
        <v>2.5</v>
      </c>
      <c r="N378">
        <v>0.9</v>
      </c>
      <c r="W378">
        <v>357.9</v>
      </c>
    </row>
    <row r="379" spans="1:27" x14ac:dyDescent="0.25">
      <c r="A379">
        <v>5240</v>
      </c>
      <c r="B379">
        <v>23690</v>
      </c>
      <c r="C379" s="5">
        <v>42956</v>
      </c>
      <c r="G379">
        <v>12.9</v>
      </c>
      <c r="H379">
        <v>10.9</v>
      </c>
      <c r="I379">
        <v>14.4</v>
      </c>
      <c r="M379">
        <v>13.4</v>
      </c>
      <c r="N379">
        <v>0.9</v>
      </c>
      <c r="W379">
        <v>595.1</v>
      </c>
    </row>
    <row r="380" spans="1:27" x14ac:dyDescent="0.25">
      <c r="A380">
        <v>5240</v>
      </c>
      <c r="B380">
        <v>23690</v>
      </c>
      <c r="C380" s="5">
        <v>42957</v>
      </c>
      <c r="G380">
        <v>14.6</v>
      </c>
      <c r="H380">
        <v>12.1</v>
      </c>
      <c r="I380">
        <v>17.7</v>
      </c>
      <c r="M380">
        <v>5.2</v>
      </c>
      <c r="N380">
        <v>1.3</v>
      </c>
      <c r="W380">
        <v>861.4</v>
      </c>
    </row>
    <row r="381" spans="1:27" x14ac:dyDescent="0.25">
      <c r="A381">
        <v>5240</v>
      </c>
      <c r="B381">
        <v>23690</v>
      </c>
      <c r="C381" s="5">
        <v>42958</v>
      </c>
      <c r="G381">
        <v>16</v>
      </c>
      <c r="H381">
        <v>13</v>
      </c>
      <c r="I381">
        <v>19.7</v>
      </c>
      <c r="M381">
        <v>0</v>
      </c>
      <c r="N381">
        <v>2.5</v>
      </c>
      <c r="W381">
        <v>1372.7</v>
      </c>
    </row>
    <row r="382" spans="1:27" x14ac:dyDescent="0.25">
      <c r="A382">
        <v>5240</v>
      </c>
      <c r="B382">
        <v>23690</v>
      </c>
      <c r="C382" s="5">
        <v>42959</v>
      </c>
      <c r="G382">
        <v>16.2</v>
      </c>
      <c r="H382">
        <v>13.1</v>
      </c>
      <c r="I382">
        <v>18.399999999999999</v>
      </c>
      <c r="M382">
        <v>1.9</v>
      </c>
      <c r="N382">
        <v>1.1000000000000001</v>
      </c>
      <c r="W382">
        <v>541.79999999999995</v>
      </c>
    </row>
    <row r="383" spans="1:27" x14ac:dyDescent="0.25">
      <c r="A383">
        <v>5240</v>
      </c>
      <c r="B383">
        <v>23690</v>
      </c>
      <c r="C383" s="5">
        <v>42960</v>
      </c>
      <c r="G383">
        <v>16.2</v>
      </c>
      <c r="H383">
        <v>11.9</v>
      </c>
      <c r="I383">
        <v>20.100000000000001</v>
      </c>
      <c r="M383">
        <v>0</v>
      </c>
      <c r="N383">
        <v>2.6</v>
      </c>
      <c r="W383">
        <v>1460.1</v>
      </c>
    </row>
    <row r="384" spans="1:27" x14ac:dyDescent="0.25">
      <c r="A384">
        <v>5240</v>
      </c>
      <c r="B384">
        <v>23690</v>
      </c>
      <c r="C384" s="5">
        <v>42961</v>
      </c>
      <c r="G384">
        <v>19.399999999999999</v>
      </c>
      <c r="H384">
        <v>11.1</v>
      </c>
      <c r="I384">
        <v>25.9</v>
      </c>
      <c r="M384">
        <v>0</v>
      </c>
      <c r="N384">
        <v>2.5</v>
      </c>
      <c r="W384">
        <v>1245.5999999999999</v>
      </c>
    </row>
    <row r="385" spans="1:23" x14ac:dyDescent="0.25">
      <c r="A385">
        <v>5240</v>
      </c>
      <c r="B385">
        <v>23690</v>
      </c>
      <c r="C385" s="5">
        <v>42962</v>
      </c>
      <c r="G385">
        <v>21.5</v>
      </c>
      <c r="H385">
        <v>18.8</v>
      </c>
      <c r="I385">
        <v>25.4</v>
      </c>
      <c r="M385">
        <v>5.5</v>
      </c>
      <c r="N385">
        <v>2.5</v>
      </c>
      <c r="W385">
        <v>1261.8</v>
      </c>
    </row>
    <row r="386" spans="1:23" x14ac:dyDescent="0.25">
      <c r="A386">
        <v>5240</v>
      </c>
      <c r="B386">
        <v>23690</v>
      </c>
      <c r="C386" s="5">
        <v>42963</v>
      </c>
      <c r="G386">
        <v>19.100000000000001</v>
      </c>
      <c r="H386">
        <v>14.1</v>
      </c>
      <c r="I386">
        <v>23.5</v>
      </c>
      <c r="M386">
        <v>0.3</v>
      </c>
      <c r="N386">
        <v>3</v>
      </c>
      <c r="W386">
        <v>1631.3</v>
      </c>
    </row>
    <row r="387" spans="1:23" x14ac:dyDescent="0.25">
      <c r="A387">
        <v>5240</v>
      </c>
      <c r="B387">
        <v>23690</v>
      </c>
      <c r="C387" s="5">
        <v>42964</v>
      </c>
      <c r="G387">
        <v>19.3</v>
      </c>
      <c r="H387">
        <v>16</v>
      </c>
      <c r="I387">
        <v>22.4</v>
      </c>
      <c r="M387">
        <v>18.399999999999999</v>
      </c>
      <c r="N387">
        <v>1.2</v>
      </c>
      <c r="W387">
        <v>504</v>
      </c>
    </row>
    <row r="388" spans="1:23" x14ac:dyDescent="0.25">
      <c r="A388">
        <v>5240</v>
      </c>
      <c r="B388">
        <v>23690</v>
      </c>
      <c r="C388" s="5">
        <v>42965</v>
      </c>
      <c r="G388">
        <v>17.5</v>
      </c>
      <c r="H388">
        <v>17.2</v>
      </c>
      <c r="I388">
        <v>19.100000000000001</v>
      </c>
      <c r="M388">
        <v>11.3</v>
      </c>
      <c r="N388">
        <v>1.3</v>
      </c>
      <c r="W388">
        <v>578.1</v>
      </c>
    </row>
    <row r="389" spans="1:23" x14ac:dyDescent="0.25">
      <c r="A389">
        <v>5240</v>
      </c>
      <c r="B389">
        <v>23690</v>
      </c>
      <c r="C389" s="5">
        <v>42966</v>
      </c>
      <c r="G389">
        <v>15.2</v>
      </c>
      <c r="H389">
        <v>11.3</v>
      </c>
      <c r="I389">
        <v>19.3</v>
      </c>
      <c r="M389">
        <v>0</v>
      </c>
      <c r="N389">
        <v>2.6</v>
      </c>
      <c r="W389">
        <v>1587.7</v>
      </c>
    </row>
    <row r="390" spans="1:23" x14ac:dyDescent="0.25">
      <c r="A390">
        <v>5240</v>
      </c>
      <c r="B390">
        <v>23690</v>
      </c>
      <c r="C390" s="5">
        <v>42967</v>
      </c>
      <c r="G390">
        <v>15.9</v>
      </c>
      <c r="H390">
        <v>9.6</v>
      </c>
      <c r="I390">
        <v>19.899999999999999</v>
      </c>
      <c r="M390">
        <v>0</v>
      </c>
      <c r="N390">
        <v>2</v>
      </c>
      <c r="W390">
        <v>1057.7</v>
      </c>
    </row>
    <row r="391" spans="1:23" x14ac:dyDescent="0.25">
      <c r="A391">
        <v>5240</v>
      </c>
      <c r="B391">
        <v>23690</v>
      </c>
      <c r="C391" s="5">
        <v>42968</v>
      </c>
      <c r="G391">
        <v>20.3</v>
      </c>
      <c r="H391">
        <v>16.600000000000001</v>
      </c>
      <c r="I391">
        <v>23.8</v>
      </c>
      <c r="M391">
        <v>0</v>
      </c>
      <c r="N391">
        <v>1.8</v>
      </c>
      <c r="W391">
        <v>828.7</v>
      </c>
    </row>
    <row r="392" spans="1:23" x14ac:dyDescent="0.25">
      <c r="A392">
        <v>5240</v>
      </c>
      <c r="B392">
        <v>23690</v>
      </c>
      <c r="C392" s="5">
        <v>42969</v>
      </c>
      <c r="G392">
        <v>21.8</v>
      </c>
      <c r="H392">
        <v>16.2</v>
      </c>
      <c r="I392">
        <v>26.7</v>
      </c>
      <c r="M392">
        <v>0.2</v>
      </c>
      <c r="N392">
        <v>3.8</v>
      </c>
      <c r="W392">
        <v>1837.1</v>
      </c>
    </row>
    <row r="393" spans="1:23" x14ac:dyDescent="0.25">
      <c r="A393">
        <v>5240</v>
      </c>
      <c r="B393">
        <v>23690</v>
      </c>
      <c r="C393" s="5">
        <v>42970</v>
      </c>
      <c r="G393">
        <v>20.100000000000001</v>
      </c>
      <c r="H393">
        <v>16.7</v>
      </c>
      <c r="I393">
        <v>24.6</v>
      </c>
      <c r="M393">
        <v>0.1</v>
      </c>
      <c r="N393">
        <v>2.2000000000000002</v>
      </c>
      <c r="W393">
        <v>1047.3</v>
      </c>
    </row>
    <row r="394" spans="1:23" x14ac:dyDescent="0.25">
      <c r="A394">
        <v>5240</v>
      </c>
      <c r="B394">
        <v>23690</v>
      </c>
      <c r="C394" s="5">
        <v>42971</v>
      </c>
      <c r="G394">
        <v>18.899999999999999</v>
      </c>
      <c r="H394">
        <v>13.6</v>
      </c>
      <c r="I394">
        <v>22.7</v>
      </c>
      <c r="M394">
        <v>0.8</v>
      </c>
      <c r="N394">
        <v>1.6</v>
      </c>
      <c r="W394">
        <v>825.4</v>
      </c>
    </row>
    <row r="395" spans="1:23" x14ac:dyDescent="0.25">
      <c r="A395">
        <v>5240</v>
      </c>
      <c r="B395">
        <v>23690</v>
      </c>
      <c r="C395" s="5">
        <v>42972</v>
      </c>
      <c r="G395">
        <v>19</v>
      </c>
      <c r="H395">
        <v>16.399999999999999</v>
      </c>
      <c r="I395">
        <v>22.5</v>
      </c>
      <c r="M395">
        <v>7.1</v>
      </c>
      <c r="N395">
        <v>1.6</v>
      </c>
      <c r="W395">
        <v>820.1</v>
      </c>
    </row>
    <row r="396" spans="1:23" x14ac:dyDescent="0.25">
      <c r="A396">
        <v>5240</v>
      </c>
      <c r="B396">
        <v>23690</v>
      </c>
      <c r="C396" s="5">
        <v>42973</v>
      </c>
      <c r="G396">
        <v>21.3</v>
      </c>
      <c r="H396">
        <v>16.399999999999999</v>
      </c>
      <c r="I396">
        <v>26.4</v>
      </c>
      <c r="M396">
        <v>7.9</v>
      </c>
      <c r="N396">
        <v>1.9</v>
      </c>
      <c r="W396">
        <v>863.2</v>
      </c>
    </row>
    <row r="397" spans="1:23" x14ac:dyDescent="0.25">
      <c r="A397">
        <v>5240</v>
      </c>
      <c r="B397">
        <v>23690</v>
      </c>
      <c r="C397" s="5">
        <v>42974</v>
      </c>
      <c r="G397">
        <v>22.2</v>
      </c>
      <c r="H397">
        <v>17.7</v>
      </c>
      <c r="I397">
        <v>26.3</v>
      </c>
      <c r="M397">
        <v>0.5</v>
      </c>
      <c r="N397">
        <v>3.4</v>
      </c>
      <c r="W397">
        <v>1707.6</v>
      </c>
    </row>
    <row r="398" spans="1:23" x14ac:dyDescent="0.25">
      <c r="A398">
        <v>5240</v>
      </c>
      <c r="B398">
        <v>23690</v>
      </c>
      <c r="C398" s="5">
        <v>42975</v>
      </c>
      <c r="G398">
        <v>22.8</v>
      </c>
      <c r="H398">
        <v>17</v>
      </c>
      <c r="I398">
        <v>27.9</v>
      </c>
      <c r="M398">
        <v>0.1</v>
      </c>
      <c r="N398">
        <v>2.7</v>
      </c>
      <c r="W398">
        <v>1271.3</v>
      </c>
    </row>
    <row r="399" spans="1:23" x14ac:dyDescent="0.25">
      <c r="A399">
        <v>5240</v>
      </c>
      <c r="B399">
        <v>23690</v>
      </c>
      <c r="C399" s="5">
        <v>42976</v>
      </c>
      <c r="G399">
        <v>24.9</v>
      </c>
      <c r="H399">
        <v>18.7</v>
      </c>
      <c r="I399">
        <v>30.6</v>
      </c>
      <c r="M399">
        <v>0</v>
      </c>
      <c r="N399">
        <v>4.2</v>
      </c>
      <c r="W399">
        <v>1857.8</v>
      </c>
    </row>
    <row r="400" spans="1:23" x14ac:dyDescent="0.25">
      <c r="A400">
        <v>5240</v>
      </c>
      <c r="B400">
        <v>23690</v>
      </c>
      <c r="C400" s="5">
        <v>42977</v>
      </c>
      <c r="G400">
        <v>16.8</v>
      </c>
      <c r="H400">
        <v>14.4</v>
      </c>
      <c r="I400">
        <v>19.600000000000001</v>
      </c>
      <c r="M400">
        <v>6.1</v>
      </c>
      <c r="N400">
        <v>0.6</v>
      </c>
      <c r="W400">
        <v>298.7</v>
      </c>
    </row>
    <row r="401" spans="1:23" x14ac:dyDescent="0.25">
      <c r="A401">
        <v>5240</v>
      </c>
      <c r="B401">
        <v>23690</v>
      </c>
      <c r="C401" s="5">
        <v>42978</v>
      </c>
      <c r="G401">
        <v>14.8</v>
      </c>
      <c r="H401">
        <v>10.9</v>
      </c>
      <c r="I401">
        <v>18.100000000000001</v>
      </c>
      <c r="M401">
        <v>0.5</v>
      </c>
      <c r="N401">
        <v>1.7</v>
      </c>
      <c r="W401">
        <v>1064.3</v>
      </c>
    </row>
  </sheetData>
  <mergeCells count="13">
    <mergeCell ref="A374:F374"/>
    <mergeCell ref="F27:F123"/>
    <mergeCell ref="F124:F186"/>
    <mergeCell ref="G1:L1"/>
    <mergeCell ref="M1:P1"/>
    <mergeCell ref="F187:F245"/>
    <mergeCell ref="F246:F266"/>
    <mergeCell ref="F267:F294"/>
    <mergeCell ref="F295:F311"/>
    <mergeCell ref="F312:F332"/>
    <mergeCell ref="Q1:U1"/>
    <mergeCell ref="W1:AB1"/>
    <mergeCell ref="A26:F26"/>
  </mergeCells>
  <conditionalFormatting sqref="O2">
    <cfRule type="cellIs" dxfId="47" priority="25" operator="lessThan">
      <formula>0</formula>
    </cfRule>
  </conditionalFormatting>
  <conditionalFormatting sqref="W1:W2">
    <cfRule type="cellIs" dxfId="46" priority="24" operator="lessThan">
      <formula>900</formula>
    </cfRule>
  </conditionalFormatting>
  <conditionalFormatting sqref="G27:I373">
    <cfRule type="cellIs" dxfId="45" priority="20" operator="greaterThanOrEqual">
      <formula>25</formula>
    </cfRule>
    <cfRule type="cellIs" priority="21" operator="greaterThanOrEqual">
      <formula>25</formula>
    </cfRule>
    <cfRule type="cellIs" dxfId="44" priority="22" operator="between">
      <formula>0</formula>
      <formula>5</formula>
    </cfRule>
    <cfRule type="cellIs" dxfId="43" priority="23" operator="lessThan">
      <formula>0</formula>
    </cfRule>
  </conditionalFormatting>
  <conditionalFormatting sqref="O3:O25 O27:O373">
    <cfRule type="cellIs" dxfId="42" priority="19" operator="lessThan">
      <formula>0</formula>
    </cfRule>
  </conditionalFormatting>
  <conditionalFormatting sqref="T27:T373">
    <cfRule type="cellIs" dxfId="41" priority="18" operator="lessThan">
      <formula>0</formula>
    </cfRule>
  </conditionalFormatting>
  <conditionalFormatting sqref="W27:W373">
    <cfRule type="cellIs" dxfId="40" priority="17" operator="lessThan">
      <formula>900</formula>
    </cfRule>
  </conditionalFormatting>
  <conditionalFormatting sqref="L28 L36 L40 L38">
    <cfRule type="cellIs" dxfId="39" priority="15" operator="lessThanOrEqual">
      <formula>0</formula>
    </cfRule>
    <cfRule type="cellIs" dxfId="38" priority="16" operator="lessThanOrEqual">
      <formula>5</formula>
    </cfRule>
  </conditionalFormatting>
  <conditionalFormatting sqref="L125 L133 L137 L135">
    <cfRule type="cellIs" dxfId="37" priority="13" operator="lessThanOrEqual">
      <formula>0</formula>
    </cfRule>
    <cfRule type="cellIs" dxfId="36" priority="14" operator="lessThanOrEqual">
      <formula>5</formula>
    </cfRule>
  </conditionalFormatting>
  <conditionalFormatting sqref="L188 L196 L200 L198">
    <cfRule type="cellIs" dxfId="35" priority="11" operator="lessThanOrEqual">
      <formula>0</formula>
    </cfRule>
    <cfRule type="cellIs" dxfId="34" priority="12" operator="lessThanOrEqual">
      <formula>5</formula>
    </cfRule>
  </conditionalFormatting>
  <conditionalFormatting sqref="L247 L259 L257 L255">
    <cfRule type="cellIs" dxfId="33" priority="9" operator="lessThanOrEqual">
      <formula>0</formula>
    </cfRule>
    <cfRule type="cellIs" dxfId="32" priority="10" operator="lessThanOrEqual">
      <formula>5</formula>
    </cfRule>
  </conditionalFormatting>
  <conditionalFormatting sqref="L268 L276 L278 L280">
    <cfRule type="cellIs" dxfId="31" priority="7" operator="lessThanOrEqual">
      <formula>0</formula>
    </cfRule>
    <cfRule type="cellIs" dxfId="30" priority="8" operator="lessThanOrEqual">
      <formula>5</formula>
    </cfRule>
  </conditionalFormatting>
  <conditionalFormatting sqref="L296 L306">
    <cfRule type="cellIs" dxfId="29" priority="5" operator="lessThanOrEqual">
      <formula>0</formula>
    </cfRule>
    <cfRule type="cellIs" dxfId="28" priority="6" operator="lessThanOrEqual">
      <formula>5</formula>
    </cfRule>
  </conditionalFormatting>
  <conditionalFormatting sqref="L313 L323">
    <cfRule type="cellIs" dxfId="27" priority="3" operator="lessThanOrEqual">
      <formula>0</formula>
    </cfRule>
    <cfRule type="cellIs" dxfId="26" priority="4" operator="lessThanOrEqual">
      <formula>5</formula>
    </cfRule>
  </conditionalFormatting>
  <conditionalFormatting sqref="U27:U373">
    <cfRule type="cellIs" dxfId="25" priority="1" operator="equal">
      <formula>0</formula>
    </cfRule>
    <cfRule type="cellIs" dxfId="24" priority="2" operator="lessThan">
      <formula>72.97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zoomScale="80" zoomScaleNormal="80" workbookViewId="0">
      <pane xSplit="6" ySplit="2" topLeftCell="I195" activePane="bottomRight" state="frozen"/>
      <selection pane="topRight" activeCell="G1" sqref="G1"/>
      <selection pane="bottomLeft" activeCell="A3" sqref="A3"/>
      <selection pane="bottomRight" activeCell="AD222" sqref="AD222"/>
    </sheetView>
  </sheetViews>
  <sheetFormatPr baseColWidth="10" defaultRowHeight="15" x14ac:dyDescent="0.25"/>
  <sheetData>
    <row r="1" spans="1:28" x14ac:dyDescent="0.25">
      <c r="G1" s="51" t="s">
        <v>9</v>
      </c>
      <c r="H1" s="51"/>
      <c r="I1" s="51"/>
      <c r="J1" s="51"/>
      <c r="K1" s="51"/>
      <c r="L1" s="51"/>
      <c r="M1" s="51" t="s">
        <v>10</v>
      </c>
      <c r="N1" s="51"/>
      <c r="O1" s="51"/>
      <c r="P1" s="51"/>
      <c r="Q1" s="51" t="s">
        <v>11</v>
      </c>
      <c r="R1" s="51"/>
      <c r="S1" s="51"/>
      <c r="T1" s="51"/>
      <c r="U1" s="51"/>
      <c r="W1" s="51" t="s">
        <v>12</v>
      </c>
      <c r="X1" s="51"/>
      <c r="Y1" s="51"/>
      <c r="Z1" s="51"/>
      <c r="AA1" s="51"/>
      <c r="AB1" s="51"/>
    </row>
    <row r="2" spans="1:28" x14ac:dyDescent="0.25">
      <c r="A2" s="1" t="s">
        <v>0</v>
      </c>
      <c r="B2" s="1" t="s">
        <v>1</v>
      </c>
      <c r="C2" s="1" t="s">
        <v>2</v>
      </c>
      <c r="D2" s="1" t="s">
        <v>13</v>
      </c>
      <c r="E2" s="1" t="s">
        <v>14</v>
      </c>
      <c r="F2" s="1" t="s">
        <v>15</v>
      </c>
      <c r="G2" s="2" t="s">
        <v>4</v>
      </c>
      <c r="H2" s="2" t="s">
        <v>7</v>
      </c>
      <c r="I2" s="2" t="s">
        <v>8</v>
      </c>
      <c r="J2" s="2" t="s">
        <v>16</v>
      </c>
      <c r="K2" s="2" t="s">
        <v>17</v>
      </c>
      <c r="L2" s="3" t="s">
        <v>18</v>
      </c>
      <c r="M2" s="2" t="s">
        <v>3</v>
      </c>
      <c r="N2" s="2" t="s">
        <v>6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2" t="s">
        <v>5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26</v>
      </c>
    </row>
    <row r="3" spans="1:28" x14ac:dyDescent="0.25">
      <c r="A3">
        <v>5240</v>
      </c>
      <c r="B3">
        <v>23690</v>
      </c>
      <c r="C3" s="5">
        <v>42582</v>
      </c>
      <c r="G3">
        <v>19.100000000000001</v>
      </c>
      <c r="H3">
        <v>14.8</v>
      </c>
      <c r="I3">
        <v>23</v>
      </c>
      <c r="M3">
        <v>0</v>
      </c>
      <c r="N3">
        <v>3.2</v>
      </c>
      <c r="O3">
        <f>M3-N3</f>
        <v>-3.2</v>
      </c>
      <c r="P3">
        <v>0</v>
      </c>
      <c r="W3">
        <v>1371.1</v>
      </c>
    </row>
    <row r="4" spans="1:28" x14ac:dyDescent="0.25">
      <c r="A4">
        <v>5240</v>
      </c>
      <c r="B4">
        <v>23690</v>
      </c>
      <c r="C4" s="5">
        <v>42583</v>
      </c>
      <c r="G4">
        <v>18.3</v>
      </c>
      <c r="H4">
        <v>12.9</v>
      </c>
      <c r="I4">
        <v>22.3</v>
      </c>
      <c r="M4">
        <v>1</v>
      </c>
      <c r="N4">
        <v>4.3</v>
      </c>
      <c r="O4">
        <f t="shared" ref="O4:O25" si="0">M4-N4</f>
        <v>-3.3</v>
      </c>
      <c r="P4">
        <v>0</v>
      </c>
      <c r="W4">
        <v>2105.9</v>
      </c>
    </row>
    <row r="5" spans="1:28" x14ac:dyDescent="0.25">
      <c r="A5">
        <v>5240</v>
      </c>
      <c r="B5">
        <v>23690</v>
      </c>
      <c r="C5" s="5">
        <v>42584</v>
      </c>
      <c r="G5">
        <v>19.100000000000001</v>
      </c>
      <c r="H5">
        <v>15.9</v>
      </c>
      <c r="I5">
        <v>21</v>
      </c>
      <c r="M5">
        <v>0.8</v>
      </c>
      <c r="N5">
        <v>2</v>
      </c>
      <c r="O5">
        <f t="shared" si="0"/>
        <v>-1.2</v>
      </c>
      <c r="P5">
        <v>0</v>
      </c>
      <c r="W5">
        <v>831.7</v>
      </c>
    </row>
    <row r="6" spans="1:28" x14ac:dyDescent="0.25">
      <c r="A6">
        <v>5240</v>
      </c>
      <c r="B6">
        <v>23690</v>
      </c>
      <c r="C6" s="5">
        <v>42585</v>
      </c>
      <c r="G6">
        <v>20</v>
      </c>
      <c r="H6">
        <v>17.3</v>
      </c>
      <c r="I6">
        <v>24.1</v>
      </c>
      <c r="M6">
        <v>0.9</v>
      </c>
      <c r="N6">
        <v>3.9</v>
      </c>
      <c r="O6">
        <f t="shared" si="0"/>
        <v>-3</v>
      </c>
      <c r="P6">
        <v>0</v>
      </c>
      <c r="W6">
        <v>1658.5</v>
      </c>
    </row>
    <row r="7" spans="1:28" x14ac:dyDescent="0.25">
      <c r="A7">
        <v>5240</v>
      </c>
      <c r="B7">
        <v>23690</v>
      </c>
      <c r="C7" s="5">
        <v>42586</v>
      </c>
      <c r="G7">
        <v>17.100000000000001</v>
      </c>
      <c r="H7">
        <v>15.8</v>
      </c>
      <c r="I7">
        <v>19.2</v>
      </c>
      <c r="M7">
        <v>4.5</v>
      </c>
      <c r="N7">
        <v>2.4</v>
      </c>
      <c r="O7">
        <f t="shared" si="0"/>
        <v>2.1</v>
      </c>
      <c r="P7">
        <f>P6+O7</f>
        <v>2.1</v>
      </c>
      <c r="W7">
        <v>1503.5</v>
      </c>
    </row>
    <row r="8" spans="1:28" x14ac:dyDescent="0.25">
      <c r="A8">
        <v>5240</v>
      </c>
      <c r="B8">
        <v>23690</v>
      </c>
      <c r="C8" s="5">
        <v>42587</v>
      </c>
      <c r="G8">
        <v>17</v>
      </c>
      <c r="H8">
        <v>12.8</v>
      </c>
      <c r="I8">
        <v>21.2</v>
      </c>
      <c r="M8">
        <v>0</v>
      </c>
      <c r="N8">
        <v>3</v>
      </c>
      <c r="O8">
        <f t="shared" si="0"/>
        <v>-3</v>
      </c>
      <c r="P8">
        <v>0</v>
      </c>
      <c r="W8">
        <v>1577.9</v>
      </c>
    </row>
    <row r="9" spans="1:28" x14ac:dyDescent="0.25">
      <c r="A9">
        <v>5240</v>
      </c>
      <c r="B9">
        <v>23690</v>
      </c>
      <c r="C9" s="5">
        <v>42588</v>
      </c>
      <c r="G9">
        <v>18.2</v>
      </c>
      <c r="H9">
        <v>12.3</v>
      </c>
      <c r="I9">
        <v>24.8</v>
      </c>
      <c r="M9">
        <v>0</v>
      </c>
      <c r="N9">
        <v>3.6</v>
      </c>
      <c r="O9">
        <f t="shared" si="0"/>
        <v>-3.6</v>
      </c>
      <c r="P9">
        <v>0</v>
      </c>
      <c r="W9">
        <v>1804.5</v>
      </c>
    </row>
    <row r="10" spans="1:28" x14ac:dyDescent="0.25">
      <c r="A10">
        <v>5240</v>
      </c>
      <c r="B10">
        <v>23690</v>
      </c>
      <c r="C10" s="5">
        <v>42589</v>
      </c>
      <c r="G10">
        <v>21.2</v>
      </c>
      <c r="H10">
        <v>14.3</v>
      </c>
      <c r="I10">
        <v>27.6</v>
      </c>
      <c r="M10">
        <v>0</v>
      </c>
      <c r="N10">
        <v>4.9000000000000004</v>
      </c>
      <c r="O10">
        <f t="shared" si="0"/>
        <v>-4.9000000000000004</v>
      </c>
      <c r="P10">
        <v>0</v>
      </c>
      <c r="W10">
        <v>2359.5</v>
      </c>
    </row>
    <row r="11" spans="1:28" x14ac:dyDescent="0.25">
      <c r="A11">
        <v>5240</v>
      </c>
      <c r="B11">
        <v>23690</v>
      </c>
      <c r="C11" s="5">
        <v>42590</v>
      </c>
      <c r="G11">
        <v>18.2</v>
      </c>
      <c r="H11">
        <v>16.3</v>
      </c>
      <c r="I11">
        <v>20.8</v>
      </c>
      <c r="M11">
        <v>0</v>
      </c>
      <c r="N11">
        <v>2.2999999999999998</v>
      </c>
      <c r="O11">
        <f t="shared" si="0"/>
        <v>-2.2999999999999998</v>
      </c>
      <c r="P11">
        <v>0</v>
      </c>
      <c r="W11">
        <v>893</v>
      </c>
    </row>
    <row r="12" spans="1:28" x14ac:dyDescent="0.25">
      <c r="A12">
        <v>5240</v>
      </c>
      <c r="B12">
        <v>23690</v>
      </c>
      <c r="C12" s="5">
        <v>42591</v>
      </c>
      <c r="G12">
        <v>16.2</v>
      </c>
      <c r="H12">
        <v>12.7</v>
      </c>
      <c r="I12">
        <v>20</v>
      </c>
      <c r="M12">
        <v>0</v>
      </c>
      <c r="N12">
        <v>3.2</v>
      </c>
      <c r="O12">
        <f t="shared" si="0"/>
        <v>-3.2</v>
      </c>
      <c r="P12">
        <v>0</v>
      </c>
      <c r="W12">
        <v>1559.9</v>
      </c>
    </row>
    <row r="13" spans="1:28" x14ac:dyDescent="0.25">
      <c r="A13">
        <v>5240</v>
      </c>
      <c r="B13">
        <v>23690</v>
      </c>
      <c r="C13" s="5">
        <v>42592</v>
      </c>
      <c r="G13">
        <v>14</v>
      </c>
      <c r="H13">
        <v>10.8</v>
      </c>
      <c r="I13">
        <v>18.2</v>
      </c>
      <c r="M13">
        <v>0</v>
      </c>
      <c r="N13">
        <v>2.6</v>
      </c>
      <c r="O13">
        <f t="shared" si="0"/>
        <v>-2.6</v>
      </c>
      <c r="P13">
        <v>0</v>
      </c>
      <c r="W13">
        <v>1204.7</v>
      </c>
    </row>
    <row r="14" spans="1:28" x14ac:dyDescent="0.25">
      <c r="A14">
        <v>5240</v>
      </c>
      <c r="B14">
        <v>23690</v>
      </c>
      <c r="C14" s="5">
        <v>42593</v>
      </c>
      <c r="G14">
        <v>15.4</v>
      </c>
      <c r="H14">
        <v>8.8000000000000007</v>
      </c>
      <c r="I14">
        <v>21.6</v>
      </c>
      <c r="M14">
        <v>0</v>
      </c>
      <c r="N14">
        <v>2.5</v>
      </c>
      <c r="O14">
        <f t="shared" si="0"/>
        <v>-2.5</v>
      </c>
      <c r="P14">
        <v>0</v>
      </c>
      <c r="W14">
        <v>1147.9000000000001</v>
      </c>
    </row>
    <row r="15" spans="1:28" x14ac:dyDescent="0.25">
      <c r="A15">
        <v>5240</v>
      </c>
      <c r="B15">
        <v>23690</v>
      </c>
      <c r="C15" s="5">
        <v>42594</v>
      </c>
      <c r="G15">
        <v>19.600000000000001</v>
      </c>
      <c r="H15">
        <v>12.8</v>
      </c>
      <c r="I15">
        <v>26.4</v>
      </c>
      <c r="M15">
        <v>0</v>
      </c>
      <c r="N15">
        <v>5.3</v>
      </c>
      <c r="O15">
        <f t="shared" si="0"/>
        <v>-5.3</v>
      </c>
      <c r="P15">
        <v>0</v>
      </c>
      <c r="W15">
        <v>2701.2</v>
      </c>
    </row>
    <row r="16" spans="1:28" x14ac:dyDescent="0.25">
      <c r="A16">
        <v>5240</v>
      </c>
      <c r="B16">
        <v>23690</v>
      </c>
      <c r="C16" s="5">
        <v>42595</v>
      </c>
      <c r="G16">
        <v>20.7</v>
      </c>
      <c r="H16">
        <v>13.8</v>
      </c>
      <c r="I16">
        <v>27.8</v>
      </c>
      <c r="M16">
        <v>0</v>
      </c>
      <c r="N16">
        <v>4.7</v>
      </c>
      <c r="O16">
        <f t="shared" si="0"/>
        <v>-4.7</v>
      </c>
      <c r="P16">
        <v>0</v>
      </c>
      <c r="W16">
        <v>2017.5</v>
      </c>
    </row>
    <row r="17" spans="1:28" x14ac:dyDescent="0.25">
      <c r="A17">
        <v>5240</v>
      </c>
      <c r="B17">
        <v>23690</v>
      </c>
      <c r="C17" s="5">
        <v>42596</v>
      </c>
      <c r="G17">
        <v>20.2</v>
      </c>
      <c r="H17">
        <v>13.7</v>
      </c>
      <c r="I17">
        <v>26.8</v>
      </c>
      <c r="M17">
        <v>0</v>
      </c>
      <c r="N17">
        <v>4.5</v>
      </c>
      <c r="O17">
        <f t="shared" si="0"/>
        <v>-4.5</v>
      </c>
      <c r="P17">
        <v>0</v>
      </c>
      <c r="W17">
        <v>2154</v>
      </c>
    </row>
    <row r="18" spans="1:28" x14ac:dyDescent="0.25">
      <c r="A18">
        <v>5240</v>
      </c>
      <c r="B18">
        <v>23690</v>
      </c>
      <c r="C18" s="5">
        <v>42597</v>
      </c>
      <c r="G18">
        <v>20.7</v>
      </c>
      <c r="H18">
        <v>14.3</v>
      </c>
      <c r="I18">
        <v>26.6</v>
      </c>
      <c r="M18">
        <v>0</v>
      </c>
      <c r="N18">
        <v>5.7</v>
      </c>
      <c r="O18">
        <f t="shared" si="0"/>
        <v>-5.7</v>
      </c>
      <c r="P18">
        <v>0</v>
      </c>
      <c r="W18">
        <v>2666.5</v>
      </c>
    </row>
    <row r="19" spans="1:28" x14ac:dyDescent="0.25">
      <c r="A19">
        <v>5240</v>
      </c>
      <c r="B19">
        <v>23690</v>
      </c>
      <c r="C19" s="5">
        <v>42598</v>
      </c>
      <c r="G19">
        <v>22</v>
      </c>
      <c r="H19">
        <v>14.9</v>
      </c>
      <c r="I19">
        <v>28.4</v>
      </c>
      <c r="M19">
        <v>0</v>
      </c>
      <c r="N19">
        <v>5.2</v>
      </c>
      <c r="O19">
        <f t="shared" si="0"/>
        <v>-5.2</v>
      </c>
      <c r="P19">
        <v>0</v>
      </c>
      <c r="W19">
        <v>2478.8000000000002</v>
      </c>
    </row>
    <row r="20" spans="1:28" x14ac:dyDescent="0.25">
      <c r="A20">
        <v>5240</v>
      </c>
      <c r="B20">
        <v>23690</v>
      </c>
      <c r="C20" s="5">
        <v>42599</v>
      </c>
      <c r="G20">
        <v>22.9</v>
      </c>
      <c r="H20">
        <v>15.1</v>
      </c>
      <c r="I20">
        <v>29.3</v>
      </c>
      <c r="M20">
        <v>6.3</v>
      </c>
      <c r="N20">
        <v>4.9000000000000004</v>
      </c>
      <c r="O20">
        <f t="shared" si="0"/>
        <v>1.3999999999999995</v>
      </c>
      <c r="P20">
        <f t="shared" ref="P20:P22" si="1">P19+O20</f>
        <v>1.3999999999999995</v>
      </c>
      <c r="W20">
        <v>2262.9</v>
      </c>
    </row>
    <row r="21" spans="1:28" x14ac:dyDescent="0.25">
      <c r="A21">
        <v>5240</v>
      </c>
      <c r="B21">
        <v>23690</v>
      </c>
      <c r="C21" s="5">
        <v>42600</v>
      </c>
      <c r="G21">
        <v>20</v>
      </c>
      <c r="H21">
        <v>18.399999999999999</v>
      </c>
      <c r="I21">
        <v>21.3</v>
      </c>
      <c r="M21">
        <v>2</v>
      </c>
      <c r="N21">
        <v>1.1000000000000001</v>
      </c>
      <c r="O21">
        <f t="shared" si="0"/>
        <v>0.89999999999999991</v>
      </c>
      <c r="P21">
        <f t="shared" si="1"/>
        <v>2.2999999999999994</v>
      </c>
      <c r="W21">
        <v>473</v>
      </c>
    </row>
    <row r="22" spans="1:28" x14ac:dyDescent="0.25">
      <c r="A22">
        <v>5240</v>
      </c>
      <c r="B22">
        <v>23690</v>
      </c>
      <c r="C22" s="5">
        <v>42601</v>
      </c>
      <c r="G22">
        <v>17.100000000000001</v>
      </c>
      <c r="H22">
        <v>16.100000000000001</v>
      </c>
      <c r="I22">
        <v>18.899999999999999</v>
      </c>
      <c r="M22">
        <v>2</v>
      </c>
      <c r="N22">
        <v>1.4</v>
      </c>
      <c r="O22">
        <f t="shared" si="0"/>
        <v>0.60000000000000009</v>
      </c>
      <c r="P22">
        <f t="shared" si="1"/>
        <v>2.8999999999999995</v>
      </c>
      <c r="W22">
        <v>805.1</v>
      </c>
    </row>
    <row r="23" spans="1:28" x14ac:dyDescent="0.25">
      <c r="A23">
        <v>5240</v>
      </c>
      <c r="B23">
        <v>23690</v>
      </c>
      <c r="C23" s="5">
        <v>42602</v>
      </c>
      <c r="G23">
        <v>17.7</v>
      </c>
      <c r="H23">
        <v>13.5</v>
      </c>
      <c r="I23">
        <v>22.1</v>
      </c>
      <c r="M23">
        <v>0.1</v>
      </c>
      <c r="N23">
        <v>3.8</v>
      </c>
      <c r="O23">
        <f t="shared" si="0"/>
        <v>-3.6999999999999997</v>
      </c>
      <c r="P23">
        <v>0</v>
      </c>
      <c r="W23">
        <v>1785.5</v>
      </c>
    </row>
    <row r="24" spans="1:28" x14ac:dyDescent="0.25">
      <c r="A24">
        <v>5240</v>
      </c>
      <c r="B24">
        <v>23690</v>
      </c>
      <c r="C24" s="5">
        <v>42603</v>
      </c>
      <c r="G24">
        <v>16.7</v>
      </c>
      <c r="H24">
        <v>12.1</v>
      </c>
      <c r="I24">
        <v>20.9</v>
      </c>
      <c r="M24">
        <v>0</v>
      </c>
      <c r="N24">
        <v>2.6</v>
      </c>
      <c r="O24">
        <f t="shared" si="0"/>
        <v>-2.6</v>
      </c>
      <c r="P24">
        <v>0</v>
      </c>
      <c r="V24">
        <v>218.9</v>
      </c>
      <c r="W24">
        <v>976.7</v>
      </c>
    </row>
    <row r="25" spans="1:28" x14ac:dyDescent="0.25">
      <c r="A25">
        <v>5240</v>
      </c>
      <c r="B25">
        <v>23690</v>
      </c>
      <c r="C25" s="5">
        <v>42604</v>
      </c>
      <c r="G25">
        <v>20.399999999999999</v>
      </c>
      <c r="H25">
        <v>13.2</v>
      </c>
      <c r="I25">
        <v>26.9</v>
      </c>
      <c r="M25">
        <v>0</v>
      </c>
      <c r="N25">
        <v>4.9000000000000004</v>
      </c>
      <c r="O25">
        <f t="shared" si="0"/>
        <v>-4.9000000000000004</v>
      </c>
      <c r="P25">
        <v>0</v>
      </c>
      <c r="W25">
        <v>2404.6999999999998</v>
      </c>
    </row>
    <row r="26" spans="1:28" s="6" customFormat="1" x14ac:dyDescent="0.25">
      <c r="A26" s="52" t="s">
        <v>31</v>
      </c>
      <c r="B26" s="52"/>
      <c r="C26" s="52"/>
      <c r="D26" s="52"/>
      <c r="E26" s="52"/>
      <c r="F26" s="52"/>
    </row>
    <row r="27" spans="1:28" x14ac:dyDescent="0.25">
      <c r="A27">
        <v>5240</v>
      </c>
      <c r="B27">
        <v>23690</v>
      </c>
      <c r="C27" s="5">
        <v>42605</v>
      </c>
      <c r="F27" s="54" t="s">
        <v>52</v>
      </c>
      <c r="G27">
        <v>23.9</v>
      </c>
      <c r="H27">
        <v>16.2</v>
      </c>
      <c r="I27">
        <v>31.2</v>
      </c>
      <c r="J27">
        <f>G27</f>
        <v>23.9</v>
      </c>
      <c r="L27" s="10" t="s">
        <v>37</v>
      </c>
      <c r="M27">
        <v>0</v>
      </c>
      <c r="N27">
        <v>6.3</v>
      </c>
      <c r="O27">
        <f>M27-N27</f>
        <v>-6.3</v>
      </c>
      <c r="P27">
        <v>0</v>
      </c>
      <c r="Q27">
        <v>1</v>
      </c>
      <c r="R27">
        <v>0.35</v>
      </c>
      <c r="S27" s="9">
        <f>R27*N27</f>
        <v>2.2049999999999996</v>
      </c>
      <c r="T27" s="9">
        <f>M27-S27</f>
        <v>-2.2049999999999996</v>
      </c>
      <c r="U27" s="9">
        <v>0</v>
      </c>
      <c r="V27" s="13" t="s">
        <v>44</v>
      </c>
      <c r="W27">
        <v>2485.4</v>
      </c>
      <c r="Y27">
        <f>W27</f>
        <v>2485.4</v>
      </c>
      <c r="AA27">
        <v>13.690020321525868</v>
      </c>
      <c r="AB27" s="13" t="s">
        <v>49</v>
      </c>
    </row>
    <row r="28" spans="1:28" x14ac:dyDescent="0.25">
      <c r="A28">
        <v>5240</v>
      </c>
      <c r="B28">
        <v>23690</v>
      </c>
      <c r="C28" s="5">
        <v>42606</v>
      </c>
      <c r="F28" s="54"/>
      <c r="G28">
        <v>26.5</v>
      </c>
      <c r="H28">
        <v>18</v>
      </c>
      <c r="I28">
        <v>34.299999999999997</v>
      </c>
      <c r="J28">
        <f>J27+G28</f>
        <v>50.4</v>
      </c>
      <c r="L28" s="11">
        <v>1255.3</v>
      </c>
      <c r="M28">
        <v>0</v>
      </c>
      <c r="N28">
        <v>6.2</v>
      </c>
      <c r="O28">
        <f t="shared" ref="O28:O91" si="2">M28-N28</f>
        <v>-6.2</v>
      </c>
      <c r="P28">
        <v>0</v>
      </c>
      <c r="Q28">
        <v>2</v>
      </c>
      <c r="R28">
        <v>0.35</v>
      </c>
      <c r="S28" s="9">
        <f t="shared" ref="S28:S91" si="3">R28*N28</f>
        <v>2.17</v>
      </c>
      <c r="T28" s="9">
        <f t="shared" ref="T28:T91" si="4">M28-S28</f>
        <v>-2.17</v>
      </c>
      <c r="U28" s="9">
        <v>0</v>
      </c>
      <c r="V28">
        <v>17</v>
      </c>
      <c r="W28">
        <v>2476.1</v>
      </c>
      <c r="Y28">
        <f>Y27+W28</f>
        <v>4961.5</v>
      </c>
      <c r="AA28">
        <v>13.633111719183876</v>
      </c>
      <c r="AB28">
        <v>77049.399999999994</v>
      </c>
    </row>
    <row r="29" spans="1:28" x14ac:dyDescent="0.25">
      <c r="A29">
        <v>5240</v>
      </c>
      <c r="B29">
        <v>23690</v>
      </c>
      <c r="C29" s="5">
        <v>42607</v>
      </c>
      <c r="F29" s="54"/>
      <c r="G29">
        <v>26.1</v>
      </c>
      <c r="H29">
        <v>18.100000000000001</v>
      </c>
      <c r="I29">
        <v>33.700000000000003</v>
      </c>
      <c r="J29">
        <f t="shared" ref="J29:J92" si="5">J28+G29</f>
        <v>76.5</v>
      </c>
      <c r="L29" s="10" t="s">
        <v>38</v>
      </c>
      <c r="M29">
        <v>0</v>
      </c>
      <c r="N29">
        <v>5.8</v>
      </c>
      <c r="O29">
        <f t="shared" si="2"/>
        <v>-5.8</v>
      </c>
      <c r="P29">
        <v>0</v>
      </c>
      <c r="Q29">
        <v>3</v>
      </c>
      <c r="R29">
        <v>0.35</v>
      </c>
      <c r="S29" s="9">
        <f t="shared" si="3"/>
        <v>2.0299999999999998</v>
      </c>
      <c r="T29" s="9">
        <f t="shared" si="4"/>
        <v>-2.0299999999999998</v>
      </c>
      <c r="U29" s="9">
        <v>0</v>
      </c>
      <c r="V29" s="13" t="s">
        <v>45</v>
      </c>
      <c r="W29">
        <v>2362</v>
      </c>
      <c r="Y29">
        <f t="shared" ref="Y29:Y92" si="6">Y28+W29</f>
        <v>7323.5</v>
      </c>
      <c r="AA29">
        <v>13.575927599207791</v>
      </c>
      <c r="AB29" s="13" t="s">
        <v>50</v>
      </c>
    </row>
    <row r="30" spans="1:28" x14ac:dyDescent="0.25">
      <c r="A30">
        <v>5240</v>
      </c>
      <c r="B30">
        <v>23690</v>
      </c>
      <c r="C30" s="5">
        <v>42608</v>
      </c>
      <c r="F30" s="54"/>
      <c r="G30">
        <v>25.6</v>
      </c>
      <c r="H30">
        <v>19.100000000000001</v>
      </c>
      <c r="I30">
        <v>31.5</v>
      </c>
      <c r="J30">
        <f t="shared" si="5"/>
        <v>102.1</v>
      </c>
      <c r="L30" s="41">
        <f>AVERAGE(G27:G123)</f>
        <v>12.941237113402069</v>
      </c>
      <c r="M30">
        <v>0</v>
      </c>
      <c r="N30">
        <v>4.9000000000000004</v>
      </c>
      <c r="O30">
        <f t="shared" si="2"/>
        <v>-4.9000000000000004</v>
      </c>
      <c r="P30">
        <v>0</v>
      </c>
      <c r="Q30">
        <v>4</v>
      </c>
      <c r="R30">
        <v>0.35</v>
      </c>
      <c r="S30" s="9">
        <f t="shared" si="3"/>
        <v>1.7150000000000001</v>
      </c>
      <c r="T30" s="9">
        <f t="shared" si="4"/>
        <v>-1.7150000000000001</v>
      </c>
      <c r="U30" s="9">
        <v>0</v>
      </c>
      <c r="V30">
        <v>74</v>
      </c>
      <c r="W30">
        <v>2136.6999999999998</v>
      </c>
      <c r="Y30">
        <f t="shared" si="6"/>
        <v>9460.2000000000007</v>
      </c>
      <c r="AA30">
        <v>13.518481446060642</v>
      </c>
      <c r="AB30">
        <f>(AB28/100)/L28</f>
        <v>0.61379271887198272</v>
      </c>
    </row>
    <row r="31" spans="1:28" x14ac:dyDescent="0.25">
      <c r="A31">
        <v>5240</v>
      </c>
      <c r="B31">
        <v>23690</v>
      </c>
      <c r="C31" s="5">
        <v>42609</v>
      </c>
      <c r="F31" s="54"/>
      <c r="G31">
        <v>25.6</v>
      </c>
      <c r="H31">
        <v>17.3</v>
      </c>
      <c r="I31">
        <v>31.9</v>
      </c>
      <c r="J31">
        <f t="shared" si="5"/>
        <v>127.69999999999999</v>
      </c>
      <c r="L31" s="10" t="s">
        <v>39</v>
      </c>
      <c r="M31">
        <v>0</v>
      </c>
      <c r="N31">
        <v>4.2</v>
      </c>
      <c r="O31">
        <f t="shared" si="2"/>
        <v>-4.2</v>
      </c>
      <c r="P31">
        <v>0</v>
      </c>
      <c r="Q31">
        <v>5</v>
      </c>
      <c r="R31">
        <v>0.35</v>
      </c>
      <c r="S31" s="9">
        <f t="shared" si="3"/>
        <v>1.47</v>
      </c>
      <c r="T31" s="9">
        <f t="shared" si="4"/>
        <v>-1.47</v>
      </c>
      <c r="U31" s="9">
        <v>0</v>
      </c>
      <c r="V31" s="13" t="s">
        <v>46</v>
      </c>
      <c r="W31">
        <v>1818.2</v>
      </c>
      <c r="Y31">
        <f t="shared" si="6"/>
        <v>11278.400000000001</v>
      </c>
      <c r="AA31">
        <v>13.460786376789095</v>
      </c>
      <c r="AB31" s="13" t="s">
        <v>51</v>
      </c>
    </row>
    <row r="32" spans="1:28" x14ac:dyDescent="0.25">
      <c r="A32">
        <v>5240</v>
      </c>
      <c r="B32">
        <v>23690</v>
      </c>
      <c r="C32" s="5">
        <v>42610</v>
      </c>
      <c r="F32" s="54"/>
      <c r="G32">
        <v>21.6</v>
      </c>
      <c r="H32">
        <v>18.2</v>
      </c>
      <c r="I32">
        <v>24.6</v>
      </c>
      <c r="J32">
        <f t="shared" si="5"/>
        <v>149.29999999999998</v>
      </c>
      <c r="L32" s="12">
        <f>MIN(H27:H123)</f>
        <v>-0.8</v>
      </c>
      <c r="M32">
        <v>0</v>
      </c>
      <c r="N32">
        <v>4</v>
      </c>
      <c r="O32">
        <f t="shared" si="2"/>
        <v>-4</v>
      </c>
      <c r="P32">
        <v>0</v>
      </c>
      <c r="Q32">
        <v>6</v>
      </c>
      <c r="R32">
        <f>0.35+((Q32-5)/92)*(1-0.35)</f>
        <v>0.35706521739130431</v>
      </c>
      <c r="S32" s="9">
        <f t="shared" si="3"/>
        <v>1.4282608695652173</v>
      </c>
      <c r="T32" s="9">
        <f t="shared" si="4"/>
        <v>-1.4282608695652173</v>
      </c>
      <c r="U32" s="9">
        <v>0</v>
      </c>
      <c r="V32">
        <v>0</v>
      </c>
      <c r="W32">
        <v>1526.6</v>
      </c>
      <c r="Y32">
        <f t="shared" si="6"/>
        <v>12805.000000000002</v>
      </c>
      <c r="AA32">
        <v>13.402855151118899</v>
      </c>
      <c r="AB32">
        <v>63</v>
      </c>
    </row>
    <row r="33" spans="1:27" x14ac:dyDescent="0.25">
      <c r="A33">
        <v>5240</v>
      </c>
      <c r="B33">
        <v>23690</v>
      </c>
      <c r="C33" s="5">
        <v>42611</v>
      </c>
      <c r="F33" s="54"/>
      <c r="G33">
        <v>18.399999999999999</v>
      </c>
      <c r="H33">
        <v>16.7</v>
      </c>
      <c r="I33">
        <v>21.2</v>
      </c>
      <c r="J33">
        <f t="shared" si="5"/>
        <v>167.7</v>
      </c>
      <c r="L33" s="10" t="s">
        <v>40</v>
      </c>
      <c r="M33">
        <v>0.4</v>
      </c>
      <c r="N33">
        <v>1.9</v>
      </c>
      <c r="O33">
        <f t="shared" si="2"/>
        <v>-1.5</v>
      </c>
      <c r="P33">
        <v>0</v>
      </c>
      <c r="Q33">
        <v>7</v>
      </c>
      <c r="R33">
        <f t="shared" ref="R33:R96" si="7">0.35+((Q33-5)/92)*(1-0.35)</f>
        <v>0.36413043478260865</v>
      </c>
      <c r="S33" s="9">
        <f t="shared" si="3"/>
        <v>0.69184782608695639</v>
      </c>
      <c r="T33" s="9">
        <f t="shared" si="4"/>
        <v>-0.29184782608695636</v>
      </c>
      <c r="U33" s="9">
        <v>0</v>
      </c>
      <c r="V33" s="13" t="s">
        <v>47</v>
      </c>
      <c r="W33">
        <v>1029</v>
      </c>
      <c r="Y33">
        <f t="shared" si="6"/>
        <v>13834.000000000002</v>
      </c>
      <c r="AA33">
        <v>13.344700182102054</v>
      </c>
    </row>
    <row r="34" spans="1:27" x14ac:dyDescent="0.25">
      <c r="A34">
        <v>5240</v>
      </c>
      <c r="B34">
        <v>23690</v>
      </c>
      <c r="C34" s="5">
        <v>42612</v>
      </c>
      <c r="F34" s="54"/>
      <c r="G34">
        <v>19.2</v>
      </c>
      <c r="H34">
        <v>12.9</v>
      </c>
      <c r="I34">
        <v>24.8</v>
      </c>
      <c r="J34">
        <f t="shared" si="5"/>
        <v>186.89999999999998</v>
      </c>
      <c r="L34" s="11">
        <f>MAX(I27:I123)</f>
        <v>34.299999999999997</v>
      </c>
      <c r="M34">
        <v>0</v>
      </c>
      <c r="N34">
        <v>3.8</v>
      </c>
      <c r="O34">
        <f t="shared" si="2"/>
        <v>-3.8</v>
      </c>
      <c r="P34">
        <v>0</v>
      </c>
      <c r="Q34">
        <v>8</v>
      </c>
      <c r="R34">
        <f t="shared" si="7"/>
        <v>0.37119565217391304</v>
      </c>
      <c r="S34" s="9">
        <f t="shared" si="3"/>
        <v>1.4105434782608695</v>
      </c>
      <c r="T34" s="9">
        <f t="shared" si="4"/>
        <v>-1.4105434782608695</v>
      </c>
      <c r="U34" s="9">
        <v>0</v>
      </c>
      <c r="V34" s="9">
        <f>MAX(U27:U123)</f>
        <v>79.214565217391325</v>
      </c>
      <c r="W34">
        <v>1931.8</v>
      </c>
      <c r="Y34">
        <f t="shared" si="6"/>
        <v>15765.800000000001</v>
      </c>
      <c r="AA34">
        <v>13.286333547271663</v>
      </c>
    </row>
    <row r="35" spans="1:27" x14ac:dyDescent="0.25">
      <c r="A35">
        <v>5240</v>
      </c>
      <c r="B35">
        <v>23690</v>
      </c>
      <c r="C35" s="5">
        <v>42613</v>
      </c>
      <c r="F35" s="54"/>
      <c r="G35">
        <v>20.2</v>
      </c>
      <c r="H35">
        <v>13.7</v>
      </c>
      <c r="I35">
        <v>26.3</v>
      </c>
      <c r="J35">
        <f t="shared" si="5"/>
        <v>207.09999999999997</v>
      </c>
      <c r="L35" s="10" t="s">
        <v>41</v>
      </c>
      <c r="M35">
        <v>0</v>
      </c>
      <c r="N35">
        <v>3.8</v>
      </c>
      <c r="O35">
        <f t="shared" si="2"/>
        <v>-3.8</v>
      </c>
      <c r="P35">
        <v>0</v>
      </c>
      <c r="Q35">
        <v>9</v>
      </c>
      <c r="R35">
        <f t="shared" si="7"/>
        <v>0.37826086956521737</v>
      </c>
      <c r="S35" s="9">
        <f t="shared" si="3"/>
        <v>1.4373913043478259</v>
      </c>
      <c r="T35" s="9">
        <f t="shared" si="4"/>
        <v>-1.4373913043478259</v>
      </c>
      <c r="U35" s="9">
        <v>0</v>
      </c>
      <c r="V35" s="13" t="s">
        <v>48</v>
      </c>
      <c r="W35">
        <v>1790.6</v>
      </c>
      <c r="Y35">
        <f t="shared" si="6"/>
        <v>17556.400000000001</v>
      </c>
      <c r="AA35">
        <v>13.227767000262961</v>
      </c>
    </row>
    <row r="36" spans="1:27" x14ac:dyDescent="0.25">
      <c r="A36">
        <v>5240</v>
      </c>
      <c r="B36">
        <v>23690</v>
      </c>
      <c r="C36" s="5">
        <v>42614</v>
      </c>
      <c r="F36" s="54"/>
      <c r="G36">
        <v>19.3</v>
      </c>
      <c r="H36">
        <v>12.7</v>
      </c>
      <c r="I36">
        <v>24.9</v>
      </c>
      <c r="J36">
        <f t="shared" si="5"/>
        <v>226.39999999999998</v>
      </c>
      <c r="L36" s="11">
        <v>11</v>
      </c>
      <c r="M36">
        <v>0</v>
      </c>
      <c r="N36">
        <v>3.1</v>
      </c>
      <c r="O36">
        <f t="shared" si="2"/>
        <v>-3.1</v>
      </c>
      <c r="P36">
        <v>0</v>
      </c>
      <c r="Q36">
        <v>10</v>
      </c>
      <c r="R36">
        <f t="shared" si="7"/>
        <v>0.38532608695652171</v>
      </c>
      <c r="S36" s="9">
        <f t="shared" si="3"/>
        <v>1.1945108695652173</v>
      </c>
      <c r="T36" s="9">
        <f t="shared" si="4"/>
        <v>-1.1945108695652173</v>
      </c>
      <c r="U36" s="9">
        <v>0</v>
      </c>
      <c r="V36" s="9">
        <f>AVERAGE(U27:U123)</f>
        <v>28.953189152846271</v>
      </c>
      <c r="W36">
        <v>1733.3</v>
      </c>
      <c r="Y36">
        <f t="shared" si="6"/>
        <v>19289.7</v>
      </c>
      <c r="AA36">
        <v>13.169011982861447</v>
      </c>
    </row>
    <row r="37" spans="1:27" x14ac:dyDescent="0.25">
      <c r="A37">
        <v>5240</v>
      </c>
      <c r="B37">
        <v>23690</v>
      </c>
      <c r="C37" s="5">
        <v>42615</v>
      </c>
      <c r="F37" s="54"/>
      <c r="G37">
        <v>20.399999999999999</v>
      </c>
      <c r="H37">
        <v>12.5</v>
      </c>
      <c r="I37">
        <v>27.4</v>
      </c>
      <c r="J37">
        <f t="shared" si="5"/>
        <v>246.79999999999998</v>
      </c>
      <c r="L37" s="10" t="s">
        <v>42</v>
      </c>
      <c r="M37">
        <v>0</v>
      </c>
      <c r="N37">
        <v>2.9</v>
      </c>
      <c r="O37">
        <f t="shared" si="2"/>
        <v>-2.9</v>
      </c>
      <c r="P37">
        <v>0</v>
      </c>
      <c r="Q37">
        <v>11</v>
      </c>
      <c r="R37">
        <f t="shared" si="7"/>
        <v>0.39239130434782604</v>
      </c>
      <c r="S37" s="9">
        <f t="shared" si="3"/>
        <v>1.1379347826086954</v>
      </c>
      <c r="T37" s="9">
        <f t="shared" si="4"/>
        <v>-1.1379347826086954</v>
      </c>
      <c r="U37" s="9">
        <v>0</v>
      </c>
      <c r="W37">
        <v>1396.7</v>
      </c>
      <c r="Y37">
        <f t="shared" si="6"/>
        <v>20686.400000000001</v>
      </c>
      <c r="AA37">
        <v>13.110079637441451</v>
      </c>
    </row>
    <row r="38" spans="1:27" x14ac:dyDescent="0.25">
      <c r="A38">
        <v>5240</v>
      </c>
      <c r="B38">
        <v>23690</v>
      </c>
      <c r="C38" s="5">
        <v>42616</v>
      </c>
      <c r="F38" s="54"/>
      <c r="G38">
        <v>20.7</v>
      </c>
      <c r="H38">
        <v>13.6</v>
      </c>
      <c r="I38">
        <v>25.7</v>
      </c>
      <c r="J38">
        <f t="shared" si="5"/>
        <v>267.5</v>
      </c>
      <c r="L38" s="11">
        <v>16</v>
      </c>
      <c r="M38">
        <v>0</v>
      </c>
      <c r="N38">
        <v>3.7</v>
      </c>
      <c r="O38">
        <f t="shared" si="2"/>
        <v>-3.7</v>
      </c>
      <c r="P38">
        <v>0</v>
      </c>
      <c r="Q38">
        <v>12</v>
      </c>
      <c r="R38">
        <f t="shared" si="7"/>
        <v>0.39945652173913043</v>
      </c>
      <c r="S38" s="9">
        <f t="shared" si="3"/>
        <v>1.4779891304347827</v>
      </c>
      <c r="T38" s="9">
        <f t="shared" si="4"/>
        <v>-1.4779891304347827</v>
      </c>
      <c r="U38" s="9">
        <v>0</v>
      </c>
      <c r="V38" s="32">
        <f>(V36*100)/218.9</f>
        <v>13.226673893488474</v>
      </c>
      <c r="W38">
        <v>1860.9</v>
      </c>
      <c r="Y38">
        <f t="shared" si="6"/>
        <v>22547.300000000003</v>
      </c>
      <c r="AA38">
        <v>13.050980819760772</v>
      </c>
    </row>
    <row r="39" spans="1:27" x14ac:dyDescent="0.25">
      <c r="A39">
        <v>5240</v>
      </c>
      <c r="B39">
        <v>23690</v>
      </c>
      <c r="C39" s="5">
        <v>42617</v>
      </c>
      <c r="F39" s="54"/>
      <c r="G39">
        <v>19.3</v>
      </c>
      <c r="H39">
        <v>17.600000000000001</v>
      </c>
      <c r="I39">
        <v>20.9</v>
      </c>
      <c r="J39">
        <f t="shared" si="5"/>
        <v>286.8</v>
      </c>
      <c r="L39" s="10" t="s">
        <v>43</v>
      </c>
      <c r="M39">
        <v>3.9</v>
      </c>
      <c r="N39">
        <v>1.1000000000000001</v>
      </c>
      <c r="O39">
        <f t="shared" si="2"/>
        <v>2.8</v>
      </c>
      <c r="P39">
        <f t="shared" ref="P39:P102" si="8">P38+O39</f>
        <v>2.8</v>
      </c>
      <c r="Q39">
        <v>13</v>
      </c>
      <c r="R39">
        <f t="shared" si="7"/>
        <v>0.40652173913043477</v>
      </c>
      <c r="S39" s="9">
        <f t="shared" si="3"/>
        <v>0.44717391304347825</v>
      </c>
      <c r="T39" s="9">
        <f t="shared" si="4"/>
        <v>3.4528260869565215</v>
      </c>
      <c r="U39" s="9">
        <f>MIN(U38+T39,218.9)</f>
        <v>3.4528260869565215</v>
      </c>
      <c r="W39">
        <v>639.79999999999995</v>
      </c>
      <c r="Y39">
        <f t="shared" si="6"/>
        <v>23187.100000000002</v>
      </c>
      <c r="AA39">
        <v>12.991726112079258</v>
      </c>
    </row>
    <row r="40" spans="1:27" x14ac:dyDescent="0.25">
      <c r="A40">
        <v>5240</v>
      </c>
      <c r="B40">
        <v>23690</v>
      </c>
      <c r="C40" s="5">
        <v>42618</v>
      </c>
      <c r="F40" s="54"/>
      <c r="G40">
        <v>19</v>
      </c>
      <c r="H40">
        <v>15.7</v>
      </c>
      <c r="I40">
        <v>22.5</v>
      </c>
      <c r="J40">
        <f t="shared" si="5"/>
        <v>305.8</v>
      </c>
      <c r="L40" s="11">
        <v>2</v>
      </c>
      <c r="M40">
        <v>1.1000000000000001</v>
      </c>
      <c r="N40">
        <v>0.6</v>
      </c>
      <c r="O40">
        <f t="shared" si="2"/>
        <v>0.50000000000000011</v>
      </c>
      <c r="P40">
        <f t="shared" si="8"/>
        <v>3.3</v>
      </c>
      <c r="Q40">
        <v>14</v>
      </c>
      <c r="R40">
        <f t="shared" si="7"/>
        <v>0.4135869565217391</v>
      </c>
      <c r="S40" s="9">
        <f t="shared" si="3"/>
        <v>0.24815217391304345</v>
      </c>
      <c r="T40" s="9">
        <f t="shared" si="4"/>
        <v>0.85184782608695664</v>
      </c>
      <c r="U40" s="9">
        <f t="shared" ref="U40:U103" si="9">MIN(U39+T40,218.9)</f>
        <v>4.3046739130434784</v>
      </c>
      <c r="W40">
        <v>298.89999999999998</v>
      </c>
      <c r="Y40">
        <f t="shared" si="6"/>
        <v>23486.000000000004</v>
      </c>
      <c r="AA40">
        <v>12.932325836571406</v>
      </c>
    </row>
    <row r="41" spans="1:27" x14ac:dyDescent="0.25">
      <c r="A41">
        <v>5240</v>
      </c>
      <c r="B41">
        <v>23690</v>
      </c>
      <c r="C41" s="5">
        <v>42619</v>
      </c>
      <c r="F41" s="54"/>
      <c r="G41">
        <v>19.3</v>
      </c>
      <c r="H41">
        <v>16.8</v>
      </c>
      <c r="I41">
        <v>21.8</v>
      </c>
      <c r="J41">
        <f t="shared" si="5"/>
        <v>325.10000000000002</v>
      </c>
      <c r="M41">
        <v>0.2</v>
      </c>
      <c r="N41">
        <v>1.2</v>
      </c>
      <c r="O41">
        <f t="shared" si="2"/>
        <v>-1</v>
      </c>
      <c r="P41">
        <f t="shared" si="8"/>
        <v>2.2999999999999998</v>
      </c>
      <c r="Q41">
        <v>15</v>
      </c>
      <c r="R41">
        <f t="shared" si="7"/>
        <v>0.42065217391304344</v>
      </c>
      <c r="S41" s="9">
        <f t="shared" si="3"/>
        <v>0.50478260869565206</v>
      </c>
      <c r="T41" s="9">
        <f t="shared" si="4"/>
        <v>-0.30478260869565205</v>
      </c>
      <c r="U41" s="9">
        <f t="shared" si="9"/>
        <v>3.9998913043478264</v>
      </c>
      <c r="W41">
        <v>554.20000000000005</v>
      </c>
      <c r="Y41">
        <f t="shared" si="6"/>
        <v>24040.200000000004</v>
      </c>
      <c r="AA41">
        <v>12.872790069005095</v>
      </c>
    </row>
    <row r="42" spans="1:27" x14ac:dyDescent="0.25">
      <c r="A42">
        <v>5240</v>
      </c>
      <c r="B42">
        <v>23690</v>
      </c>
      <c r="C42" s="5">
        <v>42620</v>
      </c>
      <c r="F42" s="54"/>
      <c r="G42">
        <v>20</v>
      </c>
      <c r="H42">
        <v>14.1</v>
      </c>
      <c r="I42">
        <v>26.4</v>
      </c>
      <c r="J42">
        <f t="shared" si="5"/>
        <v>345.1</v>
      </c>
      <c r="M42">
        <v>0</v>
      </c>
      <c r="N42">
        <v>4.5999999999999996</v>
      </c>
      <c r="O42">
        <f t="shared" si="2"/>
        <v>-4.5999999999999996</v>
      </c>
      <c r="P42">
        <v>0</v>
      </c>
      <c r="Q42">
        <v>16</v>
      </c>
      <c r="R42">
        <f t="shared" si="7"/>
        <v>0.42771739130434783</v>
      </c>
      <c r="S42" s="9">
        <f t="shared" si="3"/>
        <v>1.9674999999999998</v>
      </c>
      <c r="T42" s="9">
        <f t="shared" si="4"/>
        <v>-1.9674999999999998</v>
      </c>
      <c r="U42" s="9">
        <f t="shared" si="9"/>
        <v>2.0323913043478266</v>
      </c>
      <c r="W42">
        <v>2120.6999999999998</v>
      </c>
      <c r="Y42">
        <f t="shared" si="6"/>
        <v>26160.900000000005</v>
      </c>
      <c r="AA42">
        <v>12.813128652660483</v>
      </c>
    </row>
    <row r="43" spans="1:27" x14ac:dyDescent="0.25">
      <c r="A43">
        <v>5240</v>
      </c>
      <c r="B43">
        <v>23690</v>
      </c>
      <c r="C43" s="5">
        <v>42621</v>
      </c>
      <c r="F43" s="54"/>
      <c r="G43">
        <v>17.899999999999999</v>
      </c>
      <c r="H43">
        <v>13.3</v>
      </c>
      <c r="I43">
        <v>23.5</v>
      </c>
      <c r="J43">
        <f t="shared" si="5"/>
        <v>363</v>
      </c>
      <c r="M43">
        <v>0</v>
      </c>
      <c r="N43">
        <v>2.2999999999999998</v>
      </c>
      <c r="O43">
        <f t="shared" si="2"/>
        <v>-2.2999999999999998</v>
      </c>
      <c r="P43">
        <v>0</v>
      </c>
      <c r="Q43">
        <v>17</v>
      </c>
      <c r="R43">
        <f t="shared" si="7"/>
        <v>0.43478260869565216</v>
      </c>
      <c r="S43" s="9">
        <f t="shared" si="3"/>
        <v>0.99999999999999989</v>
      </c>
      <c r="T43" s="9">
        <f t="shared" si="4"/>
        <v>-0.99999999999999989</v>
      </c>
      <c r="U43" s="9">
        <f t="shared" si="9"/>
        <v>1.0323913043478266</v>
      </c>
      <c r="W43">
        <v>980.9</v>
      </c>
      <c r="Y43">
        <f t="shared" si="6"/>
        <v>27141.800000000007</v>
      </c>
      <c r="AA43">
        <v>12.753351212465079</v>
      </c>
    </row>
    <row r="44" spans="1:27" x14ac:dyDescent="0.25">
      <c r="A44">
        <v>5240</v>
      </c>
      <c r="B44">
        <v>23690</v>
      </c>
      <c r="C44" s="5">
        <v>42622</v>
      </c>
      <c r="F44" s="54"/>
      <c r="G44">
        <v>17.2</v>
      </c>
      <c r="H44">
        <v>9.9</v>
      </c>
      <c r="I44">
        <v>24.4</v>
      </c>
      <c r="J44">
        <f t="shared" si="5"/>
        <v>380.2</v>
      </c>
      <c r="M44">
        <v>0</v>
      </c>
      <c r="N44">
        <v>2.7</v>
      </c>
      <c r="O44">
        <f t="shared" si="2"/>
        <v>-2.7</v>
      </c>
      <c r="P44">
        <v>0</v>
      </c>
      <c r="Q44">
        <v>18</v>
      </c>
      <c r="R44">
        <f t="shared" si="7"/>
        <v>0.4418478260869565</v>
      </c>
      <c r="S44" s="9">
        <f t="shared" si="3"/>
        <v>1.1929891304347826</v>
      </c>
      <c r="T44" s="9">
        <f t="shared" si="4"/>
        <v>-1.1929891304347826</v>
      </c>
      <c r="U44" s="9">
        <v>0</v>
      </c>
      <c r="W44">
        <v>1350.6</v>
      </c>
      <c r="Y44">
        <f t="shared" si="6"/>
        <v>28492.400000000005</v>
      </c>
      <c r="AA44">
        <v>12.693467169322712</v>
      </c>
    </row>
    <row r="45" spans="1:27" x14ac:dyDescent="0.25">
      <c r="A45">
        <v>5240</v>
      </c>
      <c r="B45">
        <v>23690</v>
      </c>
      <c r="C45" s="5">
        <v>42623</v>
      </c>
      <c r="F45" s="54"/>
      <c r="G45">
        <v>18.2</v>
      </c>
      <c r="H45">
        <v>9.1999999999999993</v>
      </c>
      <c r="I45">
        <v>24.7</v>
      </c>
      <c r="J45">
        <f t="shared" si="5"/>
        <v>398.4</v>
      </c>
      <c r="M45">
        <v>0</v>
      </c>
      <c r="N45">
        <v>2.6</v>
      </c>
      <c r="O45">
        <f t="shared" si="2"/>
        <v>-2.6</v>
      </c>
      <c r="P45">
        <v>0</v>
      </c>
      <c r="Q45">
        <v>19</v>
      </c>
      <c r="R45">
        <f t="shared" si="7"/>
        <v>0.44891304347826089</v>
      </c>
      <c r="S45" s="9">
        <f t="shared" si="3"/>
        <v>1.1671739130434784</v>
      </c>
      <c r="T45" s="9">
        <f t="shared" si="4"/>
        <v>-1.1671739130434784</v>
      </c>
      <c r="U45" s="9">
        <v>0</v>
      </c>
      <c r="W45">
        <v>1430.1</v>
      </c>
      <c r="Y45">
        <f t="shared" si="6"/>
        <v>29922.500000000004</v>
      </c>
      <c r="AA45">
        <v>12.633485754615732</v>
      </c>
    </row>
    <row r="46" spans="1:27" x14ac:dyDescent="0.25">
      <c r="A46">
        <v>5240</v>
      </c>
      <c r="B46">
        <v>23690</v>
      </c>
      <c r="C46" s="5">
        <v>42624</v>
      </c>
      <c r="F46" s="54"/>
      <c r="G46">
        <v>20.2</v>
      </c>
      <c r="H46">
        <v>17.600000000000001</v>
      </c>
      <c r="I46">
        <v>22.7</v>
      </c>
      <c r="J46">
        <f t="shared" si="5"/>
        <v>418.59999999999997</v>
      </c>
      <c r="M46">
        <v>0.1</v>
      </c>
      <c r="N46">
        <v>1.3</v>
      </c>
      <c r="O46">
        <f t="shared" si="2"/>
        <v>-1.2</v>
      </c>
      <c r="P46">
        <v>0</v>
      </c>
      <c r="Q46">
        <v>20</v>
      </c>
      <c r="R46">
        <f t="shared" si="7"/>
        <v>0.45597826086956517</v>
      </c>
      <c r="S46" s="9">
        <f t="shared" si="3"/>
        <v>0.59277173913043468</v>
      </c>
      <c r="T46" s="9">
        <f t="shared" si="4"/>
        <v>-0.4927717391304347</v>
      </c>
      <c r="U46" s="9">
        <v>0</v>
      </c>
      <c r="W46">
        <v>542.1</v>
      </c>
      <c r="Y46">
        <f t="shared" si="6"/>
        <v>30464.600000000002</v>
      </c>
      <c r="AA46">
        <v>12.573416024861391</v>
      </c>
    </row>
    <row r="47" spans="1:27" x14ac:dyDescent="0.25">
      <c r="A47">
        <v>5240</v>
      </c>
      <c r="B47">
        <v>23690</v>
      </c>
      <c r="C47" s="5">
        <v>42625</v>
      </c>
      <c r="F47" s="54"/>
      <c r="G47">
        <v>21.7</v>
      </c>
      <c r="H47">
        <v>14.5</v>
      </c>
      <c r="I47">
        <v>29.4</v>
      </c>
      <c r="J47">
        <f t="shared" si="5"/>
        <v>440.29999999999995</v>
      </c>
      <c r="M47">
        <v>0</v>
      </c>
      <c r="N47">
        <v>3.5</v>
      </c>
      <c r="O47">
        <f t="shared" si="2"/>
        <v>-3.5</v>
      </c>
      <c r="P47">
        <v>0</v>
      </c>
      <c r="Q47">
        <v>21</v>
      </c>
      <c r="R47">
        <f t="shared" si="7"/>
        <v>0.46304347826086956</v>
      </c>
      <c r="S47" s="9">
        <f t="shared" si="3"/>
        <v>1.6206521739130435</v>
      </c>
      <c r="T47" s="9">
        <f t="shared" si="4"/>
        <v>-1.6206521739130435</v>
      </c>
      <c r="U47" s="9">
        <v>0</v>
      </c>
      <c r="W47">
        <v>1541.4</v>
      </c>
      <c r="Y47">
        <f t="shared" si="6"/>
        <v>32006.000000000004</v>
      </c>
      <c r="AA47">
        <v>12.513266876504778</v>
      </c>
    </row>
    <row r="48" spans="1:27" x14ac:dyDescent="0.25">
      <c r="A48">
        <v>5240</v>
      </c>
      <c r="B48">
        <v>23690</v>
      </c>
      <c r="C48" s="5">
        <v>42626</v>
      </c>
      <c r="F48" s="54"/>
      <c r="G48">
        <v>24.1</v>
      </c>
      <c r="H48">
        <v>17.5</v>
      </c>
      <c r="I48">
        <v>31</v>
      </c>
      <c r="J48">
        <f t="shared" si="5"/>
        <v>464.4</v>
      </c>
      <c r="M48">
        <v>0</v>
      </c>
      <c r="N48">
        <v>4.0999999999999996</v>
      </c>
      <c r="O48">
        <f t="shared" si="2"/>
        <v>-4.0999999999999996</v>
      </c>
      <c r="P48">
        <v>0</v>
      </c>
      <c r="Q48">
        <v>22</v>
      </c>
      <c r="R48">
        <f t="shared" si="7"/>
        <v>0.47010869565217389</v>
      </c>
      <c r="S48" s="9">
        <f t="shared" si="3"/>
        <v>1.9274456521739127</v>
      </c>
      <c r="T48" s="9">
        <f t="shared" si="4"/>
        <v>-1.9274456521739127</v>
      </c>
      <c r="U48" s="9">
        <v>0</v>
      </c>
      <c r="W48">
        <v>1488.3</v>
      </c>
      <c r="Y48">
        <f t="shared" si="6"/>
        <v>33494.300000000003</v>
      </c>
      <c r="AA48">
        <v>12.453047060831992</v>
      </c>
    </row>
    <row r="49" spans="1:27" x14ac:dyDescent="0.25">
      <c r="A49">
        <v>5240</v>
      </c>
      <c r="B49">
        <v>23690</v>
      </c>
      <c r="C49" s="5">
        <v>42627</v>
      </c>
      <c r="F49" s="54"/>
      <c r="G49">
        <v>19.600000000000001</v>
      </c>
      <c r="H49">
        <v>15.1</v>
      </c>
      <c r="I49">
        <v>23.9</v>
      </c>
      <c r="J49">
        <f t="shared" si="5"/>
        <v>484</v>
      </c>
      <c r="M49">
        <v>28.9</v>
      </c>
      <c r="N49">
        <v>2.2000000000000002</v>
      </c>
      <c r="O49">
        <f t="shared" si="2"/>
        <v>26.7</v>
      </c>
      <c r="P49">
        <f t="shared" si="8"/>
        <v>26.7</v>
      </c>
      <c r="Q49">
        <v>23</v>
      </c>
      <c r="R49">
        <f t="shared" si="7"/>
        <v>0.47717391304347823</v>
      </c>
      <c r="S49" s="9">
        <f t="shared" si="3"/>
        <v>1.0497826086956521</v>
      </c>
      <c r="T49" s="9">
        <f t="shared" si="4"/>
        <v>27.850217391304348</v>
      </c>
      <c r="U49" s="9">
        <f t="shared" si="9"/>
        <v>27.850217391304348</v>
      </c>
      <c r="W49">
        <v>915.3</v>
      </c>
      <c r="Y49">
        <f t="shared" si="6"/>
        <v>34409.600000000006</v>
      </c>
      <c r="AA49">
        <v>12.392765198988426</v>
      </c>
    </row>
    <row r="50" spans="1:27" x14ac:dyDescent="0.25">
      <c r="A50">
        <v>5240</v>
      </c>
      <c r="B50">
        <v>23690</v>
      </c>
      <c r="C50" s="5">
        <v>42628</v>
      </c>
      <c r="F50" s="54"/>
      <c r="G50">
        <v>16.2</v>
      </c>
      <c r="H50">
        <v>15.7</v>
      </c>
      <c r="I50">
        <v>17.100000000000001</v>
      </c>
      <c r="J50">
        <f t="shared" si="5"/>
        <v>500.2</v>
      </c>
      <c r="M50">
        <v>0.5</v>
      </c>
      <c r="N50">
        <v>0.6</v>
      </c>
      <c r="O50">
        <f t="shared" si="2"/>
        <v>-9.9999999999999978E-2</v>
      </c>
      <c r="P50">
        <f t="shared" si="8"/>
        <v>26.599999999999998</v>
      </c>
      <c r="Q50">
        <v>24</v>
      </c>
      <c r="R50">
        <f t="shared" si="7"/>
        <v>0.48423913043478262</v>
      </c>
      <c r="S50" s="9">
        <f t="shared" si="3"/>
        <v>0.29054347826086957</v>
      </c>
      <c r="T50" s="9">
        <f t="shared" si="4"/>
        <v>0.20945652173913043</v>
      </c>
      <c r="U50" s="9">
        <f t="shared" si="9"/>
        <v>28.059673913043479</v>
      </c>
      <c r="W50">
        <v>409.5</v>
      </c>
      <c r="Y50">
        <f t="shared" si="6"/>
        <v>34819.100000000006</v>
      </c>
      <c r="AA50">
        <v>12.332429797088185</v>
      </c>
    </row>
    <row r="51" spans="1:27" x14ac:dyDescent="0.25">
      <c r="A51">
        <v>5240</v>
      </c>
      <c r="B51">
        <v>23690</v>
      </c>
      <c r="C51" s="5">
        <v>42629</v>
      </c>
      <c r="F51" s="54"/>
      <c r="G51">
        <v>14.7</v>
      </c>
      <c r="H51">
        <v>13.3</v>
      </c>
      <c r="I51">
        <v>17.600000000000001</v>
      </c>
      <c r="J51">
        <f t="shared" si="5"/>
        <v>514.9</v>
      </c>
      <c r="M51">
        <v>5.7</v>
      </c>
      <c r="N51">
        <v>1.6</v>
      </c>
      <c r="O51">
        <f t="shared" si="2"/>
        <v>4.0999999999999996</v>
      </c>
      <c r="P51">
        <f t="shared" si="8"/>
        <v>30.699999999999996</v>
      </c>
      <c r="Q51">
        <v>25</v>
      </c>
      <c r="R51">
        <f t="shared" si="7"/>
        <v>0.4913043478260869</v>
      </c>
      <c r="S51" s="9">
        <f t="shared" si="3"/>
        <v>0.7860869565217391</v>
      </c>
      <c r="T51" s="9">
        <f t="shared" si="4"/>
        <v>4.913913043478261</v>
      </c>
      <c r="U51" s="9">
        <f t="shared" si="9"/>
        <v>32.973586956521743</v>
      </c>
      <c r="W51">
        <v>832.6</v>
      </c>
      <c r="Y51">
        <f t="shared" si="6"/>
        <v>35651.700000000004</v>
      </c>
      <c r="AA51">
        <v>12.272049261401596</v>
      </c>
    </row>
    <row r="52" spans="1:27" x14ac:dyDescent="0.25">
      <c r="A52">
        <v>5240</v>
      </c>
      <c r="B52">
        <v>23690</v>
      </c>
      <c r="C52" s="5">
        <v>42630</v>
      </c>
      <c r="F52" s="54"/>
      <c r="G52">
        <v>13.7</v>
      </c>
      <c r="H52">
        <v>11.4</v>
      </c>
      <c r="I52">
        <v>16.899999999999999</v>
      </c>
      <c r="J52">
        <f t="shared" si="5"/>
        <v>528.6</v>
      </c>
      <c r="M52">
        <v>1.3</v>
      </c>
      <c r="N52">
        <v>1</v>
      </c>
      <c r="O52">
        <f t="shared" si="2"/>
        <v>0.30000000000000004</v>
      </c>
      <c r="P52">
        <f t="shared" si="8"/>
        <v>30.999999999999996</v>
      </c>
      <c r="Q52">
        <v>26</v>
      </c>
      <c r="R52">
        <f t="shared" si="7"/>
        <v>0.49836956521739129</v>
      </c>
      <c r="S52" s="9">
        <f t="shared" si="3"/>
        <v>0.49836956521739129</v>
      </c>
      <c r="T52" s="9">
        <f t="shared" si="4"/>
        <v>0.80163043478260876</v>
      </c>
      <c r="U52" s="9">
        <f t="shared" si="9"/>
        <v>33.775217391304352</v>
      </c>
      <c r="W52">
        <v>490.9</v>
      </c>
      <c r="Y52">
        <f t="shared" si="6"/>
        <v>36142.600000000006</v>
      </c>
      <c r="AA52">
        <v>12.211631913608649</v>
      </c>
    </row>
    <row r="53" spans="1:27" x14ac:dyDescent="0.25">
      <c r="A53">
        <v>5240</v>
      </c>
      <c r="B53">
        <v>23690</v>
      </c>
      <c r="C53" s="5">
        <v>42631</v>
      </c>
      <c r="F53" s="54"/>
      <c r="G53">
        <v>15.5</v>
      </c>
      <c r="H53">
        <v>13.1</v>
      </c>
      <c r="I53">
        <v>17.7</v>
      </c>
      <c r="J53">
        <f t="shared" si="5"/>
        <v>544.1</v>
      </c>
      <c r="M53">
        <v>0</v>
      </c>
      <c r="N53">
        <v>0.5</v>
      </c>
      <c r="O53">
        <f t="shared" si="2"/>
        <v>-0.5</v>
      </c>
      <c r="P53">
        <f t="shared" si="8"/>
        <v>30.499999999999996</v>
      </c>
      <c r="Q53">
        <v>27</v>
      </c>
      <c r="R53">
        <f t="shared" si="7"/>
        <v>0.50543478260869568</v>
      </c>
      <c r="S53" s="9">
        <f t="shared" si="3"/>
        <v>0.25271739130434784</v>
      </c>
      <c r="T53" s="9">
        <f t="shared" si="4"/>
        <v>-0.25271739130434784</v>
      </c>
      <c r="U53" s="9">
        <f t="shared" si="9"/>
        <v>33.522500000000001</v>
      </c>
      <c r="W53">
        <v>403.7</v>
      </c>
      <c r="Y53">
        <f t="shared" si="6"/>
        <v>36546.300000000003</v>
      </c>
      <c r="AA53">
        <v>12.151186006106963</v>
      </c>
    </row>
    <row r="54" spans="1:27" x14ac:dyDescent="0.25">
      <c r="A54">
        <v>5240</v>
      </c>
      <c r="B54">
        <v>23690</v>
      </c>
      <c r="C54" s="5">
        <v>42632</v>
      </c>
      <c r="F54" s="54"/>
      <c r="G54">
        <v>16</v>
      </c>
      <c r="H54">
        <v>13.4</v>
      </c>
      <c r="I54">
        <v>18.8</v>
      </c>
      <c r="J54">
        <f t="shared" si="5"/>
        <v>560.1</v>
      </c>
      <c r="M54">
        <v>0.2</v>
      </c>
      <c r="N54">
        <v>1.2</v>
      </c>
      <c r="O54">
        <f t="shared" si="2"/>
        <v>-1</v>
      </c>
      <c r="P54">
        <f t="shared" si="8"/>
        <v>29.499999999999996</v>
      </c>
      <c r="Q54">
        <v>28</v>
      </c>
      <c r="R54">
        <f t="shared" si="7"/>
        <v>0.51249999999999996</v>
      </c>
      <c r="S54" s="9">
        <f t="shared" si="3"/>
        <v>0.61499999999999988</v>
      </c>
      <c r="T54" s="9">
        <f t="shared" si="4"/>
        <v>-0.41499999999999987</v>
      </c>
      <c r="U54" s="9">
        <f t="shared" si="9"/>
        <v>33.107500000000002</v>
      </c>
      <c r="W54">
        <v>820.8</v>
      </c>
      <c r="Y54">
        <f t="shared" si="6"/>
        <v>37367.100000000006</v>
      </c>
      <c r="AA54">
        <v>12.090719737363479</v>
      </c>
    </row>
    <row r="55" spans="1:27" x14ac:dyDescent="0.25">
      <c r="A55">
        <v>5240</v>
      </c>
      <c r="B55">
        <v>23690</v>
      </c>
      <c r="C55" s="5">
        <v>42633</v>
      </c>
      <c r="F55" s="54"/>
      <c r="G55">
        <v>15.7</v>
      </c>
      <c r="H55">
        <v>13.9</v>
      </c>
      <c r="I55">
        <v>18.5</v>
      </c>
      <c r="J55">
        <f t="shared" si="5"/>
        <v>575.80000000000007</v>
      </c>
      <c r="M55">
        <v>0.6</v>
      </c>
      <c r="N55">
        <v>0.7</v>
      </c>
      <c r="O55">
        <f t="shared" si="2"/>
        <v>-9.9999999999999978E-2</v>
      </c>
      <c r="P55">
        <f t="shared" si="8"/>
        <v>29.399999999999995</v>
      </c>
      <c r="Q55">
        <v>29</v>
      </c>
      <c r="R55">
        <f t="shared" si="7"/>
        <v>0.51956521739130435</v>
      </c>
      <c r="S55" s="9">
        <f t="shared" si="3"/>
        <v>0.36369565217391303</v>
      </c>
      <c r="T55" s="9">
        <f t="shared" si="4"/>
        <v>0.23630434782608695</v>
      </c>
      <c r="U55" s="9">
        <f t="shared" si="9"/>
        <v>33.343804347826087</v>
      </c>
      <c r="W55">
        <v>370</v>
      </c>
      <c r="Y55">
        <f t="shared" si="6"/>
        <v>37737.100000000006</v>
      </c>
      <c r="AA55">
        <v>12.030241267299665</v>
      </c>
    </row>
    <row r="56" spans="1:27" x14ac:dyDescent="0.25">
      <c r="A56">
        <v>5240</v>
      </c>
      <c r="B56">
        <v>23690</v>
      </c>
      <c r="C56" s="5">
        <v>42634</v>
      </c>
      <c r="F56" s="54"/>
      <c r="G56">
        <v>14.5</v>
      </c>
      <c r="H56">
        <v>8.6999999999999993</v>
      </c>
      <c r="I56">
        <v>20.3</v>
      </c>
      <c r="J56">
        <f t="shared" si="5"/>
        <v>590.30000000000007</v>
      </c>
      <c r="M56">
        <v>0.2</v>
      </c>
      <c r="N56">
        <v>2.4</v>
      </c>
      <c r="O56">
        <f t="shared" si="2"/>
        <v>-2.1999999999999997</v>
      </c>
      <c r="P56">
        <f t="shared" si="8"/>
        <v>27.199999999999996</v>
      </c>
      <c r="Q56">
        <v>30</v>
      </c>
      <c r="R56">
        <f t="shared" si="7"/>
        <v>0.52663043478260874</v>
      </c>
      <c r="S56" s="9">
        <f t="shared" si="3"/>
        <v>1.2639130434782608</v>
      </c>
      <c r="T56" s="9">
        <f t="shared" si="4"/>
        <v>-1.0639130434782609</v>
      </c>
      <c r="U56" s="9">
        <f t="shared" si="9"/>
        <v>32.279891304347828</v>
      </c>
      <c r="W56">
        <v>1514.4</v>
      </c>
      <c r="Y56">
        <f t="shared" si="6"/>
        <v>39251.500000000007</v>
      </c>
      <c r="AA56">
        <v>11.969758732700337</v>
      </c>
    </row>
    <row r="57" spans="1:27" x14ac:dyDescent="0.25">
      <c r="A57">
        <v>5240</v>
      </c>
      <c r="B57">
        <v>23690</v>
      </c>
      <c r="C57" s="5">
        <v>42635</v>
      </c>
      <c r="F57" s="54"/>
      <c r="G57">
        <v>15.5</v>
      </c>
      <c r="H57">
        <v>9.1999999999999993</v>
      </c>
      <c r="I57">
        <v>21.7</v>
      </c>
      <c r="J57">
        <f t="shared" si="5"/>
        <v>605.80000000000007</v>
      </c>
      <c r="M57">
        <v>0</v>
      </c>
      <c r="N57">
        <v>1.2</v>
      </c>
      <c r="O57">
        <f t="shared" si="2"/>
        <v>-1.2</v>
      </c>
      <c r="P57">
        <f t="shared" si="8"/>
        <v>25.999999999999996</v>
      </c>
      <c r="Q57">
        <v>31</v>
      </c>
      <c r="R57">
        <f t="shared" si="7"/>
        <v>0.53369565217391302</v>
      </c>
      <c r="S57" s="9">
        <f t="shared" si="3"/>
        <v>0.64043478260869557</v>
      </c>
      <c r="T57" s="9">
        <f t="shared" si="4"/>
        <v>-0.64043478260869557</v>
      </c>
      <c r="U57" s="9">
        <f t="shared" si="9"/>
        <v>31.639456521739131</v>
      </c>
      <c r="W57">
        <v>796.4</v>
      </c>
      <c r="Y57">
        <f t="shared" si="6"/>
        <v>40047.900000000009</v>
      </c>
      <c r="AA57">
        <v>11.909280262636521</v>
      </c>
    </row>
    <row r="58" spans="1:27" x14ac:dyDescent="0.25">
      <c r="A58">
        <v>5240</v>
      </c>
      <c r="B58">
        <v>23690</v>
      </c>
      <c r="C58" s="5">
        <v>42636</v>
      </c>
      <c r="F58" s="54"/>
      <c r="G58">
        <v>16.3</v>
      </c>
      <c r="H58">
        <v>12.9</v>
      </c>
      <c r="I58">
        <v>22</v>
      </c>
      <c r="J58">
        <f t="shared" si="5"/>
        <v>622.1</v>
      </c>
      <c r="M58">
        <v>0</v>
      </c>
      <c r="N58">
        <v>2.5</v>
      </c>
      <c r="O58">
        <f t="shared" si="2"/>
        <v>-2.5</v>
      </c>
      <c r="P58">
        <f t="shared" si="8"/>
        <v>23.499999999999996</v>
      </c>
      <c r="Q58">
        <v>32</v>
      </c>
      <c r="R58">
        <f t="shared" si="7"/>
        <v>0.54076086956521741</v>
      </c>
      <c r="S58" s="9">
        <f t="shared" si="3"/>
        <v>1.3519021739130435</v>
      </c>
      <c r="T58" s="9">
        <f t="shared" si="4"/>
        <v>-1.3519021739130435</v>
      </c>
      <c r="U58" s="9">
        <f t="shared" si="9"/>
        <v>30.287554347826088</v>
      </c>
      <c r="W58">
        <v>1397.9</v>
      </c>
      <c r="Y58">
        <f t="shared" si="6"/>
        <v>41445.80000000001</v>
      </c>
      <c r="AA58">
        <v>11.848813993893039</v>
      </c>
    </row>
    <row r="59" spans="1:27" x14ac:dyDescent="0.25">
      <c r="A59">
        <v>5240</v>
      </c>
      <c r="B59">
        <v>23690</v>
      </c>
      <c r="C59" s="5">
        <v>42637</v>
      </c>
      <c r="F59" s="54"/>
      <c r="G59">
        <v>16.7</v>
      </c>
      <c r="H59">
        <v>10.8</v>
      </c>
      <c r="I59">
        <v>23.9</v>
      </c>
      <c r="J59">
        <f t="shared" si="5"/>
        <v>638.80000000000007</v>
      </c>
      <c r="M59">
        <v>0.2</v>
      </c>
      <c r="N59">
        <v>3.3</v>
      </c>
      <c r="O59">
        <f t="shared" si="2"/>
        <v>-3.0999999999999996</v>
      </c>
      <c r="P59">
        <f t="shared" si="8"/>
        <v>20.399999999999999</v>
      </c>
      <c r="Q59">
        <v>33</v>
      </c>
      <c r="R59">
        <f t="shared" si="7"/>
        <v>0.54782608695652169</v>
      </c>
      <c r="S59" s="9">
        <f t="shared" si="3"/>
        <v>1.8078260869565215</v>
      </c>
      <c r="T59" s="9">
        <f t="shared" si="4"/>
        <v>-1.6078260869565215</v>
      </c>
      <c r="U59" s="9">
        <f t="shared" si="9"/>
        <v>28.679728260869567</v>
      </c>
      <c r="W59">
        <v>1499.6</v>
      </c>
      <c r="Y59">
        <f t="shared" si="6"/>
        <v>42945.400000000009</v>
      </c>
      <c r="AA59">
        <v>11.788368086391349</v>
      </c>
    </row>
    <row r="60" spans="1:27" x14ac:dyDescent="0.25">
      <c r="A60">
        <v>5240</v>
      </c>
      <c r="B60">
        <v>23690</v>
      </c>
      <c r="C60" s="5">
        <v>42638</v>
      </c>
      <c r="F60" s="54"/>
      <c r="G60">
        <v>14.5</v>
      </c>
      <c r="H60">
        <v>13.5</v>
      </c>
      <c r="I60">
        <v>17.2</v>
      </c>
      <c r="J60">
        <f t="shared" si="5"/>
        <v>653.30000000000007</v>
      </c>
      <c r="M60">
        <v>0.4</v>
      </c>
      <c r="N60">
        <v>1.7</v>
      </c>
      <c r="O60">
        <f t="shared" si="2"/>
        <v>-1.2999999999999998</v>
      </c>
      <c r="P60">
        <f t="shared" si="8"/>
        <v>19.099999999999998</v>
      </c>
      <c r="Q60">
        <v>34</v>
      </c>
      <c r="R60">
        <f t="shared" si="7"/>
        <v>0.55489130434782608</v>
      </c>
      <c r="S60" s="9">
        <f t="shared" si="3"/>
        <v>0.94331521739130431</v>
      </c>
      <c r="T60" s="9">
        <f t="shared" si="4"/>
        <v>-0.54331521739130428</v>
      </c>
      <c r="U60" s="9">
        <f t="shared" si="9"/>
        <v>28.136413043478264</v>
      </c>
      <c r="W60">
        <v>987.3</v>
      </c>
      <c r="Y60">
        <f t="shared" si="6"/>
        <v>43932.700000000012</v>
      </c>
      <c r="AA60">
        <v>11.727950738598404</v>
      </c>
    </row>
    <row r="61" spans="1:27" x14ac:dyDescent="0.25">
      <c r="A61">
        <v>5240</v>
      </c>
      <c r="B61">
        <v>23690</v>
      </c>
      <c r="C61" s="5">
        <v>42639</v>
      </c>
      <c r="F61" s="54"/>
      <c r="G61">
        <v>14.1</v>
      </c>
      <c r="H61">
        <v>8.6999999999999993</v>
      </c>
      <c r="I61">
        <v>19.899999999999999</v>
      </c>
      <c r="J61">
        <f t="shared" si="5"/>
        <v>667.40000000000009</v>
      </c>
      <c r="M61">
        <v>0</v>
      </c>
      <c r="N61">
        <v>1.5</v>
      </c>
      <c r="O61">
        <f t="shared" si="2"/>
        <v>-1.5</v>
      </c>
      <c r="P61">
        <f t="shared" si="8"/>
        <v>17.599999999999998</v>
      </c>
      <c r="Q61">
        <v>35</v>
      </c>
      <c r="R61">
        <f t="shared" si="7"/>
        <v>0.56195652173913047</v>
      </c>
      <c r="S61" s="9">
        <f t="shared" si="3"/>
        <v>0.8429347826086957</v>
      </c>
      <c r="T61" s="9">
        <f t="shared" si="4"/>
        <v>-0.8429347826086957</v>
      </c>
      <c r="U61" s="9">
        <f t="shared" si="9"/>
        <v>27.29347826086957</v>
      </c>
      <c r="W61">
        <v>934.8</v>
      </c>
      <c r="Y61">
        <f t="shared" si="6"/>
        <v>44867.500000000015</v>
      </c>
      <c r="AA61">
        <v>11.667570202911815</v>
      </c>
    </row>
    <row r="62" spans="1:27" x14ac:dyDescent="0.25">
      <c r="A62">
        <v>5240</v>
      </c>
      <c r="B62">
        <v>23690</v>
      </c>
      <c r="C62" s="5">
        <v>42640</v>
      </c>
      <c r="F62" s="54"/>
      <c r="G62">
        <v>16.5</v>
      </c>
      <c r="H62">
        <v>10.6</v>
      </c>
      <c r="I62">
        <v>21.9</v>
      </c>
      <c r="J62">
        <f t="shared" si="5"/>
        <v>683.90000000000009</v>
      </c>
      <c r="M62">
        <v>0</v>
      </c>
      <c r="N62">
        <v>2.2000000000000002</v>
      </c>
      <c r="O62">
        <f t="shared" si="2"/>
        <v>-2.2000000000000002</v>
      </c>
      <c r="P62">
        <f t="shared" si="8"/>
        <v>15.399999999999999</v>
      </c>
      <c r="Q62">
        <v>36</v>
      </c>
      <c r="R62">
        <f t="shared" si="7"/>
        <v>0.56902173913043474</v>
      </c>
      <c r="S62" s="9">
        <f t="shared" si="3"/>
        <v>1.2518478260869565</v>
      </c>
      <c r="T62" s="9">
        <f t="shared" si="4"/>
        <v>-1.2518478260869565</v>
      </c>
      <c r="U62" s="9">
        <f t="shared" si="9"/>
        <v>26.041630434782615</v>
      </c>
      <c r="W62">
        <v>1044.8</v>
      </c>
      <c r="Y62">
        <f t="shared" si="6"/>
        <v>45912.300000000017</v>
      </c>
      <c r="AA62">
        <v>11.607234801011575</v>
      </c>
    </row>
    <row r="63" spans="1:27" x14ac:dyDescent="0.25">
      <c r="A63">
        <v>5240</v>
      </c>
      <c r="B63">
        <v>23690</v>
      </c>
      <c r="C63" s="5">
        <v>42641</v>
      </c>
      <c r="F63" s="54"/>
      <c r="G63">
        <v>17.3</v>
      </c>
      <c r="H63">
        <v>15.9</v>
      </c>
      <c r="I63">
        <v>20.9</v>
      </c>
      <c r="J63">
        <f t="shared" si="5"/>
        <v>701.2</v>
      </c>
      <c r="M63">
        <v>0.2</v>
      </c>
      <c r="N63">
        <v>1.8</v>
      </c>
      <c r="O63">
        <f t="shared" si="2"/>
        <v>-1.6</v>
      </c>
      <c r="P63">
        <f t="shared" si="8"/>
        <v>13.799999999999999</v>
      </c>
      <c r="Q63">
        <v>37</v>
      </c>
      <c r="R63">
        <f t="shared" si="7"/>
        <v>0.57608695652173914</v>
      </c>
      <c r="S63" s="9">
        <f t="shared" si="3"/>
        <v>1.0369565217391306</v>
      </c>
      <c r="T63" s="9">
        <f t="shared" si="4"/>
        <v>-0.8369565217391306</v>
      </c>
      <c r="U63" s="9">
        <f t="shared" si="9"/>
        <v>25.204673913043486</v>
      </c>
      <c r="W63">
        <v>817.9</v>
      </c>
      <c r="Y63">
        <f t="shared" si="6"/>
        <v>46730.200000000019</v>
      </c>
      <c r="AA63">
        <v>11.546952939168007</v>
      </c>
    </row>
    <row r="64" spans="1:27" x14ac:dyDescent="0.25">
      <c r="A64">
        <v>5240</v>
      </c>
      <c r="B64">
        <v>23690</v>
      </c>
      <c r="C64" s="5">
        <v>42642</v>
      </c>
      <c r="F64" s="54"/>
      <c r="G64">
        <v>16.3</v>
      </c>
      <c r="H64">
        <v>13.7</v>
      </c>
      <c r="I64">
        <v>18.7</v>
      </c>
      <c r="J64">
        <f t="shared" si="5"/>
        <v>717.5</v>
      </c>
      <c r="M64">
        <v>0</v>
      </c>
      <c r="N64">
        <v>1</v>
      </c>
      <c r="O64">
        <f t="shared" si="2"/>
        <v>-1</v>
      </c>
      <c r="P64">
        <f t="shared" si="8"/>
        <v>12.799999999999999</v>
      </c>
      <c r="Q64">
        <v>38</v>
      </c>
      <c r="R64">
        <f t="shared" si="7"/>
        <v>0.58315217391304341</v>
      </c>
      <c r="S64" s="9">
        <f t="shared" si="3"/>
        <v>0.58315217391304341</v>
      </c>
      <c r="T64" s="9">
        <f t="shared" si="4"/>
        <v>-0.58315217391304341</v>
      </c>
      <c r="U64" s="9">
        <f t="shared" si="9"/>
        <v>24.621521739130444</v>
      </c>
      <c r="W64">
        <v>433.1</v>
      </c>
      <c r="Y64">
        <f t="shared" si="6"/>
        <v>47163.300000000017</v>
      </c>
      <c r="AA64">
        <v>11.48673312349522</v>
      </c>
    </row>
    <row r="65" spans="1:27" x14ac:dyDescent="0.25">
      <c r="A65">
        <v>5240</v>
      </c>
      <c r="B65">
        <v>23690</v>
      </c>
      <c r="C65" s="5">
        <v>42643</v>
      </c>
      <c r="F65" s="54"/>
      <c r="G65">
        <v>14.2</v>
      </c>
      <c r="H65">
        <v>12.3</v>
      </c>
      <c r="I65">
        <v>16.600000000000001</v>
      </c>
      <c r="J65">
        <f t="shared" si="5"/>
        <v>731.7</v>
      </c>
      <c r="M65">
        <v>4.5</v>
      </c>
      <c r="N65">
        <v>0.7</v>
      </c>
      <c r="O65">
        <f t="shared" si="2"/>
        <v>3.8</v>
      </c>
      <c r="P65">
        <f t="shared" si="8"/>
        <v>16.599999999999998</v>
      </c>
      <c r="Q65">
        <v>39</v>
      </c>
      <c r="R65">
        <f t="shared" si="7"/>
        <v>0.5902173913043478</v>
      </c>
      <c r="S65" s="9">
        <f t="shared" si="3"/>
        <v>0.41315217391304343</v>
      </c>
      <c r="T65" s="9">
        <f t="shared" si="4"/>
        <v>4.0868478260869567</v>
      </c>
      <c r="U65" s="9">
        <f t="shared" si="9"/>
        <v>28.708369565217399</v>
      </c>
      <c r="W65">
        <v>405.5</v>
      </c>
      <c r="Y65">
        <f t="shared" si="6"/>
        <v>47568.800000000017</v>
      </c>
      <c r="AA65">
        <v>11.426583975138611</v>
      </c>
    </row>
    <row r="66" spans="1:27" x14ac:dyDescent="0.25">
      <c r="A66">
        <v>5240</v>
      </c>
      <c r="B66">
        <v>23690</v>
      </c>
      <c r="C66" s="5">
        <v>42644</v>
      </c>
      <c r="F66" s="54"/>
      <c r="G66">
        <v>12.8</v>
      </c>
      <c r="H66">
        <v>10.9</v>
      </c>
      <c r="I66">
        <v>16.8</v>
      </c>
      <c r="J66">
        <f t="shared" si="5"/>
        <v>744.5</v>
      </c>
      <c r="M66">
        <v>0.8</v>
      </c>
      <c r="N66">
        <v>1.8</v>
      </c>
      <c r="O66">
        <f t="shared" si="2"/>
        <v>-1</v>
      </c>
      <c r="P66">
        <f t="shared" si="8"/>
        <v>15.599999999999998</v>
      </c>
      <c r="Q66">
        <v>40</v>
      </c>
      <c r="R66">
        <f t="shared" si="7"/>
        <v>0.5972826086956522</v>
      </c>
      <c r="S66" s="9">
        <f t="shared" si="3"/>
        <v>1.075108695652174</v>
      </c>
      <c r="T66" s="9">
        <f t="shared" si="4"/>
        <v>-0.275108695652174</v>
      </c>
      <c r="U66" s="9">
        <f t="shared" si="9"/>
        <v>28.433260869565224</v>
      </c>
      <c r="W66">
        <v>1080.0999999999999</v>
      </c>
      <c r="Y66">
        <f t="shared" si="6"/>
        <v>48648.900000000016</v>
      </c>
      <c r="AA66">
        <v>11.366514245384266</v>
      </c>
    </row>
    <row r="67" spans="1:27" x14ac:dyDescent="0.25">
      <c r="A67">
        <v>5240</v>
      </c>
      <c r="B67">
        <v>23690</v>
      </c>
      <c r="C67" s="5">
        <v>42645</v>
      </c>
      <c r="F67" s="54"/>
      <c r="G67">
        <v>11</v>
      </c>
      <c r="H67">
        <v>8</v>
      </c>
      <c r="I67">
        <v>15.7</v>
      </c>
      <c r="J67">
        <f t="shared" si="5"/>
        <v>755.5</v>
      </c>
      <c r="M67">
        <v>0.1</v>
      </c>
      <c r="N67">
        <v>1.5</v>
      </c>
      <c r="O67">
        <f t="shared" si="2"/>
        <v>-1.4</v>
      </c>
      <c r="P67">
        <f t="shared" si="8"/>
        <v>14.199999999999998</v>
      </c>
      <c r="Q67">
        <v>41</v>
      </c>
      <c r="R67">
        <f t="shared" si="7"/>
        <v>0.60434782608695659</v>
      </c>
      <c r="S67" s="9">
        <f t="shared" si="3"/>
        <v>0.90652173913043488</v>
      </c>
      <c r="T67" s="9">
        <f t="shared" si="4"/>
        <v>-0.8065217391304349</v>
      </c>
      <c r="U67" s="9">
        <f t="shared" si="9"/>
        <v>27.626739130434789</v>
      </c>
      <c r="W67">
        <v>867.4</v>
      </c>
      <c r="Y67">
        <f t="shared" si="6"/>
        <v>49516.300000000017</v>
      </c>
      <c r="AA67">
        <v>11.306532830677286</v>
      </c>
    </row>
    <row r="68" spans="1:27" x14ac:dyDescent="0.25">
      <c r="A68">
        <v>5240</v>
      </c>
      <c r="B68">
        <v>23690</v>
      </c>
      <c r="C68" s="5">
        <v>42646</v>
      </c>
      <c r="F68" s="54"/>
      <c r="G68">
        <v>10.7</v>
      </c>
      <c r="H68">
        <v>3.9</v>
      </c>
      <c r="I68">
        <v>17.2</v>
      </c>
      <c r="J68">
        <f t="shared" si="5"/>
        <v>766.2</v>
      </c>
      <c r="M68">
        <v>0.1</v>
      </c>
      <c r="N68">
        <v>2</v>
      </c>
      <c r="O68">
        <f t="shared" si="2"/>
        <v>-1.9</v>
      </c>
      <c r="P68">
        <f t="shared" si="8"/>
        <v>12.299999999999997</v>
      </c>
      <c r="Q68">
        <v>42</v>
      </c>
      <c r="R68">
        <f t="shared" si="7"/>
        <v>0.61141304347826086</v>
      </c>
      <c r="S68" s="9">
        <f t="shared" si="3"/>
        <v>1.2228260869565217</v>
      </c>
      <c r="T68" s="9">
        <f t="shared" si="4"/>
        <v>-1.1228260869565216</v>
      </c>
      <c r="U68" s="9">
        <f t="shared" si="9"/>
        <v>26.503913043478267</v>
      </c>
      <c r="W68">
        <v>1388.1</v>
      </c>
      <c r="Y68">
        <f t="shared" si="6"/>
        <v>50904.400000000016</v>
      </c>
      <c r="AA68">
        <v>11.246648787534923</v>
      </c>
    </row>
    <row r="69" spans="1:27" x14ac:dyDescent="0.25">
      <c r="A69">
        <v>5240</v>
      </c>
      <c r="B69">
        <v>23690</v>
      </c>
      <c r="C69" s="5">
        <v>42647</v>
      </c>
      <c r="F69" s="54"/>
      <c r="G69">
        <v>13</v>
      </c>
      <c r="H69">
        <v>8.5</v>
      </c>
      <c r="I69">
        <v>18.399999999999999</v>
      </c>
      <c r="J69">
        <f t="shared" si="5"/>
        <v>779.2</v>
      </c>
      <c r="M69">
        <v>0</v>
      </c>
      <c r="N69">
        <v>2.7</v>
      </c>
      <c r="O69">
        <f t="shared" si="2"/>
        <v>-2.7</v>
      </c>
      <c r="P69">
        <f t="shared" si="8"/>
        <v>9.5999999999999979</v>
      </c>
      <c r="Q69">
        <v>43</v>
      </c>
      <c r="R69">
        <f t="shared" si="7"/>
        <v>0.61847826086956514</v>
      </c>
      <c r="S69" s="9">
        <f t="shared" si="3"/>
        <v>1.6698913043478261</v>
      </c>
      <c r="T69" s="9">
        <f t="shared" si="4"/>
        <v>-1.6698913043478261</v>
      </c>
      <c r="U69" s="9">
        <f t="shared" si="9"/>
        <v>24.834021739130442</v>
      </c>
      <c r="W69">
        <v>1446.4</v>
      </c>
      <c r="Y69">
        <f t="shared" si="6"/>
        <v>52350.800000000017</v>
      </c>
      <c r="AA69">
        <v>11.186871347339521</v>
      </c>
    </row>
    <row r="70" spans="1:27" x14ac:dyDescent="0.25">
      <c r="A70">
        <v>5240</v>
      </c>
      <c r="B70">
        <v>23690</v>
      </c>
      <c r="C70" s="5">
        <v>42648</v>
      </c>
      <c r="F70" s="54"/>
      <c r="G70">
        <v>11.9</v>
      </c>
      <c r="H70">
        <v>9.4</v>
      </c>
      <c r="I70">
        <v>16</v>
      </c>
      <c r="J70">
        <f t="shared" si="5"/>
        <v>791.1</v>
      </c>
      <c r="M70">
        <v>0</v>
      </c>
      <c r="N70">
        <v>2.7</v>
      </c>
      <c r="O70">
        <f t="shared" si="2"/>
        <v>-2.7</v>
      </c>
      <c r="P70">
        <f t="shared" si="8"/>
        <v>6.8999999999999977</v>
      </c>
      <c r="Q70">
        <v>44</v>
      </c>
      <c r="R70">
        <f t="shared" si="7"/>
        <v>0.62554347826086953</v>
      </c>
      <c r="S70" s="9">
        <f t="shared" si="3"/>
        <v>1.6889673913043479</v>
      </c>
      <c r="T70" s="9">
        <f t="shared" si="4"/>
        <v>-1.6889673913043479</v>
      </c>
      <c r="U70" s="9">
        <f t="shared" si="9"/>
        <v>23.145054347826093</v>
      </c>
      <c r="W70">
        <v>1409.6</v>
      </c>
      <c r="Y70">
        <f t="shared" si="6"/>
        <v>53760.400000000016</v>
      </c>
      <c r="AA70">
        <v>11.127209930994903</v>
      </c>
    </row>
    <row r="71" spans="1:27" x14ac:dyDescent="0.25">
      <c r="A71">
        <v>5240</v>
      </c>
      <c r="B71">
        <v>23690</v>
      </c>
      <c r="C71" s="5">
        <v>42649</v>
      </c>
      <c r="F71" s="54"/>
      <c r="G71">
        <v>9.6999999999999993</v>
      </c>
      <c r="H71">
        <v>4.5</v>
      </c>
      <c r="I71">
        <v>14</v>
      </c>
      <c r="J71">
        <f t="shared" si="5"/>
        <v>800.80000000000007</v>
      </c>
      <c r="M71">
        <v>0</v>
      </c>
      <c r="N71">
        <v>2.1</v>
      </c>
      <c r="O71">
        <f t="shared" si="2"/>
        <v>-2.1</v>
      </c>
      <c r="P71">
        <f t="shared" si="8"/>
        <v>4.7999999999999972</v>
      </c>
      <c r="Q71">
        <v>45</v>
      </c>
      <c r="R71">
        <f t="shared" si="7"/>
        <v>0.63260869565217392</v>
      </c>
      <c r="S71" s="9">
        <f t="shared" si="3"/>
        <v>1.3284782608695653</v>
      </c>
      <c r="T71" s="9">
        <f t="shared" si="4"/>
        <v>-1.3284782608695653</v>
      </c>
      <c r="U71" s="9">
        <f t="shared" si="9"/>
        <v>21.816576086956527</v>
      </c>
      <c r="W71">
        <v>1336.5</v>
      </c>
      <c r="Y71">
        <f t="shared" si="6"/>
        <v>55096.900000000016</v>
      </c>
      <c r="AA71">
        <v>11.067674163428592</v>
      </c>
    </row>
    <row r="72" spans="1:27" x14ac:dyDescent="0.25">
      <c r="A72">
        <v>5240</v>
      </c>
      <c r="B72">
        <v>23690</v>
      </c>
      <c r="C72" s="5">
        <v>42650</v>
      </c>
      <c r="F72" s="54"/>
      <c r="G72">
        <v>10.5</v>
      </c>
      <c r="H72">
        <v>6.4</v>
      </c>
      <c r="I72">
        <v>13.3</v>
      </c>
      <c r="J72">
        <f t="shared" si="5"/>
        <v>811.30000000000007</v>
      </c>
      <c r="M72">
        <v>0</v>
      </c>
      <c r="N72">
        <v>0.9</v>
      </c>
      <c r="O72">
        <f t="shared" si="2"/>
        <v>-0.9</v>
      </c>
      <c r="P72">
        <f t="shared" si="8"/>
        <v>3.8999999999999972</v>
      </c>
      <c r="Q72">
        <v>46</v>
      </c>
      <c r="R72">
        <f t="shared" si="7"/>
        <v>0.63967391304347831</v>
      </c>
      <c r="S72" s="9">
        <f t="shared" si="3"/>
        <v>0.57570652173913051</v>
      </c>
      <c r="T72" s="9">
        <f t="shared" si="4"/>
        <v>-0.57570652173913051</v>
      </c>
      <c r="U72" s="9">
        <f t="shared" si="9"/>
        <v>21.240869565217395</v>
      </c>
      <c r="W72">
        <v>468.5</v>
      </c>
      <c r="Y72">
        <f t="shared" si="6"/>
        <v>55565.400000000016</v>
      </c>
      <c r="AA72">
        <v>11.008273887920744</v>
      </c>
    </row>
    <row r="73" spans="1:27" x14ac:dyDescent="0.25">
      <c r="A73">
        <v>5240</v>
      </c>
      <c r="B73">
        <v>23690</v>
      </c>
      <c r="C73" s="5">
        <v>42651</v>
      </c>
      <c r="F73" s="54"/>
      <c r="G73">
        <v>11</v>
      </c>
      <c r="H73">
        <v>9.3000000000000007</v>
      </c>
      <c r="I73">
        <v>14.8</v>
      </c>
      <c r="J73">
        <f t="shared" si="5"/>
        <v>822.30000000000007</v>
      </c>
      <c r="M73">
        <v>0</v>
      </c>
      <c r="N73">
        <v>1.3</v>
      </c>
      <c r="O73">
        <f t="shared" si="2"/>
        <v>-1.3</v>
      </c>
      <c r="P73">
        <f t="shared" si="8"/>
        <v>2.599999999999997</v>
      </c>
      <c r="Q73">
        <v>47</v>
      </c>
      <c r="R73">
        <f t="shared" si="7"/>
        <v>0.64673913043478259</v>
      </c>
      <c r="S73" s="9">
        <f t="shared" si="3"/>
        <v>0.84076086956521745</v>
      </c>
      <c r="T73" s="9">
        <f t="shared" si="4"/>
        <v>-0.84076086956521745</v>
      </c>
      <c r="U73" s="9">
        <f t="shared" si="9"/>
        <v>20.400108695652179</v>
      </c>
      <c r="W73">
        <v>610</v>
      </c>
      <c r="Y73">
        <f t="shared" si="6"/>
        <v>56175.400000000016</v>
      </c>
      <c r="AA73">
        <v>10.94901918023923</v>
      </c>
    </row>
    <row r="74" spans="1:27" x14ac:dyDescent="0.25">
      <c r="A74">
        <v>5240</v>
      </c>
      <c r="B74">
        <v>23690</v>
      </c>
      <c r="C74" s="5">
        <v>42652</v>
      </c>
      <c r="F74" s="54"/>
      <c r="G74">
        <v>9.3000000000000007</v>
      </c>
      <c r="H74">
        <v>5.0999999999999996</v>
      </c>
      <c r="I74">
        <v>15.3</v>
      </c>
      <c r="J74">
        <f t="shared" si="5"/>
        <v>831.6</v>
      </c>
      <c r="M74">
        <v>0</v>
      </c>
      <c r="N74">
        <v>1.2</v>
      </c>
      <c r="O74">
        <f t="shared" si="2"/>
        <v>-1.2</v>
      </c>
      <c r="P74">
        <f t="shared" si="8"/>
        <v>1.399999999999997</v>
      </c>
      <c r="Q74">
        <v>48</v>
      </c>
      <c r="R74">
        <f t="shared" si="7"/>
        <v>0.65380434782608698</v>
      </c>
      <c r="S74" s="9">
        <f t="shared" si="3"/>
        <v>0.78456521739130436</v>
      </c>
      <c r="T74" s="9">
        <f t="shared" si="4"/>
        <v>-0.78456521739130436</v>
      </c>
      <c r="U74" s="9">
        <f t="shared" si="9"/>
        <v>19.615543478260875</v>
      </c>
      <c r="W74">
        <v>622.1</v>
      </c>
      <c r="Y74">
        <f t="shared" si="6"/>
        <v>56797.500000000015</v>
      </c>
      <c r="AA74">
        <v>10.889920362558547</v>
      </c>
    </row>
    <row r="75" spans="1:27" x14ac:dyDescent="0.25">
      <c r="A75">
        <v>5240</v>
      </c>
      <c r="B75">
        <v>23690</v>
      </c>
      <c r="C75" s="5">
        <v>42653</v>
      </c>
      <c r="F75" s="54"/>
      <c r="G75">
        <v>7.7</v>
      </c>
      <c r="H75">
        <v>1.7</v>
      </c>
      <c r="I75">
        <v>14</v>
      </c>
      <c r="J75">
        <f t="shared" si="5"/>
        <v>839.30000000000007</v>
      </c>
      <c r="M75">
        <v>0</v>
      </c>
      <c r="N75">
        <v>1.2</v>
      </c>
      <c r="O75">
        <f t="shared" si="2"/>
        <v>-1.2</v>
      </c>
      <c r="P75">
        <f t="shared" si="8"/>
        <v>0.19999999999999707</v>
      </c>
      <c r="Q75">
        <v>49</v>
      </c>
      <c r="R75">
        <f t="shared" si="7"/>
        <v>0.66086956521739126</v>
      </c>
      <c r="S75" s="9">
        <f t="shared" si="3"/>
        <v>0.79304347826086952</v>
      </c>
      <c r="T75" s="9">
        <f t="shared" si="4"/>
        <v>-0.79304347826086952</v>
      </c>
      <c r="U75" s="9">
        <f t="shared" si="9"/>
        <v>18.822500000000005</v>
      </c>
      <c r="W75">
        <v>899.7</v>
      </c>
      <c r="Y75">
        <f t="shared" si="6"/>
        <v>57697.200000000012</v>
      </c>
      <c r="AA75">
        <v>10.830988017138553</v>
      </c>
    </row>
    <row r="76" spans="1:27" x14ac:dyDescent="0.25">
      <c r="A76">
        <v>5240</v>
      </c>
      <c r="B76">
        <v>23690</v>
      </c>
      <c r="C76" s="5">
        <v>42654</v>
      </c>
      <c r="F76" s="54"/>
      <c r="G76">
        <v>7.4</v>
      </c>
      <c r="H76">
        <v>4.3</v>
      </c>
      <c r="I76">
        <v>11.7</v>
      </c>
      <c r="J76">
        <f t="shared" si="5"/>
        <v>846.7</v>
      </c>
      <c r="M76">
        <v>0.2</v>
      </c>
      <c r="N76">
        <v>1.4</v>
      </c>
      <c r="O76">
        <f t="shared" si="2"/>
        <v>-1.2</v>
      </c>
      <c r="P76">
        <v>0</v>
      </c>
      <c r="Q76">
        <v>50</v>
      </c>
      <c r="R76">
        <f t="shared" si="7"/>
        <v>0.66793478260869565</v>
      </c>
      <c r="S76" s="9">
        <f t="shared" si="3"/>
        <v>0.9351086956521738</v>
      </c>
      <c r="T76" s="9">
        <f t="shared" si="4"/>
        <v>-0.73510869565217374</v>
      </c>
      <c r="U76" s="9">
        <f t="shared" si="9"/>
        <v>18.087391304347832</v>
      </c>
      <c r="W76">
        <v>1152.5999999999999</v>
      </c>
      <c r="Y76">
        <f t="shared" si="6"/>
        <v>58849.80000000001</v>
      </c>
      <c r="AA76">
        <v>10.772232999737039</v>
      </c>
    </row>
    <row r="77" spans="1:27" x14ac:dyDescent="0.25">
      <c r="A77">
        <v>5240</v>
      </c>
      <c r="B77">
        <v>23690</v>
      </c>
      <c r="C77" s="5">
        <v>42655</v>
      </c>
      <c r="F77" s="54"/>
      <c r="G77">
        <v>7.7</v>
      </c>
      <c r="H77">
        <v>1.6</v>
      </c>
      <c r="I77">
        <v>13.7</v>
      </c>
      <c r="J77">
        <f t="shared" si="5"/>
        <v>854.40000000000009</v>
      </c>
      <c r="M77">
        <v>0</v>
      </c>
      <c r="N77">
        <v>1.7</v>
      </c>
      <c r="O77">
        <f t="shared" si="2"/>
        <v>-1.7</v>
      </c>
      <c r="P77">
        <v>0</v>
      </c>
      <c r="Q77">
        <v>51</v>
      </c>
      <c r="R77">
        <f t="shared" si="7"/>
        <v>0.67500000000000004</v>
      </c>
      <c r="S77" s="9">
        <f t="shared" si="3"/>
        <v>1.1475</v>
      </c>
      <c r="T77" s="9">
        <f t="shared" si="4"/>
        <v>-1.1475</v>
      </c>
      <c r="U77" s="9">
        <f t="shared" si="9"/>
        <v>16.939891304347832</v>
      </c>
      <c r="W77">
        <v>1285.5</v>
      </c>
      <c r="Y77">
        <f t="shared" si="6"/>
        <v>60135.30000000001</v>
      </c>
      <c r="AA77">
        <v>10.713666452728338</v>
      </c>
    </row>
    <row r="78" spans="1:27" x14ac:dyDescent="0.25">
      <c r="A78">
        <v>5240</v>
      </c>
      <c r="B78">
        <v>23690</v>
      </c>
      <c r="C78" s="5">
        <v>42656</v>
      </c>
      <c r="F78" s="54"/>
      <c r="G78">
        <v>7.5</v>
      </c>
      <c r="H78">
        <v>4.4000000000000004</v>
      </c>
      <c r="I78">
        <v>9.4</v>
      </c>
      <c r="J78">
        <f t="shared" si="5"/>
        <v>861.90000000000009</v>
      </c>
      <c r="M78">
        <v>2.5</v>
      </c>
      <c r="N78">
        <v>0.3</v>
      </c>
      <c r="O78">
        <f t="shared" si="2"/>
        <v>2.2000000000000002</v>
      </c>
      <c r="P78">
        <f t="shared" si="8"/>
        <v>2.2000000000000002</v>
      </c>
      <c r="Q78">
        <v>52</v>
      </c>
      <c r="R78">
        <f t="shared" si="7"/>
        <v>0.68206521739130443</v>
      </c>
      <c r="S78" s="9">
        <f t="shared" si="3"/>
        <v>0.20461956521739133</v>
      </c>
      <c r="T78" s="9">
        <f t="shared" si="4"/>
        <v>2.2953804347826088</v>
      </c>
      <c r="U78" s="9">
        <f t="shared" si="9"/>
        <v>19.23527173913044</v>
      </c>
      <c r="W78">
        <v>282.7</v>
      </c>
      <c r="Y78">
        <f t="shared" si="6"/>
        <v>60418.000000000007</v>
      </c>
      <c r="AA78">
        <v>10.655299817897946</v>
      </c>
    </row>
    <row r="79" spans="1:27" x14ac:dyDescent="0.25">
      <c r="A79">
        <v>5240</v>
      </c>
      <c r="B79">
        <v>23690</v>
      </c>
      <c r="C79" s="5">
        <v>42657</v>
      </c>
      <c r="F79" s="54"/>
      <c r="G79">
        <v>10.6</v>
      </c>
      <c r="H79">
        <v>8.5</v>
      </c>
      <c r="I79">
        <v>12.1</v>
      </c>
      <c r="J79">
        <f t="shared" si="5"/>
        <v>872.50000000000011</v>
      </c>
      <c r="M79">
        <v>0.8</v>
      </c>
      <c r="N79">
        <v>0.4</v>
      </c>
      <c r="O79">
        <f t="shared" si="2"/>
        <v>0.4</v>
      </c>
      <c r="P79">
        <f t="shared" si="8"/>
        <v>2.6</v>
      </c>
      <c r="Q79">
        <v>53</v>
      </c>
      <c r="R79">
        <f t="shared" si="7"/>
        <v>0.6891304347826086</v>
      </c>
      <c r="S79" s="9">
        <f t="shared" si="3"/>
        <v>0.27565217391304347</v>
      </c>
      <c r="T79" s="9">
        <f t="shared" si="4"/>
        <v>0.52434782608695651</v>
      </c>
      <c r="U79" s="9">
        <f t="shared" si="9"/>
        <v>19.759619565217395</v>
      </c>
      <c r="W79">
        <v>214.5</v>
      </c>
      <c r="Y79">
        <f t="shared" si="6"/>
        <v>60632.500000000007</v>
      </c>
      <c r="AA79">
        <v>10.597144848881099</v>
      </c>
    </row>
    <row r="80" spans="1:27" x14ac:dyDescent="0.25">
      <c r="A80">
        <v>5240</v>
      </c>
      <c r="B80">
        <v>23690</v>
      </c>
      <c r="C80" s="5">
        <v>42658</v>
      </c>
      <c r="F80" s="54"/>
      <c r="G80">
        <v>12</v>
      </c>
      <c r="H80">
        <v>7</v>
      </c>
      <c r="I80">
        <v>16.5</v>
      </c>
      <c r="J80">
        <f t="shared" si="5"/>
        <v>884.50000000000011</v>
      </c>
      <c r="M80">
        <v>0</v>
      </c>
      <c r="N80">
        <v>1.4</v>
      </c>
      <c r="O80">
        <f t="shared" si="2"/>
        <v>-1.4</v>
      </c>
      <c r="P80">
        <f t="shared" si="8"/>
        <v>1.2000000000000002</v>
      </c>
      <c r="Q80">
        <v>54</v>
      </c>
      <c r="R80">
        <f t="shared" si="7"/>
        <v>0.69619565217391299</v>
      </c>
      <c r="S80" s="9">
        <f t="shared" si="3"/>
        <v>0.97467391304347817</v>
      </c>
      <c r="T80" s="9">
        <f t="shared" si="4"/>
        <v>-0.97467391304347817</v>
      </c>
      <c r="U80" s="9">
        <f t="shared" si="9"/>
        <v>18.784945652173917</v>
      </c>
      <c r="W80">
        <v>955.6</v>
      </c>
      <c r="Y80">
        <f t="shared" si="6"/>
        <v>61588.100000000006</v>
      </c>
      <c r="AA80">
        <v>10.539213623210905</v>
      </c>
    </row>
    <row r="81" spans="1:27" x14ac:dyDescent="0.25">
      <c r="A81">
        <v>5240</v>
      </c>
      <c r="B81">
        <v>23690</v>
      </c>
      <c r="C81" s="5">
        <v>42659</v>
      </c>
      <c r="F81" s="54"/>
      <c r="G81">
        <v>13.4</v>
      </c>
      <c r="H81">
        <v>8.5</v>
      </c>
      <c r="I81">
        <v>18.600000000000001</v>
      </c>
      <c r="J81">
        <f t="shared" si="5"/>
        <v>897.90000000000009</v>
      </c>
      <c r="M81">
        <v>4.7</v>
      </c>
      <c r="N81">
        <v>1.8</v>
      </c>
      <c r="O81">
        <f t="shared" si="2"/>
        <v>2.9000000000000004</v>
      </c>
      <c r="P81">
        <f t="shared" si="8"/>
        <v>4.1000000000000005</v>
      </c>
      <c r="Q81">
        <v>55</v>
      </c>
      <c r="R81">
        <f t="shared" si="7"/>
        <v>0.70326086956521738</v>
      </c>
      <c r="S81" s="9">
        <f t="shared" si="3"/>
        <v>1.2658695652173912</v>
      </c>
      <c r="T81" s="9">
        <f t="shared" si="4"/>
        <v>3.4341304347826087</v>
      </c>
      <c r="U81" s="9">
        <f t="shared" si="9"/>
        <v>22.219076086956527</v>
      </c>
      <c r="W81">
        <v>963.5</v>
      </c>
      <c r="Y81">
        <f t="shared" si="6"/>
        <v>62551.600000000006</v>
      </c>
      <c r="AA81">
        <v>10.481518553939358</v>
      </c>
    </row>
    <row r="82" spans="1:27" x14ac:dyDescent="0.25">
      <c r="A82">
        <v>5240</v>
      </c>
      <c r="B82">
        <v>23690</v>
      </c>
      <c r="C82" s="5">
        <v>42660</v>
      </c>
      <c r="F82" s="54"/>
      <c r="G82">
        <v>12.1</v>
      </c>
      <c r="H82">
        <v>11.2</v>
      </c>
      <c r="I82">
        <v>15.8</v>
      </c>
      <c r="J82">
        <f t="shared" si="5"/>
        <v>910.00000000000011</v>
      </c>
      <c r="M82">
        <v>0.8</v>
      </c>
      <c r="N82">
        <v>1.3</v>
      </c>
      <c r="O82">
        <f t="shared" si="2"/>
        <v>-0.5</v>
      </c>
      <c r="P82">
        <f t="shared" si="8"/>
        <v>3.6000000000000005</v>
      </c>
      <c r="Q82">
        <v>56</v>
      </c>
      <c r="R82">
        <f t="shared" si="7"/>
        <v>0.71032608695652177</v>
      </c>
      <c r="S82" s="9">
        <f t="shared" si="3"/>
        <v>0.92342391304347837</v>
      </c>
      <c r="T82" s="9">
        <f t="shared" si="4"/>
        <v>-0.12342391304347833</v>
      </c>
      <c r="U82" s="9">
        <f t="shared" si="9"/>
        <v>22.095652173913049</v>
      </c>
      <c r="W82">
        <v>748.9</v>
      </c>
      <c r="Y82">
        <f t="shared" si="6"/>
        <v>63300.500000000007</v>
      </c>
      <c r="AA82">
        <v>10.424072400792209</v>
      </c>
    </row>
    <row r="83" spans="1:27" x14ac:dyDescent="0.25">
      <c r="A83">
        <v>5240</v>
      </c>
      <c r="B83">
        <v>23690</v>
      </c>
      <c r="C83" s="5">
        <v>42661</v>
      </c>
      <c r="F83" s="54"/>
      <c r="G83">
        <v>9.9</v>
      </c>
      <c r="H83">
        <v>5.7</v>
      </c>
      <c r="I83">
        <v>15.3</v>
      </c>
      <c r="J83">
        <f t="shared" si="5"/>
        <v>919.90000000000009</v>
      </c>
      <c r="M83">
        <v>1.3</v>
      </c>
      <c r="N83">
        <v>0.8</v>
      </c>
      <c r="O83">
        <f t="shared" si="2"/>
        <v>0.5</v>
      </c>
      <c r="P83">
        <f t="shared" si="8"/>
        <v>4.1000000000000005</v>
      </c>
      <c r="Q83">
        <v>57</v>
      </c>
      <c r="R83">
        <f t="shared" si="7"/>
        <v>0.71739130434782605</v>
      </c>
      <c r="S83" s="9">
        <f t="shared" si="3"/>
        <v>0.57391304347826089</v>
      </c>
      <c r="T83" s="9">
        <f t="shared" si="4"/>
        <v>0.72608695652173916</v>
      </c>
      <c r="U83" s="9">
        <f t="shared" si="9"/>
        <v>22.821739130434789</v>
      </c>
      <c r="W83">
        <v>400.9</v>
      </c>
      <c r="Y83">
        <f t="shared" si="6"/>
        <v>63701.400000000009</v>
      </c>
      <c r="AA83">
        <v>10.36688828081612</v>
      </c>
    </row>
    <row r="84" spans="1:27" x14ac:dyDescent="0.25">
      <c r="A84">
        <v>5240</v>
      </c>
      <c r="B84">
        <v>23690</v>
      </c>
      <c r="C84" s="5">
        <v>42662</v>
      </c>
      <c r="F84" s="54"/>
      <c r="G84">
        <v>8.8000000000000007</v>
      </c>
      <c r="H84">
        <v>5.6</v>
      </c>
      <c r="I84">
        <v>11.9</v>
      </c>
      <c r="J84">
        <f t="shared" si="5"/>
        <v>928.7</v>
      </c>
      <c r="M84">
        <v>0.9</v>
      </c>
      <c r="N84">
        <v>0.9</v>
      </c>
      <c r="O84">
        <f t="shared" si="2"/>
        <v>0</v>
      </c>
      <c r="P84">
        <f t="shared" si="8"/>
        <v>4.1000000000000005</v>
      </c>
      <c r="Q84">
        <v>58</v>
      </c>
      <c r="R84">
        <f t="shared" si="7"/>
        <v>0.72445652173913044</v>
      </c>
      <c r="S84" s="9">
        <f t="shared" si="3"/>
        <v>0.65201086956521737</v>
      </c>
      <c r="T84" s="9">
        <f t="shared" si="4"/>
        <v>0.24798913043478266</v>
      </c>
      <c r="U84" s="9">
        <f t="shared" si="9"/>
        <v>23.069728260869571</v>
      </c>
      <c r="W84">
        <v>687.5</v>
      </c>
      <c r="Y84">
        <f t="shared" si="6"/>
        <v>64388.900000000009</v>
      </c>
      <c r="AA84">
        <v>10.309979678474132</v>
      </c>
    </row>
    <row r="85" spans="1:27" x14ac:dyDescent="0.25">
      <c r="A85">
        <v>5240</v>
      </c>
      <c r="B85">
        <v>23690</v>
      </c>
      <c r="C85" s="5">
        <v>42663</v>
      </c>
      <c r="F85" s="54"/>
      <c r="G85">
        <v>10.199999999999999</v>
      </c>
      <c r="H85">
        <v>7.6</v>
      </c>
      <c r="I85">
        <v>13</v>
      </c>
      <c r="J85">
        <f t="shared" si="5"/>
        <v>938.90000000000009</v>
      </c>
      <c r="M85">
        <v>0.3</v>
      </c>
      <c r="N85">
        <v>0.7</v>
      </c>
      <c r="O85">
        <f t="shared" si="2"/>
        <v>-0.39999999999999997</v>
      </c>
      <c r="P85">
        <f t="shared" si="8"/>
        <v>3.7000000000000006</v>
      </c>
      <c r="Q85">
        <v>59</v>
      </c>
      <c r="R85">
        <f t="shared" si="7"/>
        <v>0.73152173913043483</v>
      </c>
      <c r="S85" s="9">
        <f t="shared" si="3"/>
        <v>0.51206521739130439</v>
      </c>
      <c r="T85" s="9">
        <f t="shared" si="4"/>
        <v>-0.21206521739130441</v>
      </c>
      <c r="U85" s="9">
        <f t="shared" si="9"/>
        <v>22.857663043478265</v>
      </c>
      <c r="W85">
        <v>508.9</v>
      </c>
      <c r="Y85">
        <f t="shared" si="6"/>
        <v>64897.80000000001</v>
      </c>
      <c r="AA85">
        <v>10.253360455142857</v>
      </c>
    </row>
    <row r="86" spans="1:27" x14ac:dyDescent="0.25">
      <c r="A86">
        <v>5240</v>
      </c>
      <c r="B86">
        <v>23690</v>
      </c>
      <c r="C86" s="5">
        <v>42664</v>
      </c>
      <c r="F86" s="54"/>
      <c r="G86">
        <v>9.6999999999999993</v>
      </c>
      <c r="H86">
        <v>7.2</v>
      </c>
      <c r="I86">
        <v>13.1</v>
      </c>
      <c r="J86">
        <f t="shared" si="5"/>
        <v>948.60000000000014</v>
      </c>
      <c r="M86">
        <v>0.2</v>
      </c>
      <c r="N86">
        <v>1.1000000000000001</v>
      </c>
      <c r="O86">
        <f t="shared" si="2"/>
        <v>-0.90000000000000013</v>
      </c>
      <c r="P86">
        <f t="shared" si="8"/>
        <v>2.8000000000000007</v>
      </c>
      <c r="Q86">
        <v>60</v>
      </c>
      <c r="R86">
        <f t="shared" si="7"/>
        <v>0.73858695652173911</v>
      </c>
      <c r="S86" s="9">
        <f t="shared" si="3"/>
        <v>0.81244565217391307</v>
      </c>
      <c r="T86" s="9">
        <f t="shared" si="4"/>
        <v>-0.612445652173913</v>
      </c>
      <c r="U86" s="9">
        <f t="shared" si="9"/>
        <v>22.245217391304351</v>
      </c>
      <c r="W86">
        <v>861</v>
      </c>
      <c r="Y86">
        <f t="shared" si="6"/>
        <v>65758.800000000017</v>
      </c>
      <c r="AA86">
        <v>10.197044857962377</v>
      </c>
    </row>
    <row r="87" spans="1:27" x14ac:dyDescent="0.25">
      <c r="A87">
        <v>5240</v>
      </c>
      <c r="B87">
        <v>23690</v>
      </c>
      <c r="C87" s="5">
        <v>42665</v>
      </c>
      <c r="F87" s="54"/>
      <c r="G87">
        <v>7.6</v>
      </c>
      <c r="H87">
        <v>5.8</v>
      </c>
      <c r="I87">
        <v>9.6999999999999993</v>
      </c>
      <c r="J87">
        <f t="shared" si="5"/>
        <v>956.20000000000016</v>
      </c>
      <c r="M87">
        <v>0.2</v>
      </c>
      <c r="N87">
        <v>0.4</v>
      </c>
      <c r="O87">
        <f t="shared" si="2"/>
        <v>-0.2</v>
      </c>
      <c r="P87">
        <f t="shared" si="8"/>
        <v>2.6000000000000005</v>
      </c>
      <c r="Q87">
        <v>61</v>
      </c>
      <c r="R87">
        <f t="shared" si="7"/>
        <v>0.7456521739130435</v>
      </c>
      <c r="S87" s="9">
        <f t="shared" si="3"/>
        <v>0.29826086956521741</v>
      </c>
      <c r="T87" s="9">
        <f t="shared" si="4"/>
        <v>-9.8260869565217401E-2</v>
      </c>
      <c r="U87" s="9">
        <f t="shared" si="9"/>
        <v>22.146956521739135</v>
      </c>
      <c r="W87">
        <v>435.5</v>
      </c>
      <c r="Y87">
        <f t="shared" si="6"/>
        <v>66194.300000000017</v>
      </c>
      <c r="AA87">
        <v>10.141047527987157</v>
      </c>
    </row>
    <row r="88" spans="1:27" x14ac:dyDescent="0.25">
      <c r="A88">
        <v>5240</v>
      </c>
      <c r="B88">
        <v>23690</v>
      </c>
      <c r="C88" s="5">
        <v>42666</v>
      </c>
      <c r="F88" s="54"/>
      <c r="G88">
        <v>8.1</v>
      </c>
      <c r="H88">
        <v>3.9</v>
      </c>
      <c r="I88">
        <v>10.8</v>
      </c>
      <c r="J88">
        <f t="shared" si="5"/>
        <v>964.30000000000018</v>
      </c>
      <c r="M88">
        <v>7</v>
      </c>
      <c r="N88">
        <v>0.4</v>
      </c>
      <c r="O88">
        <f t="shared" si="2"/>
        <v>6.6</v>
      </c>
      <c r="P88">
        <f t="shared" si="8"/>
        <v>9.1999999999999993</v>
      </c>
      <c r="Q88">
        <v>62</v>
      </c>
      <c r="R88">
        <f t="shared" si="7"/>
        <v>0.75271739130434778</v>
      </c>
      <c r="S88" s="9">
        <f t="shared" si="3"/>
        <v>0.30108695652173911</v>
      </c>
      <c r="T88" s="9">
        <f t="shared" si="4"/>
        <v>6.6989130434782611</v>
      </c>
      <c r="U88" s="9">
        <f t="shared" si="9"/>
        <v>28.845869565217395</v>
      </c>
      <c r="W88">
        <v>363.4</v>
      </c>
      <c r="Y88">
        <f t="shared" si="6"/>
        <v>66557.700000000012</v>
      </c>
      <c r="AA88">
        <v>10.085383507583803</v>
      </c>
    </row>
    <row r="89" spans="1:27" x14ac:dyDescent="0.25">
      <c r="A89">
        <v>5240</v>
      </c>
      <c r="B89">
        <v>23690</v>
      </c>
      <c r="C89" s="5">
        <v>42667</v>
      </c>
      <c r="F89" s="54"/>
      <c r="G89">
        <v>11.6</v>
      </c>
      <c r="H89">
        <v>9.5</v>
      </c>
      <c r="I89">
        <v>12.9</v>
      </c>
      <c r="J89">
        <f t="shared" si="5"/>
        <v>975.9000000000002</v>
      </c>
      <c r="M89">
        <v>0.6</v>
      </c>
      <c r="N89">
        <v>0</v>
      </c>
      <c r="O89">
        <f t="shared" si="2"/>
        <v>0.6</v>
      </c>
      <c r="P89">
        <f t="shared" si="8"/>
        <v>9.7999999999999989</v>
      </c>
      <c r="Q89">
        <v>63</v>
      </c>
      <c r="R89">
        <f t="shared" si="7"/>
        <v>0.75978260869565217</v>
      </c>
      <c r="S89" s="9">
        <f t="shared" si="3"/>
        <v>0</v>
      </c>
      <c r="T89" s="9">
        <f t="shared" si="4"/>
        <v>0.6</v>
      </c>
      <c r="U89" s="9">
        <f t="shared" si="9"/>
        <v>29.445869565217397</v>
      </c>
      <c r="W89">
        <v>115.2</v>
      </c>
      <c r="Y89">
        <f t="shared" si="6"/>
        <v>66672.900000000009</v>
      </c>
      <c r="AA89">
        <v>10.030068247019081</v>
      </c>
    </row>
    <row r="90" spans="1:27" x14ac:dyDescent="0.25">
      <c r="A90">
        <v>5240</v>
      </c>
      <c r="B90">
        <v>23690</v>
      </c>
      <c r="C90" s="5">
        <v>42668</v>
      </c>
      <c r="F90" s="54"/>
      <c r="G90">
        <v>12.5</v>
      </c>
      <c r="H90">
        <v>12.1</v>
      </c>
      <c r="I90">
        <v>13.4</v>
      </c>
      <c r="J90">
        <f t="shared" si="5"/>
        <v>988.4000000000002</v>
      </c>
      <c r="M90">
        <v>0.2</v>
      </c>
      <c r="N90">
        <v>0.2</v>
      </c>
      <c r="O90">
        <f t="shared" si="2"/>
        <v>0</v>
      </c>
      <c r="P90">
        <f t="shared" si="8"/>
        <v>9.7999999999999989</v>
      </c>
      <c r="Q90">
        <v>64</v>
      </c>
      <c r="R90">
        <f t="shared" si="7"/>
        <v>0.76684782608695645</v>
      </c>
      <c r="S90" s="9">
        <f t="shared" si="3"/>
        <v>0.15336956521739131</v>
      </c>
      <c r="T90" s="9">
        <f t="shared" si="4"/>
        <v>4.6630434782608698E-2</v>
      </c>
      <c r="U90" s="9">
        <f t="shared" si="9"/>
        <v>29.492500000000007</v>
      </c>
      <c r="W90">
        <v>260</v>
      </c>
      <c r="Y90">
        <f t="shared" si="6"/>
        <v>66932.900000000009</v>
      </c>
      <c r="AA90">
        <v>9.9751176101790371</v>
      </c>
    </row>
    <row r="91" spans="1:27" x14ac:dyDescent="0.25">
      <c r="A91">
        <v>5240</v>
      </c>
      <c r="B91">
        <v>23690</v>
      </c>
      <c r="C91" s="5">
        <v>42669</v>
      </c>
      <c r="F91" s="54"/>
      <c r="G91">
        <v>10.6</v>
      </c>
      <c r="H91">
        <v>10.1</v>
      </c>
      <c r="I91">
        <v>11.3</v>
      </c>
      <c r="J91">
        <f t="shared" si="5"/>
        <v>999.00000000000023</v>
      </c>
      <c r="M91">
        <v>0.2</v>
      </c>
      <c r="N91">
        <v>0.3</v>
      </c>
      <c r="O91">
        <f t="shared" si="2"/>
        <v>-9.9999999999999978E-2</v>
      </c>
      <c r="P91">
        <f t="shared" si="8"/>
        <v>9.6999999999999993</v>
      </c>
      <c r="Q91">
        <v>65</v>
      </c>
      <c r="R91">
        <f t="shared" si="7"/>
        <v>0.77391304347826084</v>
      </c>
      <c r="S91" s="9">
        <f t="shared" si="3"/>
        <v>0.23217391304347823</v>
      </c>
      <c r="T91" s="9">
        <f t="shared" si="4"/>
        <v>-3.2173913043478219E-2</v>
      </c>
      <c r="U91" s="9">
        <f t="shared" si="9"/>
        <v>29.460326086956528</v>
      </c>
      <c r="W91">
        <v>269</v>
      </c>
      <c r="Y91">
        <f t="shared" si="6"/>
        <v>67201.900000000009</v>
      </c>
      <c r="AA91">
        <v>9.9205478793578958</v>
      </c>
    </row>
    <row r="92" spans="1:27" x14ac:dyDescent="0.25">
      <c r="A92">
        <v>5240</v>
      </c>
      <c r="B92">
        <v>23690</v>
      </c>
      <c r="C92" s="5">
        <v>42670</v>
      </c>
      <c r="F92" s="54"/>
      <c r="G92">
        <v>9.5</v>
      </c>
      <c r="H92">
        <v>8.1</v>
      </c>
      <c r="I92">
        <v>13.5</v>
      </c>
      <c r="J92">
        <f t="shared" si="5"/>
        <v>1008.5000000000002</v>
      </c>
      <c r="M92">
        <v>0.2</v>
      </c>
      <c r="N92">
        <v>0.8</v>
      </c>
      <c r="O92">
        <f t="shared" ref="O92:O155" si="10">M92-N92</f>
        <v>-0.60000000000000009</v>
      </c>
      <c r="P92">
        <f t="shared" si="8"/>
        <v>9.1</v>
      </c>
      <c r="Q92">
        <v>66</v>
      </c>
      <c r="R92">
        <f t="shared" si="7"/>
        <v>0.78097826086956523</v>
      </c>
      <c r="S92" s="9">
        <f t="shared" ref="S92:S155" si="11">R92*N92</f>
        <v>0.62478260869565228</v>
      </c>
      <c r="T92" s="9">
        <f t="shared" ref="T92:T155" si="12">M92-S92</f>
        <v>-0.42478260869565226</v>
      </c>
      <c r="U92" s="9">
        <f t="shared" si="9"/>
        <v>29.035543478260877</v>
      </c>
      <c r="W92">
        <v>406.8</v>
      </c>
      <c r="Y92">
        <f t="shared" si="6"/>
        <v>67608.700000000012</v>
      </c>
      <c r="AA92">
        <v>9.8663757590530565</v>
      </c>
    </row>
    <row r="93" spans="1:27" x14ac:dyDescent="0.25">
      <c r="A93">
        <v>5240</v>
      </c>
      <c r="B93">
        <v>23690</v>
      </c>
      <c r="C93" s="5">
        <v>42671</v>
      </c>
      <c r="F93" s="54"/>
      <c r="G93">
        <v>9.5</v>
      </c>
      <c r="H93">
        <v>5.6</v>
      </c>
      <c r="I93">
        <v>12.9</v>
      </c>
      <c r="J93">
        <f t="shared" ref="J93:J154" si="13">J92+G93</f>
        <v>1018.0000000000002</v>
      </c>
      <c r="M93">
        <v>0.2</v>
      </c>
      <c r="N93">
        <v>0.9</v>
      </c>
      <c r="O93">
        <f t="shared" si="10"/>
        <v>-0.7</v>
      </c>
      <c r="P93">
        <f t="shared" si="8"/>
        <v>8.4</v>
      </c>
      <c r="Q93">
        <v>67</v>
      </c>
      <c r="R93">
        <f t="shared" si="7"/>
        <v>0.78804347826086962</v>
      </c>
      <c r="S93" s="9">
        <f t="shared" si="11"/>
        <v>0.70923913043478271</v>
      </c>
      <c r="T93" s="9">
        <f t="shared" si="12"/>
        <v>-0.50923913043478275</v>
      </c>
      <c r="U93" s="9">
        <f t="shared" si="9"/>
        <v>28.526304347826095</v>
      </c>
      <c r="W93">
        <v>538.1</v>
      </c>
      <c r="Y93">
        <f t="shared" ref="Y93:Y156" si="14">Y92+W93</f>
        <v>68146.800000000017</v>
      </c>
      <c r="AA93">
        <v>9.812618378700579</v>
      </c>
    </row>
    <row r="94" spans="1:27" x14ac:dyDescent="0.25">
      <c r="A94">
        <v>5240</v>
      </c>
      <c r="B94">
        <v>23690</v>
      </c>
      <c r="C94" s="5">
        <v>42672</v>
      </c>
      <c r="F94" s="54"/>
      <c r="G94">
        <v>11</v>
      </c>
      <c r="H94">
        <v>10.7</v>
      </c>
      <c r="I94">
        <v>12</v>
      </c>
      <c r="J94">
        <f t="shared" si="13"/>
        <v>1029.0000000000002</v>
      </c>
      <c r="M94">
        <v>0.2</v>
      </c>
      <c r="N94">
        <v>0.6</v>
      </c>
      <c r="O94">
        <f t="shared" si="10"/>
        <v>-0.39999999999999997</v>
      </c>
      <c r="P94">
        <f t="shared" si="8"/>
        <v>8</v>
      </c>
      <c r="Q94">
        <v>68</v>
      </c>
      <c r="R94">
        <f t="shared" si="7"/>
        <v>0.79510869565217401</v>
      </c>
      <c r="S94" s="9">
        <f t="shared" si="11"/>
        <v>0.47706521739130436</v>
      </c>
      <c r="T94" s="9">
        <f t="shared" si="12"/>
        <v>-0.27706521739130435</v>
      </c>
      <c r="U94" s="9">
        <f t="shared" si="9"/>
        <v>28.249239130434791</v>
      </c>
      <c r="W94">
        <v>188</v>
      </c>
      <c r="Y94">
        <f t="shared" si="14"/>
        <v>68334.800000000017</v>
      </c>
      <c r="AA94">
        <v>9.7592932942835962</v>
      </c>
    </row>
    <row r="95" spans="1:27" x14ac:dyDescent="0.25">
      <c r="A95">
        <v>5240</v>
      </c>
      <c r="B95">
        <v>23690</v>
      </c>
      <c r="C95" s="5">
        <v>42673</v>
      </c>
      <c r="F95" s="54"/>
      <c r="G95">
        <v>10.8</v>
      </c>
      <c r="H95">
        <v>6.9</v>
      </c>
      <c r="I95">
        <v>15</v>
      </c>
      <c r="J95">
        <f t="shared" si="13"/>
        <v>1039.8000000000002</v>
      </c>
      <c r="M95">
        <v>0.2</v>
      </c>
      <c r="N95">
        <v>1</v>
      </c>
      <c r="O95">
        <f t="shared" si="10"/>
        <v>-0.8</v>
      </c>
      <c r="P95">
        <f t="shared" si="8"/>
        <v>7.2</v>
      </c>
      <c r="Q95">
        <v>69</v>
      </c>
      <c r="R95">
        <f t="shared" si="7"/>
        <v>0.80217391304347818</v>
      </c>
      <c r="S95" s="9">
        <f t="shared" si="11"/>
        <v>0.80217391304347818</v>
      </c>
      <c r="T95" s="9">
        <f t="shared" si="12"/>
        <v>-0.60217391304347823</v>
      </c>
      <c r="U95" s="9">
        <f t="shared" si="9"/>
        <v>27.647065217391312</v>
      </c>
      <c r="W95">
        <v>791</v>
      </c>
      <c r="Y95">
        <f t="shared" si="14"/>
        <v>69125.800000000017</v>
      </c>
      <c r="AA95">
        <v>9.7064184887445162</v>
      </c>
    </row>
    <row r="96" spans="1:27" x14ac:dyDescent="0.25">
      <c r="A96">
        <v>5240</v>
      </c>
      <c r="B96">
        <v>23690</v>
      </c>
      <c r="C96" s="5">
        <v>42674</v>
      </c>
      <c r="F96" s="54"/>
      <c r="G96">
        <v>10.7</v>
      </c>
      <c r="H96">
        <v>6.7</v>
      </c>
      <c r="I96">
        <v>16.3</v>
      </c>
      <c r="J96">
        <f t="shared" si="13"/>
        <v>1050.5000000000002</v>
      </c>
      <c r="M96">
        <v>0.1</v>
      </c>
      <c r="N96">
        <v>1.1000000000000001</v>
      </c>
      <c r="O96">
        <f t="shared" si="10"/>
        <v>-1</v>
      </c>
      <c r="P96">
        <f t="shared" si="8"/>
        <v>6.2</v>
      </c>
      <c r="Q96">
        <v>70</v>
      </c>
      <c r="R96">
        <f t="shared" si="7"/>
        <v>0.80923913043478257</v>
      </c>
      <c r="S96" s="9">
        <f t="shared" si="11"/>
        <v>0.89016304347826092</v>
      </c>
      <c r="T96" s="9">
        <f t="shared" si="12"/>
        <v>-0.79016304347826094</v>
      </c>
      <c r="U96" s="9">
        <f t="shared" si="9"/>
        <v>26.856902173913049</v>
      </c>
      <c r="W96">
        <v>747.4</v>
      </c>
      <c r="Y96">
        <f t="shared" si="14"/>
        <v>69873.200000000012</v>
      </c>
      <c r="AA96">
        <v>9.6540123711304435</v>
      </c>
    </row>
    <row r="97" spans="1:27" x14ac:dyDescent="0.25">
      <c r="A97">
        <v>5240</v>
      </c>
      <c r="B97">
        <v>23690</v>
      </c>
      <c r="C97" s="5">
        <v>42675</v>
      </c>
      <c r="F97" s="54"/>
      <c r="G97">
        <v>7.5</v>
      </c>
      <c r="H97">
        <v>3.2</v>
      </c>
      <c r="I97">
        <v>11.1</v>
      </c>
      <c r="J97">
        <f t="shared" si="13"/>
        <v>1058.0000000000002</v>
      </c>
      <c r="M97">
        <v>0.2</v>
      </c>
      <c r="N97">
        <v>0.6</v>
      </c>
      <c r="O97">
        <f t="shared" si="10"/>
        <v>-0.39999999999999997</v>
      </c>
      <c r="P97">
        <f t="shared" si="8"/>
        <v>5.8</v>
      </c>
      <c r="Q97">
        <v>71</v>
      </c>
      <c r="R97">
        <f t="shared" ref="R97:R123" si="15">0.35+((Q97-5)/92)*(1-0.35)</f>
        <v>0.81630434782608696</v>
      </c>
      <c r="S97" s="9">
        <f t="shared" si="11"/>
        <v>0.48978260869565216</v>
      </c>
      <c r="T97" s="9">
        <f t="shared" si="12"/>
        <v>-0.28978260869565214</v>
      </c>
      <c r="U97" s="9">
        <f t="shared" si="9"/>
        <v>26.567119565217396</v>
      </c>
      <c r="W97">
        <v>550.6</v>
      </c>
      <c r="Y97">
        <f t="shared" si="14"/>
        <v>70423.800000000017</v>
      </c>
      <c r="AA97">
        <v>9.6020937744003092</v>
      </c>
    </row>
    <row r="98" spans="1:27" x14ac:dyDescent="0.25">
      <c r="A98">
        <v>5240</v>
      </c>
      <c r="B98">
        <v>23690</v>
      </c>
      <c r="C98" s="5">
        <v>42676</v>
      </c>
      <c r="F98" s="54"/>
      <c r="G98">
        <v>7.7</v>
      </c>
      <c r="H98">
        <v>5</v>
      </c>
      <c r="I98">
        <v>11.5</v>
      </c>
      <c r="J98">
        <f t="shared" si="13"/>
        <v>1065.7000000000003</v>
      </c>
      <c r="M98">
        <v>0.1</v>
      </c>
      <c r="N98">
        <v>0.3</v>
      </c>
      <c r="O98">
        <f t="shared" si="10"/>
        <v>-0.19999999999999998</v>
      </c>
      <c r="P98">
        <f t="shared" si="8"/>
        <v>5.6</v>
      </c>
      <c r="Q98">
        <v>72</v>
      </c>
      <c r="R98">
        <f t="shared" si="15"/>
        <v>0.82336956521739135</v>
      </c>
      <c r="S98" s="9">
        <f t="shared" si="11"/>
        <v>0.24701086956521739</v>
      </c>
      <c r="T98" s="9">
        <f t="shared" si="12"/>
        <v>-0.14701086956521739</v>
      </c>
      <c r="U98" s="9">
        <f t="shared" si="9"/>
        <v>26.420108695652178</v>
      </c>
      <c r="W98">
        <v>260.10000000000002</v>
      </c>
      <c r="Y98">
        <f t="shared" si="14"/>
        <v>70683.900000000023</v>
      </c>
      <c r="AA98">
        <v>9.5506819518213408</v>
      </c>
    </row>
    <row r="99" spans="1:27" x14ac:dyDescent="0.25">
      <c r="A99">
        <v>5240</v>
      </c>
      <c r="B99">
        <v>23690</v>
      </c>
      <c r="C99" s="5">
        <v>42677</v>
      </c>
      <c r="F99" s="54"/>
      <c r="G99">
        <v>3.8</v>
      </c>
      <c r="H99">
        <v>-0.8</v>
      </c>
      <c r="I99">
        <v>10.1</v>
      </c>
      <c r="J99">
        <f t="shared" si="13"/>
        <v>1069.5000000000002</v>
      </c>
      <c r="M99">
        <v>0.2</v>
      </c>
      <c r="N99">
        <v>0.8</v>
      </c>
      <c r="O99">
        <f t="shared" si="10"/>
        <v>-0.60000000000000009</v>
      </c>
      <c r="P99">
        <f t="shared" si="8"/>
        <v>5</v>
      </c>
      <c r="Q99">
        <v>73</v>
      </c>
      <c r="R99">
        <f t="shared" si="15"/>
        <v>0.83043478260869563</v>
      </c>
      <c r="S99" s="9">
        <f t="shared" si="11"/>
        <v>0.66434782608695653</v>
      </c>
      <c r="T99" s="9">
        <f t="shared" si="12"/>
        <v>-0.46434782608695652</v>
      </c>
      <c r="U99" s="9">
        <f t="shared" si="9"/>
        <v>25.955760869565221</v>
      </c>
      <c r="W99">
        <v>688.6</v>
      </c>
      <c r="Y99">
        <f t="shared" si="14"/>
        <v>71372.500000000029</v>
      </c>
      <c r="AA99">
        <v>9.4997965718823867</v>
      </c>
    </row>
    <row r="100" spans="1:27" x14ac:dyDescent="0.25">
      <c r="A100">
        <v>5240</v>
      </c>
      <c r="B100">
        <v>23690</v>
      </c>
      <c r="C100" s="5">
        <v>42678</v>
      </c>
      <c r="F100" s="54"/>
      <c r="G100">
        <v>5.4</v>
      </c>
      <c r="H100">
        <v>2.1</v>
      </c>
      <c r="I100">
        <v>7.5</v>
      </c>
      <c r="J100">
        <f t="shared" si="13"/>
        <v>1074.9000000000003</v>
      </c>
      <c r="M100">
        <v>8.1</v>
      </c>
      <c r="N100">
        <v>0</v>
      </c>
      <c r="O100">
        <f t="shared" si="10"/>
        <v>8.1</v>
      </c>
      <c r="P100">
        <f t="shared" si="8"/>
        <v>13.1</v>
      </c>
      <c r="Q100">
        <v>74</v>
      </c>
      <c r="R100">
        <f t="shared" si="15"/>
        <v>0.83750000000000002</v>
      </c>
      <c r="S100" s="9">
        <f t="shared" si="11"/>
        <v>0</v>
      </c>
      <c r="T100" s="9">
        <f t="shared" si="12"/>
        <v>8.1</v>
      </c>
      <c r="U100" s="9">
        <f t="shared" si="9"/>
        <v>34.055760869565219</v>
      </c>
      <c r="W100">
        <v>124.9</v>
      </c>
      <c r="Y100">
        <f t="shared" si="14"/>
        <v>71497.400000000023</v>
      </c>
      <c r="AA100">
        <v>9.4494577116516787</v>
      </c>
    </row>
    <row r="101" spans="1:27" x14ac:dyDescent="0.25">
      <c r="A101">
        <v>5240</v>
      </c>
      <c r="B101">
        <v>23690</v>
      </c>
      <c r="C101" s="5">
        <v>42679</v>
      </c>
      <c r="F101" s="54"/>
      <c r="G101">
        <v>7.8</v>
      </c>
      <c r="H101">
        <v>7.1</v>
      </c>
      <c r="I101">
        <v>10.1</v>
      </c>
      <c r="J101">
        <f t="shared" si="13"/>
        <v>1082.7000000000003</v>
      </c>
      <c r="M101">
        <v>1</v>
      </c>
      <c r="N101">
        <v>0.7</v>
      </c>
      <c r="O101">
        <f t="shared" si="10"/>
        <v>0.30000000000000004</v>
      </c>
      <c r="P101">
        <f t="shared" si="8"/>
        <v>13.4</v>
      </c>
      <c r="Q101">
        <v>75</v>
      </c>
      <c r="R101">
        <f t="shared" si="15"/>
        <v>0.8445652173913043</v>
      </c>
      <c r="S101" s="9">
        <f t="shared" si="11"/>
        <v>0.59119565217391301</v>
      </c>
      <c r="T101" s="9">
        <f t="shared" si="12"/>
        <v>0.40880434782608699</v>
      </c>
      <c r="U101" s="9">
        <f t="shared" si="9"/>
        <v>34.464565217391304</v>
      </c>
      <c r="W101">
        <v>415.1</v>
      </c>
      <c r="Y101">
        <f t="shared" si="14"/>
        <v>71912.500000000029</v>
      </c>
      <c r="AA101">
        <v>9.3996858485073407</v>
      </c>
    </row>
    <row r="102" spans="1:27" x14ac:dyDescent="0.25">
      <c r="A102">
        <v>5240</v>
      </c>
      <c r="B102">
        <v>23690</v>
      </c>
      <c r="C102" s="5">
        <v>42680</v>
      </c>
      <c r="F102" s="54"/>
      <c r="G102">
        <v>4.3</v>
      </c>
      <c r="H102">
        <v>3.3</v>
      </c>
      <c r="I102">
        <v>7.2</v>
      </c>
      <c r="J102">
        <f t="shared" si="13"/>
        <v>1087.0000000000002</v>
      </c>
      <c r="M102">
        <v>0.4</v>
      </c>
      <c r="N102">
        <v>0.9</v>
      </c>
      <c r="O102">
        <f t="shared" si="10"/>
        <v>-0.5</v>
      </c>
      <c r="P102">
        <f t="shared" si="8"/>
        <v>12.9</v>
      </c>
      <c r="Q102">
        <v>76</v>
      </c>
      <c r="R102">
        <f t="shared" si="15"/>
        <v>0.85163043478260869</v>
      </c>
      <c r="S102" s="9">
        <f t="shared" si="11"/>
        <v>0.76646739130434782</v>
      </c>
      <c r="T102" s="9">
        <f t="shared" si="12"/>
        <v>-0.3664673913043478</v>
      </c>
      <c r="U102" s="9">
        <f t="shared" si="9"/>
        <v>34.098097826086956</v>
      </c>
      <c r="W102">
        <v>684.1</v>
      </c>
      <c r="Y102">
        <f t="shared" si="14"/>
        <v>72596.600000000035</v>
      </c>
      <c r="AA102">
        <v>9.3505018501701915</v>
      </c>
    </row>
    <row r="103" spans="1:27" x14ac:dyDescent="0.25">
      <c r="A103">
        <v>5240</v>
      </c>
      <c r="B103">
        <v>23690</v>
      </c>
      <c r="C103" s="5">
        <v>42681</v>
      </c>
      <c r="F103" s="54"/>
      <c r="G103">
        <v>3.7</v>
      </c>
      <c r="H103">
        <v>1.1000000000000001</v>
      </c>
      <c r="I103">
        <v>7.2</v>
      </c>
      <c r="J103">
        <f t="shared" si="13"/>
        <v>1090.7000000000003</v>
      </c>
      <c r="M103">
        <v>5.0999999999999996</v>
      </c>
      <c r="N103">
        <v>0.3</v>
      </c>
      <c r="O103">
        <f t="shared" si="10"/>
        <v>4.8</v>
      </c>
      <c r="P103">
        <f t="shared" ref="P103:P166" si="16">P102+O103</f>
        <v>17.7</v>
      </c>
      <c r="Q103">
        <v>77</v>
      </c>
      <c r="R103">
        <f t="shared" si="15"/>
        <v>0.85869565217391308</v>
      </c>
      <c r="S103" s="9">
        <f t="shared" si="11"/>
        <v>0.25760869565217392</v>
      </c>
      <c r="T103" s="9">
        <f t="shared" si="12"/>
        <v>4.8423913043478262</v>
      </c>
      <c r="U103" s="9">
        <f t="shared" si="9"/>
        <v>38.940489130434784</v>
      </c>
      <c r="W103">
        <v>104.8</v>
      </c>
      <c r="Y103">
        <f t="shared" si="14"/>
        <v>72701.400000000038</v>
      </c>
      <c r="AA103">
        <v>9.3019269629703363</v>
      </c>
    </row>
    <row r="104" spans="1:27" x14ac:dyDescent="0.25">
      <c r="A104">
        <v>5240</v>
      </c>
      <c r="B104">
        <v>23690</v>
      </c>
      <c r="C104" s="5">
        <v>42682</v>
      </c>
      <c r="F104" s="54"/>
      <c r="G104">
        <v>4.3</v>
      </c>
      <c r="H104">
        <v>1.5</v>
      </c>
      <c r="I104">
        <v>5.8</v>
      </c>
      <c r="J104">
        <f t="shared" si="13"/>
        <v>1095.0000000000002</v>
      </c>
      <c r="M104">
        <v>7.8</v>
      </c>
      <c r="N104">
        <v>0.2</v>
      </c>
      <c r="O104">
        <f t="shared" si="10"/>
        <v>7.6</v>
      </c>
      <c r="P104">
        <f t="shared" si="16"/>
        <v>25.299999999999997</v>
      </c>
      <c r="Q104">
        <v>78</v>
      </c>
      <c r="R104">
        <f t="shared" si="15"/>
        <v>0.86576086956521736</v>
      </c>
      <c r="S104" s="9">
        <f t="shared" si="11"/>
        <v>0.17315217391304349</v>
      </c>
      <c r="T104" s="9">
        <f t="shared" si="12"/>
        <v>7.6268478260869568</v>
      </c>
      <c r="U104" s="9">
        <f t="shared" ref="U104:U167" si="17">MIN(U103+T104,218.9)</f>
        <v>46.567336956521743</v>
      </c>
      <c r="W104">
        <v>308.39999999999998</v>
      </c>
      <c r="Y104">
        <f t="shared" si="14"/>
        <v>73009.800000000032</v>
      </c>
      <c r="AA104">
        <v>9.2539827982814895</v>
      </c>
    </row>
    <row r="105" spans="1:27" x14ac:dyDescent="0.25">
      <c r="A105">
        <v>5240</v>
      </c>
      <c r="B105">
        <v>23690</v>
      </c>
      <c r="C105" s="5">
        <v>42683</v>
      </c>
      <c r="F105" s="54"/>
      <c r="G105">
        <v>7.4</v>
      </c>
      <c r="H105">
        <v>5.2</v>
      </c>
      <c r="I105">
        <v>9.3000000000000007</v>
      </c>
      <c r="J105">
        <f t="shared" si="13"/>
        <v>1102.4000000000003</v>
      </c>
      <c r="M105">
        <v>6.6</v>
      </c>
      <c r="N105">
        <v>0.5</v>
      </c>
      <c r="O105">
        <f t="shared" si="10"/>
        <v>6.1</v>
      </c>
      <c r="P105">
        <f t="shared" si="16"/>
        <v>31.4</v>
      </c>
      <c r="Q105">
        <v>79</v>
      </c>
      <c r="R105">
        <f t="shared" si="15"/>
        <v>0.87282608695652175</v>
      </c>
      <c r="S105" s="9">
        <f t="shared" si="11"/>
        <v>0.43641304347826088</v>
      </c>
      <c r="T105" s="9">
        <f t="shared" si="12"/>
        <v>6.1635869565217387</v>
      </c>
      <c r="U105" s="9">
        <f t="shared" si="17"/>
        <v>52.730923913043483</v>
      </c>
      <c r="W105">
        <v>118.5</v>
      </c>
      <c r="Y105">
        <f t="shared" si="14"/>
        <v>73128.300000000032</v>
      </c>
      <c r="AA105">
        <v>9.2066913170603986</v>
      </c>
    </row>
    <row r="106" spans="1:27" x14ac:dyDescent="0.25">
      <c r="A106">
        <v>5240</v>
      </c>
      <c r="B106">
        <v>23690</v>
      </c>
      <c r="C106" s="5">
        <v>42684</v>
      </c>
      <c r="F106" s="54"/>
      <c r="G106">
        <v>8.4</v>
      </c>
      <c r="H106">
        <v>7.2</v>
      </c>
      <c r="I106">
        <v>9.6</v>
      </c>
      <c r="J106">
        <f t="shared" si="13"/>
        <v>1110.8000000000004</v>
      </c>
      <c r="M106">
        <v>2</v>
      </c>
      <c r="N106">
        <v>0.2</v>
      </c>
      <c r="O106">
        <f t="shared" si="10"/>
        <v>1.8</v>
      </c>
      <c r="P106">
        <f t="shared" si="16"/>
        <v>33.199999999999996</v>
      </c>
      <c r="Q106">
        <v>80</v>
      </c>
      <c r="R106">
        <f t="shared" si="15"/>
        <v>0.87989130434782603</v>
      </c>
      <c r="S106" s="9">
        <f t="shared" si="11"/>
        <v>0.17597826086956522</v>
      </c>
      <c r="T106" s="9">
        <f t="shared" si="12"/>
        <v>1.8240217391304347</v>
      </c>
      <c r="U106" s="9">
        <f t="shared" si="17"/>
        <v>54.55494565217392</v>
      </c>
      <c r="W106">
        <v>124.4</v>
      </c>
      <c r="Y106">
        <f t="shared" si="14"/>
        <v>73252.700000000026</v>
      </c>
      <c r="AA106">
        <v>9.1600748124327342</v>
      </c>
    </row>
    <row r="107" spans="1:27" x14ac:dyDescent="0.25">
      <c r="A107">
        <v>5240</v>
      </c>
      <c r="B107">
        <v>23690</v>
      </c>
      <c r="C107" s="5">
        <v>42685</v>
      </c>
      <c r="F107" s="54"/>
      <c r="G107">
        <v>4.5</v>
      </c>
      <c r="H107">
        <v>2.9</v>
      </c>
      <c r="I107">
        <v>8.4</v>
      </c>
      <c r="J107">
        <f t="shared" si="13"/>
        <v>1115.3000000000004</v>
      </c>
      <c r="M107">
        <v>0.1</v>
      </c>
      <c r="N107">
        <v>0.5</v>
      </c>
      <c r="O107">
        <f t="shared" si="10"/>
        <v>-0.4</v>
      </c>
      <c r="P107">
        <f t="shared" si="16"/>
        <v>32.799999999999997</v>
      </c>
      <c r="Q107">
        <v>81</v>
      </c>
      <c r="R107">
        <f t="shared" si="15"/>
        <v>0.88695652173913042</v>
      </c>
      <c r="S107" s="9">
        <f t="shared" si="11"/>
        <v>0.44347826086956521</v>
      </c>
      <c r="T107" s="9">
        <f t="shared" si="12"/>
        <v>-0.34347826086956523</v>
      </c>
      <c r="U107" s="9">
        <f t="shared" si="17"/>
        <v>54.211467391304353</v>
      </c>
      <c r="W107">
        <v>325.39999999999998</v>
      </c>
      <c r="Y107">
        <f t="shared" si="14"/>
        <v>73578.10000000002</v>
      </c>
      <c r="AA107">
        <v>9.1141558902717978</v>
      </c>
    </row>
    <row r="108" spans="1:27" x14ac:dyDescent="0.25">
      <c r="A108">
        <v>5240</v>
      </c>
      <c r="B108">
        <v>23690</v>
      </c>
      <c r="C108" s="5">
        <v>42686</v>
      </c>
      <c r="F108" s="54"/>
      <c r="G108">
        <v>4</v>
      </c>
      <c r="H108">
        <v>-0.8</v>
      </c>
      <c r="I108">
        <v>7.7</v>
      </c>
      <c r="J108">
        <f t="shared" si="13"/>
        <v>1119.3000000000004</v>
      </c>
      <c r="M108">
        <v>6.7</v>
      </c>
      <c r="N108">
        <v>0.1</v>
      </c>
      <c r="O108">
        <f t="shared" si="10"/>
        <v>6.6000000000000005</v>
      </c>
      <c r="P108">
        <f t="shared" si="16"/>
        <v>39.4</v>
      </c>
      <c r="Q108">
        <v>82</v>
      </c>
      <c r="R108">
        <f t="shared" si="15"/>
        <v>0.89402173913043481</v>
      </c>
      <c r="S108" s="9">
        <f t="shared" si="11"/>
        <v>8.9402173913043489E-2</v>
      </c>
      <c r="T108" s="9">
        <f t="shared" si="12"/>
        <v>6.6105978260869565</v>
      </c>
      <c r="U108" s="9">
        <f t="shared" si="17"/>
        <v>60.822065217391312</v>
      </c>
      <c r="W108">
        <v>80.900000000000006</v>
      </c>
      <c r="Y108">
        <f t="shared" si="14"/>
        <v>73659.000000000015</v>
      </c>
      <c r="AA108">
        <v>9.0689574477222141</v>
      </c>
    </row>
    <row r="109" spans="1:27" x14ac:dyDescent="0.25">
      <c r="A109">
        <v>5240</v>
      </c>
      <c r="B109">
        <v>23690</v>
      </c>
      <c r="C109" s="5">
        <v>42687</v>
      </c>
      <c r="F109" s="54"/>
      <c r="G109">
        <v>7.9</v>
      </c>
      <c r="H109">
        <v>6.5</v>
      </c>
      <c r="I109">
        <v>9.6999999999999993</v>
      </c>
      <c r="J109">
        <f t="shared" si="13"/>
        <v>1127.2000000000005</v>
      </c>
      <c r="M109">
        <v>0.2</v>
      </c>
      <c r="N109">
        <v>0.2</v>
      </c>
      <c r="O109">
        <f t="shared" si="10"/>
        <v>0</v>
      </c>
      <c r="P109">
        <f t="shared" si="16"/>
        <v>39.4</v>
      </c>
      <c r="Q109">
        <v>83</v>
      </c>
      <c r="R109">
        <f t="shared" si="15"/>
        <v>0.90108695652173909</v>
      </c>
      <c r="S109" s="9">
        <f t="shared" si="11"/>
        <v>0.18021739130434783</v>
      </c>
      <c r="T109" s="9">
        <f t="shared" si="12"/>
        <v>1.9782608695652182E-2</v>
      </c>
      <c r="U109" s="9">
        <f t="shared" si="17"/>
        <v>60.841847826086962</v>
      </c>
      <c r="W109">
        <v>127.5</v>
      </c>
      <c r="Y109">
        <f t="shared" si="14"/>
        <v>73786.500000000015</v>
      </c>
      <c r="AA109">
        <v>9.0245026496275216</v>
      </c>
    </row>
    <row r="110" spans="1:27" x14ac:dyDescent="0.25">
      <c r="A110">
        <v>5240</v>
      </c>
      <c r="B110">
        <v>23690</v>
      </c>
      <c r="C110" s="5">
        <v>42688</v>
      </c>
      <c r="E110" t="s">
        <v>60</v>
      </c>
      <c r="F110" s="54"/>
      <c r="G110">
        <v>7.9</v>
      </c>
      <c r="H110">
        <v>6.7</v>
      </c>
      <c r="I110">
        <v>8.9</v>
      </c>
      <c r="J110">
        <f t="shared" si="13"/>
        <v>1135.1000000000006</v>
      </c>
      <c r="M110">
        <v>0.3</v>
      </c>
      <c r="N110">
        <v>0.2</v>
      </c>
      <c r="O110">
        <f t="shared" si="10"/>
        <v>9.9999999999999978E-2</v>
      </c>
      <c r="P110">
        <f t="shared" si="16"/>
        <v>39.5</v>
      </c>
      <c r="Q110">
        <v>84</v>
      </c>
      <c r="R110">
        <f t="shared" si="15"/>
        <v>0.90815217391304348</v>
      </c>
      <c r="S110" s="9">
        <f t="shared" si="11"/>
        <v>0.18163043478260871</v>
      </c>
      <c r="T110" s="9">
        <f t="shared" si="12"/>
        <v>0.11836956521739128</v>
      </c>
      <c r="U110" s="9">
        <f t="shared" si="17"/>
        <v>60.960217391304354</v>
      </c>
      <c r="W110">
        <v>108.7</v>
      </c>
      <c r="Y110">
        <f t="shared" si="14"/>
        <v>73895.200000000012</v>
      </c>
      <c r="AA110" s="30">
        <v>8.9808149028283335</v>
      </c>
    </row>
    <row r="111" spans="1:27" x14ac:dyDescent="0.25">
      <c r="A111">
        <v>5240</v>
      </c>
      <c r="B111">
        <v>23690</v>
      </c>
      <c r="C111" s="5">
        <v>42689</v>
      </c>
      <c r="F111" s="54"/>
      <c r="G111">
        <v>10.5</v>
      </c>
      <c r="H111">
        <v>8.1999999999999993</v>
      </c>
      <c r="I111">
        <v>11.7</v>
      </c>
      <c r="J111">
        <f t="shared" si="13"/>
        <v>1145.6000000000006</v>
      </c>
      <c r="M111">
        <v>1.8</v>
      </c>
      <c r="N111">
        <v>0.2</v>
      </c>
      <c r="O111">
        <f t="shared" si="10"/>
        <v>1.6</v>
      </c>
      <c r="P111">
        <f t="shared" si="16"/>
        <v>41.1</v>
      </c>
      <c r="Q111">
        <v>85</v>
      </c>
      <c r="R111">
        <f t="shared" si="15"/>
        <v>0.91521739130434776</v>
      </c>
      <c r="S111" s="9">
        <f t="shared" si="11"/>
        <v>0.18304347826086956</v>
      </c>
      <c r="T111" s="9">
        <f t="shared" si="12"/>
        <v>1.6169565217391304</v>
      </c>
      <c r="U111" s="9">
        <f t="shared" si="17"/>
        <v>62.577173913043488</v>
      </c>
      <c r="W111">
        <v>123.2</v>
      </c>
      <c r="Y111">
        <f t="shared" si="14"/>
        <v>74018.400000000009</v>
      </c>
      <c r="AA111" s="30">
        <v>8.9379178283064586</v>
      </c>
    </row>
    <row r="112" spans="1:27" x14ac:dyDescent="0.25">
      <c r="A112">
        <v>5240</v>
      </c>
      <c r="B112">
        <v>23690</v>
      </c>
      <c r="C112" s="5">
        <v>42690</v>
      </c>
      <c r="F112" s="54"/>
      <c r="G112">
        <v>11.2</v>
      </c>
      <c r="H112">
        <v>11.1</v>
      </c>
      <c r="I112">
        <v>11.5</v>
      </c>
      <c r="J112">
        <f t="shared" si="13"/>
        <v>1156.8000000000006</v>
      </c>
      <c r="M112">
        <v>0.3</v>
      </c>
      <c r="N112">
        <v>0.2</v>
      </c>
      <c r="O112">
        <f t="shared" si="10"/>
        <v>9.9999999999999978E-2</v>
      </c>
      <c r="P112">
        <f t="shared" si="16"/>
        <v>41.2</v>
      </c>
      <c r="Q112">
        <v>86</v>
      </c>
      <c r="R112">
        <f t="shared" si="15"/>
        <v>0.92228260869565215</v>
      </c>
      <c r="S112" s="9">
        <f t="shared" si="11"/>
        <v>0.18445652173913044</v>
      </c>
      <c r="T112" s="9">
        <f t="shared" si="12"/>
        <v>0.11554347826086955</v>
      </c>
      <c r="U112" s="9">
        <f t="shared" si="17"/>
        <v>62.692717391304356</v>
      </c>
      <c r="W112">
        <v>119.5</v>
      </c>
      <c r="Y112">
        <f t="shared" si="14"/>
        <v>74137.900000000009</v>
      </c>
      <c r="AA112" s="30">
        <v>8.8958352311601772</v>
      </c>
    </row>
    <row r="113" spans="1:28" x14ac:dyDescent="0.25">
      <c r="A113">
        <v>5240</v>
      </c>
      <c r="B113">
        <v>23690</v>
      </c>
      <c r="C113" s="5">
        <v>42691</v>
      </c>
      <c r="F113" s="54"/>
      <c r="G113">
        <v>11</v>
      </c>
      <c r="H113">
        <v>9</v>
      </c>
      <c r="I113">
        <v>12.4</v>
      </c>
      <c r="J113">
        <f t="shared" si="13"/>
        <v>1167.8000000000006</v>
      </c>
      <c r="M113">
        <v>4.0999999999999996</v>
      </c>
      <c r="N113">
        <v>0.6</v>
      </c>
      <c r="O113">
        <f t="shared" si="10"/>
        <v>3.4999999999999996</v>
      </c>
      <c r="P113">
        <f t="shared" si="16"/>
        <v>44.7</v>
      </c>
      <c r="Q113">
        <v>87</v>
      </c>
      <c r="R113">
        <f t="shared" si="15"/>
        <v>0.92934782608695654</v>
      </c>
      <c r="S113" s="9">
        <f t="shared" si="11"/>
        <v>0.55760869565217386</v>
      </c>
      <c r="T113" s="9">
        <f t="shared" si="12"/>
        <v>3.5423913043478259</v>
      </c>
      <c r="U113" s="9">
        <f t="shared" si="17"/>
        <v>66.235108695652187</v>
      </c>
      <c r="W113">
        <v>213.3</v>
      </c>
      <c r="Y113">
        <f t="shared" si="14"/>
        <v>74351.200000000012</v>
      </c>
      <c r="AA113" s="30">
        <v>8.8545910684066023</v>
      </c>
    </row>
    <row r="114" spans="1:28" x14ac:dyDescent="0.25">
      <c r="A114">
        <v>5240</v>
      </c>
      <c r="B114">
        <v>23690</v>
      </c>
      <c r="C114" s="5">
        <v>42692</v>
      </c>
      <c r="F114" s="54"/>
      <c r="G114">
        <v>8</v>
      </c>
      <c r="H114">
        <v>6.7</v>
      </c>
      <c r="I114">
        <v>9.9</v>
      </c>
      <c r="J114">
        <f t="shared" si="13"/>
        <v>1175.8000000000006</v>
      </c>
      <c r="M114">
        <v>0</v>
      </c>
      <c r="N114">
        <v>1</v>
      </c>
      <c r="O114">
        <f t="shared" si="10"/>
        <v>-1</v>
      </c>
      <c r="P114">
        <f t="shared" si="16"/>
        <v>43.7</v>
      </c>
      <c r="Q114">
        <v>88</v>
      </c>
      <c r="R114">
        <f t="shared" si="15"/>
        <v>0.93641304347826082</v>
      </c>
      <c r="S114" s="9">
        <f t="shared" si="11"/>
        <v>0.93641304347826082</v>
      </c>
      <c r="T114" s="9">
        <f t="shared" si="12"/>
        <v>-0.93641304347826082</v>
      </c>
      <c r="U114" s="9">
        <f t="shared" si="17"/>
        <v>65.298695652173933</v>
      </c>
      <c r="W114">
        <v>528.5</v>
      </c>
      <c r="Y114">
        <f t="shared" si="14"/>
        <v>74879.700000000012</v>
      </c>
      <c r="AA114" s="30">
        <v>8.8142094146189756</v>
      </c>
    </row>
    <row r="115" spans="1:28" x14ac:dyDescent="0.25">
      <c r="A115">
        <v>5240</v>
      </c>
      <c r="B115">
        <v>23690</v>
      </c>
      <c r="C115" s="5">
        <v>42693</v>
      </c>
      <c r="F115" s="54"/>
      <c r="G115">
        <v>6.5</v>
      </c>
      <c r="H115">
        <v>3.5</v>
      </c>
      <c r="I115">
        <v>10.7</v>
      </c>
      <c r="J115">
        <f t="shared" si="13"/>
        <v>1182.3000000000006</v>
      </c>
      <c r="M115">
        <v>1.5</v>
      </c>
      <c r="N115">
        <v>1</v>
      </c>
      <c r="O115">
        <f t="shared" si="10"/>
        <v>0.5</v>
      </c>
      <c r="P115">
        <f t="shared" si="16"/>
        <v>44.2</v>
      </c>
      <c r="Q115">
        <v>89</v>
      </c>
      <c r="R115">
        <f t="shared" si="15"/>
        <v>0.94347826086956521</v>
      </c>
      <c r="S115" s="9">
        <f t="shared" si="11"/>
        <v>0.94347826086956521</v>
      </c>
      <c r="T115" s="9">
        <f t="shared" si="12"/>
        <v>0.55652173913043479</v>
      </c>
      <c r="U115" s="9">
        <f t="shared" si="17"/>
        <v>65.855217391304365</v>
      </c>
      <c r="W115">
        <v>521.5</v>
      </c>
      <c r="Y115">
        <f t="shared" si="14"/>
        <v>75401.200000000012</v>
      </c>
      <c r="AA115" s="30">
        <v>8.7747144254195</v>
      </c>
    </row>
    <row r="116" spans="1:28" x14ac:dyDescent="0.25">
      <c r="A116">
        <v>5240</v>
      </c>
      <c r="B116">
        <v>23690</v>
      </c>
      <c r="C116" s="5">
        <v>42694</v>
      </c>
      <c r="F116" s="54"/>
      <c r="G116">
        <v>11</v>
      </c>
      <c r="H116">
        <v>7.4</v>
      </c>
      <c r="I116">
        <v>11.7</v>
      </c>
      <c r="J116">
        <f t="shared" si="13"/>
        <v>1193.3000000000006</v>
      </c>
      <c r="M116">
        <v>5.2</v>
      </c>
      <c r="N116">
        <v>0.2</v>
      </c>
      <c r="O116">
        <f t="shared" si="10"/>
        <v>5</v>
      </c>
      <c r="P116">
        <f t="shared" si="16"/>
        <v>49.2</v>
      </c>
      <c r="Q116">
        <v>90</v>
      </c>
      <c r="R116">
        <f t="shared" si="15"/>
        <v>0.9505434782608696</v>
      </c>
      <c r="S116" s="9">
        <f t="shared" si="11"/>
        <v>0.19010869565217392</v>
      </c>
      <c r="T116" s="9">
        <f t="shared" si="12"/>
        <v>5.0098913043478266</v>
      </c>
      <c r="U116" s="9">
        <f t="shared" si="17"/>
        <v>70.865108695652197</v>
      </c>
      <c r="W116">
        <v>110.9</v>
      </c>
      <c r="Y116">
        <f t="shared" si="14"/>
        <v>75512.100000000006</v>
      </c>
      <c r="AA116" s="30">
        <v>8.736130298862312</v>
      </c>
    </row>
    <row r="117" spans="1:28" x14ac:dyDescent="0.25">
      <c r="A117">
        <v>5240</v>
      </c>
      <c r="B117">
        <v>23690</v>
      </c>
      <c r="C117" s="5">
        <v>42695</v>
      </c>
      <c r="F117" s="54"/>
      <c r="G117">
        <v>10.9</v>
      </c>
      <c r="H117">
        <v>10.6</v>
      </c>
      <c r="I117">
        <v>11.2</v>
      </c>
      <c r="J117">
        <f t="shared" si="13"/>
        <v>1204.2000000000007</v>
      </c>
      <c r="M117">
        <v>1</v>
      </c>
      <c r="N117">
        <v>0.6</v>
      </c>
      <c r="O117">
        <f t="shared" si="10"/>
        <v>0.4</v>
      </c>
      <c r="P117">
        <f t="shared" si="16"/>
        <v>49.6</v>
      </c>
      <c r="Q117">
        <v>91</v>
      </c>
      <c r="R117">
        <f t="shared" si="15"/>
        <v>0.95760869565217399</v>
      </c>
      <c r="S117" s="9">
        <f t="shared" si="11"/>
        <v>0.57456521739130439</v>
      </c>
      <c r="T117" s="9">
        <f t="shared" si="12"/>
        <v>0.42543478260869561</v>
      </c>
      <c r="U117" s="9">
        <f t="shared" si="17"/>
        <v>71.290543478260886</v>
      </c>
      <c r="W117">
        <v>110</v>
      </c>
      <c r="Y117">
        <f t="shared" si="14"/>
        <v>75622.100000000006</v>
      </c>
      <c r="AA117" s="30">
        <v>8.6984812347557394</v>
      </c>
    </row>
    <row r="118" spans="1:28" x14ac:dyDescent="0.25">
      <c r="A118">
        <v>5240</v>
      </c>
      <c r="B118">
        <v>23690</v>
      </c>
      <c r="C118" s="5">
        <v>42696</v>
      </c>
      <c r="F118" s="54"/>
      <c r="G118">
        <v>8.6</v>
      </c>
      <c r="H118">
        <v>7.6</v>
      </c>
      <c r="I118">
        <v>10.4</v>
      </c>
      <c r="J118">
        <f t="shared" si="13"/>
        <v>1212.8000000000006</v>
      </c>
      <c r="M118">
        <v>7.6</v>
      </c>
      <c r="N118">
        <v>0.6</v>
      </c>
      <c r="O118">
        <f t="shared" si="10"/>
        <v>7</v>
      </c>
      <c r="P118">
        <f t="shared" si="16"/>
        <v>56.6</v>
      </c>
      <c r="Q118">
        <v>92</v>
      </c>
      <c r="R118">
        <f t="shared" si="15"/>
        <v>0.96467391304347827</v>
      </c>
      <c r="S118" s="9">
        <f t="shared" si="11"/>
        <v>0.57880434782608692</v>
      </c>
      <c r="T118" s="9">
        <f t="shared" si="12"/>
        <v>7.0211956521739127</v>
      </c>
      <c r="U118" s="9">
        <f t="shared" si="17"/>
        <v>78.311739130434802</v>
      </c>
      <c r="W118">
        <v>517.29999999999995</v>
      </c>
      <c r="Y118">
        <f t="shared" si="14"/>
        <v>76139.400000000009</v>
      </c>
      <c r="AA118" s="30">
        <v>8.6617913919889187</v>
      </c>
    </row>
    <row r="119" spans="1:28" x14ac:dyDescent="0.25">
      <c r="A119">
        <v>5240</v>
      </c>
      <c r="B119">
        <v>23690</v>
      </c>
      <c r="C119" s="5">
        <v>42697</v>
      </c>
      <c r="F119" s="54"/>
      <c r="G119">
        <v>10.3</v>
      </c>
      <c r="H119">
        <v>7.1</v>
      </c>
      <c r="I119">
        <v>12.2</v>
      </c>
      <c r="J119">
        <f t="shared" si="13"/>
        <v>1223.1000000000006</v>
      </c>
      <c r="M119">
        <v>1</v>
      </c>
      <c r="N119">
        <v>0.1</v>
      </c>
      <c r="O119">
        <f t="shared" si="10"/>
        <v>0.9</v>
      </c>
      <c r="P119">
        <f t="shared" si="16"/>
        <v>57.5</v>
      </c>
      <c r="Q119">
        <v>93</v>
      </c>
      <c r="R119">
        <f t="shared" si="15"/>
        <v>0.97173913043478266</v>
      </c>
      <c r="S119" s="9">
        <f t="shared" si="11"/>
        <v>9.7173913043478277E-2</v>
      </c>
      <c r="T119" s="9">
        <f t="shared" si="12"/>
        <v>0.90282608695652167</v>
      </c>
      <c r="U119" s="9">
        <f t="shared" si="17"/>
        <v>79.214565217391325</v>
      </c>
      <c r="W119">
        <v>105.8</v>
      </c>
      <c r="Y119">
        <f t="shared" si="14"/>
        <v>76245.200000000012</v>
      </c>
      <c r="AA119" s="30">
        <v>8.6260848439440352</v>
      </c>
    </row>
    <row r="120" spans="1:28" x14ac:dyDescent="0.25">
      <c r="A120">
        <v>5240</v>
      </c>
      <c r="B120">
        <v>23690</v>
      </c>
      <c r="C120" s="5">
        <v>42698</v>
      </c>
      <c r="F120" s="54"/>
      <c r="G120">
        <v>10.3</v>
      </c>
      <c r="H120">
        <v>9.8000000000000007</v>
      </c>
      <c r="I120">
        <v>11.9</v>
      </c>
      <c r="J120">
        <f t="shared" si="13"/>
        <v>1233.4000000000005</v>
      </c>
      <c r="M120">
        <v>0</v>
      </c>
      <c r="N120">
        <v>0.6</v>
      </c>
      <c r="O120">
        <f t="shared" si="10"/>
        <v>-0.6</v>
      </c>
      <c r="P120">
        <f t="shared" si="16"/>
        <v>56.9</v>
      </c>
      <c r="Q120">
        <v>94</v>
      </c>
      <c r="R120">
        <f t="shared" si="15"/>
        <v>0.97880434782608694</v>
      </c>
      <c r="S120" s="9">
        <f t="shared" si="11"/>
        <v>0.58728260869565219</v>
      </c>
      <c r="T120" s="9">
        <f t="shared" si="12"/>
        <v>-0.58728260869565219</v>
      </c>
      <c r="U120" s="9">
        <f t="shared" si="17"/>
        <v>78.62728260869568</v>
      </c>
      <c r="W120">
        <v>146.80000000000001</v>
      </c>
      <c r="Y120">
        <f t="shared" si="14"/>
        <v>76392.000000000015</v>
      </c>
      <c r="AA120" s="30">
        <v>8.5913855320927333</v>
      </c>
    </row>
    <row r="121" spans="1:28" x14ac:dyDescent="0.25">
      <c r="A121">
        <v>5240</v>
      </c>
      <c r="B121">
        <v>23690</v>
      </c>
      <c r="C121" s="5">
        <v>42699</v>
      </c>
      <c r="F121" s="54"/>
      <c r="G121">
        <v>7.8</v>
      </c>
      <c r="H121">
        <v>7.3</v>
      </c>
      <c r="I121">
        <v>8.1999999999999993</v>
      </c>
      <c r="J121">
        <f t="shared" si="13"/>
        <v>1241.2000000000005</v>
      </c>
      <c r="M121">
        <v>0.3</v>
      </c>
      <c r="N121">
        <v>0.2</v>
      </c>
      <c r="O121">
        <f t="shared" si="10"/>
        <v>9.9999999999999978E-2</v>
      </c>
      <c r="P121">
        <f t="shared" si="16"/>
        <v>57</v>
      </c>
      <c r="Q121">
        <v>95</v>
      </c>
      <c r="R121">
        <f t="shared" si="15"/>
        <v>0.98586956521739133</v>
      </c>
      <c r="S121" s="9">
        <f t="shared" si="11"/>
        <v>0.19717391304347828</v>
      </c>
      <c r="T121" s="9">
        <f t="shared" si="12"/>
        <v>0.10282608695652171</v>
      </c>
      <c r="U121" s="9">
        <f t="shared" si="17"/>
        <v>78.730108695652206</v>
      </c>
      <c r="W121">
        <v>107.4</v>
      </c>
      <c r="Y121">
        <f t="shared" si="14"/>
        <v>76499.400000000009</v>
      </c>
      <c r="AA121" s="30">
        <v>8.5577172178928258</v>
      </c>
    </row>
    <row r="122" spans="1:28" x14ac:dyDescent="0.25">
      <c r="A122">
        <v>5240</v>
      </c>
      <c r="B122">
        <v>23690</v>
      </c>
      <c r="C122" s="5">
        <v>42700</v>
      </c>
      <c r="F122" s="54"/>
      <c r="G122">
        <v>7.9</v>
      </c>
      <c r="H122">
        <v>6.7</v>
      </c>
      <c r="I122">
        <v>9.1999999999999993</v>
      </c>
      <c r="J122">
        <f t="shared" si="13"/>
        <v>1249.1000000000006</v>
      </c>
      <c r="M122">
        <v>0</v>
      </c>
      <c r="N122">
        <v>0.1</v>
      </c>
      <c r="O122">
        <f t="shared" si="10"/>
        <v>-0.1</v>
      </c>
      <c r="P122">
        <f t="shared" si="16"/>
        <v>56.9</v>
      </c>
      <c r="Q122">
        <v>96</v>
      </c>
      <c r="R122">
        <f t="shared" si="15"/>
        <v>0.99293478260869561</v>
      </c>
      <c r="S122" s="9">
        <f t="shared" si="11"/>
        <v>9.9293478260869567E-2</v>
      </c>
      <c r="T122" s="9">
        <f t="shared" si="12"/>
        <v>-9.9293478260869567E-2</v>
      </c>
      <c r="U122" s="9">
        <f t="shared" si="17"/>
        <v>78.63081521739133</v>
      </c>
      <c r="W122">
        <v>124.7</v>
      </c>
      <c r="Y122">
        <f t="shared" si="14"/>
        <v>76624.100000000006</v>
      </c>
      <c r="AA122" s="30">
        <v>8.5251034331194813</v>
      </c>
    </row>
    <row r="123" spans="1:28" s="14" customFormat="1" ht="15.75" thickBot="1" x14ac:dyDescent="0.3">
      <c r="A123" s="14">
        <v>5240</v>
      </c>
      <c r="B123" s="14">
        <v>23690</v>
      </c>
      <c r="C123" s="15">
        <v>42701</v>
      </c>
      <c r="F123" s="55"/>
      <c r="G123" s="14">
        <v>6.2</v>
      </c>
      <c r="H123" s="14">
        <v>3.9</v>
      </c>
      <c r="I123" s="14">
        <v>7.7</v>
      </c>
      <c r="J123" s="14">
        <f t="shared" si="13"/>
        <v>1255.3000000000006</v>
      </c>
      <c r="M123" s="14">
        <v>0.1</v>
      </c>
      <c r="N123" s="14">
        <v>0.4</v>
      </c>
      <c r="O123" s="14">
        <f t="shared" si="10"/>
        <v>-0.30000000000000004</v>
      </c>
      <c r="P123" s="14">
        <f t="shared" si="16"/>
        <v>56.6</v>
      </c>
      <c r="Q123" s="14">
        <v>97</v>
      </c>
      <c r="R123" s="14">
        <f t="shared" si="15"/>
        <v>1</v>
      </c>
      <c r="S123" s="16">
        <f t="shared" si="11"/>
        <v>0.4</v>
      </c>
      <c r="T123" s="16">
        <f t="shared" si="12"/>
        <v>-0.30000000000000004</v>
      </c>
      <c r="U123" s="9">
        <f t="shared" si="17"/>
        <v>78.330815217391333</v>
      </c>
      <c r="W123" s="14">
        <v>425.3</v>
      </c>
      <c r="Y123" s="14">
        <f t="shared" si="14"/>
        <v>77049.400000000009</v>
      </c>
      <c r="AA123" s="31">
        <v>8.4935674287833969</v>
      </c>
    </row>
    <row r="124" spans="1:28" x14ac:dyDescent="0.25">
      <c r="A124">
        <v>5240</v>
      </c>
      <c r="B124">
        <v>23690</v>
      </c>
      <c r="C124" s="5">
        <v>42702</v>
      </c>
      <c r="D124" t="s">
        <v>34</v>
      </c>
      <c r="E124" s="30">
        <v>1</v>
      </c>
      <c r="F124" s="56" t="s">
        <v>53</v>
      </c>
      <c r="G124">
        <v>3.6</v>
      </c>
      <c r="H124">
        <v>2.7</v>
      </c>
      <c r="I124">
        <v>6.3</v>
      </c>
      <c r="J124">
        <f t="shared" si="13"/>
        <v>1258.9000000000005</v>
      </c>
      <c r="K124">
        <f>G124</f>
        <v>3.6</v>
      </c>
      <c r="L124" s="17" t="s">
        <v>37</v>
      </c>
      <c r="M124">
        <v>0</v>
      </c>
      <c r="N124">
        <v>1.3</v>
      </c>
      <c r="O124">
        <f t="shared" si="10"/>
        <v>-1.3</v>
      </c>
      <c r="P124">
        <f t="shared" si="16"/>
        <v>55.300000000000004</v>
      </c>
      <c r="Q124">
        <v>98</v>
      </c>
      <c r="R124">
        <v>1</v>
      </c>
      <c r="S124" s="9">
        <f t="shared" si="11"/>
        <v>1.3</v>
      </c>
      <c r="T124" s="9">
        <f t="shared" si="12"/>
        <v>-1.3</v>
      </c>
      <c r="U124" s="9">
        <f t="shared" si="17"/>
        <v>77.030815217391336</v>
      </c>
      <c r="V124" s="18" t="s">
        <v>44</v>
      </c>
      <c r="W124">
        <v>730.2</v>
      </c>
      <c r="Y124">
        <f t="shared" si="14"/>
        <v>77779.600000000006</v>
      </c>
      <c r="Z124">
        <f>W124</f>
        <v>730.2</v>
      </c>
      <c r="AA124" s="30">
        <v>8.4631321228067495</v>
      </c>
      <c r="AB124" s="18" t="s">
        <v>49</v>
      </c>
    </row>
    <row r="125" spans="1:28" x14ac:dyDescent="0.25">
      <c r="A125">
        <v>5240</v>
      </c>
      <c r="B125">
        <v>23690</v>
      </c>
      <c r="C125" s="5">
        <v>42703</v>
      </c>
      <c r="E125" s="30">
        <v>2</v>
      </c>
      <c r="F125" s="57"/>
      <c r="G125">
        <v>-0.1</v>
      </c>
      <c r="H125">
        <v>-1.6</v>
      </c>
      <c r="I125">
        <v>3.1</v>
      </c>
      <c r="J125">
        <v>1258.9000000000001</v>
      </c>
      <c r="K125">
        <v>3.6</v>
      </c>
      <c r="L125" s="11">
        <v>168.6</v>
      </c>
      <c r="M125">
        <v>0</v>
      </c>
      <c r="N125">
        <v>0.9</v>
      </c>
      <c r="O125">
        <f t="shared" si="10"/>
        <v>-0.9</v>
      </c>
      <c r="P125">
        <f t="shared" si="16"/>
        <v>54.400000000000006</v>
      </c>
      <c r="Q125">
        <v>99</v>
      </c>
      <c r="R125">
        <v>1</v>
      </c>
      <c r="S125" s="9">
        <f t="shared" si="11"/>
        <v>0.9</v>
      </c>
      <c r="T125" s="9">
        <f t="shared" si="12"/>
        <v>-0.9</v>
      </c>
      <c r="U125" s="9">
        <f t="shared" si="17"/>
        <v>76.13081521739133</v>
      </c>
      <c r="V125">
        <v>0</v>
      </c>
      <c r="W125">
        <v>748.8</v>
      </c>
      <c r="Y125">
        <f t="shared" si="14"/>
        <v>78528.400000000009</v>
      </c>
      <c r="Z125">
        <f>Z124+W125</f>
        <v>1479</v>
      </c>
      <c r="AA125" s="30">
        <v>8.4338200466458471</v>
      </c>
      <c r="AB125">
        <v>21413.9</v>
      </c>
    </row>
    <row r="126" spans="1:28" x14ac:dyDescent="0.25">
      <c r="A126">
        <v>5240</v>
      </c>
      <c r="B126">
        <v>23690</v>
      </c>
      <c r="C126" s="5">
        <v>42704</v>
      </c>
      <c r="E126" s="30">
        <v>3</v>
      </c>
      <c r="F126" s="57"/>
      <c r="G126">
        <v>-1</v>
      </c>
      <c r="H126">
        <v>-4.3</v>
      </c>
      <c r="I126">
        <v>4.5999999999999996</v>
      </c>
      <c r="J126">
        <v>1258.9000000000001</v>
      </c>
      <c r="K126">
        <v>3.6</v>
      </c>
      <c r="L126" s="17" t="s">
        <v>38</v>
      </c>
      <c r="M126">
        <v>0</v>
      </c>
      <c r="N126">
        <v>0.6</v>
      </c>
      <c r="O126">
        <f t="shared" si="10"/>
        <v>-0.6</v>
      </c>
      <c r="P126">
        <f t="shared" si="16"/>
        <v>53.800000000000004</v>
      </c>
      <c r="Q126">
        <v>100</v>
      </c>
      <c r="R126">
        <v>1</v>
      </c>
      <c r="S126" s="9">
        <f t="shared" si="11"/>
        <v>0.6</v>
      </c>
      <c r="T126" s="9">
        <f t="shared" si="12"/>
        <v>-0.6</v>
      </c>
      <c r="U126" s="9">
        <f t="shared" si="17"/>
        <v>75.530815217391336</v>
      </c>
      <c r="V126" s="18" t="s">
        <v>45</v>
      </c>
      <c r="W126">
        <v>661.1</v>
      </c>
      <c r="Y126">
        <f t="shared" si="14"/>
        <v>79189.500000000015</v>
      </c>
      <c r="Z126">
        <f t="shared" ref="Z126:Z189" si="18">Z125+W126</f>
        <v>2140.1</v>
      </c>
      <c r="AA126" s="30">
        <v>8.4056532910671127</v>
      </c>
      <c r="AB126" s="18" t="s">
        <v>50</v>
      </c>
    </row>
    <row r="127" spans="1:28" x14ac:dyDescent="0.25">
      <c r="A127">
        <v>5240</v>
      </c>
      <c r="B127">
        <v>23690</v>
      </c>
      <c r="C127" s="5">
        <v>42705</v>
      </c>
      <c r="E127" s="30">
        <v>4</v>
      </c>
      <c r="F127" s="57"/>
      <c r="G127">
        <v>-0.4</v>
      </c>
      <c r="H127">
        <v>-4.9000000000000004</v>
      </c>
      <c r="I127">
        <v>5.2</v>
      </c>
      <c r="J127">
        <v>1258.9000000000001</v>
      </c>
      <c r="K127">
        <v>3.6</v>
      </c>
      <c r="L127" s="41">
        <f>AVERAGE(G124:G186)</f>
        <v>2.0333333333333328</v>
      </c>
      <c r="M127">
        <v>0</v>
      </c>
      <c r="N127">
        <v>0.7</v>
      </c>
      <c r="O127">
        <f t="shared" si="10"/>
        <v>-0.7</v>
      </c>
      <c r="P127">
        <f t="shared" si="16"/>
        <v>53.1</v>
      </c>
      <c r="Q127">
        <v>101</v>
      </c>
      <c r="R127">
        <v>1</v>
      </c>
      <c r="S127" s="9">
        <f t="shared" si="11"/>
        <v>0.7</v>
      </c>
      <c r="T127" s="9">
        <f t="shared" si="12"/>
        <v>-0.7</v>
      </c>
      <c r="U127" s="9">
        <f t="shared" si="17"/>
        <v>74.830815217391333</v>
      </c>
      <c r="V127">
        <v>13</v>
      </c>
      <c r="W127">
        <v>640.5</v>
      </c>
      <c r="Y127">
        <f t="shared" si="14"/>
        <v>79830.000000000015</v>
      </c>
      <c r="Z127">
        <f t="shared" si="18"/>
        <v>2780.6</v>
      </c>
      <c r="AA127" s="30">
        <v>8.3786534513001918</v>
      </c>
      <c r="AB127">
        <f>(AB125/100)/L125</f>
        <v>1.2701008303677344</v>
      </c>
    </row>
    <row r="128" spans="1:28" x14ac:dyDescent="0.25">
      <c r="A128">
        <v>5240</v>
      </c>
      <c r="B128">
        <v>23690</v>
      </c>
      <c r="C128" s="5">
        <v>42706</v>
      </c>
      <c r="E128" s="30">
        <v>5</v>
      </c>
      <c r="F128" s="57"/>
      <c r="G128">
        <v>3.2</v>
      </c>
      <c r="H128">
        <v>-1.1000000000000001</v>
      </c>
      <c r="I128">
        <v>5.5</v>
      </c>
      <c r="J128">
        <f t="shared" si="13"/>
        <v>1262.1000000000001</v>
      </c>
      <c r="K128">
        <f t="shared" ref="K128:K191" si="19">K127+G128</f>
        <v>6.8000000000000007</v>
      </c>
      <c r="L128" s="17" t="s">
        <v>39</v>
      </c>
      <c r="M128">
        <v>0.1</v>
      </c>
      <c r="N128">
        <v>0.1</v>
      </c>
      <c r="O128">
        <f t="shared" si="10"/>
        <v>0</v>
      </c>
      <c r="P128">
        <f t="shared" si="16"/>
        <v>53.1</v>
      </c>
      <c r="Q128">
        <v>102</v>
      </c>
      <c r="R128">
        <v>1</v>
      </c>
      <c r="S128" s="9">
        <f t="shared" si="11"/>
        <v>0.1</v>
      </c>
      <c r="T128" s="9">
        <f t="shared" si="12"/>
        <v>0</v>
      </c>
      <c r="U128" s="9">
        <f t="shared" si="17"/>
        <v>74.830815217391333</v>
      </c>
      <c r="V128" s="18" t="s">
        <v>46</v>
      </c>
      <c r="W128">
        <v>135.1</v>
      </c>
      <c r="Y128">
        <f t="shared" si="14"/>
        <v>79965.10000000002</v>
      </c>
      <c r="Z128">
        <f t="shared" si="18"/>
        <v>2915.7</v>
      </c>
      <c r="AA128" s="30">
        <v>8.3528415718079465</v>
      </c>
      <c r="AB128" s="18" t="s">
        <v>51</v>
      </c>
    </row>
    <row r="129" spans="1:28" x14ac:dyDescent="0.25">
      <c r="A129">
        <v>5240</v>
      </c>
      <c r="B129">
        <v>23690</v>
      </c>
      <c r="C129" s="5">
        <v>42707</v>
      </c>
      <c r="E129" s="30">
        <v>6</v>
      </c>
      <c r="F129" s="57"/>
      <c r="G129">
        <v>4.2</v>
      </c>
      <c r="H129">
        <v>2.2999999999999998</v>
      </c>
      <c r="I129">
        <v>6.9</v>
      </c>
      <c r="J129">
        <f t="shared" si="13"/>
        <v>1266.3000000000002</v>
      </c>
      <c r="K129">
        <f t="shared" si="19"/>
        <v>11</v>
      </c>
      <c r="L129" s="12">
        <f>MIN(H124:H186)</f>
        <v>-7.8</v>
      </c>
      <c r="M129">
        <v>0</v>
      </c>
      <c r="N129">
        <v>0.7</v>
      </c>
      <c r="O129">
        <f t="shared" si="10"/>
        <v>-0.7</v>
      </c>
      <c r="P129">
        <f t="shared" si="16"/>
        <v>52.4</v>
      </c>
      <c r="Q129">
        <v>103</v>
      </c>
      <c r="R129">
        <v>1</v>
      </c>
      <c r="S129" s="9">
        <f t="shared" si="11"/>
        <v>0.7</v>
      </c>
      <c r="T129" s="9">
        <f t="shared" si="12"/>
        <v>-0.7</v>
      </c>
      <c r="U129" s="9">
        <f t="shared" si="17"/>
        <v>74.13081521739133</v>
      </c>
      <c r="V129" s="9">
        <f>MIN(U124:U186)</f>
        <v>71.630815217391344</v>
      </c>
      <c r="W129">
        <v>592.20000000000005</v>
      </c>
      <c r="Y129">
        <f t="shared" si="14"/>
        <v>80557.300000000017</v>
      </c>
      <c r="Z129">
        <f t="shared" si="18"/>
        <v>3507.8999999999996</v>
      </c>
      <c r="AA129" s="30">
        <v>8.3282380909283056</v>
      </c>
      <c r="AB129">
        <v>63</v>
      </c>
    </row>
    <row r="130" spans="1:28" x14ac:dyDescent="0.25">
      <c r="A130">
        <v>5240</v>
      </c>
      <c r="B130">
        <v>23690</v>
      </c>
      <c r="C130" s="5">
        <v>42708</v>
      </c>
      <c r="E130" s="30">
        <v>7</v>
      </c>
      <c r="F130" s="57"/>
      <c r="G130">
        <v>0.4</v>
      </c>
      <c r="H130">
        <v>-2.2000000000000002</v>
      </c>
      <c r="I130">
        <v>2.1</v>
      </c>
      <c r="J130">
        <f t="shared" si="13"/>
        <v>1266.7000000000003</v>
      </c>
      <c r="K130">
        <f t="shared" si="19"/>
        <v>11.4</v>
      </c>
      <c r="L130" s="17" t="s">
        <v>40</v>
      </c>
      <c r="M130">
        <v>0</v>
      </c>
      <c r="N130">
        <v>0.4</v>
      </c>
      <c r="O130">
        <f t="shared" si="10"/>
        <v>-0.4</v>
      </c>
      <c r="P130">
        <f t="shared" si="16"/>
        <v>52</v>
      </c>
      <c r="Q130">
        <v>104</v>
      </c>
      <c r="R130">
        <v>1</v>
      </c>
      <c r="S130" s="9">
        <f t="shared" si="11"/>
        <v>0.4</v>
      </c>
      <c r="T130" s="9">
        <f t="shared" si="12"/>
        <v>-0.4</v>
      </c>
      <c r="U130" s="9">
        <f t="shared" si="17"/>
        <v>73.730815217391324</v>
      </c>
      <c r="V130" s="18" t="s">
        <v>47</v>
      </c>
      <c r="W130">
        <v>540.1</v>
      </c>
      <c r="Y130">
        <f t="shared" si="14"/>
        <v>81097.400000000023</v>
      </c>
      <c r="Z130">
        <f t="shared" si="18"/>
        <v>4047.9999999999995</v>
      </c>
      <c r="AA130" s="30">
        <v>8.3048627856562796</v>
      </c>
      <c r="AB130" t="s">
        <v>61</v>
      </c>
    </row>
    <row r="131" spans="1:28" x14ac:dyDescent="0.25">
      <c r="A131">
        <v>5240</v>
      </c>
      <c r="B131">
        <v>23690</v>
      </c>
      <c r="C131" s="5">
        <v>42709</v>
      </c>
      <c r="E131" s="30">
        <v>8</v>
      </c>
      <c r="F131" s="57"/>
      <c r="G131">
        <v>3.3</v>
      </c>
      <c r="H131">
        <v>0.5</v>
      </c>
      <c r="I131">
        <v>7.5</v>
      </c>
      <c r="J131">
        <f t="shared" si="13"/>
        <v>1270.0000000000002</v>
      </c>
      <c r="K131">
        <f t="shared" si="19"/>
        <v>14.7</v>
      </c>
      <c r="L131" s="11">
        <f>MAX(I124:I186)</f>
        <v>9.9</v>
      </c>
      <c r="M131">
        <v>0</v>
      </c>
      <c r="N131">
        <v>0.6</v>
      </c>
      <c r="O131">
        <f t="shared" si="10"/>
        <v>-0.6</v>
      </c>
      <c r="P131">
        <f t="shared" si="16"/>
        <v>51.4</v>
      </c>
      <c r="Q131">
        <v>105</v>
      </c>
      <c r="R131">
        <v>1</v>
      </c>
      <c r="S131" s="9">
        <f t="shared" si="11"/>
        <v>0.6</v>
      </c>
      <c r="T131" s="9">
        <f t="shared" si="12"/>
        <v>-0.6</v>
      </c>
      <c r="U131" s="9">
        <f t="shared" si="17"/>
        <v>73.13081521739133</v>
      </c>
      <c r="V131" s="9">
        <f>MAX(U124:U186)</f>
        <v>106.53081521739138</v>
      </c>
      <c r="W131">
        <v>536.6</v>
      </c>
      <c r="Y131">
        <f t="shared" si="14"/>
        <v>81634.000000000029</v>
      </c>
      <c r="Z131">
        <f t="shared" si="18"/>
        <v>4584.5999999999995</v>
      </c>
      <c r="AA131" s="30">
        <v>8.2827347168463827</v>
      </c>
      <c r="AB131">
        <v>50</v>
      </c>
    </row>
    <row r="132" spans="1:28" x14ac:dyDescent="0.25">
      <c r="A132">
        <v>5240</v>
      </c>
      <c r="B132">
        <v>23690</v>
      </c>
      <c r="C132" s="5">
        <v>42710</v>
      </c>
      <c r="E132" s="30">
        <v>9</v>
      </c>
      <c r="F132" s="57"/>
      <c r="G132">
        <v>4.0999999999999996</v>
      </c>
      <c r="H132">
        <v>0</v>
      </c>
      <c r="I132">
        <v>9.9</v>
      </c>
      <c r="J132">
        <f t="shared" si="13"/>
        <v>1274.1000000000001</v>
      </c>
      <c r="K132">
        <f t="shared" si="19"/>
        <v>18.799999999999997</v>
      </c>
      <c r="L132" s="17" t="s">
        <v>41</v>
      </c>
      <c r="M132">
        <v>0.1</v>
      </c>
      <c r="N132">
        <v>0.4</v>
      </c>
      <c r="O132">
        <f t="shared" si="10"/>
        <v>-0.30000000000000004</v>
      </c>
      <c r="P132">
        <f t="shared" si="16"/>
        <v>51.1</v>
      </c>
      <c r="Q132">
        <v>106</v>
      </c>
      <c r="R132">
        <v>1</v>
      </c>
      <c r="S132" s="9">
        <f t="shared" si="11"/>
        <v>0.4</v>
      </c>
      <c r="T132" s="9">
        <f t="shared" si="12"/>
        <v>-0.30000000000000004</v>
      </c>
      <c r="U132" s="9">
        <f t="shared" si="17"/>
        <v>72.830815217391333</v>
      </c>
      <c r="V132" s="18" t="s">
        <v>48</v>
      </c>
      <c r="W132">
        <v>191.2</v>
      </c>
      <c r="Y132">
        <f t="shared" si="14"/>
        <v>81825.200000000026</v>
      </c>
      <c r="Z132">
        <f t="shared" si="18"/>
        <v>4775.7999999999993</v>
      </c>
      <c r="AA132" s="30">
        <v>8.2618721751255286</v>
      </c>
    </row>
    <row r="133" spans="1:28" x14ac:dyDescent="0.25">
      <c r="A133">
        <v>5240</v>
      </c>
      <c r="B133">
        <v>23690</v>
      </c>
      <c r="C133" s="5">
        <v>42711</v>
      </c>
      <c r="E133" s="30">
        <v>10</v>
      </c>
      <c r="F133" s="57"/>
      <c r="G133">
        <v>4.2</v>
      </c>
      <c r="H133">
        <v>1.1000000000000001</v>
      </c>
      <c r="I133">
        <v>9.5</v>
      </c>
      <c r="J133">
        <f t="shared" si="13"/>
        <v>1278.3000000000002</v>
      </c>
      <c r="K133">
        <f t="shared" si="19"/>
        <v>22.999999999999996</v>
      </c>
      <c r="L133" s="11">
        <v>0</v>
      </c>
      <c r="M133">
        <v>0.1</v>
      </c>
      <c r="N133">
        <v>0.7</v>
      </c>
      <c r="O133">
        <f t="shared" si="10"/>
        <v>-0.6</v>
      </c>
      <c r="P133">
        <f t="shared" si="16"/>
        <v>50.5</v>
      </c>
      <c r="Q133">
        <v>107</v>
      </c>
      <c r="R133">
        <v>1</v>
      </c>
      <c r="S133" s="9">
        <f t="shared" si="11"/>
        <v>0.7</v>
      </c>
      <c r="T133" s="9">
        <f t="shared" si="12"/>
        <v>-0.6</v>
      </c>
      <c r="U133" s="9">
        <f t="shared" si="17"/>
        <v>72.230815217391338</v>
      </c>
      <c r="V133" s="9">
        <f>AVERAGE(U124:U186)</f>
        <v>86.973672360248514</v>
      </c>
      <c r="W133">
        <v>431.4</v>
      </c>
      <c r="Y133">
        <f t="shared" si="14"/>
        <v>82256.60000000002</v>
      </c>
      <c r="Z133">
        <f t="shared" si="18"/>
        <v>5207.1999999999989</v>
      </c>
      <c r="AA133" s="30">
        <v>8.2422926278140256</v>
      </c>
    </row>
    <row r="134" spans="1:28" x14ac:dyDescent="0.25">
      <c r="A134">
        <v>5240</v>
      </c>
      <c r="B134">
        <v>23690</v>
      </c>
      <c r="C134" s="5">
        <v>42712</v>
      </c>
      <c r="E134" s="30">
        <v>11</v>
      </c>
      <c r="F134" s="57"/>
      <c r="G134">
        <v>4.2</v>
      </c>
      <c r="H134">
        <v>0.5</v>
      </c>
      <c r="I134">
        <v>7.9</v>
      </c>
      <c r="J134">
        <f t="shared" si="13"/>
        <v>1282.5000000000002</v>
      </c>
      <c r="K134">
        <f t="shared" si="19"/>
        <v>27.199999999999996</v>
      </c>
      <c r="L134" s="17" t="s">
        <v>42</v>
      </c>
      <c r="M134">
        <v>0.2</v>
      </c>
      <c r="N134">
        <v>0.5</v>
      </c>
      <c r="O134">
        <f t="shared" si="10"/>
        <v>-0.3</v>
      </c>
      <c r="P134">
        <f t="shared" si="16"/>
        <v>50.2</v>
      </c>
      <c r="Q134">
        <v>108</v>
      </c>
      <c r="R134">
        <v>1</v>
      </c>
      <c r="S134" s="9">
        <f t="shared" si="11"/>
        <v>0.5</v>
      </c>
      <c r="T134" s="9">
        <f t="shared" si="12"/>
        <v>-0.3</v>
      </c>
      <c r="U134" s="9">
        <f t="shared" si="17"/>
        <v>71.930815217391341</v>
      </c>
      <c r="W134">
        <v>449.4</v>
      </c>
      <c r="Y134">
        <f t="shared" si="14"/>
        <v>82706.000000000015</v>
      </c>
      <c r="Z134">
        <f t="shared" si="18"/>
        <v>5656.5999999999985</v>
      </c>
      <c r="AA134" s="30">
        <v>8.2240126671575666</v>
      </c>
    </row>
    <row r="135" spans="1:28" x14ac:dyDescent="0.25">
      <c r="A135">
        <v>5240</v>
      </c>
      <c r="B135">
        <v>23690</v>
      </c>
      <c r="C135" s="5">
        <v>42713</v>
      </c>
      <c r="E135" s="30">
        <v>12</v>
      </c>
      <c r="F135" s="57"/>
      <c r="G135">
        <v>4.5999999999999996</v>
      </c>
      <c r="H135">
        <v>2</v>
      </c>
      <c r="I135">
        <v>8.3000000000000007</v>
      </c>
      <c r="J135">
        <f t="shared" si="13"/>
        <v>1287.1000000000001</v>
      </c>
      <c r="K135">
        <f t="shared" si="19"/>
        <v>31.799999999999997</v>
      </c>
      <c r="L135" s="11">
        <v>26</v>
      </c>
      <c r="M135">
        <v>0.2</v>
      </c>
      <c r="N135">
        <v>0.5</v>
      </c>
      <c r="O135">
        <f t="shared" si="10"/>
        <v>-0.3</v>
      </c>
      <c r="P135">
        <f t="shared" si="16"/>
        <v>49.900000000000006</v>
      </c>
      <c r="Q135">
        <v>109</v>
      </c>
      <c r="R135">
        <v>1</v>
      </c>
      <c r="S135" s="9">
        <f t="shared" si="11"/>
        <v>0.5</v>
      </c>
      <c r="T135" s="9">
        <f t="shared" si="12"/>
        <v>-0.3</v>
      </c>
      <c r="U135" s="9">
        <f t="shared" si="17"/>
        <v>71.630815217391344</v>
      </c>
      <c r="V135" s="32">
        <f>(V133*100)/218.9</f>
        <v>39.732148177363413</v>
      </c>
      <c r="W135">
        <v>420.1</v>
      </c>
      <c r="Y135">
        <f t="shared" si="14"/>
        <v>83126.10000000002</v>
      </c>
      <c r="Z135">
        <f t="shared" si="18"/>
        <v>6076.6999999999989</v>
      </c>
      <c r="AA135" s="30">
        <v>8.2070479601755135</v>
      </c>
    </row>
    <row r="136" spans="1:28" x14ac:dyDescent="0.25">
      <c r="A136">
        <v>5240</v>
      </c>
      <c r="B136">
        <v>23690</v>
      </c>
      <c r="C136" s="5">
        <v>42714</v>
      </c>
      <c r="E136" s="30">
        <v>13</v>
      </c>
      <c r="F136" s="57"/>
      <c r="G136">
        <v>3.8</v>
      </c>
      <c r="H136">
        <v>1</v>
      </c>
      <c r="I136">
        <v>5.0999999999999996</v>
      </c>
      <c r="J136">
        <f t="shared" si="13"/>
        <v>1290.9000000000001</v>
      </c>
      <c r="K136">
        <f t="shared" si="19"/>
        <v>35.599999999999994</v>
      </c>
      <c r="L136" s="17" t="s">
        <v>43</v>
      </c>
      <c r="M136">
        <v>0.2</v>
      </c>
      <c r="N136">
        <v>0.2</v>
      </c>
      <c r="O136">
        <f t="shared" si="10"/>
        <v>0</v>
      </c>
      <c r="P136">
        <f t="shared" si="16"/>
        <v>49.900000000000006</v>
      </c>
      <c r="Q136">
        <v>110</v>
      </c>
      <c r="R136">
        <v>1</v>
      </c>
      <c r="S136" s="9">
        <f t="shared" si="11"/>
        <v>0.2</v>
      </c>
      <c r="T136" s="9">
        <f t="shared" si="12"/>
        <v>0</v>
      </c>
      <c r="U136" s="9">
        <f t="shared" si="17"/>
        <v>71.630815217391344</v>
      </c>
      <c r="W136">
        <v>189.7</v>
      </c>
      <c r="Y136">
        <f t="shared" si="14"/>
        <v>83315.800000000017</v>
      </c>
      <c r="Z136">
        <f t="shared" si="18"/>
        <v>6266.3999999999987</v>
      </c>
      <c r="AA136" s="30">
        <v>8.1914132004305085</v>
      </c>
    </row>
    <row r="137" spans="1:28" x14ac:dyDescent="0.25">
      <c r="A137">
        <v>5240</v>
      </c>
      <c r="B137">
        <v>23690</v>
      </c>
      <c r="C137" s="5">
        <v>42715</v>
      </c>
      <c r="F137" s="57"/>
      <c r="G137">
        <v>5.3</v>
      </c>
      <c r="H137">
        <v>3.3</v>
      </c>
      <c r="I137">
        <v>7</v>
      </c>
      <c r="J137">
        <f t="shared" si="13"/>
        <v>1296.2</v>
      </c>
      <c r="K137">
        <f t="shared" si="19"/>
        <v>40.899999999999991</v>
      </c>
      <c r="L137" s="11">
        <v>32</v>
      </c>
      <c r="M137">
        <v>0.2</v>
      </c>
      <c r="N137">
        <v>0.2</v>
      </c>
      <c r="O137">
        <f t="shared" si="10"/>
        <v>0</v>
      </c>
      <c r="P137">
        <f t="shared" si="16"/>
        <v>49.900000000000006</v>
      </c>
      <c r="Q137">
        <v>111</v>
      </c>
      <c r="R137">
        <v>1</v>
      </c>
      <c r="S137" s="9">
        <f t="shared" si="11"/>
        <v>0.2</v>
      </c>
      <c r="T137" s="9">
        <f t="shared" si="12"/>
        <v>0</v>
      </c>
      <c r="U137" s="9">
        <f t="shared" si="17"/>
        <v>71.630815217391344</v>
      </c>
      <c r="W137">
        <v>198.3</v>
      </c>
      <c r="Y137">
        <f t="shared" si="14"/>
        <v>83514.10000000002</v>
      </c>
      <c r="Z137">
        <f t="shared" si="18"/>
        <v>6464.6999999999989</v>
      </c>
      <c r="AA137" s="30">
        <v>8.1771220620210858</v>
      </c>
    </row>
    <row r="138" spans="1:28" x14ac:dyDescent="0.25">
      <c r="A138">
        <v>5240</v>
      </c>
      <c r="B138">
        <v>23690</v>
      </c>
      <c r="C138" s="5">
        <v>42716</v>
      </c>
      <c r="E138" s="30">
        <v>14</v>
      </c>
      <c r="F138" s="57"/>
      <c r="G138">
        <v>4.3</v>
      </c>
      <c r="H138">
        <v>3.2</v>
      </c>
      <c r="I138">
        <v>5.4</v>
      </c>
      <c r="J138">
        <f t="shared" si="13"/>
        <v>1300.5</v>
      </c>
      <c r="K138">
        <f t="shared" si="19"/>
        <v>45.199999999999989</v>
      </c>
      <c r="M138">
        <v>2</v>
      </c>
      <c r="N138">
        <v>0.1</v>
      </c>
      <c r="O138">
        <f t="shared" si="10"/>
        <v>1.9</v>
      </c>
      <c r="P138">
        <f t="shared" si="16"/>
        <v>51.800000000000004</v>
      </c>
      <c r="Q138">
        <v>112</v>
      </c>
      <c r="R138">
        <v>1</v>
      </c>
      <c r="S138" s="9">
        <f t="shared" si="11"/>
        <v>0.1</v>
      </c>
      <c r="T138" s="9">
        <f t="shared" si="12"/>
        <v>1.9</v>
      </c>
      <c r="U138" s="9">
        <f t="shared" si="17"/>
        <v>73.53081521739135</v>
      </c>
      <c r="W138">
        <v>48.9</v>
      </c>
      <c r="Y138">
        <f t="shared" si="14"/>
        <v>83563.000000000015</v>
      </c>
      <c r="Z138">
        <f t="shared" si="18"/>
        <v>6513.5999999999985</v>
      </c>
      <c r="AA138" s="30">
        <v>8.1641871560925381</v>
      </c>
    </row>
    <row r="139" spans="1:28" x14ac:dyDescent="0.25">
      <c r="A139">
        <v>5240</v>
      </c>
      <c r="B139">
        <v>23690</v>
      </c>
      <c r="C139" s="5">
        <v>42717</v>
      </c>
      <c r="F139" s="57"/>
      <c r="G139">
        <v>6.1</v>
      </c>
      <c r="H139">
        <v>4.9000000000000004</v>
      </c>
      <c r="I139">
        <v>8.6</v>
      </c>
      <c r="J139">
        <f t="shared" si="13"/>
        <v>1306.5999999999999</v>
      </c>
      <c r="K139">
        <f t="shared" si="19"/>
        <v>51.29999999999999</v>
      </c>
      <c r="M139">
        <v>0</v>
      </c>
      <c r="N139">
        <v>0.2</v>
      </c>
      <c r="O139">
        <f t="shared" si="10"/>
        <v>-0.2</v>
      </c>
      <c r="P139">
        <f t="shared" si="16"/>
        <v>51.6</v>
      </c>
      <c r="Q139">
        <v>113</v>
      </c>
      <c r="R139">
        <v>1</v>
      </c>
      <c r="S139" s="9">
        <f t="shared" si="11"/>
        <v>0.2</v>
      </c>
      <c r="T139" s="9">
        <f t="shared" si="12"/>
        <v>-0.2</v>
      </c>
      <c r="U139" s="9">
        <f t="shared" si="17"/>
        <v>73.330815217391347</v>
      </c>
      <c r="W139">
        <v>142</v>
      </c>
      <c r="Y139">
        <f t="shared" si="14"/>
        <v>83705.000000000015</v>
      </c>
      <c r="Z139">
        <f t="shared" si="18"/>
        <v>6655.5999999999985</v>
      </c>
      <c r="AA139" s="30">
        <v>8.1526199901518428</v>
      </c>
    </row>
    <row r="140" spans="1:28" x14ac:dyDescent="0.25">
      <c r="A140">
        <v>5240</v>
      </c>
      <c r="B140">
        <v>23690</v>
      </c>
      <c r="C140" s="5">
        <v>42718</v>
      </c>
      <c r="E140" s="30">
        <v>15</v>
      </c>
      <c r="F140" s="57"/>
      <c r="G140">
        <v>3.1</v>
      </c>
      <c r="H140">
        <v>1</v>
      </c>
      <c r="I140">
        <v>6.8</v>
      </c>
      <c r="J140">
        <f t="shared" si="13"/>
        <v>1309.6999999999998</v>
      </c>
      <c r="K140">
        <f t="shared" si="19"/>
        <v>54.399999999999991</v>
      </c>
      <c r="M140">
        <v>0</v>
      </c>
      <c r="N140">
        <v>0.5</v>
      </c>
      <c r="O140">
        <f t="shared" si="10"/>
        <v>-0.5</v>
      </c>
      <c r="P140">
        <f t="shared" si="16"/>
        <v>51.1</v>
      </c>
      <c r="Q140">
        <v>114</v>
      </c>
      <c r="R140">
        <v>1</v>
      </c>
      <c r="S140" s="9">
        <f t="shared" si="11"/>
        <v>0.5</v>
      </c>
      <c r="T140" s="9">
        <f t="shared" si="12"/>
        <v>-0.5</v>
      </c>
      <c r="U140" s="9">
        <f t="shared" si="17"/>
        <v>72.830815217391347</v>
      </c>
      <c r="W140">
        <v>507.1</v>
      </c>
      <c r="Y140">
        <f t="shared" si="14"/>
        <v>84212.10000000002</v>
      </c>
      <c r="Z140">
        <f t="shared" si="18"/>
        <v>7162.6999999999989</v>
      </c>
      <c r="AA140" s="30">
        <v>8.1424309304596161</v>
      </c>
    </row>
    <row r="141" spans="1:28" x14ac:dyDescent="0.25">
      <c r="A141">
        <v>5240</v>
      </c>
      <c r="B141">
        <v>23690</v>
      </c>
      <c r="C141" s="5">
        <v>42719</v>
      </c>
      <c r="E141" s="30">
        <v>16</v>
      </c>
      <c r="F141" s="57"/>
      <c r="G141">
        <v>3.2</v>
      </c>
      <c r="H141">
        <v>-1</v>
      </c>
      <c r="I141">
        <v>5.6</v>
      </c>
      <c r="J141">
        <f t="shared" si="13"/>
        <v>1312.8999999999999</v>
      </c>
      <c r="K141">
        <f t="shared" si="19"/>
        <v>57.599999999999994</v>
      </c>
      <c r="M141">
        <v>0</v>
      </c>
      <c r="N141">
        <v>0.1</v>
      </c>
      <c r="O141">
        <f t="shared" si="10"/>
        <v>-0.1</v>
      </c>
      <c r="P141">
        <f t="shared" si="16"/>
        <v>51</v>
      </c>
      <c r="Q141">
        <v>115</v>
      </c>
      <c r="R141">
        <v>1</v>
      </c>
      <c r="S141" s="9">
        <f t="shared" si="11"/>
        <v>0.1</v>
      </c>
      <c r="T141" s="9">
        <f t="shared" si="12"/>
        <v>-0.1</v>
      </c>
      <c r="U141" s="9">
        <f t="shared" si="17"/>
        <v>72.730815217391353</v>
      </c>
      <c r="W141">
        <v>133.30000000000001</v>
      </c>
      <c r="Y141">
        <f t="shared" si="14"/>
        <v>84345.400000000023</v>
      </c>
      <c r="Z141">
        <f t="shared" si="18"/>
        <v>7295.9999999999991</v>
      </c>
      <c r="AA141" s="30">
        <v>8.1336291677564319</v>
      </c>
    </row>
    <row r="142" spans="1:28" x14ac:dyDescent="0.25">
      <c r="A142">
        <v>5240</v>
      </c>
      <c r="B142">
        <v>23690</v>
      </c>
      <c r="C142" s="5">
        <v>42720</v>
      </c>
      <c r="E142" s="30">
        <v>17</v>
      </c>
      <c r="F142" s="57"/>
      <c r="G142">
        <v>4.9000000000000004</v>
      </c>
      <c r="H142">
        <v>2.4</v>
      </c>
      <c r="I142">
        <v>7.5</v>
      </c>
      <c r="J142">
        <f t="shared" si="13"/>
        <v>1317.8</v>
      </c>
      <c r="K142">
        <f t="shared" si="19"/>
        <v>62.499999999999993</v>
      </c>
      <c r="M142">
        <v>0.1</v>
      </c>
      <c r="N142">
        <v>0.3</v>
      </c>
      <c r="O142">
        <f t="shared" si="10"/>
        <v>-0.19999999999999998</v>
      </c>
      <c r="P142">
        <f t="shared" si="16"/>
        <v>50.8</v>
      </c>
      <c r="Q142">
        <v>116</v>
      </c>
      <c r="R142">
        <v>1</v>
      </c>
      <c r="S142" s="9">
        <f t="shared" si="11"/>
        <v>0.3</v>
      </c>
      <c r="T142" s="9">
        <f t="shared" si="12"/>
        <v>-0.19999999999999998</v>
      </c>
      <c r="U142" s="9">
        <f t="shared" si="17"/>
        <v>72.53081521739135</v>
      </c>
      <c r="W142">
        <v>333.9</v>
      </c>
      <c r="Y142">
        <f t="shared" si="14"/>
        <v>84679.300000000017</v>
      </c>
      <c r="Z142">
        <f t="shared" si="18"/>
        <v>7629.8999999999987</v>
      </c>
      <c r="AA142" s="30">
        <v>8.1262226865619134</v>
      </c>
    </row>
    <row r="143" spans="1:28" x14ac:dyDescent="0.25">
      <c r="A143">
        <v>5240</v>
      </c>
      <c r="B143">
        <v>23690</v>
      </c>
      <c r="C143" s="5">
        <v>42721</v>
      </c>
      <c r="E143" s="30">
        <v>18</v>
      </c>
      <c r="F143" s="57"/>
      <c r="G143">
        <v>3.3</v>
      </c>
      <c r="H143">
        <v>-0.1</v>
      </c>
      <c r="I143">
        <v>7.3</v>
      </c>
      <c r="J143">
        <f t="shared" si="13"/>
        <v>1321.1</v>
      </c>
      <c r="K143">
        <f t="shared" si="19"/>
        <v>65.8</v>
      </c>
      <c r="M143">
        <v>0.3</v>
      </c>
      <c r="N143">
        <v>0.6</v>
      </c>
      <c r="O143">
        <f t="shared" si="10"/>
        <v>-0.3</v>
      </c>
      <c r="P143">
        <f t="shared" si="16"/>
        <v>50.5</v>
      </c>
      <c r="Q143">
        <v>117</v>
      </c>
      <c r="R143">
        <v>1</v>
      </c>
      <c r="S143" s="9">
        <f t="shared" si="11"/>
        <v>0.6</v>
      </c>
      <c r="T143" s="9">
        <f t="shared" si="12"/>
        <v>-0.3</v>
      </c>
      <c r="U143" s="9">
        <f t="shared" si="17"/>
        <v>72.230815217391353</v>
      </c>
      <c r="W143">
        <v>498.6</v>
      </c>
      <c r="Y143">
        <f t="shared" si="14"/>
        <v>85177.900000000023</v>
      </c>
      <c r="Z143">
        <f t="shared" si="18"/>
        <v>8128.4999999999991</v>
      </c>
      <c r="AA143" s="30">
        <v>8.1202182382635009</v>
      </c>
    </row>
    <row r="144" spans="1:28" x14ac:dyDescent="0.25">
      <c r="A144">
        <v>5240</v>
      </c>
      <c r="B144">
        <v>23690</v>
      </c>
      <c r="C144" s="5">
        <v>42722</v>
      </c>
      <c r="E144" s="30">
        <v>19</v>
      </c>
      <c r="F144" s="57"/>
      <c r="G144">
        <v>2.5</v>
      </c>
      <c r="H144">
        <v>2.1</v>
      </c>
      <c r="I144">
        <v>2.9</v>
      </c>
      <c r="J144">
        <f t="shared" si="13"/>
        <v>1323.6</v>
      </c>
      <c r="K144">
        <f t="shared" si="19"/>
        <v>68.3</v>
      </c>
      <c r="M144">
        <v>0.2</v>
      </c>
      <c r="N144">
        <v>0.1</v>
      </c>
      <c r="O144">
        <f t="shared" si="10"/>
        <v>0.1</v>
      </c>
      <c r="P144">
        <f t="shared" si="16"/>
        <v>50.6</v>
      </c>
      <c r="Q144">
        <v>118</v>
      </c>
      <c r="R144">
        <v>1</v>
      </c>
      <c r="S144" s="9">
        <f t="shared" si="11"/>
        <v>0.1</v>
      </c>
      <c r="T144" s="9">
        <f t="shared" si="12"/>
        <v>0.1</v>
      </c>
      <c r="U144" s="9">
        <f t="shared" si="17"/>
        <v>72.330815217391347</v>
      </c>
      <c r="W144">
        <v>173.4</v>
      </c>
      <c r="Y144">
        <f t="shared" si="14"/>
        <v>85351.300000000017</v>
      </c>
      <c r="Z144">
        <f t="shared" si="18"/>
        <v>8301.9</v>
      </c>
      <c r="AA144" s="30">
        <v>8.1156213181873671</v>
      </c>
    </row>
    <row r="145" spans="1:27" x14ac:dyDescent="0.25">
      <c r="A145">
        <v>5240</v>
      </c>
      <c r="B145">
        <v>23690</v>
      </c>
      <c r="C145" s="5">
        <v>42723</v>
      </c>
      <c r="E145" s="30">
        <v>20</v>
      </c>
      <c r="F145" s="57"/>
      <c r="G145">
        <v>3.2</v>
      </c>
      <c r="H145">
        <v>1.3</v>
      </c>
      <c r="I145">
        <v>4.2</v>
      </c>
      <c r="J145">
        <f t="shared" si="13"/>
        <v>1326.8</v>
      </c>
      <c r="K145">
        <f t="shared" si="19"/>
        <v>71.5</v>
      </c>
      <c r="M145">
        <v>0</v>
      </c>
      <c r="N145">
        <v>0</v>
      </c>
      <c r="O145">
        <f t="shared" si="10"/>
        <v>0</v>
      </c>
      <c r="P145">
        <f t="shared" si="16"/>
        <v>50.6</v>
      </c>
      <c r="Q145">
        <v>119</v>
      </c>
      <c r="R145">
        <v>1</v>
      </c>
      <c r="S145" s="9">
        <f t="shared" si="11"/>
        <v>0</v>
      </c>
      <c r="T145" s="9">
        <f t="shared" si="12"/>
        <v>0</v>
      </c>
      <c r="U145" s="9">
        <f t="shared" si="17"/>
        <v>72.330815217391347</v>
      </c>
      <c r="W145">
        <v>114.7</v>
      </c>
      <c r="Y145">
        <f t="shared" si="14"/>
        <v>85466.000000000015</v>
      </c>
      <c r="Z145">
        <f t="shared" si="18"/>
        <v>8416.6</v>
      </c>
      <c r="AA145" s="30">
        <v>8.112436146817398</v>
      </c>
    </row>
    <row r="146" spans="1:27" x14ac:dyDescent="0.25">
      <c r="A146">
        <v>5240</v>
      </c>
      <c r="B146">
        <v>23690</v>
      </c>
      <c r="C146" s="5">
        <v>42724</v>
      </c>
      <c r="E146" s="30">
        <v>21</v>
      </c>
      <c r="F146" s="57"/>
      <c r="G146">
        <v>2</v>
      </c>
      <c r="H146">
        <v>0.6</v>
      </c>
      <c r="I146">
        <v>3.7</v>
      </c>
      <c r="J146">
        <f t="shared" si="13"/>
        <v>1328.8</v>
      </c>
      <c r="K146">
        <f t="shared" si="19"/>
        <v>73.5</v>
      </c>
      <c r="M146">
        <v>0</v>
      </c>
      <c r="N146">
        <v>0.1</v>
      </c>
      <c r="O146">
        <f t="shared" si="10"/>
        <v>-0.1</v>
      </c>
      <c r="P146">
        <f t="shared" si="16"/>
        <v>50.5</v>
      </c>
      <c r="Q146">
        <v>120</v>
      </c>
      <c r="R146">
        <v>1</v>
      </c>
      <c r="S146" s="9">
        <f t="shared" si="11"/>
        <v>0.1</v>
      </c>
      <c r="T146" s="9">
        <f t="shared" si="12"/>
        <v>-0.1</v>
      </c>
      <c r="U146" s="9">
        <f t="shared" si="17"/>
        <v>72.230815217391353</v>
      </c>
      <c r="W146">
        <v>119.1</v>
      </c>
      <c r="Y146">
        <f t="shared" si="14"/>
        <v>85585.10000000002</v>
      </c>
      <c r="Z146">
        <f t="shared" si="18"/>
        <v>8535.7000000000007</v>
      </c>
      <c r="AA146" s="30">
        <v>8.1106656552992877</v>
      </c>
    </row>
    <row r="147" spans="1:27" x14ac:dyDescent="0.25">
      <c r="A147">
        <v>5240</v>
      </c>
      <c r="B147">
        <v>23690</v>
      </c>
      <c r="C147" s="5">
        <v>42725</v>
      </c>
      <c r="E147" s="30">
        <v>22</v>
      </c>
      <c r="F147" s="57"/>
      <c r="G147">
        <v>3.1</v>
      </c>
      <c r="H147">
        <v>-0.2</v>
      </c>
      <c r="I147">
        <v>6.8</v>
      </c>
      <c r="J147">
        <f t="shared" si="13"/>
        <v>1331.8999999999999</v>
      </c>
      <c r="K147">
        <f t="shared" si="19"/>
        <v>76.599999999999994</v>
      </c>
      <c r="M147">
        <v>14.1</v>
      </c>
      <c r="N147">
        <v>0.3</v>
      </c>
      <c r="O147">
        <f t="shared" si="10"/>
        <v>13.799999999999999</v>
      </c>
      <c r="P147">
        <f t="shared" si="16"/>
        <v>64.3</v>
      </c>
      <c r="Q147">
        <v>121</v>
      </c>
      <c r="R147">
        <v>1</v>
      </c>
      <c r="S147" s="9">
        <f t="shared" si="11"/>
        <v>0.3</v>
      </c>
      <c r="T147" s="9">
        <f t="shared" si="12"/>
        <v>13.799999999999999</v>
      </c>
      <c r="U147" s="9">
        <f t="shared" si="17"/>
        <v>86.03081521739135</v>
      </c>
      <c r="W147">
        <v>103.1</v>
      </c>
      <c r="Y147">
        <f t="shared" si="14"/>
        <v>85688.200000000026</v>
      </c>
      <c r="Z147">
        <f t="shared" si="18"/>
        <v>8638.8000000000011</v>
      </c>
      <c r="AA147" s="30">
        <v>8.1103114753363581</v>
      </c>
    </row>
    <row r="148" spans="1:27" x14ac:dyDescent="0.25">
      <c r="A148">
        <v>5240</v>
      </c>
      <c r="B148">
        <v>23690</v>
      </c>
      <c r="C148" s="5">
        <v>42726</v>
      </c>
      <c r="F148" s="57"/>
      <c r="G148">
        <v>6.5</v>
      </c>
      <c r="H148">
        <v>5.4</v>
      </c>
      <c r="I148">
        <v>8.8000000000000007</v>
      </c>
      <c r="J148">
        <f t="shared" si="13"/>
        <v>1338.3999999999999</v>
      </c>
      <c r="K148">
        <f t="shared" si="19"/>
        <v>83.1</v>
      </c>
      <c r="M148">
        <v>1</v>
      </c>
      <c r="N148">
        <v>0.2</v>
      </c>
      <c r="O148">
        <f t="shared" si="10"/>
        <v>0.8</v>
      </c>
      <c r="P148">
        <f t="shared" si="16"/>
        <v>65.099999999999994</v>
      </c>
      <c r="Q148">
        <v>122</v>
      </c>
      <c r="R148">
        <v>1</v>
      </c>
      <c r="S148" s="9">
        <f t="shared" si="11"/>
        <v>0.2</v>
      </c>
      <c r="T148" s="9">
        <f t="shared" si="12"/>
        <v>0.8</v>
      </c>
      <c r="U148" s="9">
        <f t="shared" si="17"/>
        <v>86.830815217391347</v>
      </c>
      <c r="W148">
        <v>109.8</v>
      </c>
      <c r="Y148">
        <f t="shared" si="14"/>
        <v>85798.000000000029</v>
      </c>
      <c r="Z148">
        <f t="shared" si="18"/>
        <v>8748.6</v>
      </c>
      <c r="AA148" s="30">
        <v>8.1113739335517074</v>
      </c>
    </row>
    <row r="149" spans="1:27" x14ac:dyDescent="0.25">
      <c r="A149">
        <v>5240</v>
      </c>
      <c r="B149">
        <v>23690</v>
      </c>
      <c r="C149" s="5">
        <v>42727</v>
      </c>
      <c r="E149" s="30">
        <v>23</v>
      </c>
      <c r="F149" s="57"/>
      <c r="G149">
        <v>3.7</v>
      </c>
      <c r="H149">
        <v>-0.4</v>
      </c>
      <c r="I149">
        <v>6.9</v>
      </c>
      <c r="J149">
        <f t="shared" si="13"/>
        <v>1342.1</v>
      </c>
      <c r="K149">
        <f t="shared" si="19"/>
        <v>86.8</v>
      </c>
      <c r="M149">
        <v>0.9</v>
      </c>
      <c r="N149">
        <v>0.1</v>
      </c>
      <c r="O149">
        <f t="shared" si="10"/>
        <v>0.8</v>
      </c>
      <c r="P149">
        <f t="shared" si="16"/>
        <v>65.899999999999991</v>
      </c>
      <c r="Q149">
        <v>123</v>
      </c>
      <c r="R149">
        <v>1</v>
      </c>
      <c r="S149" s="9">
        <f t="shared" si="11"/>
        <v>0.1</v>
      </c>
      <c r="T149" s="9">
        <f t="shared" si="12"/>
        <v>0.8</v>
      </c>
      <c r="U149" s="9">
        <f t="shared" si="17"/>
        <v>87.630815217391344</v>
      </c>
      <c r="W149">
        <v>86.5</v>
      </c>
      <c r="Y149">
        <f t="shared" si="14"/>
        <v>85884.500000000029</v>
      </c>
      <c r="Z149">
        <f t="shared" si="18"/>
        <v>8835.1</v>
      </c>
      <c r="AA149" s="30">
        <v>8.1138520503585703</v>
      </c>
    </row>
    <row r="150" spans="1:27" x14ac:dyDescent="0.25">
      <c r="A150">
        <v>5240</v>
      </c>
      <c r="B150">
        <v>23690</v>
      </c>
      <c r="C150" s="5">
        <v>42728</v>
      </c>
      <c r="F150" s="57"/>
      <c r="G150">
        <v>7.1</v>
      </c>
      <c r="H150">
        <v>5.6</v>
      </c>
      <c r="I150">
        <v>8.3000000000000007</v>
      </c>
      <c r="J150">
        <f t="shared" si="13"/>
        <v>1349.1999999999998</v>
      </c>
      <c r="K150">
        <f t="shared" si="19"/>
        <v>93.899999999999991</v>
      </c>
      <c r="M150">
        <v>0</v>
      </c>
      <c r="N150">
        <v>0.1</v>
      </c>
      <c r="O150">
        <f t="shared" si="10"/>
        <v>-0.1</v>
      </c>
      <c r="P150">
        <f t="shared" si="16"/>
        <v>65.8</v>
      </c>
      <c r="Q150">
        <v>124</v>
      </c>
      <c r="R150">
        <v>1</v>
      </c>
      <c r="S150" s="9">
        <f t="shared" si="11"/>
        <v>0.1</v>
      </c>
      <c r="T150" s="9">
        <f t="shared" si="12"/>
        <v>-0.1</v>
      </c>
      <c r="U150" s="9">
        <f t="shared" si="17"/>
        <v>87.53081521739135</v>
      </c>
      <c r="W150">
        <v>286.7</v>
      </c>
      <c r="Y150">
        <f t="shared" si="14"/>
        <v>86171.200000000026</v>
      </c>
      <c r="Z150">
        <f t="shared" si="18"/>
        <v>9121.8000000000011</v>
      </c>
      <c r="AA150" s="30">
        <v>8.1177435433471974</v>
      </c>
    </row>
    <row r="151" spans="1:27" x14ac:dyDescent="0.25">
      <c r="A151">
        <v>5240</v>
      </c>
      <c r="B151">
        <v>23690</v>
      </c>
      <c r="C151" s="5">
        <v>42729</v>
      </c>
      <c r="F151" s="57"/>
      <c r="G151">
        <v>8.6</v>
      </c>
      <c r="H151">
        <v>6.4</v>
      </c>
      <c r="I151">
        <v>9.9</v>
      </c>
      <c r="J151">
        <f t="shared" si="13"/>
        <v>1357.7999999999997</v>
      </c>
      <c r="K151">
        <f t="shared" si="19"/>
        <v>102.49999999999999</v>
      </c>
      <c r="M151">
        <v>0.1</v>
      </c>
      <c r="N151">
        <v>0.2</v>
      </c>
      <c r="O151">
        <f t="shared" si="10"/>
        <v>-0.1</v>
      </c>
      <c r="P151">
        <f t="shared" si="16"/>
        <v>65.7</v>
      </c>
      <c r="Q151">
        <v>125</v>
      </c>
      <c r="R151">
        <v>1</v>
      </c>
      <c r="S151" s="9">
        <f t="shared" si="11"/>
        <v>0.2</v>
      </c>
      <c r="T151" s="9">
        <f t="shared" si="12"/>
        <v>-0.1</v>
      </c>
      <c r="U151" s="9">
        <f t="shared" si="17"/>
        <v>87.430815217391356</v>
      </c>
      <c r="W151">
        <v>81.2</v>
      </c>
      <c r="Y151">
        <f t="shared" si="14"/>
        <v>86252.400000000023</v>
      </c>
      <c r="Z151">
        <f t="shared" si="18"/>
        <v>9203.0000000000018</v>
      </c>
      <c r="AA151" s="30">
        <v>8.1230448351631601</v>
      </c>
    </row>
    <row r="152" spans="1:27" x14ac:dyDescent="0.25">
      <c r="A152">
        <v>5240</v>
      </c>
      <c r="B152">
        <v>23690</v>
      </c>
      <c r="C152" s="5">
        <v>42730</v>
      </c>
      <c r="F152" s="57"/>
      <c r="G152">
        <v>7.5</v>
      </c>
      <c r="H152">
        <v>6.1</v>
      </c>
      <c r="I152">
        <v>9.6</v>
      </c>
      <c r="J152">
        <f t="shared" si="13"/>
        <v>1365.2999999999997</v>
      </c>
      <c r="K152">
        <f t="shared" si="19"/>
        <v>109.99999999999999</v>
      </c>
      <c r="M152">
        <v>0.1</v>
      </c>
      <c r="N152">
        <v>0.2</v>
      </c>
      <c r="O152">
        <f t="shared" si="10"/>
        <v>-0.1</v>
      </c>
      <c r="P152">
        <f t="shared" si="16"/>
        <v>65.600000000000009</v>
      </c>
      <c r="Q152">
        <v>126</v>
      </c>
      <c r="R152">
        <v>1</v>
      </c>
      <c r="S152" s="9">
        <f t="shared" si="11"/>
        <v>0.2</v>
      </c>
      <c r="T152" s="9">
        <f t="shared" si="12"/>
        <v>-0.1</v>
      </c>
      <c r="U152" s="9">
        <f t="shared" si="17"/>
        <v>87.330815217391361</v>
      </c>
      <c r="W152">
        <v>175.1</v>
      </c>
      <c r="Y152">
        <f t="shared" si="14"/>
        <v>86427.500000000029</v>
      </c>
      <c r="Z152">
        <f t="shared" si="18"/>
        <v>9378.1000000000022</v>
      </c>
      <c r="AA152" s="30">
        <v>8.1297510658187591</v>
      </c>
    </row>
    <row r="153" spans="1:27" x14ac:dyDescent="0.25">
      <c r="A153">
        <v>5240</v>
      </c>
      <c r="B153">
        <v>23690</v>
      </c>
      <c r="C153" s="5">
        <v>42731</v>
      </c>
      <c r="E153" s="30">
        <v>24</v>
      </c>
      <c r="F153" s="57"/>
      <c r="G153">
        <v>2.1</v>
      </c>
      <c r="H153">
        <v>-1.4</v>
      </c>
      <c r="I153">
        <v>5.8</v>
      </c>
      <c r="J153">
        <f t="shared" si="13"/>
        <v>1367.3999999999996</v>
      </c>
      <c r="K153">
        <f t="shared" si="19"/>
        <v>112.09999999999998</v>
      </c>
      <c r="M153">
        <v>0.1</v>
      </c>
      <c r="N153">
        <v>0.4</v>
      </c>
      <c r="O153">
        <f t="shared" si="10"/>
        <v>-0.30000000000000004</v>
      </c>
      <c r="P153">
        <f t="shared" si="16"/>
        <v>65.300000000000011</v>
      </c>
      <c r="Q153">
        <v>127</v>
      </c>
      <c r="R153">
        <v>1</v>
      </c>
      <c r="S153" s="9">
        <f t="shared" si="11"/>
        <v>0.4</v>
      </c>
      <c r="T153" s="9">
        <f t="shared" si="12"/>
        <v>-0.30000000000000004</v>
      </c>
      <c r="U153" s="9">
        <f t="shared" si="17"/>
        <v>87.030815217391364</v>
      </c>
      <c r="W153">
        <v>536.5</v>
      </c>
      <c r="Y153">
        <f t="shared" si="14"/>
        <v>86964.000000000029</v>
      </c>
      <c r="Z153">
        <f t="shared" si="18"/>
        <v>9914.6000000000022</v>
      </c>
      <c r="AA153" s="30">
        <v>8.1378561093467461</v>
      </c>
    </row>
    <row r="154" spans="1:27" x14ac:dyDescent="0.25">
      <c r="A154">
        <v>5240</v>
      </c>
      <c r="B154">
        <v>23690</v>
      </c>
      <c r="C154" s="5">
        <v>42732</v>
      </c>
      <c r="E154" s="30">
        <v>25</v>
      </c>
      <c r="F154" s="57"/>
      <c r="G154">
        <v>2.7</v>
      </c>
      <c r="H154">
        <v>0.6</v>
      </c>
      <c r="I154">
        <v>5.6</v>
      </c>
      <c r="J154">
        <f t="shared" si="13"/>
        <v>1370.0999999999997</v>
      </c>
      <c r="K154">
        <f t="shared" si="19"/>
        <v>114.79999999999998</v>
      </c>
      <c r="M154">
        <v>0.1</v>
      </c>
      <c r="N154">
        <v>0.5</v>
      </c>
      <c r="O154">
        <f t="shared" si="10"/>
        <v>-0.4</v>
      </c>
      <c r="P154">
        <f t="shared" si="16"/>
        <v>64.900000000000006</v>
      </c>
      <c r="Q154">
        <v>128</v>
      </c>
      <c r="R154">
        <v>1</v>
      </c>
      <c r="S154" s="9">
        <f t="shared" si="11"/>
        <v>0.5</v>
      </c>
      <c r="T154" s="9">
        <f t="shared" si="12"/>
        <v>-0.4</v>
      </c>
      <c r="U154" s="9">
        <f t="shared" si="17"/>
        <v>86.630815217391358</v>
      </c>
      <c r="W154">
        <v>516.20000000000005</v>
      </c>
      <c r="Y154">
        <f t="shared" si="14"/>
        <v>87480.200000000026</v>
      </c>
      <c r="Z154">
        <f t="shared" si="18"/>
        <v>10430.800000000003</v>
      </c>
      <c r="AA154" s="30">
        <v>8.1473525946743592</v>
      </c>
    </row>
    <row r="155" spans="1:27" x14ac:dyDescent="0.25">
      <c r="A155">
        <v>5240</v>
      </c>
      <c r="B155">
        <v>23690</v>
      </c>
      <c r="C155" s="5">
        <v>42733</v>
      </c>
      <c r="E155" s="30">
        <v>26</v>
      </c>
      <c r="F155" s="57"/>
      <c r="G155">
        <v>-1.3</v>
      </c>
      <c r="H155">
        <v>-1.6</v>
      </c>
      <c r="I155">
        <v>-1.4</v>
      </c>
      <c r="J155">
        <v>1370.1</v>
      </c>
      <c r="K155">
        <v>114.8</v>
      </c>
      <c r="M155">
        <v>0</v>
      </c>
      <c r="N155">
        <v>0.2</v>
      </c>
      <c r="O155">
        <f t="shared" si="10"/>
        <v>-0.2</v>
      </c>
      <c r="P155">
        <f t="shared" si="16"/>
        <v>64.7</v>
      </c>
      <c r="Q155">
        <v>129</v>
      </c>
      <c r="R155">
        <v>1</v>
      </c>
      <c r="S155" s="9">
        <f t="shared" si="11"/>
        <v>0.2</v>
      </c>
      <c r="T155" s="9">
        <f t="shared" si="12"/>
        <v>-0.2</v>
      </c>
      <c r="U155" s="9">
        <f t="shared" si="17"/>
        <v>86.430815217391356</v>
      </c>
      <c r="W155">
        <v>198.3</v>
      </c>
      <c r="Y155">
        <f t="shared" si="14"/>
        <v>87678.500000000029</v>
      </c>
      <c r="Z155">
        <f t="shared" si="18"/>
        <v>10629.100000000002</v>
      </c>
      <c r="AA155" s="30">
        <v>8.158231930565929</v>
      </c>
    </row>
    <row r="156" spans="1:27" x14ac:dyDescent="0.25">
      <c r="A156">
        <v>5240</v>
      </c>
      <c r="B156">
        <v>23690</v>
      </c>
      <c r="C156" s="5">
        <v>42734</v>
      </c>
      <c r="E156" s="30">
        <v>27</v>
      </c>
      <c r="F156" s="57"/>
      <c r="G156">
        <v>-3.4</v>
      </c>
      <c r="H156">
        <v>-3.6</v>
      </c>
      <c r="I156">
        <v>-3.1</v>
      </c>
      <c r="J156">
        <v>1370.1</v>
      </c>
      <c r="K156">
        <v>114.8</v>
      </c>
      <c r="M156">
        <v>0</v>
      </c>
      <c r="N156">
        <v>0.2</v>
      </c>
      <c r="O156">
        <f t="shared" ref="O156:O219" si="20">M156-N156</f>
        <v>-0.2</v>
      </c>
      <c r="P156">
        <f t="shared" si="16"/>
        <v>64.5</v>
      </c>
      <c r="Q156">
        <v>130</v>
      </c>
      <c r="R156">
        <v>1</v>
      </c>
      <c r="S156" s="9">
        <f t="shared" ref="S156:S219" si="21">R156*N156</f>
        <v>0.2</v>
      </c>
      <c r="T156" s="9">
        <f t="shared" ref="T156:T219" si="22">M156-S156</f>
        <v>-0.2</v>
      </c>
      <c r="U156" s="9">
        <f t="shared" si="17"/>
        <v>86.230815217391353</v>
      </c>
      <c r="W156">
        <v>276.10000000000002</v>
      </c>
      <c r="Y156">
        <f t="shared" si="14"/>
        <v>87954.600000000035</v>
      </c>
      <c r="Z156">
        <f t="shared" si="18"/>
        <v>10905.200000000003</v>
      </c>
      <c r="AA156" s="30">
        <v>8.170484334454601</v>
      </c>
    </row>
    <row r="157" spans="1:27" x14ac:dyDescent="0.25">
      <c r="A157">
        <v>5240</v>
      </c>
      <c r="B157">
        <v>23690</v>
      </c>
      <c r="C157" s="5">
        <v>42735</v>
      </c>
      <c r="E157" s="30">
        <v>28</v>
      </c>
      <c r="F157" s="57"/>
      <c r="G157">
        <v>-4.0999999999999996</v>
      </c>
      <c r="H157">
        <v>-4.5</v>
      </c>
      <c r="I157">
        <v>-3.6</v>
      </c>
      <c r="J157">
        <v>1370.1</v>
      </c>
      <c r="K157">
        <v>114.8</v>
      </c>
      <c r="M157">
        <v>0</v>
      </c>
      <c r="N157">
        <v>0.1</v>
      </c>
      <c r="O157">
        <f t="shared" si="20"/>
        <v>-0.1</v>
      </c>
      <c r="P157">
        <f t="shared" si="16"/>
        <v>64.400000000000006</v>
      </c>
      <c r="Q157">
        <v>131</v>
      </c>
      <c r="R157">
        <v>1</v>
      </c>
      <c r="S157" s="9">
        <f t="shared" si="21"/>
        <v>0.1</v>
      </c>
      <c r="T157" s="9">
        <f t="shared" si="22"/>
        <v>-0.1</v>
      </c>
      <c r="U157" s="9">
        <f t="shared" si="17"/>
        <v>86.130815217391358</v>
      </c>
      <c r="W157">
        <v>184.7</v>
      </c>
      <c r="Y157">
        <f t="shared" ref="Y157:Y220" si="23">Y156+W157</f>
        <v>88139.300000000032</v>
      </c>
      <c r="Z157">
        <f t="shared" si="18"/>
        <v>11089.900000000003</v>
      </c>
      <c r="AA157" s="30">
        <v>8.1840988649581483</v>
      </c>
    </row>
    <row r="158" spans="1:27" x14ac:dyDescent="0.25">
      <c r="A158">
        <v>5240</v>
      </c>
      <c r="B158">
        <v>23690</v>
      </c>
      <c r="C158" s="5">
        <v>42736</v>
      </c>
      <c r="E158" s="30">
        <v>29</v>
      </c>
      <c r="F158" s="57"/>
      <c r="G158">
        <v>-2.6</v>
      </c>
      <c r="H158">
        <v>-4.9000000000000004</v>
      </c>
      <c r="I158">
        <v>-0.1</v>
      </c>
      <c r="J158">
        <v>1370.1</v>
      </c>
      <c r="K158">
        <v>114.8</v>
      </c>
      <c r="M158">
        <v>0.4</v>
      </c>
      <c r="N158">
        <v>0.1</v>
      </c>
      <c r="O158">
        <f t="shared" si="20"/>
        <v>0.30000000000000004</v>
      </c>
      <c r="P158">
        <f t="shared" si="16"/>
        <v>64.7</v>
      </c>
      <c r="Q158">
        <v>132</v>
      </c>
      <c r="R158">
        <v>1</v>
      </c>
      <c r="S158" s="9">
        <f t="shared" si="21"/>
        <v>0.1</v>
      </c>
      <c r="T158" s="9">
        <f t="shared" si="22"/>
        <v>0.30000000000000004</v>
      </c>
      <c r="U158" s="9">
        <f t="shared" si="17"/>
        <v>86.430815217391356</v>
      </c>
      <c r="W158">
        <v>125.8</v>
      </c>
      <c r="Y158">
        <f t="shared" si="23"/>
        <v>88265.100000000035</v>
      </c>
      <c r="Z158">
        <f t="shared" si="18"/>
        <v>11215.700000000003</v>
      </c>
      <c r="AA158" s="30">
        <v>8.1990634578508867</v>
      </c>
    </row>
    <row r="159" spans="1:27" x14ac:dyDescent="0.25">
      <c r="A159">
        <v>5240</v>
      </c>
      <c r="B159">
        <v>23690</v>
      </c>
      <c r="C159" s="5">
        <v>42737</v>
      </c>
      <c r="E159" s="30">
        <v>30</v>
      </c>
      <c r="F159" s="57"/>
      <c r="G159">
        <v>0.6</v>
      </c>
      <c r="H159">
        <v>-1</v>
      </c>
      <c r="I159">
        <v>1.2</v>
      </c>
      <c r="J159">
        <f t="shared" ref="J159:J222" si="24">J158+G159</f>
        <v>1370.6999999999998</v>
      </c>
      <c r="K159">
        <f t="shared" si="19"/>
        <v>115.39999999999999</v>
      </c>
      <c r="M159">
        <v>0.5</v>
      </c>
      <c r="N159">
        <v>0.1</v>
      </c>
      <c r="O159">
        <f t="shared" si="20"/>
        <v>0.4</v>
      </c>
      <c r="P159">
        <f t="shared" si="16"/>
        <v>65.100000000000009</v>
      </c>
      <c r="Q159">
        <v>133</v>
      </c>
      <c r="R159">
        <v>1</v>
      </c>
      <c r="S159" s="9">
        <f t="shared" si="21"/>
        <v>0.1</v>
      </c>
      <c r="T159" s="9">
        <f t="shared" si="22"/>
        <v>0.4</v>
      </c>
      <c r="U159" s="9">
        <f t="shared" si="17"/>
        <v>86.830815217391361</v>
      </c>
      <c r="W159">
        <v>99.2</v>
      </c>
      <c r="Y159">
        <f t="shared" si="23"/>
        <v>88364.300000000032</v>
      </c>
      <c r="Z159">
        <f t="shared" si="18"/>
        <v>11314.900000000003</v>
      </c>
      <c r="AA159" s="30">
        <v>8.2153649652434488</v>
      </c>
    </row>
    <row r="160" spans="1:27" x14ac:dyDescent="0.25">
      <c r="A160">
        <v>5240</v>
      </c>
      <c r="B160">
        <v>23690</v>
      </c>
      <c r="C160" s="5">
        <v>42738</v>
      </c>
      <c r="E160" s="30">
        <v>31</v>
      </c>
      <c r="F160" s="57"/>
      <c r="G160">
        <v>-0.7</v>
      </c>
      <c r="H160">
        <v>-0.9</v>
      </c>
      <c r="I160">
        <v>-0.5</v>
      </c>
      <c r="J160">
        <v>1370.7</v>
      </c>
      <c r="K160">
        <v>115.4</v>
      </c>
      <c r="M160">
        <v>0</v>
      </c>
      <c r="N160">
        <v>0.2</v>
      </c>
      <c r="O160">
        <f t="shared" si="20"/>
        <v>-0.2</v>
      </c>
      <c r="P160">
        <f t="shared" si="16"/>
        <v>64.900000000000006</v>
      </c>
      <c r="Q160">
        <v>134</v>
      </c>
      <c r="R160">
        <v>1</v>
      </c>
      <c r="S160" s="9">
        <f t="shared" si="21"/>
        <v>0.2</v>
      </c>
      <c r="T160" s="9">
        <f t="shared" si="22"/>
        <v>-0.2</v>
      </c>
      <c r="U160" s="9">
        <f t="shared" si="17"/>
        <v>86.630815217391358</v>
      </c>
      <c r="W160">
        <v>271.3</v>
      </c>
      <c r="Y160">
        <f t="shared" si="23"/>
        <v>88635.600000000035</v>
      </c>
      <c r="Z160">
        <f t="shared" si="18"/>
        <v>11586.200000000003</v>
      </c>
      <c r="AA160" s="30">
        <v>8.2329891977048906</v>
      </c>
    </row>
    <row r="161" spans="1:27" x14ac:dyDescent="0.25">
      <c r="A161">
        <v>5240</v>
      </c>
      <c r="B161">
        <v>23690</v>
      </c>
      <c r="C161" s="5">
        <v>42739</v>
      </c>
      <c r="E161" s="30">
        <v>32</v>
      </c>
      <c r="F161" s="57"/>
      <c r="G161">
        <v>0.8</v>
      </c>
      <c r="H161">
        <v>-1.5</v>
      </c>
      <c r="I161">
        <v>2.7</v>
      </c>
      <c r="J161">
        <f t="shared" si="24"/>
        <v>1371.5</v>
      </c>
      <c r="K161">
        <f t="shared" si="19"/>
        <v>116.2</v>
      </c>
      <c r="M161">
        <v>0.3</v>
      </c>
      <c r="N161">
        <v>0.1</v>
      </c>
      <c r="O161">
        <f t="shared" si="20"/>
        <v>0.19999999999999998</v>
      </c>
      <c r="P161">
        <f t="shared" si="16"/>
        <v>65.100000000000009</v>
      </c>
      <c r="Q161">
        <v>135</v>
      </c>
      <c r="R161">
        <v>1</v>
      </c>
      <c r="S161" s="9">
        <f t="shared" si="21"/>
        <v>0.1</v>
      </c>
      <c r="T161" s="9">
        <f t="shared" si="22"/>
        <v>0.19999999999999998</v>
      </c>
      <c r="U161" s="9">
        <f t="shared" si="17"/>
        <v>86.830815217391361</v>
      </c>
      <c r="W161">
        <v>96.1</v>
      </c>
      <c r="Y161">
        <f t="shared" si="23"/>
        <v>88731.700000000041</v>
      </c>
      <c r="Z161">
        <f t="shared" si="18"/>
        <v>11682.300000000003</v>
      </c>
      <c r="AA161" s="30">
        <v>8.2519209690473367</v>
      </c>
    </row>
    <row r="162" spans="1:27" x14ac:dyDescent="0.25">
      <c r="A162">
        <v>5240</v>
      </c>
      <c r="B162">
        <v>23690</v>
      </c>
      <c r="C162" s="5">
        <v>42740</v>
      </c>
      <c r="E162" s="30">
        <v>33</v>
      </c>
      <c r="F162" s="57"/>
      <c r="G162">
        <v>0.8</v>
      </c>
      <c r="H162">
        <v>-1.4</v>
      </c>
      <c r="I162">
        <v>4.0999999999999996</v>
      </c>
      <c r="J162">
        <f t="shared" si="24"/>
        <v>1372.3</v>
      </c>
      <c r="K162">
        <f t="shared" si="19"/>
        <v>117</v>
      </c>
      <c r="M162">
        <v>0.1</v>
      </c>
      <c r="N162">
        <v>0.4</v>
      </c>
      <c r="O162">
        <f t="shared" si="20"/>
        <v>-0.30000000000000004</v>
      </c>
      <c r="P162">
        <f t="shared" si="16"/>
        <v>64.800000000000011</v>
      </c>
      <c r="Q162">
        <v>136</v>
      </c>
      <c r="R162">
        <v>1</v>
      </c>
      <c r="S162" s="9">
        <f t="shared" si="21"/>
        <v>0.4</v>
      </c>
      <c r="T162" s="9">
        <f t="shared" si="22"/>
        <v>-0.30000000000000004</v>
      </c>
      <c r="U162" s="9">
        <f t="shared" si="17"/>
        <v>86.530815217391364</v>
      </c>
      <c r="W162">
        <v>493.9</v>
      </c>
      <c r="Y162">
        <f t="shared" si="23"/>
        <v>89225.600000000035</v>
      </c>
      <c r="Z162">
        <f t="shared" si="18"/>
        <v>12176.200000000003</v>
      </c>
      <c r="AA162" s="30">
        <v>8.2721441434822545</v>
      </c>
    </row>
    <row r="163" spans="1:27" x14ac:dyDescent="0.25">
      <c r="A163">
        <v>5240</v>
      </c>
      <c r="B163">
        <v>23690</v>
      </c>
      <c r="C163" s="5">
        <v>42741</v>
      </c>
      <c r="E163" s="30">
        <v>34</v>
      </c>
      <c r="F163" s="57"/>
      <c r="G163">
        <v>-2.2999999999999998</v>
      </c>
      <c r="H163">
        <v>-3.7</v>
      </c>
      <c r="I163">
        <v>0.7</v>
      </c>
      <c r="J163">
        <v>1372.3</v>
      </c>
      <c r="K163">
        <v>117</v>
      </c>
      <c r="M163">
        <v>0</v>
      </c>
      <c r="N163">
        <v>0.3</v>
      </c>
      <c r="O163">
        <f t="shared" si="20"/>
        <v>-0.3</v>
      </c>
      <c r="P163">
        <f t="shared" si="16"/>
        <v>64.500000000000014</v>
      </c>
      <c r="Q163">
        <v>137</v>
      </c>
      <c r="R163">
        <v>1</v>
      </c>
      <c r="S163" s="9">
        <f t="shared" si="21"/>
        <v>0.3</v>
      </c>
      <c r="T163" s="9">
        <f t="shared" si="22"/>
        <v>-0.3</v>
      </c>
      <c r="U163" s="9">
        <f t="shared" si="17"/>
        <v>86.230815217391367</v>
      </c>
      <c r="W163">
        <v>520.5</v>
      </c>
      <c r="Y163">
        <f t="shared" si="23"/>
        <v>89746.100000000035</v>
      </c>
      <c r="Z163">
        <f t="shared" si="18"/>
        <v>12696.700000000003</v>
      </c>
      <c r="AA163" s="30">
        <v>8.2936416848494954</v>
      </c>
    </row>
    <row r="164" spans="1:27" x14ac:dyDescent="0.25">
      <c r="A164">
        <v>5240</v>
      </c>
      <c r="B164">
        <v>23690</v>
      </c>
      <c r="C164" s="5">
        <v>42742</v>
      </c>
      <c r="E164" s="30">
        <v>35</v>
      </c>
      <c r="F164" s="57"/>
      <c r="G164">
        <v>-1.2</v>
      </c>
      <c r="H164">
        <v>-5.2</v>
      </c>
      <c r="I164">
        <v>2.2000000000000002</v>
      </c>
      <c r="J164">
        <v>1372.3</v>
      </c>
      <c r="K164">
        <v>117</v>
      </c>
      <c r="M164">
        <v>1.2</v>
      </c>
      <c r="N164">
        <v>0.2</v>
      </c>
      <c r="O164">
        <f t="shared" si="20"/>
        <v>1</v>
      </c>
      <c r="P164">
        <f t="shared" si="16"/>
        <v>65.500000000000014</v>
      </c>
      <c r="Q164">
        <v>138</v>
      </c>
      <c r="R164">
        <v>1</v>
      </c>
      <c r="S164" s="9">
        <f t="shared" si="21"/>
        <v>0.2</v>
      </c>
      <c r="T164" s="9">
        <f t="shared" si="22"/>
        <v>1</v>
      </c>
      <c r="U164" s="9">
        <f t="shared" si="17"/>
        <v>87.230815217391367</v>
      </c>
      <c r="W164">
        <v>97.1</v>
      </c>
      <c r="Y164">
        <f t="shared" si="23"/>
        <v>89843.200000000041</v>
      </c>
      <c r="Z164">
        <f t="shared" si="18"/>
        <v>12793.800000000003</v>
      </c>
      <c r="AA164" s="30">
        <v>8.3163957076153672</v>
      </c>
    </row>
    <row r="165" spans="1:27" x14ac:dyDescent="0.25">
      <c r="A165">
        <v>5240</v>
      </c>
      <c r="B165">
        <v>23690</v>
      </c>
      <c r="C165" s="5">
        <v>42743</v>
      </c>
      <c r="E165" s="30">
        <v>36</v>
      </c>
      <c r="F165" s="57"/>
      <c r="G165">
        <v>4.2</v>
      </c>
      <c r="H165">
        <v>0.5</v>
      </c>
      <c r="I165">
        <v>6</v>
      </c>
      <c r="J165">
        <f t="shared" si="24"/>
        <v>1376.5</v>
      </c>
      <c r="K165">
        <f t="shared" si="19"/>
        <v>121.2</v>
      </c>
      <c r="M165">
        <v>0.8</v>
      </c>
      <c r="N165">
        <v>0.1</v>
      </c>
      <c r="O165">
        <f t="shared" si="20"/>
        <v>0.70000000000000007</v>
      </c>
      <c r="P165">
        <f t="shared" si="16"/>
        <v>66.200000000000017</v>
      </c>
      <c r="Q165">
        <v>139</v>
      </c>
      <c r="R165">
        <v>1</v>
      </c>
      <c r="S165" s="9">
        <f t="shared" si="21"/>
        <v>0.1</v>
      </c>
      <c r="T165" s="9">
        <f t="shared" si="22"/>
        <v>0.70000000000000007</v>
      </c>
      <c r="U165" s="9">
        <f t="shared" si="17"/>
        <v>87.93081521739137</v>
      </c>
      <c r="W165">
        <v>111.8</v>
      </c>
      <c r="Y165">
        <f t="shared" si="23"/>
        <v>89955.000000000044</v>
      </c>
      <c r="Z165">
        <f t="shared" si="18"/>
        <v>12905.600000000002</v>
      </c>
      <c r="AA165" s="30">
        <v>8.3403875293342278</v>
      </c>
    </row>
    <row r="166" spans="1:27" x14ac:dyDescent="0.25">
      <c r="A166">
        <v>5240</v>
      </c>
      <c r="B166">
        <v>23690</v>
      </c>
      <c r="C166" s="5">
        <v>42744</v>
      </c>
      <c r="F166" s="57"/>
      <c r="G166">
        <v>6.2</v>
      </c>
      <c r="H166">
        <v>4.8</v>
      </c>
      <c r="I166">
        <v>7.2</v>
      </c>
      <c r="J166">
        <f t="shared" si="24"/>
        <v>1382.7</v>
      </c>
      <c r="K166">
        <f t="shared" si="19"/>
        <v>127.4</v>
      </c>
      <c r="M166">
        <v>5.6</v>
      </c>
      <c r="N166">
        <v>0.2</v>
      </c>
      <c r="O166">
        <f t="shared" si="20"/>
        <v>5.3999999999999995</v>
      </c>
      <c r="P166">
        <f t="shared" si="16"/>
        <v>71.600000000000023</v>
      </c>
      <c r="Q166">
        <v>140</v>
      </c>
      <c r="R166">
        <v>1</v>
      </c>
      <c r="S166" s="9">
        <f t="shared" si="21"/>
        <v>0.2</v>
      </c>
      <c r="T166" s="9">
        <f t="shared" si="22"/>
        <v>5.3999999999999995</v>
      </c>
      <c r="U166" s="9">
        <f t="shared" si="17"/>
        <v>93.330815217391375</v>
      </c>
      <c r="W166">
        <v>130</v>
      </c>
      <c r="Y166">
        <f t="shared" si="23"/>
        <v>90085.000000000044</v>
      </c>
      <c r="Z166">
        <f t="shared" si="18"/>
        <v>13035.600000000002</v>
      </c>
      <c r="AA166" s="30">
        <v>8.3655977242691186</v>
      </c>
    </row>
    <row r="167" spans="1:27" x14ac:dyDescent="0.25">
      <c r="A167">
        <v>5240</v>
      </c>
      <c r="B167">
        <v>23690</v>
      </c>
      <c r="C167" s="5">
        <v>42745</v>
      </c>
      <c r="F167" s="57"/>
      <c r="G167">
        <v>5.0999999999999996</v>
      </c>
      <c r="H167">
        <v>3.5</v>
      </c>
      <c r="I167">
        <v>7</v>
      </c>
      <c r="J167">
        <f t="shared" si="24"/>
        <v>1387.8</v>
      </c>
      <c r="K167">
        <f t="shared" si="19"/>
        <v>132.5</v>
      </c>
      <c r="M167">
        <v>0.8</v>
      </c>
      <c r="N167">
        <v>0.2</v>
      </c>
      <c r="O167">
        <f t="shared" si="20"/>
        <v>0.60000000000000009</v>
      </c>
      <c r="P167">
        <f t="shared" ref="P167:P230" si="25">P166+O167</f>
        <v>72.200000000000017</v>
      </c>
      <c r="Q167">
        <v>141</v>
      </c>
      <c r="R167">
        <v>1</v>
      </c>
      <c r="S167" s="9">
        <f t="shared" si="21"/>
        <v>0.2</v>
      </c>
      <c r="T167" s="9">
        <f t="shared" si="22"/>
        <v>0.60000000000000009</v>
      </c>
      <c r="U167" s="9">
        <f t="shared" si="17"/>
        <v>93.93081521739137</v>
      </c>
      <c r="W167">
        <v>169.8</v>
      </c>
      <c r="Y167">
        <f t="shared" si="23"/>
        <v>90254.800000000047</v>
      </c>
      <c r="Z167">
        <f t="shared" si="18"/>
        <v>13205.400000000001</v>
      </c>
      <c r="AA167" s="30">
        <v>8.3920061778709076</v>
      </c>
    </row>
    <row r="168" spans="1:27" x14ac:dyDescent="0.25">
      <c r="A168">
        <v>5240</v>
      </c>
      <c r="B168">
        <v>23690</v>
      </c>
      <c r="C168" s="5">
        <v>42746</v>
      </c>
      <c r="F168" s="57"/>
      <c r="G168">
        <v>7.1</v>
      </c>
      <c r="H168">
        <v>3</v>
      </c>
      <c r="I168">
        <v>9.4</v>
      </c>
      <c r="J168">
        <f t="shared" si="24"/>
        <v>1394.8999999999999</v>
      </c>
      <c r="K168">
        <f t="shared" si="19"/>
        <v>139.6</v>
      </c>
      <c r="M168">
        <v>0.5</v>
      </c>
      <c r="N168">
        <v>0</v>
      </c>
      <c r="O168">
        <f t="shared" si="20"/>
        <v>0.5</v>
      </c>
      <c r="P168">
        <f t="shared" si="25"/>
        <v>72.700000000000017</v>
      </c>
      <c r="Q168">
        <v>142</v>
      </c>
      <c r="R168">
        <v>1</v>
      </c>
      <c r="S168" s="9">
        <f t="shared" si="21"/>
        <v>0</v>
      </c>
      <c r="T168" s="9">
        <f t="shared" si="22"/>
        <v>0.5</v>
      </c>
      <c r="U168" s="9">
        <f t="shared" ref="U168:U231" si="26">MIN(U167+T168,218.9)</f>
        <v>94.43081521739137</v>
      </c>
      <c r="W168">
        <v>88.1</v>
      </c>
      <c r="Y168">
        <f t="shared" si="23"/>
        <v>90342.900000000052</v>
      </c>
      <c r="Z168">
        <f t="shared" si="18"/>
        <v>13293.500000000002</v>
      </c>
      <c r="AA168" s="30">
        <v>8.4195921418217488</v>
      </c>
    </row>
    <row r="169" spans="1:27" x14ac:dyDescent="0.25">
      <c r="A169">
        <v>5240</v>
      </c>
      <c r="B169">
        <v>23690</v>
      </c>
      <c r="C169" s="5">
        <v>42747</v>
      </c>
      <c r="F169" s="57"/>
      <c r="G169">
        <v>6.2</v>
      </c>
      <c r="H169">
        <v>5.4</v>
      </c>
      <c r="I169">
        <v>8.5</v>
      </c>
      <c r="J169">
        <f t="shared" si="24"/>
        <v>1401.1</v>
      </c>
      <c r="K169">
        <f t="shared" si="19"/>
        <v>145.79999999999998</v>
      </c>
      <c r="M169">
        <v>6.4</v>
      </c>
      <c r="N169">
        <v>0.6</v>
      </c>
      <c r="O169">
        <f t="shared" si="20"/>
        <v>5.8000000000000007</v>
      </c>
      <c r="P169">
        <f t="shared" si="25"/>
        <v>78.500000000000014</v>
      </c>
      <c r="Q169">
        <v>143</v>
      </c>
      <c r="R169">
        <v>1</v>
      </c>
      <c r="S169" s="9">
        <f t="shared" si="21"/>
        <v>0.6</v>
      </c>
      <c r="T169" s="9">
        <f t="shared" si="22"/>
        <v>5.8000000000000007</v>
      </c>
      <c r="U169" s="9">
        <f t="shared" si="26"/>
        <v>100.23081521739137</v>
      </c>
      <c r="W169">
        <v>81.8</v>
      </c>
      <c r="Y169">
        <f t="shared" si="23"/>
        <v>90424.700000000055</v>
      </c>
      <c r="Z169">
        <f t="shared" si="18"/>
        <v>13375.300000000001</v>
      </c>
      <c r="AA169" s="30">
        <v>8.4483342893574953</v>
      </c>
    </row>
    <row r="170" spans="1:27" x14ac:dyDescent="0.25">
      <c r="A170">
        <v>5240</v>
      </c>
      <c r="B170">
        <v>23690</v>
      </c>
      <c r="C170" s="5">
        <v>42748</v>
      </c>
      <c r="E170" s="30">
        <v>37</v>
      </c>
      <c r="F170" s="57"/>
      <c r="G170">
        <v>2.8</v>
      </c>
      <c r="H170">
        <v>1</v>
      </c>
      <c r="I170">
        <v>4.3</v>
      </c>
      <c r="J170">
        <f t="shared" si="24"/>
        <v>1403.8999999999999</v>
      </c>
      <c r="K170">
        <f t="shared" si="19"/>
        <v>148.6</v>
      </c>
      <c r="M170">
        <v>1.3</v>
      </c>
      <c r="N170">
        <v>0.4</v>
      </c>
      <c r="O170">
        <f t="shared" si="20"/>
        <v>0.9</v>
      </c>
      <c r="P170">
        <f t="shared" si="25"/>
        <v>79.40000000000002</v>
      </c>
      <c r="Q170">
        <v>144</v>
      </c>
      <c r="R170">
        <v>1</v>
      </c>
      <c r="S170" s="9">
        <f t="shared" si="21"/>
        <v>0.4</v>
      </c>
      <c r="T170" s="9">
        <f t="shared" si="22"/>
        <v>0.9</v>
      </c>
      <c r="U170" s="9">
        <f t="shared" si="26"/>
        <v>101.13081521739137</v>
      </c>
      <c r="W170">
        <v>480</v>
      </c>
      <c r="Y170">
        <f t="shared" si="23"/>
        <v>90904.700000000055</v>
      </c>
      <c r="Z170">
        <f t="shared" si="18"/>
        <v>13855.300000000001</v>
      </c>
      <c r="AA170" s="30">
        <v>8.4782107705944991</v>
      </c>
    </row>
    <row r="171" spans="1:27" x14ac:dyDescent="0.25">
      <c r="A171">
        <v>5240</v>
      </c>
      <c r="B171">
        <v>23690</v>
      </c>
      <c r="C171" s="5">
        <v>42749</v>
      </c>
      <c r="E171" s="30">
        <v>38</v>
      </c>
      <c r="F171" s="57"/>
      <c r="G171">
        <v>1.7</v>
      </c>
      <c r="H171">
        <v>0.5</v>
      </c>
      <c r="I171">
        <v>3</v>
      </c>
      <c r="J171">
        <f t="shared" si="24"/>
        <v>1405.6</v>
      </c>
      <c r="K171">
        <f t="shared" si="19"/>
        <v>150.29999999999998</v>
      </c>
      <c r="M171">
        <v>1.7</v>
      </c>
      <c r="N171">
        <v>0.3</v>
      </c>
      <c r="O171">
        <f t="shared" si="20"/>
        <v>1.4</v>
      </c>
      <c r="P171">
        <f t="shared" si="25"/>
        <v>80.800000000000026</v>
      </c>
      <c r="Q171">
        <v>145</v>
      </c>
      <c r="R171">
        <v>1</v>
      </c>
      <c r="S171" s="9">
        <f t="shared" si="21"/>
        <v>0.3</v>
      </c>
      <c r="T171" s="9">
        <f t="shared" si="22"/>
        <v>1.4</v>
      </c>
      <c r="U171" s="9">
        <f t="shared" si="26"/>
        <v>102.53081521739138</v>
      </c>
      <c r="W171">
        <v>379.5</v>
      </c>
      <c r="Y171">
        <f t="shared" si="23"/>
        <v>91284.200000000055</v>
      </c>
      <c r="Z171">
        <f t="shared" si="18"/>
        <v>14234.800000000001</v>
      </c>
      <c r="AA171" s="30">
        <v>8.5091992675990245</v>
      </c>
    </row>
    <row r="172" spans="1:27" x14ac:dyDescent="0.25">
      <c r="A172">
        <v>5240</v>
      </c>
      <c r="B172">
        <v>23690</v>
      </c>
      <c r="C172" s="5">
        <v>42750</v>
      </c>
      <c r="E172" s="30">
        <v>39</v>
      </c>
      <c r="F172" s="57"/>
      <c r="G172">
        <v>1.6</v>
      </c>
      <c r="H172">
        <v>-0.2</v>
      </c>
      <c r="I172">
        <v>3.1</v>
      </c>
      <c r="J172">
        <f t="shared" si="24"/>
        <v>1407.1999999999998</v>
      </c>
      <c r="K172">
        <f t="shared" si="19"/>
        <v>151.89999999999998</v>
      </c>
      <c r="M172">
        <v>4.0999999999999996</v>
      </c>
      <c r="N172">
        <v>0.1</v>
      </c>
      <c r="O172">
        <f t="shared" si="20"/>
        <v>3.9999999999999996</v>
      </c>
      <c r="P172">
        <f t="shared" si="25"/>
        <v>84.800000000000026</v>
      </c>
      <c r="Q172">
        <v>146</v>
      </c>
      <c r="R172">
        <v>1</v>
      </c>
      <c r="S172" s="9">
        <f t="shared" si="21"/>
        <v>0.1</v>
      </c>
      <c r="T172" s="9">
        <f t="shared" si="22"/>
        <v>3.9999999999999996</v>
      </c>
      <c r="U172" s="9">
        <f t="shared" si="26"/>
        <v>106.53081521739138</v>
      </c>
      <c r="W172">
        <v>81.3</v>
      </c>
      <c r="Y172">
        <f t="shared" si="23"/>
        <v>91365.500000000058</v>
      </c>
      <c r="Z172">
        <f t="shared" si="18"/>
        <v>14316.1</v>
      </c>
      <c r="AA172" s="30">
        <v>8.5412770489516987</v>
      </c>
    </row>
    <row r="173" spans="1:27" x14ac:dyDescent="0.25">
      <c r="A173">
        <v>5240</v>
      </c>
      <c r="B173">
        <v>23690</v>
      </c>
      <c r="C173" s="5">
        <v>42751</v>
      </c>
      <c r="E173" s="30">
        <v>40</v>
      </c>
      <c r="F173" s="57"/>
      <c r="G173">
        <v>1.5</v>
      </c>
      <c r="H173">
        <v>1</v>
      </c>
      <c r="I173">
        <v>2.5</v>
      </c>
      <c r="J173">
        <f t="shared" si="24"/>
        <v>1408.6999999999998</v>
      </c>
      <c r="K173">
        <f t="shared" si="19"/>
        <v>153.39999999999998</v>
      </c>
      <c r="M173">
        <v>0</v>
      </c>
      <c r="N173">
        <v>0.1</v>
      </c>
      <c r="O173">
        <f t="shared" si="20"/>
        <v>-0.1</v>
      </c>
      <c r="P173">
        <f t="shared" si="25"/>
        <v>84.700000000000031</v>
      </c>
      <c r="Q173">
        <v>147</v>
      </c>
      <c r="R173">
        <v>1</v>
      </c>
      <c r="S173" s="9">
        <f t="shared" si="21"/>
        <v>0.1</v>
      </c>
      <c r="T173" s="9">
        <f t="shared" si="22"/>
        <v>-0.1</v>
      </c>
      <c r="U173" s="9">
        <f t="shared" si="26"/>
        <v>106.43081521739138</v>
      </c>
      <c r="W173">
        <v>119.1</v>
      </c>
      <c r="Y173">
        <f t="shared" si="23"/>
        <v>91484.600000000064</v>
      </c>
      <c r="Z173">
        <f t="shared" si="18"/>
        <v>14435.2</v>
      </c>
      <c r="AA173" s="30">
        <v>8.5744210235751073</v>
      </c>
    </row>
    <row r="174" spans="1:27" x14ac:dyDescent="0.25">
      <c r="A174">
        <v>5240</v>
      </c>
      <c r="B174">
        <v>23690</v>
      </c>
      <c r="C174" s="5">
        <v>42752</v>
      </c>
      <c r="E174" s="30">
        <v>41</v>
      </c>
      <c r="F174" s="57"/>
      <c r="G174">
        <v>-1.6</v>
      </c>
      <c r="H174">
        <v>-2.2999999999999998</v>
      </c>
      <c r="I174">
        <v>0.1</v>
      </c>
      <c r="J174">
        <v>1408.7</v>
      </c>
      <c r="K174">
        <v>153.4</v>
      </c>
      <c r="M174">
        <v>0</v>
      </c>
      <c r="N174">
        <v>0.4</v>
      </c>
      <c r="O174">
        <f t="shared" si="20"/>
        <v>-0.4</v>
      </c>
      <c r="P174">
        <f t="shared" si="25"/>
        <v>84.300000000000026</v>
      </c>
      <c r="Q174">
        <v>148</v>
      </c>
      <c r="R174">
        <v>1</v>
      </c>
      <c r="S174" s="9">
        <f t="shared" si="21"/>
        <v>0.4</v>
      </c>
      <c r="T174" s="9">
        <f t="shared" si="22"/>
        <v>-0.4</v>
      </c>
      <c r="U174" s="9">
        <f t="shared" si="26"/>
        <v>106.03081521739138</v>
      </c>
      <c r="W174">
        <v>667.7</v>
      </c>
      <c r="Y174">
        <f t="shared" si="23"/>
        <v>92152.300000000061</v>
      </c>
      <c r="Z174">
        <f t="shared" si="18"/>
        <v>15102.900000000001</v>
      </c>
      <c r="AA174" s="30">
        <v>8.6086077936092344</v>
      </c>
    </row>
    <row r="175" spans="1:27" x14ac:dyDescent="0.25">
      <c r="A175">
        <v>5240</v>
      </c>
      <c r="B175">
        <v>23690</v>
      </c>
      <c r="C175" s="5">
        <v>42753</v>
      </c>
      <c r="E175" s="30">
        <v>42</v>
      </c>
      <c r="F175" s="57"/>
      <c r="G175">
        <v>-2.6</v>
      </c>
      <c r="H175">
        <v>-4.5999999999999996</v>
      </c>
      <c r="I175">
        <v>-0.7</v>
      </c>
      <c r="J175">
        <v>1408.7</v>
      </c>
      <c r="K175">
        <v>153.4</v>
      </c>
      <c r="M175">
        <v>0</v>
      </c>
      <c r="N175">
        <v>0.6</v>
      </c>
      <c r="O175">
        <f t="shared" si="20"/>
        <v>-0.6</v>
      </c>
      <c r="P175">
        <f t="shared" si="25"/>
        <v>83.700000000000031</v>
      </c>
      <c r="Q175">
        <v>149</v>
      </c>
      <c r="R175">
        <v>1</v>
      </c>
      <c r="S175" s="9">
        <f t="shared" si="21"/>
        <v>0.6</v>
      </c>
      <c r="T175" s="9">
        <f t="shared" si="22"/>
        <v>-0.6</v>
      </c>
      <c r="U175" s="9">
        <f t="shared" si="26"/>
        <v>105.43081521739138</v>
      </c>
      <c r="W175">
        <v>687</v>
      </c>
      <c r="Y175">
        <f t="shared" si="23"/>
        <v>92839.300000000061</v>
      </c>
      <c r="Z175">
        <f t="shared" si="18"/>
        <v>15789.900000000001</v>
      </c>
      <c r="AA175" s="30">
        <v>8.6438137061368838</v>
      </c>
    </row>
    <row r="176" spans="1:27" x14ac:dyDescent="0.25">
      <c r="A176">
        <v>5240</v>
      </c>
      <c r="B176">
        <v>23690</v>
      </c>
      <c r="C176" s="5">
        <v>42754</v>
      </c>
      <c r="E176" s="30">
        <v>43</v>
      </c>
      <c r="F176" s="57"/>
      <c r="G176">
        <v>-3.2</v>
      </c>
      <c r="H176">
        <v>-4.8</v>
      </c>
      <c r="I176">
        <v>-1.4</v>
      </c>
      <c r="J176">
        <v>1408.7</v>
      </c>
      <c r="K176">
        <v>153.4</v>
      </c>
      <c r="M176">
        <v>0</v>
      </c>
      <c r="N176">
        <v>0.5</v>
      </c>
      <c r="O176">
        <f t="shared" si="20"/>
        <v>-0.5</v>
      </c>
      <c r="P176">
        <f t="shared" si="25"/>
        <v>83.200000000000031</v>
      </c>
      <c r="Q176">
        <v>150</v>
      </c>
      <c r="R176">
        <v>1</v>
      </c>
      <c r="S176" s="9">
        <f t="shared" si="21"/>
        <v>0.5</v>
      </c>
      <c r="T176" s="9">
        <f t="shared" si="22"/>
        <v>-0.5</v>
      </c>
      <c r="U176" s="9">
        <f t="shared" si="26"/>
        <v>104.93081521739138</v>
      </c>
      <c r="W176">
        <v>758.5</v>
      </c>
      <c r="Y176">
        <f t="shared" si="23"/>
        <v>93597.800000000061</v>
      </c>
      <c r="Z176">
        <f t="shared" si="18"/>
        <v>16548.400000000001</v>
      </c>
      <c r="AA176" s="30">
        <v>8.6800149035792167</v>
      </c>
    </row>
    <row r="177" spans="1:28" x14ac:dyDescent="0.25">
      <c r="A177">
        <v>5240</v>
      </c>
      <c r="B177">
        <v>23690</v>
      </c>
      <c r="C177" s="5">
        <v>42755</v>
      </c>
      <c r="E177" s="30">
        <v>44</v>
      </c>
      <c r="F177" s="57"/>
      <c r="G177">
        <v>-4.0999999999999996</v>
      </c>
      <c r="H177">
        <v>-6.1</v>
      </c>
      <c r="I177">
        <v>-1.6</v>
      </c>
      <c r="J177">
        <v>1408.7</v>
      </c>
      <c r="K177">
        <v>153.4</v>
      </c>
      <c r="M177">
        <v>0</v>
      </c>
      <c r="N177">
        <v>0.5</v>
      </c>
      <c r="O177">
        <f t="shared" si="20"/>
        <v>-0.5</v>
      </c>
      <c r="P177">
        <f t="shared" si="25"/>
        <v>82.700000000000031</v>
      </c>
      <c r="Q177">
        <v>151</v>
      </c>
      <c r="R177">
        <v>1</v>
      </c>
      <c r="S177" s="9">
        <f t="shared" si="21"/>
        <v>0.5</v>
      </c>
      <c r="T177" s="9">
        <f t="shared" si="22"/>
        <v>-0.5</v>
      </c>
      <c r="U177" s="9">
        <f t="shared" si="26"/>
        <v>104.43081521739138</v>
      </c>
      <c r="W177">
        <v>756.7</v>
      </c>
      <c r="Y177">
        <f t="shared" si="23"/>
        <v>94354.500000000058</v>
      </c>
      <c r="Z177">
        <f t="shared" si="18"/>
        <v>17305.100000000002</v>
      </c>
      <c r="AA177" s="30">
        <v>8.7171873725996978</v>
      </c>
    </row>
    <row r="178" spans="1:28" x14ac:dyDescent="0.25">
      <c r="A178">
        <v>5240</v>
      </c>
      <c r="B178">
        <v>23690</v>
      </c>
      <c r="C178" s="5">
        <v>42756</v>
      </c>
      <c r="E178" s="30">
        <v>45</v>
      </c>
      <c r="F178" s="57"/>
      <c r="G178">
        <v>-3.4</v>
      </c>
      <c r="H178">
        <v>-7.8</v>
      </c>
      <c r="I178">
        <v>0.2</v>
      </c>
      <c r="J178">
        <v>1408.7</v>
      </c>
      <c r="K178">
        <v>153.4</v>
      </c>
      <c r="M178">
        <v>0</v>
      </c>
      <c r="N178">
        <v>0.3</v>
      </c>
      <c r="O178">
        <f t="shared" si="20"/>
        <v>-0.3</v>
      </c>
      <c r="P178">
        <f t="shared" si="25"/>
        <v>82.400000000000034</v>
      </c>
      <c r="Q178">
        <v>152</v>
      </c>
      <c r="R178">
        <v>1</v>
      </c>
      <c r="S178" s="9">
        <f t="shared" si="21"/>
        <v>0.3</v>
      </c>
      <c r="T178" s="9">
        <f t="shared" si="22"/>
        <v>-0.3</v>
      </c>
      <c r="U178" s="9">
        <f t="shared" si="26"/>
        <v>104.13081521739139</v>
      </c>
      <c r="W178">
        <v>649.29999999999995</v>
      </c>
      <c r="Y178">
        <f t="shared" si="23"/>
        <v>95003.800000000061</v>
      </c>
      <c r="Z178">
        <f t="shared" si="18"/>
        <v>17954.400000000001</v>
      </c>
      <c r="AA178" s="30">
        <v>8.7553069913731996</v>
      </c>
    </row>
    <row r="179" spans="1:28" x14ac:dyDescent="0.25">
      <c r="A179">
        <v>5240</v>
      </c>
      <c r="B179">
        <v>23690</v>
      </c>
      <c r="C179" s="5">
        <v>42757</v>
      </c>
      <c r="E179" s="30">
        <v>46</v>
      </c>
      <c r="F179" s="57"/>
      <c r="G179">
        <v>-1.7</v>
      </c>
      <c r="H179">
        <v>-6.6</v>
      </c>
      <c r="I179">
        <v>2.5</v>
      </c>
      <c r="J179">
        <v>1408.7</v>
      </c>
      <c r="K179">
        <v>153.4</v>
      </c>
      <c r="M179">
        <v>0</v>
      </c>
      <c r="N179">
        <v>0.4</v>
      </c>
      <c r="O179">
        <f t="shared" si="20"/>
        <v>-0.4</v>
      </c>
      <c r="P179">
        <f t="shared" si="25"/>
        <v>82.000000000000028</v>
      </c>
      <c r="Q179">
        <v>153</v>
      </c>
      <c r="R179">
        <v>1</v>
      </c>
      <c r="S179" s="9">
        <f t="shared" si="21"/>
        <v>0.4</v>
      </c>
      <c r="T179" s="9">
        <f t="shared" si="22"/>
        <v>-0.4</v>
      </c>
      <c r="U179" s="9">
        <f t="shared" si="26"/>
        <v>103.73081521739138</v>
      </c>
      <c r="W179">
        <v>662.6</v>
      </c>
      <c r="Y179">
        <f t="shared" si="23"/>
        <v>95666.400000000067</v>
      </c>
      <c r="Z179">
        <f t="shared" si="18"/>
        <v>18617</v>
      </c>
      <c r="AA179" s="30">
        <v>8.79434957509506</v>
      </c>
    </row>
    <row r="180" spans="1:28" x14ac:dyDescent="0.25">
      <c r="A180">
        <v>5240</v>
      </c>
      <c r="B180">
        <v>23690</v>
      </c>
      <c r="C180" s="5">
        <v>42758</v>
      </c>
      <c r="E180" s="30">
        <v>47</v>
      </c>
      <c r="F180" s="57"/>
      <c r="G180">
        <v>-1.7</v>
      </c>
      <c r="H180">
        <v>-4.4000000000000004</v>
      </c>
      <c r="I180">
        <v>2</v>
      </c>
      <c r="J180">
        <v>1408.7</v>
      </c>
      <c r="K180">
        <v>153.4</v>
      </c>
      <c r="M180">
        <v>0</v>
      </c>
      <c r="N180">
        <v>0.6</v>
      </c>
      <c r="O180">
        <f t="shared" si="20"/>
        <v>-0.6</v>
      </c>
      <c r="P180">
        <f t="shared" si="25"/>
        <v>81.400000000000034</v>
      </c>
      <c r="Q180">
        <v>154</v>
      </c>
      <c r="R180">
        <v>1</v>
      </c>
      <c r="S180" s="9">
        <f t="shared" si="21"/>
        <v>0.6</v>
      </c>
      <c r="T180" s="9">
        <f t="shared" si="22"/>
        <v>-0.6</v>
      </c>
      <c r="U180" s="9">
        <f t="shared" si="26"/>
        <v>103.13081521739139</v>
      </c>
      <c r="W180">
        <v>791.7</v>
      </c>
      <c r="Y180">
        <f t="shared" si="23"/>
        <v>96458.100000000064</v>
      </c>
      <c r="Z180">
        <f t="shared" si="18"/>
        <v>19408.7</v>
      </c>
      <c r="AA180" s="30">
        <v>8.8342909196228963</v>
      </c>
    </row>
    <row r="181" spans="1:28" x14ac:dyDescent="0.25">
      <c r="A181">
        <v>5240</v>
      </c>
      <c r="B181">
        <v>23690</v>
      </c>
      <c r="C181" s="5">
        <v>42759</v>
      </c>
      <c r="E181" s="30">
        <v>48</v>
      </c>
      <c r="F181" s="57"/>
      <c r="G181">
        <v>-1.3</v>
      </c>
      <c r="H181">
        <v>-4.5</v>
      </c>
      <c r="I181">
        <v>0.8</v>
      </c>
      <c r="J181">
        <v>1408.7</v>
      </c>
      <c r="K181">
        <v>153.4</v>
      </c>
      <c r="M181">
        <v>0.2</v>
      </c>
      <c r="N181">
        <v>0.2</v>
      </c>
      <c r="O181">
        <f t="shared" si="20"/>
        <v>0</v>
      </c>
      <c r="P181">
        <f t="shared" si="25"/>
        <v>81.400000000000034</v>
      </c>
      <c r="Q181">
        <v>155</v>
      </c>
      <c r="R181">
        <v>1</v>
      </c>
      <c r="S181" s="9">
        <f t="shared" si="21"/>
        <v>0.2</v>
      </c>
      <c r="T181" s="9">
        <f t="shared" si="22"/>
        <v>0</v>
      </c>
      <c r="U181" s="9">
        <f t="shared" si="26"/>
        <v>103.13081521739139</v>
      </c>
      <c r="W181">
        <v>196.7</v>
      </c>
      <c r="Y181">
        <f t="shared" si="23"/>
        <v>96654.800000000061</v>
      </c>
      <c r="Z181">
        <f t="shared" si="18"/>
        <v>19605.400000000001</v>
      </c>
      <c r="AA181" s="30">
        <v>8.8751068431612801</v>
      </c>
    </row>
    <row r="182" spans="1:28" x14ac:dyDescent="0.25">
      <c r="A182">
        <v>5240</v>
      </c>
      <c r="B182">
        <v>23690</v>
      </c>
      <c r="C182" s="5">
        <v>42760</v>
      </c>
      <c r="E182" s="30">
        <v>49</v>
      </c>
      <c r="F182" s="57"/>
      <c r="G182">
        <v>-1.6</v>
      </c>
      <c r="H182">
        <v>-2.2000000000000002</v>
      </c>
      <c r="I182">
        <v>-0.8</v>
      </c>
      <c r="J182">
        <v>1408.7</v>
      </c>
      <c r="K182">
        <v>153.4</v>
      </c>
      <c r="M182">
        <v>0</v>
      </c>
      <c r="N182">
        <v>0.3</v>
      </c>
      <c r="O182">
        <f t="shared" si="20"/>
        <v>-0.3</v>
      </c>
      <c r="P182">
        <f t="shared" si="25"/>
        <v>81.100000000000037</v>
      </c>
      <c r="Q182">
        <v>156</v>
      </c>
      <c r="R182">
        <v>1</v>
      </c>
      <c r="S182" s="9">
        <f t="shared" si="21"/>
        <v>0.3</v>
      </c>
      <c r="T182" s="9">
        <f t="shared" si="22"/>
        <v>-0.3</v>
      </c>
      <c r="U182" s="9">
        <f t="shared" si="26"/>
        <v>102.83081521739139</v>
      </c>
      <c r="W182">
        <v>120.3</v>
      </c>
      <c r="Y182">
        <f t="shared" si="23"/>
        <v>96775.100000000064</v>
      </c>
      <c r="Z182">
        <f t="shared" si="18"/>
        <v>19725.7</v>
      </c>
      <c r="AA182" s="30">
        <v>8.9167732259162431</v>
      </c>
    </row>
    <row r="183" spans="1:28" x14ac:dyDescent="0.25">
      <c r="A183">
        <v>5240</v>
      </c>
      <c r="B183">
        <v>23690</v>
      </c>
      <c r="C183" s="5">
        <v>42761</v>
      </c>
      <c r="E183" s="30">
        <v>50</v>
      </c>
      <c r="F183" s="57"/>
      <c r="G183">
        <v>-2.2000000000000002</v>
      </c>
      <c r="H183">
        <v>-6.1</v>
      </c>
      <c r="I183">
        <v>-0.2</v>
      </c>
      <c r="J183">
        <v>1408.7</v>
      </c>
      <c r="K183">
        <v>153.4</v>
      </c>
      <c r="M183">
        <v>0</v>
      </c>
      <c r="N183">
        <v>0.5</v>
      </c>
      <c r="O183">
        <f t="shared" si="20"/>
        <v>-0.5</v>
      </c>
      <c r="P183">
        <f t="shared" si="25"/>
        <v>80.600000000000037</v>
      </c>
      <c r="Q183">
        <v>157</v>
      </c>
      <c r="R183">
        <v>1</v>
      </c>
      <c r="S183" s="9">
        <f t="shared" si="21"/>
        <v>0.5</v>
      </c>
      <c r="T183" s="9">
        <f t="shared" si="22"/>
        <v>-0.5</v>
      </c>
      <c r="U183" s="9">
        <f t="shared" si="26"/>
        <v>102.33081521739139</v>
      </c>
      <c r="W183">
        <v>819.9</v>
      </c>
      <c r="Y183">
        <f t="shared" si="23"/>
        <v>97595.000000000058</v>
      </c>
      <c r="Z183">
        <f t="shared" si="18"/>
        <v>20545.600000000002</v>
      </c>
      <c r="AA183" s="30">
        <v>8.9592660476626076</v>
      </c>
    </row>
    <row r="184" spans="1:28" x14ac:dyDescent="0.25">
      <c r="A184">
        <v>5240</v>
      </c>
      <c r="B184">
        <v>23690</v>
      </c>
      <c r="C184" s="5">
        <v>42762</v>
      </c>
      <c r="F184" s="57"/>
      <c r="G184">
        <v>4.3</v>
      </c>
      <c r="H184">
        <v>-0.5</v>
      </c>
      <c r="I184">
        <v>7.2</v>
      </c>
      <c r="J184">
        <f t="shared" si="24"/>
        <v>1413</v>
      </c>
      <c r="K184">
        <f t="shared" si="19"/>
        <v>157.70000000000002</v>
      </c>
      <c r="M184">
        <v>0.2</v>
      </c>
      <c r="N184">
        <v>0.5</v>
      </c>
      <c r="O184">
        <f t="shared" si="20"/>
        <v>-0.3</v>
      </c>
      <c r="P184">
        <f t="shared" si="25"/>
        <v>80.30000000000004</v>
      </c>
      <c r="Q184">
        <v>158</v>
      </c>
      <c r="R184">
        <v>1</v>
      </c>
      <c r="S184" s="9">
        <f t="shared" si="21"/>
        <v>0.5</v>
      </c>
      <c r="T184" s="9">
        <f t="shared" si="22"/>
        <v>-0.3</v>
      </c>
      <c r="U184" s="9">
        <f t="shared" si="26"/>
        <v>102.03081521739139</v>
      </c>
      <c r="W184">
        <v>546.5</v>
      </c>
      <c r="Y184">
        <f t="shared" si="23"/>
        <v>98141.500000000058</v>
      </c>
      <c r="Z184">
        <f t="shared" si="18"/>
        <v>21092.100000000002</v>
      </c>
      <c r="AA184">
        <v>9.002561423182323</v>
      </c>
    </row>
    <row r="185" spans="1:28" x14ac:dyDescent="0.25">
      <c r="A185">
        <v>5240</v>
      </c>
      <c r="B185">
        <v>23690</v>
      </c>
      <c r="C185" s="5">
        <v>42763</v>
      </c>
      <c r="F185" s="57"/>
      <c r="G185">
        <v>6</v>
      </c>
      <c r="H185">
        <v>4.9000000000000004</v>
      </c>
      <c r="I185">
        <v>7.2</v>
      </c>
      <c r="J185">
        <f t="shared" si="24"/>
        <v>1419</v>
      </c>
      <c r="K185">
        <f t="shared" si="19"/>
        <v>163.70000000000002</v>
      </c>
      <c r="M185">
        <v>0.1</v>
      </c>
      <c r="N185">
        <v>0.5</v>
      </c>
      <c r="O185">
        <f t="shared" si="20"/>
        <v>-0.4</v>
      </c>
      <c r="P185">
        <f t="shared" si="25"/>
        <v>79.900000000000034</v>
      </c>
      <c r="Q185">
        <v>159</v>
      </c>
      <c r="R185">
        <v>1</v>
      </c>
      <c r="S185" s="9">
        <f t="shared" si="21"/>
        <v>0.5</v>
      </c>
      <c r="T185" s="9">
        <f t="shared" si="22"/>
        <v>-0.4</v>
      </c>
      <c r="U185" s="9">
        <f t="shared" si="26"/>
        <v>101.63081521739139</v>
      </c>
      <c r="W185">
        <v>253</v>
      </c>
      <c r="Y185">
        <f t="shared" si="23"/>
        <v>98394.500000000058</v>
      </c>
      <c r="Z185">
        <f t="shared" si="18"/>
        <v>21345.100000000002</v>
      </c>
      <c r="AA185">
        <v>9.046635635546405</v>
      </c>
    </row>
    <row r="186" spans="1:28" s="14" customFormat="1" ht="15.75" thickBot="1" x14ac:dyDescent="0.3">
      <c r="A186" s="14">
        <v>5240</v>
      </c>
      <c r="B186" s="14">
        <v>23690</v>
      </c>
      <c r="C186" s="15">
        <v>42764</v>
      </c>
      <c r="D186" s="14" t="s">
        <v>33</v>
      </c>
      <c r="F186" s="58"/>
      <c r="G186" s="14">
        <v>4.9000000000000004</v>
      </c>
      <c r="H186" s="14">
        <v>1.9</v>
      </c>
      <c r="I186" s="14">
        <v>7.4</v>
      </c>
      <c r="J186" s="14">
        <f t="shared" si="24"/>
        <v>1423.9</v>
      </c>
      <c r="K186" s="14">
        <f t="shared" si="19"/>
        <v>168.60000000000002</v>
      </c>
      <c r="M186" s="14">
        <v>0.4</v>
      </c>
      <c r="N186" s="14">
        <v>0.2</v>
      </c>
      <c r="O186" s="14">
        <f t="shared" si="20"/>
        <v>0.2</v>
      </c>
      <c r="P186" s="14">
        <f t="shared" si="25"/>
        <v>80.100000000000037</v>
      </c>
      <c r="Q186" s="14">
        <v>160</v>
      </c>
      <c r="R186" s="14">
        <v>1</v>
      </c>
      <c r="S186" s="16">
        <f t="shared" si="21"/>
        <v>0.2</v>
      </c>
      <c r="T186" s="16">
        <f t="shared" si="22"/>
        <v>0.2</v>
      </c>
      <c r="U186" s="40">
        <f t="shared" si="26"/>
        <v>101.83081521739139</v>
      </c>
      <c r="W186" s="14">
        <v>68.8</v>
      </c>
      <c r="Y186" s="14">
        <f t="shared" si="23"/>
        <v>98463.300000000061</v>
      </c>
      <c r="Z186" s="14">
        <f t="shared" si="18"/>
        <v>21413.9</v>
      </c>
      <c r="AA186" s="14">
        <v>9.0914651672263354</v>
      </c>
    </row>
    <row r="187" spans="1:28" ht="15" customHeight="1" x14ac:dyDescent="0.25">
      <c r="A187">
        <v>5240</v>
      </c>
      <c r="B187">
        <v>23690</v>
      </c>
      <c r="C187" s="5">
        <v>42765</v>
      </c>
      <c r="F187" s="59" t="s">
        <v>54</v>
      </c>
      <c r="G187">
        <v>8.8000000000000007</v>
      </c>
      <c r="H187">
        <v>7</v>
      </c>
      <c r="I187">
        <v>9.6999999999999993</v>
      </c>
      <c r="J187">
        <f t="shared" si="24"/>
        <v>1432.7</v>
      </c>
      <c r="K187">
        <v>8.8000000000000007</v>
      </c>
      <c r="L187" s="19" t="s">
        <v>37</v>
      </c>
      <c r="M187">
        <v>2.2000000000000002</v>
      </c>
      <c r="N187">
        <v>0.1</v>
      </c>
      <c r="O187">
        <f t="shared" si="20"/>
        <v>2.1</v>
      </c>
      <c r="P187">
        <f t="shared" si="25"/>
        <v>82.200000000000031</v>
      </c>
      <c r="Q187">
        <v>161</v>
      </c>
      <c r="R187">
        <f>1+((Q187-160)/58)*(1.15-1)</f>
        <v>1.0025862068965516</v>
      </c>
      <c r="S187" s="9">
        <f t="shared" si="21"/>
        <v>0.10025862068965517</v>
      </c>
      <c r="T187" s="9">
        <f t="shared" si="22"/>
        <v>2.0997413793103452</v>
      </c>
      <c r="U187" s="9">
        <f t="shared" si="26"/>
        <v>103.93055659670173</v>
      </c>
      <c r="V187" s="20" t="s">
        <v>44</v>
      </c>
      <c r="W187">
        <v>125.4</v>
      </c>
      <c r="Y187">
        <f t="shared" si="23"/>
        <v>98588.700000000055</v>
      </c>
      <c r="Z187">
        <f>W187</f>
        <v>125.4</v>
      </c>
      <c r="AA187">
        <v>9.1370267290331437</v>
      </c>
      <c r="AB187" s="20" t="s">
        <v>49</v>
      </c>
    </row>
    <row r="188" spans="1:28" x14ac:dyDescent="0.25">
      <c r="A188">
        <v>5240</v>
      </c>
      <c r="B188">
        <v>23690</v>
      </c>
      <c r="C188" s="5">
        <v>42766</v>
      </c>
      <c r="F188" s="60"/>
      <c r="G188">
        <v>10.6</v>
      </c>
      <c r="H188">
        <v>9.6</v>
      </c>
      <c r="I188">
        <v>12.3</v>
      </c>
      <c r="J188">
        <f t="shared" si="24"/>
        <v>1443.3</v>
      </c>
      <c r="K188">
        <f t="shared" si="19"/>
        <v>19.399999999999999</v>
      </c>
      <c r="L188" s="11">
        <v>443.4</v>
      </c>
      <c r="M188">
        <v>0.2</v>
      </c>
      <c r="N188">
        <v>0.1</v>
      </c>
      <c r="O188">
        <f t="shared" si="20"/>
        <v>0.1</v>
      </c>
      <c r="P188">
        <f t="shared" si="25"/>
        <v>82.300000000000026</v>
      </c>
      <c r="Q188">
        <v>162</v>
      </c>
      <c r="R188">
        <f t="shared" ref="R188:R244" si="27">1+((Q188-160)/58)*(1.15-1)</f>
        <v>1.0051724137931035</v>
      </c>
      <c r="S188" s="9">
        <f t="shared" si="21"/>
        <v>0.10051724137931035</v>
      </c>
      <c r="T188" s="9">
        <f t="shared" si="22"/>
        <v>9.9482758620689657E-2</v>
      </c>
      <c r="U188" s="9">
        <f t="shared" si="26"/>
        <v>104.03003935532243</v>
      </c>
      <c r="V188">
        <v>0</v>
      </c>
      <c r="W188">
        <v>78.2</v>
      </c>
      <c r="Y188">
        <f t="shared" si="23"/>
        <v>98666.900000000052</v>
      </c>
      <c r="Z188">
        <f t="shared" si="18"/>
        <v>203.60000000000002</v>
      </c>
      <c r="AA188">
        <v>9.1832972868937972</v>
      </c>
      <c r="AB188">
        <v>30302.7</v>
      </c>
    </row>
    <row r="189" spans="1:28" x14ac:dyDescent="0.25">
      <c r="A189">
        <v>5240</v>
      </c>
      <c r="B189">
        <v>23690</v>
      </c>
      <c r="C189" s="5">
        <v>42767</v>
      </c>
      <c r="F189" s="60"/>
      <c r="G189">
        <v>8.5</v>
      </c>
      <c r="H189">
        <v>7.7</v>
      </c>
      <c r="I189">
        <v>9.4</v>
      </c>
      <c r="J189">
        <f t="shared" si="24"/>
        <v>1451.8</v>
      </c>
      <c r="K189">
        <f t="shared" si="19"/>
        <v>27.9</v>
      </c>
      <c r="L189" s="19" t="s">
        <v>38</v>
      </c>
      <c r="M189">
        <v>0.1</v>
      </c>
      <c r="N189">
        <v>0.3</v>
      </c>
      <c r="O189">
        <f t="shared" si="20"/>
        <v>-0.19999999999999998</v>
      </c>
      <c r="P189">
        <f t="shared" si="25"/>
        <v>82.100000000000023</v>
      </c>
      <c r="Q189">
        <v>163</v>
      </c>
      <c r="R189">
        <f t="shared" si="27"/>
        <v>1.0077586206896552</v>
      </c>
      <c r="S189" s="9">
        <f t="shared" si="21"/>
        <v>0.30232758620689654</v>
      </c>
      <c r="T189" s="9">
        <f t="shared" si="22"/>
        <v>-0.20232758620689653</v>
      </c>
      <c r="U189" s="9">
        <f t="shared" si="26"/>
        <v>103.82771176911554</v>
      </c>
      <c r="V189" s="20" t="s">
        <v>45</v>
      </c>
      <c r="W189">
        <v>402.4</v>
      </c>
      <c r="Y189">
        <f t="shared" si="23"/>
        <v>99069.300000000047</v>
      </c>
      <c r="Z189">
        <f t="shared" si="18"/>
        <v>606</v>
      </c>
      <c r="AA189">
        <v>9.2302540864846616</v>
      </c>
      <c r="AB189" s="20" t="s">
        <v>50</v>
      </c>
    </row>
    <row r="190" spans="1:28" x14ac:dyDescent="0.25">
      <c r="A190">
        <v>5240</v>
      </c>
      <c r="B190">
        <v>23690</v>
      </c>
      <c r="C190" s="5">
        <v>42768</v>
      </c>
      <c r="F190" s="60"/>
      <c r="G190">
        <v>9</v>
      </c>
      <c r="H190">
        <v>7.2</v>
      </c>
      <c r="I190">
        <v>10.7</v>
      </c>
      <c r="J190">
        <f t="shared" si="24"/>
        <v>1460.8</v>
      </c>
      <c r="K190">
        <f t="shared" si="19"/>
        <v>36.9</v>
      </c>
      <c r="L190" s="41">
        <f>AVERAGE(G187:G244)</f>
        <v>7.6431034482758626</v>
      </c>
      <c r="M190">
        <v>1.2</v>
      </c>
      <c r="N190">
        <v>0.4</v>
      </c>
      <c r="O190">
        <f t="shared" si="20"/>
        <v>0.79999999999999993</v>
      </c>
      <c r="P190">
        <f t="shared" si="25"/>
        <v>82.90000000000002</v>
      </c>
      <c r="Q190">
        <v>164</v>
      </c>
      <c r="R190">
        <f t="shared" si="27"/>
        <v>1.0103448275862068</v>
      </c>
      <c r="S190" s="9">
        <f t="shared" si="21"/>
        <v>0.40413793103448276</v>
      </c>
      <c r="T190" s="9">
        <f t="shared" si="22"/>
        <v>0.79586206896551714</v>
      </c>
      <c r="U190" s="9">
        <f t="shared" si="26"/>
        <v>104.62357383808106</v>
      </c>
      <c r="V190">
        <v>0</v>
      </c>
      <c r="W190">
        <v>107.7</v>
      </c>
      <c r="Y190">
        <f t="shared" si="23"/>
        <v>99177.000000000044</v>
      </c>
      <c r="Z190">
        <f t="shared" ref="Z190:Z253" si="28">Z189+W190</f>
        <v>713.7</v>
      </c>
      <c r="AA190">
        <v>9.2778746757511961</v>
      </c>
      <c r="AB190">
        <f>(AB188/100)/L188</f>
        <v>0.68341677943166446</v>
      </c>
    </row>
    <row r="191" spans="1:28" x14ac:dyDescent="0.25">
      <c r="A191">
        <v>5240</v>
      </c>
      <c r="B191">
        <v>23690</v>
      </c>
      <c r="C191" s="5">
        <v>42769</v>
      </c>
      <c r="F191" s="60"/>
      <c r="G191">
        <v>7.2</v>
      </c>
      <c r="H191">
        <v>6.2</v>
      </c>
      <c r="I191">
        <v>9.1</v>
      </c>
      <c r="J191">
        <f t="shared" si="24"/>
        <v>1468</v>
      </c>
      <c r="K191">
        <f t="shared" si="19"/>
        <v>44.1</v>
      </c>
      <c r="L191" s="19" t="s">
        <v>39</v>
      </c>
      <c r="M191">
        <v>10</v>
      </c>
      <c r="N191">
        <v>0.7</v>
      </c>
      <c r="O191">
        <f t="shared" si="20"/>
        <v>9.3000000000000007</v>
      </c>
      <c r="P191">
        <f t="shared" si="25"/>
        <v>92.200000000000017</v>
      </c>
      <c r="Q191">
        <v>165</v>
      </c>
      <c r="R191">
        <f t="shared" si="27"/>
        <v>1.0129310344827587</v>
      </c>
      <c r="S191" s="9">
        <f t="shared" si="21"/>
        <v>0.70905172413793105</v>
      </c>
      <c r="T191" s="9">
        <f t="shared" si="22"/>
        <v>9.2909482758620694</v>
      </c>
      <c r="U191" s="9">
        <f t="shared" si="26"/>
        <v>113.91452211394312</v>
      </c>
      <c r="V191" s="20" t="s">
        <v>46</v>
      </c>
      <c r="W191">
        <v>427.9</v>
      </c>
      <c r="Y191">
        <f t="shared" si="23"/>
        <v>99604.900000000038</v>
      </c>
      <c r="Z191">
        <f t="shared" si="28"/>
        <v>1141.5999999999999</v>
      </c>
      <c r="AA191">
        <v>9.3261369253511752</v>
      </c>
      <c r="AB191" s="20" t="s">
        <v>51</v>
      </c>
    </row>
    <row r="192" spans="1:28" x14ac:dyDescent="0.25">
      <c r="A192">
        <v>5240</v>
      </c>
      <c r="B192">
        <v>23690</v>
      </c>
      <c r="C192" s="5">
        <v>42770</v>
      </c>
      <c r="F192" s="60"/>
      <c r="G192">
        <v>5.3</v>
      </c>
      <c r="H192">
        <v>5.2</v>
      </c>
      <c r="I192">
        <v>5.8</v>
      </c>
      <c r="J192">
        <f t="shared" si="24"/>
        <v>1473.3</v>
      </c>
      <c r="K192">
        <f t="shared" ref="K192:K255" si="29">K191+G192</f>
        <v>49.4</v>
      </c>
      <c r="L192" s="12">
        <f>MIN(H187:H244)</f>
        <v>-2.4</v>
      </c>
      <c r="M192">
        <v>6.2</v>
      </c>
      <c r="N192">
        <v>0.3</v>
      </c>
      <c r="O192">
        <f t="shared" si="20"/>
        <v>5.9</v>
      </c>
      <c r="P192">
        <f t="shared" si="25"/>
        <v>98.100000000000023</v>
      </c>
      <c r="Q192">
        <v>166</v>
      </c>
      <c r="R192">
        <f t="shared" si="27"/>
        <v>1.0155172413793103</v>
      </c>
      <c r="S192" s="9">
        <f t="shared" si="21"/>
        <v>0.30465517241379308</v>
      </c>
      <c r="T192" s="9">
        <f t="shared" si="22"/>
        <v>5.8953448275862073</v>
      </c>
      <c r="U192" s="9">
        <f t="shared" si="26"/>
        <v>119.80986694152932</v>
      </c>
      <c r="V192" s="9">
        <f>MIN(U187:U244)</f>
        <v>103.82771176911554</v>
      </c>
      <c r="W192">
        <v>138.5</v>
      </c>
      <c r="Y192">
        <f t="shared" si="23"/>
        <v>99743.400000000038</v>
      </c>
      <c r="Z192">
        <f t="shared" si="28"/>
        <v>1280.0999999999999</v>
      </c>
      <c r="AA192">
        <v>9.3750190470660204</v>
      </c>
      <c r="AB192">
        <v>51</v>
      </c>
    </row>
    <row r="193" spans="1:29" x14ac:dyDescent="0.25">
      <c r="A193">
        <v>5240</v>
      </c>
      <c r="B193">
        <v>23690</v>
      </c>
      <c r="C193" s="5">
        <v>42771</v>
      </c>
      <c r="F193" s="60"/>
      <c r="G193">
        <v>6.5</v>
      </c>
      <c r="H193">
        <v>4.9000000000000004</v>
      </c>
      <c r="I193">
        <v>9</v>
      </c>
      <c r="J193">
        <f t="shared" si="24"/>
        <v>1479.8</v>
      </c>
      <c r="K193">
        <f t="shared" si="29"/>
        <v>55.9</v>
      </c>
      <c r="L193" s="19" t="s">
        <v>40</v>
      </c>
      <c r="M193">
        <v>1.6</v>
      </c>
      <c r="N193">
        <v>0.5</v>
      </c>
      <c r="O193">
        <f t="shared" si="20"/>
        <v>1.1000000000000001</v>
      </c>
      <c r="P193">
        <f t="shared" si="25"/>
        <v>99.200000000000017</v>
      </c>
      <c r="Q193">
        <v>167</v>
      </c>
      <c r="R193">
        <f t="shared" si="27"/>
        <v>1.018103448275862</v>
      </c>
      <c r="S193" s="9">
        <f t="shared" si="21"/>
        <v>0.50905172413793098</v>
      </c>
      <c r="T193" s="9">
        <f t="shared" si="22"/>
        <v>1.0909482758620692</v>
      </c>
      <c r="U193" s="9">
        <f t="shared" si="26"/>
        <v>120.9008152173914</v>
      </c>
      <c r="V193" s="20" t="s">
        <v>47</v>
      </c>
      <c r="W193">
        <v>203.2</v>
      </c>
      <c r="Y193">
        <f t="shared" si="23"/>
        <v>99946.600000000035</v>
      </c>
      <c r="Z193">
        <f t="shared" si="28"/>
        <v>1483.3</v>
      </c>
      <c r="AA193">
        <v>9.4244996102311074</v>
      </c>
    </row>
    <row r="194" spans="1:29" x14ac:dyDescent="0.25">
      <c r="A194">
        <v>5240</v>
      </c>
      <c r="B194">
        <v>23690</v>
      </c>
      <c r="C194" s="5">
        <v>42772</v>
      </c>
      <c r="F194" s="60"/>
      <c r="G194">
        <v>5.3</v>
      </c>
      <c r="H194">
        <v>3.5</v>
      </c>
      <c r="I194">
        <v>7.1</v>
      </c>
      <c r="J194">
        <f t="shared" si="24"/>
        <v>1485.1</v>
      </c>
      <c r="K194">
        <f t="shared" si="29"/>
        <v>61.199999999999996</v>
      </c>
      <c r="L194" s="11">
        <f>MAX(I187:I244)</f>
        <v>17.3</v>
      </c>
      <c r="M194">
        <v>5.5</v>
      </c>
      <c r="N194">
        <v>0.4</v>
      </c>
      <c r="O194">
        <f t="shared" si="20"/>
        <v>5.0999999999999996</v>
      </c>
      <c r="P194">
        <f t="shared" si="25"/>
        <v>104.30000000000001</v>
      </c>
      <c r="Q194">
        <v>168</v>
      </c>
      <c r="R194">
        <f t="shared" si="27"/>
        <v>1.0206896551724138</v>
      </c>
      <c r="S194" s="9">
        <f t="shared" si="21"/>
        <v>0.40827586206896554</v>
      </c>
      <c r="T194" s="9">
        <f t="shared" si="22"/>
        <v>5.0917241379310347</v>
      </c>
      <c r="U194" s="9">
        <f t="shared" si="26"/>
        <v>125.99253935532244</v>
      </c>
      <c r="V194" s="9">
        <f>MAX(U187:U244)</f>
        <v>171.17943590704655</v>
      </c>
      <c r="W194">
        <v>316.3</v>
      </c>
      <c r="Y194">
        <f t="shared" si="23"/>
        <v>100262.90000000004</v>
      </c>
      <c r="Z194">
        <f t="shared" si="28"/>
        <v>1799.6</v>
      </c>
      <c r="AA194">
        <v>9.4745575562412903</v>
      </c>
    </row>
    <row r="195" spans="1:29" x14ac:dyDescent="0.25">
      <c r="A195">
        <v>5240</v>
      </c>
      <c r="B195">
        <v>23690</v>
      </c>
      <c r="C195" s="5">
        <v>42773</v>
      </c>
      <c r="F195" s="60"/>
      <c r="G195">
        <v>6.8</v>
      </c>
      <c r="H195">
        <v>4.3</v>
      </c>
      <c r="I195">
        <v>10.4</v>
      </c>
      <c r="J195">
        <f t="shared" si="24"/>
        <v>1491.8999999999999</v>
      </c>
      <c r="K195">
        <f t="shared" si="29"/>
        <v>68</v>
      </c>
      <c r="L195" s="19" t="s">
        <v>41</v>
      </c>
      <c r="M195">
        <v>0.6</v>
      </c>
      <c r="N195">
        <v>0.6</v>
      </c>
      <c r="O195">
        <f t="shared" si="20"/>
        <v>0</v>
      </c>
      <c r="P195">
        <f t="shared" si="25"/>
        <v>104.30000000000001</v>
      </c>
      <c r="Q195">
        <v>169</v>
      </c>
      <c r="R195">
        <f t="shared" si="27"/>
        <v>1.0232758620689655</v>
      </c>
      <c r="S195" s="9">
        <f t="shared" si="21"/>
        <v>0.61396551724137927</v>
      </c>
      <c r="T195" s="9">
        <f t="shared" si="22"/>
        <v>-1.3965517241379288E-2</v>
      </c>
      <c r="U195" s="9">
        <f t="shared" si="26"/>
        <v>125.97857383808106</v>
      </c>
      <c r="V195" s="20" t="s">
        <v>48</v>
      </c>
      <c r="W195">
        <v>486.6</v>
      </c>
      <c r="Y195">
        <f t="shared" si="23"/>
        <v>100749.50000000004</v>
      </c>
      <c r="Z195">
        <f t="shared" si="28"/>
        <v>2286.1999999999998</v>
      </c>
      <c r="AA195">
        <v>9.5251722111923893</v>
      </c>
    </row>
    <row r="196" spans="1:29" x14ac:dyDescent="0.25">
      <c r="A196">
        <v>5240</v>
      </c>
      <c r="B196">
        <v>23690</v>
      </c>
      <c r="C196" s="5">
        <v>42774</v>
      </c>
      <c r="F196" s="60"/>
      <c r="G196">
        <v>5.5</v>
      </c>
      <c r="H196">
        <v>4.3</v>
      </c>
      <c r="I196">
        <v>7.3</v>
      </c>
      <c r="J196">
        <f t="shared" si="24"/>
        <v>1497.3999999999999</v>
      </c>
      <c r="K196">
        <f t="shared" si="29"/>
        <v>73.5</v>
      </c>
      <c r="L196" s="11">
        <v>0</v>
      </c>
      <c r="M196">
        <v>0</v>
      </c>
      <c r="N196">
        <v>0.5</v>
      </c>
      <c r="O196">
        <f t="shared" si="20"/>
        <v>-0.5</v>
      </c>
      <c r="P196">
        <f t="shared" si="25"/>
        <v>103.80000000000001</v>
      </c>
      <c r="Q196">
        <v>170</v>
      </c>
      <c r="R196">
        <f t="shared" si="27"/>
        <v>1.0258620689655171</v>
      </c>
      <c r="S196" s="9">
        <f t="shared" si="21"/>
        <v>0.51293103448275856</v>
      </c>
      <c r="T196" s="9">
        <f t="shared" si="22"/>
        <v>-0.51293103448275856</v>
      </c>
      <c r="U196" s="9">
        <f t="shared" si="26"/>
        <v>125.4656428035983</v>
      </c>
      <c r="V196" s="9">
        <f>AVERAGE(U187:U244)</f>
        <v>140.22403459907986</v>
      </c>
      <c r="W196">
        <v>241.3</v>
      </c>
      <c r="Y196">
        <f t="shared" si="23"/>
        <v>100990.80000000005</v>
      </c>
      <c r="Z196">
        <f t="shared" si="28"/>
        <v>2527.5</v>
      </c>
      <c r="AA196">
        <v>9.576323296723066</v>
      </c>
    </row>
    <row r="197" spans="1:29" x14ac:dyDescent="0.25">
      <c r="A197">
        <v>5240</v>
      </c>
      <c r="B197">
        <v>23690</v>
      </c>
      <c r="C197" s="5">
        <v>42775</v>
      </c>
      <c r="F197" s="60"/>
      <c r="G197">
        <v>2.2000000000000002</v>
      </c>
      <c r="H197">
        <v>1.2</v>
      </c>
      <c r="I197">
        <v>4</v>
      </c>
      <c r="J197">
        <f t="shared" si="24"/>
        <v>1499.6</v>
      </c>
      <c r="K197">
        <f t="shared" si="29"/>
        <v>75.7</v>
      </c>
      <c r="L197" s="19" t="s">
        <v>42</v>
      </c>
      <c r="M197">
        <v>0</v>
      </c>
      <c r="N197">
        <v>0.3</v>
      </c>
      <c r="O197">
        <f t="shared" si="20"/>
        <v>-0.3</v>
      </c>
      <c r="P197">
        <f t="shared" si="25"/>
        <v>103.50000000000001</v>
      </c>
      <c r="Q197">
        <v>171</v>
      </c>
      <c r="R197">
        <f t="shared" si="27"/>
        <v>1.028448275862069</v>
      </c>
      <c r="S197" s="9">
        <f t="shared" si="21"/>
        <v>0.30853448275862067</v>
      </c>
      <c r="T197" s="9">
        <f t="shared" si="22"/>
        <v>-0.30853448275862067</v>
      </c>
      <c r="U197" s="9">
        <f t="shared" si="26"/>
        <v>125.15710832083968</v>
      </c>
      <c r="W197">
        <v>239.9</v>
      </c>
      <c r="Y197">
        <f t="shared" si="23"/>
        <v>101230.70000000004</v>
      </c>
      <c r="Z197">
        <f t="shared" si="28"/>
        <v>2767.4</v>
      </c>
      <c r="AA197">
        <v>9.6279909391244676</v>
      </c>
    </row>
    <row r="198" spans="1:29" x14ac:dyDescent="0.25">
      <c r="A198">
        <v>5240</v>
      </c>
      <c r="B198">
        <v>23690</v>
      </c>
      <c r="C198" s="5">
        <v>42776</v>
      </c>
      <c r="F198" s="60"/>
      <c r="G198">
        <v>0.2</v>
      </c>
      <c r="H198">
        <v>-0.6</v>
      </c>
      <c r="I198">
        <v>1.8</v>
      </c>
      <c r="J198">
        <f t="shared" si="24"/>
        <v>1499.8</v>
      </c>
      <c r="K198">
        <f t="shared" si="29"/>
        <v>75.900000000000006</v>
      </c>
      <c r="L198" s="11">
        <v>22</v>
      </c>
      <c r="M198" s="68">
        <v>0</v>
      </c>
      <c r="N198">
        <v>0.3</v>
      </c>
      <c r="O198">
        <f t="shared" si="20"/>
        <v>-0.3</v>
      </c>
      <c r="P198">
        <f t="shared" si="25"/>
        <v>103.20000000000002</v>
      </c>
      <c r="Q198">
        <v>172</v>
      </c>
      <c r="R198">
        <f t="shared" si="27"/>
        <v>1.0310344827586206</v>
      </c>
      <c r="S198" s="9">
        <f t="shared" si="21"/>
        <v>0.30931034482758618</v>
      </c>
      <c r="T198" s="9">
        <f t="shared" si="22"/>
        <v>-0.30931034482758618</v>
      </c>
      <c r="U198" s="9">
        <f t="shared" si="26"/>
        <v>124.8477979760121</v>
      </c>
      <c r="V198" s="32">
        <f>(V196*100)/218.9</f>
        <v>64.058489995011357</v>
      </c>
      <c r="W198">
        <v>220.6</v>
      </c>
      <c r="Y198">
        <f t="shared" si="23"/>
        <v>101451.30000000005</v>
      </c>
      <c r="Z198">
        <f t="shared" si="28"/>
        <v>2988</v>
      </c>
      <c r="AA198">
        <v>9.680155676787189</v>
      </c>
      <c r="AC198" s="1" t="s">
        <v>66</v>
      </c>
    </row>
    <row r="199" spans="1:29" x14ac:dyDescent="0.25">
      <c r="A199">
        <v>5240</v>
      </c>
      <c r="B199">
        <v>23690</v>
      </c>
      <c r="C199" s="5">
        <v>42777</v>
      </c>
      <c r="F199" s="60"/>
      <c r="G199">
        <v>-0.1</v>
      </c>
      <c r="H199">
        <v>-1.8</v>
      </c>
      <c r="I199">
        <v>0.9</v>
      </c>
      <c r="J199">
        <v>1499.8</v>
      </c>
      <c r="K199">
        <v>75.900000000000006</v>
      </c>
      <c r="L199" s="19" t="s">
        <v>43</v>
      </c>
      <c r="M199" s="68">
        <v>0</v>
      </c>
      <c r="N199">
        <v>0.2</v>
      </c>
      <c r="O199">
        <f t="shared" si="20"/>
        <v>-0.2</v>
      </c>
      <c r="P199">
        <f t="shared" si="25"/>
        <v>103.00000000000001</v>
      </c>
      <c r="Q199">
        <v>173</v>
      </c>
      <c r="R199">
        <f t="shared" si="27"/>
        <v>1.0336206896551725</v>
      </c>
      <c r="S199" s="9">
        <f t="shared" si="21"/>
        <v>0.2067241379310345</v>
      </c>
      <c r="T199" s="9">
        <f t="shared" si="22"/>
        <v>-0.2067241379310345</v>
      </c>
      <c r="U199" s="9">
        <f t="shared" si="26"/>
        <v>124.64107383808107</v>
      </c>
      <c r="V199" s="32"/>
      <c r="W199">
        <v>253.9</v>
      </c>
      <c r="Y199">
        <f t="shared" si="23"/>
        <v>101705.20000000004</v>
      </c>
      <c r="Z199">
        <f t="shared" si="28"/>
        <v>3241.9</v>
      </c>
      <c r="AA199">
        <v>9.7327984660567139</v>
      </c>
      <c r="AC199" s="9">
        <f>AVERAGE(U205:U218)</f>
        <v>123.3405935425146</v>
      </c>
    </row>
    <row r="200" spans="1:29" x14ac:dyDescent="0.25">
      <c r="A200">
        <v>5240</v>
      </c>
      <c r="B200">
        <v>23690</v>
      </c>
      <c r="C200" s="5">
        <v>42778</v>
      </c>
      <c r="F200" s="60"/>
      <c r="G200">
        <v>2.8</v>
      </c>
      <c r="H200">
        <v>-0.7</v>
      </c>
      <c r="I200">
        <v>6.5</v>
      </c>
      <c r="J200">
        <f t="shared" si="24"/>
        <v>1502.6</v>
      </c>
      <c r="K200">
        <f t="shared" si="29"/>
        <v>78.7</v>
      </c>
      <c r="L200" s="11">
        <v>5</v>
      </c>
      <c r="M200" s="68">
        <v>0</v>
      </c>
      <c r="N200">
        <v>0.4</v>
      </c>
      <c r="O200">
        <f t="shared" si="20"/>
        <v>-0.4</v>
      </c>
      <c r="P200">
        <f t="shared" si="25"/>
        <v>102.60000000000001</v>
      </c>
      <c r="Q200">
        <v>174</v>
      </c>
      <c r="R200">
        <f t="shared" si="27"/>
        <v>1.0362068965517242</v>
      </c>
      <c r="S200" s="9">
        <f t="shared" si="21"/>
        <v>0.41448275862068967</v>
      </c>
      <c r="T200" s="9">
        <f t="shared" si="22"/>
        <v>-0.41448275862068967</v>
      </c>
      <c r="U200" s="9">
        <f t="shared" si="26"/>
        <v>124.22659107946038</v>
      </c>
      <c r="W200">
        <v>137.80000000000001</v>
      </c>
      <c r="Y200">
        <f t="shared" si="23"/>
        <v>101843.00000000004</v>
      </c>
      <c r="Z200">
        <f t="shared" si="28"/>
        <v>3379.7000000000003</v>
      </c>
      <c r="AA200">
        <v>9.7859006855694535</v>
      </c>
      <c r="AC200" s="1" t="s">
        <v>67</v>
      </c>
    </row>
    <row r="201" spans="1:29" x14ac:dyDescent="0.25">
      <c r="A201">
        <v>5240</v>
      </c>
      <c r="B201">
        <v>23690</v>
      </c>
      <c r="C201" s="5">
        <v>42779</v>
      </c>
      <c r="F201" s="60"/>
      <c r="G201">
        <v>5.8</v>
      </c>
      <c r="H201">
        <v>2.8</v>
      </c>
      <c r="I201">
        <v>9</v>
      </c>
      <c r="J201">
        <f t="shared" si="24"/>
        <v>1508.3999999999999</v>
      </c>
      <c r="K201">
        <f t="shared" si="29"/>
        <v>84.5</v>
      </c>
      <c r="M201" s="68">
        <v>0.3</v>
      </c>
      <c r="N201">
        <v>1.2</v>
      </c>
      <c r="O201">
        <f t="shared" si="20"/>
        <v>-0.89999999999999991</v>
      </c>
      <c r="P201">
        <f t="shared" si="25"/>
        <v>101.7</v>
      </c>
      <c r="Q201">
        <v>175</v>
      </c>
      <c r="R201">
        <f t="shared" si="27"/>
        <v>1.0387931034482758</v>
      </c>
      <c r="S201" s="9">
        <f t="shared" si="21"/>
        <v>1.2465517241379309</v>
      </c>
      <c r="T201" s="9">
        <f t="shared" si="22"/>
        <v>-0.94655172413793087</v>
      </c>
      <c r="U201" s="9">
        <f t="shared" si="26"/>
        <v>123.28003935532244</v>
      </c>
      <c r="W201">
        <v>895.1</v>
      </c>
      <c r="Y201">
        <f t="shared" si="23"/>
        <v>102738.10000000005</v>
      </c>
      <c r="Z201">
        <f t="shared" si="28"/>
        <v>4274.8</v>
      </c>
      <c r="AA201">
        <v>9.8394441391418663</v>
      </c>
      <c r="AC201">
        <v>3</v>
      </c>
    </row>
    <row r="202" spans="1:29" x14ac:dyDescent="0.25">
      <c r="A202">
        <v>5240</v>
      </c>
      <c r="B202">
        <v>23690</v>
      </c>
      <c r="C202" s="5">
        <v>42780</v>
      </c>
      <c r="F202" s="60"/>
      <c r="G202">
        <v>9</v>
      </c>
      <c r="H202">
        <v>4.9000000000000004</v>
      </c>
      <c r="I202">
        <v>12.1</v>
      </c>
      <c r="J202">
        <f t="shared" si="24"/>
        <v>1517.3999999999999</v>
      </c>
      <c r="K202">
        <f t="shared" si="29"/>
        <v>93.5</v>
      </c>
      <c r="M202" s="68">
        <v>0</v>
      </c>
      <c r="N202">
        <v>0.4</v>
      </c>
      <c r="O202">
        <f t="shared" si="20"/>
        <v>-0.4</v>
      </c>
      <c r="P202">
        <f t="shared" si="25"/>
        <v>101.3</v>
      </c>
      <c r="Q202">
        <v>176</v>
      </c>
      <c r="R202">
        <f t="shared" si="27"/>
        <v>1.0413793103448277</v>
      </c>
      <c r="S202" s="9">
        <f t="shared" si="21"/>
        <v>0.41655172413793107</v>
      </c>
      <c r="T202" s="9">
        <f t="shared" si="22"/>
        <v>-0.41655172413793107</v>
      </c>
      <c r="U202" s="9">
        <f t="shared" si="26"/>
        <v>122.86348763118451</v>
      </c>
      <c r="W202">
        <v>273.60000000000002</v>
      </c>
      <c r="Y202">
        <f t="shared" si="23"/>
        <v>103011.70000000006</v>
      </c>
      <c r="Z202">
        <f t="shared" si="28"/>
        <v>4548.4000000000005</v>
      </c>
      <c r="AA202">
        <v>9.8934110572852045</v>
      </c>
      <c r="AC202" s="1" t="s">
        <v>68</v>
      </c>
    </row>
    <row r="203" spans="1:29" x14ac:dyDescent="0.25">
      <c r="A203">
        <v>5240</v>
      </c>
      <c r="B203">
        <v>23690</v>
      </c>
      <c r="C203" s="5">
        <v>42781</v>
      </c>
      <c r="F203" s="60"/>
      <c r="G203">
        <v>10.199999999999999</v>
      </c>
      <c r="H203">
        <v>7.8</v>
      </c>
      <c r="I203">
        <v>14.5</v>
      </c>
      <c r="J203">
        <f t="shared" si="24"/>
        <v>1527.6</v>
      </c>
      <c r="K203">
        <f t="shared" si="29"/>
        <v>103.7</v>
      </c>
      <c r="M203" s="68">
        <v>1.3</v>
      </c>
      <c r="N203">
        <v>1.2</v>
      </c>
      <c r="O203">
        <f t="shared" si="20"/>
        <v>0.10000000000000009</v>
      </c>
      <c r="P203">
        <f t="shared" si="25"/>
        <v>101.39999999999999</v>
      </c>
      <c r="Q203">
        <v>177</v>
      </c>
      <c r="R203">
        <f t="shared" si="27"/>
        <v>1.0439655172413793</v>
      </c>
      <c r="S203" s="9">
        <f t="shared" si="21"/>
        <v>1.252758620689655</v>
      </c>
      <c r="T203" s="9">
        <f t="shared" si="22"/>
        <v>4.7241379310345E-2</v>
      </c>
      <c r="U203" s="9">
        <f t="shared" si="26"/>
        <v>122.91072901049486</v>
      </c>
      <c r="W203">
        <v>874.6</v>
      </c>
      <c r="Y203">
        <f t="shared" si="23"/>
        <v>103886.30000000006</v>
      </c>
      <c r="Z203">
        <f t="shared" si="28"/>
        <v>5423.0000000000009</v>
      </c>
      <c r="AA203">
        <v>9.9477840974177969</v>
      </c>
      <c r="AC203">
        <v>6</v>
      </c>
    </row>
    <row r="204" spans="1:29" x14ac:dyDescent="0.25">
      <c r="A204">
        <v>5240</v>
      </c>
      <c r="B204">
        <v>23690</v>
      </c>
      <c r="C204" s="5">
        <v>42782</v>
      </c>
      <c r="F204" s="60"/>
      <c r="G204">
        <v>8.5</v>
      </c>
      <c r="H204">
        <v>5.7</v>
      </c>
      <c r="I204">
        <v>12.3</v>
      </c>
      <c r="J204">
        <f t="shared" si="24"/>
        <v>1536.1</v>
      </c>
      <c r="K204">
        <f t="shared" si="29"/>
        <v>112.2</v>
      </c>
      <c r="M204" s="68">
        <v>1.8</v>
      </c>
      <c r="N204">
        <v>0.6</v>
      </c>
      <c r="O204">
        <f t="shared" si="20"/>
        <v>1.2000000000000002</v>
      </c>
      <c r="P204">
        <f t="shared" si="25"/>
        <v>102.6</v>
      </c>
      <c r="Q204">
        <v>178</v>
      </c>
      <c r="R204">
        <f t="shared" si="27"/>
        <v>1.046551724137931</v>
      </c>
      <c r="S204" s="9">
        <f t="shared" si="21"/>
        <v>0.62793103448275855</v>
      </c>
      <c r="T204" s="9">
        <f t="shared" si="22"/>
        <v>1.1720689655172416</v>
      </c>
      <c r="U204" s="9">
        <f t="shared" si="26"/>
        <v>124.0827979760121</v>
      </c>
      <c r="W204">
        <v>462.7</v>
      </c>
      <c r="Y204">
        <f t="shared" si="23"/>
        <v>104349.00000000006</v>
      </c>
      <c r="Z204">
        <f t="shared" si="28"/>
        <v>5885.7000000000007</v>
      </c>
      <c r="AA204">
        <v>10.00254634284601</v>
      </c>
      <c r="AC204" s="1" t="s">
        <v>69</v>
      </c>
    </row>
    <row r="205" spans="1:29" x14ac:dyDescent="0.25">
      <c r="A205">
        <v>5240</v>
      </c>
      <c r="B205">
        <v>23690</v>
      </c>
      <c r="C205" s="5">
        <v>42783</v>
      </c>
      <c r="F205" s="60"/>
      <c r="G205">
        <v>4.5</v>
      </c>
      <c r="H205">
        <v>2.8</v>
      </c>
      <c r="I205">
        <v>7.3</v>
      </c>
      <c r="J205">
        <f t="shared" si="24"/>
        <v>1540.6</v>
      </c>
      <c r="K205">
        <f t="shared" si="29"/>
        <v>116.7</v>
      </c>
      <c r="M205" s="68">
        <v>0</v>
      </c>
      <c r="N205">
        <v>0.5</v>
      </c>
      <c r="O205">
        <f t="shared" si="20"/>
        <v>-0.5</v>
      </c>
      <c r="P205">
        <f t="shared" si="25"/>
        <v>102.1</v>
      </c>
      <c r="Q205">
        <v>179</v>
      </c>
      <c r="R205">
        <f t="shared" si="27"/>
        <v>1.0491379310344828</v>
      </c>
      <c r="S205" s="9">
        <f t="shared" si="21"/>
        <v>0.52456896551724141</v>
      </c>
      <c r="T205" s="9">
        <f t="shared" si="22"/>
        <v>-0.52456896551724141</v>
      </c>
      <c r="U205" s="69">
        <f t="shared" si="26"/>
        <v>123.55822901049486</v>
      </c>
      <c r="W205">
        <v>450.5</v>
      </c>
      <c r="Y205">
        <f t="shared" si="23"/>
        <v>104799.50000000006</v>
      </c>
      <c r="Z205">
        <f t="shared" si="28"/>
        <v>6336.2000000000007</v>
      </c>
      <c r="AA205">
        <v>10.05768130058375</v>
      </c>
      <c r="AC205">
        <v>0</v>
      </c>
    </row>
    <row r="206" spans="1:29" x14ac:dyDescent="0.25">
      <c r="A206">
        <v>5240</v>
      </c>
      <c r="B206">
        <v>23690</v>
      </c>
      <c r="C206" s="5">
        <v>42784</v>
      </c>
      <c r="F206" s="60"/>
      <c r="G206">
        <v>4.4000000000000004</v>
      </c>
      <c r="H206">
        <v>0.6</v>
      </c>
      <c r="I206">
        <v>9.4</v>
      </c>
      <c r="J206">
        <f t="shared" si="24"/>
        <v>1545</v>
      </c>
      <c r="K206">
        <f t="shared" si="29"/>
        <v>121.10000000000001</v>
      </c>
      <c r="M206" s="68">
        <v>0</v>
      </c>
      <c r="N206">
        <v>1</v>
      </c>
      <c r="O206">
        <f t="shared" si="20"/>
        <v>-1</v>
      </c>
      <c r="P206">
        <f t="shared" si="25"/>
        <v>101.1</v>
      </c>
      <c r="Q206">
        <v>180</v>
      </c>
      <c r="R206">
        <f t="shared" si="27"/>
        <v>1.0517241379310345</v>
      </c>
      <c r="S206" s="9">
        <f t="shared" si="21"/>
        <v>1.0517241379310345</v>
      </c>
      <c r="T206" s="9">
        <f t="shared" si="22"/>
        <v>-1.0517241379310345</v>
      </c>
      <c r="U206" s="69">
        <f t="shared" si="26"/>
        <v>122.50650487256382</v>
      </c>
      <c r="W206">
        <v>1000.4</v>
      </c>
      <c r="Y206">
        <f t="shared" si="23"/>
        <v>105799.90000000005</v>
      </c>
      <c r="Z206">
        <f t="shared" si="28"/>
        <v>7336.6</v>
      </c>
      <c r="AA206">
        <v>10.113172898078894</v>
      </c>
      <c r="AC206" s="1" t="s">
        <v>70</v>
      </c>
    </row>
    <row r="207" spans="1:29" x14ac:dyDescent="0.25">
      <c r="A207">
        <v>5240</v>
      </c>
      <c r="B207">
        <v>23690</v>
      </c>
      <c r="C207" s="5">
        <v>42785</v>
      </c>
      <c r="F207" s="60"/>
      <c r="G207">
        <v>5</v>
      </c>
      <c r="H207">
        <v>-2.4</v>
      </c>
      <c r="I207">
        <v>9.1999999999999993</v>
      </c>
      <c r="J207">
        <f t="shared" si="24"/>
        <v>1550</v>
      </c>
      <c r="K207">
        <f t="shared" si="29"/>
        <v>126.10000000000001</v>
      </c>
      <c r="M207" s="68">
        <v>0.2</v>
      </c>
      <c r="N207">
        <v>0.6</v>
      </c>
      <c r="O207">
        <f t="shared" si="20"/>
        <v>-0.39999999999999997</v>
      </c>
      <c r="P207">
        <f t="shared" si="25"/>
        <v>100.69999999999999</v>
      </c>
      <c r="Q207">
        <v>181</v>
      </c>
      <c r="R207">
        <f t="shared" si="27"/>
        <v>1.0543103448275861</v>
      </c>
      <c r="S207" s="9">
        <f t="shared" si="21"/>
        <v>0.63258620689655165</v>
      </c>
      <c r="T207" s="9">
        <f t="shared" si="22"/>
        <v>-0.43258620689655164</v>
      </c>
      <c r="U207" s="69">
        <f t="shared" si="26"/>
        <v>122.07391866566728</v>
      </c>
      <c r="W207">
        <v>762.1</v>
      </c>
      <c r="Y207">
        <f t="shared" si="23"/>
        <v>106562.00000000006</v>
      </c>
      <c r="Z207">
        <f t="shared" si="28"/>
        <v>8098.7000000000007</v>
      </c>
      <c r="AA207">
        <v>10.169005478913249</v>
      </c>
      <c r="AC207">
        <f>SUM(M209:M218)</f>
        <v>19.5</v>
      </c>
    </row>
    <row r="208" spans="1:29" s="65" customFormat="1" x14ac:dyDescent="0.25">
      <c r="A208" s="65">
        <v>5240</v>
      </c>
      <c r="B208" s="65">
        <v>23690</v>
      </c>
      <c r="C208" s="66">
        <v>42786</v>
      </c>
      <c r="D208" s="65" t="s">
        <v>62</v>
      </c>
      <c r="F208" s="60"/>
      <c r="G208" s="65">
        <v>8.6</v>
      </c>
      <c r="H208" s="65">
        <v>6.2</v>
      </c>
      <c r="I208" s="65">
        <v>10.5</v>
      </c>
      <c r="J208" s="65">
        <f t="shared" si="24"/>
        <v>1558.6</v>
      </c>
      <c r="K208" s="65">
        <f t="shared" si="29"/>
        <v>134.70000000000002</v>
      </c>
      <c r="M208" s="65">
        <v>0.2</v>
      </c>
      <c r="N208" s="65">
        <v>0.2</v>
      </c>
      <c r="O208" s="65">
        <f t="shared" si="20"/>
        <v>0</v>
      </c>
      <c r="P208" s="65">
        <f t="shared" si="25"/>
        <v>100.69999999999999</v>
      </c>
      <c r="Q208" s="65">
        <v>182</v>
      </c>
      <c r="R208" s="65">
        <f t="shared" si="27"/>
        <v>1.056896551724138</v>
      </c>
      <c r="S208" s="67">
        <f t="shared" si="21"/>
        <v>0.2113793103448276</v>
      </c>
      <c r="T208" s="67">
        <f t="shared" si="22"/>
        <v>-1.1379310344827587E-2</v>
      </c>
      <c r="U208" s="67">
        <f t="shared" si="26"/>
        <v>122.06253935532246</v>
      </c>
      <c r="W208" s="65">
        <v>183.4</v>
      </c>
      <c r="Y208" s="65">
        <f t="shared" si="23"/>
        <v>106745.40000000005</v>
      </c>
      <c r="Z208" s="65">
        <f t="shared" si="28"/>
        <v>8282.1</v>
      </c>
      <c r="AA208" s="65">
        <v>10.225163797540738</v>
      </c>
    </row>
    <row r="209" spans="1:30" x14ac:dyDescent="0.25">
      <c r="A209">
        <v>5240</v>
      </c>
      <c r="B209">
        <v>23690</v>
      </c>
      <c r="C209" s="5">
        <v>42787</v>
      </c>
      <c r="F209" s="60"/>
      <c r="G209">
        <v>10.199999999999999</v>
      </c>
      <c r="H209">
        <v>9.1999999999999993</v>
      </c>
      <c r="I209">
        <v>10.9</v>
      </c>
      <c r="J209">
        <f t="shared" si="24"/>
        <v>1568.8</v>
      </c>
      <c r="K209">
        <f t="shared" si="29"/>
        <v>144.9</v>
      </c>
      <c r="M209" s="68">
        <v>0</v>
      </c>
      <c r="N209">
        <v>0.3</v>
      </c>
      <c r="O209">
        <f t="shared" si="20"/>
        <v>-0.3</v>
      </c>
      <c r="P209">
        <f t="shared" si="25"/>
        <v>100.39999999999999</v>
      </c>
      <c r="Q209">
        <v>183</v>
      </c>
      <c r="R209">
        <f t="shared" si="27"/>
        <v>1.0594827586206896</v>
      </c>
      <c r="S209" s="9">
        <f t="shared" si="21"/>
        <v>0.31784482758620686</v>
      </c>
      <c r="T209" s="9">
        <f t="shared" si="22"/>
        <v>-0.31784482758620686</v>
      </c>
      <c r="U209" s="69">
        <f t="shared" si="26"/>
        <v>121.74469452773624</v>
      </c>
      <c r="W209">
        <v>175.9</v>
      </c>
      <c r="Y209">
        <f t="shared" si="23"/>
        <v>106921.30000000005</v>
      </c>
      <c r="Z209">
        <f t="shared" si="28"/>
        <v>8458</v>
      </c>
      <c r="AA209">
        <v>10.281633013126291</v>
      </c>
    </row>
    <row r="210" spans="1:30" x14ac:dyDescent="0.25">
      <c r="A210">
        <v>5240</v>
      </c>
      <c r="B210">
        <v>23690</v>
      </c>
      <c r="C210" s="5">
        <v>42788</v>
      </c>
      <c r="F210" s="60"/>
      <c r="G210">
        <v>9.9</v>
      </c>
      <c r="H210">
        <v>9</v>
      </c>
      <c r="I210">
        <v>11</v>
      </c>
      <c r="J210">
        <f t="shared" si="24"/>
        <v>1578.7</v>
      </c>
      <c r="K210">
        <f t="shared" si="29"/>
        <v>154.80000000000001</v>
      </c>
      <c r="M210" s="68">
        <v>0</v>
      </c>
      <c r="N210">
        <v>0.9</v>
      </c>
      <c r="O210">
        <f t="shared" si="20"/>
        <v>-0.9</v>
      </c>
      <c r="P210">
        <f t="shared" si="25"/>
        <v>99.499999999999986</v>
      </c>
      <c r="Q210">
        <v>184</v>
      </c>
      <c r="R210">
        <f t="shared" si="27"/>
        <v>1.0620689655172413</v>
      </c>
      <c r="S210" s="9">
        <f t="shared" si="21"/>
        <v>0.95586206896551718</v>
      </c>
      <c r="T210" s="9">
        <f t="shared" si="22"/>
        <v>-0.95586206896551718</v>
      </c>
      <c r="U210" s="69">
        <f t="shared" si="26"/>
        <v>120.78883245877073</v>
      </c>
      <c r="W210">
        <v>263.89999999999998</v>
      </c>
      <c r="Y210">
        <f t="shared" si="23"/>
        <v>107185.20000000004</v>
      </c>
      <c r="Z210">
        <f t="shared" si="28"/>
        <v>8721.9</v>
      </c>
      <c r="AA210">
        <v>10.338398682545732</v>
      </c>
    </row>
    <row r="211" spans="1:30" x14ac:dyDescent="0.25">
      <c r="A211">
        <v>5240</v>
      </c>
      <c r="B211">
        <v>23690</v>
      </c>
      <c r="C211" s="5">
        <v>42789</v>
      </c>
      <c r="F211" s="60"/>
      <c r="G211">
        <v>8.4</v>
      </c>
      <c r="H211">
        <v>8.1999999999999993</v>
      </c>
      <c r="I211">
        <v>9.9</v>
      </c>
      <c r="J211">
        <f t="shared" si="24"/>
        <v>1587.1000000000001</v>
      </c>
      <c r="K211">
        <f t="shared" si="29"/>
        <v>163.20000000000002</v>
      </c>
      <c r="M211" s="68">
        <v>0.2</v>
      </c>
      <c r="N211">
        <v>1.1000000000000001</v>
      </c>
      <c r="O211">
        <f t="shared" si="20"/>
        <v>-0.90000000000000013</v>
      </c>
      <c r="P211">
        <f t="shared" si="25"/>
        <v>98.59999999999998</v>
      </c>
      <c r="Q211">
        <v>185</v>
      </c>
      <c r="R211">
        <f t="shared" si="27"/>
        <v>1.0646551724137931</v>
      </c>
      <c r="S211" s="9">
        <f t="shared" si="21"/>
        <v>1.1711206896551725</v>
      </c>
      <c r="T211" s="9">
        <f t="shared" si="22"/>
        <v>-0.97112068965517251</v>
      </c>
      <c r="U211" s="69">
        <f t="shared" si="26"/>
        <v>119.81771176911556</v>
      </c>
      <c r="W211">
        <v>294.5</v>
      </c>
      <c r="Y211">
        <f t="shared" si="23"/>
        <v>107479.70000000004</v>
      </c>
      <c r="Z211">
        <f t="shared" si="28"/>
        <v>9016.4</v>
      </c>
      <c r="AA211">
        <v>10.395446752604498</v>
      </c>
      <c r="AD211" s="1" t="s">
        <v>66</v>
      </c>
    </row>
    <row r="212" spans="1:30" x14ac:dyDescent="0.25">
      <c r="A212">
        <v>5240</v>
      </c>
      <c r="B212">
        <v>23690</v>
      </c>
      <c r="C212" s="5">
        <v>42790</v>
      </c>
      <c r="F212" s="60"/>
      <c r="G212">
        <v>4.2</v>
      </c>
      <c r="H212">
        <v>2</v>
      </c>
      <c r="I212">
        <v>8.4</v>
      </c>
      <c r="J212">
        <f t="shared" si="24"/>
        <v>1591.3000000000002</v>
      </c>
      <c r="K212">
        <f t="shared" si="29"/>
        <v>167.4</v>
      </c>
      <c r="M212" s="68">
        <v>0</v>
      </c>
      <c r="N212">
        <v>0.9</v>
      </c>
      <c r="O212">
        <f t="shared" si="20"/>
        <v>-0.9</v>
      </c>
      <c r="P212">
        <f t="shared" si="25"/>
        <v>97.699999999999974</v>
      </c>
      <c r="Q212">
        <v>186</v>
      </c>
      <c r="R212">
        <f t="shared" si="27"/>
        <v>1.0672413793103448</v>
      </c>
      <c r="S212" s="9">
        <f t="shared" si="21"/>
        <v>0.96051724137931038</v>
      </c>
      <c r="T212" s="9">
        <f t="shared" si="22"/>
        <v>-0.96051724137931038</v>
      </c>
      <c r="U212" s="69">
        <f t="shared" si="26"/>
        <v>118.85719452773625</v>
      </c>
      <c r="W212">
        <v>738.7</v>
      </c>
      <c r="Y212">
        <f t="shared" si="23"/>
        <v>108218.40000000004</v>
      </c>
      <c r="Z212">
        <f t="shared" si="28"/>
        <v>9755.1</v>
      </c>
      <c r="AA212">
        <v>10.452763551530637</v>
      </c>
      <c r="AD212" s="9">
        <f>(AC199*(50/105))+(AC221*(55/105))</f>
        <v>145.09304193566493</v>
      </c>
    </row>
    <row r="213" spans="1:30" x14ac:dyDescent="0.25">
      <c r="A213">
        <v>5240</v>
      </c>
      <c r="B213">
        <v>23690</v>
      </c>
      <c r="C213" s="5">
        <v>42791</v>
      </c>
      <c r="F213" s="60"/>
      <c r="G213">
        <v>4.5</v>
      </c>
      <c r="H213">
        <v>-1.5</v>
      </c>
      <c r="I213">
        <v>9.3000000000000007</v>
      </c>
      <c r="J213">
        <f t="shared" si="24"/>
        <v>1595.8000000000002</v>
      </c>
      <c r="K213">
        <f t="shared" si="29"/>
        <v>171.9</v>
      </c>
      <c r="M213" s="68">
        <v>0</v>
      </c>
      <c r="N213">
        <v>0.9</v>
      </c>
      <c r="O213">
        <f t="shared" si="20"/>
        <v>-0.9</v>
      </c>
      <c r="P213">
        <f t="shared" si="25"/>
        <v>96.799999999999969</v>
      </c>
      <c r="Q213">
        <v>187</v>
      </c>
      <c r="R213">
        <f t="shared" si="27"/>
        <v>1.0698275862068964</v>
      </c>
      <c r="S213" s="9">
        <f t="shared" si="21"/>
        <v>0.96284482758620682</v>
      </c>
      <c r="T213" s="9">
        <f t="shared" si="22"/>
        <v>-0.96284482758620682</v>
      </c>
      <c r="U213" s="69">
        <f t="shared" si="26"/>
        <v>117.89434970015004</v>
      </c>
      <c r="W213">
        <v>856.5</v>
      </c>
      <c r="Y213">
        <f t="shared" si="23"/>
        <v>109074.90000000004</v>
      </c>
      <c r="Z213">
        <f t="shared" si="28"/>
        <v>10611.6</v>
      </c>
      <c r="AA213">
        <v>10.510335779794962</v>
      </c>
      <c r="AD213" s="1" t="s">
        <v>67</v>
      </c>
    </row>
    <row r="214" spans="1:30" x14ac:dyDescent="0.25">
      <c r="A214">
        <v>5240</v>
      </c>
      <c r="B214">
        <v>23690</v>
      </c>
      <c r="C214" s="5">
        <v>42792</v>
      </c>
      <c r="F214" s="60"/>
      <c r="G214">
        <v>8.6</v>
      </c>
      <c r="H214">
        <v>5</v>
      </c>
      <c r="I214">
        <v>11.3</v>
      </c>
      <c r="J214">
        <f t="shared" si="24"/>
        <v>1604.4</v>
      </c>
      <c r="K214">
        <f t="shared" si="29"/>
        <v>180.5</v>
      </c>
      <c r="M214" s="68">
        <v>0</v>
      </c>
      <c r="N214">
        <v>0.6</v>
      </c>
      <c r="O214">
        <f t="shared" si="20"/>
        <v>-0.6</v>
      </c>
      <c r="P214">
        <f t="shared" si="25"/>
        <v>96.199999999999974</v>
      </c>
      <c r="Q214">
        <v>188</v>
      </c>
      <c r="R214">
        <f t="shared" si="27"/>
        <v>1.0724137931034483</v>
      </c>
      <c r="S214" s="9">
        <f t="shared" si="21"/>
        <v>0.64344827586206899</v>
      </c>
      <c r="T214" s="9">
        <f t="shared" si="22"/>
        <v>-0.64344827586206899</v>
      </c>
      <c r="U214" s="69">
        <f t="shared" si="26"/>
        <v>117.25090142428797</v>
      </c>
      <c r="W214">
        <v>201.3</v>
      </c>
      <c r="Y214">
        <f t="shared" si="23"/>
        <v>109276.20000000004</v>
      </c>
      <c r="Z214">
        <f t="shared" si="28"/>
        <v>10812.9</v>
      </c>
      <c r="AA214">
        <v>10.568150500308741</v>
      </c>
      <c r="AD214" s="32">
        <f>(AC201*(50/105))+(AC223*(55/105))</f>
        <v>2.4761904761904763</v>
      </c>
    </row>
    <row r="215" spans="1:30" x14ac:dyDescent="0.25">
      <c r="A215">
        <v>5240</v>
      </c>
      <c r="B215">
        <v>23690</v>
      </c>
      <c r="C215" s="5">
        <v>42793</v>
      </c>
      <c r="F215" s="60"/>
      <c r="G215">
        <v>8</v>
      </c>
      <c r="H215">
        <v>6.4</v>
      </c>
      <c r="I215">
        <v>10</v>
      </c>
      <c r="J215">
        <f t="shared" si="24"/>
        <v>1612.4</v>
      </c>
      <c r="K215">
        <f t="shared" si="29"/>
        <v>188.5</v>
      </c>
      <c r="M215" s="68">
        <v>9.3000000000000007</v>
      </c>
      <c r="N215">
        <v>0.8</v>
      </c>
      <c r="O215">
        <f t="shared" si="20"/>
        <v>8.5</v>
      </c>
      <c r="P215">
        <f t="shared" si="25"/>
        <v>104.69999999999997</v>
      </c>
      <c r="Q215">
        <v>189</v>
      </c>
      <c r="R215">
        <f t="shared" si="27"/>
        <v>1.075</v>
      </c>
      <c r="S215" s="9">
        <f t="shared" si="21"/>
        <v>0.86</v>
      </c>
      <c r="T215" s="9">
        <f t="shared" si="22"/>
        <v>8.4400000000000013</v>
      </c>
      <c r="U215" s="69">
        <f t="shared" si="26"/>
        <v>125.69090142428797</v>
      </c>
      <c r="W215">
        <v>238.8</v>
      </c>
      <c r="Y215">
        <f t="shared" si="23"/>
        <v>109515.00000000004</v>
      </c>
      <c r="Z215">
        <f t="shared" si="28"/>
        <v>11051.699999999999</v>
      </c>
      <c r="AA215">
        <v>10.62619512804673</v>
      </c>
      <c r="AD215" s="1" t="s">
        <v>68</v>
      </c>
    </row>
    <row r="216" spans="1:30" x14ac:dyDescent="0.25">
      <c r="A216">
        <v>5240</v>
      </c>
      <c r="B216">
        <v>23690</v>
      </c>
      <c r="C216" s="5">
        <v>42794</v>
      </c>
      <c r="F216" s="60"/>
      <c r="G216">
        <v>5.2</v>
      </c>
      <c r="H216">
        <v>3.5</v>
      </c>
      <c r="I216">
        <v>6.5</v>
      </c>
      <c r="J216">
        <f t="shared" si="24"/>
        <v>1617.6000000000001</v>
      </c>
      <c r="K216">
        <f t="shared" si="29"/>
        <v>193.7</v>
      </c>
      <c r="M216" s="68">
        <v>2.2000000000000002</v>
      </c>
      <c r="N216">
        <v>0.7</v>
      </c>
      <c r="O216">
        <f t="shared" si="20"/>
        <v>1.5000000000000002</v>
      </c>
      <c r="P216">
        <f t="shared" si="25"/>
        <v>106.19999999999997</v>
      </c>
      <c r="Q216">
        <v>190</v>
      </c>
      <c r="R216">
        <f t="shared" si="27"/>
        <v>1.0775862068965516</v>
      </c>
      <c r="S216" s="9">
        <f t="shared" si="21"/>
        <v>0.75431034482758608</v>
      </c>
      <c r="T216" s="9">
        <f t="shared" si="22"/>
        <v>1.4456896551724141</v>
      </c>
      <c r="U216" s="69">
        <f t="shared" si="26"/>
        <v>127.13659107946039</v>
      </c>
      <c r="W216">
        <v>381</v>
      </c>
      <c r="Y216">
        <f t="shared" si="23"/>
        <v>109896.00000000004</v>
      </c>
      <c r="Z216">
        <f t="shared" si="28"/>
        <v>11432.699999999999</v>
      </c>
      <c r="AA216">
        <v>10.684457419140809</v>
      </c>
      <c r="AD216" s="32">
        <f>(AC203*(50/105))+(AC225*(55/105))</f>
        <v>4.4285714285714288</v>
      </c>
    </row>
    <row r="217" spans="1:30" x14ac:dyDescent="0.25">
      <c r="A217">
        <v>5240</v>
      </c>
      <c r="B217">
        <v>23690</v>
      </c>
      <c r="C217" s="5">
        <v>42795</v>
      </c>
      <c r="F217" s="60"/>
      <c r="G217">
        <v>7.7</v>
      </c>
      <c r="H217">
        <v>5.7</v>
      </c>
      <c r="I217">
        <v>11</v>
      </c>
      <c r="J217">
        <f t="shared" si="24"/>
        <v>1625.3000000000002</v>
      </c>
      <c r="K217">
        <f t="shared" si="29"/>
        <v>201.39999999999998</v>
      </c>
      <c r="M217" s="68">
        <v>7.8</v>
      </c>
      <c r="N217">
        <v>0.6</v>
      </c>
      <c r="O217">
        <f t="shared" si="20"/>
        <v>7.2</v>
      </c>
      <c r="P217">
        <f t="shared" si="25"/>
        <v>113.39999999999998</v>
      </c>
      <c r="Q217">
        <v>191</v>
      </c>
      <c r="R217">
        <f t="shared" si="27"/>
        <v>1.0801724137931035</v>
      </c>
      <c r="S217" s="9">
        <f t="shared" si="21"/>
        <v>0.64810344827586208</v>
      </c>
      <c r="T217" s="9">
        <f t="shared" si="22"/>
        <v>7.1518965517241373</v>
      </c>
      <c r="U217" s="69">
        <f t="shared" si="26"/>
        <v>134.28848763118452</v>
      </c>
      <c r="W217">
        <v>193.7</v>
      </c>
      <c r="Y217">
        <f t="shared" si="23"/>
        <v>110089.70000000004</v>
      </c>
      <c r="Z217">
        <f t="shared" si="28"/>
        <v>11626.4</v>
      </c>
      <c r="AA217">
        <v>10.742925459487026</v>
      </c>
      <c r="AD217" s="1" t="s">
        <v>69</v>
      </c>
    </row>
    <row r="218" spans="1:30" x14ac:dyDescent="0.25">
      <c r="A218">
        <v>5240</v>
      </c>
      <c r="B218">
        <v>23690</v>
      </c>
      <c r="C218" s="5">
        <v>42796</v>
      </c>
      <c r="F218" s="60"/>
      <c r="G218">
        <v>7.3</v>
      </c>
      <c r="H218">
        <v>4.5999999999999996</v>
      </c>
      <c r="I218">
        <v>10.8</v>
      </c>
      <c r="J218">
        <f t="shared" si="24"/>
        <v>1632.6000000000001</v>
      </c>
      <c r="K218">
        <f t="shared" si="29"/>
        <v>208.7</v>
      </c>
      <c r="M218" s="68">
        <v>0</v>
      </c>
      <c r="N218">
        <v>1.1000000000000001</v>
      </c>
      <c r="O218">
        <f t="shared" si="20"/>
        <v>-1.1000000000000001</v>
      </c>
      <c r="P218">
        <f t="shared" si="25"/>
        <v>112.29999999999998</v>
      </c>
      <c r="Q218">
        <v>192</v>
      </c>
      <c r="R218">
        <f t="shared" si="27"/>
        <v>1.0827586206896551</v>
      </c>
      <c r="S218" s="9">
        <f t="shared" si="21"/>
        <v>1.1910344827586208</v>
      </c>
      <c r="T218" s="9">
        <f t="shared" si="22"/>
        <v>-1.1910344827586208</v>
      </c>
      <c r="U218" s="69">
        <f t="shared" si="26"/>
        <v>133.0974531484259</v>
      </c>
      <c r="W218">
        <v>871.1</v>
      </c>
      <c r="Y218">
        <f t="shared" si="23"/>
        <v>110960.80000000005</v>
      </c>
      <c r="Z218">
        <f t="shared" si="28"/>
        <v>12497.5</v>
      </c>
      <c r="AA218">
        <v>10.80158765290626</v>
      </c>
      <c r="AD218" s="9">
        <f>(AC205*(50/105))+(AC227*(55/105))</f>
        <v>0</v>
      </c>
    </row>
    <row r="219" spans="1:30" x14ac:dyDescent="0.25">
      <c r="A219">
        <v>5240</v>
      </c>
      <c r="B219">
        <v>23690</v>
      </c>
      <c r="C219" s="5">
        <v>42797</v>
      </c>
      <c r="F219" s="60"/>
      <c r="G219">
        <v>9.6</v>
      </c>
      <c r="H219">
        <v>4.9000000000000004</v>
      </c>
      <c r="I219">
        <v>12.6</v>
      </c>
      <c r="J219">
        <f t="shared" si="24"/>
        <v>1642.2</v>
      </c>
      <c r="K219">
        <f t="shared" si="29"/>
        <v>218.29999999999998</v>
      </c>
      <c r="M219">
        <v>9.6</v>
      </c>
      <c r="N219">
        <v>0.9</v>
      </c>
      <c r="O219">
        <f t="shared" si="20"/>
        <v>8.6999999999999993</v>
      </c>
      <c r="P219">
        <f t="shared" si="25"/>
        <v>120.99999999999999</v>
      </c>
      <c r="Q219">
        <v>193</v>
      </c>
      <c r="R219">
        <f t="shared" si="27"/>
        <v>1.0853448275862068</v>
      </c>
      <c r="S219" s="9">
        <f t="shared" si="21"/>
        <v>0.97681034482758611</v>
      </c>
      <c r="T219" s="9">
        <f t="shared" si="22"/>
        <v>8.6231896551724141</v>
      </c>
      <c r="U219" s="9">
        <f t="shared" si="26"/>
        <v>141.72064280359831</v>
      </c>
      <c r="W219">
        <v>678.1</v>
      </c>
      <c r="Y219">
        <f t="shared" si="23"/>
        <v>111638.90000000005</v>
      </c>
      <c r="Z219">
        <f t="shared" si="28"/>
        <v>13175.6</v>
      </c>
      <c r="AA219">
        <v>10.86043270889645</v>
      </c>
      <c r="AD219" s="1" t="s">
        <v>70</v>
      </c>
    </row>
    <row r="220" spans="1:30" x14ac:dyDescent="0.25">
      <c r="A220">
        <v>5240</v>
      </c>
      <c r="B220">
        <v>23690</v>
      </c>
      <c r="C220" s="5">
        <v>42798</v>
      </c>
      <c r="F220" s="60"/>
      <c r="G220">
        <v>7.4</v>
      </c>
      <c r="H220">
        <v>6.3</v>
      </c>
      <c r="I220">
        <v>7.9</v>
      </c>
      <c r="J220">
        <f t="shared" si="24"/>
        <v>1649.6000000000001</v>
      </c>
      <c r="K220">
        <f t="shared" si="29"/>
        <v>225.7</v>
      </c>
      <c r="M220" s="68">
        <v>6.5</v>
      </c>
      <c r="N220">
        <v>0.2</v>
      </c>
      <c r="O220">
        <f t="shared" ref="O220:O283" si="30">M220-N220</f>
        <v>6.3</v>
      </c>
      <c r="P220">
        <f t="shared" si="25"/>
        <v>127.29999999999998</v>
      </c>
      <c r="Q220">
        <v>194</v>
      </c>
      <c r="R220">
        <f t="shared" si="27"/>
        <v>1.0879310344827586</v>
      </c>
      <c r="S220" s="9">
        <f t="shared" ref="S220:S283" si="31">R220*N220</f>
        <v>0.21758620689655173</v>
      </c>
      <c r="T220" s="9">
        <f t="shared" ref="T220:T283" si="32">M220-S220</f>
        <v>6.2824137931034478</v>
      </c>
      <c r="U220" s="9">
        <f t="shared" si="26"/>
        <v>148.00305659670175</v>
      </c>
      <c r="W220">
        <v>244.3</v>
      </c>
      <c r="Y220">
        <f t="shared" si="23"/>
        <v>111883.20000000006</v>
      </c>
      <c r="Z220">
        <f t="shared" si="28"/>
        <v>13419.9</v>
      </c>
      <c r="AA220">
        <v>10.919449630011837</v>
      </c>
      <c r="AC220" s="1" t="s">
        <v>66</v>
      </c>
      <c r="AD220" s="32">
        <f>(AC207*(50/105))+(AC229*(55/105))</f>
        <v>16.88095238095238</v>
      </c>
    </row>
    <row r="221" spans="1:30" x14ac:dyDescent="0.25">
      <c r="A221">
        <v>5240</v>
      </c>
      <c r="B221">
        <v>23690</v>
      </c>
      <c r="C221" s="5">
        <v>42799</v>
      </c>
      <c r="F221" s="60"/>
      <c r="G221">
        <v>6.2</v>
      </c>
      <c r="H221">
        <v>4.0999999999999996</v>
      </c>
      <c r="I221">
        <v>7.6</v>
      </c>
      <c r="J221">
        <f t="shared" si="24"/>
        <v>1655.8000000000002</v>
      </c>
      <c r="K221">
        <f t="shared" si="29"/>
        <v>231.89999999999998</v>
      </c>
      <c r="M221" s="68">
        <v>10.199999999999999</v>
      </c>
      <c r="N221">
        <v>0.4</v>
      </c>
      <c r="O221">
        <f t="shared" si="30"/>
        <v>9.7999999999999989</v>
      </c>
      <c r="P221">
        <f t="shared" si="25"/>
        <v>137.1</v>
      </c>
      <c r="Q221">
        <v>195</v>
      </c>
      <c r="R221">
        <f t="shared" si="27"/>
        <v>1.0905172413793103</v>
      </c>
      <c r="S221" s="9">
        <f t="shared" si="31"/>
        <v>0.43620689655172412</v>
      </c>
      <c r="T221" s="9">
        <f t="shared" si="32"/>
        <v>9.7637931034482754</v>
      </c>
      <c r="U221" s="9">
        <f t="shared" si="26"/>
        <v>157.76684970015003</v>
      </c>
      <c r="W221">
        <v>285.60000000000002</v>
      </c>
      <c r="Y221">
        <f t="shared" ref="Y221:Y284" si="33">Y220+W221</f>
        <v>112168.80000000006</v>
      </c>
      <c r="Z221">
        <f t="shared" si="28"/>
        <v>13705.5</v>
      </c>
      <c r="AA221">
        <v>10.978627698902475</v>
      </c>
      <c r="AC221" s="9">
        <f>AVERAGE(U227:U240)</f>
        <v>164.86799502034705</v>
      </c>
    </row>
    <row r="222" spans="1:30" x14ac:dyDescent="0.25">
      <c r="A222">
        <v>5240</v>
      </c>
      <c r="B222">
        <v>23690</v>
      </c>
      <c r="C222" s="5">
        <v>42800</v>
      </c>
      <c r="F222" s="60"/>
      <c r="G222">
        <v>5.3</v>
      </c>
      <c r="H222">
        <v>3.4</v>
      </c>
      <c r="I222">
        <v>5.7</v>
      </c>
      <c r="J222">
        <f t="shared" si="24"/>
        <v>1661.1000000000001</v>
      </c>
      <c r="K222">
        <f t="shared" si="29"/>
        <v>237.2</v>
      </c>
      <c r="M222" s="68">
        <v>12.5</v>
      </c>
      <c r="N222">
        <v>0.2</v>
      </c>
      <c r="O222">
        <f t="shared" si="30"/>
        <v>12.3</v>
      </c>
      <c r="P222">
        <f t="shared" si="25"/>
        <v>149.4</v>
      </c>
      <c r="Q222">
        <v>196</v>
      </c>
      <c r="R222">
        <f t="shared" si="27"/>
        <v>1.0931034482758619</v>
      </c>
      <c r="S222" s="9">
        <f t="shared" si="31"/>
        <v>0.2186206896551724</v>
      </c>
      <c r="T222" s="9">
        <f t="shared" si="32"/>
        <v>12.281379310344828</v>
      </c>
      <c r="U222" s="9">
        <f t="shared" si="26"/>
        <v>170.04822901049485</v>
      </c>
      <c r="W222">
        <v>185.2</v>
      </c>
      <c r="Y222">
        <f t="shared" si="33"/>
        <v>112354.00000000006</v>
      </c>
      <c r="Z222">
        <f t="shared" si="28"/>
        <v>13890.7</v>
      </c>
      <c r="AA222">
        <v>11.037956465045024</v>
      </c>
      <c r="AC222" s="1" t="s">
        <v>67</v>
      </c>
    </row>
    <row r="223" spans="1:30" x14ac:dyDescent="0.25">
      <c r="A223">
        <v>5240</v>
      </c>
      <c r="B223">
        <v>23690</v>
      </c>
      <c r="C223" s="5">
        <v>42801</v>
      </c>
      <c r="F223" s="60"/>
      <c r="G223">
        <v>6.5</v>
      </c>
      <c r="H223">
        <v>4.4000000000000004</v>
      </c>
      <c r="I223">
        <v>8.3000000000000007</v>
      </c>
      <c r="J223">
        <f t="shared" ref="J223:J286" si="34">J222+G223</f>
        <v>1667.6000000000001</v>
      </c>
      <c r="K223">
        <f t="shared" si="29"/>
        <v>243.7</v>
      </c>
      <c r="M223" s="68">
        <v>1.2</v>
      </c>
      <c r="N223">
        <v>0.6</v>
      </c>
      <c r="O223">
        <f t="shared" si="30"/>
        <v>0.6</v>
      </c>
      <c r="P223">
        <f t="shared" si="25"/>
        <v>150</v>
      </c>
      <c r="Q223">
        <v>197</v>
      </c>
      <c r="R223">
        <f t="shared" si="27"/>
        <v>1.0956896551724138</v>
      </c>
      <c r="S223" s="9">
        <f t="shared" si="31"/>
        <v>0.65741379310344827</v>
      </c>
      <c r="T223" s="9">
        <f t="shared" si="32"/>
        <v>0.54258620689655168</v>
      </c>
      <c r="U223" s="9">
        <f t="shared" si="26"/>
        <v>170.59081521739139</v>
      </c>
      <c r="W223">
        <v>535.70000000000005</v>
      </c>
      <c r="Y223">
        <f t="shared" si="33"/>
        <v>112889.70000000006</v>
      </c>
      <c r="Z223">
        <f t="shared" si="28"/>
        <v>14426.400000000001</v>
      </c>
      <c r="AA223">
        <v>11.097425731193734</v>
      </c>
      <c r="AC223">
        <v>2</v>
      </c>
    </row>
    <row r="224" spans="1:30" x14ac:dyDescent="0.25">
      <c r="A224">
        <v>5240</v>
      </c>
      <c r="B224">
        <v>23690</v>
      </c>
      <c r="C224" s="5">
        <v>42802</v>
      </c>
      <c r="F224" s="60"/>
      <c r="G224">
        <v>9.9</v>
      </c>
      <c r="H224">
        <v>5.9</v>
      </c>
      <c r="I224">
        <v>12.3</v>
      </c>
      <c r="J224">
        <f t="shared" si="34"/>
        <v>1677.5000000000002</v>
      </c>
      <c r="K224">
        <f t="shared" si="29"/>
        <v>253.6</v>
      </c>
      <c r="M224" s="68">
        <v>0.2</v>
      </c>
      <c r="N224">
        <v>0.1</v>
      </c>
      <c r="O224">
        <f t="shared" si="30"/>
        <v>0.1</v>
      </c>
      <c r="P224">
        <f t="shared" si="25"/>
        <v>150.1</v>
      </c>
      <c r="Q224">
        <v>198</v>
      </c>
      <c r="R224">
        <f t="shared" si="27"/>
        <v>1.0982758620689654</v>
      </c>
      <c r="S224" s="9">
        <f t="shared" si="31"/>
        <v>0.10982758620689655</v>
      </c>
      <c r="T224" s="9">
        <f t="shared" si="32"/>
        <v>9.0172413793103465E-2</v>
      </c>
      <c r="U224" s="9">
        <f t="shared" si="26"/>
        <v>170.68098763118451</v>
      </c>
      <c r="W224">
        <v>219.9</v>
      </c>
      <c r="Y224">
        <f t="shared" si="33"/>
        <v>113109.60000000005</v>
      </c>
      <c r="Z224">
        <f t="shared" si="28"/>
        <v>14646.300000000001</v>
      </c>
      <c r="AA224">
        <v>11.157025539578509</v>
      </c>
      <c r="AC224" s="1" t="s">
        <v>68</v>
      </c>
    </row>
    <row r="225" spans="1:29" x14ac:dyDescent="0.25">
      <c r="A225">
        <v>5240</v>
      </c>
      <c r="B225">
        <v>23690</v>
      </c>
      <c r="C225" s="5">
        <v>42803</v>
      </c>
      <c r="F225" s="60"/>
      <c r="G225">
        <v>11.6</v>
      </c>
      <c r="H225">
        <v>10.5</v>
      </c>
      <c r="I225">
        <v>12.7</v>
      </c>
      <c r="J225">
        <f t="shared" si="34"/>
        <v>1689.1000000000001</v>
      </c>
      <c r="K225">
        <f t="shared" si="29"/>
        <v>265.2</v>
      </c>
      <c r="M225" s="68">
        <v>0.1</v>
      </c>
      <c r="N225">
        <v>0.2</v>
      </c>
      <c r="O225">
        <f t="shared" si="30"/>
        <v>-0.1</v>
      </c>
      <c r="P225">
        <f t="shared" si="25"/>
        <v>150</v>
      </c>
      <c r="Q225">
        <v>199</v>
      </c>
      <c r="R225">
        <f t="shared" si="27"/>
        <v>1.1008620689655171</v>
      </c>
      <c r="S225" s="9">
        <f t="shared" si="31"/>
        <v>0.22017241379310343</v>
      </c>
      <c r="T225" s="9">
        <f t="shared" si="32"/>
        <v>-0.12017241379310342</v>
      </c>
      <c r="U225" s="9">
        <f t="shared" si="26"/>
        <v>170.56081521739139</v>
      </c>
      <c r="W225">
        <v>221.4</v>
      </c>
      <c r="Y225">
        <f t="shared" si="33"/>
        <v>113331.00000000004</v>
      </c>
      <c r="Z225">
        <f t="shared" si="28"/>
        <v>14867.7</v>
      </c>
      <c r="AA225">
        <v>11.216746157875015</v>
      </c>
      <c r="AC225">
        <v>3</v>
      </c>
    </row>
    <row r="226" spans="1:29" x14ac:dyDescent="0.25">
      <c r="A226">
        <v>5240</v>
      </c>
      <c r="B226">
        <v>23690</v>
      </c>
      <c r="C226" s="5">
        <v>42804</v>
      </c>
      <c r="F226" s="60"/>
      <c r="G226">
        <v>9.1</v>
      </c>
      <c r="H226">
        <v>8.9</v>
      </c>
      <c r="I226">
        <v>10.5</v>
      </c>
      <c r="J226">
        <f t="shared" si="34"/>
        <v>1698.2</v>
      </c>
      <c r="K226">
        <f t="shared" si="29"/>
        <v>274.3</v>
      </c>
      <c r="M226" s="68">
        <v>0.1</v>
      </c>
      <c r="N226">
        <v>0.4</v>
      </c>
      <c r="O226">
        <f t="shared" si="30"/>
        <v>-0.30000000000000004</v>
      </c>
      <c r="P226">
        <f t="shared" si="25"/>
        <v>149.69999999999999</v>
      </c>
      <c r="Q226">
        <v>200</v>
      </c>
      <c r="R226">
        <f t="shared" si="27"/>
        <v>1.103448275862069</v>
      </c>
      <c r="S226" s="9">
        <f t="shared" si="31"/>
        <v>0.44137931034482758</v>
      </c>
      <c r="T226" s="9">
        <f t="shared" si="32"/>
        <v>-0.3413793103448276</v>
      </c>
      <c r="U226" s="9">
        <f t="shared" si="26"/>
        <v>170.21943590704657</v>
      </c>
      <c r="W226">
        <v>322.89999999999998</v>
      </c>
      <c r="Y226">
        <f t="shared" si="33"/>
        <v>113653.90000000004</v>
      </c>
      <c r="Z226">
        <f t="shared" si="28"/>
        <v>15190.6</v>
      </c>
      <c r="AA226">
        <v>11.276578064969994</v>
      </c>
      <c r="AC226" s="1" t="s">
        <v>69</v>
      </c>
    </row>
    <row r="227" spans="1:29" x14ac:dyDescent="0.25">
      <c r="A227">
        <v>5240</v>
      </c>
      <c r="B227">
        <v>23690</v>
      </c>
      <c r="C227" s="5">
        <v>42805</v>
      </c>
      <c r="F227" s="60"/>
      <c r="G227">
        <v>8.6</v>
      </c>
      <c r="H227">
        <v>2.6</v>
      </c>
      <c r="I227">
        <v>13.1</v>
      </c>
      <c r="J227">
        <f t="shared" si="34"/>
        <v>1706.8</v>
      </c>
      <c r="K227">
        <f t="shared" si="29"/>
        <v>282.90000000000003</v>
      </c>
      <c r="M227" s="68">
        <v>0</v>
      </c>
      <c r="N227">
        <v>1</v>
      </c>
      <c r="O227">
        <f t="shared" si="30"/>
        <v>-1</v>
      </c>
      <c r="P227">
        <f t="shared" si="25"/>
        <v>148.69999999999999</v>
      </c>
      <c r="Q227">
        <v>201</v>
      </c>
      <c r="R227">
        <f t="shared" si="27"/>
        <v>1.1060344827586206</v>
      </c>
      <c r="S227" s="9">
        <f t="shared" si="31"/>
        <v>1.1060344827586206</v>
      </c>
      <c r="T227" s="9">
        <f t="shared" si="32"/>
        <v>-1.1060344827586206</v>
      </c>
      <c r="U227" s="69">
        <f t="shared" si="26"/>
        <v>169.11340142428796</v>
      </c>
      <c r="W227">
        <v>915.3</v>
      </c>
      <c r="Y227">
        <f t="shared" si="33"/>
        <v>114569.20000000004</v>
      </c>
      <c r="Z227">
        <f t="shared" si="28"/>
        <v>16105.9</v>
      </c>
      <c r="AA227">
        <v>11.336511936543198</v>
      </c>
      <c r="AC227">
        <v>0</v>
      </c>
    </row>
    <row r="228" spans="1:29" x14ac:dyDescent="0.25">
      <c r="A228">
        <v>5240</v>
      </c>
      <c r="B228">
        <v>23690</v>
      </c>
      <c r="C228" s="5">
        <v>42806</v>
      </c>
      <c r="F228" s="60"/>
      <c r="G228">
        <v>10.1</v>
      </c>
      <c r="H228">
        <v>5.2</v>
      </c>
      <c r="I228">
        <v>15.9</v>
      </c>
      <c r="J228">
        <f t="shared" si="34"/>
        <v>1716.8999999999999</v>
      </c>
      <c r="K228">
        <f t="shared" si="29"/>
        <v>293.00000000000006</v>
      </c>
      <c r="M228" s="68">
        <v>0</v>
      </c>
      <c r="N228">
        <v>1.5</v>
      </c>
      <c r="O228">
        <f t="shared" si="30"/>
        <v>-1.5</v>
      </c>
      <c r="P228">
        <f t="shared" si="25"/>
        <v>147.19999999999999</v>
      </c>
      <c r="Q228">
        <v>202</v>
      </c>
      <c r="R228">
        <f t="shared" si="27"/>
        <v>1.1086206896551722</v>
      </c>
      <c r="S228" s="9">
        <f t="shared" si="31"/>
        <v>1.6629310344827584</v>
      </c>
      <c r="T228" s="9">
        <f t="shared" si="32"/>
        <v>-1.6629310344827584</v>
      </c>
      <c r="U228" s="69">
        <f t="shared" si="26"/>
        <v>167.45047038980519</v>
      </c>
      <c r="W228">
        <v>1077.2</v>
      </c>
      <c r="Y228">
        <f t="shared" si="33"/>
        <v>115646.40000000004</v>
      </c>
      <c r="Z228">
        <f t="shared" si="28"/>
        <v>17183.099999999999</v>
      </c>
      <c r="AA228">
        <v>11.396538630485811</v>
      </c>
      <c r="AC228" s="1" t="s">
        <v>70</v>
      </c>
    </row>
    <row r="229" spans="1:29" x14ac:dyDescent="0.25">
      <c r="A229">
        <v>5240</v>
      </c>
      <c r="B229">
        <v>23690</v>
      </c>
      <c r="C229" s="5">
        <v>42807</v>
      </c>
      <c r="F229" s="60"/>
      <c r="G229">
        <v>9.8000000000000007</v>
      </c>
      <c r="H229">
        <v>7.5</v>
      </c>
      <c r="I229">
        <v>12.8</v>
      </c>
      <c r="J229">
        <f t="shared" si="34"/>
        <v>1726.6999999999998</v>
      </c>
      <c r="K229">
        <f t="shared" si="29"/>
        <v>302.80000000000007</v>
      </c>
      <c r="M229" s="68">
        <v>0.1</v>
      </c>
      <c r="N229">
        <v>0.8</v>
      </c>
      <c r="O229">
        <f t="shared" si="30"/>
        <v>-0.70000000000000007</v>
      </c>
      <c r="P229">
        <f t="shared" si="25"/>
        <v>146.5</v>
      </c>
      <c r="Q229">
        <v>203</v>
      </c>
      <c r="R229">
        <f t="shared" si="27"/>
        <v>1.1112068965517241</v>
      </c>
      <c r="S229" s="9">
        <f t="shared" si="31"/>
        <v>0.88896551724137929</v>
      </c>
      <c r="T229" s="9">
        <f t="shared" si="32"/>
        <v>-0.78896551724137931</v>
      </c>
      <c r="U229" s="69">
        <f t="shared" si="26"/>
        <v>166.66150487256382</v>
      </c>
      <c r="W229">
        <v>585.29999999999995</v>
      </c>
      <c r="Y229">
        <f t="shared" si="33"/>
        <v>116231.70000000004</v>
      </c>
      <c r="Z229">
        <f t="shared" si="28"/>
        <v>17768.399999999998</v>
      </c>
      <c r="AA229">
        <v>11.456649172173657</v>
      </c>
      <c r="AC229">
        <f>SUM(M231:M240)</f>
        <v>14.5</v>
      </c>
    </row>
    <row r="230" spans="1:29" s="65" customFormat="1" x14ac:dyDescent="0.25">
      <c r="A230" s="65">
        <v>5240</v>
      </c>
      <c r="B230" s="65">
        <v>23690</v>
      </c>
      <c r="C230" s="66">
        <v>42808</v>
      </c>
      <c r="D230" s="65" t="s">
        <v>63</v>
      </c>
      <c r="F230" s="60"/>
      <c r="G230" s="65">
        <v>8</v>
      </c>
      <c r="H230" s="65">
        <v>0.8</v>
      </c>
      <c r="I230" s="65">
        <v>12.6</v>
      </c>
      <c r="J230" s="65">
        <f t="shared" si="34"/>
        <v>1734.6999999999998</v>
      </c>
      <c r="K230" s="65">
        <f t="shared" si="29"/>
        <v>310.80000000000007</v>
      </c>
      <c r="M230" s="65">
        <v>0</v>
      </c>
      <c r="N230" s="65">
        <v>0.7</v>
      </c>
      <c r="O230" s="65">
        <f t="shared" si="30"/>
        <v>-0.7</v>
      </c>
      <c r="P230" s="65">
        <f t="shared" si="25"/>
        <v>145.80000000000001</v>
      </c>
      <c r="Q230" s="65">
        <v>204</v>
      </c>
      <c r="R230" s="65">
        <f t="shared" si="27"/>
        <v>1.1137931034482758</v>
      </c>
      <c r="S230" s="67">
        <f t="shared" si="31"/>
        <v>0.77965517241379301</v>
      </c>
      <c r="T230" s="67">
        <f t="shared" si="32"/>
        <v>-0.77965517241379301</v>
      </c>
      <c r="U230" s="67">
        <f t="shared" si="26"/>
        <v>165.88184970015004</v>
      </c>
      <c r="W230" s="65">
        <v>847.6</v>
      </c>
      <c r="Y230" s="65">
        <f t="shared" si="33"/>
        <v>117079.30000000005</v>
      </c>
      <c r="Z230" s="65">
        <f t="shared" si="28"/>
        <v>18615.999999999996</v>
      </c>
      <c r="AA230" s="65">
        <v>11.5168347396122</v>
      </c>
    </row>
    <row r="231" spans="1:29" x14ac:dyDescent="0.25">
      <c r="A231">
        <v>5240</v>
      </c>
      <c r="B231">
        <v>23690</v>
      </c>
      <c r="C231" s="5">
        <v>42809</v>
      </c>
      <c r="F231" s="60"/>
      <c r="G231">
        <v>9.9</v>
      </c>
      <c r="H231">
        <v>8.6999999999999993</v>
      </c>
      <c r="I231">
        <v>11.7</v>
      </c>
      <c r="J231">
        <f t="shared" si="34"/>
        <v>1744.6</v>
      </c>
      <c r="K231">
        <f t="shared" si="29"/>
        <v>320.70000000000005</v>
      </c>
      <c r="M231" s="68">
        <v>0</v>
      </c>
      <c r="N231">
        <v>0.6</v>
      </c>
      <c r="O231">
        <f t="shared" si="30"/>
        <v>-0.6</v>
      </c>
      <c r="P231">
        <f t="shared" ref="P231:P294" si="35">P230+O231</f>
        <v>145.20000000000002</v>
      </c>
      <c r="Q231">
        <v>205</v>
      </c>
      <c r="R231">
        <f t="shared" si="27"/>
        <v>1.1163793103448274</v>
      </c>
      <c r="S231" s="9">
        <f t="shared" si="31"/>
        <v>0.66982758620689642</v>
      </c>
      <c r="T231" s="9">
        <f t="shared" si="32"/>
        <v>-0.66982758620689642</v>
      </c>
      <c r="U231" s="69">
        <f t="shared" si="26"/>
        <v>165.21202211394314</v>
      </c>
      <c r="W231">
        <v>566.70000000000005</v>
      </c>
      <c r="Y231">
        <f t="shared" si="33"/>
        <v>117646.00000000004</v>
      </c>
      <c r="Z231">
        <f t="shared" si="28"/>
        <v>19182.699999999997</v>
      </c>
      <c r="AA231">
        <v>11.577086648468992</v>
      </c>
    </row>
    <row r="232" spans="1:29" x14ac:dyDescent="0.25">
      <c r="A232">
        <v>5240</v>
      </c>
      <c r="B232">
        <v>23690</v>
      </c>
      <c r="C232" s="5">
        <v>42810</v>
      </c>
      <c r="F232" s="60"/>
      <c r="G232">
        <v>10.8</v>
      </c>
      <c r="H232">
        <v>3.8</v>
      </c>
      <c r="I232">
        <v>16.3</v>
      </c>
      <c r="J232">
        <f t="shared" si="34"/>
        <v>1755.3999999999999</v>
      </c>
      <c r="K232">
        <f t="shared" si="29"/>
        <v>331.50000000000006</v>
      </c>
      <c r="M232" s="68">
        <v>0</v>
      </c>
      <c r="N232">
        <v>2.2000000000000002</v>
      </c>
      <c r="O232">
        <f t="shared" si="30"/>
        <v>-2.2000000000000002</v>
      </c>
      <c r="P232">
        <f t="shared" si="35"/>
        <v>143.00000000000003</v>
      </c>
      <c r="Q232">
        <v>206</v>
      </c>
      <c r="R232">
        <f t="shared" si="27"/>
        <v>1.1189655172413793</v>
      </c>
      <c r="S232" s="9">
        <f t="shared" si="31"/>
        <v>2.4617241379310344</v>
      </c>
      <c r="T232" s="9">
        <f t="shared" si="32"/>
        <v>-2.4617241379310344</v>
      </c>
      <c r="U232" s="69">
        <f t="shared" ref="U232:U295" si="36">MIN(U231+T232,218.9)</f>
        <v>162.75029797601209</v>
      </c>
      <c r="W232">
        <v>1717.9</v>
      </c>
      <c r="Y232">
        <f t="shared" si="33"/>
        <v>119363.90000000004</v>
      </c>
      <c r="Z232">
        <f t="shared" si="28"/>
        <v>20900.599999999999</v>
      </c>
      <c r="AA232">
        <v>11.637396337008136</v>
      </c>
    </row>
    <row r="233" spans="1:29" x14ac:dyDescent="0.25">
      <c r="A233">
        <v>5240</v>
      </c>
      <c r="B233">
        <v>23690</v>
      </c>
      <c r="C233" s="5">
        <v>42811</v>
      </c>
      <c r="F233" s="60"/>
      <c r="G233">
        <v>9</v>
      </c>
      <c r="H233">
        <v>7.4</v>
      </c>
      <c r="I233">
        <v>11.5</v>
      </c>
      <c r="J233">
        <f t="shared" si="34"/>
        <v>1764.3999999999999</v>
      </c>
      <c r="K233">
        <f t="shared" si="29"/>
        <v>340.50000000000006</v>
      </c>
      <c r="M233" s="68">
        <v>0.1</v>
      </c>
      <c r="N233">
        <v>1</v>
      </c>
      <c r="O233">
        <f t="shared" si="30"/>
        <v>-0.9</v>
      </c>
      <c r="P233">
        <f t="shared" si="35"/>
        <v>142.10000000000002</v>
      </c>
      <c r="Q233">
        <v>207</v>
      </c>
      <c r="R233">
        <f t="shared" si="27"/>
        <v>1.1215517241379309</v>
      </c>
      <c r="S233" s="9">
        <f t="shared" si="31"/>
        <v>1.1215517241379309</v>
      </c>
      <c r="T233" s="9">
        <f t="shared" si="32"/>
        <v>-1.0215517241379308</v>
      </c>
      <c r="U233" s="69">
        <f t="shared" si="36"/>
        <v>161.72874625187416</v>
      </c>
      <c r="W233">
        <v>537.6</v>
      </c>
      <c r="Y233">
        <f t="shared" si="33"/>
        <v>119901.50000000004</v>
      </c>
      <c r="Z233">
        <f t="shared" si="28"/>
        <v>21438.199999999997</v>
      </c>
      <c r="AA233">
        <v>11.697755350940248</v>
      </c>
    </row>
    <row r="234" spans="1:29" x14ac:dyDescent="0.25">
      <c r="A234">
        <v>5240</v>
      </c>
      <c r="B234">
        <v>23690</v>
      </c>
      <c r="C234" s="5">
        <v>42812</v>
      </c>
      <c r="F234" s="60"/>
      <c r="G234">
        <v>9.8000000000000007</v>
      </c>
      <c r="H234">
        <v>6.5</v>
      </c>
      <c r="I234">
        <v>12</v>
      </c>
      <c r="J234">
        <f t="shared" si="34"/>
        <v>1774.1999999999998</v>
      </c>
      <c r="K234">
        <f t="shared" si="29"/>
        <v>350.30000000000007</v>
      </c>
      <c r="M234" s="68">
        <v>0.1</v>
      </c>
      <c r="N234">
        <v>0.5</v>
      </c>
      <c r="O234">
        <f t="shared" si="30"/>
        <v>-0.4</v>
      </c>
      <c r="P234">
        <f t="shared" si="35"/>
        <v>141.70000000000002</v>
      </c>
      <c r="Q234">
        <v>208</v>
      </c>
      <c r="R234">
        <f t="shared" si="27"/>
        <v>1.1241379310344828</v>
      </c>
      <c r="S234" s="9">
        <f t="shared" si="31"/>
        <v>0.56206896551724139</v>
      </c>
      <c r="T234" s="9">
        <f t="shared" si="32"/>
        <v>-0.46206896551724141</v>
      </c>
      <c r="U234" s="69">
        <f t="shared" si="36"/>
        <v>161.26667728635692</v>
      </c>
      <c r="W234">
        <v>355</v>
      </c>
      <c r="Y234">
        <f t="shared" si="33"/>
        <v>120256.50000000004</v>
      </c>
      <c r="Z234">
        <f t="shared" si="28"/>
        <v>21793.199999999997</v>
      </c>
      <c r="AA234">
        <v>11.758155328200523</v>
      </c>
    </row>
    <row r="235" spans="1:29" x14ac:dyDescent="0.25">
      <c r="A235">
        <v>5240</v>
      </c>
      <c r="B235">
        <v>23690</v>
      </c>
      <c r="C235" s="5">
        <v>42813</v>
      </c>
      <c r="F235" s="60"/>
      <c r="G235">
        <v>10.9</v>
      </c>
      <c r="H235">
        <v>9.8000000000000007</v>
      </c>
      <c r="I235">
        <v>11.8</v>
      </c>
      <c r="J235">
        <f t="shared" si="34"/>
        <v>1785.1</v>
      </c>
      <c r="K235">
        <f t="shared" si="29"/>
        <v>361.20000000000005</v>
      </c>
      <c r="M235" s="68">
        <v>0</v>
      </c>
      <c r="N235">
        <v>0.7</v>
      </c>
      <c r="O235">
        <f t="shared" si="30"/>
        <v>-0.7</v>
      </c>
      <c r="P235">
        <f t="shared" si="35"/>
        <v>141.00000000000003</v>
      </c>
      <c r="Q235">
        <v>209</v>
      </c>
      <c r="R235">
        <f t="shared" si="27"/>
        <v>1.1267241379310344</v>
      </c>
      <c r="S235" s="9">
        <f t="shared" si="31"/>
        <v>0.7887068965517241</v>
      </c>
      <c r="T235" s="9">
        <f t="shared" si="32"/>
        <v>-0.7887068965517241</v>
      </c>
      <c r="U235" s="69">
        <f t="shared" si="36"/>
        <v>160.47797038980519</v>
      </c>
      <c r="W235">
        <v>211</v>
      </c>
      <c r="Y235">
        <f t="shared" si="33"/>
        <v>120467.50000000004</v>
      </c>
      <c r="Z235">
        <f t="shared" si="28"/>
        <v>22004.199999999997</v>
      </c>
      <c r="AA235">
        <v>11.818587983666626</v>
      </c>
    </row>
    <row r="236" spans="1:29" x14ac:dyDescent="0.25">
      <c r="A236">
        <v>5240</v>
      </c>
      <c r="B236">
        <v>23690</v>
      </c>
      <c r="C236" s="5">
        <v>42814</v>
      </c>
      <c r="F236" s="60"/>
      <c r="G236">
        <v>9.9</v>
      </c>
      <c r="H236">
        <v>8.4</v>
      </c>
      <c r="I236">
        <v>10.9</v>
      </c>
      <c r="J236">
        <f t="shared" si="34"/>
        <v>1795</v>
      </c>
      <c r="K236">
        <f t="shared" si="29"/>
        <v>371.1</v>
      </c>
      <c r="M236" s="68">
        <v>0.1</v>
      </c>
      <c r="N236">
        <v>0.8</v>
      </c>
      <c r="O236">
        <f t="shared" si="30"/>
        <v>-0.70000000000000007</v>
      </c>
      <c r="P236">
        <f t="shared" si="35"/>
        <v>140.30000000000004</v>
      </c>
      <c r="Q236">
        <v>210</v>
      </c>
      <c r="R236">
        <f t="shared" si="27"/>
        <v>1.1293103448275861</v>
      </c>
      <c r="S236" s="9">
        <f t="shared" si="31"/>
        <v>0.90344827586206888</v>
      </c>
      <c r="T236" s="9">
        <f t="shared" si="32"/>
        <v>-0.80344827586206891</v>
      </c>
      <c r="U236" s="69">
        <f t="shared" si="36"/>
        <v>159.67452211394311</v>
      </c>
      <c r="W236">
        <v>194.1</v>
      </c>
      <c r="Y236">
        <f t="shared" si="33"/>
        <v>120661.60000000005</v>
      </c>
      <c r="Z236">
        <f t="shared" si="28"/>
        <v>22198.299999999996</v>
      </c>
      <c r="AA236">
        <v>11.879045093827576</v>
      </c>
    </row>
    <row r="237" spans="1:29" x14ac:dyDescent="0.25">
      <c r="A237">
        <v>5240</v>
      </c>
      <c r="B237">
        <v>23690</v>
      </c>
      <c r="C237" s="5">
        <v>42815</v>
      </c>
      <c r="F237" s="60"/>
      <c r="G237">
        <v>7.7</v>
      </c>
      <c r="H237">
        <v>7.6</v>
      </c>
      <c r="I237">
        <v>9</v>
      </c>
      <c r="J237">
        <f t="shared" si="34"/>
        <v>1802.7</v>
      </c>
      <c r="K237">
        <f t="shared" si="29"/>
        <v>378.8</v>
      </c>
      <c r="M237" s="68">
        <v>0.4</v>
      </c>
      <c r="N237">
        <v>0.9</v>
      </c>
      <c r="O237">
        <f t="shared" si="30"/>
        <v>-0.5</v>
      </c>
      <c r="P237">
        <f t="shared" si="35"/>
        <v>139.80000000000004</v>
      </c>
      <c r="Q237">
        <v>211</v>
      </c>
      <c r="R237">
        <f t="shared" si="27"/>
        <v>1.1318965517241379</v>
      </c>
      <c r="S237" s="9">
        <f t="shared" si="31"/>
        <v>1.0187068965517241</v>
      </c>
      <c r="T237" s="9">
        <f t="shared" si="32"/>
        <v>-0.61870689655172406</v>
      </c>
      <c r="U237" s="69">
        <f t="shared" si="36"/>
        <v>159.0558152173914</v>
      </c>
      <c r="W237">
        <v>854.4</v>
      </c>
      <c r="Y237">
        <f t="shared" si="33"/>
        <v>121516.00000000004</v>
      </c>
      <c r="Z237">
        <f t="shared" si="28"/>
        <v>23052.699999999997</v>
      </c>
      <c r="AA237">
        <v>11.939518481414012</v>
      </c>
    </row>
    <row r="238" spans="1:29" x14ac:dyDescent="0.25">
      <c r="A238">
        <v>5240</v>
      </c>
      <c r="B238">
        <v>23690</v>
      </c>
      <c r="C238" s="5">
        <v>42816</v>
      </c>
      <c r="F238" s="60"/>
      <c r="G238">
        <v>6.2</v>
      </c>
      <c r="H238">
        <v>2.6</v>
      </c>
      <c r="I238">
        <v>9.9</v>
      </c>
      <c r="J238">
        <f t="shared" si="34"/>
        <v>1808.9</v>
      </c>
      <c r="K238">
        <f t="shared" si="29"/>
        <v>385</v>
      </c>
      <c r="M238" s="68">
        <v>8.4</v>
      </c>
      <c r="N238">
        <v>0.7</v>
      </c>
      <c r="O238">
        <f t="shared" si="30"/>
        <v>7.7</v>
      </c>
      <c r="P238">
        <f t="shared" si="35"/>
        <v>147.50000000000003</v>
      </c>
      <c r="Q238">
        <v>212</v>
      </c>
      <c r="R238">
        <f t="shared" si="27"/>
        <v>1.1344827586206896</v>
      </c>
      <c r="S238" s="9">
        <f t="shared" si="31"/>
        <v>0.79413793103448271</v>
      </c>
      <c r="T238" s="9">
        <f t="shared" si="32"/>
        <v>7.6058620689655179</v>
      </c>
      <c r="U238" s="69">
        <f t="shared" si="36"/>
        <v>166.66167728635691</v>
      </c>
      <c r="W238">
        <v>530.70000000000005</v>
      </c>
      <c r="Y238">
        <f t="shared" si="33"/>
        <v>122046.70000000004</v>
      </c>
      <c r="Z238">
        <f t="shared" si="28"/>
        <v>23583.399999999998</v>
      </c>
      <c r="AA238">
        <v>12</v>
      </c>
    </row>
    <row r="239" spans="1:29" x14ac:dyDescent="0.25">
      <c r="A239">
        <v>5240</v>
      </c>
      <c r="B239">
        <v>23690</v>
      </c>
      <c r="C239" s="5">
        <v>42817</v>
      </c>
      <c r="F239" s="60"/>
      <c r="G239">
        <v>6.9</v>
      </c>
      <c r="H239">
        <v>5.3</v>
      </c>
      <c r="I239">
        <v>8.4</v>
      </c>
      <c r="J239">
        <f t="shared" si="34"/>
        <v>1815.8000000000002</v>
      </c>
      <c r="K239">
        <f t="shared" si="29"/>
        <v>391.9</v>
      </c>
      <c r="M239" s="68">
        <v>5.2</v>
      </c>
      <c r="N239">
        <v>0.6</v>
      </c>
      <c r="O239">
        <f t="shared" si="30"/>
        <v>4.6000000000000005</v>
      </c>
      <c r="P239">
        <f t="shared" si="35"/>
        <v>152.10000000000002</v>
      </c>
      <c r="Q239">
        <v>213</v>
      </c>
      <c r="R239">
        <f t="shared" si="27"/>
        <v>1.1370689655172412</v>
      </c>
      <c r="S239" s="9">
        <f t="shared" si="31"/>
        <v>0.68224137931034468</v>
      </c>
      <c r="T239" s="9">
        <f t="shared" si="32"/>
        <v>4.5177586206896558</v>
      </c>
      <c r="U239" s="69">
        <f t="shared" si="36"/>
        <v>171.17943590704655</v>
      </c>
      <c r="W239">
        <v>273.5</v>
      </c>
      <c r="Y239">
        <f t="shared" si="33"/>
        <v>122320.20000000004</v>
      </c>
      <c r="Z239">
        <f t="shared" si="28"/>
        <v>23856.899999999998</v>
      </c>
      <c r="AA239">
        <v>12.060481518585986</v>
      </c>
    </row>
    <row r="240" spans="1:29" x14ac:dyDescent="0.25">
      <c r="A240">
        <v>5240</v>
      </c>
      <c r="B240">
        <v>23690</v>
      </c>
      <c r="C240" s="5">
        <v>42818</v>
      </c>
      <c r="F240" s="60"/>
      <c r="G240">
        <v>7.8</v>
      </c>
      <c r="H240">
        <v>2.4</v>
      </c>
      <c r="I240">
        <v>10.9</v>
      </c>
      <c r="J240">
        <f t="shared" si="34"/>
        <v>1823.6000000000001</v>
      </c>
      <c r="K240">
        <f t="shared" si="29"/>
        <v>399.7</v>
      </c>
      <c r="M240" s="68">
        <v>0.2</v>
      </c>
      <c r="N240">
        <v>0.3</v>
      </c>
      <c r="O240">
        <f t="shared" si="30"/>
        <v>-9.9999999999999978E-2</v>
      </c>
      <c r="P240">
        <f t="shared" si="35"/>
        <v>152.00000000000003</v>
      </c>
      <c r="Q240">
        <v>214</v>
      </c>
      <c r="R240">
        <f t="shared" si="27"/>
        <v>1.1396551724137931</v>
      </c>
      <c r="S240" s="9">
        <f t="shared" si="31"/>
        <v>0.34189655172413791</v>
      </c>
      <c r="T240" s="9">
        <f t="shared" si="32"/>
        <v>-0.1418965517241379</v>
      </c>
      <c r="U240" s="69">
        <f t="shared" si="36"/>
        <v>171.03753935532242</v>
      </c>
      <c r="W240">
        <v>480.8</v>
      </c>
      <c r="Y240">
        <f t="shared" si="33"/>
        <v>122801.00000000004</v>
      </c>
      <c r="Z240">
        <f t="shared" si="28"/>
        <v>24337.699999999997</v>
      </c>
      <c r="AA240">
        <v>12.120954906172424</v>
      </c>
    </row>
    <row r="241" spans="1:28" x14ac:dyDescent="0.25">
      <c r="A241">
        <v>5240</v>
      </c>
      <c r="B241">
        <v>23690</v>
      </c>
      <c r="C241" s="5">
        <v>42819</v>
      </c>
      <c r="F241" s="60"/>
      <c r="G241">
        <v>10.9</v>
      </c>
      <c r="H241">
        <v>6</v>
      </c>
      <c r="I241">
        <v>14.9</v>
      </c>
      <c r="J241">
        <f t="shared" si="34"/>
        <v>1834.5000000000002</v>
      </c>
      <c r="K241">
        <f t="shared" si="29"/>
        <v>410.59999999999997</v>
      </c>
      <c r="M241">
        <v>0</v>
      </c>
      <c r="N241">
        <v>2.7</v>
      </c>
      <c r="O241">
        <f t="shared" si="30"/>
        <v>-2.7</v>
      </c>
      <c r="P241">
        <f t="shared" si="35"/>
        <v>149.30000000000004</v>
      </c>
      <c r="Q241">
        <v>215</v>
      </c>
      <c r="R241">
        <f t="shared" si="27"/>
        <v>1.1422413793103448</v>
      </c>
      <c r="S241" s="9">
        <f t="shared" si="31"/>
        <v>3.084051724137931</v>
      </c>
      <c r="T241" s="9">
        <f t="shared" si="32"/>
        <v>-3.084051724137931</v>
      </c>
      <c r="U241" s="9">
        <f t="shared" si="36"/>
        <v>167.95348763118449</v>
      </c>
      <c r="W241">
        <v>1833.1</v>
      </c>
      <c r="Y241">
        <f t="shared" si="33"/>
        <v>124634.10000000005</v>
      </c>
      <c r="Z241">
        <f t="shared" si="28"/>
        <v>26170.799999999996</v>
      </c>
      <c r="AA241">
        <v>12.181412016333372</v>
      </c>
    </row>
    <row r="242" spans="1:28" x14ac:dyDescent="0.25">
      <c r="A242">
        <v>5240</v>
      </c>
      <c r="B242">
        <v>23690</v>
      </c>
      <c r="C242" s="5">
        <v>42820</v>
      </c>
      <c r="F242" s="60"/>
      <c r="G242">
        <v>10.6</v>
      </c>
      <c r="H242">
        <v>5.4</v>
      </c>
      <c r="I242">
        <v>14.3</v>
      </c>
      <c r="J242">
        <f t="shared" si="34"/>
        <v>1845.1000000000001</v>
      </c>
      <c r="K242">
        <f t="shared" si="29"/>
        <v>421.2</v>
      </c>
      <c r="M242">
        <v>0</v>
      </c>
      <c r="N242">
        <v>2.1</v>
      </c>
      <c r="O242">
        <f t="shared" si="30"/>
        <v>-2.1</v>
      </c>
      <c r="P242">
        <f t="shared" si="35"/>
        <v>147.20000000000005</v>
      </c>
      <c r="Q242">
        <v>216</v>
      </c>
      <c r="R242">
        <f t="shared" si="27"/>
        <v>1.1448275862068964</v>
      </c>
      <c r="S242" s="9">
        <f t="shared" si="31"/>
        <v>2.4041379310344824</v>
      </c>
      <c r="T242" s="9">
        <f t="shared" si="32"/>
        <v>-2.4041379310344824</v>
      </c>
      <c r="U242" s="9">
        <f t="shared" si="36"/>
        <v>165.54934970015</v>
      </c>
      <c r="W242">
        <v>1626.4</v>
      </c>
      <c r="Y242">
        <f t="shared" si="33"/>
        <v>126260.50000000004</v>
      </c>
      <c r="Z242">
        <f t="shared" si="28"/>
        <v>27797.199999999997</v>
      </c>
      <c r="AA242">
        <v>12.241844671799477</v>
      </c>
    </row>
    <row r="243" spans="1:28" x14ac:dyDescent="0.25">
      <c r="A243">
        <v>5240</v>
      </c>
      <c r="B243">
        <v>23690</v>
      </c>
      <c r="C243" s="5">
        <v>42821</v>
      </c>
      <c r="F243" s="60"/>
      <c r="G243">
        <v>11.8</v>
      </c>
      <c r="H243">
        <v>6.7</v>
      </c>
      <c r="I243">
        <v>17.3</v>
      </c>
      <c r="J243">
        <f t="shared" si="34"/>
        <v>1856.9</v>
      </c>
      <c r="K243">
        <f t="shared" si="29"/>
        <v>433</v>
      </c>
      <c r="M243">
        <v>0</v>
      </c>
      <c r="N243">
        <v>2.5</v>
      </c>
      <c r="O243">
        <f t="shared" si="30"/>
        <v>-2.5</v>
      </c>
      <c r="P243">
        <f t="shared" si="35"/>
        <v>144.70000000000005</v>
      </c>
      <c r="Q243">
        <v>217</v>
      </c>
      <c r="R243">
        <f t="shared" si="27"/>
        <v>1.1474137931034483</v>
      </c>
      <c r="S243" s="9">
        <f t="shared" si="31"/>
        <v>2.8685344827586206</v>
      </c>
      <c r="T243" s="9">
        <f t="shared" si="32"/>
        <v>-2.8685344827586206</v>
      </c>
      <c r="U243" s="9">
        <f t="shared" si="36"/>
        <v>162.68081521739137</v>
      </c>
      <c r="W243">
        <v>1647.7</v>
      </c>
      <c r="Y243">
        <f t="shared" si="33"/>
        <v>127908.20000000004</v>
      </c>
      <c r="Z243">
        <f t="shared" si="28"/>
        <v>29444.899999999998</v>
      </c>
      <c r="AA243">
        <v>12.30224464905975</v>
      </c>
    </row>
    <row r="244" spans="1:28" s="14" customFormat="1" ht="15.75" thickBot="1" x14ac:dyDescent="0.3">
      <c r="A244" s="14">
        <v>5240</v>
      </c>
      <c r="B244" s="14">
        <v>23690</v>
      </c>
      <c r="C244" s="15">
        <v>42822</v>
      </c>
      <c r="F244" s="61"/>
      <c r="G244" s="14">
        <v>10.4</v>
      </c>
      <c r="H244" s="14">
        <v>5.4</v>
      </c>
      <c r="I244" s="14">
        <v>15.2</v>
      </c>
      <c r="J244" s="14">
        <f t="shared" si="34"/>
        <v>1867.3000000000002</v>
      </c>
      <c r="K244" s="14">
        <f t="shared" si="29"/>
        <v>443.4</v>
      </c>
      <c r="M244" s="14">
        <v>0.4</v>
      </c>
      <c r="N244" s="14">
        <v>1.1000000000000001</v>
      </c>
      <c r="O244" s="14">
        <f t="shared" si="30"/>
        <v>-0.70000000000000007</v>
      </c>
      <c r="P244" s="14">
        <f t="shared" si="35"/>
        <v>144.00000000000006</v>
      </c>
      <c r="Q244" s="14">
        <v>218</v>
      </c>
      <c r="R244" s="14">
        <f t="shared" si="27"/>
        <v>1.1499999999999999</v>
      </c>
      <c r="S244" s="16">
        <f t="shared" si="31"/>
        <v>1.2649999999999999</v>
      </c>
      <c r="T244" s="16">
        <f t="shared" si="32"/>
        <v>-0.86499999999999988</v>
      </c>
      <c r="U244" s="16">
        <f t="shared" si="36"/>
        <v>161.81581521739136</v>
      </c>
      <c r="W244" s="14">
        <v>857.8</v>
      </c>
      <c r="Y244" s="14">
        <f t="shared" si="33"/>
        <v>128766.00000000004</v>
      </c>
      <c r="Z244" s="14">
        <f t="shared" si="28"/>
        <v>30302.699999999997</v>
      </c>
      <c r="AA244" s="14">
        <v>12.362603662991864</v>
      </c>
    </row>
    <row r="245" spans="1:28" s="35" customFormat="1" x14ac:dyDescent="0.25">
      <c r="A245" s="35">
        <v>5240</v>
      </c>
      <c r="B245" s="35">
        <v>23690</v>
      </c>
      <c r="C245" s="36">
        <v>42823</v>
      </c>
      <c r="D245" s="39" t="s">
        <v>35</v>
      </c>
      <c r="F245" s="62" t="s">
        <v>55</v>
      </c>
      <c r="G245" s="35">
        <v>12.5</v>
      </c>
      <c r="H245" s="35">
        <v>6.3</v>
      </c>
      <c r="I245" s="35">
        <v>17.7</v>
      </c>
      <c r="J245" s="35">
        <f t="shared" si="34"/>
        <v>1879.8000000000002</v>
      </c>
      <c r="K245" s="35">
        <f>G245</f>
        <v>12.5</v>
      </c>
      <c r="L245" s="21" t="s">
        <v>37</v>
      </c>
      <c r="M245" s="35">
        <v>0</v>
      </c>
      <c r="N245" s="35">
        <v>2.1</v>
      </c>
      <c r="O245" s="35">
        <f t="shared" si="30"/>
        <v>-2.1</v>
      </c>
      <c r="P245" s="35">
        <f t="shared" si="35"/>
        <v>141.90000000000006</v>
      </c>
      <c r="Q245" s="35">
        <v>219</v>
      </c>
      <c r="R245" s="35">
        <v>1.1499999999999999</v>
      </c>
      <c r="S245" s="37">
        <f t="shared" si="31"/>
        <v>2.415</v>
      </c>
      <c r="T245" s="37">
        <f t="shared" si="32"/>
        <v>-2.415</v>
      </c>
      <c r="U245" s="9">
        <f t="shared" si="36"/>
        <v>159.40081521739137</v>
      </c>
      <c r="V245" s="23" t="s">
        <v>44</v>
      </c>
      <c r="W245" s="35">
        <v>1341.7</v>
      </c>
      <c r="Y245" s="35">
        <f t="shared" si="33"/>
        <v>130107.70000000004</v>
      </c>
      <c r="Z245" s="35">
        <f>W245</f>
        <v>1341.7</v>
      </c>
      <c r="AA245" s="35">
        <v>12.422913351531006</v>
      </c>
      <c r="AB245" s="23" t="s">
        <v>49</v>
      </c>
    </row>
    <row r="246" spans="1:28" s="33" customFormat="1" ht="15" customHeight="1" x14ac:dyDescent="0.25">
      <c r="A246" s="33">
        <v>5240</v>
      </c>
      <c r="B246" s="33">
        <v>23690</v>
      </c>
      <c r="C246" s="38">
        <v>42824</v>
      </c>
      <c r="D246" s="35"/>
      <c r="F246" s="63"/>
      <c r="G246" s="33">
        <v>14.5</v>
      </c>
      <c r="H246" s="33">
        <v>6.6</v>
      </c>
      <c r="I246" s="33">
        <v>21.1</v>
      </c>
      <c r="J246" s="33">
        <f t="shared" si="34"/>
        <v>1894.3000000000002</v>
      </c>
      <c r="K246" s="35">
        <f t="shared" si="29"/>
        <v>27</v>
      </c>
      <c r="L246" s="11">
        <v>223.1</v>
      </c>
      <c r="M246" s="33">
        <v>0</v>
      </c>
      <c r="N246" s="33">
        <v>2.6</v>
      </c>
      <c r="O246" s="33">
        <f t="shared" si="30"/>
        <v>-2.6</v>
      </c>
      <c r="P246" s="33">
        <f t="shared" si="35"/>
        <v>139.30000000000007</v>
      </c>
      <c r="Q246" s="33">
        <v>220</v>
      </c>
      <c r="R246" s="33">
        <v>1.1499999999999999</v>
      </c>
      <c r="S246" s="34">
        <f t="shared" si="31"/>
        <v>2.9899999999999998</v>
      </c>
      <c r="T246" s="34">
        <f t="shared" si="32"/>
        <v>-2.9899999999999998</v>
      </c>
      <c r="U246" s="9">
        <f t="shared" si="36"/>
        <v>156.41081521739136</v>
      </c>
      <c r="V246">
        <v>0</v>
      </c>
      <c r="W246" s="33">
        <v>1604.4</v>
      </c>
      <c r="Y246" s="33">
        <f t="shared" si="33"/>
        <v>131712.10000000003</v>
      </c>
      <c r="Z246" s="35">
        <f t="shared" si="28"/>
        <v>2946.1000000000004</v>
      </c>
      <c r="AA246" s="33">
        <v>12.4831652603878</v>
      </c>
      <c r="AB246">
        <v>28688.799999999999</v>
      </c>
    </row>
    <row r="247" spans="1:28" s="35" customFormat="1" x14ac:dyDescent="0.25">
      <c r="A247" s="35">
        <v>5240</v>
      </c>
      <c r="B247" s="35">
        <v>23690</v>
      </c>
      <c r="C247" s="36">
        <v>42825</v>
      </c>
      <c r="D247"/>
      <c r="F247" s="63"/>
      <c r="G247" s="35">
        <v>13.3</v>
      </c>
      <c r="H247" s="35">
        <v>11.7</v>
      </c>
      <c r="I247" s="35">
        <v>15.6</v>
      </c>
      <c r="J247" s="35">
        <f t="shared" si="34"/>
        <v>1907.6000000000001</v>
      </c>
      <c r="K247" s="35">
        <f t="shared" si="29"/>
        <v>40.299999999999997</v>
      </c>
      <c r="L247" s="21" t="s">
        <v>38</v>
      </c>
      <c r="M247" s="35">
        <v>0.3</v>
      </c>
      <c r="N247" s="35">
        <v>1.7</v>
      </c>
      <c r="O247" s="35">
        <f t="shared" si="30"/>
        <v>-1.4</v>
      </c>
      <c r="P247" s="35">
        <f t="shared" si="35"/>
        <v>137.90000000000006</v>
      </c>
      <c r="Q247" s="35">
        <v>221</v>
      </c>
      <c r="R247" s="35">
        <v>1.1499999999999999</v>
      </c>
      <c r="S247" s="37">
        <f t="shared" si="31"/>
        <v>1.9549999999999998</v>
      </c>
      <c r="T247" s="37">
        <f t="shared" si="32"/>
        <v>-1.6549999999999998</v>
      </c>
      <c r="U247" s="9">
        <f t="shared" si="36"/>
        <v>154.75581521739136</v>
      </c>
      <c r="V247" s="23" t="s">
        <v>45</v>
      </c>
      <c r="W247" s="35">
        <v>791.4</v>
      </c>
      <c r="Y247" s="35">
        <f t="shared" si="33"/>
        <v>132503.50000000003</v>
      </c>
      <c r="Z247" s="35">
        <f t="shared" si="28"/>
        <v>3737.5000000000005</v>
      </c>
      <c r="AA247" s="35">
        <v>12.543350827826341</v>
      </c>
      <c r="AB247" s="23" t="s">
        <v>50</v>
      </c>
    </row>
    <row r="248" spans="1:28" ht="15" customHeight="1" x14ac:dyDescent="0.25">
      <c r="A248">
        <v>5240</v>
      </c>
      <c r="B248">
        <v>23690</v>
      </c>
      <c r="C248" s="5">
        <v>42826</v>
      </c>
      <c r="F248" s="63"/>
      <c r="G248">
        <v>10.6</v>
      </c>
      <c r="H248">
        <v>7.6</v>
      </c>
      <c r="I248">
        <v>13.6</v>
      </c>
      <c r="J248" s="8">
        <f t="shared" si="34"/>
        <v>1918.2</v>
      </c>
      <c r="K248" s="35">
        <f t="shared" si="29"/>
        <v>50.9</v>
      </c>
      <c r="L248" s="41">
        <f>AVERAGE(G245:G265)</f>
        <v>10.623809523809527</v>
      </c>
      <c r="M248">
        <v>0.1</v>
      </c>
      <c r="N248">
        <v>1.5</v>
      </c>
      <c r="O248">
        <f t="shared" si="30"/>
        <v>-1.4</v>
      </c>
      <c r="P248">
        <f t="shared" si="35"/>
        <v>136.50000000000006</v>
      </c>
      <c r="Q248">
        <v>222</v>
      </c>
      <c r="R248">
        <v>1.1499999999999999</v>
      </c>
      <c r="S248" s="9">
        <f t="shared" si="31"/>
        <v>1.7249999999999999</v>
      </c>
      <c r="T248" s="9">
        <f t="shared" si="32"/>
        <v>-1.6249999999999998</v>
      </c>
      <c r="U248" s="9">
        <f t="shared" si="36"/>
        <v>153.13081521739136</v>
      </c>
      <c r="V248">
        <v>0</v>
      </c>
      <c r="W248">
        <v>1148.4000000000001</v>
      </c>
      <c r="Y248">
        <f t="shared" si="33"/>
        <v>133651.90000000002</v>
      </c>
      <c r="Z248" s="35">
        <f t="shared" si="28"/>
        <v>4885.9000000000005</v>
      </c>
      <c r="AA248">
        <v>12.603461369514189</v>
      </c>
      <c r="AB248" s="9">
        <f>(AB246/100)/L246</f>
        <v>1.2859166293142088</v>
      </c>
    </row>
    <row r="249" spans="1:28" x14ac:dyDescent="0.25">
      <c r="A249">
        <v>5240</v>
      </c>
      <c r="B249">
        <v>23690</v>
      </c>
      <c r="C249" s="5">
        <v>42827</v>
      </c>
      <c r="F249" s="63"/>
      <c r="G249">
        <v>10.4</v>
      </c>
      <c r="H249">
        <v>4.5999999999999996</v>
      </c>
      <c r="I249">
        <v>14.5</v>
      </c>
      <c r="J249">
        <f t="shared" si="34"/>
        <v>1928.6000000000001</v>
      </c>
      <c r="K249" s="35">
        <f t="shared" si="29"/>
        <v>61.3</v>
      </c>
      <c r="L249" s="21" t="s">
        <v>39</v>
      </c>
      <c r="M249">
        <v>0.1</v>
      </c>
      <c r="N249">
        <v>1.5</v>
      </c>
      <c r="O249">
        <f t="shared" si="30"/>
        <v>-1.4</v>
      </c>
      <c r="P249">
        <f t="shared" si="35"/>
        <v>135.10000000000005</v>
      </c>
      <c r="Q249">
        <v>223</v>
      </c>
      <c r="R249">
        <v>1.1499999999999999</v>
      </c>
      <c r="S249" s="9">
        <f t="shared" si="31"/>
        <v>1.7249999999999999</v>
      </c>
      <c r="T249" s="9">
        <f t="shared" si="32"/>
        <v>-1.6249999999999998</v>
      </c>
      <c r="U249" s="9">
        <f t="shared" si="36"/>
        <v>151.50581521739136</v>
      </c>
      <c r="V249" s="23" t="s">
        <v>46</v>
      </c>
      <c r="W249">
        <v>1246.4000000000001</v>
      </c>
      <c r="Y249">
        <f t="shared" si="33"/>
        <v>134898.30000000002</v>
      </c>
      <c r="Z249" s="35">
        <f t="shared" si="28"/>
        <v>6132.3000000000011</v>
      </c>
      <c r="AA249">
        <v>12.6634880634568</v>
      </c>
      <c r="AB249" s="23" t="s">
        <v>51</v>
      </c>
    </row>
    <row r="250" spans="1:28" x14ac:dyDescent="0.25">
      <c r="A250">
        <v>5240</v>
      </c>
      <c r="B250">
        <v>23690</v>
      </c>
      <c r="C250" s="5">
        <v>42828</v>
      </c>
      <c r="F250" s="63"/>
      <c r="G250">
        <v>11.5</v>
      </c>
      <c r="H250">
        <v>4.8</v>
      </c>
      <c r="I250">
        <v>17.3</v>
      </c>
      <c r="J250">
        <f t="shared" si="34"/>
        <v>1940.1000000000001</v>
      </c>
      <c r="K250" s="35">
        <f t="shared" si="29"/>
        <v>72.8</v>
      </c>
      <c r="L250" s="12">
        <f>MIN(H245:H265)</f>
        <v>2.7</v>
      </c>
      <c r="M250">
        <v>0</v>
      </c>
      <c r="N250">
        <v>2.2999999999999998</v>
      </c>
      <c r="O250">
        <f t="shared" si="30"/>
        <v>-2.2999999999999998</v>
      </c>
      <c r="P250">
        <f t="shared" si="35"/>
        <v>132.80000000000004</v>
      </c>
      <c r="Q250">
        <v>224</v>
      </c>
      <c r="R250">
        <v>1.1499999999999999</v>
      </c>
      <c r="S250" s="9">
        <f t="shared" si="31"/>
        <v>2.6449999999999996</v>
      </c>
      <c r="T250" s="9">
        <f t="shared" si="32"/>
        <v>-2.6449999999999996</v>
      </c>
      <c r="U250" s="9">
        <f t="shared" si="36"/>
        <v>148.86081521739135</v>
      </c>
      <c r="V250" s="9">
        <f>MIN(U245:U265)</f>
        <v>117.1058152173914</v>
      </c>
      <c r="W250">
        <v>1594.4</v>
      </c>
      <c r="Y250">
        <f t="shared" si="33"/>
        <v>136492.70000000001</v>
      </c>
      <c r="Z250" s="35">
        <f t="shared" si="28"/>
        <v>7726.7000000000007</v>
      </c>
      <c r="AA250">
        <v>12.723421935030006</v>
      </c>
      <c r="AB250">
        <v>5</v>
      </c>
    </row>
    <row r="251" spans="1:28" x14ac:dyDescent="0.25">
      <c r="A251">
        <v>5240</v>
      </c>
      <c r="B251">
        <v>23690</v>
      </c>
      <c r="C251" s="5">
        <v>42829</v>
      </c>
      <c r="F251" s="63"/>
      <c r="G251">
        <v>9.6999999999999993</v>
      </c>
      <c r="H251">
        <v>5.0999999999999996</v>
      </c>
      <c r="I251">
        <v>15.1</v>
      </c>
      <c r="J251">
        <f t="shared" si="34"/>
        <v>1949.8000000000002</v>
      </c>
      <c r="K251" s="35">
        <f t="shared" si="29"/>
        <v>82.5</v>
      </c>
      <c r="L251" s="21" t="s">
        <v>40</v>
      </c>
      <c r="M251">
        <v>0.2</v>
      </c>
      <c r="N251">
        <v>1</v>
      </c>
      <c r="O251">
        <f t="shared" si="30"/>
        <v>-0.8</v>
      </c>
      <c r="P251">
        <f t="shared" si="35"/>
        <v>132.00000000000003</v>
      </c>
      <c r="Q251">
        <v>225</v>
      </c>
      <c r="R251">
        <v>1.1499999999999999</v>
      </c>
      <c r="S251" s="9">
        <f t="shared" si="31"/>
        <v>1.1499999999999999</v>
      </c>
      <c r="T251" s="9">
        <f t="shared" si="32"/>
        <v>-0.95</v>
      </c>
      <c r="U251" s="9">
        <f t="shared" si="36"/>
        <v>147.91081521739136</v>
      </c>
      <c r="V251" s="23" t="s">
        <v>47</v>
      </c>
      <c r="W251">
        <v>584.79999999999995</v>
      </c>
      <c r="Y251">
        <f t="shared" si="33"/>
        <v>137077.5</v>
      </c>
      <c r="Z251" s="35">
        <f t="shared" si="28"/>
        <v>8311.5</v>
      </c>
      <c r="AA251">
        <v>12.783253842124983</v>
      </c>
    </row>
    <row r="252" spans="1:28" x14ac:dyDescent="0.25">
      <c r="A252">
        <v>5240</v>
      </c>
      <c r="B252">
        <v>23690</v>
      </c>
      <c r="C252" s="5">
        <v>42830</v>
      </c>
      <c r="F252" s="63"/>
      <c r="G252">
        <v>10.199999999999999</v>
      </c>
      <c r="H252">
        <v>6.6</v>
      </c>
      <c r="I252">
        <v>13.9</v>
      </c>
      <c r="J252">
        <f t="shared" si="34"/>
        <v>1960.0000000000002</v>
      </c>
      <c r="K252" s="35">
        <f t="shared" si="29"/>
        <v>92.7</v>
      </c>
      <c r="L252" s="11">
        <f>MAX(I245:I265)</f>
        <v>22.4</v>
      </c>
      <c r="M252">
        <v>0</v>
      </c>
      <c r="N252">
        <v>2</v>
      </c>
      <c r="O252">
        <f t="shared" si="30"/>
        <v>-2</v>
      </c>
      <c r="P252">
        <f t="shared" si="35"/>
        <v>130.00000000000003</v>
      </c>
      <c r="Q252">
        <v>226</v>
      </c>
      <c r="R252">
        <v>1.1499999999999999</v>
      </c>
      <c r="S252" s="9">
        <f t="shared" si="31"/>
        <v>2.2999999999999998</v>
      </c>
      <c r="T252" s="9">
        <f t="shared" si="32"/>
        <v>-2.2999999999999998</v>
      </c>
      <c r="U252" s="9">
        <f t="shared" si="36"/>
        <v>145.61081521739135</v>
      </c>
      <c r="V252" s="9">
        <f>MAX(U245:U265)</f>
        <v>159.40081521739137</v>
      </c>
      <c r="W252">
        <v>1440.9</v>
      </c>
      <c r="Y252">
        <f t="shared" si="33"/>
        <v>138518.39999999999</v>
      </c>
      <c r="Z252" s="35">
        <f t="shared" si="28"/>
        <v>9752.4</v>
      </c>
      <c r="AA252">
        <v>12.842974460421489</v>
      </c>
    </row>
    <row r="253" spans="1:28" x14ac:dyDescent="0.25">
      <c r="A253">
        <v>5240</v>
      </c>
      <c r="B253">
        <v>23690</v>
      </c>
      <c r="C253" s="5">
        <v>42831</v>
      </c>
      <c r="F253" s="63"/>
      <c r="G253">
        <v>8.4</v>
      </c>
      <c r="H253">
        <v>3.8</v>
      </c>
      <c r="I253">
        <v>12.8</v>
      </c>
      <c r="J253">
        <f t="shared" si="34"/>
        <v>1968.4000000000003</v>
      </c>
      <c r="K253" s="35">
        <f t="shared" si="29"/>
        <v>101.10000000000001</v>
      </c>
      <c r="L253" s="21" t="s">
        <v>41</v>
      </c>
      <c r="M253">
        <v>0</v>
      </c>
      <c r="N253">
        <v>2.4</v>
      </c>
      <c r="O253">
        <f t="shared" si="30"/>
        <v>-2.4</v>
      </c>
      <c r="P253">
        <f t="shared" si="35"/>
        <v>127.60000000000002</v>
      </c>
      <c r="Q253">
        <v>227</v>
      </c>
      <c r="R253">
        <v>1.1499999999999999</v>
      </c>
      <c r="S253" s="9">
        <f t="shared" si="31"/>
        <v>2.76</v>
      </c>
      <c r="T253" s="9">
        <f t="shared" si="32"/>
        <v>-2.76</v>
      </c>
      <c r="U253" s="9">
        <f t="shared" si="36"/>
        <v>142.85081521739136</v>
      </c>
      <c r="V253" s="23" t="s">
        <v>48</v>
      </c>
      <c r="W253">
        <v>1700.2</v>
      </c>
      <c r="Y253">
        <f t="shared" si="33"/>
        <v>140218.6</v>
      </c>
      <c r="Z253" s="35">
        <f t="shared" si="28"/>
        <v>11452.6</v>
      </c>
      <c r="AA253">
        <v>12.902574268806264</v>
      </c>
    </row>
    <row r="254" spans="1:28" x14ac:dyDescent="0.25">
      <c r="A254">
        <v>5240</v>
      </c>
      <c r="B254">
        <v>23690</v>
      </c>
      <c r="C254" s="5">
        <v>42832</v>
      </c>
      <c r="F254" s="63"/>
      <c r="G254">
        <v>9.6999999999999993</v>
      </c>
      <c r="H254">
        <v>2.7</v>
      </c>
      <c r="I254">
        <v>15.5</v>
      </c>
      <c r="J254">
        <f t="shared" si="34"/>
        <v>1978.1000000000004</v>
      </c>
      <c r="K254" s="35">
        <f t="shared" si="29"/>
        <v>110.80000000000001</v>
      </c>
      <c r="L254" s="11">
        <v>0</v>
      </c>
      <c r="M254">
        <v>0</v>
      </c>
      <c r="N254">
        <v>2.7</v>
      </c>
      <c r="O254">
        <f t="shared" si="30"/>
        <v>-2.7</v>
      </c>
      <c r="P254">
        <f t="shared" si="35"/>
        <v>124.90000000000002</v>
      </c>
      <c r="Q254">
        <v>228</v>
      </c>
      <c r="R254">
        <v>1.1499999999999999</v>
      </c>
      <c r="S254" s="9">
        <f t="shared" si="31"/>
        <v>3.105</v>
      </c>
      <c r="T254" s="9">
        <f t="shared" si="32"/>
        <v>-3.105</v>
      </c>
      <c r="U254" s="9">
        <f t="shared" si="36"/>
        <v>139.74581521739137</v>
      </c>
      <c r="V254" s="9">
        <f>AVERAGE(U245:U265)</f>
        <v>136.84367236024849</v>
      </c>
      <c r="W254">
        <v>2099.8000000000002</v>
      </c>
      <c r="Y254">
        <f t="shared" si="33"/>
        <v>142318.39999999999</v>
      </c>
      <c r="Z254" s="35">
        <f t="shared" ref="Z254:Z317" si="37">Z253+W254</f>
        <v>13552.400000000001</v>
      </c>
      <c r="AA254">
        <v>12.962043534954976</v>
      </c>
    </row>
    <row r="255" spans="1:28" x14ac:dyDescent="0.25">
      <c r="A255">
        <v>5240</v>
      </c>
      <c r="B255">
        <v>23690</v>
      </c>
      <c r="C255" s="5">
        <v>42833</v>
      </c>
      <c r="F255" s="63"/>
      <c r="G255">
        <v>12</v>
      </c>
      <c r="H255">
        <v>3.4</v>
      </c>
      <c r="I255">
        <v>18.5</v>
      </c>
      <c r="J255">
        <f t="shared" si="34"/>
        <v>1990.1000000000004</v>
      </c>
      <c r="K255" s="35">
        <f t="shared" si="29"/>
        <v>122.80000000000001</v>
      </c>
      <c r="L255" s="21" t="s">
        <v>42</v>
      </c>
      <c r="M255">
        <v>0</v>
      </c>
      <c r="N255">
        <v>3</v>
      </c>
      <c r="O255">
        <f t="shared" si="30"/>
        <v>-3</v>
      </c>
      <c r="P255">
        <f t="shared" si="35"/>
        <v>121.90000000000002</v>
      </c>
      <c r="Q255">
        <v>229</v>
      </c>
      <c r="R255">
        <v>1.1499999999999999</v>
      </c>
      <c r="S255" s="9">
        <f t="shared" si="31"/>
        <v>3.4499999999999997</v>
      </c>
      <c r="T255" s="9">
        <f t="shared" si="32"/>
        <v>-3.4499999999999997</v>
      </c>
      <c r="U255" s="9">
        <f t="shared" si="36"/>
        <v>136.29581521739138</v>
      </c>
      <c r="W255">
        <v>2245</v>
      </c>
      <c r="Y255">
        <f t="shared" si="33"/>
        <v>144563.4</v>
      </c>
      <c r="Z255" s="35">
        <f t="shared" si="37"/>
        <v>15797.400000000001</v>
      </c>
      <c r="AA255">
        <v>13.021372301097525</v>
      </c>
    </row>
    <row r="256" spans="1:28" x14ac:dyDescent="0.25">
      <c r="A256">
        <v>5240</v>
      </c>
      <c r="B256">
        <v>23690</v>
      </c>
      <c r="C256" s="5">
        <v>42834</v>
      </c>
      <c r="F256" s="63"/>
      <c r="G256">
        <v>15</v>
      </c>
      <c r="H256">
        <v>5.4</v>
      </c>
      <c r="I256">
        <v>22.4</v>
      </c>
      <c r="J256">
        <f t="shared" si="34"/>
        <v>2005.1000000000004</v>
      </c>
      <c r="K256" s="35">
        <f t="shared" ref="K256:K319" si="38">K255+G256</f>
        <v>137.80000000000001</v>
      </c>
      <c r="L256" s="11">
        <v>8</v>
      </c>
      <c r="M256">
        <v>0</v>
      </c>
      <c r="N256">
        <v>3.7</v>
      </c>
      <c r="O256">
        <f t="shared" si="30"/>
        <v>-3.7</v>
      </c>
      <c r="P256">
        <f t="shared" si="35"/>
        <v>118.20000000000002</v>
      </c>
      <c r="Q256">
        <v>230</v>
      </c>
      <c r="R256">
        <v>1.1499999999999999</v>
      </c>
      <c r="S256" s="9">
        <f t="shared" si="31"/>
        <v>4.2549999999999999</v>
      </c>
      <c r="T256" s="9">
        <f t="shared" si="32"/>
        <v>-4.2549999999999999</v>
      </c>
      <c r="U256" s="9">
        <f t="shared" si="36"/>
        <v>132.04081521739138</v>
      </c>
      <c r="V256" s="32">
        <f>(V254*100)/218.9</f>
        <v>62.514240456943121</v>
      </c>
      <c r="W256">
        <v>2283</v>
      </c>
      <c r="Y256">
        <f t="shared" si="33"/>
        <v>146846.39999999999</v>
      </c>
      <c r="Z256" s="35">
        <f t="shared" si="37"/>
        <v>18080.400000000001</v>
      </c>
      <c r="AA256">
        <v>13.080550369988162</v>
      </c>
    </row>
    <row r="257" spans="1:28" x14ac:dyDescent="0.25">
      <c r="A257">
        <v>5240</v>
      </c>
      <c r="B257">
        <v>23690</v>
      </c>
      <c r="C257" s="5">
        <v>42835</v>
      </c>
      <c r="F257" s="63"/>
      <c r="G257">
        <v>11</v>
      </c>
      <c r="H257">
        <v>9.4</v>
      </c>
      <c r="I257">
        <v>14.3</v>
      </c>
      <c r="J257">
        <f t="shared" si="34"/>
        <v>2016.1000000000004</v>
      </c>
      <c r="K257" s="35">
        <f t="shared" si="38"/>
        <v>148.80000000000001</v>
      </c>
      <c r="L257" s="21" t="s">
        <v>43</v>
      </c>
      <c r="M257">
        <v>0</v>
      </c>
      <c r="N257">
        <v>1.3</v>
      </c>
      <c r="O257">
        <f t="shared" si="30"/>
        <v>-1.3</v>
      </c>
      <c r="P257">
        <f t="shared" si="35"/>
        <v>116.90000000000002</v>
      </c>
      <c r="Q257">
        <v>231</v>
      </c>
      <c r="R257">
        <v>1.1499999999999999</v>
      </c>
      <c r="S257" s="9">
        <f t="shared" si="31"/>
        <v>1.4949999999999999</v>
      </c>
      <c r="T257" s="9">
        <f t="shared" si="32"/>
        <v>-1.4949999999999999</v>
      </c>
      <c r="U257" s="9">
        <f t="shared" si="36"/>
        <v>130.54581521739138</v>
      </c>
      <c r="W257">
        <v>629.70000000000005</v>
      </c>
      <c r="Y257">
        <f t="shared" si="33"/>
        <v>147476.1</v>
      </c>
      <c r="Z257" s="35">
        <f t="shared" si="37"/>
        <v>18710.100000000002</v>
      </c>
      <c r="AA257">
        <v>13.13956729110355</v>
      </c>
    </row>
    <row r="258" spans="1:28" x14ac:dyDescent="0.25">
      <c r="A258">
        <v>5240</v>
      </c>
      <c r="B258">
        <v>23690</v>
      </c>
      <c r="C258" s="5">
        <v>42836</v>
      </c>
      <c r="F258" s="63"/>
      <c r="G258">
        <v>9.3000000000000007</v>
      </c>
      <c r="H258">
        <v>4</v>
      </c>
      <c r="I258">
        <v>14.2</v>
      </c>
      <c r="J258">
        <f t="shared" si="34"/>
        <v>2025.4000000000003</v>
      </c>
      <c r="K258" s="35">
        <f t="shared" si="38"/>
        <v>158.10000000000002</v>
      </c>
      <c r="L258" s="22">
        <v>0</v>
      </c>
      <c r="M258">
        <v>0</v>
      </c>
      <c r="N258">
        <v>2.5</v>
      </c>
      <c r="O258">
        <f t="shared" si="30"/>
        <v>-2.5</v>
      </c>
      <c r="P258">
        <f t="shared" si="35"/>
        <v>114.40000000000002</v>
      </c>
      <c r="Q258">
        <v>232</v>
      </c>
      <c r="R258">
        <v>1.1499999999999999</v>
      </c>
      <c r="S258" s="9">
        <f t="shared" si="31"/>
        <v>2.875</v>
      </c>
      <c r="T258" s="9">
        <f t="shared" si="32"/>
        <v>-2.875</v>
      </c>
      <c r="U258" s="9">
        <f t="shared" si="36"/>
        <v>127.67081521739138</v>
      </c>
      <c r="W258">
        <v>1801.5</v>
      </c>
      <c r="Y258">
        <f t="shared" si="33"/>
        <v>149277.6</v>
      </c>
      <c r="Z258" s="35">
        <f t="shared" si="37"/>
        <v>20511.600000000002</v>
      </c>
      <c r="AA258">
        <v>13.19841234709374</v>
      </c>
    </row>
    <row r="259" spans="1:28" x14ac:dyDescent="0.25">
      <c r="A259">
        <v>5240</v>
      </c>
      <c r="B259">
        <v>23690</v>
      </c>
      <c r="C259" s="5">
        <v>42837</v>
      </c>
      <c r="F259" s="63"/>
      <c r="G259">
        <v>10</v>
      </c>
      <c r="H259">
        <v>2.7</v>
      </c>
      <c r="I259">
        <v>15.9</v>
      </c>
      <c r="J259">
        <f t="shared" si="34"/>
        <v>2035.4000000000003</v>
      </c>
      <c r="K259" s="35">
        <f t="shared" si="38"/>
        <v>168.10000000000002</v>
      </c>
      <c r="M259">
        <v>0</v>
      </c>
      <c r="N259">
        <v>2.6</v>
      </c>
      <c r="O259">
        <f t="shared" si="30"/>
        <v>-2.6</v>
      </c>
      <c r="P259">
        <f t="shared" si="35"/>
        <v>111.80000000000003</v>
      </c>
      <c r="Q259">
        <v>233</v>
      </c>
      <c r="R259">
        <v>1.1499999999999999</v>
      </c>
      <c r="S259" s="9">
        <f t="shared" si="31"/>
        <v>2.9899999999999998</v>
      </c>
      <c r="T259" s="9">
        <f t="shared" si="32"/>
        <v>-2.9899999999999998</v>
      </c>
      <c r="U259" s="9">
        <f t="shared" si="36"/>
        <v>124.68081521739138</v>
      </c>
      <c r="W259">
        <v>2007.1</v>
      </c>
      <c r="Y259">
        <f t="shared" si="33"/>
        <v>151284.70000000001</v>
      </c>
      <c r="Z259" s="35">
        <f t="shared" si="37"/>
        <v>22518.7</v>
      </c>
      <c r="AA259">
        <v>13.257074540512974</v>
      </c>
    </row>
    <row r="260" spans="1:28" x14ac:dyDescent="0.25">
      <c r="A260">
        <v>5240</v>
      </c>
      <c r="B260">
        <v>23690</v>
      </c>
      <c r="C260" s="5">
        <v>42838</v>
      </c>
      <c r="F260" s="63"/>
      <c r="G260">
        <v>10.3</v>
      </c>
      <c r="H260">
        <v>5.5</v>
      </c>
      <c r="I260">
        <v>13.8</v>
      </c>
      <c r="J260">
        <f t="shared" si="34"/>
        <v>2045.7000000000003</v>
      </c>
      <c r="K260" s="35">
        <f t="shared" si="38"/>
        <v>178.40000000000003</v>
      </c>
      <c r="M260">
        <v>0</v>
      </c>
      <c r="N260">
        <v>1.6</v>
      </c>
      <c r="O260">
        <f t="shared" si="30"/>
        <v>-1.6</v>
      </c>
      <c r="P260">
        <f t="shared" si="35"/>
        <v>110.20000000000003</v>
      </c>
      <c r="Q260">
        <v>234</v>
      </c>
      <c r="R260">
        <v>1.1499999999999999</v>
      </c>
      <c r="S260" s="9">
        <f t="shared" si="31"/>
        <v>1.8399999999999999</v>
      </c>
      <c r="T260" s="9">
        <f t="shared" si="32"/>
        <v>-1.8399999999999999</v>
      </c>
      <c r="U260" s="9">
        <f t="shared" si="36"/>
        <v>122.84081521739138</v>
      </c>
      <c r="V260" s="32"/>
      <c r="W260">
        <v>1164.3</v>
      </c>
      <c r="Y260">
        <f t="shared" si="33"/>
        <v>152449</v>
      </c>
      <c r="Z260" s="35">
        <f t="shared" si="37"/>
        <v>23683</v>
      </c>
      <c r="AA260">
        <v>13.315542580859191</v>
      </c>
    </row>
    <row r="261" spans="1:28" x14ac:dyDescent="0.25">
      <c r="A261">
        <v>5240</v>
      </c>
      <c r="B261">
        <v>23690</v>
      </c>
      <c r="C261" s="5">
        <v>42839</v>
      </c>
      <c r="F261" s="63"/>
      <c r="G261">
        <v>11</v>
      </c>
      <c r="H261">
        <v>7.9</v>
      </c>
      <c r="I261">
        <v>15</v>
      </c>
      <c r="J261">
        <f t="shared" si="34"/>
        <v>2056.7000000000003</v>
      </c>
      <c r="K261" s="35">
        <f t="shared" si="38"/>
        <v>189.40000000000003</v>
      </c>
      <c r="M261">
        <v>0</v>
      </c>
      <c r="N261">
        <v>1.5</v>
      </c>
      <c r="O261">
        <f t="shared" si="30"/>
        <v>-1.5</v>
      </c>
      <c r="P261">
        <f t="shared" si="35"/>
        <v>108.70000000000003</v>
      </c>
      <c r="Q261">
        <v>235</v>
      </c>
      <c r="R261">
        <v>1.1499999999999999</v>
      </c>
      <c r="S261" s="9">
        <f t="shared" si="31"/>
        <v>1.7249999999999999</v>
      </c>
      <c r="T261" s="9">
        <f t="shared" si="32"/>
        <v>-1.7249999999999999</v>
      </c>
      <c r="U261" s="9">
        <f t="shared" si="36"/>
        <v>121.11581521739139</v>
      </c>
      <c r="W261">
        <v>861.1</v>
      </c>
      <c r="Y261">
        <f t="shared" si="33"/>
        <v>153310.1</v>
      </c>
      <c r="Z261" s="35">
        <f t="shared" si="37"/>
        <v>24544.1</v>
      </c>
      <c r="AA261">
        <v>13.37380487195327</v>
      </c>
    </row>
    <row r="262" spans="1:28" x14ac:dyDescent="0.25">
      <c r="A262">
        <v>5240</v>
      </c>
      <c r="B262">
        <v>23690</v>
      </c>
      <c r="C262" s="5">
        <v>42840</v>
      </c>
      <c r="F262" s="63"/>
      <c r="G262">
        <v>9.6</v>
      </c>
      <c r="H262">
        <v>6.6</v>
      </c>
      <c r="I262">
        <v>11.9</v>
      </c>
      <c r="J262">
        <f t="shared" si="34"/>
        <v>2066.3000000000002</v>
      </c>
      <c r="K262" s="35">
        <f t="shared" si="38"/>
        <v>199.00000000000003</v>
      </c>
      <c r="M262">
        <v>2.1</v>
      </c>
      <c r="N262">
        <v>0.5</v>
      </c>
      <c r="O262">
        <f t="shared" si="30"/>
        <v>1.6</v>
      </c>
      <c r="P262">
        <f t="shared" si="35"/>
        <v>110.30000000000003</v>
      </c>
      <c r="Q262">
        <v>236</v>
      </c>
      <c r="R262">
        <v>1.1499999999999999</v>
      </c>
      <c r="S262" s="9">
        <f t="shared" si="31"/>
        <v>0.57499999999999996</v>
      </c>
      <c r="T262" s="9">
        <f t="shared" si="32"/>
        <v>1.5250000000000001</v>
      </c>
      <c r="U262" s="9">
        <f t="shared" si="36"/>
        <v>122.64081521739139</v>
      </c>
      <c r="W262">
        <v>372.1</v>
      </c>
      <c r="Y262">
        <f t="shared" si="33"/>
        <v>153682.20000000001</v>
      </c>
      <c r="Z262" s="35">
        <f t="shared" si="37"/>
        <v>24916.199999999997</v>
      </c>
      <c r="AA262">
        <v>13.431849499691257</v>
      </c>
    </row>
    <row r="263" spans="1:28" x14ac:dyDescent="0.25">
      <c r="A263">
        <v>5240</v>
      </c>
      <c r="B263">
        <v>23690</v>
      </c>
      <c r="C263" s="5">
        <v>42841</v>
      </c>
      <c r="F263" s="63"/>
      <c r="G263">
        <v>9.3000000000000007</v>
      </c>
      <c r="H263">
        <v>5.0999999999999996</v>
      </c>
      <c r="I263">
        <v>13.1</v>
      </c>
      <c r="J263">
        <f t="shared" si="34"/>
        <v>2075.6000000000004</v>
      </c>
      <c r="K263" s="35">
        <f t="shared" si="38"/>
        <v>208.30000000000004</v>
      </c>
      <c r="M263">
        <v>0</v>
      </c>
      <c r="N263">
        <v>2.2999999999999998</v>
      </c>
      <c r="O263">
        <f t="shared" si="30"/>
        <v>-2.2999999999999998</v>
      </c>
      <c r="P263">
        <f t="shared" si="35"/>
        <v>108.00000000000003</v>
      </c>
      <c r="Q263">
        <v>237</v>
      </c>
      <c r="R263">
        <v>1.1499999999999999</v>
      </c>
      <c r="S263" s="9">
        <f t="shared" si="31"/>
        <v>2.6449999999999996</v>
      </c>
      <c r="T263" s="9">
        <f t="shared" si="32"/>
        <v>-2.6449999999999996</v>
      </c>
      <c r="U263" s="9">
        <f t="shared" si="36"/>
        <v>119.9958152173914</v>
      </c>
      <c r="W263">
        <v>1717.7</v>
      </c>
      <c r="Y263">
        <f t="shared" si="33"/>
        <v>155399.90000000002</v>
      </c>
      <c r="Z263" s="35">
        <f t="shared" si="37"/>
        <v>26633.899999999998</v>
      </c>
      <c r="AA263">
        <v>13.489664220205036</v>
      </c>
    </row>
    <row r="264" spans="1:28" x14ac:dyDescent="0.25">
      <c r="A264">
        <v>5240</v>
      </c>
      <c r="B264">
        <v>23690</v>
      </c>
      <c r="C264" s="5">
        <v>42842</v>
      </c>
      <c r="F264" s="63"/>
      <c r="G264">
        <v>8.9</v>
      </c>
      <c r="H264">
        <v>5.6</v>
      </c>
      <c r="I264">
        <v>12.7</v>
      </c>
      <c r="J264">
        <f t="shared" si="34"/>
        <v>2084.5000000000005</v>
      </c>
      <c r="K264" s="35">
        <f t="shared" si="38"/>
        <v>217.20000000000005</v>
      </c>
      <c r="M264">
        <v>0.1</v>
      </c>
      <c r="N264">
        <v>1.3</v>
      </c>
      <c r="O264">
        <f t="shared" si="30"/>
        <v>-1.2</v>
      </c>
      <c r="P264">
        <f t="shared" si="35"/>
        <v>106.80000000000003</v>
      </c>
      <c r="Q264">
        <v>238</v>
      </c>
      <c r="R264">
        <v>1.1499999999999999</v>
      </c>
      <c r="S264" s="9">
        <f t="shared" si="31"/>
        <v>1.4949999999999999</v>
      </c>
      <c r="T264" s="9">
        <f t="shared" si="32"/>
        <v>-1.3949999999999998</v>
      </c>
      <c r="U264" s="9">
        <f t="shared" si="36"/>
        <v>118.6008152173914</v>
      </c>
      <c r="W264">
        <v>1035.3</v>
      </c>
      <c r="Y264">
        <f t="shared" si="33"/>
        <v>156435.20000000001</v>
      </c>
      <c r="Z264" s="35">
        <f t="shared" si="37"/>
        <v>27669.199999999997</v>
      </c>
      <c r="AA264">
        <v>13.547236448469361</v>
      </c>
    </row>
    <row r="265" spans="1:28" s="14" customFormat="1" ht="15.75" thickBot="1" x14ac:dyDescent="0.3">
      <c r="A265" s="14">
        <v>5240</v>
      </c>
      <c r="B265" s="14">
        <v>23690</v>
      </c>
      <c r="C265" s="15">
        <v>42843</v>
      </c>
      <c r="D265" s="14" t="s">
        <v>36</v>
      </c>
      <c r="F265" s="64"/>
      <c r="G265" s="14">
        <v>5.9</v>
      </c>
      <c r="H265" s="14">
        <v>4</v>
      </c>
      <c r="I265" s="14">
        <v>9.6999999999999993</v>
      </c>
      <c r="J265" s="14">
        <f t="shared" si="34"/>
        <v>2090.4000000000005</v>
      </c>
      <c r="K265" s="14">
        <f t="shared" si="38"/>
        <v>223.10000000000005</v>
      </c>
      <c r="M265" s="14">
        <v>0</v>
      </c>
      <c r="N265" s="14">
        <v>1.3</v>
      </c>
      <c r="O265" s="14">
        <f t="shared" si="30"/>
        <v>-1.3</v>
      </c>
      <c r="P265" s="14">
        <f t="shared" si="35"/>
        <v>105.50000000000003</v>
      </c>
      <c r="Q265" s="14">
        <v>239</v>
      </c>
      <c r="R265" s="14">
        <v>1.1499999999999999</v>
      </c>
      <c r="S265" s="16">
        <f t="shared" si="31"/>
        <v>1.4949999999999999</v>
      </c>
      <c r="T265" s="16">
        <f t="shared" si="32"/>
        <v>-1.4949999999999999</v>
      </c>
      <c r="U265" s="16">
        <f t="shared" si="36"/>
        <v>117.1058152173914</v>
      </c>
      <c r="W265" s="14">
        <v>1019.6</v>
      </c>
      <c r="Y265" s="14">
        <f t="shared" si="33"/>
        <v>157454.80000000002</v>
      </c>
      <c r="Z265" s="14">
        <f t="shared" si="37"/>
        <v>28688.799999999996</v>
      </c>
      <c r="AA265" s="14">
        <v>13.604553247395502</v>
      </c>
    </row>
    <row r="266" spans="1:28" s="35" customFormat="1" x14ac:dyDescent="0.25">
      <c r="A266" s="35">
        <v>5240</v>
      </c>
      <c r="B266" s="35">
        <v>23690</v>
      </c>
      <c r="C266" s="36">
        <v>42844</v>
      </c>
      <c r="F266" s="42" t="s">
        <v>56</v>
      </c>
      <c r="G266" s="35">
        <v>5.5</v>
      </c>
      <c r="H266" s="35">
        <v>1.2</v>
      </c>
      <c r="I266" s="35">
        <v>11</v>
      </c>
      <c r="J266" s="35">
        <f t="shared" si="34"/>
        <v>2095.9000000000005</v>
      </c>
      <c r="K266" s="35">
        <f>G266</f>
        <v>5.5</v>
      </c>
      <c r="L266" s="24" t="s">
        <v>37</v>
      </c>
      <c r="M266" s="35">
        <v>0</v>
      </c>
      <c r="N266" s="35">
        <v>2.8</v>
      </c>
      <c r="O266" s="35">
        <f t="shared" si="30"/>
        <v>-2.8</v>
      </c>
      <c r="P266" s="35">
        <f t="shared" si="35"/>
        <v>102.70000000000003</v>
      </c>
      <c r="Q266" s="35">
        <v>240</v>
      </c>
      <c r="R266" s="35">
        <v>1.1499999999999999</v>
      </c>
      <c r="S266" s="37">
        <f t="shared" si="31"/>
        <v>3.2199999999999998</v>
      </c>
      <c r="T266" s="37">
        <f t="shared" si="32"/>
        <v>-3.2199999999999998</v>
      </c>
      <c r="U266" s="9">
        <f t="shared" si="36"/>
        <v>113.8858152173914</v>
      </c>
      <c r="V266" s="25" t="s">
        <v>44</v>
      </c>
      <c r="W266" s="35">
        <v>2022.4</v>
      </c>
      <c r="Y266" s="35">
        <f t="shared" si="33"/>
        <v>159477.20000000001</v>
      </c>
      <c r="Z266" s="35">
        <f>W266</f>
        <v>2022.4</v>
      </c>
      <c r="AA266" s="35">
        <v>13.661601317454268</v>
      </c>
      <c r="AB266" s="25" t="s">
        <v>49</v>
      </c>
    </row>
    <row r="267" spans="1:28" ht="15" customHeight="1" x14ac:dyDescent="0.25">
      <c r="A267">
        <v>5240</v>
      </c>
      <c r="B267">
        <v>23690</v>
      </c>
      <c r="C267" s="5">
        <v>42845</v>
      </c>
      <c r="F267" s="43"/>
      <c r="G267">
        <v>6</v>
      </c>
      <c r="H267">
        <v>-0.1</v>
      </c>
      <c r="I267">
        <v>11.4</v>
      </c>
      <c r="J267">
        <f t="shared" si="34"/>
        <v>2101.9000000000005</v>
      </c>
      <c r="K267" s="35">
        <f t="shared" si="38"/>
        <v>11.5</v>
      </c>
      <c r="L267" s="11">
        <v>313.10000000000002</v>
      </c>
      <c r="M267">
        <v>0</v>
      </c>
      <c r="N267">
        <v>2.9</v>
      </c>
      <c r="O267">
        <f t="shared" si="30"/>
        <v>-2.9</v>
      </c>
      <c r="P267">
        <f t="shared" si="35"/>
        <v>99.800000000000026</v>
      </c>
      <c r="Q267">
        <v>241</v>
      </c>
      <c r="R267">
        <v>1.1499999999999999</v>
      </c>
      <c r="S267" s="9">
        <f t="shared" si="31"/>
        <v>3.3349999999999995</v>
      </c>
      <c r="T267" s="9">
        <f t="shared" si="32"/>
        <v>-3.3349999999999995</v>
      </c>
      <c r="U267" s="9">
        <f t="shared" si="36"/>
        <v>110.5508152173914</v>
      </c>
      <c r="V267">
        <v>0</v>
      </c>
      <c r="W267">
        <v>2287.5</v>
      </c>
      <c r="Y267">
        <f t="shared" si="33"/>
        <v>161764.70000000001</v>
      </c>
      <c r="Z267" s="35">
        <f t="shared" si="37"/>
        <v>4309.8999999999996</v>
      </c>
      <c r="AA267">
        <v>13.718366986873709</v>
      </c>
      <c r="AB267">
        <v>45491.6</v>
      </c>
    </row>
    <row r="268" spans="1:28" s="35" customFormat="1" x14ac:dyDescent="0.25">
      <c r="A268" s="35">
        <v>5240</v>
      </c>
      <c r="B268" s="35">
        <v>23690</v>
      </c>
      <c r="C268" s="36">
        <v>42846</v>
      </c>
      <c r="F268" s="43"/>
      <c r="G268" s="35">
        <v>9.3000000000000007</v>
      </c>
      <c r="H268" s="35">
        <v>1.3</v>
      </c>
      <c r="I268" s="35">
        <v>16.100000000000001</v>
      </c>
      <c r="J268" s="35">
        <f t="shared" si="34"/>
        <v>2111.2000000000007</v>
      </c>
      <c r="K268" s="35">
        <f t="shared" si="38"/>
        <v>20.8</v>
      </c>
      <c r="L268" s="24" t="s">
        <v>38</v>
      </c>
      <c r="M268" s="35">
        <v>0</v>
      </c>
      <c r="N268" s="35">
        <v>3.6</v>
      </c>
      <c r="O268" s="35">
        <f t="shared" si="30"/>
        <v>-3.6</v>
      </c>
      <c r="P268" s="35">
        <f t="shared" si="35"/>
        <v>96.200000000000031</v>
      </c>
      <c r="Q268" s="35">
        <v>242</v>
      </c>
      <c r="R268" s="35">
        <v>1.1499999999999999</v>
      </c>
      <c r="S268" s="37">
        <f t="shared" si="31"/>
        <v>4.1399999999999997</v>
      </c>
      <c r="T268" s="37">
        <f t="shared" si="32"/>
        <v>-4.1399999999999997</v>
      </c>
      <c r="U268" s="9">
        <f t="shared" si="36"/>
        <v>106.4108152173914</v>
      </c>
      <c r="V268" s="25" t="s">
        <v>45</v>
      </c>
      <c r="W268" s="35">
        <v>2591.8000000000002</v>
      </c>
      <c r="Y268" s="35">
        <f t="shared" si="33"/>
        <v>164356.5</v>
      </c>
      <c r="Z268" s="35">
        <f t="shared" si="37"/>
        <v>6901.7</v>
      </c>
      <c r="AA268" s="35">
        <v>13.774836202459262</v>
      </c>
      <c r="AB268" s="25" t="s">
        <v>50</v>
      </c>
    </row>
    <row r="269" spans="1:28" ht="15" customHeight="1" x14ac:dyDescent="0.25">
      <c r="A269">
        <v>5240</v>
      </c>
      <c r="B269">
        <v>23690</v>
      </c>
      <c r="C269" s="5">
        <v>42847</v>
      </c>
      <c r="F269" s="43"/>
      <c r="G269">
        <v>9.9</v>
      </c>
      <c r="H269">
        <v>5.3</v>
      </c>
      <c r="I269">
        <v>15.1</v>
      </c>
      <c r="J269">
        <f t="shared" si="34"/>
        <v>2121.1000000000008</v>
      </c>
      <c r="K269" s="35">
        <f t="shared" si="38"/>
        <v>30.700000000000003</v>
      </c>
      <c r="L269" s="41">
        <f>AVERAGE(G266:G294)</f>
        <v>10.796551724137929</v>
      </c>
      <c r="M269">
        <v>0</v>
      </c>
      <c r="N269">
        <v>2.2999999999999998</v>
      </c>
      <c r="O269">
        <f t="shared" si="30"/>
        <v>-2.2999999999999998</v>
      </c>
      <c r="P269">
        <f t="shared" si="35"/>
        <v>93.900000000000034</v>
      </c>
      <c r="Q269">
        <v>243</v>
      </c>
      <c r="R269">
        <v>1.1499999999999999</v>
      </c>
      <c r="S269" s="9">
        <f t="shared" si="31"/>
        <v>2.6449999999999996</v>
      </c>
      <c r="T269" s="9">
        <f t="shared" si="32"/>
        <v>-2.6449999999999996</v>
      </c>
      <c r="U269" s="9">
        <f t="shared" si="36"/>
        <v>103.76581521739141</v>
      </c>
      <c r="V269">
        <v>0</v>
      </c>
      <c r="W269">
        <v>1511.2</v>
      </c>
      <c r="Y269">
        <f t="shared" si="33"/>
        <v>165867.70000000001</v>
      </c>
      <c r="Z269" s="35">
        <f t="shared" si="37"/>
        <v>8412.9</v>
      </c>
      <c r="AA269">
        <v>13.830994521086751</v>
      </c>
      <c r="AB269">
        <f>(AB267/100)/L267</f>
        <v>1.452941552219738</v>
      </c>
    </row>
    <row r="270" spans="1:28" x14ac:dyDescent="0.25">
      <c r="A270">
        <v>5240</v>
      </c>
      <c r="B270">
        <v>23690</v>
      </c>
      <c r="C270" s="5">
        <v>42848</v>
      </c>
      <c r="F270" s="43"/>
      <c r="G270">
        <v>8.6999999999999993</v>
      </c>
      <c r="H270">
        <v>3.9</v>
      </c>
      <c r="I270">
        <v>13.6</v>
      </c>
      <c r="J270">
        <f t="shared" si="34"/>
        <v>2129.8000000000006</v>
      </c>
      <c r="K270" s="35">
        <f t="shared" si="38"/>
        <v>39.400000000000006</v>
      </c>
      <c r="L270" s="24" t="s">
        <v>39</v>
      </c>
      <c r="M270">
        <v>0</v>
      </c>
      <c r="N270">
        <v>2.8</v>
      </c>
      <c r="O270">
        <f t="shared" si="30"/>
        <v>-2.8</v>
      </c>
      <c r="P270">
        <f t="shared" si="35"/>
        <v>91.100000000000037</v>
      </c>
      <c r="Q270">
        <v>244</v>
      </c>
      <c r="R270">
        <v>1.1499999999999999</v>
      </c>
      <c r="S270" s="9">
        <f t="shared" si="31"/>
        <v>3.2199999999999998</v>
      </c>
      <c r="T270" s="9">
        <f t="shared" si="32"/>
        <v>-3.2199999999999998</v>
      </c>
      <c r="U270" s="9">
        <f t="shared" si="36"/>
        <v>100.54581521739141</v>
      </c>
      <c r="V270" s="25" t="s">
        <v>46</v>
      </c>
      <c r="W270">
        <v>1953.8</v>
      </c>
      <c r="Y270">
        <f t="shared" si="33"/>
        <v>167821.5</v>
      </c>
      <c r="Z270" s="35">
        <f t="shared" si="37"/>
        <v>10366.699999999999</v>
      </c>
      <c r="AA270">
        <v>13.886827101921106</v>
      </c>
      <c r="AB270" s="25" t="s">
        <v>51</v>
      </c>
    </row>
    <row r="271" spans="1:28" x14ac:dyDescent="0.25">
      <c r="A271">
        <v>5240</v>
      </c>
      <c r="B271">
        <v>23690</v>
      </c>
      <c r="C271" s="5">
        <v>42849</v>
      </c>
      <c r="F271" s="43"/>
      <c r="G271">
        <v>9.3000000000000007</v>
      </c>
      <c r="H271">
        <v>2.5</v>
      </c>
      <c r="I271">
        <v>14.9</v>
      </c>
      <c r="J271">
        <f t="shared" si="34"/>
        <v>2139.1000000000008</v>
      </c>
      <c r="K271" s="35">
        <f t="shared" si="38"/>
        <v>48.7</v>
      </c>
      <c r="L271" s="12">
        <f>MIN(H266:H294)</f>
        <v>-0.1</v>
      </c>
      <c r="M271">
        <v>0</v>
      </c>
      <c r="N271">
        <v>2.7</v>
      </c>
      <c r="O271">
        <f t="shared" si="30"/>
        <v>-2.7</v>
      </c>
      <c r="P271">
        <f t="shared" si="35"/>
        <v>88.400000000000034</v>
      </c>
      <c r="Q271">
        <v>245</v>
      </c>
      <c r="R271">
        <v>1.1499999999999999</v>
      </c>
      <c r="S271" s="9">
        <f t="shared" si="31"/>
        <v>3.105</v>
      </c>
      <c r="T271" s="9">
        <f t="shared" si="32"/>
        <v>-3.105</v>
      </c>
      <c r="U271" s="9">
        <f t="shared" si="36"/>
        <v>97.440815217391403</v>
      </c>
      <c r="V271" s="9">
        <f>MIN(U266:U294)</f>
        <v>89.170815217391407</v>
      </c>
      <c r="W271">
        <v>2080.6999999999998</v>
      </c>
      <c r="Y271">
        <f t="shared" si="33"/>
        <v>169902.2</v>
      </c>
      <c r="Z271" s="35">
        <f t="shared" si="37"/>
        <v>12447.399999999998</v>
      </c>
      <c r="AA271">
        <v>13.942318699416248</v>
      </c>
      <c r="AB271">
        <v>4</v>
      </c>
    </row>
    <row r="272" spans="1:28" x14ac:dyDescent="0.25">
      <c r="A272">
        <v>5240</v>
      </c>
      <c r="B272">
        <v>23690</v>
      </c>
      <c r="C272" s="5">
        <v>42850</v>
      </c>
      <c r="F272" s="43"/>
      <c r="G272">
        <v>6.7</v>
      </c>
      <c r="H272">
        <v>5.8</v>
      </c>
      <c r="I272">
        <v>8.3000000000000007</v>
      </c>
      <c r="J272">
        <f t="shared" si="34"/>
        <v>2145.8000000000006</v>
      </c>
      <c r="K272" s="35">
        <f t="shared" si="38"/>
        <v>55.400000000000006</v>
      </c>
      <c r="L272" s="24" t="s">
        <v>40</v>
      </c>
      <c r="M272">
        <v>0.1</v>
      </c>
      <c r="N272">
        <v>2.1</v>
      </c>
      <c r="O272">
        <f t="shared" si="30"/>
        <v>-2</v>
      </c>
      <c r="P272">
        <f t="shared" si="35"/>
        <v>86.400000000000034</v>
      </c>
      <c r="Q272">
        <v>246</v>
      </c>
      <c r="R272">
        <v>1.1499999999999999</v>
      </c>
      <c r="S272" s="9">
        <f t="shared" si="31"/>
        <v>2.415</v>
      </c>
      <c r="T272" s="9">
        <f t="shared" si="32"/>
        <v>-2.3149999999999999</v>
      </c>
      <c r="U272" s="9">
        <f t="shared" si="36"/>
        <v>95.125815217391406</v>
      </c>
      <c r="V272" s="25" t="s">
        <v>47</v>
      </c>
      <c r="W272">
        <v>1463.7</v>
      </c>
      <c r="Y272">
        <f t="shared" si="33"/>
        <v>171365.90000000002</v>
      </c>
      <c r="Z272" s="35">
        <f t="shared" si="37"/>
        <v>13911.099999999999</v>
      </c>
      <c r="AA272">
        <v>13.997453657153988</v>
      </c>
    </row>
    <row r="273" spans="1:27" x14ac:dyDescent="0.25">
      <c r="A273">
        <v>5240</v>
      </c>
      <c r="B273">
        <v>23690</v>
      </c>
      <c r="C273" s="5">
        <v>42851</v>
      </c>
      <c r="F273" s="43"/>
      <c r="G273">
        <v>4.5</v>
      </c>
      <c r="H273">
        <v>0.9</v>
      </c>
      <c r="I273">
        <v>9</v>
      </c>
      <c r="J273">
        <f t="shared" si="34"/>
        <v>2150.3000000000006</v>
      </c>
      <c r="K273" s="35">
        <f t="shared" si="38"/>
        <v>59.900000000000006</v>
      </c>
      <c r="L273" s="11">
        <f>MAX(I266:I294)</f>
        <v>26.5</v>
      </c>
      <c r="M273">
        <v>0.5</v>
      </c>
      <c r="N273">
        <v>2.4</v>
      </c>
      <c r="O273">
        <f t="shared" si="30"/>
        <v>-1.9</v>
      </c>
      <c r="P273">
        <f t="shared" si="35"/>
        <v>84.500000000000028</v>
      </c>
      <c r="Q273">
        <v>247</v>
      </c>
      <c r="R273">
        <v>1.1499999999999999</v>
      </c>
      <c r="S273" s="9">
        <f t="shared" si="31"/>
        <v>2.76</v>
      </c>
      <c r="T273" s="9">
        <f t="shared" si="32"/>
        <v>-2.2599999999999998</v>
      </c>
      <c r="U273" s="9">
        <f t="shared" si="36"/>
        <v>92.8658152173914</v>
      </c>
      <c r="V273" s="9">
        <f>MAX(U266:U294)</f>
        <v>113.8858152173914</v>
      </c>
      <c r="W273">
        <v>2184.4</v>
      </c>
      <c r="Y273">
        <f t="shared" si="33"/>
        <v>173550.30000000002</v>
      </c>
      <c r="Z273" s="35">
        <f t="shared" si="37"/>
        <v>16095.499999999998</v>
      </c>
      <c r="AA273">
        <v>14.052215902582201</v>
      </c>
    </row>
    <row r="274" spans="1:27" x14ac:dyDescent="0.25">
      <c r="A274">
        <v>5240</v>
      </c>
      <c r="B274">
        <v>23690</v>
      </c>
      <c r="C274" s="5">
        <v>42852</v>
      </c>
      <c r="F274" s="43"/>
      <c r="G274">
        <v>5.3</v>
      </c>
      <c r="H274">
        <v>0.9</v>
      </c>
      <c r="I274">
        <v>9.4</v>
      </c>
      <c r="J274">
        <f t="shared" si="34"/>
        <v>2155.6000000000008</v>
      </c>
      <c r="K274" s="35">
        <f t="shared" si="38"/>
        <v>65.2</v>
      </c>
      <c r="L274" s="24" t="s">
        <v>41</v>
      </c>
      <c r="M274">
        <v>1.9</v>
      </c>
      <c r="N274">
        <v>1.6</v>
      </c>
      <c r="O274">
        <f t="shared" si="30"/>
        <v>0.29999999999999982</v>
      </c>
      <c r="P274">
        <f t="shared" si="35"/>
        <v>84.800000000000026</v>
      </c>
      <c r="Q274">
        <v>248</v>
      </c>
      <c r="R274">
        <v>1.1499999999999999</v>
      </c>
      <c r="S274" s="9">
        <f t="shared" si="31"/>
        <v>1.8399999999999999</v>
      </c>
      <c r="T274" s="9">
        <f t="shared" si="32"/>
        <v>6.0000000000000053E-2</v>
      </c>
      <c r="U274" s="9">
        <f t="shared" si="36"/>
        <v>92.925815217391403</v>
      </c>
      <c r="V274" s="25" t="s">
        <v>48</v>
      </c>
      <c r="W274">
        <v>1362.6</v>
      </c>
      <c r="Y274">
        <f t="shared" si="33"/>
        <v>174912.90000000002</v>
      </c>
      <c r="Z274" s="35">
        <f t="shared" si="37"/>
        <v>17458.099999999999</v>
      </c>
      <c r="AA274">
        <v>14.106588942714794</v>
      </c>
    </row>
    <row r="275" spans="1:27" x14ac:dyDescent="0.25">
      <c r="A275">
        <v>5240</v>
      </c>
      <c r="B275">
        <v>23690</v>
      </c>
      <c r="C275" s="5">
        <v>42853</v>
      </c>
      <c r="F275" s="43"/>
      <c r="G275">
        <v>7.8</v>
      </c>
      <c r="H275">
        <v>2.1</v>
      </c>
      <c r="I275">
        <v>12.2</v>
      </c>
      <c r="J275">
        <f t="shared" si="34"/>
        <v>2163.400000000001</v>
      </c>
      <c r="K275" s="35">
        <f t="shared" si="38"/>
        <v>73</v>
      </c>
      <c r="L275" s="11">
        <v>2</v>
      </c>
      <c r="M275">
        <v>0.5</v>
      </c>
      <c r="N275">
        <v>1.1000000000000001</v>
      </c>
      <c r="O275">
        <f t="shared" si="30"/>
        <v>-0.60000000000000009</v>
      </c>
      <c r="P275">
        <f t="shared" si="35"/>
        <v>84.200000000000031</v>
      </c>
      <c r="Q275">
        <v>249</v>
      </c>
      <c r="R275">
        <v>1.1499999999999999</v>
      </c>
      <c r="S275" s="9">
        <f t="shared" si="31"/>
        <v>1.2649999999999999</v>
      </c>
      <c r="T275" s="9">
        <f t="shared" si="32"/>
        <v>-0.7649999999999999</v>
      </c>
      <c r="U275" s="9">
        <f t="shared" si="36"/>
        <v>92.160815217391402</v>
      </c>
      <c r="V275" s="9">
        <f>AVERAGE(U266:U294)</f>
        <v>99.158229010494836</v>
      </c>
      <c r="W275">
        <v>829.4</v>
      </c>
      <c r="Y275">
        <f t="shared" si="33"/>
        <v>175742.30000000002</v>
      </c>
      <c r="Z275" s="35">
        <f t="shared" si="37"/>
        <v>18287.5</v>
      </c>
      <c r="AA275">
        <v>14.160555860858134</v>
      </c>
    </row>
    <row r="276" spans="1:27" x14ac:dyDescent="0.25">
      <c r="A276">
        <v>5240</v>
      </c>
      <c r="B276">
        <v>23690</v>
      </c>
      <c r="C276" s="5">
        <v>42854</v>
      </c>
      <c r="F276" s="43"/>
      <c r="G276">
        <v>10</v>
      </c>
      <c r="H276">
        <v>3.9</v>
      </c>
      <c r="I276">
        <v>15.8</v>
      </c>
      <c r="J276">
        <f t="shared" si="34"/>
        <v>2173.400000000001</v>
      </c>
      <c r="K276" s="35">
        <f t="shared" si="38"/>
        <v>83</v>
      </c>
      <c r="L276" s="24" t="s">
        <v>42</v>
      </c>
      <c r="M276">
        <v>0</v>
      </c>
      <c r="N276">
        <v>2.6</v>
      </c>
      <c r="O276">
        <f t="shared" si="30"/>
        <v>-2.6</v>
      </c>
      <c r="P276">
        <f t="shared" si="35"/>
        <v>81.600000000000037</v>
      </c>
      <c r="Q276">
        <v>250</v>
      </c>
      <c r="R276">
        <v>1.1499999999999999</v>
      </c>
      <c r="S276" s="9">
        <f t="shared" si="31"/>
        <v>2.9899999999999998</v>
      </c>
      <c r="T276" s="9">
        <f t="shared" si="32"/>
        <v>-2.9899999999999998</v>
      </c>
      <c r="U276" s="9">
        <f t="shared" si="36"/>
        <v>89.170815217391407</v>
      </c>
      <c r="W276">
        <v>1730.4</v>
      </c>
      <c r="Y276">
        <f t="shared" si="33"/>
        <v>177472.7</v>
      </c>
      <c r="Z276" s="35">
        <f t="shared" si="37"/>
        <v>20017.900000000001</v>
      </c>
      <c r="AA276">
        <v>14.214099314430545</v>
      </c>
    </row>
    <row r="277" spans="1:27" x14ac:dyDescent="0.25">
      <c r="A277">
        <v>5240</v>
      </c>
      <c r="B277">
        <v>23690</v>
      </c>
      <c r="C277" s="5">
        <v>42855</v>
      </c>
      <c r="F277" s="43"/>
      <c r="G277">
        <v>8.5</v>
      </c>
      <c r="H277">
        <v>5.4</v>
      </c>
      <c r="I277">
        <v>12.1</v>
      </c>
      <c r="J277">
        <f t="shared" si="34"/>
        <v>2181.900000000001</v>
      </c>
      <c r="K277" s="35">
        <f t="shared" si="38"/>
        <v>91.5</v>
      </c>
      <c r="L277" s="11">
        <v>8</v>
      </c>
      <c r="M277">
        <v>11.5</v>
      </c>
      <c r="N277">
        <v>2.2000000000000002</v>
      </c>
      <c r="O277">
        <f t="shared" si="30"/>
        <v>9.3000000000000007</v>
      </c>
      <c r="P277">
        <f t="shared" si="35"/>
        <v>90.900000000000034</v>
      </c>
      <c r="Q277">
        <v>251</v>
      </c>
      <c r="R277">
        <v>1.1499999999999999</v>
      </c>
      <c r="S277" s="9">
        <f t="shared" si="31"/>
        <v>2.5299999999999998</v>
      </c>
      <c r="T277" s="9">
        <f t="shared" si="32"/>
        <v>8.9700000000000006</v>
      </c>
      <c r="U277" s="9">
        <f t="shared" si="36"/>
        <v>98.140815217391406</v>
      </c>
      <c r="V277" s="32">
        <f>(V275*100)/218.9</f>
        <v>45.29841434924387</v>
      </c>
      <c r="W277">
        <v>1752.8</v>
      </c>
      <c r="Y277">
        <f t="shared" si="33"/>
        <v>179225.5</v>
      </c>
      <c r="Z277" s="35">
        <f t="shared" si="37"/>
        <v>21770.7</v>
      </c>
      <c r="AA277">
        <v>14.267201533943284</v>
      </c>
    </row>
    <row r="278" spans="1:27" x14ac:dyDescent="0.25">
      <c r="A278">
        <v>5240</v>
      </c>
      <c r="B278">
        <v>23690</v>
      </c>
      <c r="C278" s="5">
        <v>42856</v>
      </c>
      <c r="F278" s="43"/>
      <c r="G278">
        <v>9.8000000000000007</v>
      </c>
      <c r="H278">
        <v>7</v>
      </c>
      <c r="I278">
        <v>13.2</v>
      </c>
      <c r="J278">
        <f t="shared" si="34"/>
        <v>2191.7000000000012</v>
      </c>
      <c r="K278" s="35">
        <f t="shared" si="38"/>
        <v>101.3</v>
      </c>
      <c r="L278" s="24" t="s">
        <v>43</v>
      </c>
      <c r="M278">
        <v>0.9</v>
      </c>
      <c r="N278">
        <v>2.4</v>
      </c>
      <c r="O278">
        <f t="shared" si="30"/>
        <v>-1.5</v>
      </c>
      <c r="P278">
        <f t="shared" si="35"/>
        <v>89.400000000000034</v>
      </c>
      <c r="Q278">
        <v>252</v>
      </c>
      <c r="R278">
        <v>1.1499999999999999</v>
      </c>
      <c r="S278" s="9">
        <f t="shared" si="31"/>
        <v>2.76</v>
      </c>
      <c r="T278" s="9">
        <f t="shared" si="32"/>
        <v>-1.8599999999999999</v>
      </c>
      <c r="U278" s="9">
        <f t="shared" si="36"/>
        <v>96.280815217391407</v>
      </c>
      <c r="W278">
        <v>1479.7</v>
      </c>
      <c r="Y278">
        <f t="shared" si="33"/>
        <v>180705.2</v>
      </c>
      <c r="Z278" s="35">
        <f t="shared" si="37"/>
        <v>23250.400000000001</v>
      </c>
      <c r="AA278">
        <v>14.319844323212809</v>
      </c>
    </row>
    <row r="279" spans="1:27" x14ac:dyDescent="0.25">
      <c r="A279">
        <v>5240</v>
      </c>
      <c r="B279">
        <v>23690</v>
      </c>
      <c r="C279" s="5">
        <v>42857</v>
      </c>
      <c r="F279" s="43"/>
      <c r="G279">
        <v>10.9</v>
      </c>
      <c r="H279">
        <v>7.5</v>
      </c>
      <c r="I279">
        <v>14.6</v>
      </c>
      <c r="J279">
        <f t="shared" si="34"/>
        <v>2202.6000000000013</v>
      </c>
      <c r="K279" s="35">
        <f t="shared" si="38"/>
        <v>112.2</v>
      </c>
      <c r="L279" s="22">
        <v>1</v>
      </c>
      <c r="M279">
        <v>0</v>
      </c>
      <c r="N279">
        <v>2.2000000000000002</v>
      </c>
      <c r="O279">
        <f t="shared" si="30"/>
        <v>-2.2000000000000002</v>
      </c>
      <c r="P279">
        <f t="shared" si="35"/>
        <v>87.200000000000031</v>
      </c>
      <c r="Q279">
        <v>253</v>
      </c>
      <c r="R279">
        <v>1.1499999999999999</v>
      </c>
      <c r="S279" s="9">
        <f t="shared" si="31"/>
        <v>2.5299999999999998</v>
      </c>
      <c r="T279" s="9">
        <f t="shared" si="32"/>
        <v>-2.5299999999999998</v>
      </c>
      <c r="U279" s="9">
        <f t="shared" si="36"/>
        <v>93.750815217391406</v>
      </c>
      <c r="W279">
        <v>1577.2</v>
      </c>
      <c r="Y279">
        <f t="shared" si="33"/>
        <v>182282.40000000002</v>
      </c>
      <c r="Z279" s="35">
        <f t="shared" si="37"/>
        <v>24827.600000000002</v>
      </c>
      <c r="AA279">
        <v>14.372009060875531</v>
      </c>
    </row>
    <row r="280" spans="1:27" x14ac:dyDescent="0.25">
      <c r="A280">
        <v>5240</v>
      </c>
      <c r="B280">
        <v>23690</v>
      </c>
      <c r="C280" s="5">
        <v>42858</v>
      </c>
      <c r="F280" s="43"/>
      <c r="G280">
        <v>9.1</v>
      </c>
      <c r="H280">
        <v>8.4</v>
      </c>
      <c r="I280">
        <v>10.7</v>
      </c>
      <c r="J280">
        <f t="shared" si="34"/>
        <v>2211.7000000000012</v>
      </c>
      <c r="K280" s="35">
        <f t="shared" si="38"/>
        <v>121.3</v>
      </c>
      <c r="M280">
        <v>7.5</v>
      </c>
      <c r="N280">
        <v>0.6</v>
      </c>
      <c r="O280">
        <f t="shared" si="30"/>
        <v>6.9</v>
      </c>
      <c r="P280">
        <f t="shared" si="35"/>
        <v>94.100000000000037</v>
      </c>
      <c r="Q280">
        <v>254</v>
      </c>
      <c r="R280">
        <v>1.1499999999999999</v>
      </c>
      <c r="S280" s="9">
        <f t="shared" si="31"/>
        <v>0.69</v>
      </c>
      <c r="T280" s="9">
        <f t="shared" si="32"/>
        <v>6.8100000000000005</v>
      </c>
      <c r="U280" s="9">
        <f t="shared" si="36"/>
        <v>100.56081521739141</v>
      </c>
      <c r="W280">
        <v>390.5</v>
      </c>
      <c r="Y280">
        <f t="shared" si="33"/>
        <v>182672.90000000002</v>
      </c>
      <c r="Z280" s="35">
        <f t="shared" si="37"/>
        <v>25218.100000000002</v>
      </c>
      <c r="AA280">
        <v>14.423676703276932</v>
      </c>
    </row>
    <row r="281" spans="1:27" x14ac:dyDescent="0.25">
      <c r="A281">
        <v>5240</v>
      </c>
      <c r="B281">
        <v>23690</v>
      </c>
      <c r="C281" s="5">
        <v>42859</v>
      </c>
      <c r="F281" s="43"/>
      <c r="G281">
        <v>10.5</v>
      </c>
      <c r="H281">
        <v>7.7</v>
      </c>
      <c r="I281">
        <v>13.5</v>
      </c>
      <c r="J281">
        <f t="shared" si="34"/>
        <v>2222.2000000000012</v>
      </c>
      <c r="K281" s="35">
        <f t="shared" si="38"/>
        <v>131.80000000000001</v>
      </c>
      <c r="M281">
        <v>1.2</v>
      </c>
      <c r="N281">
        <v>1.6</v>
      </c>
      <c r="O281">
        <f t="shared" si="30"/>
        <v>-0.40000000000000013</v>
      </c>
      <c r="P281">
        <f t="shared" si="35"/>
        <v>93.700000000000031</v>
      </c>
      <c r="Q281">
        <v>255</v>
      </c>
      <c r="R281">
        <v>1.1499999999999999</v>
      </c>
      <c r="S281" s="9">
        <f t="shared" si="31"/>
        <v>1.8399999999999999</v>
      </c>
      <c r="T281" s="9">
        <f t="shared" si="32"/>
        <v>-0.6399999999999999</v>
      </c>
      <c r="U281" s="9">
        <f t="shared" si="36"/>
        <v>99.920815217391407</v>
      </c>
      <c r="W281">
        <v>1188.8</v>
      </c>
      <c r="Y281">
        <f t="shared" si="33"/>
        <v>183861.7</v>
      </c>
      <c r="Z281" s="35">
        <f t="shared" si="37"/>
        <v>26406.9</v>
      </c>
      <c r="AA281">
        <v>14.474827788807611</v>
      </c>
    </row>
    <row r="282" spans="1:27" x14ac:dyDescent="0.25">
      <c r="A282">
        <v>5240</v>
      </c>
      <c r="B282">
        <v>23690</v>
      </c>
      <c r="C282" s="5">
        <v>42860</v>
      </c>
      <c r="F282" s="43"/>
      <c r="G282">
        <v>12.4</v>
      </c>
      <c r="H282">
        <v>7.1</v>
      </c>
      <c r="I282">
        <v>16.399999999999999</v>
      </c>
      <c r="J282">
        <f t="shared" si="34"/>
        <v>2234.6000000000013</v>
      </c>
      <c r="K282" s="35">
        <f t="shared" si="38"/>
        <v>144.20000000000002</v>
      </c>
      <c r="M282">
        <v>2.6</v>
      </c>
      <c r="N282">
        <v>2.4</v>
      </c>
      <c r="O282">
        <f t="shared" si="30"/>
        <v>0.20000000000000018</v>
      </c>
      <c r="P282">
        <f t="shared" si="35"/>
        <v>93.900000000000034</v>
      </c>
      <c r="Q282">
        <v>256</v>
      </c>
      <c r="R282">
        <v>1.1499999999999999</v>
      </c>
      <c r="S282" s="9">
        <f t="shared" si="31"/>
        <v>2.76</v>
      </c>
      <c r="T282" s="9">
        <f t="shared" si="32"/>
        <v>-0.1599999999999997</v>
      </c>
      <c r="U282" s="9">
        <f t="shared" si="36"/>
        <v>99.760815217391411</v>
      </c>
      <c r="W282">
        <v>1860.5</v>
      </c>
      <c r="Y282">
        <f t="shared" si="33"/>
        <v>185722.2</v>
      </c>
      <c r="Z282" s="35">
        <f t="shared" si="37"/>
        <v>28267.4</v>
      </c>
      <c r="AA282">
        <v>14.52544244375871</v>
      </c>
    </row>
    <row r="283" spans="1:27" x14ac:dyDescent="0.25">
      <c r="A283">
        <v>5240</v>
      </c>
      <c r="B283">
        <v>23690</v>
      </c>
      <c r="C283" s="5">
        <v>42861</v>
      </c>
      <c r="F283" s="43"/>
      <c r="G283">
        <v>11.5</v>
      </c>
      <c r="H283">
        <v>9.9</v>
      </c>
      <c r="I283">
        <v>12.5</v>
      </c>
      <c r="J283">
        <f t="shared" si="34"/>
        <v>2246.1000000000013</v>
      </c>
      <c r="K283" s="35">
        <f t="shared" si="38"/>
        <v>155.70000000000002</v>
      </c>
      <c r="M283">
        <v>9.9</v>
      </c>
      <c r="N283">
        <v>0.7</v>
      </c>
      <c r="O283">
        <f t="shared" si="30"/>
        <v>9.2000000000000011</v>
      </c>
      <c r="P283">
        <f t="shared" si="35"/>
        <v>103.10000000000004</v>
      </c>
      <c r="Q283">
        <v>257</v>
      </c>
      <c r="R283">
        <v>1.1499999999999999</v>
      </c>
      <c r="S283" s="9">
        <f t="shared" si="31"/>
        <v>0.80499999999999994</v>
      </c>
      <c r="T283" s="9">
        <f t="shared" si="32"/>
        <v>9.0950000000000006</v>
      </c>
      <c r="U283" s="9">
        <f t="shared" si="36"/>
        <v>108.85581521739141</v>
      </c>
      <c r="W283">
        <v>379.9</v>
      </c>
      <c r="Y283">
        <f t="shared" si="33"/>
        <v>186102.1</v>
      </c>
      <c r="Z283" s="35">
        <f t="shared" si="37"/>
        <v>28647.300000000003</v>
      </c>
      <c r="AA283">
        <v>14.575500389768891</v>
      </c>
    </row>
    <row r="284" spans="1:27" x14ac:dyDescent="0.25">
      <c r="A284">
        <v>5240</v>
      </c>
      <c r="B284">
        <v>23690</v>
      </c>
      <c r="C284" s="5">
        <v>42862</v>
      </c>
      <c r="F284" s="43"/>
      <c r="G284">
        <v>11.6</v>
      </c>
      <c r="H284">
        <v>9.8000000000000007</v>
      </c>
      <c r="I284">
        <v>15.1</v>
      </c>
      <c r="J284">
        <f t="shared" si="34"/>
        <v>2257.7000000000012</v>
      </c>
      <c r="K284" s="35">
        <f t="shared" si="38"/>
        <v>167.3</v>
      </c>
      <c r="M284">
        <v>0</v>
      </c>
      <c r="N284">
        <v>2</v>
      </c>
      <c r="O284">
        <f t="shared" ref="O284:O347" si="39">M284-N284</f>
        <v>-2</v>
      </c>
      <c r="P284">
        <f t="shared" si="35"/>
        <v>101.10000000000004</v>
      </c>
      <c r="Q284">
        <v>258</v>
      </c>
      <c r="R284">
        <v>1.1499999999999999</v>
      </c>
      <c r="S284" s="9">
        <f t="shared" ref="S284:S347" si="40">R284*N284</f>
        <v>2.2999999999999998</v>
      </c>
      <c r="T284" s="9">
        <f t="shared" ref="T284:T347" si="41">M284-S284</f>
        <v>-2.2999999999999998</v>
      </c>
      <c r="U284" s="9">
        <f t="shared" si="36"/>
        <v>106.55581521739141</v>
      </c>
      <c r="W284">
        <v>1097.5</v>
      </c>
      <c r="Y284">
        <f t="shared" si="33"/>
        <v>187199.6</v>
      </c>
      <c r="Z284" s="35">
        <f t="shared" si="37"/>
        <v>29744.800000000003</v>
      </c>
      <c r="AA284">
        <v>14.62498095293398</v>
      </c>
    </row>
    <row r="285" spans="1:27" x14ac:dyDescent="0.25">
      <c r="A285">
        <v>5240</v>
      </c>
      <c r="B285">
        <v>23690</v>
      </c>
      <c r="C285" s="5">
        <v>42863</v>
      </c>
      <c r="F285" s="43"/>
      <c r="G285">
        <v>10</v>
      </c>
      <c r="H285">
        <v>8.1999999999999993</v>
      </c>
      <c r="I285">
        <v>13.1</v>
      </c>
      <c r="J285">
        <f t="shared" si="34"/>
        <v>2267.7000000000012</v>
      </c>
      <c r="K285" s="35">
        <f t="shared" si="38"/>
        <v>177.3</v>
      </c>
      <c r="M285">
        <v>0</v>
      </c>
      <c r="N285">
        <v>1.5</v>
      </c>
      <c r="O285">
        <f t="shared" si="39"/>
        <v>-1.5</v>
      </c>
      <c r="P285">
        <f t="shared" si="35"/>
        <v>99.600000000000037</v>
      </c>
      <c r="Q285">
        <v>259</v>
      </c>
      <c r="R285">
        <v>1.1499999999999999</v>
      </c>
      <c r="S285" s="9">
        <f t="shared" si="40"/>
        <v>1.7249999999999999</v>
      </c>
      <c r="T285" s="9">
        <f t="shared" si="41"/>
        <v>-1.7249999999999999</v>
      </c>
      <c r="U285" s="9">
        <f t="shared" si="36"/>
        <v>104.83081521739142</v>
      </c>
      <c r="W285">
        <v>723.5</v>
      </c>
      <c r="Y285">
        <f t="shared" ref="Y285:Y348" si="42">Y284+W285</f>
        <v>187923.1</v>
      </c>
      <c r="Z285" s="35">
        <f t="shared" si="37"/>
        <v>30468.300000000003</v>
      </c>
      <c r="AA285">
        <v>14.673863074648823</v>
      </c>
    </row>
    <row r="286" spans="1:27" x14ac:dyDescent="0.25">
      <c r="A286">
        <v>5240</v>
      </c>
      <c r="B286">
        <v>23690</v>
      </c>
      <c r="C286" s="5">
        <v>42864</v>
      </c>
      <c r="F286" s="43"/>
      <c r="G286">
        <v>10.9</v>
      </c>
      <c r="H286">
        <v>5.6</v>
      </c>
      <c r="I286">
        <v>15.4</v>
      </c>
      <c r="J286">
        <f t="shared" si="34"/>
        <v>2278.6000000000013</v>
      </c>
      <c r="K286" s="35">
        <f t="shared" si="38"/>
        <v>188.20000000000002</v>
      </c>
      <c r="M286">
        <v>0</v>
      </c>
      <c r="N286">
        <v>3.1</v>
      </c>
      <c r="O286">
        <f t="shared" si="39"/>
        <v>-3.1</v>
      </c>
      <c r="P286">
        <f t="shared" si="35"/>
        <v>96.500000000000043</v>
      </c>
      <c r="Q286">
        <v>260</v>
      </c>
      <c r="R286">
        <v>1.1499999999999999</v>
      </c>
      <c r="S286" s="9">
        <f t="shared" si="40"/>
        <v>3.5649999999999999</v>
      </c>
      <c r="T286" s="9">
        <f t="shared" si="41"/>
        <v>-3.5649999999999999</v>
      </c>
      <c r="U286" s="9">
        <f t="shared" si="36"/>
        <v>101.26581521739142</v>
      </c>
      <c r="W286">
        <v>2219.6999999999998</v>
      </c>
      <c r="Y286">
        <f t="shared" si="42"/>
        <v>190142.80000000002</v>
      </c>
      <c r="Z286" s="35">
        <f t="shared" si="37"/>
        <v>32688.000000000004</v>
      </c>
      <c r="AA286">
        <v>14.722125324248802</v>
      </c>
    </row>
    <row r="287" spans="1:27" x14ac:dyDescent="0.25">
      <c r="A287">
        <v>5240</v>
      </c>
      <c r="B287">
        <v>23690</v>
      </c>
      <c r="C287" s="5">
        <v>42865</v>
      </c>
      <c r="F287" s="43"/>
      <c r="G287">
        <v>13.7</v>
      </c>
      <c r="H287">
        <v>6.2</v>
      </c>
      <c r="I287">
        <v>18.5</v>
      </c>
      <c r="J287">
        <f t="shared" ref="J287:J350" si="43">J286+G287</f>
        <v>2292.3000000000011</v>
      </c>
      <c r="K287" s="35">
        <f t="shared" si="38"/>
        <v>201.9</v>
      </c>
      <c r="M287">
        <v>2.4</v>
      </c>
      <c r="N287">
        <v>3.3</v>
      </c>
      <c r="O287">
        <f t="shared" si="39"/>
        <v>-0.89999999999999991</v>
      </c>
      <c r="P287">
        <f t="shared" si="35"/>
        <v>95.600000000000037</v>
      </c>
      <c r="Q287">
        <v>261</v>
      </c>
      <c r="R287">
        <v>1.1499999999999999</v>
      </c>
      <c r="S287" s="9">
        <f t="shared" si="40"/>
        <v>3.7949999999999995</v>
      </c>
      <c r="T287" s="9">
        <f t="shared" si="41"/>
        <v>-1.3949999999999996</v>
      </c>
      <c r="U287" s="9">
        <f t="shared" si="36"/>
        <v>99.870815217391424</v>
      </c>
      <c r="W287">
        <v>2168.4</v>
      </c>
      <c r="Y287">
        <f t="shared" si="42"/>
        <v>192311.2</v>
      </c>
      <c r="Z287" s="35">
        <f t="shared" si="37"/>
        <v>34856.400000000001</v>
      </c>
      <c r="AA287">
        <v>14.769745913515338</v>
      </c>
    </row>
    <row r="288" spans="1:27" x14ac:dyDescent="0.25">
      <c r="A288">
        <v>5240</v>
      </c>
      <c r="B288">
        <v>23690</v>
      </c>
      <c r="C288" s="5">
        <v>42866</v>
      </c>
      <c r="F288" s="43"/>
      <c r="G288">
        <v>12.9</v>
      </c>
      <c r="H288">
        <v>12</v>
      </c>
      <c r="I288">
        <v>14.1</v>
      </c>
      <c r="J288">
        <f t="shared" si="43"/>
        <v>2305.2000000000012</v>
      </c>
      <c r="K288" s="35">
        <f t="shared" si="38"/>
        <v>214.8</v>
      </c>
      <c r="M288">
        <v>2.5</v>
      </c>
      <c r="N288">
        <v>1.9</v>
      </c>
      <c r="O288">
        <f t="shared" si="39"/>
        <v>0.60000000000000009</v>
      </c>
      <c r="P288">
        <f t="shared" si="35"/>
        <v>96.200000000000031</v>
      </c>
      <c r="Q288">
        <v>262</v>
      </c>
      <c r="R288">
        <v>1.1499999999999999</v>
      </c>
      <c r="S288" s="9">
        <f t="shared" si="40"/>
        <v>2.1849999999999996</v>
      </c>
      <c r="T288" s="9">
        <f t="shared" si="41"/>
        <v>0.31500000000000039</v>
      </c>
      <c r="U288" s="9">
        <f t="shared" si="36"/>
        <v>100.18581521739142</v>
      </c>
      <c r="W288">
        <v>1248.5999999999999</v>
      </c>
      <c r="Y288">
        <f t="shared" si="42"/>
        <v>193559.80000000002</v>
      </c>
      <c r="Z288" s="35">
        <f t="shared" si="37"/>
        <v>36105</v>
      </c>
      <c r="AA288">
        <v>14.816702713106203</v>
      </c>
    </row>
    <row r="289" spans="1:28" x14ac:dyDescent="0.25">
      <c r="A289">
        <v>5240</v>
      </c>
      <c r="B289">
        <v>23690</v>
      </c>
      <c r="C289" s="5">
        <v>42867</v>
      </c>
      <c r="F289" s="43"/>
      <c r="G289">
        <v>14.4</v>
      </c>
      <c r="H289">
        <v>11.2</v>
      </c>
      <c r="I289">
        <v>19</v>
      </c>
      <c r="J289">
        <f t="shared" si="43"/>
        <v>2319.6000000000013</v>
      </c>
      <c r="K289" s="35">
        <f t="shared" si="38"/>
        <v>229.20000000000002</v>
      </c>
      <c r="M289">
        <v>3.5</v>
      </c>
      <c r="N289">
        <v>2</v>
      </c>
      <c r="O289">
        <f t="shared" si="39"/>
        <v>1.5</v>
      </c>
      <c r="P289">
        <f t="shared" si="35"/>
        <v>97.700000000000031</v>
      </c>
      <c r="Q289">
        <v>263</v>
      </c>
      <c r="R289">
        <v>1.1499999999999999</v>
      </c>
      <c r="S289" s="9">
        <f t="shared" si="40"/>
        <v>2.2999999999999998</v>
      </c>
      <c r="T289" s="9">
        <f t="shared" si="41"/>
        <v>1.2000000000000002</v>
      </c>
      <c r="U289" s="9">
        <f t="shared" si="36"/>
        <v>101.38581521739142</v>
      </c>
      <c r="W289">
        <v>1225.5</v>
      </c>
      <c r="Y289">
        <f t="shared" si="42"/>
        <v>194785.30000000002</v>
      </c>
      <c r="Z289" s="35">
        <f t="shared" si="37"/>
        <v>37330.5</v>
      </c>
      <c r="AA289">
        <v>14.862973270966854</v>
      </c>
    </row>
    <row r="290" spans="1:28" x14ac:dyDescent="0.25">
      <c r="A290">
        <v>5240</v>
      </c>
      <c r="B290">
        <v>23690</v>
      </c>
      <c r="C290" s="5">
        <v>42868</v>
      </c>
      <c r="F290" s="43"/>
      <c r="G290">
        <v>14.2</v>
      </c>
      <c r="H290">
        <v>11.2</v>
      </c>
      <c r="I290">
        <v>17.8</v>
      </c>
      <c r="J290">
        <f t="shared" si="43"/>
        <v>2333.8000000000011</v>
      </c>
      <c r="K290" s="35">
        <f t="shared" si="38"/>
        <v>243.4</v>
      </c>
      <c r="M290">
        <v>0</v>
      </c>
      <c r="N290">
        <v>2.6</v>
      </c>
      <c r="O290">
        <f t="shared" si="39"/>
        <v>-2.6</v>
      </c>
      <c r="P290">
        <f t="shared" si="35"/>
        <v>95.100000000000037</v>
      </c>
      <c r="Q290">
        <v>264</v>
      </c>
      <c r="R290">
        <v>1.1499999999999999</v>
      </c>
      <c r="S290" s="9">
        <f t="shared" si="40"/>
        <v>2.9899999999999998</v>
      </c>
      <c r="T290" s="9">
        <f t="shared" si="41"/>
        <v>-2.9899999999999998</v>
      </c>
      <c r="U290" s="9">
        <f t="shared" si="36"/>
        <v>98.39581521739143</v>
      </c>
      <c r="W290">
        <v>1549.1</v>
      </c>
      <c r="Y290">
        <f t="shared" si="42"/>
        <v>196334.40000000002</v>
      </c>
      <c r="Z290" s="35">
        <f t="shared" si="37"/>
        <v>38879.599999999999</v>
      </c>
      <c r="AA290">
        <v>14.908534832773665</v>
      </c>
    </row>
    <row r="291" spans="1:28" x14ac:dyDescent="0.25">
      <c r="A291">
        <v>5240</v>
      </c>
      <c r="B291">
        <v>23690</v>
      </c>
      <c r="C291" s="5">
        <v>42869</v>
      </c>
      <c r="F291" s="43"/>
      <c r="G291">
        <v>14.1</v>
      </c>
      <c r="H291">
        <v>10.1</v>
      </c>
      <c r="I291">
        <v>18.8</v>
      </c>
      <c r="J291">
        <f t="shared" si="43"/>
        <v>2347.900000000001</v>
      </c>
      <c r="K291" s="35">
        <f t="shared" si="38"/>
        <v>257.5</v>
      </c>
      <c r="M291">
        <v>0.3</v>
      </c>
      <c r="N291">
        <v>3.2</v>
      </c>
      <c r="O291">
        <f t="shared" si="39"/>
        <v>-2.9000000000000004</v>
      </c>
      <c r="P291">
        <f t="shared" si="35"/>
        <v>92.200000000000031</v>
      </c>
      <c r="Q291">
        <v>265</v>
      </c>
      <c r="R291">
        <v>1.1499999999999999</v>
      </c>
      <c r="S291" s="9">
        <f t="shared" si="40"/>
        <v>3.6799999999999997</v>
      </c>
      <c r="T291" s="9">
        <f t="shared" si="41"/>
        <v>-3.38</v>
      </c>
      <c r="U291" s="9">
        <f t="shared" si="36"/>
        <v>95.015815217391435</v>
      </c>
      <c r="W291">
        <v>1959.2</v>
      </c>
      <c r="Y291">
        <f t="shared" si="42"/>
        <v>198293.60000000003</v>
      </c>
      <c r="Z291" s="35">
        <f t="shared" si="37"/>
        <v>40838.799999999996</v>
      </c>
      <c r="AA291">
        <v>14.953364364453595</v>
      </c>
    </row>
    <row r="292" spans="1:28" x14ac:dyDescent="0.25">
      <c r="A292">
        <v>5240</v>
      </c>
      <c r="B292">
        <v>23690</v>
      </c>
      <c r="C292" s="5">
        <v>42870</v>
      </c>
      <c r="F292" s="43"/>
      <c r="G292">
        <v>16.2</v>
      </c>
      <c r="H292">
        <v>7.7</v>
      </c>
      <c r="I292">
        <v>21.4</v>
      </c>
      <c r="J292">
        <f t="shared" si="43"/>
        <v>2364.1000000000008</v>
      </c>
      <c r="K292" s="35">
        <f t="shared" si="38"/>
        <v>273.7</v>
      </c>
      <c r="M292">
        <v>0</v>
      </c>
      <c r="N292">
        <v>2.2999999999999998</v>
      </c>
      <c r="O292">
        <f t="shared" si="39"/>
        <v>-2.2999999999999998</v>
      </c>
      <c r="P292">
        <f t="shared" si="35"/>
        <v>89.900000000000034</v>
      </c>
      <c r="Q292">
        <v>266</v>
      </c>
      <c r="R292">
        <v>1.1499999999999999</v>
      </c>
      <c r="S292" s="9">
        <f t="shared" si="40"/>
        <v>2.6449999999999996</v>
      </c>
      <c r="T292" s="9">
        <f t="shared" si="41"/>
        <v>-2.6449999999999996</v>
      </c>
      <c r="U292" s="9">
        <f t="shared" si="36"/>
        <v>92.370815217391439</v>
      </c>
      <c r="W292">
        <v>1547.3</v>
      </c>
      <c r="Y292">
        <f t="shared" si="42"/>
        <v>199840.90000000002</v>
      </c>
      <c r="Z292" s="35">
        <f t="shared" si="37"/>
        <v>42386.1</v>
      </c>
      <c r="AA292">
        <v>14.997438576817677</v>
      </c>
    </row>
    <row r="293" spans="1:28" x14ac:dyDescent="0.25">
      <c r="A293">
        <v>5240</v>
      </c>
      <c r="B293">
        <v>23690</v>
      </c>
      <c r="C293" s="5">
        <v>42871</v>
      </c>
      <c r="F293" s="43"/>
      <c r="G293">
        <v>20.2</v>
      </c>
      <c r="H293">
        <v>14.8</v>
      </c>
      <c r="I293">
        <v>25.3</v>
      </c>
      <c r="J293">
        <f t="shared" si="43"/>
        <v>2384.3000000000006</v>
      </c>
      <c r="K293" s="35">
        <f t="shared" si="38"/>
        <v>293.89999999999998</v>
      </c>
      <c r="M293">
        <v>0</v>
      </c>
      <c r="N293">
        <v>2.5</v>
      </c>
      <c r="O293">
        <f t="shared" si="39"/>
        <v>-2.5</v>
      </c>
      <c r="P293">
        <f t="shared" si="35"/>
        <v>87.400000000000034</v>
      </c>
      <c r="Q293">
        <v>267</v>
      </c>
      <c r="R293">
        <v>1.1499999999999999</v>
      </c>
      <c r="S293" s="9">
        <f t="shared" si="40"/>
        <v>2.875</v>
      </c>
      <c r="T293" s="9">
        <f t="shared" si="41"/>
        <v>-2.875</v>
      </c>
      <c r="U293" s="9">
        <f t="shared" si="36"/>
        <v>89.495815217391439</v>
      </c>
      <c r="W293">
        <v>1300.8</v>
      </c>
      <c r="Y293">
        <f t="shared" si="42"/>
        <v>201141.7</v>
      </c>
      <c r="Z293" s="35">
        <f t="shared" si="37"/>
        <v>43686.9</v>
      </c>
      <c r="AA293">
        <v>15.040733952337392</v>
      </c>
    </row>
    <row r="294" spans="1:28" s="14" customFormat="1" ht="15.75" thickBot="1" x14ac:dyDescent="0.3">
      <c r="A294" s="14">
        <v>5240</v>
      </c>
      <c r="B294" s="14">
        <v>23690</v>
      </c>
      <c r="C294" s="15">
        <v>42872</v>
      </c>
      <c r="F294" s="44"/>
      <c r="G294" s="14">
        <v>19.2</v>
      </c>
      <c r="H294" s="14">
        <v>16.2</v>
      </c>
      <c r="I294" s="14">
        <v>26.5</v>
      </c>
      <c r="J294" s="14">
        <f t="shared" si="43"/>
        <v>2403.5000000000005</v>
      </c>
      <c r="K294" s="14">
        <f t="shared" si="38"/>
        <v>313.09999999999997</v>
      </c>
      <c r="M294" s="14">
        <v>9.1999999999999993</v>
      </c>
      <c r="N294" s="14">
        <v>4</v>
      </c>
      <c r="O294" s="14">
        <f t="shared" si="39"/>
        <v>5.1999999999999993</v>
      </c>
      <c r="P294" s="14">
        <f t="shared" si="35"/>
        <v>92.600000000000037</v>
      </c>
      <c r="Q294" s="14">
        <v>268</v>
      </c>
      <c r="R294" s="14">
        <v>1.1499999999999999</v>
      </c>
      <c r="S294" s="16">
        <f t="shared" si="40"/>
        <v>4.5999999999999996</v>
      </c>
      <c r="T294" s="16">
        <f t="shared" si="41"/>
        <v>4.5999999999999996</v>
      </c>
      <c r="U294" s="16">
        <f t="shared" si="36"/>
        <v>94.095815217391433</v>
      </c>
      <c r="W294" s="14">
        <v>1804.7</v>
      </c>
      <c r="Y294" s="14">
        <f t="shared" si="42"/>
        <v>202946.40000000002</v>
      </c>
      <c r="Z294" s="14">
        <f t="shared" si="37"/>
        <v>45491.6</v>
      </c>
      <c r="AA294" s="14">
        <v>15.083226774083755</v>
      </c>
    </row>
    <row r="295" spans="1:28" s="35" customFormat="1" x14ac:dyDescent="0.25">
      <c r="A295" s="35">
        <v>5240</v>
      </c>
      <c r="B295" s="35">
        <v>23690</v>
      </c>
      <c r="C295" s="36">
        <v>42873</v>
      </c>
      <c r="F295" s="45" t="s">
        <v>57</v>
      </c>
      <c r="G295" s="35">
        <v>13.6</v>
      </c>
      <c r="H295" s="35">
        <v>10.199999999999999</v>
      </c>
      <c r="I295" s="35">
        <v>18.100000000000001</v>
      </c>
      <c r="J295" s="35">
        <f t="shared" si="43"/>
        <v>2417.1000000000004</v>
      </c>
      <c r="K295" s="35">
        <f>G295</f>
        <v>13.6</v>
      </c>
      <c r="L295" s="26" t="s">
        <v>37</v>
      </c>
      <c r="M295" s="35">
        <v>23.5</v>
      </c>
      <c r="N295" s="35">
        <v>0.9</v>
      </c>
      <c r="O295" s="35">
        <f t="shared" si="39"/>
        <v>22.6</v>
      </c>
      <c r="P295" s="35">
        <f t="shared" ref="P295:P352" si="44">P294+O295</f>
        <v>115.20000000000005</v>
      </c>
      <c r="Q295" s="35">
        <v>269</v>
      </c>
      <c r="R295">
        <f>1.15+((Q295-268)/79)*(0.35-1.15)</f>
        <v>1.1398734177215188</v>
      </c>
      <c r="S295" s="37">
        <f t="shared" si="40"/>
        <v>1.0258860759493671</v>
      </c>
      <c r="T295" s="37">
        <f t="shared" si="41"/>
        <v>22.474113924050634</v>
      </c>
      <c r="U295" s="9">
        <f t="shared" si="36"/>
        <v>116.56992914144206</v>
      </c>
      <c r="V295" s="27" t="s">
        <v>44</v>
      </c>
      <c r="W295" s="35">
        <v>454</v>
      </c>
      <c r="Y295" s="35">
        <f t="shared" si="42"/>
        <v>203400.40000000002</v>
      </c>
      <c r="Z295" s="35">
        <f>W295</f>
        <v>454</v>
      </c>
      <c r="AA295" s="35">
        <v>15.12489315683872</v>
      </c>
      <c r="AB295" s="27" t="s">
        <v>49</v>
      </c>
    </row>
    <row r="296" spans="1:28" ht="15" customHeight="1" x14ac:dyDescent="0.25">
      <c r="A296">
        <v>5240</v>
      </c>
      <c r="B296">
        <v>23690</v>
      </c>
      <c r="C296" s="5">
        <v>42874</v>
      </c>
      <c r="F296" s="46"/>
      <c r="G296">
        <v>10.4</v>
      </c>
      <c r="H296">
        <v>8.6</v>
      </c>
      <c r="I296">
        <v>14.7</v>
      </c>
      <c r="J296">
        <f t="shared" si="43"/>
        <v>2427.5000000000005</v>
      </c>
      <c r="K296" s="35">
        <f t="shared" si="38"/>
        <v>24</v>
      </c>
      <c r="L296" s="11">
        <v>300.10000000000002</v>
      </c>
      <c r="M296">
        <v>2.2999999999999998</v>
      </c>
      <c r="N296">
        <v>2.2999999999999998</v>
      </c>
      <c r="O296">
        <f t="shared" si="39"/>
        <v>0</v>
      </c>
      <c r="P296">
        <f t="shared" si="44"/>
        <v>115.20000000000005</v>
      </c>
      <c r="Q296">
        <v>270</v>
      </c>
      <c r="R296">
        <f t="shared" ref="R296:R359" si="45">1.15+((Q296-268)/79)*(0.35-1.15)</f>
        <v>1.1297468354430378</v>
      </c>
      <c r="S296" s="9">
        <f t="shared" si="40"/>
        <v>2.5984177215189868</v>
      </c>
      <c r="T296" s="9">
        <f t="shared" si="41"/>
        <v>-0.29841772151898693</v>
      </c>
      <c r="U296" s="9">
        <f t="shared" ref="U296:U359" si="46">MIN(U295+T296,218.9)</f>
        <v>116.27151141992307</v>
      </c>
      <c r="V296">
        <v>0</v>
      </c>
      <c r="W296">
        <v>1621.8</v>
      </c>
      <c r="Y296">
        <f t="shared" si="42"/>
        <v>205022.2</v>
      </c>
      <c r="Z296" s="35">
        <f t="shared" si="37"/>
        <v>2075.8000000000002</v>
      </c>
      <c r="AA296">
        <v>15.165709080377102</v>
      </c>
      <c r="AB296">
        <v>31663.9</v>
      </c>
    </row>
    <row r="297" spans="1:28" x14ac:dyDescent="0.25">
      <c r="A297">
        <v>5240</v>
      </c>
      <c r="B297">
        <v>23690</v>
      </c>
      <c r="C297" s="5">
        <v>42875</v>
      </c>
      <c r="F297" s="46"/>
      <c r="G297">
        <v>11.4</v>
      </c>
      <c r="H297">
        <v>6.9</v>
      </c>
      <c r="I297">
        <v>15.5</v>
      </c>
      <c r="J297">
        <f t="shared" si="43"/>
        <v>2438.9000000000005</v>
      </c>
      <c r="K297" s="35">
        <f t="shared" si="38"/>
        <v>35.4</v>
      </c>
      <c r="L297" s="26" t="s">
        <v>38</v>
      </c>
      <c r="M297">
        <v>0.2</v>
      </c>
      <c r="N297">
        <v>2.4</v>
      </c>
      <c r="O297">
        <f t="shared" si="39"/>
        <v>-2.1999999999999997</v>
      </c>
      <c r="P297">
        <f t="shared" si="44"/>
        <v>113.00000000000004</v>
      </c>
      <c r="Q297">
        <v>271</v>
      </c>
      <c r="R297">
        <f t="shared" si="45"/>
        <v>1.1196202531645569</v>
      </c>
      <c r="S297" s="9">
        <f t="shared" si="40"/>
        <v>2.6870886075949367</v>
      </c>
      <c r="T297" s="9">
        <f t="shared" si="41"/>
        <v>-2.4870886075949366</v>
      </c>
      <c r="U297" s="9">
        <f t="shared" si="46"/>
        <v>113.78442281232813</v>
      </c>
      <c r="V297" s="27" t="s">
        <v>45</v>
      </c>
      <c r="W297">
        <v>1706</v>
      </c>
      <c r="Y297">
        <f t="shared" si="42"/>
        <v>206728.2</v>
      </c>
      <c r="Z297" s="35">
        <f t="shared" si="37"/>
        <v>3781.8</v>
      </c>
      <c r="AA297">
        <v>15.20565042490494</v>
      </c>
      <c r="AB297" s="27" t="s">
        <v>50</v>
      </c>
    </row>
    <row r="298" spans="1:28" x14ac:dyDescent="0.25">
      <c r="A298">
        <v>5240</v>
      </c>
      <c r="B298">
        <v>23690</v>
      </c>
      <c r="C298" s="5">
        <v>42876</v>
      </c>
      <c r="F298" s="46"/>
      <c r="G298">
        <v>14.6</v>
      </c>
      <c r="H298">
        <v>8.3000000000000007</v>
      </c>
      <c r="I298">
        <v>19.100000000000001</v>
      </c>
      <c r="J298">
        <f t="shared" si="43"/>
        <v>2453.5000000000005</v>
      </c>
      <c r="K298" s="35">
        <f t="shared" si="38"/>
        <v>50</v>
      </c>
      <c r="L298" s="41">
        <f>AVERAGE(G295:G311)</f>
        <v>17.652941176470591</v>
      </c>
      <c r="M298">
        <v>0</v>
      </c>
      <c r="N298">
        <v>3.1</v>
      </c>
      <c r="O298">
        <f t="shared" si="39"/>
        <v>-3.1</v>
      </c>
      <c r="P298">
        <f t="shared" si="44"/>
        <v>109.90000000000005</v>
      </c>
      <c r="Q298">
        <v>272</v>
      </c>
      <c r="R298">
        <f t="shared" si="45"/>
        <v>1.1094936708860759</v>
      </c>
      <c r="S298" s="9">
        <f t="shared" si="40"/>
        <v>3.4394303797468351</v>
      </c>
      <c r="T298" s="9">
        <f t="shared" si="41"/>
        <v>-3.4394303797468351</v>
      </c>
      <c r="U298" s="9">
        <f t="shared" si="46"/>
        <v>110.34499243258129</v>
      </c>
      <c r="V298">
        <v>2</v>
      </c>
      <c r="W298">
        <v>2101.6</v>
      </c>
      <c r="Y298">
        <f t="shared" si="42"/>
        <v>208829.80000000002</v>
      </c>
      <c r="Z298" s="35">
        <f t="shared" si="37"/>
        <v>5883.4</v>
      </c>
      <c r="AA298">
        <v>15.244693008626799</v>
      </c>
      <c r="AB298">
        <f>(AB296/100)/L296</f>
        <v>1.0551116294568477</v>
      </c>
    </row>
    <row r="299" spans="1:28" x14ac:dyDescent="0.25">
      <c r="A299">
        <v>5240</v>
      </c>
      <c r="B299">
        <v>23690</v>
      </c>
      <c r="C299" s="5">
        <v>42877</v>
      </c>
      <c r="F299" s="46"/>
      <c r="G299">
        <v>17.7</v>
      </c>
      <c r="H299">
        <v>11.7</v>
      </c>
      <c r="I299">
        <v>23.3</v>
      </c>
      <c r="J299">
        <f t="shared" si="43"/>
        <v>2471.2000000000003</v>
      </c>
      <c r="K299" s="35">
        <f t="shared" si="38"/>
        <v>67.7</v>
      </c>
      <c r="L299" s="26" t="s">
        <v>39</v>
      </c>
      <c r="M299">
        <v>0</v>
      </c>
      <c r="N299">
        <v>4.4000000000000004</v>
      </c>
      <c r="O299">
        <f t="shared" si="39"/>
        <v>-4.4000000000000004</v>
      </c>
      <c r="P299">
        <f t="shared" si="44"/>
        <v>105.50000000000004</v>
      </c>
      <c r="Q299">
        <v>273</v>
      </c>
      <c r="R299">
        <f t="shared" si="45"/>
        <v>1.0993670886075948</v>
      </c>
      <c r="S299" s="9">
        <f t="shared" si="40"/>
        <v>4.8372151898734179</v>
      </c>
      <c r="T299" s="9">
        <f t="shared" si="41"/>
        <v>-4.8372151898734179</v>
      </c>
      <c r="U299" s="9">
        <f t="shared" si="46"/>
        <v>105.50777724270787</v>
      </c>
      <c r="V299" s="27" t="s">
        <v>46</v>
      </c>
      <c r="W299">
        <v>2600.4</v>
      </c>
      <c r="Y299">
        <f t="shared" si="42"/>
        <v>211430.2</v>
      </c>
      <c r="Z299" s="35">
        <f t="shared" si="37"/>
        <v>8483.7999999999993</v>
      </c>
      <c r="AA299">
        <v>15.2828126274003</v>
      </c>
      <c r="AB299" s="27" t="s">
        <v>51</v>
      </c>
    </row>
    <row r="300" spans="1:28" x14ac:dyDescent="0.25">
      <c r="A300">
        <v>5240</v>
      </c>
      <c r="B300">
        <v>23690</v>
      </c>
      <c r="C300" s="5">
        <v>42878</v>
      </c>
      <c r="F300" s="46"/>
      <c r="G300">
        <v>17.3</v>
      </c>
      <c r="H300">
        <v>12.9</v>
      </c>
      <c r="I300">
        <v>21.5</v>
      </c>
      <c r="J300">
        <f t="shared" si="43"/>
        <v>2488.5000000000005</v>
      </c>
      <c r="K300" s="35">
        <f t="shared" si="38"/>
        <v>85</v>
      </c>
      <c r="L300" s="12">
        <f>MIN(H295:H311)</f>
        <v>6.9</v>
      </c>
      <c r="M300">
        <v>0</v>
      </c>
      <c r="N300">
        <v>3.3</v>
      </c>
      <c r="O300">
        <f t="shared" si="39"/>
        <v>-3.3</v>
      </c>
      <c r="P300">
        <f t="shared" si="44"/>
        <v>102.20000000000005</v>
      </c>
      <c r="Q300">
        <v>274</v>
      </c>
      <c r="R300">
        <f t="shared" si="45"/>
        <v>1.0892405063291137</v>
      </c>
      <c r="S300" s="9">
        <f t="shared" si="40"/>
        <v>3.5944936708860751</v>
      </c>
      <c r="T300" s="9">
        <f t="shared" si="41"/>
        <v>-3.5944936708860751</v>
      </c>
      <c r="U300" s="9">
        <f t="shared" si="46"/>
        <v>101.91328357182179</v>
      </c>
      <c r="V300" s="9">
        <f>MIN(U295:U311)</f>
        <v>67.319043065492679</v>
      </c>
      <c r="W300">
        <v>1918.7</v>
      </c>
      <c r="Y300">
        <f t="shared" si="42"/>
        <v>213348.90000000002</v>
      </c>
      <c r="Z300" s="35">
        <f t="shared" si="37"/>
        <v>10402.5</v>
      </c>
      <c r="AA300">
        <v>15.319985096420783</v>
      </c>
      <c r="AB300">
        <v>2</v>
      </c>
    </row>
    <row r="301" spans="1:28" x14ac:dyDescent="0.25">
      <c r="A301">
        <v>5240</v>
      </c>
      <c r="B301">
        <v>23690</v>
      </c>
      <c r="C301" s="5">
        <v>42879</v>
      </c>
      <c r="F301" s="46"/>
      <c r="G301">
        <v>17.5</v>
      </c>
      <c r="H301">
        <v>13.2</v>
      </c>
      <c r="I301">
        <v>21.3</v>
      </c>
      <c r="J301">
        <f t="shared" si="43"/>
        <v>2506.0000000000005</v>
      </c>
      <c r="K301" s="35">
        <f t="shared" si="38"/>
        <v>102.5</v>
      </c>
      <c r="L301" s="26" t="s">
        <v>40</v>
      </c>
      <c r="M301">
        <v>0</v>
      </c>
      <c r="N301">
        <v>1.8</v>
      </c>
      <c r="O301">
        <f t="shared" si="39"/>
        <v>-1.8</v>
      </c>
      <c r="P301">
        <f t="shared" si="44"/>
        <v>100.40000000000005</v>
      </c>
      <c r="Q301">
        <v>275</v>
      </c>
      <c r="R301">
        <f t="shared" si="45"/>
        <v>1.0791139240506329</v>
      </c>
      <c r="S301" s="9">
        <f t="shared" si="40"/>
        <v>1.9424050632911392</v>
      </c>
      <c r="T301" s="9">
        <f t="shared" si="41"/>
        <v>-1.9424050632911392</v>
      </c>
      <c r="U301" s="9">
        <f t="shared" si="46"/>
        <v>99.97087850853066</v>
      </c>
      <c r="V301" s="27" t="s">
        <v>47</v>
      </c>
      <c r="W301">
        <v>1112.8</v>
      </c>
      <c r="Y301">
        <f t="shared" si="42"/>
        <v>214461.7</v>
      </c>
      <c r="Z301" s="35">
        <f t="shared" si="37"/>
        <v>11515.3</v>
      </c>
      <c r="AA301">
        <v>15.356186293863114</v>
      </c>
    </row>
    <row r="302" spans="1:28" x14ac:dyDescent="0.25">
      <c r="A302">
        <v>5240</v>
      </c>
      <c r="B302">
        <v>23690</v>
      </c>
      <c r="C302" s="5">
        <v>42880</v>
      </c>
      <c r="F302" s="46"/>
      <c r="G302">
        <v>19.899999999999999</v>
      </c>
      <c r="H302">
        <v>14.4</v>
      </c>
      <c r="I302">
        <v>24.4</v>
      </c>
      <c r="J302">
        <f t="shared" si="43"/>
        <v>2525.9000000000005</v>
      </c>
      <c r="K302" s="35">
        <f t="shared" si="38"/>
        <v>122.4</v>
      </c>
      <c r="L302" s="11">
        <f>MAX(I295:I311)</f>
        <v>27.5</v>
      </c>
      <c r="M302">
        <v>0</v>
      </c>
      <c r="N302">
        <v>5.7</v>
      </c>
      <c r="O302">
        <f t="shared" si="39"/>
        <v>-5.7</v>
      </c>
      <c r="P302">
        <f t="shared" si="44"/>
        <v>94.700000000000045</v>
      </c>
      <c r="Q302">
        <v>276</v>
      </c>
      <c r="R302">
        <f t="shared" si="45"/>
        <v>1.0689873417721518</v>
      </c>
      <c r="S302" s="9">
        <f t="shared" si="40"/>
        <v>6.0932278481012654</v>
      </c>
      <c r="T302" s="9">
        <f t="shared" si="41"/>
        <v>-6.0932278481012654</v>
      </c>
      <c r="U302" s="9">
        <f t="shared" si="46"/>
        <v>93.877650660429396</v>
      </c>
      <c r="V302" s="9">
        <f>MAX(U295:U311)</f>
        <v>116.56992914144206</v>
      </c>
      <c r="W302">
        <v>3032.9</v>
      </c>
      <c r="Y302">
        <f t="shared" si="42"/>
        <v>217494.6</v>
      </c>
      <c r="Z302" s="35">
        <f t="shared" si="37"/>
        <v>14548.199999999999</v>
      </c>
      <c r="AA302">
        <v>15.391392206390767</v>
      </c>
    </row>
    <row r="303" spans="1:28" x14ac:dyDescent="0.25">
      <c r="A303">
        <v>5240</v>
      </c>
      <c r="B303">
        <v>23690</v>
      </c>
      <c r="C303" s="5">
        <v>42881</v>
      </c>
      <c r="F303" s="46"/>
      <c r="G303">
        <v>20.5</v>
      </c>
      <c r="H303">
        <v>15.4</v>
      </c>
      <c r="I303">
        <v>25.4</v>
      </c>
      <c r="J303">
        <f t="shared" si="43"/>
        <v>2546.4000000000005</v>
      </c>
      <c r="K303" s="35">
        <f t="shared" si="38"/>
        <v>142.9</v>
      </c>
      <c r="L303" s="26" t="s">
        <v>41</v>
      </c>
      <c r="M303">
        <v>0</v>
      </c>
      <c r="N303">
        <v>6.2</v>
      </c>
      <c r="O303">
        <f t="shared" si="39"/>
        <v>-6.2</v>
      </c>
      <c r="P303">
        <f t="shared" si="44"/>
        <v>88.500000000000043</v>
      </c>
      <c r="Q303">
        <v>277</v>
      </c>
      <c r="R303">
        <f t="shared" si="45"/>
        <v>1.0588607594936708</v>
      </c>
      <c r="S303" s="9">
        <f t="shared" si="40"/>
        <v>6.5649367088607589</v>
      </c>
      <c r="T303" s="9">
        <f t="shared" si="41"/>
        <v>-6.5649367088607589</v>
      </c>
      <c r="U303" s="9">
        <f t="shared" si="46"/>
        <v>87.312713951568639</v>
      </c>
      <c r="V303" s="27" t="s">
        <v>48</v>
      </c>
      <c r="W303">
        <v>3086.7</v>
      </c>
      <c r="Y303">
        <f t="shared" si="42"/>
        <v>220581.30000000002</v>
      </c>
      <c r="Z303" s="35">
        <f t="shared" si="37"/>
        <v>17634.899999999998</v>
      </c>
      <c r="AA303">
        <v>15.425578976424891</v>
      </c>
    </row>
    <row r="304" spans="1:28" x14ac:dyDescent="0.25">
      <c r="A304">
        <v>5240</v>
      </c>
      <c r="B304">
        <v>23690</v>
      </c>
      <c r="C304" s="5">
        <v>42882</v>
      </c>
      <c r="F304" s="46"/>
      <c r="G304">
        <v>22.5</v>
      </c>
      <c r="H304">
        <v>16.100000000000001</v>
      </c>
      <c r="I304">
        <v>27.1</v>
      </c>
      <c r="J304">
        <f t="shared" si="43"/>
        <v>2568.9000000000005</v>
      </c>
      <c r="K304" s="35">
        <f t="shared" si="38"/>
        <v>165.4</v>
      </c>
      <c r="L304" s="11">
        <v>6</v>
      </c>
      <c r="M304">
        <v>1.9</v>
      </c>
      <c r="N304">
        <v>3.2</v>
      </c>
      <c r="O304">
        <f t="shared" si="39"/>
        <v>-1.3000000000000003</v>
      </c>
      <c r="P304">
        <f t="shared" si="44"/>
        <v>87.200000000000045</v>
      </c>
      <c r="Q304">
        <v>278</v>
      </c>
      <c r="R304">
        <f t="shared" si="45"/>
        <v>1.0487341772151897</v>
      </c>
      <c r="S304" s="9">
        <f t="shared" si="40"/>
        <v>3.3559493670886074</v>
      </c>
      <c r="T304" s="9">
        <f t="shared" si="41"/>
        <v>-1.4559493670886074</v>
      </c>
      <c r="U304" s="9">
        <f t="shared" si="46"/>
        <v>85.856764584480032</v>
      </c>
      <c r="V304" s="9">
        <f>AVERAGE(U295:U311)</f>
        <v>92.08297456214197</v>
      </c>
      <c r="W304">
        <v>1627.4</v>
      </c>
      <c r="Y304">
        <f t="shared" si="42"/>
        <v>222208.7</v>
      </c>
      <c r="Z304" s="35">
        <f t="shared" si="37"/>
        <v>19262.3</v>
      </c>
      <c r="AA304">
        <v>15.4587229510483</v>
      </c>
    </row>
    <row r="305" spans="1:28" x14ac:dyDescent="0.25">
      <c r="A305">
        <v>5240</v>
      </c>
      <c r="B305">
        <v>23690</v>
      </c>
      <c r="C305" s="5">
        <v>42883</v>
      </c>
      <c r="F305" s="46"/>
      <c r="G305">
        <v>22.8</v>
      </c>
      <c r="H305">
        <v>17.399999999999999</v>
      </c>
      <c r="I305">
        <v>27.3</v>
      </c>
      <c r="J305">
        <f t="shared" si="43"/>
        <v>2591.7000000000007</v>
      </c>
      <c r="K305" s="35">
        <f t="shared" si="38"/>
        <v>188.20000000000002</v>
      </c>
      <c r="L305" s="26" t="s">
        <v>42</v>
      </c>
      <c r="M305">
        <v>0</v>
      </c>
      <c r="N305">
        <v>4.2</v>
      </c>
      <c r="O305">
        <f t="shared" si="39"/>
        <v>-4.2</v>
      </c>
      <c r="P305">
        <f t="shared" si="44"/>
        <v>83.000000000000043</v>
      </c>
      <c r="Q305">
        <v>279</v>
      </c>
      <c r="R305">
        <f t="shared" si="45"/>
        <v>1.0386075949367088</v>
      </c>
      <c r="S305" s="9">
        <f t="shared" si="40"/>
        <v>4.3621518987341776</v>
      </c>
      <c r="T305" s="9">
        <f t="shared" si="41"/>
        <v>-4.3621518987341776</v>
      </c>
      <c r="U305" s="9">
        <f t="shared" si="46"/>
        <v>81.494612685745849</v>
      </c>
      <c r="W305">
        <v>2378.1999999999998</v>
      </c>
      <c r="Y305">
        <f t="shared" si="42"/>
        <v>224586.90000000002</v>
      </c>
      <c r="Z305" s="35">
        <f t="shared" si="37"/>
        <v>21640.5</v>
      </c>
      <c r="AA305">
        <v>15.490800732400974</v>
      </c>
    </row>
    <row r="306" spans="1:28" x14ac:dyDescent="0.25">
      <c r="A306">
        <v>5240</v>
      </c>
      <c r="B306">
        <v>23690</v>
      </c>
      <c r="C306" s="5">
        <v>42884</v>
      </c>
      <c r="F306" s="46"/>
      <c r="G306">
        <v>21.4</v>
      </c>
      <c r="H306">
        <v>20.2</v>
      </c>
      <c r="I306">
        <v>25.3</v>
      </c>
      <c r="J306">
        <f t="shared" si="43"/>
        <v>2613.1000000000008</v>
      </c>
      <c r="K306" s="35">
        <f t="shared" si="38"/>
        <v>209.60000000000002</v>
      </c>
      <c r="L306" s="11">
        <v>0</v>
      </c>
      <c r="M306">
        <v>0.2</v>
      </c>
      <c r="N306">
        <v>3.9</v>
      </c>
      <c r="O306">
        <f t="shared" si="39"/>
        <v>-3.6999999999999997</v>
      </c>
      <c r="P306">
        <f t="shared" si="44"/>
        <v>79.30000000000004</v>
      </c>
      <c r="Q306">
        <v>280</v>
      </c>
      <c r="R306">
        <f t="shared" si="45"/>
        <v>1.0284810126582278</v>
      </c>
      <c r="S306" s="9">
        <f t="shared" si="40"/>
        <v>4.011075949367088</v>
      </c>
      <c r="T306" s="9">
        <f t="shared" si="41"/>
        <v>-3.8110759493670878</v>
      </c>
      <c r="U306" s="9">
        <f t="shared" si="46"/>
        <v>77.683536736378755</v>
      </c>
      <c r="V306" s="32">
        <f>(V304*100)/218.9</f>
        <v>42.066228671604371</v>
      </c>
      <c r="W306">
        <v>1971.3</v>
      </c>
      <c r="Y306">
        <f t="shared" si="42"/>
        <v>226558.2</v>
      </c>
      <c r="Z306" s="35">
        <f t="shared" si="37"/>
        <v>23611.8</v>
      </c>
      <c r="AA306">
        <v>15.521789229405501</v>
      </c>
    </row>
    <row r="307" spans="1:28" x14ac:dyDescent="0.25">
      <c r="A307">
        <v>5240</v>
      </c>
      <c r="B307">
        <v>23690</v>
      </c>
      <c r="C307" s="5">
        <v>42885</v>
      </c>
      <c r="F307" s="46"/>
      <c r="G307">
        <v>17.8</v>
      </c>
      <c r="H307">
        <v>15.9</v>
      </c>
      <c r="I307">
        <v>21.1</v>
      </c>
      <c r="J307">
        <f t="shared" si="43"/>
        <v>2630.900000000001</v>
      </c>
      <c r="K307" s="35">
        <f t="shared" si="38"/>
        <v>227.40000000000003</v>
      </c>
      <c r="L307" s="26" t="s">
        <v>43</v>
      </c>
      <c r="M307">
        <v>0</v>
      </c>
      <c r="N307">
        <v>2.5</v>
      </c>
      <c r="O307">
        <f t="shared" si="39"/>
        <v>-2.5</v>
      </c>
      <c r="P307">
        <f t="shared" si="44"/>
        <v>76.80000000000004</v>
      </c>
      <c r="Q307">
        <v>281</v>
      </c>
      <c r="R307">
        <f t="shared" si="45"/>
        <v>1.0183544303797467</v>
      </c>
      <c r="S307" s="9">
        <f t="shared" si="40"/>
        <v>2.5458860759493667</v>
      </c>
      <c r="T307" s="9">
        <f t="shared" si="41"/>
        <v>-2.5458860759493667</v>
      </c>
      <c r="U307" s="9">
        <f t="shared" si="46"/>
        <v>75.137650660429387</v>
      </c>
      <c r="W307">
        <v>1187.5999999999999</v>
      </c>
      <c r="Y307">
        <f t="shared" si="42"/>
        <v>227745.80000000002</v>
      </c>
      <c r="Z307" s="35">
        <f t="shared" si="37"/>
        <v>24799.399999999998</v>
      </c>
      <c r="AA307">
        <v>15.551665710642503</v>
      </c>
    </row>
    <row r="308" spans="1:28" x14ac:dyDescent="0.25">
      <c r="A308">
        <v>5240</v>
      </c>
      <c r="B308">
        <v>23690</v>
      </c>
      <c r="C308" s="5">
        <v>42886</v>
      </c>
      <c r="F308" s="46"/>
      <c r="G308">
        <v>17.899999999999999</v>
      </c>
      <c r="H308">
        <v>12.2</v>
      </c>
      <c r="I308">
        <v>22</v>
      </c>
      <c r="J308">
        <f t="shared" si="43"/>
        <v>2648.8000000000011</v>
      </c>
      <c r="K308" s="35">
        <f t="shared" si="38"/>
        <v>245.30000000000004</v>
      </c>
      <c r="L308" s="22">
        <v>0</v>
      </c>
      <c r="M308">
        <v>0</v>
      </c>
      <c r="N308">
        <v>3.3</v>
      </c>
      <c r="O308">
        <f t="shared" si="39"/>
        <v>-3.3</v>
      </c>
      <c r="P308">
        <f t="shared" si="44"/>
        <v>73.500000000000043</v>
      </c>
      <c r="Q308">
        <v>282</v>
      </c>
      <c r="R308">
        <f t="shared" si="45"/>
        <v>1.0082278481012659</v>
      </c>
      <c r="S308" s="9">
        <f t="shared" si="40"/>
        <v>3.327151898734177</v>
      </c>
      <c r="T308" s="9">
        <f t="shared" si="41"/>
        <v>-3.327151898734177</v>
      </c>
      <c r="U308" s="9">
        <f t="shared" si="46"/>
        <v>71.810498761695214</v>
      </c>
      <c r="W308">
        <v>1979.5</v>
      </c>
      <c r="Y308">
        <f t="shared" si="42"/>
        <v>229725.30000000002</v>
      </c>
      <c r="Z308" s="35">
        <f t="shared" si="37"/>
        <v>26778.899999999998</v>
      </c>
      <c r="AA308">
        <v>15.580407858178248</v>
      </c>
    </row>
    <row r="309" spans="1:28" x14ac:dyDescent="0.25">
      <c r="A309">
        <v>5240</v>
      </c>
      <c r="B309">
        <v>23690</v>
      </c>
      <c r="C309" s="5">
        <v>42887</v>
      </c>
      <c r="F309" s="46"/>
      <c r="G309">
        <v>20.5</v>
      </c>
      <c r="H309">
        <v>14.9</v>
      </c>
      <c r="I309">
        <v>25.2</v>
      </c>
      <c r="J309">
        <f t="shared" si="43"/>
        <v>2669.3000000000011</v>
      </c>
      <c r="K309" s="35">
        <f t="shared" si="38"/>
        <v>265.80000000000007</v>
      </c>
      <c r="M309">
        <v>0</v>
      </c>
      <c r="N309">
        <v>4.5</v>
      </c>
      <c r="O309">
        <f t="shared" si="39"/>
        <v>-4.5</v>
      </c>
      <c r="P309">
        <f t="shared" si="44"/>
        <v>69.000000000000043</v>
      </c>
      <c r="Q309">
        <v>283</v>
      </c>
      <c r="R309">
        <f t="shared" si="45"/>
        <v>0.99810126582278469</v>
      </c>
      <c r="S309" s="9">
        <f t="shared" si="40"/>
        <v>4.4914556962025314</v>
      </c>
      <c r="T309" s="9">
        <f t="shared" si="41"/>
        <v>-4.4914556962025314</v>
      </c>
      <c r="U309" s="9">
        <f t="shared" si="46"/>
        <v>67.319043065492679</v>
      </c>
      <c r="W309">
        <v>2377.6999999999998</v>
      </c>
      <c r="Y309">
        <f t="shared" si="42"/>
        <v>232103.00000000003</v>
      </c>
      <c r="Z309" s="35">
        <f t="shared" si="37"/>
        <v>29156.6</v>
      </c>
      <c r="AA309">
        <v>15.607993822129092</v>
      </c>
    </row>
    <row r="310" spans="1:28" x14ac:dyDescent="0.25">
      <c r="A310">
        <v>5240</v>
      </c>
      <c r="B310">
        <v>23690</v>
      </c>
      <c r="C310" s="5">
        <v>42888</v>
      </c>
      <c r="F310" s="46"/>
      <c r="G310">
        <v>19.899999999999999</v>
      </c>
      <c r="H310">
        <v>16.899999999999999</v>
      </c>
      <c r="I310">
        <v>27.5</v>
      </c>
      <c r="J310">
        <f t="shared" si="43"/>
        <v>2689.2000000000012</v>
      </c>
      <c r="K310" s="35">
        <f t="shared" si="38"/>
        <v>285.70000000000005</v>
      </c>
      <c r="M310">
        <v>15.8</v>
      </c>
      <c r="N310">
        <v>3.4</v>
      </c>
      <c r="O310">
        <f t="shared" si="39"/>
        <v>12.4</v>
      </c>
      <c r="P310">
        <f t="shared" si="44"/>
        <v>81.400000000000048</v>
      </c>
      <c r="Q310">
        <v>284</v>
      </c>
      <c r="R310">
        <f t="shared" si="45"/>
        <v>0.98797468354430373</v>
      </c>
      <c r="S310" s="9">
        <f t="shared" si="40"/>
        <v>3.3591139240506327</v>
      </c>
      <c r="T310" s="9">
        <f t="shared" si="41"/>
        <v>12.440886075949368</v>
      </c>
      <c r="U310" s="9">
        <f t="shared" si="46"/>
        <v>79.759929141442043</v>
      </c>
      <c r="W310">
        <v>1626.9</v>
      </c>
      <c r="Y310">
        <f t="shared" si="42"/>
        <v>233729.90000000002</v>
      </c>
      <c r="Z310" s="35">
        <f t="shared" si="37"/>
        <v>30783.5</v>
      </c>
      <c r="AA310">
        <v>15.634402275730878</v>
      </c>
    </row>
    <row r="311" spans="1:28" s="14" customFormat="1" ht="15.75" thickBot="1" x14ac:dyDescent="0.3">
      <c r="A311" s="14">
        <v>5240</v>
      </c>
      <c r="B311" s="14">
        <v>23690</v>
      </c>
      <c r="C311" s="15">
        <v>42889</v>
      </c>
      <c r="F311" s="47"/>
      <c r="G311" s="14">
        <v>14.4</v>
      </c>
      <c r="H311" s="14">
        <v>13.9</v>
      </c>
      <c r="I311" s="14">
        <v>17.399999999999999</v>
      </c>
      <c r="J311" s="14">
        <f t="shared" si="43"/>
        <v>2703.6000000000013</v>
      </c>
      <c r="K311" s="14">
        <f t="shared" si="38"/>
        <v>300.10000000000002</v>
      </c>
      <c r="M311" s="14">
        <v>2.6</v>
      </c>
      <c r="N311" s="14">
        <v>1.6</v>
      </c>
      <c r="O311" s="14">
        <f t="shared" si="39"/>
        <v>1</v>
      </c>
      <c r="P311" s="14">
        <f t="shared" si="44"/>
        <v>82.400000000000048</v>
      </c>
      <c r="Q311" s="14">
        <v>285</v>
      </c>
      <c r="R311" s="14">
        <f t="shared" si="45"/>
        <v>0.97784810126582267</v>
      </c>
      <c r="S311" s="16">
        <f t="shared" si="40"/>
        <v>1.5645569620253164</v>
      </c>
      <c r="T311" s="16">
        <f t="shared" si="41"/>
        <v>1.0354430379746837</v>
      </c>
      <c r="U311" s="16">
        <f t="shared" si="46"/>
        <v>80.795372179416731</v>
      </c>
      <c r="W311" s="14">
        <v>880.4</v>
      </c>
      <c r="Y311" s="14">
        <f t="shared" si="42"/>
        <v>234610.30000000002</v>
      </c>
      <c r="Z311" s="14">
        <f t="shared" si="37"/>
        <v>31663.9</v>
      </c>
      <c r="AA311" s="14">
        <v>15.65961247066577</v>
      </c>
    </row>
    <row r="312" spans="1:28" s="35" customFormat="1" x14ac:dyDescent="0.25">
      <c r="A312" s="35">
        <v>5240</v>
      </c>
      <c r="B312" s="35">
        <v>23690</v>
      </c>
      <c r="C312" s="36">
        <v>42890</v>
      </c>
      <c r="F312" s="48" t="s">
        <v>58</v>
      </c>
      <c r="G312" s="35">
        <v>14.7</v>
      </c>
      <c r="H312" s="35">
        <v>9</v>
      </c>
      <c r="I312" s="35">
        <v>19.3</v>
      </c>
      <c r="J312" s="35">
        <f t="shared" si="43"/>
        <v>2718.3000000000011</v>
      </c>
      <c r="K312" s="35">
        <f t="shared" si="38"/>
        <v>314.8</v>
      </c>
      <c r="L312" s="28" t="s">
        <v>37</v>
      </c>
      <c r="M312" s="35">
        <v>0</v>
      </c>
      <c r="N312" s="35">
        <v>2.4</v>
      </c>
      <c r="O312" s="35">
        <f t="shared" si="39"/>
        <v>-2.4</v>
      </c>
      <c r="P312" s="35">
        <f t="shared" si="44"/>
        <v>80.000000000000043</v>
      </c>
      <c r="Q312" s="35">
        <v>286</v>
      </c>
      <c r="R312">
        <f t="shared" si="45"/>
        <v>0.96772151898734171</v>
      </c>
      <c r="S312" s="37">
        <f t="shared" si="40"/>
        <v>2.3225316455696201</v>
      </c>
      <c r="T312" s="37">
        <f t="shared" si="41"/>
        <v>-2.3225316455696201</v>
      </c>
      <c r="U312" s="9">
        <f t="shared" si="46"/>
        <v>78.472840533847105</v>
      </c>
      <c r="V312" s="29" t="s">
        <v>44</v>
      </c>
      <c r="W312" s="35">
        <v>1642.1</v>
      </c>
      <c r="Y312" s="35">
        <f t="shared" si="42"/>
        <v>236252.40000000002</v>
      </c>
      <c r="Z312" s="35">
        <f>W312</f>
        <v>1642.1</v>
      </c>
      <c r="AA312" s="35">
        <v>15.683604292384633</v>
      </c>
      <c r="AB312" s="29" t="s">
        <v>49</v>
      </c>
    </row>
    <row r="313" spans="1:28" ht="15" customHeight="1" x14ac:dyDescent="0.25">
      <c r="A313">
        <v>5240</v>
      </c>
      <c r="B313">
        <v>23690</v>
      </c>
      <c r="C313" s="5">
        <v>42891</v>
      </c>
      <c r="F313" s="49"/>
      <c r="G313">
        <v>16.2</v>
      </c>
      <c r="H313">
        <v>11.7</v>
      </c>
      <c r="I313">
        <v>20.5</v>
      </c>
      <c r="J313">
        <f t="shared" si="43"/>
        <v>2734.5000000000009</v>
      </c>
      <c r="K313" s="35">
        <f t="shared" si="38"/>
        <v>331</v>
      </c>
      <c r="L313" s="11">
        <v>414.3</v>
      </c>
      <c r="M313">
        <v>6.8</v>
      </c>
      <c r="N313">
        <v>3.3</v>
      </c>
      <c r="O313">
        <f t="shared" si="39"/>
        <v>3.5</v>
      </c>
      <c r="P313">
        <f t="shared" si="44"/>
        <v>83.500000000000043</v>
      </c>
      <c r="Q313">
        <v>287</v>
      </c>
      <c r="R313">
        <f t="shared" si="45"/>
        <v>0.95759493670886064</v>
      </c>
      <c r="S313" s="9">
        <f t="shared" si="40"/>
        <v>3.1600632911392399</v>
      </c>
      <c r="T313" s="9">
        <f t="shared" si="41"/>
        <v>3.6399367088607599</v>
      </c>
      <c r="U313" s="9">
        <f t="shared" si="46"/>
        <v>82.112777242707864</v>
      </c>
      <c r="V313">
        <v>0</v>
      </c>
      <c r="W313">
        <v>1768.9</v>
      </c>
      <c r="Y313">
        <f t="shared" si="42"/>
        <v>238021.30000000002</v>
      </c>
      <c r="Z313" s="35">
        <f t="shared" si="37"/>
        <v>3411</v>
      </c>
      <c r="AA313">
        <v>15.706358315150505</v>
      </c>
      <c r="AB313">
        <v>47203.8</v>
      </c>
    </row>
    <row r="314" spans="1:28" x14ac:dyDescent="0.25">
      <c r="A314">
        <v>5240</v>
      </c>
      <c r="B314">
        <v>23690</v>
      </c>
      <c r="C314" s="5">
        <v>42892</v>
      </c>
      <c r="F314" s="49"/>
      <c r="G314">
        <v>12.3</v>
      </c>
      <c r="H314">
        <v>11.1</v>
      </c>
      <c r="I314">
        <v>13.9</v>
      </c>
      <c r="J314">
        <f t="shared" si="43"/>
        <v>2746.8000000000011</v>
      </c>
      <c r="K314" s="35">
        <f t="shared" si="38"/>
        <v>343.3</v>
      </c>
      <c r="L314" s="28" t="s">
        <v>38</v>
      </c>
      <c r="M314">
        <v>2.2999999999999998</v>
      </c>
      <c r="N314">
        <v>2.7</v>
      </c>
      <c r="O314">
        <f t="shared" si="39"/>
        <v>-0.40000000000000036</v>
      </c>
      <c r="P314">
        <f t="shared" si="44"/>
        <v>83.100000000000037</v>
      </c>
      <c r="Q314">
        <v>288</v>
      </c>
      <c r="R314">
        <f t="shared" si="45"/>
        <v>0.94746835443037969</v>
      </c>
      <c r="S314" s="9">
        <f t="shared" si="40"/>
        <v>2.5581645569620255</v>
      </c>
      <c r="T314" s="9">
        <f t="shared" si="41"/>
        <v>-0.25816455696202567</v>
      </c>
      <c r="U314" s="9">
        <f t="shared" si="46"/>
        <v>81.854612685745835</v>
      </c>
      <c r="V314" s="29" t="s">
        <v>45</v>
      </c>
      <c r="W314">
        <v>1946.8</v>
      </c>
      <c r="Y314">
        <f t="shared" si="42"/>
        <v>239968.1</v>
      </c>
      <c r="Z314" s="35">
        <f t="shared" si="37"/>
        <v>5357.8</v>
      </c>
      <c r="AA314">
        <v>15.727855856517744</v>
      </c>
      <c r="AB314" s="29" t="s">
        <v>50</v>
      </c>
    </row>
    <row r="315" spans="1:28" x14ac:dyDescent="0.25">
      <c r="A315">
        <v>5240</v>
      </c>
      <c r="B315">
        <v>23690</v>
      </c>
      <c r="C315" s="5">
        <v>42893</v>
      </c>
      <c r="F315" s="49"/>
      <c r="G315">
        <v>14</v>
      </c>
      <c r="H315">
        <v>9.5</v>
      </c>
      <c r="I315">
        <v>18.600000000000001</v>
      </c>
      <c r="J315">
        <f t="shared" si="43"/>
        <v>2760.8000000000011</v>
      </c>
      <c r="K315" s="35">
        <f t="shared" si="38"/>
        <v>357.3</v>
      </c>
      <c r="L315" s="41">
        <f>AVERAGE(G312:G332)</f>
        <v>19.728571428571428</v>
      </c>
      <c r="M315">
        <v>0</v>
      </c>
      <c r="N315">
        <v>3.4</v>
      </c>
      <c r="O315">
        <f t="shared" si="39"/>
        <v>-3.4</v>
      </c>
      <c r="P315">
        <f t="shared" si="44"/>
        <v>79.700000000000031</v>
      </c>
      <c r="Q315">
        <v>289</v>
      </c>
      <c r="R315">
        <f t="shared" si="45"/>
        <v>0.93734177215189862</v>
      </c>
      <c r="S315" s="9">
        <f t="shared" si="40"/>
        <v>3.1869620253164554</v>
      </c>
      <c r="T315" s="9">
        <f t="shared" si="41"/>
        <v>-3.1869620253164554</v>
      </c>
      <c r="U315" s="9">
        <f t="shared" si="46"/>
        <v>78.667650660429373</v>
      </c>
      <c r="V315">
        <v>12</v>
      </c>
      <c r="W315">
        <v>2008.2</v>
      </c>
      <c r="Y315">
        <f t="shared" si="42"/>
        <v>241976.30000000002</v>
      </c>
      <c r="Z315" s="35">
        <f t="shared" si="37"/>
        <v>7366</v>
      </c>
      <c r="AA315">
        <v>15.748079030952661</v>
      </c>
      <c r="AB315">
        <f>(AB313/100)/L313</f>
        <v>1.1393627805937727</v>
      </c>
    </row>
    <row r="316" spans="1:28" x14ac:dyDescent="0.25">
      <c r="A316">
        <v>5240</v>
      </c>
      <c r="B316">
        <v>23690</v>
      </c>
      <c r="C316" s="5">
        <v>42894</v>
      </c>
      <c r="F316" s="49"/>
      <c r="G316">
        <v>18.399999999999999</v>
      </c>
      <c r="H316">
        <v>11</v>
      </c>
      <c r="I316">
        <v>25.1</v>
      </c>
      <c r="J316">
        <f t="shared" si="43"/>
        <v>2779.2000000000012</v>
      </c>
      <c r="K316" s="35">
        <f t="shared" si="38"/>
        <v>375.7</v>
      </c>
      <c r="L316" s="28" t="s">
        <v>39</v>
      </c>
      <c r="M316">
        <v>14.9</v>
      </c>
      <c r="N316">
        <v>4.0999999999999996</v>
      </c>
      <c r="O316">
        <f t="shared" si="39"/>
        <v>10.8</v>
      </c>
      <c r="P316">
        <f t="shared" si="44"/>
        <v>90.500000000000028</v>
      </c>
      <c r="Q316">
        <v>290</v>
      </c>
      <c r="R316">
        <f t="shared" si="45"/>
        <v>0.92721518987341767</v>
      </c>
      <c r="S316" s="9">
        <f t="shared" si="40"/>
        <v>3.8015822784810123</v>
      </c>
      <c r="T316" s="9">
        <f t="shared" si="41"/>
        <v>11.098417721518988</v>
      </c>
      <c r="U316" s="9">
        <f t="shared" si="46"/>
        <v>89.766068381948358</v>
      </c>
      <c r="V316" s="29" t="s">
        <v>46</v>
      </c>
      <c r="W316">
        <v>2338.6999999999998</v>
      </c>
      <c r="Y316">
        <f t="shared" si="42"/>
        <v>244315.00000000003</v>
      </c>
      <c r="Z316" s="35">
        <f t="shared" si="37"/>
        <v>9704.7000000000007</v>
      </c>
      <c r="AA316">
        <v>15.767010802295108</v>
      </c>
      <c r="AB316" s="29" t="s">
        <v>51</v>
      </c>
    </row>
    <row r="317" spans="1:28" x14ac:dyDescent="0.25">
      <c r="A317">
        <v>5240</v>
      </c>
      <c r="B317">
        <v>23690</v>
      </c>
      <c r="C317" s="5">
        <v>42895</v>
      </c>
      <c r="F317" s="49"/>
      <c r="G317">
        <v>17.899999999999999</v>
      </c>
      <c r="H317">
        <v>15.4</v>
      </c>
      <c r="I317">
        <v>20.8</v>
      </c>
      <c r="J317">
        <f t="shared" si="43"/>
        <v>2797.1000000000013</v>
      </c>
      <c r="K317" s="35">
        <f t="shared" si="38"/>
        <v>393.59999999999997</v>
      </c>
      <c r="L317" s="12">
        <f>MIN(H312:H332)</f>
        <v>9</v>
      </c>
      <c r="M317">
        <v>0</v>
      </c>
      <c r="N317">
        <v>2.9</v>
      </c>
      <c r="O317">
        <f t="shared" si="39"/>
        <v>-2.9</v>
      </c>
      <c r="P317">
        <f t="shared" si="44"/>
        <v>87.600000000000023</v>
      </c>
      <c r="Q317">
        <v>291</v>
      </c>
      <c r="R317">
        <f t="shared" si="45"/>
        <v>0.9170886075949366</v>
      </c>
      <c r="S317" s="9">
        <f t="shared" si="40"/>
        <v>2.6595569620253161</v>
      </c>
      <c r="T317" s="9">
        <f t="shared" si="41"/>
        <v>-2.6595569620253161</v>
      </c>
      <c r="U317" s="9">
        <f t="shared" si="46"/>
        <v>87.106511419923038</v>
      </c>
      <c r="V317" s="9">
        <f>MIN(U312:U332)</f>
        <v>23.836258255366083</v>
      </c>
      <c r="W317">
        <v>1511.7</v>
      </c>
      <c r="Y317">
        <f t="shared" si="42"/>
        <v>245826.70000000004</v>
      </c>
      <c r="Z317" s="35">
        <f t="shared" si="37"/>
        <v>11216.400000000001</v>
      </c>
      <c r="AA317">
        <v>15.784635034756553</v>
      </c>
      <c r="AB317">
        <v>0</v>
      </c>
    </row>
    <row r="318" spans="1:28" x14ac:dyDescent="0.25">
      <c r="A318">
        <v>5240</v>
      </c>
      <c r="B318">
        <v>23690</v>
      </c>
      <c r="C318" s="5">
        <v>42896</v>
      </c>
      <c r="F318" s="49"/>
      <c r="G318">
        <v>19.8</v>
      </c>
      <c r="H318">
        <v>14.6</v>
      </c>
      <c r="I318">
        <v>25</v>
      </c>
      <c r="J318">
        <f t="shared" si="43"/>
        <v>2816.9000000000015</v>
      </c>
      <c r="K318" s="35">
        <f t="shared" si="38"/>
        <v>413.4</v>
      </c>
      <c r="L318" s="28" t="s">
        <v>40</v>
      </c>
      <c r="M318">
        <v>0</v>
      </c>
      <c r="N318">
        <v>6</v>
      </c>
      <c r="O318">
        <f t="shared" si="39"/>
        <v>-6</v>
      </c>
      <c r="P318">
        <f t="shared" si="44"/>
        <v>81.600000000000023</v>
      </c>
      <c r="Q318">
        <v>292</v>
      </c>
      <c r="R318">
        <f t="shared" si="45"/>
        <v>0.90696202531645564</v>
      </c>
      <c r="S318" s="9">
        <f t="shared" si="40"/>
        <v>5.4417721518987339</v>
      </c>
      <c r="T318" s="9">
        <f t="shared" si="41"/>
        <v>-5.4417721518987339</v>
      </c>
      <c r="U318" s="9">
        <f t="shared" si="46"/>
        <v>81.664739268024306</v>
      </c>
      <c r="V318" s="29" t="s">
        <v>47</v>
      </c>
      <c r="W318">
        <v>3040.5</v>
      </c>
      <c r="Y318">
        <f t="shared" si="42"/>
        <v>248867.20000000004</v>
      </c>
      <c r="Z318" s="35">
        <f t="shared" ref="Z318:Z373" si="47">Z317+W318</f>
        <v>14256.900000000001</v>
      </c>
      <c r="AA318">
        <v>15.800936542149111</v>
      </c>
    </row>
    <row r="319" spans="1:28" x14ac:dyDescent="0.25">
      <c r="A319">
        <v>5240</v>
      </c>
      <c r="B319">
        <v>23690</v>
      </c>
      <c r="C319" s="5">
        <v>42897</v>
      </c>
      <c r="F319" s="49"/>
      <c r="G319">
        <v>20.5</v>
      </c>
      <c r="H319">
        <v>15</v>
      </c>
      <c r="I319">
        <v>27.5</v>
      </c>
      <c r="J319">
        <f t="shared" si="43"/>
        <v>2837.4000000000015</v>
      </c>
      <c r="K319" s="35">
        <f t="shared" si="38"/>
        <v>433.9</v>
      </c>
      <c r="L319" s="11">
        <f>MAX(I312:I332)</f>
        <v>34.200000000000003</v>
      </c>
      <c r="M319">
        <v>0</v>
      </c>
      <c r="N319">
        <v>4.7</v>
      </c>
      <c r="O319">
        <f t="shared" si="39"/>
        <v>-4.7</v>
      </c>
      <c r="P319">
        <f t="shared" si="44"/>
        <v>76.90000000000002</v>
      </c>
      <c r="Q319">
        <v>293</v>
      </c>
      <c r="R319">
        <f t="shared" si="45"/>
        <v>0.89683544303797458</v>
      </c>
      <c r="S319" s="9">
        <f t="shared" si="40"/>
        <v>4.2151265822784802</v>
      </c>
      <c r="T319" s="9">
        <f t="shared" si="41"/>
        <v>-4.2151265822784802</v>
      </c>
      <c r="U319" s="9">
        <f t="shared" si="46"/>
        <v>77.449612685745819</v>
      </c>
      <c r="V319" s="9">
        <f>MAX(U312:U332)</f>
        <v>89.766068381948358</v>
      </c>
      <c r="W319">
        <v>2040.9</v>
      </c>
      <c r="Y319">
        <f t="shared" si="42"/>
        <v>250908.10000000003</v>
      </c>
      <c r="Z319" s="35">
        <f t="shared" si="47"/>
        <v>16297.800000000001</v>
      </c>
      <c r="AA319">
        <v>15.81590113504185</v>
      </c>
    </row>
    <row r="320" spans="1:28" x14ac:dyDescent="0.25">
      <c r="A320">
        <v>5240</v>
      </c>
      <c r="B320">
        <v>23690</v>
      </c>
      <c r="C320" s="5">
        <v>42898</v>
      </c>
      <c r="F320" s="49"/>
      <c r="G320">
        <v>16.399999999999999</v>
      </c>
      <c r="H320">
        <v>13.2</v>
      </c>
      <c r="I320">
        <v>20.100000000000001</v>
      </c>
      <c r="J320">
        <f t="shared" si="43"/>
        <v>2853.8000000000015</v>
      </c>
      <c r="K320" s="35">
        <f t="shared" ref="K320:K373" si="48">K319+G320</f>
        <v>450.29999999999995</v>
      </c>
      <c r="L320" s="28" t="s">
        <v>41</v>
      </c>
      <c r="M320">
        <v>0</v>
      </c>
      <c r="N320">
        <v>4.2</v>
      </c>
      <c r="O320">
        <f t="shared" si="39"/>
        <v>-4.2</v>
      </c>
      <c r="P320">
        <f t="shared" si="44"/>
        <v>72.700000000000017</v>
      </c>
      <c r="Q320">
        <v>294</v>
      </c>
      <c r="R320">
        <f t="shared" si="45"/>
        <v>0.88670886075949362</v>
      </c>
      <c r="S320" s="9">
        <f t="shared" si="40"/>
        <v>3.7241772151898735</v>
      </c>
      <c r="T320" s="9">
        <f t="shared" si="41"/>
        <v>-3.7241772151898735</v>
      </c>
      <c r="U320" s="9">
        <f t="shared" si="46"/>
        <v>73.725435470555951</v>
      </c>
      <c r="V320" s="29" t="s">
        <v>48</v>
      </c>
      <c r="W320">
        <v>2190.9</v>
      </c>
      <c r="Y320">
        <f t="shared" si="42"/>
        <v>253099.00000000003</v>
      </c>
      <c r="Z320" s="35">
        <f t="shared" si="47"/>
        <v>18488.7</v>
      </c>
      <c r="AA320">
        <v>15.829515665545397</v>
      </c>
    </row>
    <row r="321" spans="1:27" x14ac:dyDescent="0.25">
      <c r="A321">
        <v>5240</v>
      </c>
      <c r="B321">
        <v>23690</v>
      </c>
      <c r="C321" s="5">
        <v>42899</v>
      </c>
      <c r="F321" s="49"/>
      <c r="G321">
        <v>16.399999999999999</v>
      </c>
      <c r="H321">
        <v>10.8</v>
      </c>
      <c r="I321">
        <v>20.9</v>
      </c>
      <c r="J321">
        <f t="shared" si="43"/>
        <v>2870.2000000000016</v>
      </c>
      <c r="K321" s="35">
        <f t="shared" si="48"/>
        <v>466.69999999999993</v>
      </c>
      <c r="L321" s="11">
        <v>11</v>
      </c>
      <c r="M321">
        <v>0</v>
      </c>
      <c r="N321">
        <v>4.5</v>
      </c>
      <c r="O321">
        <f t="shared" si="39"/>
        <v>-4.5</v>
      </c>
      <c r="P321">
        <f t="shared" si="44"/>
        <v>68.200000000000017</v>
      </c>
      <c r="Q321">
        <v>295</v>
      </c>
      <c r="R321">
        <f t="shared" si="45"/>
        <v>0.87658227848101267</v>
      </c>
      <c r="S321" s="9">
        <f t="shared" si="40"/>
        <v>3.9446202531645569</v>
      </c>
      <c r="T321" s="9">
        <f t="shared" si="41"/>
        <v>-3.9446202531645569</v>
      </c>
      <c r="U321" s="9">
        <f t="shared" si="46"/>
        <v>69.780815217391392</v>
      </c>
      <c r="V321" s="9">
        <f>AVERAGE(U312:U332)</f>
        <v>61.577665729748226</v>
      </c>
      <c r="W321">
        <v>2745.9</v>
      </c>
      <c r="Y321">
        <f t="shared" si="42"/>
        <v>255844.90000000002</v>
      </c>
      <c r="Z321" s="35">
        <f t="shared" si="47"/>
        <v>21234.600000000002</v>
      </c>
      <c r="AA321">
        <v>15.841768069434071</v>
      </c>
    </row>
    <row r="322" spans="1:27" x14ac:dyDescent="0.25">
      <c r="A322">
        <v>5240</v>
      </c>
      <c r="B322">
        <v>23690</v>
      </c>
      <c r="C322" s="5">
        <v>42900</v>
      </c>
      <c r="F322" s="49"/>
      <c r="G322">
        <v>21.6</v>
      </c>
      <c r="H322">
        <v>15</v>
      </c>
      <c r="I322">
        <v>27.3</v>
      </c>
      <c r="J322">
        <f t="shared" si="43"/>
        <v>2891.8000000000015</v>
      </c>
      <c r="K322" s="35">
        <f t="shared" si="48"/>
        <v>488.29999999999995</v>
      </c>
      <c r="L322" s="28" t="s">
        <v>42</v>
      </c>
      <c r="M322">
        <v>0</v>
      </c>
      <c r="N322">
        <v>3.1</v>
      </c>
      <c r="O322">
        <f t="shared" si="39"/>
        <v>-3.1</v>
      </c>
      <c r="P322">
        <f t="shared" si="44"/>
        <v>65.100000000000023</v>
      </c>
      <c r="Q322">
        <v>296</v>
      </c>
      <c r="R322">
        <f t="shared" si="45"/>
        <v>0.8664556962025316</v>
      </c>
      <c r="S322" s="9">
        <f t="shared" si="40"/>
        <v>2.6860126582278481</v>
      </c>
      <c r="T322" s="9">
        <f t="shared" si="41"/>
        <v>-2.6860126582278481</v>
      </c>
      <c r="U322" s="9">
        <f t="shared" si="46"/>
        <v>67.09480255916354</v>
      </c>
      <c r="V322" t="s">
        <v>59</v>
      </c>
      <c r="W322">
        <v>1462.1</v>
      </c>
      <c r="Y322">
        <f t="shared" si="42"/>
        <v>257307.00000000003</v>
      </c>
      <c r="Z322" s="35">
        <f t="shared" si="47"/>
        <v>22696.7</v>
      </c>
      <c r="AA322">
        <v>15.852647405325641</v>
      </c>
    </row>
    <row r="323" spans="1:27" x14ac:dyDescent="0.25">
      <c r="A323">
        <v>5240</v>
      </c>
      <c r="B323">
        <v>23690</v>
      </c>
      <c r="C323" s="5">
        <v>42901</v>
      </c>
      <c r="F323" s="49"/>
      <c r="G323">
        <v>22</v>
      </c>
      <c r="H323">
        <v>19.2</v>
      </c>
      <c r="I323">
        <v>27.2</v>
      </c>
      <c r="J323">
        <f t="shared" si="43"/>
        <v>2913.8000000000015</v>
      </c>
      <c r="K323" s="35">
        <f t="shared" si="48"/>
        <v>510.29999999999995</v>
      </c>
      <c r="L323" s="11">
        <v>0</v>
      </c>
      <c r="M323">
        <v>0</v>
      </c>
      <c r="N323">
        <v>5.3</v>
      </c>
      <c r="O323">
        <f t="shared" si="39"/>
        <v>-5.3</v>
      </c>
      <c r="P323">
        <f t="shared" si="44"/>
        <v>59.800000000000026</v>
      </c>
      <c r="Q323">
        <v>297</v>
      </c>
      <c r="R323">
        <f t="shared" si="45"/>
        <v>0.85632911392405053</v>
      </c>
      <c r="S323" s="9">
        <f t="shared" si="40"/>
        <v>4.538544303797468</v>
      </c>
      <c r="T323" s="9">
        <f t="shared" si="41"/>
        <v>-4.538544303797468</v>
      </c>
      <c r="U323" s="9">
        <f t="shared" si="46"/>
        <v>62.556258255366075</v>
      </c>
      <c r="V323" s="32">
        <f>(V321*100)/218.9</f>
        <v>28.130500561785393</v>
      </c>
      <c r="W323">
        <v>2418.5</v>
      </c>
      <c r="Y323">
        <f t="shared" si="42"/>
        <v>259725.50000000003</v>
      </c>
      <c r="Z323" s="35">
        <f t="shared" si="47"/>
        <v>25115.200000000001</v>
      </c>
      <c r="AA323">
        <v>15.862143890653256</v>
      </c>
    </row>
    <row r="324" spans="1:27" x14ac:dyDescent="0.25">
      <c r="A324">
        <v>5240</v>
      </c>
      <c r="B324">
        <v>23690</v>
      </c>
      <c r="C324" s="5">
        <v>42902</v>
      </c>
      <c r="F324" s="49"/>
      <c r="G324">
        <v>17.399999999999999</v>
      </c>
      <c r="H324">
        <v>13.6</v>
      </c>
      <c r="I324">
        <v>21.5</v>
      </c>
      <c r="J324">
        <f t="shared" si="43"/>
        <v>2931.2000000000016</v>
      </c>
      <c r="K324" s="35">
        <f t="shared" si="48"/>
        <v>527.69999999999993</v>
      </c>
      <c r="L324" s="28" t="s">
        <v>43</v>
      </c>
      <c r="M324">
        <v>0</v>
      </c>
      <c r="N324">
        <v>4.9000000000000004</v>
      </c>
      <c r="O324">
        <f t="shared" si="39"/>
        <v>-4.9000000000000004</v>
      </c>
      <c r="P324">
        <f t="shared" si="44"/>
        <v>54.900000000000027</v>
      </c>
      <c r="Q324">
        <v>298</v>
      </c>
      <c r="R324">
        <f t="shared" si="45"/>
        <v>0.84620253164556947</v>
      </c>
      <c r="S324" s="9">
        <f t="shared" si="40"/>
        <v>4.146392405063291</v>
      </c>
      <c r="T324" s="9">
        <f t="shared" si="41"/>
        <v>-4.146392405063291</v>
      </c>
      <c r="U324" s="9">
        <f t="shared" si="46"/>
        <v>58.409865850302786</v>
      </c>
      <c r="W324">
        <v>2676.5</v>
      </c>
      <c r="Y324">
        <f t="shared" si="42"/>
        <v>262402</v>
      </c>
      <c r="Z324" s="35">
        <f t="shared" si="47"/>
        <v>27791.7</v>
      </c>
      <c r="AA324">
        <v>15.870248934181241</v>
      </c>
    </row>
    <row r="325" spans="1:27" x14ac:dyDescent="0.25">
      <c r="A325">
        <v>5240</v>
      </c>
      <c r="B325">
        <v>23690</v>
      </c>
      <c r="C325" s="5">
        <v>42903</v>
      </c>
      <c r="F325" s="49"/>
      <c r="G325">
        <v>20.2</v>
      </c>
      <c r="H325">
        <v>12.7</v>
      </c>
      <c r="I325">
        <v>25.7</v>
      </c>
      <c r="J325">
        <f t="shared" si="43"/>
        <v>2951.4000000000015</v>
      </c>
      <c r="K325" s="35">
        <f t="shared" si="48"/>
        <v>547.9</v>
      </c>
      <c r="L325" s="22">
        <v>0</v>
      </c>
      <c r="M325">
        <v>0</v>
      </c>
      <c r="N325">
        <v>4.2</v>
      </c>
      <c r="O325">
        <f t="shared" si="39"/>
        <v>-4.2</v>
      </c>
      <c r="P325">
        <f t="shared" si="44"/>
        <v>50.700000000000024</v>
      </c>
      <c r="Q325">
        <v>299</v>
      </c>
      <c r="R325">
        <f t="shared" si="45"/>
        <v>0.83607594936708862</v>
      </c>
      <c r="S325" s="9">
        <f t="shared" si="40"/>
        <v>3.5115189873417725</v>
      </c>
      <c r="T325" s="9">
        <f t="shared" si="41"/>
        <v>-3.5115189873417725</v>
      </c>
      <c r="U325" s="9">
        <f t="shared" si="46"/>
        <v>54.898346862961013</v>
      </c>
      <c r="W325">
        <v>2162.6999999999998</v>
      </c>
      <c r="Y325">
        <f t="shared" si="42"/>
        <v>264564.7</v>
      </c>
      <c r="Z325" s="35">
        <f t="shared" si="47"/>
        <v>29954.400000000001</v>
      </c>
      <c r="AA325">
        <v>15.87695516483684</v>
      </c>
    </row>
    <row r="326" spans="1:27" x14ac:dyDescent="0.25">
      <c r="A326">
        <v>5240</v>
      </c>
      <c r="B326">
        <v>23690</v>
      </c>
      <c r="C326" s="5">
        <v>42904</v>
      </c>
      <c r="F326" s="49"/>
      <c r="G326">
        <v>22.8</v>
      </c>
      <c r="H326">
        <v>17.5</v>
      </c>
      <c r="I326">
        <v>27.5</v>
      </c>
      <c r="J326">
        <f t="shared" si="43"/>
        <v>2974.2000000000016</v>
      </c>
      <c r="K326" s="35">
        <f t="shared" si="48"/>
        <v>570.69999999999993</v>
      </c>
      <c r="M326">
        <v>0</v>
      </c>
      <c r="N326">
        <v>6.7</v>
      </c>
      <c r="O326">
        <f t="shared" si="39"/>
        <v>-6.7</v>
      </c>
      <c r="P326">
        <f t="shared" si="44"/>
        <v>44.000000000000021</v>
      </c>
      <c r="Q326">
        <v>300</v>
      </c>
      <c r="R326">
        <f t="shared" si="45"/>
        <v>0.82594936708860756</v>
      </c>
      <c r="S326" s="9">
        <f t="shared" si="40"/>
        <v>5.5338607594936704</v>
      </c>
      <c r="T326" s="9">
        <f t="shared" si="41"/>
        <v>-5.5338607594936704</v>
      </c>
      <c r="U326" s="9">
        <f t="shared" si="46"/>
        <v>49.364486103467343</v>
      </c>
      <c r="W326">
        <v>3152.9</v>
      </c>
      <c r="Y326">
        <f t="shared" si="42"/>
        <v>267717.60000000003</v>
      </c>
      <c r="Z326" s="35">
        <f t="shared" si="47"/>
        <v>33107.300000000003</v>
      </c>
      <c r="AA326">
        <v>15.882256456652801</v>
      </c>
    </row>
    <row r="327" spans="1:27" x14ac:dyDescent="0.25">
      <c r="A327">
        <v>5240</v>
      </c>
      <c r="B327">
        <v>23690</v>
      </c>
      <c r="C327" s="5">
        <v>42905</v>
      </c>
      <c r="F327" s="49"/>
      <c r="G327">
        <v>25</v>
      </c>
      <c r="H327">
        <v>18.7</v>
      </c>
      <c r="I327">
        <v>31.5</v>
      </c>
      <c r="J327">
        <f t="shared" si="43"/>
        <v>2999.2000000000016</v>
      </c>
      <c r="K327" s="35">
        <f t="shared" si="48"/>
        <v>595.69999999999993</v>
      </c>
      <c r="M327">
        <v>0</v>
      </c>
      <c r="N327">
        <v>6</v>
      </c>
      <c r="O327">
        <f t="shared" si="39"/>
        <v>-6</v>
      </c>
      <c r="P327">
        <f t="shared" si="44"/>
        <v>38.000000000000021</v>
      </c>
      <c r="Q327">
        <v>301</v>
      </c>
      <c r="R327">
        <f t="shared" si="45"/>
        <v>0.81582278481012649</v>
      </c>
      <c r="S327" s="9">
        <f t="shared" si="40"/>
        <v>4.8949367088607589</v>
      </c>
      <c r="T327" s="9">
        <f t="shared" si="41"/>
        <v>-4.8949367088607589</v>
      </c>
      <c r="U327" s="9">
        <f t="shared" si="46"/>
        <v>44.469549394606581</v>
      </c>
      <c r="W327">
        <v>2693.9</v>
      </c>
      <c r="Y327">
        <f t="shared" si="42"/>
        <v>270411.50000000006</v>
      </c>
      <c r="Z327" s="35">
        <f t="shared" si="47"/>
        <v>35801.200000000004</v>
      </c>
      <c r="AA327">
        <v>15.886147949641428</v>
      </c>
    </row>
    <row r="328" spans="1:27" x14ac:dyDescent="0.25">
      <c r="A328">
        <v>5240</v>
      </c>
      <c r="B328">
        <v>23690</v>
      </c>
      <c r="C328" s="5">
        <v>42906</v>
      </c>
      <c r="F328" s="49"/>
      <c r="G328">
        <v>26.8</v>
      </c>
      <c r="H328">
        <v>18.3</v>
      </c>
      <c r="I328">
        <v>33.1</v>
      </c>
      <c r="J328">
        <f t="shared" si="43"/>
        <v>3026.0000000000018</v>
      </c>
      <c r="K328" s="35">
        <f t="shared" si="48"/>
        <v>622.49999999999989</v>
      </c>
      <c r="M328">
        <v>0</v>
      </c>
      <c r="N328">
        <v>4.9000000000000004</v>
      </c>
      <c r="O328">
        <f t="shared" si="39"/>
        <v>-4.9000000000000004</v>
      </c>
      <c r="P328">
        <f t="shared" si="44"/>
        <v>33.100000000000023</v>
      </c>
      <c r="Q328">
        <v>302</v>
      </c>
      <c r="R328">
        <f t="shared" si="45"/>
        <v>0.80569620253164542</v>
      </c>
      <c r="S328" s="9">
        <f t="shared" si="40"/>
        <v>3.9479113924050631</v>
      </c>
      <c r="T328" s="9">
        <f t="shared" si="41"/>
        <v>-3.9479113924050631</v>
      </c>
      <c r="U328" s="9">
        <f t="shared" si="46"/>
        <v>40.52163800220152</v>
      </c>
      <c r="W328">
        <v>2180.1999999999998</v>
      </c>
      <c r="Y328">
        <f t="shared" si="42"/>
        <v>272591.70000000007</v>
      </c>
      <c r="Z328" s="35">
        <f t="shared" si="47"/>
        <v>37981.4</v>
      </c>
      <c r="AA328">
        <v>15.888626066448291</v>
      </c>
    </row>
    <row r="329" spans="1:27" x14ac:dyDescent="0.25">
      <c r="A329">
        <v>5240</v>
      </c>
      <c r="B329">
        <v>23690</v>
      </c>
      <c r="C329" s="5">
        <v>42907</v>
      </c>
      <c r="F329" s="49"/>
      <c r="G329">
        <v>28.3</v>
      </c>
      <c r="H329">
        <v>23.2</v>
      </c>
      <c r="I329">
        <v>34.200000000000003</v>
      </c>
      <c r="J329">
        <f t="shared" si="43"/>
        <v>3054.300000000002</v>
      </c>
      <c r="K329" s="35">
        <f t="shared" si="48"/>
        <v>650.79999999999984</v>
      </c>
      <c r="M329">
        <v>0</v>
      </c>
      <c r="N329">
        <v>7.4</v>
      </c>
      <c r="O329">
        <f t="shared" si="39"/>
        <v>-7.4</v>
      </c>
      <c r="P329">
        <f t="shared" si="44"/>
        <v>25.700000000000024</v>
      </c>
      <c r="Q329">
        <v>303</v>
      </c>
      <c r="R329">
        <f t="shared" si="45"/>
        <v>0.79556962025316458</v>
      </c>
      <c r="S329" s="9">
        <f t="shared" si="40"/>
        <v>5.8872151898734177</v>
      </c>
      <c r="T329" s="9">
        <f t="shared" si="41"/>
        <v>-5.8872151898734177</v>
      </c>
      <c r="U329" s="9">
        <f t="shared" si="46"/>
        <v>34.634422812328104</v>
      </c>
      <c r="W329">
        <v>3050.2</v>
      </c>
      <c r="Y329">
        <f t="shared" si="42"/>
        <v>275641.90000000008</v>
      </c>
      <c r="Z329" s="35">
        <f t="shared" si="47"/>
        <v>41031.599999999999</v>
      </c>
      <c r="AA329">
        <v>15.889688524663642</v>
      </c>
    </row>
    <row r="330" spans="1:27" x14ac:dyDescent="0.25">
      <c r="A330">
        <v>5240</v>
      </c>
      <c r="B330">
        <v>23690</v>
      </c>
      <c r="C330" s="5">
        <v>42908</v>
      </c>
      <c r="F330" s="49"/>
      <c r="G330">
        <v>25.7</v>
      </c>
      <c r="H330">
        <v>21</v>
      </c>
      <c r="I330">
        <v>32.200000000000003</v>
      </c>
      <c r="J330">
        <f t="shared" si="43"/>
        <v>3080.0000000000018</v>
      </c>
      <c r="K330" s="35">
        <f t="shared" si="48"/>
        <v>676.49999999999989</v>
      </c>
      <c r="M330">
        <v>0</v>
      </c>
      <c r="N330">
        <v>5.9</v>
      </c>
      <c r="O330">
        <f t="shared" si="39"/>
        <v>-5.9</v>
      </c>
      <c r="P330">
        <f t="shared" si="44"/>
        <v>19.800000000000026</v>
      </c>
      <c r="Q330">
        <v>304</v>
      </c>
      <c r="R330">
        <f t="shared" si="45"/>
        <v>0.78544303797468351</v>
      </c>
      <c r="S330" s="9">
        <f t="shared" si="40"/>
        <v>4.6341139240506326</v>
      </c>
      <c r="T330" s="9">
        <f t="shared" si="41"/>
        <v>-4.6341139240506326</v>
      </c>
      <c r="U330" s="9">
        <f t="shared" si="46"/>
        <v>30.000308888277473</v>
      </c>
      <c r="W330">
        <v>2521.6</v>
      </c>
      <c r="Y330">
        <f t="shared" si="42"/>
        <v>278163.50000000006</v>
      </c>
      <c r="Z330" s="35">
        <f t="shared" si="47"/>
        <v>43553.2</v>
      </c>
      <c r="AA330">
        <v>15.88933434470071</v>
      </c>
    </row>
    <row r="331" spans="1:27" x14ac:dyDescent="0.25">
      <c r="A331">
        <v>5240</v>
      </c>
      <c r="B331">
        <v>23690</v>
      </c>
      <c r="C331" s="5">
        <v>42909</v>
      </c>
      <c r="F331" s="49"/>
      <c r="G331">
        <v>18.7</v>
      </c>
      <c r="H331">
        <v>15.9</v>
      </c>
      <c r="I331">
        <v>22.5</v>
      </c>
      <c r="J331">
        <f t="shared" si="43"/>
        <v>3098.7000000000016</v>
      </c>
      <c r="K331" s="35">
        <f t="shared" si="48"/>
        <v>695.19999999999993</v>
      </c>
      <c r="M331">
        <v>0</v>
      </c>
      <c r="N331">
        <v>4.2</v>
      </c>
      <c r="O331">
        <f t="shared" si="39"/>
        <v>-4.2</v>
      </c>
      <c r="P331">
        <f t="shared" si="44"/>
        <v>15.600000000000026</v>
      </c>
      <c r="Q331">
        <v>305</v>
      </c>
      <c r="R331">
        <f t="shared" si="45"/>
        <v>0.77531645569620244</v>
      </c>
      <c r="S331" s="9">
        <f t="shared" si="40"/>
        <v>3.2563291139240502</v>
      </c>
      <c r="T331" s="9">
        <f t="shared" si="41"/>
        <v>-3.2563291139240502</v>
      </c>
      <c r="U331" s="9">
        <f t="shared" si="46"/>
        <v>26.743979774353424</v>
      </c>
      <c r="W331">
        <v>1811.6</v>
      </c>
      <c r="Y331">
        <f t="shared" si="42"/>
        <v>279975.10000000003</v>
      </c>
      <c r="Z331" s="35">
        <f t="shared" si="47"/>
        <v>45364.799999999996</v>
      </c>
      <c r="AA331">
        <v>15.887563853182602</v>
      </c>
    </row>
    <row r="332" spans="1:27" s="14" customFormat="1" ht="15.75" thickBot="1" x14ac:dyDescent="0.3">
      <c r="A332" s="14">
        <v>5240</v>
      </c>
      <c r="B332" s="14">
        <v>23690</v>
      </c>
      <c r="C332" s="15">
        <v>42910</v>
      </c>
      <c r="F332" s="50"/>
      <c r="G332" s="14">
        <v>19.2</v>
      </c>
      <c r="H332" s="14">
        <v>13.1</v>
      </c>
      <c r="I332" s="14">
        <v>24.1</v>
      </c>
      <c r="J332" s="14">
        <f t="shared" si="43"/>
        <v>3117.9000000000015</v>
      </c>
      <c r="K332" s="14">
        <f t="shared" si="48"/>
        <v>714.4</v>
      </c>
      <c r="M332" s="14">
        <v>0</v>
      </c>
      <c r="N332" s="14">
        <v>3.8</v>
      </c>
      <c r="O332" s="14">
        <f t="shared" si="39"/>
        <v>-3.8</v>
      </c>
      <c r="P332" s="14">
        <f t="shared" si="44"/>
        <v>11.800000000000026</v>
      </c>
      <c r="Q332" s="14">
        <v>306</v>
      </c>
      <c r="R332" s="14">
        <f t="shared" si="45"/>
        <v>0.76518987341772138</v>
      </c>
      <c r="S332" s="16">
        <f t="shared" si="40"/>
        <v>2.9077215189873411</v>
      </c>
      <c r="T332" s="16">
        <f t="shared" si="41"/>
        <v>-2.9077215189873411</v>
      </c>
      <c r="U332" s="16">
        <f t="shared" si="46"/>
        <v>23.836258255366083</v>
      </c>
      <c r="W332" s="14">
        <v>1839</v>
      </c>
      <c r="Y332" s="14">
        <f t="shared" si="42"/>
        <v>281814.10000000003</v>
      </c>
      <c r="Z332" s="14">
        <f t="shared" si="47"/>
        <v>47203.799999999996</v>
      </c>
      <c r="AA332" s="14">
        <v>15.884378681812635</v>
      </c>
    </row>
    <row r="333" spans="1:27" s="35" customFormat="1" x14ac:dyDescent="0.25">
      <c r="A333" s="35">
        <v>5240</v>
      </c>
      <c r="B333" s="35">
        <v>23690</v>
      </c>
      <c r="C333" s="36">
        <v>42911</v>
      </c>
      <c r="D333" s="35">
        <v>1000</v>
      </c>
      <c r="G333" s="35">
        <v>20.5</v>
      </c>
      <c r="H333" s="35">
        <v>16.600000000000001</v>
      </c>
      <c r="I333" s="35">
        <v>25.4</v>
      </c>
      <c r="J333" s="35">
        <f t="shared" si="43"/>
        <v>3138.4000000000015</v>
      </c>
      <c r="K333" s="35">
        <f t="shared" si="48"/>
        <v>734.9</v>
      </c>
      <c r="M333" s="35">
        <v>0</v>
      </c>
      <c r="N333" s="35">
        <v>3.4</v>
      </c>
      <c r="O333" s="35">
        <f t="shared" si="39"/>
        <v>-3.4</v>
      </c>
      <c r="P333" s="35">
        <f t="shared" si="44"/>
        <v>8.4000000000000252</v>
      </c>
      <c r="Q333" s="35">
        <v>307</v>
      </c>
      <c r="R333">
        <f t="shared" si="45"/>
        <v>0.75506329113924042</v>
      </c>
      <c r="S333" s="37">
        <f t="shared" si="40"/>
        <v>2.5672151898734175</v>
      </c>
      <c r="T333" s="37">
        <f t="shared" si="41"/>
        <v>-2.5672151898734175</v>
      </c>
      <c r="U333" s="9">
        <f t="shared" si="46"/>
        <v>21.269043065492667</v>
      </c>
      <c r="W333" s="35">
        <v>1418.9</v>
      </c>
      <c r="Y333" s="35">
        <f t="shared" si="42"/>
        <v>283233.00000000006</v>
      </c>
      <c r="Z333" s="35">
        <f t="shared" si="47"/>
        <v>48622.7</v>
      </c>
      <c r="AA333" s="35">
        <v>15.879781761736499</v>
      </c>
    </row>
    <row r="334" spans="1:27" x14ac:dyDescent="0.25">
      <c r="A334">
        <v>5240</v>
      </c>
      <c r="B334">
        <v>23690</v>
      </c>
      <c r="C334" s="5">
        <v>42912</v>
      </c>
      <c r="G334">
        <v>21</v>
      </c>
      <c r="H334">
        <v>15.2</v>
      </c>
      <c r="I334">
        <v>25.7</v>
      </c>
      <c r="J334">
        <f t="shared" si="43"/>
        <v>3159.4000000000015</v>
      </c>
      <c r="K334" s="35">
        <f t="shared" si="48"/>
        <v>755.9</v>
      </c>
      <c r="M334">
        <v>3.6</v>
      </c>
      <c r="N334">
        <v>3.9</v>
      </c>
      <c r="O334">
        <f t="shared" si="39"/>
        <v>-0.29999999999999982</v>
      </c>
      <c r="P334">
        <f t="shared" si="44"/>
        <v>8.1000000000000263</v>
      </c>
      <c r="Q334">
        <v>308</v>
      </c>
      <c r="R334">
        <f t="shared" si="45"/>
        <v>0.74493670886075947</v>
      </c>
      <c r="S334" s="9">
        <f t="shared" si="40"/>
        <v>2.9052531645569619</v>
      </c>
      <c r="T334" s="9">
        <f t="shared" si="41"/>
        <v>0.69474683544303817</v>
      </c>
      <c r="U334" s="9">
        <f t="shared" si="46"/>
        <v>21.963789900935705</v>
      </c>
      <c r="W334">
        <v>1969.5</v>
      </c>
      <c r="Y334">
        <f t="shared" si="42"/>
        <v>285202.50000000006</v>
      </c>
      <c r="Z334" s="35">
        <f t="shared" si="47"/>
        <v>50592.2</v>
      </c>
      <c r="AA334">
        <v>15.873777313438088</v>
      </c>
    </row>
    <row r="335" spans="1:27" x14ac:dyDescent="0.25">
      <c r="A335">
        <v>5240</v>
      </c>
      <c r="B335">
        <v>23690</v>
      </c>
      <c r="C335" s="5">
        <v>42913</v>
      </c>
      <c r="G335">
        <v>20</v>
      </c>
      <c r="H335">
        <v>18.3</v>
      </c>
      <c r="I335">
        <v>23.4</v>
      </c>
      <c r="J335">
        <f t="shared" si="43"/>
        <v>3179.4000000000015</v>
      </c>
      <c r="K335" s="35">
        <f t="shared" si="48"/>
        <v>775.9</v>
      </c>
      <c r="M335">
        <v>2.6</v>
      </c>
      <c r="N335">
        <v>2.8</v>
      </c>
      <c r="O335">
        <f t="shared" si="39"/>
        <v>-0.19999999999999973</v>
      </c>
      <c r="P335">
        <f t="shared" si="44"/>
        <v>7.900000000000027</v>
      </c>
      <c r="Q335">
        <v>309</v>
      </c>
      <c r="R335">
        <f t="shared" si="45"/>
        <v>0.7348101265822784</v>
      </c>
      <c r="S335" s="9">
        <f t="shared" si="40"/>
        <v>2.0574683544303793</v>
      </c>
      <c r="T335" s="9">
        <f t="shared" si="41"/>
        <v>0.54253164556962075</v>
      </c>
      <c r="U335" s="9">
        <f t="shared" si="46"/>
        <v>22.506321546505326</v>
      </c>
      <c r="W335">
        <v>1351.3</v>
      </c>
      <c r="Y335">
        <f t="shared" si="42"/>
        <v>286553.80000000005</v>
      </c>
      <c r="Z335" s="35">
        <f t="shared" si="47"/>
        <v>51943.5</v>
      </c>
      <c r="AA335">
        <v>15.866370832243568</v>
      </c>
    </row>
    <row r="336" spans="1:27" x14ac:dyDescent="0.25">
      <c r="A336">
        <v>5240</v>
      </c>
      <c r="B336">
        <v>23690</v>
      </c>
      <c r="C336" s="5">
        <v>42914</v>
      </c>
      <c r="G336">
        <v>17.8</v>
      </c>
      <c r="H336">
        <v>16</v>
      </c>
      <c r="I336">
        <v>21.2</v>
      </c>
      <c r="J336">
        <f t="shared" si="43"/>
        <v>3197.2000000000016</v>
      </c>
      <c r="K336" s="35">
        <f t="shared" si="48"/>
        <v>793.69999999999993</v>
      </c>
      <c r="M336">
        <v>8.3000000000000007</v>
      </c>
      <c r="N336">
        <v>2.8</v>
      </c>
      <c r="O336">
        <f t="shared" si="39"/>
        <v>5.5000000000000009</v>
      </c>
      <c r="P336">
        <f t="shared" si="44"/>
        <v>13.400000000000027</v>
      </c>
      <c r="Q336">
        <v>310</v>
      </c>
      <c r="R336">
        <f t="shared" si="45"/>
        <v>0.72468354430379744</v>
      </c>
      <c r="S336" s="9">
        <f t="shared" si="40"/>
        <v>2.0291139240506326</v>
      </c>
      <c r="T336" s="9">
        <f t="shared" si="41"/>
        <v>6.2708860759493685</v>
      </c>
      <c r="U336" s="9">
        <f t="shared" si="46"/>
        <v>28.777207622454696</v>
      </c>
      <c r="W336">
        <v>1448.8</v>
      </c>
      <c r="Y336">
        <f t="shared" si="42"/>
        <v>288002.60000000003</v>
      </c>
      <c r="Z336" s="35">
        <f t="shared" si="47"/>
        <v>53392.3</v>
      </c>
      <c r="AA336">
        <v>15.857569069540382</v>
      </c>
    </row>
    <row r="337" spans="1:27" x14ac:dyDescent="0.25">
      <c r="A337">
        <v>5240</v>
      </c>
      <c r="B337">
        <v>23690</v>
      </c>
      <c r="C337" s="5">
        <v>42915</v>
      </c>
      <c r="G337">
        <v>16.399999999999999</v>
      </c>
      <c r="H337">
        <v>12.9</v>
      </c>
      <c r="I337">
        <v>20</v>
      </c>
      <c r="J337">
        <f t="shared" si="43"/>
        <v>3213.6000000000017</v>
      </c>
      <c r="K337" s="35">
        <f t="shared" si="48"/>
        <v>810.09999999999991</v>
      </c>
      <c r="M337">
        <v>5.0999999999999996</v>
      </c>
      <c r="N337">
        <v>3.7</v>
      </c>
      <c r="O337">
        <f t="shared" si="39"/>
        <v>1.3999999999999995</v>
      </c>
      <c r="P337">
        <f t="shared" si="44"/>
        <v>14.800000000000026</v>
      </c>
      <c r="Q337">
        <v>311</v>
      </c>
      <c r="R337">
        <f t="shared" si="45"/>
        <v>0.71455696202531638</v>
      </c>
      <c r="S337" s="9">
        <f t="shared" si="40"/>
        <v>2.6438607594936707</v>
      </c>
      <c r="T337" s="9">
        <f t="shared" si="41"/>
        <v>2.4561392405063289</v>
      </c>
      <c r="U337" s="9">
        <f t="shared" si="46"/>
        <v>31.233346862961024</v>
      </c>
      <c r="W337">
        <v>2253</v>
      </c>
      <c r="Y337">
        <f t="shared" si="42"/>
        <v>290255.60000000003</v>
      </c>
      <c r="Z337" s="35">
        <f t="shared" si="47"/>
        <v>55645.3</v>
      </c>
      <c r="AA337">
        <v>15.847380009848157</v>
      </c>
    </row>
    <row r="338" spans="1:27" x14ac:dyDescent="0.25">
      <c r="A338">
        <v>5240</v>
      </c>
      <c r="B338">
        <v>23690</v>
      </c>
      <c r="C338" s="5">
        <v>42916</v>
      </c>
      <c r="G338">
        <v>14.7</v>
      </c>
      <c r="H338">
        <v>13.7</v>
      </c>
      <c r="I338">
        <v>16.399999999999999</v>
      </c>
      <c r="J338">
        <f t="shared" si="43"/>
        <v>3228.3000000000015</v>
      </c>
      <c r="K338" s="35">
        <f t="shared" si="48"/>
        <v>824.8</v>
      </c>
      <c r="M338">
        <v>3.6</v>
      </c>
      <c r="N338">
        <v>1.4</v>
      </c>
      <c r="O338">
        <f t="shared" si="39"/>
        <v>2.2000000000000002</v>
      </c>
      <c r="P338">
        <f t="shared" si="44"/>
        <v>17.000000000000025</v>
      </c>
      <c r="Q338">
        <v>312</v>
      </c>
      <c r="R338">
        <f t="shared" si="45"/>
        <v>0.70443037974683542</v>
      </c>
      <c r="S338" s="9">
        <f t="shared" si="40"/>
        <v>0.98620253164556948</v>
      </c>
      <c r="T338" s="9">
        <f t="shared" si="41"/>
        <v>2.6137974683544307</v>
      </c>
      <c r="U338" s="9">
        <f t="shared" si="46"/>
        <v>33.847144331315455</v>
      </c>
      <c r="W338">
        <v>702.4</v>
      </c>
      <c r="Y338">
        <f t="shared" si="42"/>
        <v>290958.00000000006</v>
      </c>
      <c r="Z338" s="35">
        <f t="shared" si="47"/>
        <v>56347.700000000004</v>
      </c>
      <c r="AA338">
        <v>15.835812843907462</v>
      </c>
    </row>
    <row r="339" spans="1:27" x14ac:dyDescent="0.25">
      <c r="A339">
        <v>5240</v>
      </c>
      <c r="B339">
        <v>23690</v>
      </c>
      <c r="C339" s="5">
        <v>42917</v>
      </c>
      <c r="G339">
        <v>15.6</v>
      </c>
      <c r="H339">
        <v>13.5</v>
      </c>
      <c r="I339">
        <v>18.899999999999999</v>
      </c>
      <c r="J339">
        <f t="shared" si="43"/>
        <v>3243.9000000000015</v>
      </c>
      <c r="K339" s="35">
        <f t="shared" si="48"/>
        <v>840.4</v>
      </c>
      <c r="M339">
        <v>3.7</v>
      </c>
      <c r="N339">
        <v>1.6</v>
      </c>
      <c r="O339">
        <f t="shared" si="39"/>
        <v>2.1</v>
      </c>
      <c r="P339">
        <f t="shared" si="44"/>
        <v>19.100000000000026</v>
      </c>
      <c r="Q339">
        <v>313</v>
      </c>
      <c r="R339">
        <f t="shared" si="45"/>
        <v>0.69430379746835436</v>
      </c>
      <c r="S339" s="9">
        <f t="shared" si="40"/>
        <v>1.1108860759493671</v>
      </c>
      <c r="T339" s="9">
        <f t="shared" si="41"/>
        <v>2.5891139240506331</v>
      </c>
      <c r="U339" s="9">
        <f t="shared" si="46"/>
        <v>36.436258255366091</v>
      </c>
      <c r="W339">
        <v>733.9</v>
      </c>
      <c r="Y339">
        <f t="shared" si="42"/>
        <v>291691.90000000008</v>
      </c>
      <c r="Z339" s="35">
        <f t="shared" si="47"/>
        <v>57081.600000000006</v>
      </c>
      <c r="AA339">
        <v>15.822877937978916</v>
      </c>
    </row>
    <row r="340" spans="1:27" x14ac:dyDescent="0.25">
      <c r="A340">
        <v>5240</v>
      </c>
      <c r="B340">
        <v>23690</v>
      </c>
      <c r="C340" s="5">
        <v>42918</v>
      </c>
      <c r="G340">
        <v>16.8</v>
      </c>
      <c r="H340">
        <v>11.9</v>
      </c>
      <c r="I340">
        <v>22.2</v>
      </c>
      <c r="J340">
        <f t="shared" si="43"/>
        <v>3260.7000000000016</v>
      </c>
      <c r="K340" s="35">
        <f t="shared" si="48"/>
        <v>857.19999999999993</v>
      </c>
      <c r="M340">
        <v>0.3</v>
      </c>
      <c r="N340">
        <v>1.7</v>
      </c>
      <c r="O340">
        <f t="shared" si="39"/>
        <v>-1.4</v>
      </c>
      <c r="P340">
        <f t="shared" si="44"/>
        <v>17.700000000000028</v>
      </c>
      <c r="Q340">
        <v>314</v>
      </c>
      <c r="R340">
        <f t="shared" si="45"/>
        <v>0.68417721518987329</v>
      </c>
      <c r="S340" s="9">
        <f t="shared" si="40"/>
        <v>1.1631012658227846</v>
      </c>
      <c r="T340" s="9">
        <f t="shared" si="41"/>
        <v>-0.86310126582278457</v>
      </c>
      <c r="U340" s="9">
        <f t="shared" si="46"/>
        <v>35.573156989543307</v>
      </c>
      <c r="W340">
        <v>871.2</v>
      </c>
      <c r="Y340">
        <f t="shared" si="42"/>
        <v>292563.10000000009</v>
      </c>
      <c r="Z340" s="35">
        <f t="shared" si="47"/>
        <v>57952.800000000003</v>
      </c>
      <c r="AA340">
        <v>15.80858679956949</v>
      </c>
    </row>
    <row r="341" spans="1:27" x14ac:dyDescent="0.25">
      <c r="A341">
        <v>5240</v>
      </c>
      <c r="B341">
        <v>23690</v>
      </c>
      <c r="C341" s="5">
        <v>42919</v>
      </c>
      <c r="G341">
        <v>18.7</v>
      </c>
      <c r="H341">
        <v>13.2</v>
      </c>
      <c r="I341">
        <v>23.9</v>
      </c>
      <c r="J341">
        <f t="shared" si="43"/>
        <v>3279.4000000000015</v>
      </c>
      <c r="K341" s="35">
        <f t="shared" si="48"/>
        <v>875.9</v>
      </c>
      <c r="M341">
        <v>0</v>
      </c>
      <c r="N341">
        <v>3.2</v>
      </c>
      <c r="O341">
        <f t="shared" si="39"/>
        <v>-3.2</v>
      </c>
      <c r="P341">
        <f t="shared" si="44"/>
        <v>14.500000000000028</v>
      </c>
      <c r="Q341">
        <v>315</v>
      </c>
      <c r="R341">
        <f t="shared" si="45"/>
        <v>0.67405063291139244</v>
      </c>
      <c r="S341" s="9">
        <f t="shared" si="40"/>
        <v>2.1569620253164561</v>
      </c>
      <c r="T341" s="9">
        <f t="shared" si="41"/>
        <v>-2.1569620253164561</v>
      </c>
      <c r="U341" s="9">
        <f t="shared" si="46"/>
        <v>33.416194964226854</v>
      </c>
      <c r="W341">
        <v>1662</v>
      </c>
      <c r="Y341">
        <f t="shared" si="42"/>
        <v>294225.10000000009</v>
      </c>
      <c r="Z341" s="35">
        <f t="shared" si="47"/>
        <v>59614.8</v>
      </c>
      <c r="AA341">
        <v>15.792952039824486</v>
      </c>
    </row>
    <row r="342" spans="1:27" x14ac:dyDescent="0.25">
      <c r="A342">
        <v>5240</v>
      </c>
      <c r="B342">
        <v>23690</v>
      </c>
      <c r="C342" s="5">
        <v>42920</v>
      </c>
      <c r="G342">
        <v>21.3</v>
      </c>
      <c r="H342">
        <v>13.2</v>
      </c>
      <c r="I342">
        <v>28.1</v>
      </c>
      <c r="J342">
        <f t="shared" si="43"/>
        <v>3300.7000000000016</v>
      </c>
      <c r="K342" s="35">
        <f t="shared" si="48"/>
        <v>897.19999999999993</v>
      </c>
      <c r="M342">
        <v>0</v>
      </c>
      <c r="N342">
        <v>5.3</v>
      </c>
      <c r="O342">
        <f t="shared" si="39"/>
        <v>-5.3</v>
      </c>
      <c r="P342">
        <f t="shared" si="44"/>
        <v>9.2000000000000277</v>
      </c>
      <c r="Q342">
        <v>316</v>
      </c>
      <c r="R342">
        <f t="shared" si="45"/>
        <v>0.66392405063291138</v>
      </c>
      <c r="S342" s="9">
        <f t="shared" si="40"/>
        <v>3.5187974683544301</v>
      </c>
      <c r="T342" s="9">
        <f t="shared" si="41"/>
        <v>-3.5187974683544301</v>
      </c>
      <c r="U342" s="9">
        <f t="shared" si="46"/>
        <v>29.897397495872426</v>
      </c>
      <c r="W342">
        <v>2718.2</v>
      </c>
      <c r="Y342">
        <f t="shared" si="42"/>
        <v>296943.3000000001</v>
      </c>
      <c r="Z342" s="35">
        <f t="shared" si="47"/>
        <v>62333</v>
      </c>
      <c r="AA342">
        <v>15.775987332842432</v>
      </c>
    </row>
    <row r="343" spans="1:27" x14ac:dyDescent="0.25">
      <c r="A343">
        <v>5240</v>
      </c>
      <c r="B343">
        <v>23690</v>
      </c>
      <c r="C343" s="5">
        <v>42921</v>
      </c>
      <c r="G343">
        <v>24.3</v>
      </c>
      <c r="H343">
        <v>16.3</v>
      </c>
      <c r="I343">
        <v>29.8</v>
      </c>
      <c r="J343">
        <f t="shared" si="43"/>
        <v>3325.0000000000018</v>
      </c>
      <c r="K343" s="35">
        <f t="shared" si="48"/>
        <v>921.49999999999989</v>
      </c>
      <c r="M343">
        <v>0</v>
      </c>
      <c r="N343">
        <v>5.6</v>
      </c>
      <c r="O343">
        <f t="shared" si="39"/>
        <v>-5.6</v>
      </c>
      <c r="P343">
        <f t="shared" si="44"/>
        <v>3.6000000000000281</v>
      </c>
      <c r="Q343">
        <v>317</v>
      </c>
      <c r="R343">
        <f t="shared" si="45"/>
        <v>0.65379746835443031</v>
      </c>
      <c r="S343" s="9">
        <f t="shared" si="40"/>
        <v>3.6612658227848094</v>
      </c>
      <c r="T343" s="9">
        <f t="shared" si="41"/>
        <v>-3.6612658227848094</v>
      </c>
      <c r="U343" s="9">
        <f t="shared" si="46"/>
        <v>26.236131673087616</v>
      </c>
      <c r="W343">
        <v>2461.1999999999998</v>
      </c>
      <c r="Y343">
        <f t="shared" si="42"/>
        <v>299404.50000000012</v>
      </c>
      <c r="Z343" s="35">
        <f t="shared" si="47"/>
        <v>64794.2</v>
      </c>
      <c r="AA343">
        <v>15.757707372185974</v>
      </c>
    </row>
    <row r="344" spans="1:27" x14ac:dyDescent="0.25">
      <c r="A344">
        <v>5240</v>
      </c>
      <c r="B344">
        <v>23690</v>
      </c>
      <c r="C344" s="5">
        <v>42922</v>
      </c>
      <c r="G344">
        <v>26.9</v>
      </c>
      <c r="H344">
        <v>21.6</v>
      </c>
      <c r="I344">
        <v>32</v>
      </c>
      <c r="J344">
        <f t="shared" si="43"/>
        <v>3351.9000000000019</v>
      </c>
      <c r="K344" s="35">
        <f t="shared" si="48"/>
        <v>948.39999999999986</v>
      </c>
      <c r="M344">
        <v>0</v>
      </c>
      <c r="N344">
        <v>4.8</v>
      </c>
      <c r="O344">
        <f t="shared" si="39"/>
        <v>-4.8</v>
      </c>
      <c r="P344">
        <v>0</v>
      </c>
      <c r="Q344">
        <v>318</v>
      </c>
      <c r="R344">
        <f t="shared" si="45"/>
        <v>0.64367088607594924</v>
      </c>
      <c r="S344" s="9">
        <f t="shared" si="40"/>
        <v>3.0896202531645565</v>
      </c>
      <c r="T344" s="9">
        <f t="shared" si="41"/>
        <v>-3.0896202531645565</v>
      </c>
      <c r="U344" s="9">
        <f t="shared" si="46"/>
        <v>23.146511419923058</v>
      </c>
      <c r="W344">
        <v>1813.3</v>
      </c>
      <c r="Y344">
        <f t="shared" si="42"/>
        <v>301217.8000000001</v>
      </c>
      <c r="Z344" s="35">
        <f t="shared" si="47"/>
        <v>66607.5</v>
      </c>
      <c r="AA344">
        <v>15.738127824874471</v>
      </c>
    </row>
    <row r="345" spans="1:27" x14ac:dyDescent="0.25">
      <c r="A345">
        <v>5240</v>
      </c>
      <c r="B345">
        <v>23690</v>
      </c>
      <c r="C345" s="5">
        <v>42923</v>
      </c>
      <c r="G345">
        <v>26.1</v>
      </c>
      <c r="H345">
        <v>21</v>
      </c>
      <c r="I345">
        <v>32.1</v>
      </c>
      <c r="J345">
        <f t="shared" si="43"/>
        <v>3378.0000000000018</v>
      </c>
      <c r="K345" s="35">
        <f t="shared" si="48"/>
        <v>974.49999999999989</v>
      </c>
      <c r="M345">
        <v>0</v>
      </c>
      <c r="N345">
        <v>6.1</v>
      </c>
      <c r="O345">
        <f t="shared" si="39"/>
        <v>-6.1</v>
      </c>
      <c r="P345">
        <v>0</v>
      </c>
      <c r="Q345">
        <v>319</v>
      </c>
      <c r="R345">
        <f t="shared" si="45"/>
        <v>0.63354430379746829</v>
      </c>
      <c r="S345" s="9">
        <f t="shared" si="40"/>
        <v>3.8646202531645564</v>
      </c>
      <c r="T345" s="9">
        <f t="shared" si="41"/>
        <v>-3.8646202531645564</v>
      </c>
      <c r="U345" s="9">
        <f t="shared" si="46"/>
        <v>19.281891166758502</v>
      </c>
      <c r="W345">
        <v>2530</v>
      </c>
      <c r="Y345">
        <f t="shared" si="42"/>
        <v>303747.8000000001</v>
      </c>
      <c r="Z345" s="35">
        <f t="shared" si="47"/>
        <v>69137.5</v>
      </c>
      <c r="AA345">
        <v>15.717265283153621</v>
      </c>
    </row>
    <row r="346" spans="1:27" x14ac:dyDescent="0.25">
      <c r="A346">
        <v>5240</v>
      </c>
      <c r="B346">
        <v>23690</v>
      </c>
      <c r="C346" s="5">
        <v>42924</v>
      </c>
      <c r="G346">
        <v>23.6</v>
      </c>
      <c r="H346">
        <v>18</v>
      </c>
      <c r="I346">
        <v>28.9</v>
      </c>
      <c r="J346">
        <f t="shared" si="43"/>
        <v>3401.6000000000017</v>
      </c>
      <c r="K346" s="35">
        <f t="shared" si="48"/>
        <v>998.09999999999991</v>
      </c>
      <c r="M346">
        <v>0</v>
      </c>
      <c r="N346">
        <v>5.7</v>
      </c>
      <c r="O346">
        <f t="shared" si="39"/>
        <v>-5.7</v>
      </c>
      <c r="P346">
        <v>0</v>
      </c>
      <c r="Q346">
        <v>320</v>
      </c>
      <c r="R346">
        <f t="shared" si="45"/>
        <v>0.62341772151898733</v>
      </c>
      <c r="S346" s="9">
        <f t="shared" si="40"/>
        <v>3.5534810126582279</v>
      </c>
      <c r="T346" s="9">
        <f t="shared" si="41"/>
        <v>-3.5534810126582279</v>
      </c>
      <c r="U346" s="9">
        <f t="shared" si="46"/>
        <v>15.728410154100274</v>
      </c>
      <c r="W346">
        <v>2409.6</v>
      </c>
      <c r="Y346">
        <f t="shared" si="42"/>
        <v>306157.40000000008</v>
      </c>
      <c r="Z346" s="35">
        <f t="shared" si="47"/>
        <v>71547.100000000006</v>
      </c>
      <c r="AA346">
        <v>15.695137214343724</v>
      </c>
    </row>
    <row r="347" spans="1:27" x14ac:dyDescent="0.25">
      <c r="A347">
        <v>5240</v>
      </c>
      <c r="B347">
        <v>23690</v>
      </c>
      <c r="C347" s="5">
        <v>42925</v>
      </c>
      <c r="G347">
        <v>20.8</v>
      </c>
      <c r="H347">
        <v>19.100000000000001</v>
      </c>
      <c r="I347">
        <v>26</v>
      </c>
      <c r="J347">
        <f t="shared" si="43"/>
        <v>3422.4000000000019</v>
      </c>
      <c r="K347" s="35">
        <f t="shared" si="48"/>
        <v>1018.8999999999999</v>
      </c>
      <c r="M347">
        <v>12.8</v>
      </c>
      <c r="N347">
        <v>2.8</v>
      </c>
      <c r="O347">
        <f t="shared" si="39"/>
        <v>10</v>
      </c>
      <c r="P347">
        <f t="shared" si="44"/>
        <v>10</v>
      </c>
      <c r="Q347">
        <v>321</v>
      </c>
      <c r="R347">
        <f t="shared" si="45"/>
        <v>0.61329113924050627</v>
      </c>
      <c r="S347" s="9">
        <f t="shared" si="40"/>
        <v>1.7172151898734174</v>
      </c>
      <c r="T347" s="9">
        <f t="shared" si="41"/>
        <v>11.082784810126583</v>
      </c>
      <c r="U347" s="9">
        <f t="shared" si="46"/>
        <v>26.811194964226857</v>
      </c>
      <c r="W347">
        <v>1099</v>
      </c>
      <c r="Y347">
        <f t="shared" si="42"/>
        <v>307256.40000000008</v>
      </c>
      <c r="Z347" s="35">
        <f t="shared" si="47"/>
        <v>72646.100000000006</v>
      </c>
      <c r="AA347">
        <v>15.671761909071694</v>
      </c>
    </row>
    <row r="348" spans="1:27" x14ac:dyDescent="0.25">
      <c r="A348">
        <v>5240</v>
      </c>
      <c r="B348">
        <v>23690</v>
      </c>
      <c r="C348" s="5">
        <v>42926</v>
      </c>
      <c r="G348">
        <v>18</v>
      </c>
      <c r="H348">
        <v>15.9</v>
      </c>
      <c r="I348">
        <v>20.9</v>
      </c>
      <c r="J348">
        <f t="shared" si="43"/>
        <v>3440.4000000000019</v>
      </c>
      <c r="K348" s="35">
        <f t="shared" si="48"/>
        <v>1036.8999999999999</v>
      </c>
      <c r="M348">
        <v>1.3</v>
      </c>
      <c r="N348">
        <v>1.9</v>
      </c>
      <c r="O348">
        <f t="shared" ref="O348:O373" si="49">M348-N348</f>
        <v>-0.59999999999999987</v>
      </c>
      <c r="P348">
        <f t="shared" si="44"/>
        <v>9.4</v>
      </c>
      <c r="Q348">
        <v>322</v>
      </c>
      <c r="R348">
        <f t="shared" si="45"/>
        <v>0.60316455696202531</v>
      </c>
      <c r="S348" s="9">
        <f t="shared" ref="S348:S373" si="50">R348*N348</f>
        <v>1.146012658227848</v>
      </c>
      <c r="T348" s="9">
        <f t="shared" ref="T348:T373" si="51">M348-S348</f>
        <v>0.15398734177215201</v>
      </c>
      <c r="U348" s="9">
        <f t="shared" si="46"/>
        <v>26.965182305999008</v>
      </c>
      <c r="W348">
        <v>884.6</v>
      </c>
      <c r="Y348">
        <f t="shared" si="42"/>
        <v>308141.00000000006</v>
      </c>
      <c r="Z348" s="35">
        <f t="shared" si="47"/>
        <v>73530.700000000012</v>
      </c>
      <c r="AA348">
        <v>15.64715842819205</v>
      </c>
    </row>
    <row r="349" spans="1:27" x14ac:dyDescent="0.25">
      <c r="A349">
        <v>5240</v>
      </c>
      <c r="B349">
        <v>23690</v>
      </c>
      <c r="C349" s="5">
        <v>42927</v>
      </c>
      <c r="G349">
        <v>18.8</v>
      </c>
      <c r="H349">
        <v>13.9</v>
      </c>
      <c r="I349">
        <v>22.3</v>
      </c>
      <c r="J349">
        <f t="shared" si="43"/>
        <v>3459.2000000000021</v>
      </c>
      <c r="K349" s="35">
        <f t="shared" si="48"/>
        <v>1055.6999999999998</v>
      </c>
      <c r="M349">
        <v>0.5</v>
      </c>
      <c r="N349">
        <v>2.9</v>
      </c>
      <c r="O349">
        <f t="shared" si="49"/>
        <v>-2.4</v>
      </c>
      <c r="P349">
        <f t="shared" si="44"/>
        <v>7</v>
      </c>
      <c r="Q349">
        <v>323</v>
      </c>
      <c r="R349">
        <f t="shared" si="45"/>
        <v>0.59303797468354424</v>
      </c>
      <c r="S349" s="9">
        <f t="shared" si="50"/>
        <v>1.7198101265822783</v>
      </c>
      <c r="T349" s="9">
        <f t="shared" si="51"/>
        <v>-1.2198101265822783</v>
      </c>
      <c r="U349" s="9">
        <f t="shared" si="46"/>
        <v>25.74537217941673</v>
      </c>
      <c r="W349">
        <v>1231.2</v>
      </c>
      <c r="Y349">
        <f t="shared" ref="Y349:Y373" si="52">Y348+W349</f>
        <v>309372.20000000007</v>
      </c>
      <c r="Z349" s="35">
        <f t="shared" si="47"/>
        <v>74761.900000000009</v>
      </c>
      <c r="AA349">
        <v>15.621346548699805</v>
      </c>
    </row>
    <row r="350" spans="1:27" x14ac:dyDescent="0.25">
      <c r="A350">
        <v>5240</v>
      </c>
      <c r="B350">
        <v>23690</v>
      </c>
      <c r="C350" s="5">
        <v>42928</v>
      </c>
      <c r="G350">
        <v>18.7</v>
      </c>
      <c r="H350">
        <v>17.2</v>
      </c>
      <c r="I350">
        <v>21.1</v>
      </c>
      <c r="J350">
        <f t="shared" si="43"/>
        <v>3477.9000000000019</v>
      </c>
      <c r="K350" s="35">
        <f t="shared" si="48"/>
        <v>1074.3999999999999</v>
      </c>
      <c r="M350">
        <v>2.6</v>
      </c>
      <c r="N350">
        <v>1.7</v>
      </c>
      <c r="O350">
        <f t="shared" si="49"/>
        <v>0.90000000000000013</v>
      </c>
      <c r="P350">
        <f t="shared" si="44"/>
        <v>7.9</v>
      </c>
      <c r="Q350">
        <v>324</v>
      </c>
      <c r="R350">
        <f t="shared" si="45"/>
        <v>0.58291139240506329</v>
      </c>
      <c r="S350" s="9">
        <f t="shared" si="50"/>
        <v>0.99094936708860759</v>
      </c>
      <c r="T350" s="9">
        <f t="shared" si="51"/>
        <v>1.6090506329113925</v>
      </c>
      <c r="U350" s="9">
        <f t="shared" si="46"/>
        <v>27.354422812328124</v>
      </c>
      <c r="W350">
        <v>601.6</v>
      </c>
      <c r="Y350">
        <f t="shared" si="52"/>
        <v>309973.80000000005</v>
      </c>
      <c r="Z350" s="35">
        <f t="shared" si="47"/>
        <v>75363.500000000015</v>
      </c>
      <c r="AA350">
        <v>15.594346708932887</v>
      </c>
    </row>
    <row r="351" spans="1:27" x14ac:dyDescent="0.25">
      <c r="A351">
        <v>5240</v>
      </c>
      <c r="B351">
        <v>23690</v>
      </c>
      <c r="C351" s="5">
        <v>42929</v>
      </c>
      <c r="G351">
        <v>19.100000000000001</v>
      </c>
      <c r="H351">
        <v>14.9</v>
      </c>
      <c r="I351">
        <v>23</v>
      </c>
      <c r="J351">
        <f t="shared" ref="J351:J373" si="53">J350+G351</f>
        <v>3497.0000000000018</v>
      </c>
      <c r="K351" s="35">
        <f t="shared" si="48"/>
        <v>1093.4999999999998</v>
      </c>
      <c r="M351">
        <v>1</v>
      </c>
      <c r="N351">
        <v>3.7</v>
      </c>
      <c r="O351">
        <f t="shared" si="49"/>
        <v>-2.7</v>
      </c>
      <c r="P351">
        <f t="shared" si="44"/>
        <v>5.2</v>
      </c>
      <c r="Q351">
        <v>325</v>
      </c>
      <c r="R351">
        <f t="shared" si="45"/>
        <v>0.57278481012658222</v>
      </c>
      <c r="S351" s="9">
        <f t="shared" si="50"/>
        <v>2.1193037974683544</v>
      </c>
      <c r="T351" s="9">
        <f t="shared" si="51"/>
        <v>-1.1193037974683544</v>
      </c>
      <c r="U351" s="9">
        <f t="shared" si="46"/>
        <v>26.235119014859769</v>
      </c>
      <c r="W351">
        <v>2000.1</v>
      </c>
      <c r="Y351">
        <f t="shared" si="52"/>
        <v>311973.90000000002</v>
      </c>
      <c r="Z351" s="35">
        <f t="shared" si="47"/>
        <v>77363.60000000002</v>
      </c>
      <c r="AA351">
        <v>15.566179953354153</v>
      </c>
    </row>
    <row r="352" spans="1:27" x14ac:dyDescent="0.25">
      <c r="A352">
        <v>5240</v>
      </c>
      <c r="B352">
        <v>23690</v>
      </c>
      <c r="C352" s="5">
        <v>42930</v>
      </c>
      <c r="G352">
        <v>17.8</v>
      </c>
      <c r="H352">
        <v>15</v>
      </c>
      <c r="I352">
        <v>21.6</v>
      </c>
      <c r="J352">
        <f t="shared" si="53"/>
        <v>3514.800000000002</v>
      </c>
      <c r="K352" s="35">
        <f t="shared" si="48"/>
        <v>1111.2999999999997</v>
      </c>
      <c r="M352">
        <v>0</v>
      </c>
      <c r="N352">
        <v>3.9</v>
      </c>
      <c r="O352">
        <f t="shared" si="49"/>
        <v>-3.9</v>
      </c>
      <c r="P352">
        <f t="shared" si="44"/>
        <v>1.3000000000000003</v>
      </c>
      <c r="Q352">
        <v>326</v>
      </c>
      <c r="R352">
        <f t="shared" si="45"/>
        <v>0.56265822784810116</v>
      </c>
      <c r="S352" s="9">
        <f t="shared" si="50"/>
        <v>2.1943670886075943</v>
      </c>
      <c r="T352" s="9">
        <f t="shared" si="51"/>
        <v>-2.1943670886075943</v>
      </c>
      <c r="U352" s="9">
        <f t="shared" si="46"/>
        <v>24.040751926252174</v>
      </c>
      <c r="W352">
        <v>1797.7</v>
      </c>
      <c r="Y352">
        <f t="shared" si="52"/>
        <v>313771.60000000003</v>
      </c>
      <c r="Z352" s="35">
        <f t="shared" si="47"/>
        <v>79161.300000000017</v>
      </c>
      <c r="AA352">
        <v>15.536867877193249</v>
      </c>
    </row>
    <row r="353" spans="1:27" x14ac:dyDescent="0.25">
      <c r="A353">
        <v>5240</v>
      </c>
      <c r="B353">
        <v>23690</v>
      </c>
      <c r="C353" s="5">
        <v>42931</v>
      </c>
      <c r="G353">
        <v>19</v>
      </c>
      <c r="H353">
        <v>11.6</v>
      </c>
      <c r="I353">
        <v>24.8</v>
      </c>
      <c r="J353">
        <f t="shared" si="53"/>
        <v>3533.800000000002</v>
      </c>
      <c r="K353" s="35">
        <f t="shared" si="48"/>
        <v>1130.2999999999997</v>
      </c>
      <c r="M353">
        <v>0</v>
      </c>
      <c r="N353">
        <v>4.3</v>
      </c>
      <c r="O353">
        <f t="shared" si="49"/>
        <v>-4.3</v>
      </c>
      <c r="P353">
        <v>0</v>
      </c>
      <c r="Q353">
        <v>327</v>
      </c>
      <c r="R353">
        <f t="shared" si="45"/>
        <v>0.5525316455696202</v>
      </c>
      <c r="S353" s="9">
        <f t="shared" si="50"/>
        <v>2.3758860759493667</v>
      </c>
      <c r="T353" s="9">
        <f t="shared" si="51"/>
        <v>-2.3758860759493667</v>
      </c>
      <c r="U353" s="9">
        <f t="shared" si="46"/>
        <v>21.664865850302807</v>
      </c>
      <c r="W353">
        <v>2218</v>
      </c>
      <c r="Y353">
        <f t="shared" si="52"/>
        <v>315989.60000000003</v>
      </c>
      <c r="Z353" s="35">
        <f t="shared" si="47"/>
        <v>81379.300000000017</v>
      </c>
      <c r="AA353">
        <v>15.506432571216601</v>
      </c>
    </row>
    <row r="354" spans="1:27" x14ac:dyDescent="0.25">
      <c r="A354">
        <v>5240</v>
      </c>
      <c r="B354">
        <v>23690</v>
      </c>
      <c r="C354" s="5">
        <v>42932</v>
      </c>
      <c r="G354">
        <v>21.3</v>
      </c>
      <c r="H354">
        <v>14.4</v>
      </c>
      <c r="I354">
        <v>27.5</v>
      </c>
      <c r="J354">
        <f t="shared" si="53"/>
        <v>3555.1000000000022</v>
      </c>
      <c r="K354" s="35">
        <f t="shared" si="48"/>
        <v>1151.5999999999997</v>
      </c>
      <c r="M354">
        <v>0</v>
      </c>
      <c r="N354">
        <v>4.7</v>
      </c>
      <c r="O354">
        <f t="shared" si="49"/>
        <v>-4.7</v>
      </c>
      <c r="P354">
        <v>0</v>
      </c>
      <c r="Q354">
        <v>328</v>
      </c>
      <c r="R354">
        <f t="shared" si="45"/>
        <v>0.54240506329113913</v>
      </c>
      <c r="S354" s="9">
        <f t="shared" si="50"/>
        <v>2.5493037974683541</v>
      </c>
      <c r="T354" s="9">
        <f t="shared" si="51"/>
        <v>-2.5493037974683541</v>
      </c>
      <c r="U354" s="9">
        <f t="shared" si="46"/>
        <v>19.115562052834452</v>
      </c>
      <c r="W354">
        <v>2367</v>
      </c>
      <c r="Y354">
        <f t="shared" si="52"/>
        <v>318356.60000000003</v>
      </c>
      <c r="Z354" s="35">
        <f t="shared" si="47"/>
        <v>83746.300000000017</v>
      </c>
      <c r="AA354">
        <v>15.474896566880519</v>
      </c>
    </row>
    <row r="355" spans="1:27" x14ac:dyDescent="0.25">
      <c r="A355">
        <v>5240</v>
      </c>
      <c r="B355">
        <v>23690</v>
      </c>
      <c r="C355" s="5">
        <v>42933</v>
      </c>
      <c r="G355">
        <v>23.5</v>
      </c>
      <c r="H355">
        <v>16.7</v>
      </c>
      <c r="I355">
        <v>29</v>
      </c>
      <c r="J355">
        <f t="shared" si="53"/>
        <v>3578.6000000000022</v>
      </c>
      <c r="K355" s="35">
        <f t="shared" si="48"/>
        <v>1175.0999999999997</v>
      </c>
      <c r="M355">
        <v>0</v>
      </c>
      <c r="N355">
        <v>3.9</v>
      </c>
      <c r="O355">
        <f t="shared" si="49"/>
        <v>-3.9</v>
      </c>
      <c r="P355">
        <v>0</v>
      </c>
      <c r="Q355">
        <v>329</v>
      </c>
      <c r="R355">
        <f t="shared" si="45"/>
        <v>0.53227848101265818</v>
      </c>
      <c r="S355" s="9">
        <f t="shared" si="50"/>
        <v>2.0758860759493669</v>
      </c>
      <c r="T355" s="9">
        <f t="shared" si="51"/>
        <v>-2.0758860759493669</v>
      </c>
      <c r="U355" s="9">
        <f t="shared" si="46"/>
        <v>17.039675976885086</v>
      </c>
      <c r="W355">
        <v>1780.2</v>
      </c>
      <c r="Y355">
        <f t="shared" si="52"/>
        <v>320136.80000000005</v>
      </c>
      <c r="Z355" s="35">
        <f t="shared" si="47"/>
        <v>85526.500000000015</v>
      </c>
      <c r="AA355">
        <v>15.442282782107174</v>
      </c>
    </row>
    <row r="356" spans="1:27" x14ac:dyDescent="0.25">
      <c r="A356">
        <v>5240</v>
      </c>
      <c r="B356">
        <v>23690</v>
      </c>
      <c r="C356" s="5">
        <v>42934</v>
      </c>
      <c r="G356">
        <v>26.6</v>
      </c>
      <c r="H356">
        <v>20.399999999999999</v>
      </c>
      <c r="I356">
        <v>32.200000000000003</v>
      </c>
      <c r="J356">
        <f t="shared" si="53"/>
        <v>3605.2000000000021</v>
      </c>
      <c r="K356" s="35">
        <f t="shared" si="48"/>
        <v>1201.6999999999996</v>
      </c>
      <c r="M356">
        <v>0.1</v>
      </c>
      <c r="N356">
        <v>6.5</v>
      </c>
      <c r="O356">
        <f t="shared" si="49"/>
        <v>-6.4</v>
      </c>
      <c r="P356">
        <v>0</v>
      </c>
      <c r="Q356">
        <v>330</v>
      </c>
      <c r="R356">
        <f t="shared" si="45"/>
        <v>0.52215189873417722</v>
      </c>
      <c r="S356" s="9">
        <f t="shared" si="50"/>
        <v>3.393987341772152</v>
      </c>
      <c r="T356" s="9">
        <f t="shared" si="51"/>
        <v>-3.2939873417721519</v>
      </c>
      <c r="U356" s="9">
        <f t="shared" si="46"/>
        <v>13.745688635112934</v>
      </c>
      <c r="W356">
        <v>2496.8000000000002</v>
      </c>
      <c r="Y356">
        <f t="shared" si="52"/>
        <v>322633.60000000003</v>
      </c>
      <c r="Z356" s="35">
        <f t="shared" si="47"/>
        <v>88023.300000000017</v>
      </c>
      <c r="AA356">
        <v>15.408614467907267</v>
      </c>
    </row>
    <row r="357" spans="1:27" x14ac:dyDescent="0.25">
      <c r="A357">
        <v>5240</v>
      </c>
      <c r="B357">
        <v>23690</v>
      </c>
      <c r="C357" s="5">
        <v>42935</v>
      </c>
      <c r="G357">
        <v>23.4</v>
      </c>
      <c r="H357">
        <v>22.8</v>
      </c>
      <c r="I357">
        <v>25.7</v>
      </c>
      <c r="J357">
        <f t="shared" si="53"/>
        <v>3628.6000000000022</v>
      </c>
      <c r="K357" s="35">
        <f t="shared" si="48"/>
        <v>1225.0999999999997</v>
      </c>
      <c r="M357">
        <v>0.2</v>
      </c>
      <c r="N357">
        <v>4.5</v>
      </c>
      <c r="O357">
        <f t="shared" si="49"/>
        <v>-4.3</v>
      </c>
      <c r="P357">
        <v>0</v>
      </c>
      <c r="Q357">
        <v>331</v>
      </c>
      <c r="R357">
        <f t="shared" si="45"/>
        <v>0.51202531645569616</v>
      </c>
      <c r="S357" s="9">
        <f t="shared" si="50"/>
        <v>2.3041139240506325</v>
      </c>
      <c r="T357" s="9">
        <f t="shared" si="51"/>
        <v>-2.1041139240506324</v>
      </c>
      <c r="U357" s="9">
        <f t="shared" si="46"/>
        <v>11.641574711062301</v>
      </c>
      <c r="W357">
        <v>1773.4</v>
      </c>
      <c r="Y357">
        <f t="shared" si="52"/>
        <v>324407.00000000006</v>
      </c>
      <c r="Z357" s="35">
        <f t="shared" si="47"/>
        <v>89796.700000000012</v>
      </c>
      <c r="AA357">
        <v>15.373915156055965</v>
      </c>
    </row>
    <row r="358" spans="1:27" x14ac:dyDescent="0.25">
      <c r="A358">
        <v>5240</v>
      </c>
      <c r="B358">
        <v>23690</v>
      </c>
      <c r="C358" s="5">
        <v>42936</v>
      </c>
      <c r="G358">
        <v>18.5</v>
      </c>
      <c r="H358">
        <v>18.100000000000001</v>
      </c>
      <c r="I358">
        <v>21.3</v>
      </c>
      <c r="J358">
        <f t="shared" si="53"/>
        <v>3647.1000000000022</v>
      </c>
      <c r="K358" s="35">
        <f t="shared" si="48"/>
        <v>1243.5999999999997</v>
      </c>
      <c r="M358">
        <v>0</v>
      </c>
      <c r="N358">
        <v>3.7</v>
      </c>
      <c r="O358">
        <f t="shared" si="49"/>
        <v>-3.7</v>
      </c>
      <c r="P358">
        <v>0</v>
      </c>
      <c r="Q358">
        <v>332</v>
      </c>
      <c r="R358">
        <f t="shared" si="45"/>
        <v>0.5018987341772152</v>
      </c>
      <c r="S358" s="9">
        <f t="shared" si="50"/>
        <v>1.8570253164556962</v>
      </c>
      <c r="T358" s="9">
        <f t="shared" si="51"/>
        <v>-1.8570253164556962</v>
      </c>
      <c r="U358" s="9">
        <f t="shared" si="46"/>
        <v>9.7845493946066053</v>
      </c>
      <c r="W358">
        <v>1446.2</v>
      </c>
      <c r="Y358">
        <f t="shared" si="52"/>
        <v>325853.20000000007</v>
      </c>
      <c r="Z358" s="35">
        <f t="shared" si="47"/>
        <v>91242.900000000009</v>
      </c>
      <c r="AA358">
        <v>15.33820860801108</v>
      </c>
    </row>
    <row r="359" spans="1:27" x14ac:dyDescent="0.25">
      <c r="A359">
        <v>5240</v>
      </c>
      <c r="B359">
        <v>23690</v>
      </c>
      <c r="C359" s="5">
        <v>42937</v>
      </c>
      <c r="G359">
        <v>17.899999999999999</v>
      </c>
      <c r="H359">
        <v>11.4</v>
      </c>
      <c r="I359">
        <v>22.6</v>
      </c>
      <c r="J359">
        <f t="shared" si="53"/>
        <v>3665.0000000000023</v>
      </c>
      <c r="K359" s="35">
        <f t="shared" si="48"/>
        <v>1261.4999999999998</v>
      </c>
      <c r="M359">
        <v>1.2</v>
      </c>
      <c r="N359">
        <v>4.8</v>
      </c>
      <c r="O359">
        <f t="shared" si="49"/>
        <v>-3.5999999999999996</v>
      </c>
      <c r="P359">
        <v>0</v>
      </c>
      <c r="Q359">
        <v>333</v>
      </c>
      <c r="R359">
        <f t="shared" si="45"/>
        <v>0.49177215189873413</v>
      </c>
      <c r="S359" s="9">
        <f t="shared" si="50"/>
        <v>2.3605063291139237</v>
      </c>
      <c r="T359" s="9">
        <f t="shared" si="51"/>
        <v>-1.1605063291139237</v>
      </c>
      <c r="U359" s="9">
        <f t="shared" si="46"/>
        <v>8.6240430654926818</v>
      </c>
      <c r="W359">
        <v>2580.6</v>
      </c>
      <c r="Y359">
        <f t="shared" si="52"/>
        <v>328433.80000000005</v>
      </c>
      <c r="Z359" s="35">
        <f t="shared" si="47"/>
        <v>93823.500000000015</v>
      </c>
      <c r="AA359">
        <v>15.301518765244261</v>
      </c>
    </row>
    <row r="360" spans="1:27" x14ac:dyDescent="0.25">
      <c r="A360">
        <v>5240</v>
      </c>
      <c r="B360">
        <v>23690</v>
      </c>
      <c r="C360" s="5">
        <v>42938</v>
      </c>
      <c r="G360">
        <v>17.100000000000001</v>
      </c>
      <c r="H360">
        <v>15.1</v>
      </c>
      <c r="I360">
        <v>19.899999999999999</v>
      </c>
      <c r="J360">
        <f t="shared" si="53"/>
        <v>3682.1000000000022</v>
      </c>
      <c r="K360" s="35">
        <f t="shared" si="48"/>
        <v>1278.5999999999997</v>
      </c>
      <c r="M360">
        <v>0.1</v>
      </c>
      <c r="N360">
        <v>2.1</v>
      </c>
      <c r="O360">
        <f t="shared" si="49"/>
        <v>-2</v>
      </c>
      <c r="P360">
        <v>0</v>
      </c>
      <c r="Q360">
        <v>334</v>
      </c>
      <c r="R360">
        <f t="shared" ref="R360:R373" si="54">1.15+((Q360-268)/79)*(0.35-1.15)</f>
        <v>0.48164556962025318</v>
      </c>
      <c r="S360" s="9">
        <f t="shared" si="50"/>
        <v>1.0114556962025316</v>
      </c>
      <c r="T360" s="9">
        <f t="shared" si="51"/>
        <v>-0.91145569620253164</v>
      </c>
      <c r="U360" s="9">
        <f t="shared" ref="U360:U373" si="55">MIN(U359+T360,218.9)</f>
        <v>7.7125873692901505</v>
      </c>
      <c r="W360">
        <v>815.8</v>
      </c>
      <c r="Y360">
        <f t="shared" si="52"/>
        <v>329249.60000000003</v>
      </c>
      <c r="Z360" s="35">
        <f t="shared" si="47"/>
        <v>94639.300000000017</v>
      </c>
      <c r="AA360">
        <v>15.263869701137686</v>
      </c>
    </row>
    <row r="361" spans="1:27" x14ac:dyDescent="0.25">
      <c r="A361">
        <v>5240</v>
      </c>
      <c r="B361">
        <v>23690</v>
      </c>
      <c r="C361" s="5">
        <v>42939</v>
      </c>
      <c r="G361">
        <v>15.7</v>
      </c>
      <c r="H361">
        <v>13.2</v>
      </c>
      <c r="I361">
        <v>20.2</v>
      </c>
      <c r="J361">
        <f t="shared" si="53"/>
        <v>3697.800000000002</v>
      </c>
      <c r="K361" s="35">
        <f t="shared" si="48"/>
        <v>1294.2999999999997</v>
      </c>
      <c r="M361">
        <v>10</v>
      </c>
      <c r="N361">
        <v>2.2000000000000002</v>
      </c>
      <c r="O361">
        <f t="shared" si="49"/>
        <v>7.8</v>
      </c>
      <c r="P361">
        <f t="shared" ref="P361:P366" si="56">P360+O361</f>
        <v>7.8</v>
      </c>
      <c r="Q361">
        <v>335</v>
      </c>
      <c r="R361">
        <f t="shared" si="54"/>
        <v>0.47151898734177211</v>
      </c>
      <c r="S361" s="9">
        <f t="shared" si="50"/>
        <v>1.0373417721518987</v>
      </c>
      <c r="T361" s="9">
        <f t="shared" si="51"/>
        <v>8.9626582278481006</v>
      </c>
      <c r="U361" s="9">
        <f t="shared" si="55"/>
        <v>16.67524559713825</v>
      </c>
      <c r="W361">
        <v>838.2</v>
      </c>
      <c r="Y361">
        <f t="shared" si="52"/>
        <v>330087.80000000005</v>
      </c>
      <c r="Z361" s="35">
        <f t="shared" si="47"/>
        <v>95477.500000000015</v>
      </c>
      <c r="AA361">
        <v>15.225285574580498</v>
      </c>
    </row>
    <row r="362" spans="1:27" x14ac:dyDescent="0.25">
      <c r="A362">
        <v>5240</v>
      </c>
      <c r="B362">
        <v>23690</v>
      </c>
      <c r="C362" s="5">
        <v>42940</v>
      </c>
      <c r="G362">
        <v>15.7</v>
      </c>
      <c r="H362">
        <v>13.3</v>
      </c>
      <c r="I362">
        <v>17.399999999999999</v>
      </c>
      <c r="J362">
        <f t="shared" si="53"/>
        <v>3713.5000000000018</v>
      </c>
      <c r="K362" s="35">
        <f t="shared" si="48"/>
        <v>1309.9999999999998</v>
      </c>
      <c r="M362">
        <v>0.5</v>
      </c>
      <c r="N362">
        <v>1.1000000000000001</v>
      </c>
      <c r="O362">
        <f t="shared" si="49"/>
        <v>-0.60000000000000009</v>
      </c>
      <c r="P362">
        <f t="shared" si="56"/>
        <v>7.1999999999999993</v>
      </c>
      <c r="Q362">
        <v>336</v>
      </c>
      <c r="R362">
        <f t="shared" si="54"/>
        <v>0.46139240506329104</v>
      </c>
      <c r="S362" s="9">
        <f t="shared" si="50"/>
        <v>0.50753164556962016</v>
      </c>
      <c r="T362" s="9">
        <f t="shared" si="51"/>
        <v>-7.5316455696201601E-3</v>
      </c>
      <c r="U362" s="9">
        <f t="shared" si="55"/>
        <v>16.667713951568629</v>
      </c>
      <c r="W362">
        <v>624.29999999999995</v>
      </c>
      <c r="Y362">
        <f t="shared" si="52"/>
        <v>330712.10000000003</v>
      </c>
      <c r="Z362" s="35">
        <f t="shared" si="47"/>
        <v>96101.800000000017</v>
      </c>
      <c r="AA362">
        <v>15.185790585381024</v>
      </c>
    </row>
    <row r="363" spans="1:27" x14ac:dyDescent="0.25">
      <c r="A363">
        <v>5240</v>
      </c>
      <c r="B363">
        <v>23690</v>
      </c>
      <c r="C363" s="5">
        <v>42941</v>
      </c>
      <c r="G363">
        <v>17</v>
      </c>
      <c r="H363">
        <v>14.3</v>
      </c>
      <c r="I363">
        <v>21.1</v>
      </c>
      <c r="J363">
        <f t="shared" si="53"/>
        <v>3730.5000000000018</v>
      </c>
      <c r="K363" s="35">
        <f t="shared" si="48"/>
        <v>1326.9999999999998</v>
      </c>
      <c r="M363">
        <v>0</v>
      </c>
      <c r="N363">
        <v>3.1</v>
      </c>
      <c r="O363">
        <f t="shared" si="49"/>
        <v>-3.1</v>
      </c>
      <c r="P363">
        <f t="shared" si="56"/>
        <v>4.0999999999999996</v>
      </c>
      <c r="Q363">
        <v>337</v>
      </c>
      <c r="R363">
        <f t="shared" si="54"/>
        <v>0.45126582278481009</v>
      </c>
      <c r="S363" s="9">
        <f t="shared" si="50"/>
        <v>1.3989240506329113</v>
      </c>
      <c r="T363" s="9">
        <f t="shared" si="51"/>
        <v>-1.3989240506329113</v>
      </c>
      <c r="U363" s="9">
        <f t="shared" si="55"/>
        <v>15.268789900935719</v>
      </c>
      <c r="W363">
        <v>1530.5</v>
      </c>
      <c r="Y363">
        <f t="shared" si="52"/>
        <v>332242.60000000003</v>
      </c>
      <c r="Z363" s="35">
        <f t="shared" si="47"/>
        <v>97632.300000000017</v>
      </c>
      <c r="AA363">
        <v>15.145408931593396</v>
      </c>
    </row>
    <row r="364" spans="1:27" x14ac:dyDescent="0.25">
      <c r="A364">
        <v>5240</v>
      </c>
      <c r="B364">
        <v>23690</v>
      </c>
      <c r="C364" s="5">
        <v>42942</v>
      </c>
      <c r="G364">
        <v>16.7</v>
      </c>
      <c r="H364">
        <v>11.7</v>
      </c>
      <c r="I364">
        <v>19.2</v>
      </c>
      <c r="J364">
        <f t="shared" si="53"/>
        <v>3747.2000000000016</v>
      </c>
      <c r="K364" s="35">
        <f t="shared" si="48"/>
        <v>1343.6999999999998</v>
      </c>
      <c r="M364">
        <v>2</v>
      </c>
      <c r="N364">
        <v>1.1000000000000001</v>
      </c>
      <c r="O364">
        <f t="shared" si="49"/>
        <v>0.89999999999999991</v>
      </c>
      <c r="P364">
        <f t="shared" si="56"/>
        <v>5</v>
      </c>
      <c r="Q364">
        <v>338</v>
      </c>
      <c r="R364">
        <f t="shared" si="54"/>
        <v>0.44113924050632913</v>
      </c>
      <c r="S364" s="9">
        <f t="shared" si="50"/>
        <v>0.4852531645569621</v>
      </c>
      <c r="T364" s="9">
        <f t="shared" si="51"/>
        <v>1.514746835443038</v>
      </c>
      <c r="U364" s="9">
        <f t="shared" si="55"/>
        <v>16.783536736378757</v>
      </c>
      <c r="W364">
        <v>698.7</v>
      </c>
      <c r="Y364">
        <f t="shared" si="52"/>
        <v>332941.30000000005</v>
      </c>
      <c r="Z364" s="35">
        <f t="shared" si="47"/>
        <v>98331.000000000015</v>
      </c>
      <c r="AA364">
        <v>15.104164768839823</v>
      </c>
    </row>
    <row r="365" spans="1:27" x14ac:dyDescent="0.25">
      <c r="A365">
        <v>5240</v>
      </c>
      <c r="B365">
        <v>23690</v>
      </c>
      <c r="C365" s="5">
        <v>42943</v>
      </c>
      <c r="G365">
        <v>18.5</v>
      </c>
      <c r="H365">
        <v>16.7</v>
      </c>
      <c r="I365">
        <v>20.7</v>
      </c>
      <c r="J365">
        <f t="shared" si="53"/>
        <v>3765.7000000000016</v>
      </c>
      <c r="K365" s="35">
        <f t="shared" si="48"/>
        <v>1362.1999999999998</v>
      </c>
      <c r="M365">
        <v>0.8</v>
      </c>
      <c r="N365">
        <v>1.5</v>
      </c>
      <c r="O365">
        <f t="shared" si="49"/>
        <v>-0.7</v>
      </c>
      <c r="P365">
        <f t="shared" si="56"/>
        <v>4.3</v>
      </c>
      <c r="Q365">
        <v>339</v>
      </c>
      <c r="R365">
        <f t="shared" si="54"/>
        <v>0.43101265822784807</v>
      </c>
      <c r="S365" s="9">
        <f t="shared" si="50"/>
        <v>0.64651898734177204</v>
      </c>
      <c r="T365" s="9">
        <f t="shared" si="51"/>
        <v>0.153481012658228</v>
      </c>
      <c r="U365" s="9">
        <f t="shared" si="55"/>
        <v>16.937017749036986</v>
      </c>
      <c r="W365">
        <v>633.20000000000005</v>
      </c>
      <c r="Y365">
        <f t="shared" si="52"/>
        <v>333574.50000000006</v>
      </c>
      <c r="Z365" s="35">
        <f t="shared" si="47"/>
        <v>98964.200000000012</v>
      </c>
      <c r="AA365">
        <v>15.062082171693541</v>
      </c>
    </row>
    <row r="366" spans="1:27" x14ac:dyDescent="0.25">
      <c r="A366">
        <v>5240</v>
      </c>
      <c r="B366">
        <v>23690</v>
      </c>
      <c r="C366" s="5">
        <v>42944</v>
      </c>
      <c r="G366">
        <v>18.399999999999999</v>
      </c>
      <c r="H366">
        <v>14.4</v>
      </c>
      <c r="I366">
        <v>21.6</v>
      </c>
      <c r="J366">
        <f t="shared" si="53"/>
        <v>3784.1000000000017</v>
      </c>
      <c r="K366" s="35">
        <f t="shared" si="48"/>
        <v>1380.6</v>
      </c>
      <c r="M366">
        <v>0</v>
      </c>
      <c r="N366">
        <v>3.6</v>
      </c>
      <c r="O366">
        <f t="shared" si="49"/>
        <v>-3.6</v>
      </c>
      <c r="P366">
        <f t="shared" si="56"/>
        <v>0.69999999999999973</v>
      </c>
      <c r="Q366">
        <v>340</v>
      </c>
      <c r="R366">
        <f t="shared" si="54"/>
        <v>0.42088607594936711</v>
      </c>
      <c r="S366" s="9">
        <f t="shared" si="50"/>
        <v>1.5151898734177216</v>
      </c>
      <c r="T366" s="9">
        <f t="shared" si="51"/>
        <v>-1.5151898734177216</v>
      </c>
      <c r="U366" s="9">
        <f t="shared" si="55"/>
        <v>15.421827875619265</v>
      </c>
      <c r="W366">
        <v>1582.7</v>
      </c>
      <c r="Y366">
        <f t="shared" si="52"/>
        <v>335157.20000000007</v>
      </c>
      <c r="Z366" s="35">
        <f t="shared" si="47"/>
        <v>100546.90000000001</v>
      </c>
      <c r="AA366">
        <v>15.019185097171666</v>
      </c>
    </row>
    <row r="367" spans="1:27" x14ac:dyDescent="0.25">
      <c r="A367">
        <v>5240</v>
      </c>
      <c r="B367">
        <v>23690</v>
      </c>
      <c r="C367" s="5">
        <v>42945</v>
      </c>
      <c r="G367">
        <v>21.1</v>
      </c>
      <c r="H367">
        <v>16.2</v>
      </c>
      <c r="I367">
        <v>25</v>
      </c>
      <c r="J367">
        <f t="shared" si="53"/>
        <v>3805.2000000000016</v>
      </c>
      <c r="K367" s="35">
        <f t="shared" si="48"/>
        <v>1401.6999999999998</v>
      </c>
      <c r="M367">
        <v>0</v>
      </c>
      <c r="N367">
        <v>4.4000000000000004</v>
      </c>
      <c r="O367">
        <f t="shared" si="49"/>
        <v>-4.4000000000000004</v>
      </c>
      <c r="P367">
        <v>0</v>
      </c>
      <c r="Q367">
        <v>341</v>
      </c>
      <c r="R367">
        <f t="shared" si="54"/>
        <v>0.41075949367088604</v>
      </c>
      <c r="S367" s="9">
        <f t="shared" si="50"/>
        <v>1.8073417721518987</v>
      </c>
      <c r="T367" s="9">
        <f t="shared" si="51"/>
        <v>-1.8073417721518987</v>
      </c>
      <c r="U367" s="9">
        <f t="shared" si="55"/>
        <v>13.614486103467366</v>
      </c>
      <c r="W367">
        <v>2047.9</v>
      </c>
      <c r="Y367">
        <f t="shared" si="52"/>
        <v>337205.10000000009</v>
      </c>
      <c r="Z367" s="35">
        <f t="shared" si="47"/>
        <v>102594.8</v>
      </c>
      <c r="AA367">
        <v>14.975497350372477</v>
      </c>
    </row>
    <row r="368" spans="1:27" x14ac:dyDescent="0.25">
      <c r="A368">
        <v>5240</v>
      </c>
      <c r="B368">
        <v>23690</v>
      </c>
      <c r="C368" s="5">
        <v>42946</v>
      </c>
      <c r="G368">
        <v>20.100000000000001</v>
      </c>
      <c r="H368">
        <v>18.5</v>
      </c>
      <c r="I368">
        <v>22.6</v>
      </c>
      <c r="J368">
        <f t="shared" si="53"/>
        <v>3825.3000000000015</v>
      </c>
      <c r="K368" s="35">
        <f t="shared" si="48"/>
        <v>1421.7999999999997</v>
      </c>
      <c r="M368">
        <v>0</v>
      </c>
      <c r="N368">
        <v>4.3</v>
      </c>
      <c r="O368">
        <f t="shared" si="49"/>
        <v>-4.3</v>
      </c>
      <c r="P368">
        <v>0</v>
      </c>
      <c r="Q368">
        <v>342</v>
      </c>
      <c r="R368">
        <f t="shared" si="54"/>
        <v>0.40063291139240509</v>
      </c>
      <c r="S368" s="9">
        <f t="shared" si="50"/>
        <v>1.7227215189873417</v>
      </c>
      <c r="T368" s="9">
        <f t="shared" si="51"/>
        <v>-1.7227215189873417</v>
      </c>
      <c r="U368" s="9">
        <f t="shared" si="55"/>
        <v>11.891764584480024</v>
      </c>
      <c r="W368">
        <v>1626.1</v>
      </c>
      <c r="Y368">
        <f t="shared" si="52"/>
        <v>338831.20000000007</v>
      </c>
      <c r="Z368" s="35">
        <f t="shared" si="47"/>
        <v>104220.90000000001</v>
      </c>
      <c r="AA368">
        <v>14.931042552277784</v>
      </c>
    </row>
    <row r="369" spans="1:27" x14ac:dyDescent="0.25">
      <c r="A369">
        <v>5240</v>
      </c>
      <c r="B369">
        <v>23690</v>
      </c>
      <c r="C369" s="5">
        <v>42947</v>
      </c>
      <c r="G369">
        <v>18.3</v>
      </c>
      <c r="H369">
        <v>14.2</v>
      </c>
      <c r="I369">
        <v>21.9</v>
      </c>
      <c r="J369">
        <f t="shared" si="53"/>
        <v>3843.6000000000017</v>
      </c>
      <c r="K369" s="35">
        <f t="shared" si="48"/>
        <v>1440.0999999999997</v>
      </c>
      <c r="M369">
        <v>2.2000000000000002</v>
      </c>
      <c r="N369">
        <v>2.6</v>
      </c>
      <c r="O369">
        <f t="shared" si="49"/>
        <v>-0.39999999999999991</v>
      </c>
      <c r="P369">
        <v>0</v>
      </c>
      <c r="Q369">
        <v>343</v>
      </c>
      <c r="R369">
        <f t="shared" si="54"/>
        <v>0.39050632911392402</v>
      </c>
      <c r="S369" s="9">
        <f t="shared" si="50"/>
        <v>1.0153164556962024</v>
      </c>
      <c r="T369" s="9">
        <f t="shared" si="51"/>
        <v>1.1846835443037977</v>
      </c>
      <c r="U369" s="9">
        <f t="shared" si="55"/>
        <v>13.076448128783822</v>
      </c>
      <c r="W369">
        <v>1506.4</v>
      </c>
      <c r="Y369">
        <f t="shared" si="52"/>
        <v>340337.60000000009</v>
      </c>
      <c r="Z369" s="35">
        <f t="shared" si="47"/>
        <v>105727.3</v>
      </c>
      <c r="AA369">
        <v>14.8858441097282</v>
      </c>
    </row>
    <row r="370" spans="1:27" x14ac:dyDescent="0.25">
      <c r="A370">
        <v>5240</v>
      </c>
      <c r="B370">
        <v>23690</v>
      </c>
      <c r="C370" s="5">
        <v>42948</v>
      </c>
      <c r="G370">
        <v>19.2</v>
      </c>
      <c r="H370">
        <v>14.5</v>
      </c>
      <c r="I370">
        <v>25</v>
      </c>
      <c r="J370">
        <f t="shared" si="53"/>
        <v>3862.8000000000015</v>
      </c>
      <c r="K370" s="35">
        <f t="shared" si="48"/>
        <v>1459.2999999999997</v>
      </c>
      <c r="M370">
        <v>0</v>
      </c>
      <c r="N370">
        <v>3.9</v>
      </c>
      <c r="O370">
        <f t="shared" si="49"/>
        <v>-3.9</v>
      </c>
      <c r="P370">
        <v>0</v>
      </c>
      <c r="Q370">
        <v>344</v>
      </c>
      <c r="R370">
        <f t="shared" si="54"/>
        <v>0.38037974683544296</v>
      </c>
      <c r="S370" s="9">
        <f t="shared" si="50"/>
        <v>1.4834810126582274</v>
      </c>
      <c r="T370" s="9">
        <f t="shared" si="51"/>
        <v>-1.4834810126582274</v>
      </c>
      <c r="U370" s="9">
        <f t="shared" si="55"/>
        <v>11.592967116125594</v>
      </c>
      <c r="W370">
        <v>1820.1</v>
      </c>
      <c r="Y370">
        <f t="shared" si="52"/>
        <v>342157.70000000007</v>
      </c>
      <c r="Z370" s="35">
        <f t="shared" si="47"/>
        <v>107547.40000000001</v>
      </c>
      <c r="AA370">
        <v>14.839925187567264</v>
      </c>
    </row>
    <row r="371" spans="1:27" x14ac:dyDescent="0.25">
      <c r="A371">
        <v>5240</v>
      </c>
      <c r="B371">
        <v>23690</v>
      </c>
      <c r="C371" s="5">
        <v>42949</v>
      </c>
      <c r="G371">
        <v>21.4</v>
      </c>
      <c r="H371">
        <v>14.3</v>
      </c>
      <c r="I371">
        <v>27.1</v>
      </c>
      <c r="J371">
        <f t="shared" si="53"/>
        <v>3884.2000000000016</v>
      </c>
      <c r="K371" s="35">
        <f t="shared" si="48"/>
        <v>1480.6999999999998</v>
      </c>
      <c r="M371">
        <v>0.1</v>
      </c>
      <c r="N371">
        <v>2.8</v>
      </c>
      <c r="O371">
        <f t="shared" si="49"/>
        <v>-2.6999999999999997</v>
      </c>
      <c r="P371">
        <v>0</v>
      </c>
      <c r="Q371">
        <v>345</v>
      </c>
      <c r="R371">
        <f t="shared" si="54"/>
        <v>0.370253164556962</v>
      </c>
      <c r="S371" s="9">
        <f t="shared" si="50"/>
        <v>1.0367088607594936</v>
      </c>
      <c r="T371" s="9">
        <f t="shared" si="51"/>
        <v>-0.93670886075949367</v>
      </c>
      <c r="U371" s="9">
        <f t="shared" si="55"/>
        <v>10.656258255366101</v>
      </c>
      <c r="W371">
        <v>1110</v>
      </c>
      <c r="Y371">
        <f t="shared" si="52"/>
        <v>343267.70000000007</v>
      </c>
      <c r="Z371" s="35">
        <f t="shared" si="47"/>
        <v>108657.40000000001</v>
      </c>
      <c r="AA371">
        <v>14.7933086829396</v>
      </c>
    </row>
    <row r="372" spans="1:27" x14ac:dyDescent="0.25">
      <c r="A372">
        <v>5240</v>
      </c>
      <c r="B372">
        <v>23690</v>
      </c>
      <c r="C372" s="5">
        <v>42950</v>
      </c>
      <c r="G372">
        <v>21.5</v>
      </c>
      <c r="H372">
        <v>18.7</v>
      </c>
      <c r="I372">
        <v>24.7</v>
      </c>
      <c r="J372">
        <f t="shared" si="53"/>
        <v>3905.7000000000016</v>
      </c>
      <c r="K372" s="35">
        <f t="shared" si="48"/>
        <v>1502.1999999999998</v>
      </c>
      <c r="M372">
        <v>0.1</v>
      </c>
      <c r="N372">
        <v>3.9</v>
      </c>
      <c r="O372">
        <f t="shared" si="49"/>
        <v>-3.8</v>
      </c>
      <c r="P372">
        <v>0</v>
      </c>
      <c r="Q372">
        <v>346</v>
      </c>
      <c r="R372">
        <f t="shared" si="54"/>
        <v>0.36012658227848093</v>
      </c>
      <c r="S372" s="9">
        <f t="shared" si="50"/>
        <v>1.4044936708860756</v>
      </c>
      <c r="T372" s="9">
        <f t="shared" si="51"/>
        <v>-1.3044936708860755</v>
      </c>
      <c r="U372" s="9">
        <f t="shared" si="55"/>
        <v>9.3517645844800263</v>
      </c>
      <c r="W372">
        <v>1100.4000000000001</v>
      </c>
      <c r="Y372">
        <f t="shared" si="52"/>
        <v>344368.10000000009</v>
      </c>
      <c r="Z372" s="35">
        <f t="shared" si="47"/>
        <v>109757.8</v>
      </c>
      <c r="AA372">
        <v>14.74601720171851</v>
      </c>
    </row>
    <row r="373" spans="1:27" x14ac:dyDescent="0.25">
      <c r="A373">
        <v>5240</v>
      </c>
      <c r="B373">
        <v>23690</v>
      </c>
      <c r="C373" s="5">
        <v>42951</v>
      </c>
      <c r="G373">
        <v>20.399999999999999</v>
      </c>
      <c r="H373">
        <v>16.8</v>
      </c>
      <c r="I373">
        <v>23.9</v>
      </c>
      <c r="J373">
        <f t="shared" si="53"/>
        <v>3926.1000000000017</v>
      </c>
      <c r="K373" s="35">
        <f t="shared" si="48"/>
        <v>1522.6</v>
      </c>
      <c r="M373">
        <v>0.1</v>
      </c>
      <c r="N373">
        <v>2.5</v>
      </c>
      <c r="O373">
        <f t="shared" si="49"/>
        <v>-2.4</v>
      </c>
      <c r="P373">
        <v>0</v>
      </c>
      <c r="Q373">
        <v>347</v>
      </c>
      <c r="R373">
        <f t="shared" si="54"/>
        <v>0.35</v>
      </c>
      <c r="S373" s="9">
        <f t="shared" si="50"/>
        <v>0.875</v>
      </c>
      <c r="T373" s="9">
        <f t="shared" si="51"/>
        <v>-0.77500000000000002</v>
      </c>
      <c r="U373" s="9">
        <f t="shared" si="55"/>
        <v>8.576764584480026</v>
      </c>
      <c r="W373">
        <v>857.4</v>
      </c>
      <c r="Y373">
        <f t="shared" si="52"/>
        <v>345225.50000000012</v>
      </c>
      <c r="Z373" s="35">
        <f t="shared" si="47"/>
        <v>110615.2</v>
      </c>
      <c r="AA373">
        <v>14.698073037029664</v>
      </c>
    </row>
    <row r="374" spans="1:27" s="7" customFormat="1" x14ac:dyDescent="0.25">
      <c r="A374" s="53" t="s">
        <v>32</v>
      </c>
      <c r="B374" s="53"/>
      <c r="C374" s="53"/>
      <c r="D374" s="53"/>
      <c r="E374" s="53"/>
      <c r="F374" s="53"/>
    </row>
    <row r="375" spans="1:27" x14ac:dyDescent="0.25">
      <c r="A375">
        <v>5240</v>
      </c>
      <c r="B375">
        <v>23690</v>
      </c>
      <c r="C375" s="5">
        <v>42952</v>
      </c>
      <c r="G375">
        <v>18.5</v>
      </c>
      <c r="H375">
        <v>15.3</v>
      </c>
      <c r="I375">
        <v>22.1</v>
      </c>
      <c r="M375">
        <v>0.1</v>
      </c>
      <c r="N375">
        <v>2.9</v>
      </c>
      <c r="W375">
        <v>1294.8</v>
      </c>
    </row>
    <row r="376" spans="1:27" x14ac:dyDescent="0.25">
      <c r="A376">
        <v>5240</v>
      </c>
      <c r="B376">
        <v>23690</v>
      </c>
      <c r="C376" s="5">
        <v>42953</v>
      </c>
      <c r="G376">
        <v>17</v>
      </c>
      <c r="H376">
        <v>11.2</v>
      </c>
      <c r="I376">
        <v>23</v>
      </c>
      <c r="M376">
        <v>0</v>
      </c>
      <c r="N376">
        <v>4.3</v>
      </c>
      <c r="W376">
        <v>2271.6</v>
      </c>
    </row>
    <row r="377" spans="1:27" x14ac:dyDescent="0.25">
      <c r="A377">
        <v>5240</v>
      </c>
      <c r="B377">
        <v>23690</v>
      </c>
      <c r="C377" s="5">
        <v>42954</v>
      </c>
      <c r="G377">
        <v>19.3</v>
      </c>
      <c r="H377">
        <v>12.5</v>
      </c>
      <c r="I377">
        <v>25.1</v>
      </c>
      <c r="M377">
        <v>0.5</v>
      </c>
      <c r="N377">
        <v>4.4000000000000004</v>
      </c>
      <c r="W377">
        <v>2164.8000000000002</v>
      </c>
    </row>
    <row r="378" spans="1:27" x14ac:dyDescent="0.25">
      <c r="A378">
        <v>5240</v>
      </c>
      <c r="B378">
        <v>23690</v>
      </c>
      <c r="C378" s="5">
        <v>42955</v>
      </c>
      <c r="G378">
        <v>15.8</v>
      </c>
      <c r="H378">
        <v>14.1</v>
      </c>
      <c r="I378">
        <v>17.399999999999999</v>
      </c>
      <c r="M378">
        <v>2.5</v>
      </c>
      <c r="N378">
        <v>0.9</v>
      </c>
      <c r="W378">
        <v>357.9</v>
      </c>
    </row>
    <row r="379" spans="1:27" x14ac:dyDescent="0.25">
      <c r="A379">
        <v>5240</v>
      </c>
      <c r="B379">
        <v>23690</v>
      </c>
      <c r="C379" s="5">
        <v>42956</v>
      </c>
      <c r="G379">
        <v>12.9</v>
      </c>
      <c r="H379">
        <v>10.9</v>
      </c>
      <c r="I379">
        <v>14.4</v>
      </c>
      <c r="M379">
        <v>13.4</v>
      </c>
      <c r="N379">
        <v>0.9</v>
      </c>
      <c r="W379">
        <v>595.1</v>
      </c>
    </row>
    <row r="380" spans="1:27" x14ac:dyDescent="0.25">
      <c r="A380">
        <v>5240</v>
      </c>
      <c r="B380">
        <v>23690</v>
      </c>
      <c r="C380" s="5">
        <v>42957</v>
      </c>
      <c r="G380">
        <v>14.6</v>
      </c>
      <c r="H380">
        <v>12.1</v>
      </c>
      <c r="I380">
        <v>17.7</v>
      </c>
      <c r="M380">
        <v>5.2</v>
      </c>
      <c r="N380">
        <v>1.3</v>
      </c>
      <c r="W380">
        <v>861.4</v>
      </c>
    </row>
    <row r="381" spans="1:27" x14ac:dyDescent="0.25">
      <c r="A381">
        <v>5240</v>
      </c>
      <c r="B381">
        <v>23690</v>
      </c>
      <c r="C381" s="5">
        <v>42958</v>
      </c>
      <c r="G381">
        <v>16</v>
      </c>
      <c r="H381">
        <v>13</v>
      </c>
      <c r="I381">
        <v>19.7</v>
      </c>
      <c r="M381">
        <v>0</v>
      </c>
      <c r="N381">
        <v>2.5</v>
      </c>
      <c r="W381">
        <v>1372.7</v>
      </c>
    </row>
    <row r="382" spans="1:27" x14ac:dyDescent="0.25">
      <c r="A382">
        <v>5240</v>
      </c>
      <c r="B382">
        <v>23690</v>
      </c>
      <c r="C382" s="5">
        <v>42959</v>
      </c>
      <c r="G382">
        <v>16.2</v>
      </c>
      <c r="H382">
        <v>13.1</v>
      </c>
      <c r="I382">
        <v>18.399999999999999</v>
      </c>
      <c r="M382">
        <v>1.9</v>
      </c>
      <c r="N382">
        <v>1.1000000000000001</v>
      </c>
      <c r="W382">
        <v>541.79999999999995</v>
      </c>
    </row>
    <row r="383" spans="1:27" x14ac:dyDescent="0.25">
      <c r="A383">
        <v>5240</v>
      </c>
      <c r="B383">
        <v>23690</v>
      </c>
      <c r="C383" s="5">
        <v>42960</v>
      </c>
      <c r="G383">
        <v>16.2</v>
      </c>
      <c r="H383">
        <v>11.9</v>
      </c>
      <c r="I383">
        <v>20.100000000000001</v>
      </c>
      <c r="M383">
        <v>0</v>
      </c>
      <c r="N383">
        <v>2.6</v>
      </c>
      <c r="W383">
        <v>1460.1</v>
      </c>
    </row>
    <row r="384" spans="1:27" x14ac:dyDescent="0.25">
      <c r="A384">
        <v>5240</v>
      </c>
      <c r="B384">
        <v>23690</v>
      </c>
      <c r="C384" s="5">
        <v>42961</v>
      </c>
      <c r="G384">
        <v>19.399999999999999</v>
      </c>
      <c r="H384">
        <v>11.1</v>
      </c>
      <c r="I384">
        <v>25.9</v>
      </c>
      <c r="M384">
        <v>0</v>
      </c>
      <c r="N384">
        <v>2.5</v>
      </c>
      <c r="W384">
        <v>1245.5999999999999</v>
      </c>
    </row>
    <row r="385" spans="1:23" x14ac:dyDescent="0.25">
      <c r="A385">
        <v>5240</v>
      </c>
      <c r="B385">
        <v>23690</v>
      </c>
      <c r="C385" s="5">
        <v>42962</v>
      </c>
      <c r="G385">
        <v>21.5</v>
      </c>
      <c r="H385">
        <v>18.8</v>
      </c>
      <c r="I385">
        <v>25.4</v>
      </c>
      <c r="M385">
        <v>5.5</v>
      </c>
      <c r="N385">
        <v>2.5</v>
      </c>
      <c r="W385">
        <v>1261.8</v>
      </c>
    </row>
    <row r="386" spans="1:23" x14ac:dyDescent="0.25">
      <c r="A386">
        <v>5240</v>
      </c>
      <c r="B386">
        <v>23690</v>
      </c>
      <c r="C386" s="5">
        <v>42963</v>
      </c>
      <c r="G386">
        <v>19.100000000000001</v>
      </c>
      <c r="H386">
        <v>14.1</v>
      </c>
      <c r="I386">
        <v>23.5</v>
      </c>
      <c r="M386">
        <v>0.3</v>
      </c>
      <c r="N386">
        <v>3</v>
      </c>
      <c r="W386">
        <v>1631.3</v>
      </c>
    </row>
    <row r="387" spans="1:23" x14ac:dyDescent="0.25">
      <c r="A387">
        <v>5240</v>
      </c>
      <c r="B387">
        <v>23690</v>
      </c>
      <c r="C387" s="5">
        <v>42964</v>
      </c>
      <c r="G387">
        <v>19.3</v>
      </c>
      <c r="H387">
        <v>16</v>
      </c>
      <c r="I387">
        <v>22.4</v>
      </c>
      <c r="M387">
        <v>18.399999999999999</v>
      </c>
      <c r="N387">
        <v>1.2</v>
      </c>
      <c r="W387">
        <v>504</v>
      </c>
    </row>
    <row r="388" spans="1:23" x14ac:dyDescent="0.25">
      <c r="A388">
        <v>5240</v>
      </c>
      <c r="B388">
        <v>23690</v>
      </c>
      <c r="C388" s="5">
        <v>42965</v>
      </c>
      <c r="G388">
        <v>17.5</v>
      </c>
      <c r="H388">
        <v>17.2</v>
      </c>
      <c r="I388">
        <v>19.100000000000001</v>
      </c>
      <c r="M388">
        <v>11.3</v>
      </c>
      <c r="N388">
        <v>1.3</v>
      </c>
      <c r="W388">
        <v>578.1</v>
      </c>
    </row>
    <row r="389" spans="1:23" x14ac:dyDescent="0.25">
      <c r="A389">
        <v>5240</v>
      </c>
      <c r="B389">
        <v>23690</v>
      </c>
      <c r="C389" s="5">
        <v>42966</v>
      </c>
      <c r="G389">
        <v>15.2</v>
      </c>
      <c r="H389">
        <v>11.3</v>
      </c>
      <c r="I389">
        <v>19.3</v>
      </c>
      <c r="M389">
        <v>0</v>
      </c>
      <c r="N389">
        <v>2.6</v>
      </c>
      <c r="W389">
        <v>1587.7</v>
      </c>
    </row>
    <row r="390" spans="1:23" x14ac:dyDescent="0.25">
      <c r="A390">
        <v>5240</v>
      </c>
      <c r="B390">
        <v>23690</v>
      </c>
      <c r="C390" s="5">
        <v>42967</v>
      </c>
      <c r="G390">
        <v>15.9</v>
      </c>
      <c r="H390">
        <v>9.6</v>
      </c>
      <c r="I390">
        <v>19.899999999999999</v>
      </c>
      <c r="M390">
        <v>0</v>
      </c>
      <c r="N390">
        <v>2</v>
      </c>
      <c r="W390">
        <v>1057.7</v>
      </c>
    </row>
    <row r="391" spans="1:23" x14ac:dyDescent="0.25">
      <c r="A391">
        <v>5240</v>
      </c>
      <c r="B391">
        <v>23690</v>
      </c>
      <c r="C391" s="5">
        <v>42968</v>
      </c>
      <c r="G391">
        <v>20.3</v>
      </c>
      <c r="H391">
        <v>16.600000000000001</v>
      </c>
      <c r="I391">
        <v>23.8</v>
      </c>
      <c r="M391">
        <v>0</v>
      </c>
      <c r="N391">
        <v>1.8</v>
      </c>
      <c r="W391">
        <v>828.7</v>
      </c>
    </row>
    <row r="392" spans="1:23" x14ac:dyDescent="0.25">
      <c r="A392">
        <v>5240</v>
      </c>
      <c r="B392">
        <v>23690</v>
      </c>
      <c r="C392" s="5">
        <v>42969</v>
      </c>
      <c r="G392">
        <v>21.8</v>
      </c>
      <c r="H392">
        <v>16.2</v>
      </c>
      <c r="I392">
        <v>26.7</v>
      </c>
      <c r="M392">
        <v>0.2</v>
      </c>
      <c r="N392">
        <v>3.8</v>
      </c>
      <c r="W392">
        <v>1837.1</v>
      </c>
    </row>
    <row r="393" spans="1:23" x14ac:dyDescent="0.25">
      <c r="A393">
        <v>5240</v>
      </c>
      <c r="B393">
        <v>23690</v>
      </c>
      <c r="C393" s="5">
        <v>42970</v>
      </c>
      <c r="G393">
        <v>20.100000000000001</v>
      </c>
      <c r="H393">
        <v>16.7</v>
      </c>
      <c r="I393">
        <v>24.6</v>
      </c>
      <c r="M393">
        <v>0.1</v>
      </c>
      <c r="N393">
        <v>2.2000000000000002</v>
      </c>
      <c r="W393">
        <v>1047.3</v>
      </c>
    </row>
    <row r="394" spans="1:23" x14ac:dyDescent="0.25">
      <c r="A394">
        <v>5240</v>
      </c>
      <c r="B394">
        <v>23690</v>
      </c>
      <c r="C394" s="5">
        <v>42971</v>
      </c>
      <c r="G394">
        <v>18.899999999999999</v>
      </c>
      <c r="H394">
        <v>13.6</v>
      </c>
      <c r="I394">
        <v>22.7</v>
      </c>
      <c r="M394">
        <v>0.8</v>
      </c>
      <c r="N394">
        <v>1.6</v>
      </c>
      <c r="W394">
        <v>825.4</v>
      </c>
    </row>
    <row r="395" spans="1:23" x14ac:dyDescent="0.25">
      <c r="A395">
        <v>5240</v>
      </c>
      <c r="B395">
        <v>23690</v>
      </c>
      <c r="C395" s="5">
        <v>42972</v>
      </c>
      <c r="G395">
        <v>19</v>
      </c>
      <c r="H395">
        <v>16.399999999999999</v>
      </c>
      <c r="I395">
        <v>22.5</v>
      </c>
      <c r="M395">
        <v>7.1</v>
      </c>
      <c r="N395">
        <v>1.6</v>
      </c>
      <c r="W395">
        <v>820.1</v>
      </c>
    </row>
    <row r="396" spans="1:23" x14ac:dyDescent="0.25">
      <c r="A396">
        <v>5240</v>
      </c>
      <c r="B396">
        <v>23690</v>
      </c>
      <c r="C396" s="5">
        <v>42973</v>
      </c>
      <c r="G396">
        <v>21.3</v>
      </c>
      <c r="H396">
        <v>16.399999999999999</v>
      </c>
      <c r="I396">
        <v>26.4</v>
      </c>
      <c r="M396">
        <v>7.9</v>
      </c>
      <c r="N396">
        <v>1.9</v>
      </c>
      <c r="W396">
        <v>863.2</v>
      </c>
    </row>
    <row r="397" spans="1:23" x14ac:dyDescent="0.25">
      <c r="A397">
        <v>5240</v>
      </c>
      <c r="B397">
        <v>23690</v>
      </c>
      <c r="C397" s="5">
        <v>42974</v>
      </c>
      <c r="G397">
        <v>22.2</v>
      </c>
      <c r="H397">
        <v>17.7</v>
      </c>
      <c r="I397">
        <v>26.3</v>
      </c>
      <c r="M397">
        <v>0.5</v>
      </c>
      <c r="N397">
        <v>3.4</v>
      </c>
      <c r="W397">
        <v>1707.6</v>
      </c>
    </row>
    <row r="398" spans="1:23" x14ac:dyDescent="0.25">
      <c r="A398">
        <v>5240</v>
      </c>
      <c r="B398">
        <v>23690</v>
      </c>
      <c r="C398" s="5">
        <v>42975</v>
      </c>
      <c r="G398">
        <v>22.8</v>
      </c>
      <c r="H398">
        <v>17</v>
      </c>
      <c r="I398">
        <v>27.9</v>
      </c>
      <c r="M398">
        <v>0.1</v>
      </c>
      <c r="N398">
        <v>2.7</v>
      </c>
      <c r="W398">
        <v>1271.3</v>
      </c>
    </row>
    <row r="399" spans="1:23" x14ac:dyDescent="0.25">
      <c r="A399">
        <v>5240</v>
      </c>
      <c r="B399">
        <v>23690</v>
      </c>
      <c r="C399" s="5">
        <v>42976</v>
      </c>
      <c r="G399">
        <v>24.9</v>
      </c>
      <c r="H399">
        <v>18.7</v>
      </c>
      <c r="I399">
        <v>30.6</v>
      </c>
      <c r="M399">
        <v>0</v>
      </c>
      <c r="N399">
        <v>4.2</v>
      </c>
      <c r="W399">
        <v>1857.8</v>
      </c>
    </row>
    <row r="400" spans="1:23" x14ac:dyDescent="0.25">
      <c r="A400">
        <v>5240</v>
      </c>
      <c r="B400">
        <v>23690</v>
      </c>
      <c r="C400" s="5">
        <v>42977</v>
      </c>
      <c r="G400">
        <v>16.8</v>
      </c>
      <c r="H400">
        <v>14.4</v>
      </c>
      <c r="I400">
        <v>19.600000000000001</v>
      </c>
      <c r="M400">
        <v>6.1</v>
      </c>
      <c r="N400">
        <v>0.6</v>
      </c>
      <c r="W400">
        <v>298.7</v>
      </c>
    </row>
    <row r="401" spans="1:23" x14ac:dyDescent="0.25">
      <c r="A401">
        <v>5240</v>
      </c>
      <c r="B401">
        <v>23690</v>
      </c>
      <c r="C401" s="5">
        <v>42978</v>
      </c>
      <c r="G401">
        <v>14.8</v>
      </c>
      <c r="H401">
        <v>10.9</v>
      </c>
      <c r="I401">
        <v>18.100000000000001</v>
      </c>
      <c r="M401">
        <v>0.5</v>
      </c>
      <c r="N401">
        <v>1.7</v>
      </c>
      <c r="W401">
        <v>1064.3</v>
      </c>
    </row>
  </sheetData>
  <mergeCells count="13">
    <mergeCell ref="F27:F123"/>
    <mergeCell ref="G1:L1"/>
    <mergeCell ref="M1:P1"/>
    <mergeCell ref="Q1:U1"/>
    <mergeCell ref="W1:AB1"/>
    <mergeCell ref="A26:F26"/>
    <mergeCell ref="A374:F374"/>
    <mergeCell ref="F245:F265"/>
    <mergeCell ref="F187:F244"/>
    <mergeCell ref="F266:F294"/>
    <mergeCell ref="F124:F186"/>
    <mergeCell ref="F295:F311"/>
    <mergeCell ref="F312:F332"/>
  </mergeCells>
  <conditionalFormatting sqref="O2">
    <cfRule type="cellIs" dxfId="23" priority="25" operator="lessThan">
      <formula>0</formula>
    </cfRule>
  </conditionalFormatting>
  <conditionalFormatting sqref="W1:W2">
    <cfRule type="cellIs" dxfId="22" priority="24" operator="lessThan">
      <formula>900</formula>
    </cfRule>
  </conditionalFormatting>
  <conditionalFormatting sqref="G27:I373">
    <cfRule type="cellIs" dxfId="21" priority="20" operator="greaterThanOrEqual">
      <formula>25</formula>
    </cfRule>
    <cfRule type="cellIs" priority="21" operator="greaterThanOrEqual">
      <formula>25</formula>
    </cfRule>
    <cfRule type="cellIs" dxfId="20" priority="22" operator="between">
      <formula>0</formula>
      <formula>5</formula>
    </cfRule>
    <cfRule type="cellIs" dxfId="19" priority="23" operator="lessThan">
      <formula>0</formula>
    </cfRule>
  </conditionalFormatting>
  <conditionalFormatting sqref="O3:O25 O27:O373">
    <cfRule type="cellIs" dxfId="18" priority="19" operator="lessThan">
      <formula>0</formula>
    </cfRule>
  </conditionalFormatting>
  <conditionalFormatting sqref="T27:T373">
    <cfRule type="cellIs" dxfId="17" priority="18" operator="lessThan">
      <formula>0</formula>
    </cfRule>
  </conditionalFormatting>
  <conditionalFormatting sqref="W27:W373">
    <cfRule type="cellIs" dxfId="16" priority="17" operator="lessThan">
      <formula>900</formula>
    </cfRule>
  </conditionalFormatting>
  <conditionalFormatting sqref="L28 L36 L40 L38">
    <cfRule type="cellIs" dxfId="15" priority="15" operator="lessThanOrEqual">
      <formula>0</formula>
    </cfRule>
    <cfRule type="cellIs" dxfId="14" priority="16" operator="lessThanOrEqual">
      <formula>5</formula>
    </cfRule>
  </conditionalFormatting>
  <conditionalFormatting sqref="L125 L133 L137 L135">
    <cfRule type="cellIs" dxfId="13" priority="13" operator="lessThanOrEqual">
      <formula>0</formula>
    </cfRule>
    <cfRule type="cellIs" dxfId="12" priority="14" operator="lessThanOrEqual">
      <formula>5</formula>
    </cfRule>
  </conditionalFormatting>
  <conditionalFormatting sqref="L188 L196 L200 L198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L246 L258 L256 L254">
    <cfRule type="cellIs" dxfId="9" priority="9" operator="lessThanOrEqual">
      <formula>0</formula>
    </cfRule>
    <cfRule type="cellIs" dxfId="8" priority="10" operator="lessThanOrEqual">
      <formula>5</formula>
    </cfRule>
  </conditionalFormatting>
  <conditionalFormatting sqref="L267 L275 L277 L279">
    <cfRule type="cellIs" dxfId="7" priority="7" operator="lessThanOrEqual">
      <formula>0</formula>
    </cfRule>
    <cfRule type="cellIs" dxfId="6" priority="8" operator="lessThanOrEqual">
      <formula>5</formula>
    </cfRule>
  </conditionalFormatting>
  <conditionalFormatting sqref="L296 L306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L313 L323">
    <cfRule type="cellIs" dxfId="3" priority="3" operator="lessThanOrEqual">
      <formula>0</formula>
    </cfRule>
    <cfRule type="cellIs" dxfId="2" priority="4" operator="lessThanOrEqual">
      <formula>5</formula>
    </cfRule>
  </conditionalFormatting>
  <conditionalFormatting sqref="U27:U373">
    <cfRule type="cellIs" dxfId="1" priority="1" operator="equal">
      <formula>0</formula>
    </cfRule>
    <cfRule type="cellIs" dxfId="0" priority="2" operator="lessThan">
      <formula>72.97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2018-11-15T08:36:10Z</dcterms:created>
  <dcterms:modified xsi:type="dcterms:W3CDTF">2019-11-27T14:55:59Z</dcterms:modified>
</cp:coreProperties>
</file>