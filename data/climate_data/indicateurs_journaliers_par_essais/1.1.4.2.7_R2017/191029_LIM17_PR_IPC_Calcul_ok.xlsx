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corlouer\Documents\AA_FICHIERS_ELABORATION_IPC\Actualisation_2019_N\R2017\"/>
    </mc:Choice>
  </mc:AlternateContent>
  <bookViews>
    <workbookView xWindow="0" yWindow="0" windowWidth="19200" windowHeight="10860" activeTab="1"/>
  </bookViews>
  <sheets>
    <sheet name="N-" sheetId="1" r:id="rId1"/>
    <sheet name="N+"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231" i="2" l="1"/>
  <c r="AB218" i="2"/>
  <c r="AB223" i="2"/>
  <c r="AB210" i="2"/>
  <c r="AD229" i="2"/>
  <c r="AD227" i="2"/>
  <c r="AD225" i="2"/>
  <c r="AD231" i="2" l="1"/>
  <c r="AD223" i="2"/>
  <c r="U186" i="2"/>
  <c r="U187" i="2"/>
  <c r="U188" i="2"/>
  <c r="U189" i="2"/>
  <c r="U190" i="2" s="1"/>
  <c r="U191" i="2" s="1"/>
  <c r="U192" i="2" s="1"/>
  <c r="U193" i="2" s="1"/>
  <c r="U194" i="2" s="1"/>
  <c r="U195" i="2" s="1"/>
  <c r="U196" i="2" s="1"/>
  <c r="U197" i="2" s="1"/>
  <c r="U198" i="2" s="1"/>
  <c r="U199" i="2" s="1"/>
  <c r="U200" i="2" s="1"/>
  <c r="U201" i="2" s="1"/>
  <c r="U202" i="2" s="1"/>
  <c r="U203" i="2" s="1"/>
  <c r="U204" i="2" s="1"/>
  <c r="U205" i="2" s="1"/>
  <c r="U206" i="2" s="1"/>
  <c r="U207" i="2" s="1"/>
  <c r="U208" i="2" s="1"/>
  <c r="U209" i="2" s="1"/>
  <c r="U210" i="2" s="1"/>
  <c r="U211" i="2" s="1"/>
  <c r="U212" i="2" s="1"/>
  <c r="U213" i="2" s="1"/>
  <c r="U214" i="2" s="1"/>
  <c r="U215" i="2" s="1"/>
  <c r="U216" i="2" s="1"/>
  <c r="U217" i="2" s="1"/>
  <c r="U218" i="2" s="1"/>
  <c r="U219" i="2" s="1"/>
  <c r="U220" i="2" s="1"/>
  <c r="U221" i="2" s="1"/>
  <c r="U222" i="2" s="1"/>
  <c r="U223" i="2" s="1"/>
  <c r="U224" i="2" s="1"/>
  <c r="U225" i="2" s="1"/>
  <c r="U226" i="2" s="1"/>
  <c r="U227" i="2" s="1"/>
  <c r="U228" i="2" s="1"/>
  <c r="U229" i="2" s="1"/>
  <c r="U230" i="2" s="1"/>
  <c r="U231" i="2" s="1"/>
  <c r="U232" i="2" s="1"/>
  <c r="U233" i="2" s="1"/>
  <c r="U234" i="2" s="1"/>
  <c r="U235" i="2" s="1"/>
  <c r="U236" i="2" s="1"/>
  <c r="U237" i="2" s="1"/>
  <c r="U238" i="2" s="1"/>
  <c r="U239" i="2" s="1"/>
  <c r="U240" i="2" s="1"/>
  <c r="U241" i="2" s="1"/>
  <c r="U242" i="2" s="1"/>
  <c r="U243" i="2" s="1"/>
  <c r="U244" i="2" s="1"/>
  <c r="U245" i="2" s="1"/>
  <c r="U246" i="2" s="1"/>
  <c r="U247" i="2" s="1"/>
  <c r="U248" i="2" s="1"/>
  <c r="U249" i="2" s="1"/>
  <c r="U250" i="2" s="1"/>
  <c r="U251" i="2" s="1"/>
  <c r="U252" i="2" s="1"/>
  <c r="U253" i="2" s="1"/>
  <c r="U254" i="2" s="1"/>
  <c r="U255" i="2" s="1"/>
  <c r="U256" i="2" s="1"/>
  <c r="U257" i="2" s="1"/>
  <c r="U258" i="2" s="1"/>
  <c r="U259" i="2" s="1"/>
  <c r="U260" i="2" s="1"/>
  <c r="U261" i="2" s="1"/>
  <c r="U262" i="2" s="1"/>
  <c r="U263" i="2" s="1"/>
  <c r="U264" i="2" s="1"/>
  <c r="U265" i="2" s="1"/>
  <c r="U266" i="2" s="1"/>
  <c r="U267" i="2" s="1"/>
  <c r="U268" i="2" s="1"/>
  <c r="U269" i="2" s="1"/>
  <c r="U270" i="2" s="1"/>
  <c r="U271" i="2" s="1"/>
  <c r="U272" i="2" s="1"/>
  <c r="U273" i="2" s="1"/>
  <c r="U274" i="2" s="1"/>
  <c r="U275" i="2" s="1"/>
  <c r="U276" i="2" s="1"/>
  <c r="U277" i="2" s="1"/>
  <c r="U278" i="2" s="1"/>
  <c r="U279" i="2" s="1"/>
  <c r="U280" i="2" s="1"/>
  <c r="U281" i="2" s="1"/>
  <c r="U282" i="2" s="1"/>
  <c r="U283" i="2" s="1"/>
  <c r="U284" i="2" s="1"/>
  <c r="U285" i="2" s="1"/>
  <c r="U286" i="2" s="1"/>
  <c r="U287" i="2" s="1"/>
  <c r="U288" i="2" s="1"/>
  <c r="U289" i="2" s="1"/>
  <c r="U290" i="2" s="1"/>
  <c r="U291" i="2" s="1"/>
  <c r="U292" i="2" s="1"/>
  <c r="U293" i="2" s="1"/>
  <c r="U294" i="2" s="1"/>
  <c r="U295" i="2" s="1"/>
  <c r="U296" i="2" s="1"/>
  <c r="U297" i="2" s="1"/>
  <c r="U298" i="2" s="1"/>
  <c r="U299" i="2" s="1"/>
  <c r="U300" i="2" s="1"/>
  <c r="U301" i="2" s="1"/>
  <c r="U302" i="2" s="1"/>
  <c r="U303" i="2" s="1"/>
  <c r="U304" i="2" s="1"/>
  <c r="U305" i="2" s="1"/>
  <c r="U306" i="2" s="1"/>
  <c r="U307" i="2" s="1"/>
  <c r="U308" i="2" s="1"/>
  <c r="U309" i="2" s="1"/>
  <c r="U310" i="2" s="1"/>
  <c r="U311" i="2" s="1"/>
  <c r="U312" i="2" s="1"/>
  <c r="U313" i="2" s="1"/>
  <c r="U314" i="2" s="1"/>
  <c r="U315" i="2" s="1"/>
  <c r="U316" i="2" s="1"/>
  <c r="U317" i="2" s="1"/>
  <c r="U318" i="2" s="1"/>
  <c r="U319" i="2" s="1"/>
  <c r="U335" i="2" s="1"/>
  <c r="U336" i="2" s="1"/>
  <c r="U337" i="2" s="1"/>
  <c r="U338" i="2" s="1"/>
  <c r="U339" i="2" s="1"/>
  <c r="U340" i="2" s="1"/>
  <c r="U341" i="2" s="1"/>
  <c r="U342" i="2" s="1"/>
  <c r="U343" i="2" s="1"/>
  <c r="U344" i="2" s="1"/>
  <c r="U345" i="2" s="1"/>
  <c r="U346" i="2" s="1"/>
  <c r="U347" i="2" s="1"/>
  <c r="U348" i="2" s="1"/>
  <c r="U349" i="2" s="1"/>
  <c r="U350" i="2" s="1"/>
  <c r="U351" i="2" s="1"/>
  <c r="U352" i="2" s="1"/>
  <c r="U353" i="2" s="1"/>
  <c r="U354" i="2" s="1"/>
  <c r="U355" i="2" s="1"/>
  <c r="U356" i="2" s="1"/>
  <c r="U357" i="2" s="1"/>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29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185" i="2"/>
  <c r="L318" i="2" l="1"/>
  <c r="L316" i="2"/>
  <c r="L314" i="2"/>
  <c r="L302" i="2"/>
  <c r="L300" i="2"/>
  <c r="L298" i="2"/>
  <c r="L275" i="2"/>
  <c r="L273" i="2"/>
  <c r="L271" i="2"/>
  <c r="L254" i="2"/>
  <c r="L252" i="2"/>
  <c r="L250" i="2"/>
  <c r="L192" i="2"/>
  <c r="L190" i="2"/>
  <c r="L188" i="2"/>
  <c r="Z268" i="2"/>
  <c r="Z295" i="2"/>
  <c r="Z311" i="2"/>
  <c r="K311" i="2"/>
  <c r="K295" i="2"/>
  <c r="K268" i="2"/>
  <c r="Z249" i="2"/>
  <c r="Z250" i="2" s="1"/>
  <c r="Z251" i="2" s="1"/>
  <c r="Z252" i="2" s="1"/>
  <c r="Z253" i="2" s="1"/>
  <c r="Z254" i="2" s="1"/>
  <c r="Z255" i="2" s="1"/>
  <c r="Z256" i="2" s="1"/>
  <c r="Z257" i="2" s="1"/>
  <c r="Z258" i="2" s="1"/>
  <c r="Z259" i="2" s="1"/>
  <c r="Z260" i="2" s="1"/>
  <c r="Z261" i="2" s="1"/>
  <c r="Z262" i="2" s="1"/>
  <c r="Z263" i="2" s="1"/>
  <c r="Z264" i="2" s="1"/>
  <c r="Z265" i="2" s="1"/>
  <c r="Z266" i="2" s="1"/>
  <c r="Z267" i="2" s="1"/>
  <c r="Z269" i="2" s="1"/>
  <c r="Z270" i="2" s="1"/>
  <c r="Z271" i="2" s="1"/>
  <c r="Z272" i="2" s="1"/>
  <c r="Z273" i="2" s="1"/>
  <c r="Z274" i="2" s="1"/>
  <c r="Z275" i="2" s="1"/>
  <c r="Z276" i="2" s="1"/>
  <c r="Z277" i="2" s="1"/>
  <c r="Z278" i="2" s="1"/>
  <c r="Z279" i="2" s="1"/>
  <c r="Z280" i="2" s="1"/>
  <c r="Z281" i="2" s="1"/>
  <c r="Z282" i="2" s="1"/>
  <c r="Z283" i="2" s="1"/>
  <c r="Z284" i="2" s="1"/>
  <c r="Z285" i="2" s="1"/>
  <c r="Z286" i="2" s="1"/>
  <c r="Z287" i="2" s="1"/>
  <c r="Z288" i="2" s="1"/>
  <c r="Z289" i="2" s="1"/>
  <c r="Z290" i="2" s="1"/>
  <c r="Z291" i="2" s="1"/>
  <c r="Z292" i="2" s="1"/>
  <c r="Z293" i="2" s="1"/>
  <c r="Z294" i="2" s="1"/>
  <c r="Z247" i="2"/>
  <c r="K249" i="2"/>
  <c r="K250" i="2" s="1"/>
  <c r="K251" i="2" s="1"/>
  <c r="K252" i="2" s="1"/>
  <c r="K253" i="2" s="1"/>
  <c r="K254" i="2" s="1"/>
  <c r="K255" i="2" s="1"/>
  <c r="K256" i="2" s="1"/>
  <c r="K257" i="2" s="1"/>
  <c r="K258" i="2" s="1"/>
  <c r="K259" i="2" s="1"/>
  <c r="K260" i="2" s="1"/>
  <c r="K261" i="2" s="1"/>
  <c r="K262" i="2" s="1"/>
  <c r="K263" i="2" s="1"/>
  <c r="K264" i="2" s="1"/>
  <c r="K265" i="2" s="1"/>
  <c r="K266" i="2" s="1"/>
  <c r="K267" i="2" s="1"/>
  <c r="K248" i="2"/>
  <c r="K247" i="2"/>
  <c r="S357" i="2"/>
  <c r="T357" i="2" s="1"/>
  <c r="O357" i="2"/>
  <c r="S356" i="2"/>
  <c r="T356" i="2" s="1"/>
  <c r="O356" i="2"/>
  <c r="S355" i="2"/>
  <c r="T355" i="2" s="1"/>
  <c r="O355" i="2"/>
  <c r="S354" i="2"/>
  <c r="T354" i="2" s="1"/>
  <c r="O354" i="2"/>
  <c r="S353" i="2"/>
  <c r="T353" i="2" s="1"/>
  <c r="O353" i="2"/>
  <c r="T352" i="2"/>
  <c r="S352" i="2"/>
  <c r="O352" i="2"/>
  <c r="S351" i="2"/>
  <c r="T351" i="2" s="1"/>
  <c r="O351" i="2"/>
  <c r="S350" i="2"/>
  <c r="T350" i="2" s="1"/>
  <c r="O350" i="2"/>
  <c r="S349" i="2"/>
  <c r="T349" i="2" s="1"/>
  <c r="P349" i="2"/>
  <c r="P350" i="2" s="1"/>
  <c r="P351" i="2" s="1"/>
  <c r="P352" i="2" s="1"/>
  <c r="O349" i="2"/>
  <c r="S348" i="2"/>
  <c r="T348" i="2" s="1"/>
  <c r="P348" i="2"/>
  <c r="O348" i="2"/>
  <c r="S347" i="2"/>
  <c r="T347" i="2" s="1"/>
  <c r="P347" i="2"/>
  <c r="O347" i="2"/>
  <c r="S346" i="2"/>
  <c r="T346" i="2" s="1"/>
  <c r="O346" i="2"/>
  <c r="T345" i="2"/>
  <c r="S345" i="2"/>
  <c r="O345" i="2"/>
  <c r="S344" i="2"/>
  <c r="T344" i="2" s="1"/>
  <c r="O344" i="2"/>
  <c r="S343" i="2"/>
  <c r="T343" i="2" s="1"/>
  <c r="O343" i="2"/>
  <c r="S342" i="2"/>
  <c r="T342" i="2" s="1"/>
  <c r="O342" i="2"/>
  <c r="S341" i="2"/>
  <c r="T341" i="2" s="1"/>
  <c r="O341" i="2"/>
  <c r="S340" i="2"/>
  <c r="T340" i="2" s="1"/>
  <c r="O340" i="2"/>
  <c r="S339" i="2"/>
  <c r="T339" i="2" s="1"/>
  <c r="O339" i="2"/>
  <c r="S338" i="2"/>
  <c r="T338" i="2" s="1"/>
  <c r="O338" i="2"/>
  <c r="S337" i="2"/>
  <c r="T337" i="2" s="1"/>
  <c r="O337" i="2"/>
  <c r="S336" i="2"/>
  <c r="T336" i="2" s="1"/>
  <c r="P336" i="2"/>
  <c r="P337" i="2" s="1"/>
  <c r="P338" i="2" s="1"/>
  <c r="P339" i="2" s="1"/>
  <c r="P340" i="2" s="1"/>
  <c r="P341" i="2" s="1"/>
  <c r="P342" i="2" s="1"/>
  <c r="P343" i="2" s="1"/>
  <c r="P344" i="2" s="1"/>
  <c r="O336" i="2"/>
  <c r="S335" i="2"/>
  <c r="T335" i="2" s="1"/>
  <c r="P335" i="2"/>
  <c r="O335" i="2"/>
  <c r="S334" i="2"/>
  <c r="T334" i="2" s="1"/>
  <c r="O334" i="2"/>
  <c r="S333" i="2"/>
  <c r="T333" i="2" s="1"/>
  <c r="O333" i="2"/>
  <c r="S332" i="2"/>
  <c r="T332" i="2" s="1"/>
  <c r="O332" i="2"/>
  <c r="S331" i="2"/>
  <c r="T331" i="2" s="1"/>
  <c r="O331" i="2"/>
  <c r="T330" i="2"/>
  <c r="S330" i="2"/>
  <c r="O330" i="2"/>
  <c r="S329" i="2"/>
  <c r="T329" i="2" s="1"/>
  <c r="O329" i="2"/>
  <c r="T328" i="2"/>
  <c r="S328" i="2"/>
  <c r="O328" i="2"/>
  <c r="S327" i="2"/>
  <c r="T327" i="2" s="1"/>
  <c r="O327" i="2"/>
  <c r="T326" i="2"/>
  <c r="S326" i="2"/>
  <c r="O326" i="2"/>
  <c r="S325" i="2"/>
  <c r="T325" i="2" s="1"/>
  <c r="O325" i="2"/>
  <c r="T324" i="2"/>
  <c r="S324" i="2"/>
  <c r="O324" i="2"/>
  <c r="S323" i="2"/>
  <c r="T323" i="2" s="1"/>
  <c r="O323" i="2"/>
  <c r="S322" i="2"/>
  <c r="T322" i="2" s="1"/>
  <c r="O322" i="2"/>
  <c r="S321" i="2"/>
  <c r="T321" i="2" s="1"/>
  <c r="O321" i="2"/>
  <c r="S320" i="2"/>
  <c r="T320" i="2" s="1"/>
  <c r="O320" i="2"/>
  <c r="S319" i="2"/>
  <c r="T319" i="2" s="1"/>
  <c r="O319" i="2"/>
  <c r="S318" i="2"/>
  <c r="T318" i="2" s="1"/>
  <c r="O318" i="2"/>
  <c r="T317" i="2"/>
  <c r="S317" i="2"/>
  <c r="O317" i="2"/>
  <c r="S316" i="2"/>
  <c r="T316" i="2" s="1"/>
  <c r="O316" i="2"/>
  <c r="AB314" i="2"/>
  <c r="S315" i="2"/>
  <c r="T315" i="2" s="1"/>
  <c r="O315" i="2"/>
  <c r="S314" i="2"/>
  <c r="T314" i="2" s="1"/>
  <c r="O314" i="2"/>
  <c r="S313" i="2"/>
  <c r="T313" i="2" s="1"/>
  <c r="O313" i="2"/>
  <c r="S312" i="2"/>
  <c r="T312" i="2" s="1"/>
  <c r="O312" i="2"/>
  <c r="S311" i="2"/>
  <c r="T311" i="2" s="1"/>
  <c r="O311" i="2"/>
  <c r="S310" i="2"/>
  <c r="T310" i="2" s="1"/>
  <c r="O310" i="2"/>
  <c r="S309" i="2"/>
  <c r="T309" i="2" s="1"/>
  <c r="O309" i="2"/>
  <c r="S308" i="2"/>
  <c r="T308" i="2" s="1"/>
  <c r="O308" i="2"/>
  <c r="S307" i="2"/>
  <c r="T307" i="2" s="1"/>
  <c r="O307" i="2"/>
  <c r="S306" i="2"/>
  <c r="T306" i="2" s="1"/>
  <c r="O306" i="2"/>
  <c r="T305" i="2"/>
  <c r="S305" i="2"/>
  <c r="O305" i="2"/>
  <c r="S304" i="2"/>
  <c r="T304" i="2" s="1"/>
  <c r="O304" i="2"/>
  <c r="S303" i="2"/>
  <c r="T303" i="2" s="1"/>
  <c r="O303" i="2"/>
  <c r="S302" i="2"/>
  <c r="T302" i="2" s="1"/>
  <c r="O302" i="2"/>
  <c r="S301" i="2"/>
  <c r="T301" i="2" s="1"/>
  <c r="O301" i="2"/>
  <c r="S300" i="2"/>
  <c r="T300" i="2" s="1"/>
  <c r="O300" i="2"/>
  <c r="AB298" i="2"/>
  <c r="S299" i="2"/>
  <c r="T299" i="2" s="1"/>
  <c r="O299" i="2"/>
  <c r="S298" i="2"/>
  <c r="T298" i="2" s="1"/>
  <c r="O298" i="2"/>
  <c r="S297" i="2"/>
  <c r="T297" i="2" s="1"/>
  <c r="O297" i="2"/>
  <c r="S296" i="2"/>
  <c r="T296" i="2" s="1"/>
  <c r="O296" i="2"/>
  <c r="S295" i="2"/>
  <c r="T295" i="2" s="1"/>
  <c r="O295" i="2"/>
  <c r="S294" i="2"/>
  <c r="T294" i="2" s="1"/>
  <c r="O294" i="2"/>
  <c r="T293" i="2"/>
  <c r="S293" i="2"/>
  <c r="O293" i="2"/>
  <c r="S292" i="2"/>
  <c r="T292" i="2" s="1"/>
  <c r="O292" i="2"/>
  <c r="T291" i="2"/>
  <c r="S291" i="2"/>
  <c r="O291" i="2"/>
  <c r="S290" i="2"/>
  <c r="T290" i="2" s="1"/>
  <c r="O290" i="2"/>
  <c r="T289" i="2"/>
  <c r="S289" i="2"/>
  <c r="O289" i="2"/>
  <c r="S288" i="2"/>
  <c r="T288" i="2" s="1"/>
  <c r="O288" i="2"/>
  <c r="S287" i="2"/>
  <c r="T287" i="2" s="1"/>
  <c r="O287" i="2"/>
  <c r="T286" i="2"/>
  <c r="S286" i="2"/>
  <c r="O286" i="2"/>
  <c r="T285" i="2"/>
  <c r="S285" i="2"/>
  <c r="O285" i="2"/>
  <c r="S284" i="2"/>
  <c r="T284" i="2" s="1"/>
  <c r="O284" i="2"/>
  <c r="T283" i="2"/>
  <c r="S283" i="2"/>
  <c r="O283" i="2"/>
  <c r="S282" i="2"/>
  <c r="T282" i="2" s="1"/>
  <c r="O282" i="2"/>
  <c r="S281" i="2"/>
  <c r="T281" i="2" s="1"/>
  <c r="O281" i="2"/>
  <c r="T280" i="2"/>
  <c r="S280" i="2"/>
  <c r="O280" i="2"/>
  <c r="T279" i="2"/>
  <c r="S279" i="2"/>
  <c r="O279" i="2"/>
  <c r="S278" i="2"/>
  <c r="T278" i="2" s="1"/>
  <c r="O278" i="2"/>
  <c r="S277" i="2"/>
  <c r="T277" i="2" s="1"/>
  <c r="O277" i="2"/>
  <c r="S276" i="2"/>
  <c r="T276" i="2" s="1"/>
  <c r="O276" i="2"/>
  <c r="T275" i="2"/>
  <c r="S275" i="2"/>
  <c r="O275" i="2"/>
  <c r="T274" i="2"/>
  <c r="S274" i="2"/>
  <c r="O274" i="2"/>
  <c r="AB271" i="2"/>
  <c r="T273" i="2"/>
  <c r="S273" i="2"/>
  <c r="O273" i="2"/>
  <c r="T272" i="2"/>
  <c r="S272" i="2"/>
  <c r="O272" i="2"/>
  <c r="S271" i="2"/>
  <c r="T271" i="2" s="1"/>
  <c r="O271" i="2"/>
  <c r="T270" i="2"/>
  <c r="S270" i="2"/>
  <c r="O270" i="2"/>
  <c r="S269" i="2"/>
  <c r="T269" i="2" s="1"/>
  <c r="O269" i="2"/>
  <c r="S268" i="2"/>
  <c r="T268" i="2" s="1"/>
  <c r="O268" i="2"/>
  <c r="T267" i="2"/>
  <c r="S267" i="2"/>
  <c r="O267" i="2"/>
  <c r="S266" i="2"/>
  <c r="T266" i="2" s="1"/>
  <c r="O266" i="2"/>
  <c r="T265" i="2"/>
  <c r="S265" i="2"/>
  <c r="O265" i="2"/>
  <c r="S264" i="2"/>
  <c r="T264" i="2" s="1"/>
  <c r="O264" i="2"/>
  <c r="S263" i="2"/>
  <c r="T263" i="2" s="1"/>
  <c r="O263" i="2"/>
  <c r="S262" i="2"/>
  <c r="T262" i="2" s="1"/>
  <c r="O262" i="2"/>
  <c r="T261" i="2"/>
  <c r="S261" i="2"/>
  <c r="O261" i="2"/>
  <c r="S260" i="2"/>
  <c r="T260" i="2" s="1"/>
  <c r="O260" i="2"/>
  <c r="T259" i="2"/>
  <c r="S259" i="2"/>
  <c r="O259" i="2"/>
  <c r="T258" i="2"/>
  <c r="S258" i="2"/>
  <c r="O258" i="2"/>
  <c r="S257" i="2"/>
  <c r="T257" i="2" s="1"/>
  <c r="O257" i="2"/>
  <c r="S256" i="2"/>
  <c r="T256" i="2" s="1"/>
  <c r="O256" i="2"/>
  <c r="S255" i="2"/>
  <c r="T255" i="2" s="1"/>
  <c r="O255" i="2"/>
  <c r="S254" i="2"/>
  <c r="T254" i="2" s="1"/>
  <c r="O254" i="2"/>
  <c r="S253" i="2"/>
  <c r="T253" i="2" s="1"/>
  <c r="O253" i="2"/>
  <c r="AB250" i="2"/>
  <c r="S252" i="2"/>
  <c r="T252" i="2" s="1"/>
  <c r="O252" i="2"/>
  <c r="S251" i="2"/>
  <c r="T251" i="2" s="1"/>
  <c r="O251" i="2"/>
  <c r="T250" i="2"/>
  <c r="S250" i="2"/>
  <c r="O250" i="2"/>
  <c r="S249" i="2"/>
  <c r="T249" i="2" s="1"/>
  <c r="O249" i="2"/>
  <c r="S248" i="2"/>
  <c r="T248" i="2" s="1"/>
  <c r="R248" i="2"/>
  <c r="O248" i="2"/>
  <c r="S247" i="2"/>
  <c r="T247" i="2" s="1"/>
  <c r="O247" i="2"/>
  <c r="S246" i="2"/>
  <c r="T246" i="2" s="1"/>
  <c r="O246" i="2"/>
  <c r="S245" i="2"/>
  <c r="T245" i="2" s="1"/>
  <c r="O245" i="2"/>
  <c r="S244" i="2"/>
  <c r="T244" i="2" s="1"/>
  <c r="O244" i="2"/>
  <c r="S243" i="2"/>
  <c r="T243" i="2" s="1"/>
  <c r="O243" i="2"/>
  <c r="S242" i="2"/>
  <c r="T242" i="2" s="1"/>
  <c r="O242" i="2"/>
  <c r="S241" i="2"/>
  <c r="T241" i="2" s="1"/>
  <c r="O241" i="2"/>
  <c r="S240" i="2"/>
  <c r="T240" i="2" s="1"/>
  <c r="O240" i="2"/>
  <c r="S239" i="2"/>
  <c r="T239" i="2" s="1"/>
  <c r="O239" i="2"/>
  <c r="T238" i="2"/>
  <c r="S238" i="2"/>
  <c r="O238" i="2"/>
  <c r="S237" i="2"/>
  <c r="T237" i="2" s="1"/>
  <c r="O237" i="2"/>
  <c r="S236" i="2"/>
  <c r="T236" i="2" s="1"/>
  <c r="O236" i="2"/>
  <c r="S235" i="2"/>
  <c r="T235" i="2" s="1"/>
  <c r="O235" i="2"/>
  <c r="S234" i="2"/>
  <c r="T234" i="2" s="1"/>
  <c r="O234" i="2"/>
  <c r="S233" i="2"/>
  <c r="T233" i="2" s="1"/>
  <c r="O233" i="2"/>
  <c r="S232" i="2"/>
  <c r="T232" i="2" s="1"/>
  <c r="O232" i="2"/>
  <c r="S231" i="2"/>
  <c r="T231" i="2" s="1"/>
  <c r="O231" i="2"/>
  <c r="S230" i="2"/>
  <c r="T230" i="2" s="1"/>
  <c r="O230" i="2"/>
  <c r="S229" i="2"/>
  <c r="T229" i="2" s="1"/>
  <c r="O229" i="2"/>
  <c r="S228" i="2"/>
  <c r="T228" i="2" s="1"/>
  <c r="O228" i="2"/>
  <c r="S227" i="2"/>
  <c r="T227" i="2" s="1"/>
  <c r="O227" i="2"/>
  <c r="S226" i="2"/>
  <c r="T226" i="2" s="1"/>
  <c r="O226" i="2"/>
  <c r="S225" i="2"/>
  <c r="T225" i="2" s="1"/>
  <c r="O225" i="2"/>
  <c r="S224" i="2"/>
  <c r="T224" i="2" s="1"/>
  <c r="O224" i="2"/>
  <c r="S223" i="2"/>
  <c r="T223" i="2" s="1"/>
  <c r="O223" i="2"/>
  <c r="S222" i="2"/>
  <c r="T222" i="2" s="1"/>
  <c r="O222" i="2"/>
  <c r="S221" i="2"/>
  <c r="T221" i="2" s="1"/>
  <c r="O221" i="2"/>
  <c r="S220" i="2"/>
  <c r="T220" i="2" s="1"/>
  <c r="O220" i="2"/>
  <c r="S219" i="2"/>
  <c r="T219" i="2" s="1"/>
  <c r="O219" i="2"/>
  <c r="S218" i="2"/>
  <c r="T218" i="2" s="1"/>
  <c r="O218" i="2"/>
  <c r="T217" i="2"/>
  <c r="S217" i="2"/>
  <c r="O217" i="2"/>
  <c r="S216" i="2"/>
  <c r="T216" i="2" s="1"/>
  <c r="O216" i="2"/>
  <c r="S215" i="2"/>
  <c r="T215" i="2" s="1"/>
  <c r="O215" i="2"/>
  <c r="S214" i="2"/>
  <c r="T214" i="2" s="1"/>
  <c r="O214" i="2"/>
  <c r="T213" i="2"/>
  <c r="S213" i="2"/>
  <c r="O213" i="2"/>
  <c r="S212" i="2"/>
  <c r="T212" i="2" s="1"/>
  <c r="O212" i="2"/>
  <c r="T211" i="2"/>
  <c r="S211" i="2"/>
  <c r="O211" i="2"/>
  <c r="S210" i="2"/>
  <c r="T210" i="2" s="1"/>
  <c r="O210" i="2"/>
  <c r="S209" i="2"/>
  <c r="T209" i="2" s="1"/>
  <c r="O209" i="2"/>
  <c r="S208" i="2"/>
  <c r="T208" i="2" s="1"/>
  <c r="O208" i="2"/>
  <c r="T207" i="2"/>
  <c r="S207" i="2"/>
  <c r="O207" i="2"/>
  <c r="S206" i="2"/>
  <c r="T206" i="2" s="1"/>
  <c r="O206" i="2"/>
  <c r="S205" i="2"/>
  <c r="T205" i="2" s="1"/>
  <c r="O205" i="2"/>
  <c r="S204" i="2"/>
  <c r="T204" i="2" s="1"/>
  <c r="O204" i="2"/>
  <c r="S203" i="2"/>
  <c r="T203" i="2" s="1"/>
  <c r="O203" i="2"/>
  <c r="S202" i="2"/>
  <c r="T202" i="2" s="1"/>
  <c r="O202" i="2"/>
  <c r="J202" i="2"/>
  <c r="J203" i="2" s="1"/>
  <c r="J204" i="2" s="1"/>
  <c r="J205" i="2" s="1"/>
  <c r="J206" i="2" s="1"/>
  <c r="J207" i="2" s="1"/>
  <c r="J208" i="2" s="1"/>
  <c r="J209" i="2" s="1"/>
  <c r="J210" i="2" s="1"/>
  <c r="J211" i="2" s="1"/>
  <c r="J212" i="2" s="1"/>
  <c r="J213" i="2" s="1"/>
  <c r="J214" i="2" s="1"/>
  <c r="J215" i="2" s="1"/>
  <c r="J216" i="2" s="1"/>
  <c r="J217" i="2" s="1"/>
  <c r="J218" i="2" s="1"/>
  <c r="J219" i="2" s="1"/>
  <c r="J220" i="2" s="1"/>
  <c r="J221" i="2" s="1"/>
  <c r="J222" i="2" s="1"/>
  <c r="J223" i="2" s="1"/>
  <c r="J224" i="2" s="1"/>
  <c r="J225" i="2" s="1"/>
  <c r="J226" i="2" s="1"/>
  <c r="J227" i="2" s="1"/>
  <c r="J228" i="2" s="1"/>
  <c r="J229" i="2" s="1"/>
  <c r="J230" i="2" s="1"/>
  <c r="J231" i="2" s="1"/>
  <c r="J232" i="2" s="1"/>
  <c r="J233" i="2" s="1"/>
  <c r="J234" i="2" s="1"/>
  <c r="J235" i="2" s="1"/>
  <c r="J236" i="2" s="1"/>
  <c r="J237" i="2" s="1"/>
  <c r="J238" i="2" s="1"/>
  <c r="J239" i="2" s="1"/>
  <c r="J240" i="2" s="1"/>
  <c r="J241" i="2" s="1"/>
  <c r="J242" i="2" s="1"/>
  <c r="J243" i="2" s="1"/>
  <c r="J244" i="2" s="1"/>
  <c r="J245" i="2" s="1"/>
  <c r="J246" i="2" s="1"/>
  <c r="J247" i="2" s="1"/>
  <c r="J248" i="2" s="1"/>
  <c r="J249" i="2" s="1"/>
  <c r="J250" i="2" s="1"/>
  <c r="J251" i="2" s="1"/>
  <c r="J252" i="2" s="1"/>
  <c r="J253" i="2" s="1"/>
  <c r="J254" i="2" s="1"/>
  <c r="J255" i="2" s="1"/>
  <c r="J256" i="2" s="1"/>
  <c r="J257" i="2" s="1"/>
  <c r="J258" i="2" s="1"/>
  <c r="J259" i="2" s="1"/>
  <c r="J260" i="2" s="1"/>
  <c r="J261" i="2" s="1"/>
  <c r="J262" i="2" s="1"/>
  <c r="J263" i="2" s="1"/>
  <c r="J264" i="2" s="1"/>
  <c r="J265" i="2" s="1"/>
  <c r="J266" i="2" s="1"/>
  <c r="J267" i="2" s="1"/>
  <c r="J268" i="2" s="1"/>
  <c r="J269" i="2" s="1"/>
  <c r="J270" i="2" s="1"/>
  <c r="J271" i="2" s="1"/>
  <c r="J272" i="2" s="1"/>
  <c r="J273" i="2" s="1"/>
  <c r="J274" i="2" s="1"/>
  <c r="J275" i="2" s="1"/>
  <c r="J276" i="2" s="1"/>
  <c r="J277" i="2" s="1"/>
  <c r="J278" i="2" s="1"/>
  <c r="J279" i="2" s="1"/>
  <c r="J280" i="2" s="1"/>
  <c r="J281" i="2" s="1"/>
  <c r="J282" i="2" s="1"/>
  <c r="J283" i="2" s="1"/>
  <c r="J284" i="2" s="1"/>
  <c r="J285" i="2" s="1"/>
  <c r="J286" i="2" s="1"/>
  <c r="J287" i="2" s="1"/>
  <c r="J288" i="2" s="1"/>
  <c r="J289" i="2" s="1"/>
  <c r="J290" i="2" s="1"/>
  <c r="J291" i="2" s="1"/>
  <c r="J292" i="2" s="1"/>
  <c r="J293" i="2" s="1"/>
  <c r="J294" i="2" s="1"/>
  <c r="J295" i="2" s="1"/>
  <c r="J296" i="2" s="1"/>
  <c r="J297" i="2" s="1"/>
  <c r="J298" i="2" s="1"/>
  <c r="J299" i="2" s="1"/>
  <c r="J300" i="2" s="1"/>
  <c r="J301" i="2" s="1"/>
  <c r="J302" i="2" s="1"/>
  <c r="J303" i="2" s="1"/>
  <c r="J304" i="2" s="1"/>
  <c r="J305" i="2" s="1"/>
  <c r="J306" i="2" s="1"/>
  <c r="J307" i="2" s="1"/>
  <c r="J308" i="2" s="1"/>
  <c r="J309" i="2" s="1"/>
  <c r="J310" i="2" s="1"/>
  <c r="J311" i="2" s="1"/>
  <c r="J312" i="2" s="1"/>
  <c r="J313" i="2" s="1"/>
  <c r="J314" i="2" s="1"/>
  <c r="J315" i="2" s="1"/>
  <c r="J316" i="2" s="1"/>
  <c r="J317" i="2" s="1"/>
  <c r="J318" i="2" s="1"/>
  <c r="J319" i="2" s="1"/>
  <c r="J320" i="2" s="1"/>
  <c r="J321" i="2" s="1"/>
  <c r="J322" i="2" s="1"/>
  <c r="J323" i="2" s="1"/>
  <c r="J324" i="2" s="1"/>
  <c r="J325" i="2" s="1"/>
  <c r="J326" i="2" s="1"/>
  <c r="J327" i="2" s="1"/>
  <c r="J328" i="2" s="1"/>
  <c r="J329" i="2" s="1"/>
  <c r="J330" i="2" s="1"/>
  <c r="J331" i="2" s="1"/>
  <c r="J332" i="2" s="1"/>
  <c r="J333" i="2" s="1"/>
  <c r="J334" i="2" s="1"/>
  <c r="J335" i="2" s="1"/>
  <c r="J336" i="2" s="1"/>
  <c r="J337" i="2" s="1"/>
  <c r="J338" i="2" s="1"/>
  <c r="J339" i="2" s="1"/>
  <c r="J340" i="2" s="1"/>
  <c r="J341" i="2" s="1"/>
  <c r="J342" i="2" s="1"/>
  <c r="J343" i="2" s="1"/>
  <c r="J344" i="2" s="1"/>
  <c r="J345" i="2" s="1"/>
  <c r="J346" i="2" s="1"/>
  <c r="J347" i="2" s="1"/>
  <c r="J348" i="2" s="1"/>
  <c r="J349" i="2" s="1"/>
  <c r="J350" i="2" s="1"/>
  <c r="J351" i="2" s="1"/>
  <c r="J352" i="2" s="1"/>
  <c r="J353" i="2" s="1"/>
  <c r="J354" i="2" s="1"/>
  <c r="J355" i="2" s="1"/>
  <c r="J356" i="2" s="1"/>
  <c r="J357" i="2" s="1"/>
  <c r="T201" i="2"/>
  <c r="S201" i="2"/>
  <c r="O201" i="2"/>
  <c r="S200" i="2"/>
  <c r="T200" i="2" s="1"/>
  <c r="O200" i="2"/>
  <c r="K200" i="2"/>
  <c r="K201" i="2" s="1"/>
  <c r="K202" i="2" s="1"/>
  <c r="K203" i="2" s="1"/>
  <c r="K204" i="2" s="1"/>
  <c r="K205" i="2" s="1"/>
  <c r="K206" i="2" s="1"/>
  <c r="K207" i="2" s="1"/>
  <c r="K208" i="2" s="1"/>
  <c r="K209" i="2" s="1"/>
  <c r="K210" i="2" s="1"/>
  <c r="K211" i="2" s="1"/>
  <c r="K212" i="2" s="1"/>
  <c r="K213" i="2" s="1"/>
  <c r="K214" i="2" s="1"/>
  <c r="K215" i="2" s="1"/>
  <c r="K216" i="2" s="1"/>
  <c r="K217" i="2" s="1"/>
  <c r="K218" i="2" s="1"/>
  <c r="K219" i="2" s="1"/>
  <c r="K220" i="2" s="1"/>
  <c r="K221" i="2" s="1"/>
  <c r="K222" i="2" s="1"/>
  <c r="K223" i="2" s="1"/>
  <c r="K224" i="2" s="1"/>
  <c r="K225" i="2" s="1"/>
  <c r="K226" i="2" s="1"/>
  <c r="K227" i="2" s="1"/>
  <c r="K228" i="2" s="1"/>
  <c r="K229" i="2" s="1"/>
  <c r="K230" i="2" s="1"/>
  <c r="K231" i="2" s="1"/>
  <c r="K232" i="2" s="1"/>
  <c r="K233" i="2" s="1"/>
  <c r="K234" i="2" s="1"/>
  <c r="K235" i="2" s="1"/>
  <c r="K236" i="2" s="1"/>
  <c r="K237" i="2" s="1"/>
  <c r="K238" i="2" s="1"/>
  <c r="K239" i="2" s="1"/>
  <c r="K240" i="2" s="1"/>
  <c r="K241" i="2" s="1"/>
  <c r="K242" i="2" s="1"/>
  <c r="K243" i="2" s="1"/>
  <c r="K244" i="2" s="1"/>
  <c r="K245" i="2" s="1"/>
  <c r="K246" i="2" s="1"/>
  <c r="J200" i="2"/>
  <c r="J201" i="2" s="1"/>
  <c r="S199" i="2"/>
  <c r="T199" i="2" s="1"/>
  <c r="O199" i="2"/>
  <c r="S198" i="2"/>
  <c r="T198" i="2" s="1"/>
  <c r="O198" i="2"/>
  <c r="S197" i="2"/>
  <c r="T197" i="2" s="1"/>
  <c r="O197" i="2"/>
  <c r="K197" i="2"/>
  <c r="K198" i="2" s="1"/>
  <c r="S196" i="2"/>
  <c r="T196" i="2" s="1"/>
  <c r="O196" i="2"/>
  <c r="S195" i="2"/>
  <c r="T195" i="2" s="1"/>
  <c r="O195" i="2"/>
  <c r="S194" i="2"/>
  <c r="T194" i="2" s="1"/>
  <c r="O194" i="2"/>
  <c r="S193" i="2"/>
  <c r="T193" i="2" s="1"/>
  <c r="O193" i="2"/>
  <c r="T192" i="2"/>
  <c r="S192" i="2"/>
  <c r="O192" i="2"/>
  <c r="S191" i="2"/>
  <c r="T191" i="2" s="1"/>
  <c r="O191" i="2"/>
  <c r="S190" i="2"/>
  <c r="T190" i="2" s="1"/>
  <c r="O190" i="2"/>
  <c r="K190" i="2"/>
  <c r="K191" i="2" s="1"/>
  <c r="K192" i="2" s="1"/>
  <c r="K193" i="2" s="1"/>
  <c r="K194" i="2" s="1"/>
  <c r="K195" i="2" s="1"/>
  <c r="K196" i="2" s="1"/>
  <c r="T189" i="2"/>
  <c r="S189" i="2"/>
  <c r="O189" i="2"/>
  <c r="AB188" i="2"/>
  <c r="T188" i="2"/>
  <c r="S188" i="2"/>
  <c r="O188" i="2"/>
  <c r="S187" i="2"/>
  <c r="T187" i="2" s="1"/>
  <c r="O187" i="2"/>
  <c r="K187" i="2"/>
  <c r="K188" i="2" s="1"/>
  <c r="K189" i="2" s="1"/>
  <c r="S186" i="2"/>
  <c r="T186" i="2" s="1"/>
  <c r="O186" i="2"/>
  <c r="Z185" i="2"/>
  <c r="Z186" i="2" s="1"/>
  <c r="Z187" i="2" s="1"/>
  <c r="Z188" i="2" s="1"/>
  <c r="Z189" i="2" s="1"/>
  <c r="Z190" i="2" s="1"/>
  <c r="Z191" i="2" s="1"/>
  <c r="Z192" i="2" s="1"/>
  <c r="Z193" i="2" s="1"/>
  <c r="Z194" i="2" s="1"/>
  <c r="Z195" i="2" s="1"/>
  <c r="Z196" i="2" s="1"/>
  <c r="Z197" i="2" s="1"/>
  <c r="Z198" i="2" s="1"/>
  <c r="Z199" i="2" s="1"/>
  <c r="Z200" i="2" s="1"/>
  <c r="Z201" i="2" s="1"/>
  <c r="Z202" i="2" s="1"/>
  <c r="Z203" i="2" s="1"/>
  <c r="Z204" i="2" s="1"/>
  <c r="Z205" i="2" s="1"/>
  <c r="Z206" i="2" s="1"/>
  <c r="Z207" i="2" s="1"/>
  <c r="Z208" i="2" s="1"/>
  <c r="Z209" i="2" s="1"/>
  <c r="Z210" i="2" s="1"/>
  <c r="Z211" i="2" s="1"/>
  <c r="Z212" i="2" s="1"/>
  <c r="Z213" i="2" s="1"/>
  <c r="Z214" i="2" s="1"/>
  <c r="Z215" i="2" s="1"/>
  <c r="Z216" i="2" s="1"/>
  <c r="Z217" i="2" s="1"/>
  <c r="Z218" i="2" s="1"/>
  <c r="Z219" i="2" s="1"/>
  <c r="Z220" i="2" s="1"/>
  <c r="Z221" i="2" s="1"/>
  <c r="Z222" i="2" s="1"/>
  <c r="Z223" i="2" s="1"/>
  <c r="Z224" i="2" s="1"/>
  <c r="Z225" i="2" s="1"/>
  <c r="Z226" i="2" s="1"/>
  <c r="Z227" i="2" s="1"/>
  <c r="Z228" i="2" s="1"/>
  <c r="Z229" i="2" s="1"/>
  <c r="Z230" i="2" s="1"/>
  <c r="Z231" i="2" s="1"/>
  <c r="Z232" i="2" s="1"/>
  <c r="Z233" i="2" s="1"/>
  <c r="Z234" i="2" s="1"/>
  <c r="Z235" i="2" s="1"/>
  <c r="Z236" i="2" s="1"/>
  <c r="Z237" i="2" s="1"/>
  <c r="Z238" i="2" s="1"/>
  <c r="Z239" i="2" s="1"/>
  <c r="Z240" i="2" s="1"/>
  <c r="Z241" i="2" s="1"/>
  <c r="Z242" i="2" s="1"/>
  <c r="Z243" i="2" s="1"/>
  <c r="Z244" i="2" s="1"/>
  <c r="Z245" i="2" s="1"/>
  <c r="Z246" i="2" s="1"/>
  <c r="S185" i="2"/>
  <c r="T185" i="2" s="1"/>
  <c r="O185" i="2"/>
  <c r="K185" i="2"/>
  <c r="K186" i="2" s="1"/>
  <c r="J185" i="2"/>
  <c r="J186" i="2" s="1"/>
  <c r="J187" i="2" s="1"/>
  <c r="J188" i="2" s="1"/>
  <c r="J189" i="2" s="1"/>
  <c r="J190" i="2" s="1"/>
  <c r="J191" i="2" s="1"/>
  <c r="J192" i="2" s="1"/>
  <c r="J193" i="2" s="1"/>
  <c r="J194" i="2" s="1"/>
  <c r="J195" i="2" s="1"/>
  <c r="J196" i="2" s="1"/>
  <c r="J197" i="2" s="1"/>
  <c r="J198" i="2" s="1"/>
  <c r="T184" i="2"/>
  <c r="S184" i="2"/>
  <c r="O184" i="2"/>
  <c r="K184" i="2"/>
  <c r="J184" i="2"/>
  <c r="S183" i="2"/>
  <c r="T183" i="2" s="1"/>
  <c r="O183" i="2"/>
  <c r="T182" i="2"/>
  <c r="S182" i="2"/>
  <c r="O182" i="2"/>
  <c r="S181" i="2"/>
  <c r="T181" i="2" s="1"/>
  <c r="O181" i="2"/>
  <c r="S180" i="2"/>
  <c r="T180" i="2" s="1"/>
  <c r="O180" i="2"/>
  <c r="T179" i="2"/>
  <c r="S179" i="2"/>
  <c r="O179" i="2"/>
  <c r="T178" i="2"/>
  <c r="S178" i="2"/>
  <c r="O178" i="2"/>
  <c r="T177" i="2"/>
  <c r="S177" i="2"/>
  <c r="O177" i="2"/>
  <c r="T176" i="2"/>
  <c r="S176" i="2"/>
  <c r="O176" i="2"/>
  <c r="S175" i="2"/>
  <c r="T175" i="2" s="1"/>
  <c r="O175" i="2"/>
  <c r="T174" i="2"/>
  <c r="S174" i="2"/>
  <c r="O174" i="2"/>
  <c r="S173" i="2"/>
  <c r="T173" i="2" s="1"/>
  <c r="O173" i="2"/>
  <c r="T172" i="2"/>
  <c r="S172" i="2"/>
  <c r="O172" i="2"/>
  <c r="S171" i="2"/>
  <c r="T171" i="2" s="1"/>
  <c r="O171" i="2"/>
  <c r="T170" i="2"/>
  <c r="S170" i="2"/>
  <c r="O170" i="2"/>
  <c r="T169" i="2"/>
  <c r="S169" i="2"/>
  <c r="O169" i="2"/>
  <c r="T168" i="2"/>
  <c r="S168" i="2"/>
  <c r="O168" i="2"/>
  <c r="K168" i="2"/>
  <c r="K169" i="2" s="1"/>
  <c r="K170" i="2" s="1"/>
  <c r="K171" i="2" s="1"/>
  <c r="K172" i="2" s="1"/>
  <c r="K173" i="2" s="1"/>
  <c r="S167" i="2"/>
  <c r="T167" i="2" s="1"/>
  <c r="O167" i="2"/>
  <c r="T166" i="2"/>
  <c r="S166" i="2"/>
  <c r="O166" i="2"/>
  <c r="K166" i="2"/>
  <c r="K167" i="2" s="1"/>
  <c r="J166" i="2"/>
  <c r="J167" i="2" s="1"/>
  <c r="J168" i="2" s="1"/>
  <c r="J169" i="2" s="1"/>
  <c r="J170" i="2" s="1"/>
  <c r="J171" i="2" s="1"/>
  <c r="J172" i="2" s="1"/>
  <c r="J173" i="2" s="1"/>
  <c r="S165" i="2"/>
  <c r="T165" i="2" s="1"/>
  <c r="O165" i="2"/>
  <c r="K165" i="2"/>
  <c r="J165" i="2"/>
  <c r="T164" i="2"/>
  <c r="S164" i="2"/>
  <c r="O164" i="2"/>
  <c r="S163" i="2"/>
  <c r="T163" i="2" s="1"/>
  <c r="O163" i="2"/>
  <c r="S162" i="2"/>
  <c r="T162" i="2" s="1"/>
  <c r="O162" i="2"/>
  <c r="S161" i="2"/>
  <c r="T161" i="2" s="1"/>
  <c r="O161" i="2"/>
  <c r="K161" i="2"/>
  <c r="K162" i="2" s="1"/>
  <c r="T160" i="2"/>
  <c r="S160" i="2"/>
  <c r="O160" i="2"/>
  <c r="K160" i="2"/>
  <c r="S159" i="2"/>
  <c r="T159" i="2" s="1"/>
  <c r="O159" i="2"/>
  <c r="K159" i="2"/>
  <c r="J159" i="2"/>
  <c r="J160" i="2" s="1"/>
  <c r="J161" i="2" s="1"/>
  <c r="J162" i="2" s="1"/>
  <c r="S158" i="2"/>
  <c r="T158" i="2" s="1"/>
  <c r="O158" i="2"/>
  <c r="S157" i="2"/>
  <c r="T157" i="2" s="1"/>
  <c r="O157" i="2"/>
  <c r="T156" i="2"/>
  <c r="S156" i="2"/>
  <c r="O156" i="2"/>
  <c r="S155" i="2"/>
  <c r="T155" i="2" s="1"/>
  <c r="O155" i="2"/>
  <c r="S154" i="2"/>
  <c r="T154" i="2" s="1"/>
  <c r="O154" i="2"/>
  <c r="S153" i="2"/>
  <c r="T153" i="2" s="1"/>
  <c r="O153" i="2"/>
  <c r="T152" i="2"/>
  <c r="S152" i="2"/>
  <c r="O152" i="2"/>
  <c r="S151" i="2"/>
  <c r="T151" i="2" s="1"/>
  <c r="O151" i="2"/>
  <c r="T150" i="2"/>
  <c r="S150" i="2"/>
  <c r="O150" i="2"/>
  <c r="T149" i="2"/>
  <c r="S149" i="2"/>
  <c r="O149" i="2"/>
  <c r="T148" i="2"/>
  <c r="S148" i="2"/>
  <c r="O148" i="2"/>
  <c r="S147" i="2"/>
  <c r="T147" i="2" s="1"/>
  <c r="O147" i="2"/>
  <c r="S146" i="2"/>
  <c r="T146" i="2" s="1"/>
  <c r="O146" i="2"/>
  <c r="T145" i="2"/>
  <c r="S145" i="2"/>
  <c r="O145" i="2"/>
  <c r="T144" i="2"/>
  <c r="S144" i="2"/>
  <c r="O144" i="2"/>
  <c r="S143" i="2"/>
  <c r="T143" i="2" s="1"/>
  <c r="O143" i="2"/>
  <c r="T142" i="2"/>
  <c r="S142" i="2"/>
  <c r="O142" i="2"/>
  <c r="T141" i="2"/>
  <c r="S141" i="2"/>
  <c r="O141" i="2"/>
  <c r="T140" i="2"/>
  <c r="S140" i="2"/>
  <c r="O140" i="2"/>
  <c r="S139" i="2"/>
  <c r="T139" i="2" s="1"/>
  <c r="O139" i="2"/>
  <c r="S138" i="2"/>
  <c r="T138" i="2" s="1"/>
  <c r="O138" i="2"/>
  <c r="S137" i="2"/>
  <c r="T137" i="2" s="1"/>
  <c r="O137" i="2"/>
  <c r="T136" i="2"/>
  <c r="S136" i="2"/>
  <c r="O136" i="2"/>
  <c r="S135" i="2"/>
  <c r="T135" i="2" s="1"/>
  <c r="O135" i="2"/>
  <c r="T134" i="2"/>
  <c r="S134" i="2"/>
  <c r="O134" i="2"/>
  <c r="S133" i="2"/>
  <c r="T133" i="2" s="1"/>
  <c r="O133" i="2"/>
  <c r="S132" i="2"/>
  <c r="T132" i="2" s="1"/>
  <c r="O132" i="2"/>
  <c r="K132" i="2"/>
  <c r="K133" i="2" s="1"/>
  <c r="K134" i="2" s="1"/>
  <c r="K135" i="2" s="1"/>
  <c r="K136" i="2" s="1"/>
  <c r="K137" i="2" s="1"/>
  <c r="K138" i="2" s="1"/>
  <c r="K139" i="2" s="1"/>
  <c r="K140" i="2" s="1"/>
  <c r="K141" i="2" s="1"/>
  <c r="K142" i="2" s="1"/>
  <c r="K143" i="2" s="1"/>
  <c r="K144" i="2" s="1"/>
  <c r="K145" i="2" s="1"/>
  <c r="K146" i="2" s="1"/>
  <c r="K147" i="2" s="1"/>
  <c r="K148" i="2" s="1"/>
  <c r="K149" i="2" s="1"/>
  <c r="K150" i="2" s="1"/>
  <c r="K151" i="2" s="1"/>
  <c r="K152" i="2" s="1"/>
  <c r="K153" i="2" s="1"/>
  <c r="K154" i="2" s="1"/>
  <c r="T131" i="2"/>
  <c r="S131" i="2"/>
  <c r="O131" i="2"/>
  <c r="L131" i="2"/>
  <c r="K131" i="2"/>
  <c r="J131" i="2"/>
  <c r="J132" i="2" s="1"/>
  <c r="J133" i="2" s="1"/>
  <c r="J134" i="2" s="1"/>
  <c r="J135" i="2" s="1"/>
  <c r="J136" i="2" s="1"/>
  <c r="J137" i="2" s="1"/>
  <c r="J138" i="2" s="1"/>
  <c r="J139" i="2" s="1"/>
  <c r="J140" i="2" s="1"/>
  <c r="J141" i="2" s="1"/>
  <c r="J142" i="2" s="1"/>
  <c r="J143" i="2" s="1"/>
  <c r="J144" i="2" s="1"/>
  <c r="J145" i="2" s="1"/>
  <c r="J146" i="2" s="1"/>
  <c r="J147" i="2" s="1"/>
  <c r="J148" i="2" s="1"/>
  <c r="J149" i="2" s="1"/>
  <c r="J150" i="2" s="1"/>
  <c r="J151" i="2" s="1"/>
  <c r="J152" i="2" s="1"/>
  <c r="J153" i="2" s="1"/>
  <c r="J154" i="2" s="1"/>
  <c r="S130" i="2"/>
  <c r="T130" i="2" s="1"/>
  <c r="O130" i="2"/>
  <c r="T129" i="2"/>
  <c r="S129" i="2"/>
  <c r="O129" i="2"/>
  <c r="L129" i="2"/>
  <c r="T128" i="2"/>
  <c r="S128" i="2"/>
  <c r="O128" i="2"/>
  <c r="AB127" i="2"/>
  <c r="T127" i="2"/>
  <c r="S127" i="2"/>
  <c r="O127" i="2"/>
  <c r="L127" i="2"/>
  <c r="K127" i="2"/>
  <c r="K128" i="2" s="1"/>
  <c r="K129" i="2" s="1"/>
  <c r="J127" i="2"/>
  <c r="J128" i="2" s="1"/>
  <c r="J129" i="2" s="1"/>
  <c r="T126" i="2"/>
  <c r="S126" i="2"/>
  <c r="O126" i="2"/>
  <c r="T125" i="2"/>
  <c r="S125" i="2"/>
  <c r="O125" i="2"/>
  <c r="Z124" i="2"/>
  <c r="Z125" i="2" s="1"/>
  <c r="Z126" i="2" s="1"/>
  <c r="Z127" i="2" s="1"/>
  <c r="Z128" i="2" s="1"/>
  <c r="Z129" i="2" s="1"/>
  <c r="Z130" i="2" s="1"/>
  <c r="Z131" i="2" s="1"/>
  <c r="Z132" i="2" s="1"/>
  <c r="Z133" i="2" s="1"/>
  <c r="Z134" i="2" s="1"/>
  <c r="Z135" i="2" s="1"/>
  <c r="Z136" i="2" s="1"/>
  <c r="Z137" i="2" s="1"/>
  <c r="Z138" i="2" s="1"/>
  <c r="Z139" i="2" s="1"/>
  <c r="Z140" i="2" s="1"/>
  <c r="Z141" i="2" s="1"/>
  <c r="Z142" i="2" s="1"/>
  <c r="Z143" i="2" s="1"/>
  <c r="Z144" i="2" s="1"/>
  <c r="Z145" i="2" s="1"/>
  <c r="Z146" i="2" s="1"/>
  <c r="Z147" i="2" s="1"/>
  <c r="Z148" i="2" s="1"/>
  <c r="Z149" i="2" s="1"/>
  <c r="Z150" i="2" s="1"/>
  <c r="Z151" i="2" s="1"/>
  <c r="Z152" i="2" s="1"/>
  <c r="Z153" i="2" s="1"/>
  <c r="Z154" i="2" s="1"/>
  <c r="Z155" i="2" s="1"/>
  <c r="Z156" i="2" s="1"/>
  <c r="Z157" i="2" s="1"/>
  <c r="Z158" i="2" s="1"/>
  <c r="Z159" i="2" s="1"/>
  <c r="Z160" i="2" s="1"/>
  <c r="Z161" i="2" s="1"/>
  <c r="Z162" i="2" s="1"/>
  <c r="Z163" i="2" s="1"/>
  <c r="Z164" i="2" s="1"/>
  <c r="Z165" i="2" s="1"/>
  <c r="Z166" i="2" s="1"/>
  <c r="Z167" i="2" s="1"/>
  <c r="Z168" i="2" s="1"/>
  <c r="Z169" i="2" s="1"/>
  <c r="Z170" i="2" s="1"/>
  <c r="Z171" i="2" s="1"/>
  <c r="Z172" i="2" s="1"/>
  <c r="Z173" i="2" s="1"/>
  <c r="Z174" i="2" s="1"/>
  <c r="Z175" i="2" s="1"/>
  <c r="Z176" i="2" s="1"/>
  <c r="Z177" i="2" s="1"/>
  <c r="Z178" i="2" s="1"/>
  <c r="Z179" i="2" s="1"/>
  <c r="Z180" i="2" s="1"/>
  <c r="Z181" i="2" s="1"/>
  <c r="Z182" i="2" s="1"/>
  <c r="Z183" i="2" s="1"/>
  <c r="Z184" i="2" s="1"/>
  <c r="S124" i="2"/>
  <c r="T124" i="2" s="1"/>
  <c r="O124" i="2"/>
  <c r="K124" i="2"/>
  <c r="T123" i="2"/>
  <c r="S123" i="2"/>
  <c r="R123" i="2"/>
  <c r="O123" i="2"/>
  <c r="T122" i="2"/>
  <c r="S122" i="2"/>
  <c r="R122" i="2"/>
  <c r="O122" i="2"/>
  <c r="S121" i="2"/>
  <c r="T121" i="2" s="1"/>
  <c r="R121" i="2"/>
  <c r="O121" i="2"/>
  <c r="R120" i="2"/>
  <c r="S120" i="2" s="1"/>
  <c r="T120" i="2" s="1"/>
  <c r="O120" i="2"/>
  <c r="S119" i="2"/>
  <c r="T119" i="2" s="1"/>
  <c r="R119" i="2"/>
  <c r="O119" i="2"/>
  <c r="T118" i="2"/>
  <c r="S118" i="2"/>
  <c r="R118" i="2"/>
  <c r="O118" i="2"/>
  <c r="S117" i="2"/>
  <c r="T117" i="2" s="1"/>
  <c r="R117" i="2"/>
  <c r="O117" i="2"/>
  <c r="R116" i="2"/>
  <c r="S116" i="2" s="1"/>
  <c r="T116" i="2" s="1"/>
  <c r="O116" i="2"/>
  <c r="S115" i="2"/>
  <c r="T115" i="2" s="1"/>
  <c r="R115" i="2"/>
  <c r="O115" i="2"/>
  <c r="T114" i="2"/>
  <c r="S114" i="2"/>
  <c r="R114" i="2"/>
  <c r="O114" i="2"/>
  <c r="S113" i="2"/>
  <c r="T113" i="2" s="1"/>
  <c r="R113" i="2"/>
  <c r="O113" i="2"/>
  <c r="R112" i="2"/>
  <c r="S112" i="2" s="1"/>
  <c r="T112" i="2" s="1"/>
  <c r="O112" i="2"/>
  <c r="S111" i="2"/>
  <c r="T111" i="2" s="1"/>
  <c r="R111" i="2"/>
  <c r="O111" i="2"/>
  <c r="T110" i="2"/>
  <c r="S110" i="2"/>
  <c r="R110" i="2"/>
  <c r="O110" i="2"/>
  <c r="S109" i="2"/>
  <c r="T109" i="2" s="1"/>
  <c r="R109" i="2"/>
  <c r="O109" i="2"/>
  <c r="R108" i="2"/>
  <c r="S108" i="2" s="1"/>
  <c r="T108" i="2" s="1"/>
  <c r="O108" i="2"/>
  <c r="S107" i="2"/>
  <c r="T107" i="2" s="1"/>
  <c r="R107" i="2"/>
  <c r="O107" i="2"/>
  <c r="T106" i="2"/>
  <c r="S106" i="2"/>
  <c r="R106" i="2"/>
  <c r="O106" i="2"/>
  <c r="S105" i="2"/>
  <c r="T105" i="2" s="1"/>
  <c r="R105" i="2"/>
  <c r="O105" i="2"/>
  <c r="R104" i="2"/>
  <c r="S104" i="2" s="1"/>
  <c r="T104" i="2" s="1"/>
  <c r="O104" i="2"/>
  <c r="S103" i="2"/>
  <c r="T103" i="2" s="1"/>
  <c r="R103" i="2"/>
  <c r="O103" i="2"/>
  <c r="T102" i="2"/>
  <c r="S102" i="2"/>
  <c r="R102" i="2"/>
  <c r="O102" i="2"/>
  <c r="S101" i="2"/>
  <c r="T101" i="2" s="1"/>
  <c r="R101" i="2"/>
  <c r="O101" i="2"/>
  <c r="R100" i="2"/>
  <c r="S100" i="2" s="1"/>
  <c r="T100" i="2" s="1"/>
  <c r="O100" i="2"/>
  <c r="S99" i="2"/>
  <c r="T99" i="2" s="1"/>
  <c r="R99" i="2"/>
  <c r="O99" i="2"/>
  <c r="T98" i="2"/>
  <c r="S98" i="2"/>
  <c r="R98" i="2"/>
  <c r="O98" i="2"/>
  <c r="S97" i="2"/>
  <c r="T97" i="2" s="1"/>
  <c r="R97" i="2"/>
  <c r="O97" i="2"/>
  <c r="R96" i="2"/>
  <c r="S96" i="2" s="1"/>
  <c r="T96" i="2" s="1"/>
  <c r="O96" i="2"/>
  <c r="S95" i="2"/>
  <c r="T95" i="2" s="1"/>
  <c r="R95" i="2"/>
  <c r="O95" i="2"/>
  <c r="T94" i="2"/>
  <c r="S94" i="2"/>
  <c r="R94" i="2"/>
  <c r="O94" i="2"/>
  <c r="S93" i="2"/>
  <c r="T93" i="2" s="1"/>
  <c r="R93" i="2"/>
  <c r="O93" i="2"/>
  <c r="R92" i="2"/>
  <c r="S92" i="2" s="1"/>
  <c r="T92" i="2" s="1"/>
  <c r="O92" i="2"/>
  <c r="S91" i="2"/>
  <c r="T91" i="2" s="1"/>
  <c r="R91" i="2"/>
  <c r="O91" i="2"/>
  <c r="T90" i="2"/>
  <c r="S90" i="2"/>
  <c r="R90" i="2"/>
  <c r="O90" i="2"/>
  <c r="S89" i="2"/>
  <c r="T89" i="2" s="1"/>
  <c r="R89" i="2"/>
  <c r="O89" i="2"/>
  <c r="R88" i="2"/>
  <c r="S88" i="2" s="1"/>
  <c r="T88" i="2" s="1"/>
  <c r="O88" i="2"/>
  <c r="S87" i="2"/>
  <c r="T87" i="2" s="1"/>
  <c r="R87" i="2"/>
  <c r="O87" i="2"/>
  <c r="T86" i="2"/>
  <c r="S86" i="2"/>
  <c r="R86" i="2"/>
  <c r="O86" i="2"/>
  <c r="S85" i="2"/>
  <c r="T85" i="2" s="1"/>
  <c r="R85" i="2"/>
  <c r="O85" i="2"/>
  <c r="R84" i="2"/>
  <c r="S84" i="2" s="1"/>
  <c r="T84" i="2" s="1"/>
  <c r="O84" i="2"/>
  <c r="S83" i="2"/>
  <c r="T83" i="2" s="1"/>
  <c r="R83" i="2"/>
  <c r="O83" i="2"/>
  <c r="T82" i="2"/>
  <c r="S82" i="2"/>
  <c r="R82" i="2"/>
  <c r="O82" i="2"/>
  <c r="S81" i="2"/>
  <c r="T81" i="2" s="1"/>
  <c r="R81" i="2"/>
  <c r="O81" i="2"/>
  <c r="R80" i="2"/>
  <c r="S80" i="2" s="1"/>
  <c r="T80" i="2" s="1"/>
  <c r="O80" i="2"/>
  <c r="S79" i="2"/>
  <c r="T79" i="2" s="1"/>
  <c r="R79" i="2"/>
  <c r="O79" i="2"/>
  <c r="P79" i="2" s="1"/>
  <c r="T78" i="2"/>
  <c r="S78" i="2"/>
  <c r="R78" i="2"/>
  <c r="O78" i="2"/>
  <c r="S77" i="2"/>
  <c r="T77" i="2" s="1"/>
  <c r="R77" i="2"/>
  <c r="O77" i="2"/>
  <c r="T76" i="2"/>
  <c r="R76" i="2"/>
  <c r="S76" i="2" s="1"/>
  <c r="O76" i="2"/>
  <c r="T75" i="2"/>
  <c r="S75" i="2"/>
  <c r="R75" i="2"/>
  <c r="O75" i="2"/>
  <c r="T74" i="2"/>
  <c r="S74" i="2"/>
  <c r="R74" i="2"/>
  <c r="O74" i="2"/>
  <c r="R73" i="2"/>
  <c r="S73" i="2" s="1"/>
  <c r="T73" i="2" s="1"/>
  <c r="O73" i="2"/>
  <c r="T72" i="2"/>
  <c r="R72" i="2"/>
  <c r="S72" i="2" s="1"/>
  <c r="O72" i="2"/>
  <c r="T71" i="2"/>
  <c r="S71" i="2"/>
  <c r="R71" i="2"/>
  <c r="O71" i="2"/>
  <c r="S70" i="2"/>
  <c r="T70" i="2" s="1"/>
  <c r="R70" i="2"/>
  <c r="O70" i="2"/>
  <c r="R69" i="2"/>
  <c r="S69" i="2" s="1"/>
  <c r="T69" i="2" s="1"/>
  <c r="O69" i="2"/>
  <c r="R68" i="2"/>
  <c r="S68" i="2" s="1"/>
  <c r="T68" i="2" s="1"/>
  <c r="O68" i="2"/>
  <c r="T67" i="2"/>
  <c r="S67" i="2"/>
  <c r="R67" i="2"/>
  <c r="O67" i="2"/>
  <c r="S66" i="2"/>
  <c r="T66" i="2" s="1"/>
  <c r="R66" i="2"/>
  <c r="O66" i="2"/>
  <c r="S65" i="2"/>
  <c r="T65" i="2" s="1"/>
  <c r="R65" i="2"/>
  <c r="P65" i="2"/>
  <c r="P66" i="2" s="1"/>
  <c r="O65" i="2"/>
  <c r="S64" i="2"/>
  <c r="T64" i="2" s="1"/>
  <c r="R64" i="2"/>
  <c r="O64" i="2"/>
  <c r="R63" i="2"/>
  <c r="S63" i="2" s="1"/>
  <c r="T63" i="2" s="1"/>
  <c r="O63" i="2"/>
  <c r="R62" i="2"/>
  <c r="S62" i="2" s="1"/>
  <c r="T62" i="2" s="1"/>
  <c r="O62" i="2"/>
  <c r="T61" i="2"/>
  <c r="S61" i="2"/>
  <c r="R61" i="2"/>
  <c r="O61" i="2"/>
  <c r="T60" i="2"/>
  <c r="S60" i="2"/>
  <c r="R60" i="2"/>
  <c r="O60" i="2"/>
  <c r="P60" i="2" s="1"/>
  <c r="P61" i="2" s="1"/>
  <c r="T59" i="2"/>
  <c r="S59" i="2"/>
  <c r="R59" i="2"/>
  <c r="O59" i="2"/>
  <c r="S58" i="2"/>
  <c r="T58" i="2" s="1"/>
  <c r="R58" i="2"/>
  <c r="O58" i="2"/>
  <c r="S57" i="2"/>
  <c r="T57" i="2" s="1"/>
  <c r="R57" i="2"/>
  <c r="O57" i="2"/>
  <c r="S56" i="2"/>
  <c r="T56" i="2" s="1"/>
  <c r="R56" i="2"/>
  <c r="O56" i="2"/>
  <c r="S55" i="2"/>
  <c r="T55" i="2" s="1"/>
  <c r="R55" i="2"/>
  <c r="O55" i="2"/>
  <c r="S54" i="2"/>
  <c r="T54" i="2" s="1"/>
  <c r="R54" i="2"/>
  <c r="O54" i="2"/>
  <c r="S53" i="2"/>
  <c r="T53" i="2" s="1"/>
  <c r="R53" i="2"/>
  <c r="O53" i="2"/>
  <c r="S52" i="2"/>
  <c r="T52" i="2" s="1"/>
  <c r="R52" i="2"/>
  <c r="O52" i="2"/>
  <c r="S51" i="2"/>
  <c r="T51" i="2" s="1"/>
  <c r="R51" i="2"/>
  <c r="O51" i="2"/>
  <c r="S50" i="2"/>
  <c r="T50" i="2" s="1"/>
  <c r="R50" i="2"/>
  <c r="O50" i="2"/>
  <c r="S49" i="2"/>
  <c r="T49" i="2" s="1"/>
  <c r="U49" i="2" s="1"/>
  <c r="R49" i="2"/>
  <c r="O49" i="2"/>
  <c r="P49" i="2" s="1"/>
  <c r="P50" i="2" s="1"/>
  <c r="P51" i="2" s="1"/>
  <c r="P52" i="2" s="1"/>
  <c r="P53" i="2" s="1"/>
  <c r="P54" i="2" s="1"/>
  <c r="P55" i="2" s="1"/>
  <c r="P56" i="2" s="1"/>
  <c r="P57" i="2" s="1"/>
  <c r="P58" i="2" s="1"/>
  <c r="R48" i="2"/>
  <c r="S48" i="2" s="1"/>
  <c r="T48" i="2" s="1"/>
  <c r="O48" i="2"/>
  <c r="T47" i="2"/>
  <c r="S47" i="2"/>
  <c r="R47" i="2"/>
  <c r="O47" i="2"/>
  <c r="T46" i="2"/>
  <c r="S46" i="2"/>
  <c r="R46" i="2"/>
  <c r="O46" i="2"/>
  <c r="S45" i="2"/>
  <c r="T45" i="2" s="1"/>
  <c r="O45" i="2"/>
  <c r="S44" i="2"/>
  <c r="T44" i="2" s="1"/>
  <c r="O44" i="2"/>
  <c r="T43" i="2"/>
  <c r="S43" i="2"/>
  <c r="O43" i="2"/>
  <c r="S42" i="2"/>
  <c r="T42" i="2" s="1"/>
  <c r="O42" i="2"/>
  <c r="L42" i="2"/>
  <c r="T41" i="2"/>
  <c r="S41" i="2"/>
  <c r="O41" i="2"/>
  <c r="U40" i="2"/>
  <c r="U41" i="2" s="1"/>
  <c r="T40" i="2"/>
  <c r="S40" i="2"/>
  <c r="O40" i="2"/>
  <c r="L40" i="2"/>
  <c r="U39" i="2"/>
  <c r="T39" i="2"/>
  <c r="S39" i="2"/>
  <c r="O39" i="2"/>
  <c r="P39" i="2" s="1"/>
  <c r="P40" i="2" s="1"/>
  <c r="P41" i="2" s="1"/>
  <c r="AB38" i="2"/>
  <c r="T38" i="2"/>
  <c r="S38" i="2"/>
  <c r="O38" i="2"/>
  <c r="L38" i="2"/>
  <c r="Y37" i="2"/>
  <c r="Y38" i="2" s="1"/>
  <c r="Y39" i="2" s="1"/>
  <c r="Y40" i="2" s="1"/>
  <c r="Y41" i="2" s="1"/>
  <c r="Y42" i="2" s="1"/>
  <c r="Y43" i="2" s="1"/>
  <c r="Y44" i="2" s="1"/>
  <c r="Y45" i="2" s="1"/>
  <c r="Y46" i="2" s="1"/>
  <c r="Y47" i="2" s="1"/>
  <c r="Y48" i="2" s="1"/>
  <c r="Y49" i="2" s="1"/>
  <c r="Y50" i="2" s="1"/>
  <c r="Y51" i="2" s="1"/>
  <c r="Y52" i="2" s="1"/>
  <c r="Y53" i="2" s="1"/>
  <c r="Y54" i="2" s="1"/>
  <c r="Y55" i="2" s="1"/>
  <c r="Y56" i="2" s="1"/>
  <c r="Y57" i="2" s="1"/>
  <c r="Y58" i="2" s="1"/>
  <c r="Y59" i="2" s="1"/>
  <c r="Y60" i="2" s="1"/>
  <c r="Y61" i="2" s="1"/>
  <c r="Y62" i="2" s="1"/>
  <c r="Y63" i="2" s="1"/>
  <c r="Y64" i="2" s="1"/>
  <c r="Y65" i="2" s="1"/>
  <c r="Y66" i="2" s="1"/>
  <c r="Y67" i="2" s="1"/>
  <c r="Y68" i="2" s="1"/>
  <c r="Y69" i="2" s="1"/>
  <c r="Y70" i="2" s="1"/>
  <c r="Y71" i="2" s="1"/>
  <c r="Y72" i="2" s="1"/>
  <c r="Y73" i="2" s="1"/>
  <c r="Y74" i="2" s="1"/>
  <c r="Y75" i="2" s="1"/>
  <c r="Y76" i="2" s="1"/>
  <c r="Y77" i="2" s="1"/>
  <c r="Y78" i="2" s="1"/>
  <c r="Y79" i="2" s="1"/>
  <c r="Y80" i="2" s="1"/>
  <c r="Y81" i="2" s="1"/>
  <c r="Y82" i="2" s="1"/>
  <c r="Y83" i="2" s="1"/>
  <c r="Y84" i="2" s="1"/>
  <c r="Y85" i="2" s="1"/>
  <c r="Y86" i="2" s="1"/>
  <c r="Y87" i="2" s="1"/>
  <c r="Y88" i="2" s="1"/>
  <c r="Y89" i="2" s="1"/>
  <c r="Y90" i="2" s="1"/>
  <c r="Y91" i="2" s="1"/>
  <c r="Y92" i="2" s="1"/>
  <c r="Y93" i="2" s="1"/>
  <c r="Y94" i="2" s="1"/>
  <c r="Y95" i="2" s="1"/>
  <c r="Y96" i="2" s="1"/>
  <c r="Y97" i="2" s="1"/>
  <c r="Y98" i="2" s="1"/>
  <c r="Y99" i="2" s="1"/>
  <c r="Y100" i="2" s="1"/>
  <c r="Y101" i="2" s="1"/>
  <c r="Y102" i="2" s="1"/>
  <c r="Y103" i="2" s="1"/>
  <c r="Y104" i="2" s="1"/>
  <c r="Y105" i="2" s="1"/>
  <c r="Y106" i="2" s="1"/>
  <c r="Y107" i="2" s="1"/>
  <c r="Y108" i="2" s="1"/>
  <c r="Y109" i="2" s="1"/>
  <c r="Y110" i="2" s="1"/>
  <c r="Y111" i="2" s="1"/>
  <c r="Y112" i="2" s="1"/>
  <c r="Y113" i="2" s="1"/>
  <c r="Y114" i="2" s="1"/>
  <c r="Y115" i="2" s="1"/>
  <c r="Y116" i="2" s="1"/>
  <c r="Y117" i="2" s="1"/>
  <c r="Y118" i="2" s="1"/>
  <c r="Y119" i="2" s="1"/>
  <c r="Y120" i="2" s="1"/>
  <c r="Y121" i="2" s="1"/>
  <c r="Y122" i="2" s="1"/>
  <c r="Y123" i="2" s="1"/>
  <c r="Y124" i="2" s="1"/>
  <c r="Y125" i="2" s="1"/>
  <c r="Y126" i="2" s="1"/>
  <c r="Y127" i="2" s="1"/>
  <c r="Y128" i="2" s="1"/>
  <c r="Y129" i="2" s="1"/>
  <c r="Y130" i="2" s="1"/>
  <c r="Y131" i="2" s="1"/>
  <c r="Y132" i="2" s="1"/>
  <c r="Y133" i="2" s="1"/>
  <c r="Y134" i="2" s="1"/>
  <c r="Y135" i="2" s="1"/>
  <c r="Y136" i="2" s="1"/>
  <c r="Y137" i="2" s="1"/>
  <c r="Y138" i="2" s="1"/>
  <c r="Y139" i="2" s="1"/>
  <c r="Y140" i="2" s="1"/>
  <c r="Y141" i="2" s="1"/>
  <c r="Y142" i="2" s="1"/>
  <c r="Y143" i="2" s="1"/>
  <c r="Y144" i="2" s="1"/>
  <c r="Y145" i="2" s="1"/>
  <c r="Y146" i="2" s="1"/>
  <c r="Y147" i="2" s="1"/>
  <c r="Y148" i="2" s="1"/>
  <c r="Y149" i="2" s="1"/>
  <c r="Y150" i="2" s="1"/>
  <c r="Y151" i="2" s="1"/>
  <c r="Y152" i="2" s="1"/>
  <c r="Y153" i="2" s="1"/>
  <c r="Y154" i="2" s="1"/>
  <c r="Y155" i="2" s="1"/>
  <c r="Y156" i="2" s="1"/>
  <c r="Y157" i="2" s="1"/>
  <c r="Y158" i="2" s="1"/>
  <c r="Y159" i="2" s="1"/>
  <c r="Y160" i="2" s="1"/>
  <c r="Y161" i="2" s="1"/>
  <c r="Y162" i="2" s="1"/>
  <c r="Y163" i="2" s="1"/>
  <c r="Y164" i="2" s="1"/>
  <c r="Y165" i="2" s="1"/>
  <c r="Y166" i="2" s="1"/>
  <c r="Y167" i="2" s="1"/>
  <c r="Y168" i="2" s="1"/>
  <c r="Y169" i="2" s="1"/>
  <c r="Y170" i="2" s="1"/>
  <c r="Y171" i="2" s="1"/>
  <c r="Y172" i="2" s="1"/>
  <c r="Y173" i="2" s="1"/>
  <c r="Y174" i="2" s="1"/>
  <c r="Y175" i="2" s="1"/>
  <c r="Y176" i="2" s="1"/>
  <c r="Y177" i="2" s="1"/>
  <c r="Y178" i="2" s="1"/>
  <c r="Y179" i="2" s="1"/>
  <c r="Y180" i="2" s="1"/>
  <c r="Y181" i="2" s="1"/>
  <c r="Y182" i="2" s="1"/>
  <c r="Y183" i="2" s="1"/>
  <c r="Y184" i="2" s="1"/>
  <c r="Y185" i="2" s="1"/>
  <c r="Y186" i="2" s="1"/>
  <c r="Y187" i="2" s="1"/>
  <c r="Y188" i="2" s="1"/>
  <c r="Y189" i="2" s="1"/>
  <c r="Y190" i="2" s="1"/>
  <c r="Y191" i="2" s="1"/>
  <c r="Y192" i="2" s="1"/>
  <c r="Y193" i="2" s="1"/>
  <c r="Y194" i="2" s="1"/>
  <c r="Y195" i="2" s="1"/>
  <c r="Y196" i="2" s="1"/>
  <c r="Y197" i="2" s="1"/>
  <c r="Y198" i="2" s="1"/>
  <c r="Y199" i="2" s="1"/>
  <c r="Y200" i="2" s="1"/>
  <c r="Y201" i="2" s="1"/>
  <c r="Y202" i="2" s="1"/>
  <c r="Y203" i="2" s="1"/>
  <c r="Y204" i="2" s="1"/>
  <c r="Y205" i="2" s="1"/>
  <c r="Y206" i="2" s="1"/>
  <c r="Y207" i="2" s="1"/>
  <c r="Y208" i="2" s="1"/>
  <c r="Y209" i="2" s="1"/>
  <c r="Y210" i="2" s="1"/>
  <c r="Y211" i="2" s="1"/>
  <c r="Y212" i="2" s="1"/>
  <c r="Y213" i="2" s="1"/>
  <c r="Y214" i="2" s="1"/>
  <c r="Y215" i="2" s="1"/>
  <c r="Y216" i="2" s="1"/>
  <c r="Y217" i="2" s="1"/>
  <c r="Y218" i="2" s="1"/>
  <c r="Y219" i="2" s="1"/>
  <c r="Y220" i="2" s="1"/>
  <c r="Y221" i="2" s="1"/>
  <c r="Y222" i="2" s="1"/>
  <c r="Y223" i="2" s="1"/>
  <c r="Y224" i="2" s="1"/>
  <c r="Y225" i="2" s="1"/>
  <c r="Y226" i="2" s="1"/>
  <c r="Y227" i="2" s="1"/>
  <c r="Y228" i="2" s="1"/>
  <c r="Y229" i="2" s="1"/>
  <c r="Y230" i="2" s="1"/>
  <c r="Y231" i="2" s="1"/>
  <c r="Y232" i="2" s="1"/>
  <c r="Y233" i="2" s="1"/>
  <c r="Y234" i="2" s="1"/>
  <c r="Y235" i="2" s="1"/>
  <c r="Y236" i="2" s="1"/>
  <c r="Y237" i="2" s="1"/>
  <c r="Y238" i="2" s="1"/>
  <c r="Y239" i="2" s="1"/>
  <c r="Y240" i="2" s="1"/>
  <c r="Y241" i="2" s="1"/>
  <c r="Y242" i="2" s="1"/>
  <c r="Y243" i="2" s="1"/>
  <c r="Y244" i="2" s="1"/>
  <c r="Y245" i="2" s="1"/>
  <c r="Y246" i="2" s="1"/>
  <c r="Y247" i="2" s="1"/>
  <c r="Y248" i="2" s="1"/>
  <c r="Y249" i="2" s="1"/>
  <c r="Y250" i="2" s="1"/>
  <c r="Y251" i="2" s="1"/>
  <c r="Y252" i="2" s="1"/>
  <c r="Y253" i="2" s="1"/>
  <c r="Y254" i="2" s="1"/>
  <c r="Y255" i="2" s="1"/>
  <c r="Y256" i="2" s="1"/>
  <c r="Y257" i="2" s="1"/>
  <c r="Y258" i="2" s="1"/>
  <c r="Y259" i="2" s="1"/>
  <c r="Y260" i="2" s="1"/>
  <c r="Y261" i="2" s="1"/>
  <c r="Y262" i="2" s="1"/>
  <c r="Y263" i="2" s="1"/>
  <c r="Y264" i="2" s="1"/>
  <c r="Y265" i="2" s="1"/>
  <c r="Y266" i="2" s="1"/>
  <c r="Y267" i="2" s="1"/>
  <c r="Y268" i="2" s="1"/>
  <c r="Y269" i="2" s="1"/>
  <c r="Y270" i="2" s="1"/>
  <c r="Y271" i="2" s="1"/>
  <c r="Y272" i="2" s="1"/>
  <c r="Y273" i="2" s="1"/>
  <c r="Y274" i="2" s="1"/>
  <c r="Y275" i="2" s="1"/>
  <c r="Y276" i="2" s="1"/>
  <c r="Y277" i="2" s="1"/>
  <c r="Y278" i="2" s="1"/>
  <c r="Y279" i="2" s="1"/>
  <c r="Y280" i="2" s="1"/>
  <c r="Y281" i="2" s="1"/>
  <c r="Y282" i="2" s="1"/>
  <c r="Y283" i="2" s="1"/>
  <c r="Y284" i="2" s="1"/>
  <c r="Y285" i="2" s="1"/>
  <c r="Y286" i="2" s="1"/>
  <c r="Y287" i="2" s="1"/>
  <c r="Y288" i="2" s="1"/>
  <c r="Y289" i="2" s="1"/>
  <c r="Y290" i="2" s="1"/>
  <c r="Y291" i="2" s="1"/>
  <c r="Y292" i="2" s="1"/>
  <c r="Y293" i="2" s="1"/>
  <c r="Y294" i="2" s="1"/>
  <c r="Y295" i="2" s="1"/>
  <c r="Y296" i="2" s="1"/>
  <c r="Y297" i="2" s="1"/>
  <c r="Y298" i="2" s="1"/>
  <c r="Y299" i="2" s="1"/>
  <c r="Y300" i="2" s="1"/>
  <c r="Y301" i="2" s="1"/>
  <c r="Y302" i="2" s="1"/>
  <c r="Y303" i="2" s="1"/>
  <c r="Y304" i="2" s="1"/>
  <c r="Y305" i="2" s="1"/>
  <c r="Y306" i="2" s="1"/>
  <c r="Y307" i="2" s="1"/>
  <c r="Y308" i="2" s="1"/>
  <c r="Y309" i="2" s="1"/>
  <c r="Y310" i="2" s="1"/>
  <c r="Y311" i="2" s="1"/>
  <c r="Y312" i="2" s="1"/>
  <c r="Y313" i="2" s="1"/>
  <c r="Y314" i="2" s="1"/>
  <c r="Y315" i="2" s="1"/>
  <c r="Y316" i="2" s="1"/>
  <c r="Y317" i="2" s="1"/>
  <c r="Y318" i="2" s="1"/>
  <c r="Y319" i="2" s="1"/>
  <c r="Y320" i="2" s="1"/>
  <c r="Y321" i="2" s="1"/>
  <c r="Y322" i="2" s="1"/>
  <c r="Y323" i="2" s="1"/>
  <c r="Y324" i="2" s="1"/>
  <c r="Y325" i="2" s="1"/>
  <c r="Y326" i="2" s="1"/>
  <c r="Y327" i="2" s="1"/>
  <c r="Y328" i="2" s="1"/>
  <c r="Y329" i="2" s="1"/>
  <c r="Y330" i="2" s="1"/>
  <c r="Y331" i="2" s="1"/>
  <c r="Y332" i="2" s="1"/>
  <c r="Y333" i="2" s="1"/>
  <c r="Y334" i="2" s="1"/>
  <c r="Y335" i="2" s="1"/>
  <c r="Y336" i="2" s="1"/>
  <c r="Y337" i="2" s="1"/>
  <c r="Y338" i="2" s="1"/>
  <c r="Y339" i="2" s="1"/>
  <c r="Y340" i="2" s="1"/>
  <c r="Y341" i="2" s="1"/>
  <c r="Y342" i="2" s="1"/>
  <c r="Y343" i="2" s="1"/>
  <c r="Y344" i="2" s="1"/>
  <c r="Y345" i="2" s="1"/>
  <c r="Y346" i="2" s="1"/>
  <c r="Y347" i="2" s="1"/>
  <c r="Y348" i="2" s="1"/>
  <c r="Y349" i="2" s="1"/>
  <c r="Y350" i="2" s="1"/>
  <c r="Y351" i="2" s="1"/>
  <c r="Y352" i="2" s="1"/>
  <c r="Y353" i="2" s="1"/>
  <c r="Y354" i="2" s="1"/>
  <c r="Y355" i="2" s="1"/>
  <c r="Y356" i="2" s="1"/>
  <c r="Y357" i="2" s="1"/>
  <c r="T37" i="2"/>
  <c r="S37" i="2"/>
  <c r="O37" i="2"/>
  <c r="J37" i="2"/>
  <c r="J38" i="2" s="1"/>
  <c r="J39" i="2" s="1"/>
  <c r="J40" i="2" s="1"/>
  <c r="J41" i="2" s="1"/>
  <c r="J42" i="2" s="1"/>
  <c r="J43" i="2" s="1"/>
  <c r="J44" i="2" s="1"/>
  <c r="J45" i="2" s="1"/>
  <c r="J46" i="2" s="1"/>
  <c r="J47" i="2" s="1"/>
  <c r="J48" i="2" s="1"/>
  <c r="J49" i="2" s="1"/>
  <c r="J50" i="2" s="1"/>
  <c r="J51" i="2" s="1"/>
  <c r="J52" i="2" s="1"/>
  <c r="J53" i="2" s="1"/>
  <c r="J54" i="2" s="1"/>
  <c r="J55" i="2" s="1"/>
  <c r="J56" i="2" s="1"/>
  <c r="J57" i="2" s="1"/>
  <c r="J58" i="2" s="1"/>
  <c r="J59" i="2" s="1"/>
  <c r="J60" i="2" s="1"/>
  <c r="J61" i="2" s="1"/>
  <c r="J62" i="2" s="1"/>
  <c r="J63" i="2" s="1"/>
  <c r="J64" i="2" s="1"/>
  <c r="J65" i="2" s="1"/>
  <c r="J66" i="2" s="1"/>
  <c r="J67" i="2" s="1"/>
  <c r="J68" i="2" s="1"/>
  <c r="J69" i="2" s="1"/>
  <c r="J70" i="2" s="1"/>
  <c r="J71" i="2" s="1"/>
  <c r="J72" i="2" s="1"/>
  <c r="J73" i="2" s="1"/>
  <c r="J74" i="2" s="1"/>
  <c r="J75" i="2" s="1"/>
  <c r="J76" i="2" s="1"/>
  <c r="J77" i="2" s="1"/>
  <c r="J78" i="2" s="1"/>
  <c r="J79" i="2" s="1"/>
  <c r="J80" i="2" s="1"/>
  <c r="J81" i="2" s="1"/>
  <c r="J82" i="2" s="1"/>
  <c r="J83" i="2" s="1"/>
  <c r="J84" i="2" s="1"/>
  <c r="J85" i="2" s="1"/>
  <c r="J86" i="2" s="1"/>
  <c r="J87" i="2" s="1"/>
  <c r="J88" i="2" s="1"/>
  <c r="J89" i="2" s="1"/>
  <c r="J90" i="2" s="1"/>
  <c r="J91" i="2" s="1"/>
  <c r="J92" i="2" s="1"/>
  <c r="J93" i="2" s="1"/>
  <c r="J94" i="2" s="1"/>
  <c r="J95" i="2" s="1"/>
  <c r="J96" i="2" s="1"/>
  <c r="J97" i="2" s="1"/>
  <c r="J98" i="2" s="1"/>
  <c r="J99" i="2" s="1"/>
  <c r="J100" i="2" s="1"/>
  <c r="J101" i="2" s="1"/>
  <c r="J102" i="2" s="1"/>
  <c r="J103" i="2" s="1"/>
  <c r="J104" i="2" s="1"/>
  <c r="J105" i="2" s="1"/>
  <c r="J106" i="2" s="1"/>
  <c r="J107" i="2" s="1"/>
  <c r="J108" i="2" s="1"/>
  <c r="J109" i="2" s="1"/>
  <c r="J110" i="2" s="1"/>
  <c r="J111" i="2" s="1"/>
  <c r="J112" i="2" s="1"/>
  <c r="J113" i="2" s="1"/>
  <c r="J114" i="2" s="1"/>
  <c r="J115" i="2" s="1"/>
  <c r="J116" i="2" s="1"/>
  <c r="J117" i="2" s="1"/>
  <c r="J118" i="2" s="1"/>
  <c r="J119" i="2" s="1"/>
  <c r="J120" i="2" s="1"/>
  <c r="J121" i="2" s="1"/>
  <c r="J122" i="2" s="1"/>
  <c r="J123" i="2" s="1"/>
  <c r="J124" i="2" s="1"/>
  <c r="Y36" i="2"/>
  <c r="S36" i="2"/>
  <c r="T36" i="2" s="1"/>
  <c r="O36" i="2"/>
  <c r="J36" i="2"/>
  <c r="Y35" i="2"/>
  <c r="T35" i="2"/>
  <c r="S35" i="2"/>
  <c r="O35" i="2"/>
  <c r="J35" i="2"/>
  <c r="O33" i="2"/>
  <c r="O32" i="2"/>
  <c r="O31" i="2"/>
  <c r="O30" i="2"/>
  <c r="O29" i="2"/>
  <c r="O28" i="2"/>
  <c r="O27" i="2"/>
  <c r="O26" i="2"/>
  <c r="O25" i="2"/>
  <c r="O24" i="2"/>
  <c r="O23" i="2"/>
  <c r="O22" i="2"/>
  <c r="O21" i="2"/>
  <c r="O20" i="2"/>
  <c r="O19" i="2"/>
  <c r="O18" i="2"/>
  <c r="O17" i="2"/>
  <c r="O16" i="2"/>
  <c r="O15" i="2"/>
  <c r="O14" i="2"/>
  <c r="O13" i="2"/>
  <c r="O12" i="2"/>
  <c r="O11" i="2"/>
  <c r="O10" i="2"/>
  <c r="O9" i="2"/>
  <c r="O8" i="2"/>
  <c r="P7" i="2"/>
  <c r="O7" i="2"/>
  <c r="O6" i="2"/>
  <c r="P5" i="2"/>
  <c r="O5" i="2"/>
  <c r="O4" i="2"/>
  <c r="O3" i="2"/>
  <c r="V323" i="1"/>
  <c r="V307" i="1"/>
  <c r="V281" i="1"/>
  <c r="V260" i="1"/>
  <c r="V196" i="1"/>
  <c r="V135" i="1"/>
  <c r="V46" i="1"/>
  <c r="Z296" i="2" l="1"/>
  <c r="Z297" i="2" s="1"/>
  <c r="Z298" i="2" s="1"/>
  <c r="Z299" i="2" s="1"/>
  <c r="Z300" i="2" s="1"/>
  <c r="Z301" i="2" s="1"/>
  <c r="Z302" i="2" s="1"/>
  <c r="Z303" i="2" s="1"/>
  <c r="Z304" i="2" s="1"/>
  <c r="Z305" i="2" s="1"/>
  <c r="Z306" i="2" s="1"/>
  <c r="Z307" i="2" s="1"/>
  <c r="Z308" i="2" s="1"/>
  <c r="Z309" i="2" s="1"/>
  <c r="Z310" i="2" s="1"/>
  <c r="Z312" i="2" s="1"/>
  <c r="Z313" i="2" s="1"/>
  <c r="Z314" i="2" s="1"/>
  <c r="Z315" i="2" s="1"/>
  <c r="Z316" i="2" s="1"/>
  <c r="Z317" i="2" s="1"/>
  <c r="Z318" i="2" s="1"/>
  <c r="Z319" i="2" s="1"/>
  <c r="Z320" i="2" s="1"/>
  <c r="Z321" i="2" s="1"/>
  <c r="Z322" i="2" s="1"/>
  <c r="Z323" i="2" s="1"/>
  <c r="Z324" i="2" s="1"/>
  <c r="Z325" i="2" s="1"/>
  <c r="Z326" i="2" s="1"/>
  <c r="Z327" i="2" s="1"/>
  <c r="Z328" i="2" s="1"/>
  <c r="Z329" i="2" s="1"/>
  <c r="Z330" i="2" s="1"/>
  <c r="Z331" i="2" s="1"/>
  <c r="Z332" i="2" s="1"/>
  <c r="Z333" i="2" s="1"/>
  <c r="Z334" i="2" s="1"/>
  <c r="Z335" i="2" s="1"/>
  <c r="Z336" i="2" s="1"/>
  <c r="Z337" i="2" s="1"/>
  <c r="Z338" i="2" s="1"/>
  <c r="Z339" i="2" s="1"/>
  <c r="Z340" i="2" s="1"/>
  <c r="Z341" i="2" s="1"/>
  <c r="Z342" i="2" s="1"/>
  <c r="Z343" i="2" s="1"/>
  <c r="Z344" i="2" s="1"/>
  <c r="Z345" i="2" s="1"/>
  <c r="Z346" i="2" s="1"/>
  <c r="Z347" i="2" s="1"/>
  <c r="Z348" i="2" s="1"/>
  <c r="Z349" i="2" s="1"/>
  <c r="Z350" i="2" s="1"/>
  <c r="Z351" i="2" s="1"/>
  <c r="Z352" i="2" s="1"/>
  <c r="Z353" i="2" s="1"/>
  <c r="Z354" i="2" s="1"/>
  <c r="Z355" i="2" s="1"/>
  <c r="Z356" i="2" s="1"/>
  <c r="Z357" i="2" s="1"/>
  <c r="K269" i="2"/>
  <c r="K270" i="2" s="1"/>
  <c r="K271" i="2" s="1"/>
  <c r="K272" i="2" s="1"/>
  <c r="K273" i="2" s="1"/>
  <c r="K274" i="2" s="1"/>
  <c r="K275" i="2" s="1"/>
  <c r="K276" i="2" s="1"/>
  <c r="K277" i="2" s="1"/>
  <c r="K278" i="2" s="1"/>
  <c r="K279" i="2" s="1"/>
  <c r="K280" i="2" s="1"/>
  <c r="K281" i="2" s="1"/>
  <c r="K282" i="2" s="1"/>
  <c r="K283" i="2" s="1"/>
  <c r="K284" i="2" s="1"/>
  <c r="K285" i="2" s="1"/>
  <c r="K286" i="2" s="1"/>
  <c r="K287" i="2" s="1"/>
  <c r="K288" i="2" s="1"/>
  <c r="K289" i="2" s="1"/>
  <c r="K290" i="2" s="1"/>
  <c r="K291" i="2" s="1"/>
  <c r="K292" i="2" s="1"/>
  <c r="K293" i="2" s="1"/>
  <c r="K294" i="2" s="1"/>
  <c r="K296" i="2" s="1"/>
  <c r="K297" i="2" s="1"/>
  <c r="K298" i="2" s="1"/>
  <c r="K299" i="2" s="1"/>
  <c r="K300" i="2" s="1"/>
  <c r="K301" i="2" s="1"/>
  <c r="K302" i="2" s="1"/>
  <c r="K303" i="2" s="1"/>
  <c r="K304" i="2" s="1"/>
  <c r="K305" i="2" s="1"/>
  <c r="K306" i="2" s="1"/>
  <c r="K307" i="2" s="1"/>
  <c r="K308" i="2" s="1"/>
  <c r="K309" i="2" s="1"/>
  <c r="K310" i="2" s="1"/>
  <c r="K312" i="2" s="1"/>
  <c r="K313" i="2" s="1"/>
  <c r="K314" i="2" s="1"/>
  <c r="K315" i="2" s="1"/>
  <c r="K316" i="2" s="1"/>
  <c r="K317" i="2" s="1"/>
  <c r="K318" i="2" s="1"/>
  <c r="K319" i="2" s="1"/>
  <c r="K320" i="2" s="1"/>
  <c r="K321" i="2" s="1"/>
  <c r="K322" i="2" s="1"/>
  <c r="K323" i="2" s="1"/>
  <c r="K324" i="2" s="1"/>
  <c r="K325" i="2" s="1"/>
  <c r="K326" i="2" s="1"/>
  <c r="K327" i="2" s="1"/>
  <c r="K328" i="2" s="1"/>
  <c r="K329" i="2" s="1"/>
  <c r="K330" i="2" s="1"/>
  <c r="K331" i="2" s="1"/>
  <c r="K332" i="2" s="1"/>
  <c r="K333" i="2" s="1"/>
  <c r="K334" i="2" s="1"/>
  <c r="K335" i="2" s="1"/>
  <c r="K336" i="2" s="1"/>
  <c r="K337" i="2" s="1"/>
  <c r="K338" i="2" s="1"/>
  <c r="K339" i="2" s="1"/>
  <c r="K340" i="2" s="1"/>
  <c r="K341" i="2" s="1"/>
  <c r="K342" i="2" s="1"/>
  <c r="K343" i="2" s="1"/>
  <c r="K344" i="2" s="1"/>
  <c r="K345" i="2" s="1"/>
  <c r="K346" i="2" s="1"/>
  <c r="K347" i="2" s="1"/>
  <c r="K348" i="2" s="1"/>
  <c r="K349" i="2" s="1"/>
  <c r="K350" i="2" s="1"/>
  <c r="K351" i="2" s="1"/>
  <c r="K352" i="2" s="1"/>
  <c r="K353" i="2" s="1"/>
  <c r="K354" i="2" s="1"/>
  <c r="K355" i="2" s="1"/>
  <c r="K356" i="2" s="1"/>
  <c r="K357" i="2" s="1"/>
  <c r="Z248" i="2"/>
  <c r="U42" i="2"/>
  <c r="U43" i="2" s="1"/>
  <c r="U44" i="2" s="1"/>
  <c r="U45" i="2" s="1"/>
  <c r="U46" i="2" s="1"/>
  <c r="U50" i="2"/>
  <c r="U51" i="2" s="1"/>
  <c r="U52" i="2" s="1"/>
  <c r="U53" i="2" s="1"/>
  <c r="U54" i="2" s="1"/>
  <c r="U55" i="2" s="1"/>
  <c r="U56" i="2" s="1"/>
  <c r="U57" i="2" s="1"/>
  <c r="U58" i="2" s="1"/>
  <c r="U59" i="2" s="1"/>
  <c r="U60" i="2" s="1"/>
  <c r="U61" i="2" s="1"/>
  <c r="U62" i="2" s="1"/>
  <c r="U63" i="2" s="1"/>
  <c r="U64" i="2" s="1"/>
  <c r="U65" i="2" s="1"/>
  <c r="U66" i="2" s="1"/>
  <c r="U67" i="2" s="1"/>
  <c r="U68" i="2" s="1"/>
  <c r="U69" i="2" s="1"/>
  <c r="U70" i="2" s="1"/>
  <c r="U71" i="2" s="1"/>
  <c r="U72" i="2" s="1"/>
  <c r="U73" i="2" s="1"/>
  <c r="U74" i="2" s="1"/>
  <c r="U75" i="2" s="1"/>
  <c r="U76" i="2" s="1"/>
  <c r="U77" i="2" s="1"/>
  <c r="U78" i="2" s="1"/>
  <c r="U79" i="2" s="1"/>
  <c r="U80" i="2" s="1"/>
  <c r="U81" i="2" s="1"/>
  <c r="U82" i="2" s="1"/>
  <c r="U83" i="2" s="1"/>
  <c r="U84" i="2" s="1"/>
  <c r="U85" i="2" s="1"/>
  <c r="U86" i="2" s="1"/>
  <c r="U87" i="2" s="1"/>
  <c r="U88" i="2" s="1"/>
  <c r="U89" i="2" s="1"/>
  <c r="U90" i="2" s="1"/>
  <c r="U91" i="2" s="1"/>
  <c r="U92" i="2" s="1"/>
  <c r="U93" i="2" s="1"/>
  <c r="U94" i="2" s="1"/>
  <c r="U95" i="2" s="1"/>
  <c r="U96" i="2" s="1"/>
  <c r="U97" i="2" s="1"/>
  <c r="U98" i="2" s="1"/>
  <c r="U99" i="2" s="1"/>
  <c r="U100" i="2" s="1"/>
  <c r="U101" i="2" s="1"/>
  <c r="U102" i="2" s="1"/>
  <c r="U103" i="2" s="1"/>
  <c r="U104" i="2" s="1"/>
  <c r="U105" i="2" s="1"/>
  <c r="U106" i="2" s="1"/>
  <c r="U107" i="2" s="1"/>
  <c r="U108" i="2" s="1"/>
  <c r="U109" i="2" s="1"/>
  <c r="U110" i="2" s="1"/>
  <c r="U111" i="2" s="1"/>
  <c r="U112" i="2" s="1"/>
  <c r="U113" i="2" s="1"/>
  <c r="U114" i="2" s="1"/>
  <c r="U115" i="2" s="1"/>
  <c r="U116" i="2" s="1"/>
  <c r="U117" i="2" s="1"/>
  <c r="U118" i="2" s="1"/>
  <c r="U119" i="2" s="1"/>
  <c r="U120" i="2" s="1"/>
  <c r="U121" i="2" s="1"/>
  <c r="U122" i="2" s="1"/>
  <c r="U123" i="2" s="1"/>
  <c r="U124" i="2" s="1"/>
  <c r="P80" i="2"/>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P132" i="2" s="1"/>
  <c r="P133" i="2" s="1"/>
  <c r="P134" i="2" s="1"/>
  <c r="P135" i="2" s="1"/>
  <c r="P136" i="2" s="1"/>
  <c r="P137" i="2" s="1"/>
  <c r="P138" i="2" s="1"/>
  <c r="P139" i="2" s="1"/>
  <c r="P140" i="2" s="1"/>
  <c r="P141" i="2" s="1"/>
  <c r="P142" i="2" s="1"/>
  <c r="P143" i="2" s="1"/>
  <c r="P144" i="2" s="1"/>
  <c r="P145" i="2" s="1"/>
  <c r="P146" i="2" s="1"/>
  <c r="P147" i="2" s="1"/>
  <c r="P148" i="2" s="1"/>
  <c r="P149" i="2" s="1"/>
  <c r="P150" i="2" s="1"/>
  <c r="P151" i="2" s="1"/>
  <c r="P152" i="2" s="1"/>
  <c r="P153" i="2" s="1"/>
  <c r="P154" i="2" s="1"/>
  <c r="P155" i="2" s="1"/>
  <c r="P156" i="2" s="1"/>
  <c r="P157" i="2" s="1"/>
  <c r="P158" i="2" s="1"/>
  <c r="P159" i="2" s="1"/>
  <c r="P160" i="2" s="1"/>
  <c r="P161" i="2" s="1"/>
  <c r="P162" i="2" s="1"/>
  <c r="P163" i="2" s="1"/>
  <c r="P164" i="2" s="1"/>
  <c r="P165" i="2" s="1"/>
  <c r="P166" i="2" s="1"/>
  <c r="P167" i="2" s="1"/>
  <c r="P168" i="2" s="1"/>
  <c r="P169" i="2" s="1"/>
  <c r="P170" i="2" s="1"/>
  <c r="P171" i="2" s="1"/>
  <c r="P172" i="2" s="1"/>
  <c r="P173" i="2" s="1"/>
  <c r="P174" i="2" s="1"/>
  <c r="P175" i="2" s="1"/>
  <c r="P176" i="2" s="1"/>
  <c r="P177" i="2" s="1"/>
  <c r="P178" i="2" s="1"/>
  <c r="P179" i="2" s="1"/>
  <c r="P180" i="2" s="1"/>
  <c r="P181" i="2" s="1"/>
  <c r="P182" i="2" s="1"/>
  <c r="P183" i="2" s="1"/>
  <c r="P184" i="2" s="1"/>
  <c r="P185" i="2" s="1"/>
  <c r="P186" i="2" s="1"/>
  <c r="P187" i="2" s="1"/>
  <c r="P188" i="2" s="1"/>
  <c r="P189" i="2" s="1"/>
  <c r="P190" i="2" s="1"/>
  <c r="P191" i="2" s="1"/>
  <c r="P192" i="2" s="1"/>
  <c r="P193" i="2" s="1"/>
  <c r="P194" i="2" s="1"/>
  <c r="P195" i="2" s="1"/>
  <c r="P196" i="2" s="1"/>
  <c r="P197" i="2" s="1"/>
  <c r="P198" i="2" s="1"/>
  <c r="P199" i="2" s="1"/>
  <c r="P200" i="2" s="1"/>
  <c r="P201" i="2" s="1"/>
  <c r="P202" i="2" s="1"/>
  <c r="P203" i="2" s="1"/>
  <c r="P204" i="2" s="1"/>
  <c r="P205" i="2" s="1"/>
  <c r="P206" i="2" s="1"/>
  <c r="P207" i="2" s="1"/>
  <c r="P208" i="2" s="1"/>
  <c r="P209" i="2" s="1"/>
  <c r="P210" i="2" s="1"/>
  <c r="P211" i="2" s="1"/>
  <c r="P212" i="2" s="1"/>
  <c r="P213" i="2" s="1"/>
  <c r="P214" i="2" s="1"/>
  <c r="P215" i="2" s="1"/>
  <c r="P216" i="2" s="1"/>
  <c r="P217" i="2" s="1"/>
  <c r="P218" i="2" s="1"/>
  <c r="P219" i="2" s="1"/>
  <c r="P220" i="2" s="1"/>
  <c r="P221" i="2" s="1"/>
  <c r="P222" i="2" s="1"/>
  <c r="P223" i="2" s="1"/>
  <c r="P224" i="2" s="1"/>
  <c r="P225" i="2" s="1"/>
  <c r="P226" i="2" s="1"/>
  <c r="P227" i="2" s="1"/>
  <c r="P228" i="2" s="1"/>
  <c r="P229" i="2" s="1"/>
  <c r="P230" i="2" s="1"/>
  <c r="P231" i="2" s="1"/>
  <c r="P232" i="2" s="1"/>
  <c r="P233" i="2" s="1"/>
  <c r="P234" i="2" s="1"/>
  <c r="P235" i="2" s="1"/>
  <c r="P236" i="2" s="1"/>
  <c r="P237" i="2" s="1"/>
  <c r="P238" i="2" s="1"/>
  <c r="P239" i="2" s="1"/>
  <c r="P240" i="2" s="1"/>
  <c r="P241" i="2" s="1"/>
  <c r="P242" i="2" s="1"/>
  <c r="P243" i="2" s="1"/>
  <c r="P244" i="2" s="1"/>
  <c r="P245" i="2" s="1"/>
  <c r="P246" i="2" s="1"/>
  <c r="P247" i="2" s="1"/>
  <c r="P248" i="2" s="1"/>
  <c r="P249" i="2" s="1"/>
  <c r="P250" i="2" s="1"/>
  <c r="P251" i="2" s="1"/>
  <c r="P252" i="2" s="1"/>
  <c r="P253" i="2" s="1"/>
  <c r="P254" i="2" s="1"/>
  <c r="P255" i="2" s="1"/>
  <c r="P256" i="2" s="1"/>
  <c r="P257" i="2" s="1"/>
  <c r="P258" i="2" s="1"/>
  <c r="P259" i="2" s="1"/>
  <c r="P260" i="2" s="1"/>
  <c r="P261" i="2" s="1"/>
  <c r="P262" i="2" s="1"/>
  <c r="P263" i="2" s="1"/>
  <c r="P264" i="2" s="1"/>
  <c r="P265" i="2" s="1"/>
  <c r="P266" i="2" s="1"/>
  <c r="P267" i="2" s="1"/>
  <c r="P268" i="2" s="1"/>
  <c r="P269" i="2" s="1"/>
  <c r="P270" i="2" s="1"/>
  <c r="P271" i="2" s="1"/>
  <c r="P272" i="2" s="1"/>
  <c r="P273" i="2" s="1"/>
  <c r="P274" i="2" s="1"/>
  <c r="P275" i="2" s="1"/>
  <c r="P276" i="2" s="1"/>
  <c r="P277" i="2" s="1"/>
  <c r="P278" i="2" s="1"/>
  <c r="P279" i="2" s="1"/>
  <c r="P280" i="2" s="1"/>
  <c r="P281" i="2" s="1"/>
  <c r="P282" i="2" s="1"/>
  <c r="P283" i="2" s="1"/>
  <c r="P284" i="2" s="1"/>
  <c r="P285" i="2" s="1"/>
  <c r="P286" i="2" s="1"/>
  <c r="P287" i="2" s="1"/>
  <c r="P288" i="2" s="1"/>
  <c r="P289" i="2" s="1"/>
  <c r="P290" i="2" s="1"/>
  <c r="P291" i="2" s="1"/>
  <c r="P292" i="2" s="1"/>
  <c r="P293" i="2" s="1"/>
  <c r="P294" i="2" s="1"/>
  <c r="P295" i="2" s="1"/>
  <c r="P296" i="2" s="1"/>
  <c r="P297" i="2" s="1"/>
  <c r="P298" i="2" s="1"/>
  <c r="P299" i="2" s="1"/>
  <c r="P300" i="2" s="1"/>
  <c r="P301" i="2" s="1"/>
  <c r="P302" i="2" s="1"/>
  <c r="P303" i="2" s="1"/>
  <c r="P304" i="2" s="1"/>
  <c r="P305" i="2" s="1"/>
  <c r="P306" i="2" s="1"/>
  <c r="P307" i="2" s="1"/>
  <c r="P308" i="2" s="1"/>
  <c r="P309" i="2" s="1"/>
  <c r="P310" i="2" s="1"/>
  <c r="P311" i="2" s="1"/>
  <c r="P312" i="2" s="1"/>
  <c r="P313" i="2" s="1"/>
  <c r="P314" i="2" s="1"/>
  <c r="P315" i="2" s="1"/>
  <c r="P316" i="2" s="1"/>
  <c r="P317" i="2" s="1"/>
  <c r="P318" i="2" s="1"/>
  <c r="P319" i="2" s="1"/>
  <c r="P320" i="2" s="1"/>
  <c r="P321" i="2" s="1"/>
  <c r="V321" i="1"/>
  <c r="V319" i="1"/>
  <c r="V305" i="1"/>
  <c r="V303" i="1"/>
  <c r="V301" i="1"/>
  <c r="V279" i="1"/>
  <c r="V277" i="1"/>
  <c r="V275" i="1"/>
  <c r="V258" i="1"/>
  <c r="V256" i="1"/>
  <c r="V254" i="1"/>
  <c r="V194" i="1"/>
  <c r="V192" i="1"/>
  <c r="V190" i="1"/>
  <c r="V133" i="1"/>
  <c r="V131" i="1"/>
  <c r="V129" i="1"/>
  <c r="V44" i="1"/>
  <c r="V42" i="1"/>
  <c r="U39" i="1"/>
  <c r="U40" i="1" s="1"/>
  <c r="U41" i="1" s="1"/>
  <c r="U42" i="1" s="1"/>
  <c r="U43" i="1" s="1"/>
  <c r="U44" i="1" s="1"/>
  <c r="U45" i="1" s="1"/>
  <c r="U46" i="1" s="1"/>
  <c r="U49" i="1"/>
  <c r="U50" i="1" s="1"/>
  <c r="U51" i="1" s="1"/>
  <c r="U52" i="1" s="1"/>
  <c r="U53" i="1" s="1"/>
  <c r="U54" i="1" s="1"/>
  <c r="U55" i="1" s="1"/>
  <c r="U56" i="1" s="1"/>
  <c r="U57" i="1" s="1"/>
  <c r="U58" i="1" s="1"/>
  <c r="U59" i="1" s="1"/>
  <c r="U60" i="1" s="1"/>
  <c r="U61" i="1" s="1"/>
  <c r="U62" i="1" s="1"/>
  <c r="U63" i="1" s="1"/>
  <c r="U64" i="1" s="1"/>
  <c r="U65" i="1" s="1"/>
  <c r="U66" i="1" s="1"/>
  <c r="U67" i="1" s="1"/>
  <c r="U68" i="1" s="1"/>
  <c r="U69" i="1" s="1"/>
  <c r="U70" i="1" s="1"/>
  <c r="U71" i="1" s="1"/>
  <c r="U72" i="1" s="1"/>
  <c r="U73" i="1" s="1"/>
  <c r="U74" i="1" s="1"/>
  <c r="U75" i="1" s="1"/>
  <c r="U76" i="1" s="1"/>
  <c r="U77" i="1" s="1"/>
  <c r="U78" i="1" s="1"/>
  <c r="U79" i="1" s="1"/>
  <c r="U80" i="1" s="1"/>
  <c r="U81" i="1" s="1"/>
  <c r="U82" i="1" s="1"/>
  <c r="U83" i="1" s="1"/>
  <c r="U84" i="1" s="1"/>
  <c r="U85" i="1" s="1"/>
  <c r="U86" i="1" s="1"/>
  <c r="U87" i="1" s="1"/>
  <c r="U88" i="1" s="1"/>
  <c r="U89" i="1" s="1"/>
  <c r="U90" i="1" s="1"/>
  <c r="U91" i="1" s="1"/>
  <c r="U92" i="1" s="1"/>
  <c r="U93" i="1" s="1"/>
  <c r="U94" i="1" s="1"/>
  <c r="U95" i="1" s="1"/>
  <c r="U96" i="1" s="1"/>
  <c r="U97" i="1" s="1"/>
  <c r="U98" i="1" s="1"/>
  <c r="U99" i="1" s="1"/>
  <c r="U100" i="1" s="1"/>
  <c r="U101" i="1" s="1"/>
  <c r="U102" i="1" s="1"/>
  <c r="U103" i="1" s="1"/>
  <c r="U104" i="1" s="1"/>
  <c r="U105" i="1" s="1"/>
  <c r="U106" i="1" s="1"/>
  <c r="U107" i="1" s="1"/>
  <c r="U108" i="1" s="1"/>
  <c r="U109" i="1" s="1"/>
  <c r="U110" i="1" s="1"/>
  <c r="U111" i="1" s="1"/>
  <c r="U112" i="1" s="1"/>
  <c r="U113" i="1" s="1"/>
  <c r="U114" i="1" s="1"/>
  <c r="U115" i="1" s="1"/>
  <c r="U116" i="1" s="1"/>
  <c r="U117" i="1" s="1"/>
  <c r="U118" i="1" s="1"/>
  <c r="U119" i="1" s="1"/>
  <c r="U120" i="1" s="1"/>
  <c r="U121" i="1" s="1"/>
  <c r="U122" i="1" s="1"/>
  <c r="U123" i="1" s="1"/>
  <c r="U124" i="1" s="1"/>
  <c r="U125" i="1" s="1"/>
  <c r="U126" i="1" s="1"/>
  <c r="U127" i="1" s="1"/>
  <c r="U128" i="1" s="1"/>
  <c r="U129" i="1" s="1"/>
  <c r="U130" i="1" s="1"/>
  <c r="U131" i="1" s="1"/>
  <c r="U132" i="1" s="1"/>
  <c r="U133" i="1" s="1"/>
  <c r="U134" i="1" s="1"/>
  <c r="U135" i="1" s="1"/>
  <c r="U136" i="1" s="1"/>
  <c r="U137" i="1" s="1"/>
  <c r="U138" i="1" s="1"/>
  <c r="U139" i="1" s="1"/>
  <c r="U140" i="1" s="1"/>
  <c r="U141" i="1" s="1"/>
  <c r="U142" i="1" s="1"/>
  <c r="U143" i="1" s="1"/>
  <c r="U144" i="1" s="1"/>
  <c r="U145" i="1" s="1"/>
  <c r="U146" i="1" s="1"/>
  <c r="U147" i="1" s="1"/>
  <c r="U148" i="1" s="1"/>
  <c r="U149" i="1" s="1"/>
  <c r="U150" i="1" s="1"/>
  <c r="U151" i="1" s="1"/>
  <c r="U152" i="1" s="1"/>
  <c r="U153" i="1" s="1"/>
  <c r="U154" i="1" s="1"/>
  <c r="U155" i="1" s="1"/>
  <c r="U156" i="1" s="1"/>
  <c r="U157" i="1" s="1"/>
  <c r="U158" i="1" s="1"/>
  <c r="U159" i="1" s="1"/>
  <c r="U160" i="1" s="1"/>
  <c r="U161" i="1" s="1"/>
  <c r="U162" i="1" s="1"/>
  <c r="U163" i="1" s="1"/>
  <c r="U164" i="1" s="1"/>
  <c r="U165" i="1" s="1"/>
  <c r="U166" i="1" s="1"/>
  <c r="U167" i="1" s="1"/>
  <c r="U168" i="1" s="1"/>
  <c r="U169" i="1" s="1"/>
  <c r="U170" i="1" s="1"/>
  <c r="U171" i="1" s="1"/>
  <c r="U172" i="1" s="1"/>
  <c r="U173" i="1" s="1"/>
  <c r="U174" i="1" s="1"/>
  <c r="U175" i="1" s="1"/>
  <c r="U176" i="1" s="1"/>
  <c r="U177" i="1" s="1"/>
  <c r="U178" i="1" s="1"/>
  <c r="U179" i="1" s="1"/>
  <c r="U180" i="1" s="1"/>
  <c r="U181" i="1" s="1"/>
  <c r="U182" i="1" s="1"/>
  <c r="U183" i="1" s="1"/>
  <c r="U184" i="1" s="1"/>
  <c r="U185" i="1" s="1"/>
  <c r="U186" i="1" s="1"/>
  <c r="U187" i="1" s="1"/>
  <c r="U188" i="1" s="1"/>
  <c r="U189" i="1" s="1"/>
  <c r="U190" i="1" s="1"/>
  <c r="U191" i="1" s="1"/>
  <c r="U192" i="1" s="1"/>
  <c r="U193" i="1" s="1"/>
  <c r="U194" i="1" s="1"/>
  <c r="U195" i="1" s="1"/>
  <c r="U196" i="1" s="1"/>
  <c r="U197" i="1" s="1"/>
  <c r="U198" i="1" s="1"/>
  <c r="U199" i="1" s="1"/>
  <c r="U200" i="1" s="1"/>
  <c r="U201" i="1" s="1"/>
  <c r="U202" i="1" s="1"/>
  <c r="U203" i="1" s="1"/>
  <c r="U204" i="1" s="1"/>
  <c r="U205" i="1" s="1"/>
  <c r="U206" i="1" s="1"/>
  <c r="U207" i="1" s="1"/>
  <c r="U208" i="1" s="1"/>
  <c r="U209" i="1" s="1"/>
  <c r="U210" i="1" s="1"/>
  <c r="U211" i="1" s="1"/>
  <c r="U212" i="1" s="1"/>
  <c r="U213" i="1" s="1"/>
  <c r="U214" i="1" s="1"/>
  <c r="U215" i="1" s="1"/>
  <c r="U216" i="1" s="1"/>
  <c r="U217" i="1" s="1"/>
  <c r="U218" i="1" s="1"/>
  <c r="U219" i="1" s="1"/>
  <c r="U220" i="1" s="1"/>
  <c r="U221" i="1" s="1"/>
  <c r="U222" i="1" s="1"/>
  <c r="U223" i="1" s="1"/>
  <c r="U224" i="1" s="1"/>
  <c r="U225" i="1" s="1"/>
  <c r="U226" i="1" s="1"/>
  <c r="U227" i="1" s="1"/>
  <c r="U228" i="1" s="1"/>
  <c r="U229" i="1" s="1"/>
  <c r="U230" i="1" s="1"/>
  <c r="U231" i="1" s="1"/>
  <c r="U232" i="1" s="1"/>
  <c r="U233" i="1" s="1"/>
  <c r="U234" i="1" s="1"/>
  <c r="U235" i="1" s="1"/>
  <c r="U236" i="1" s="1"/>
  <c r="U237" i="1" s="1"/>
  <c r="U238" i="1" s="1"/>
  <c r="U239" i="1" s="1"/>
  <c r="U240" i="1" s="1"/>
  <c r="U241" i="1" s="1"/>
  <c r="U242" i="1" s="1"/>
  <c r="U243" i="1" s="1"/>
  <c r="U244" i="1" s="1"/>
  <c r="U245" i="1" s="1"/>
  <c r="U246" i="1" s="1"/>
  <c r="U247" i="1" s="1"/>
  <c r="U248" i="1" s="1"/>
  <c r="U249" i="1" s="1"/>
  <c r="U250" i="1" s="1"/>
  <c r="U251" i="1" s="1"/>
  <c r="U252" i="1" s="1"/>
  <c r="U253" i="1" s="1"/>
  <c r="U254" i="1" s="1"/>
  <c r="U255" i="1" s="1"/>
  <c r="U256" i="1" s="1"/>
  <c r="U257" i="1" s="1"/>
  <c r="U258" i="1" s="1"/>
  <c r="U259" i="1" s="1"/>
  <c r="U260" i="1" s="1"/>
  <c r="U261" i="1" s="1"/>
  <c r="U262" i="1" s="1"/>
  <c r="U263" i="1" s="1"/>
  <c r="U264" i="1" s="1"/>
  <c r="U265" i="1" s="1"/>
  <c r="U266" i="1" s="1"/>
  <c r="U267" i="1" s="1"/>
  <c r="U268" i="1" s="1"/>
  <c r="U269" i="1" s="1"/>
  <c r="U270" i="1" s="1"/>
  <c r="U271" i="1" s="1"/>
  <c r="U272" i="1" s="1"/>
  <c r="U273" i="1" s="1"/>
  <c r="U274" i="1" s="1"/>
  <c r="U275" i="1" s="1"/>
  <c r="U276" i="1" s="1"/>
  <c r="U277" i="1" s="1"/>
  <c r="U278" i="1" s="1"/>
  <c r="U279" i="1" s="1"/>
  <c r="U280" i="1" s="1"/>
  <c r="U281" i="1" s="1"/>
  <c r="U282" i="1" s="1"/>
  <c r="U283" i="1" s="1"/>
  <c r="U284" i="1" s="1"/>
  <c r="U285" i="1" s="1"/>
  <c r="U286" i="1" s="1"/>
  <c r="U287" i="1" s="1"/>
  <c r="U288" i="1" s="1"/>
  <c r="U289" i="1" s="1"/>
  <c r="U290" i="1" s="1"/>
  <c r="U291" i="1" s="1"/>
  <c r="U292" i="1" s="1"/>
  <c r="U293" i="1" s="1"/>
  <c r="U294" i="1" s="1"/>
  <c r="U295" i="1" s="1"/>
  <c r="U296" i="1" s="1"/>
  <c r="U297" i="1" s="1"/>
  <c r="U298" i="1" s="1"/>
  <c r="U299" i="1" s="1"/>
  <c r="U300" i="1" s="1"/>
  <c r="U301" i="1" s="1"/>
  <c r="U302" i="1" s="1"/>
  <c r="U303" i="1" s="1"/>
  <c r="U304" i="1" s="1"/>
  <c r="U305" i="1" s="1"/>
  <c r="U306" i="1" s="1"/>
  <c r="U307" i="1" s="1"/>
  <c r="U308" i="1" s="1"/>
  <c r="U309" i="1" s="1"/>
  <c r="U310" i="1" s="1"/>
  <c r="U311" i="1" s="1"/>
  <c r="U312" i="1" s="1"/>
  <c r="U313" i="1" s="1"/>
  <c r="U314" i="1" s="1"/>
  <c r="U315" i="1" s="1"/>
  <c r="U316" i="1" s="1"/>
  <c r="U317" i="1" s="1"/>
  <c r="U318" i="1" s="1"/>
  <c r="U319" i="1" s="1"/>
  <c r="U335" i="1"/>
  <c r="U336" i="1"/>
  <c r="U337" i="1" s="1"/>
  <c r="U338" i="1" s="1"/>
  <c r="U339" i="1" s="1"/>
  <c r="U340" i="1" s="1"/>
  <c r="U341" i="1" s="1"/>
  <c r="U342" i="1" s="1"/>
  <c r="U343" i="1" s="1"/>
  <c r="U344" i="1" s="1"/>
  <c r="U345" i="1" s="1"/>
  <c r="U346" i="1" s="1"/>
  <c r="U347" i="1" s="1"/>
  <c r="U348" i="1" s="1"/>
  <c r="U349" i="1" s="1"/>
  <c r="U350" i="1" s="1"/>
  <c r="U351" i="1" s="1"/>
  <c r="U352" i="1" s="1"/>
  <c r="U353" i="1" s="1"/>
  <c r="U354" i="1" s="1"/>
  <c r="U355" i="1" s="1"/>
  <c r="U356" i="1" s="1"/>
  <c r="U357" i="1" s="1"/>
  <c r="V44" i="2" l="1"/>
  <c r="V46" i="2" s="1"/>
  <c r="U125" i="2"/>
  <c r="U126" i="2" s="1"/>
  <c r="U127" i="2" s="1"/>
  <c r="U128" i="2" s="1"/>
  <c r="U129" i="2" s="1"/>
  <c r="U130" i="2" s="1"/>
  <c r="U131" i="2" s="1"/>
  <c r="U132" i="2" s="1"/>
  <c r="U133" i="2" s="1"/>
  <c r="U134" i="2" s="1"/>
  <c r="U135" i="2" s="1"/>
  <c r="U136" i="2" s="1"/>
  <c r="U137" i="2" s="1"/>
  <c r="U138" i="2" s="1"/>
  <c r="U139" i="2" s="1"/>
  <c r="U140" i="2" s="1"/>
  <c r="U141" i="2" s="1"/>
  <c r="U142" i="2" s="1"/>
  <c r="U143" i="2" s="1"/>
  <c r="U144" i="2" s="1"/>
  <c r="U145" i="2" s="1"/>
  <c r="U146" i="2" s="1"/>
  <c r="U147" i="2" s="1"/>
  <c r="U148" i="2" s="1"/>
  <c r="U149" i="2" s="1"/>
  <c r="U150" i="2" s="1"/>
  <c r="U151" i="2" s="1"/>
  <c r="U152" i="2" s="1"/>
  <c r="U153" i="2" s="1"/>
  <c r="U154" i="2" s="1"/>
  <c r="U155" i="2" s="1"/>
  <c r="U156" i="2" s="1"/>
  <c r="U157" i="2" s="1"/>
  <c r="U158" i="2" s="1"/>
  <c r="U159" i="2" s="1"/>
  <c r="U160" i="2" s="1"/>
  <c r="U161" i="2" s="1"/>
  <c r="U162" i="2" s="1"/>
  <c r="U163" i="2" s="1"/>
  <c r="U164" i="2" s="1"/>
  <c r="U165" i="2" s="1"/>
  <c r="U166" i="2" s="1"/>
  <c r="U167" i="2" s="1"/>
  <c r="U168" i="2" s="1"/>
  <c r="U169" i="2" s="1"/>
  <c r="U170" i="2" s="1"/>
  <c r="U171" i="2" s="1"/>
  <c r="U172" i="2" s="1"/>
  <c r="U173" i="2" s="1"/>
  <c r="U174" i="2" s="1"/>
  <c r="U175" i="2" s="1"/>
  <c r="U176" i="2" s="1"/>
  <c r="U177" i="2" s="1"/>
  <c r="U178" i="2" s="1"/>
  <c r="U179" i="2" s="1"/>
  <c r="U180" i="2" s="1"/>
  <c r="U181" i="2" s="1"/>
  <c r="U182" i="2" s="1"/>
  <c r="U183" i="2" s="1"/>
  <c r="U184" i="2" s="1"/>
  <c r="U185" i="2" s="1"/>
  <c r="V42" i="2"/>
  <c r="AB315" i="1"/>
  <c r="AB299" i="1"/>
  <c r="AB273" i="1"/>
  <c r="AB252" i="1"/>
  <c r="AB188" i="1"/>
  <c r="AB127" i="1"/>
  <c r="AB38" i="1"/>
  <c r="Z332" i="1"/>
  <c r="Z312" i="1"/>
  <c r="Z296" i="1"/>
  <c r="Z270" i="1"/>
  <c r="Z249" i="1"/>
  <c r="Z185" i="1"/>
  <c r="Z126" i="1"/>
  <c r="Z127" i="1"/>
  <c r="Z128" i="1" s="1"/>
  <c r="Z129" i="1" s="1"/>
  <c r="Z130" i="1" s="1"/>
  <c r="Z131" i="1" s="1"/>
  <c r="Z132" i="1" s="1"/>
  <c r="Z133" i="1" s="1"/>
  <c r="Z134" i="1" s="1"/>
  <c r="Z135" i="1" s="1"/>
  <c r="Z136" i="1" s="1"/>
  <c r="Z137" i="1" s="1"/>
  <c r="Z138" i="1" s="1"/>
  <c r="Z139" i="1" s="1"/>
  <c r="Z140" i="1" s="1"/>
  <c r="Z141" i="1" s="1"/>
  <c r="Z142" i="1" s="1"/>
  <c r="Z143" i="1" s="1"/>
  <c r="Z144" i="1" s="1"/>
  <c r="Z145" i="1" s="1"/>
  <c r="Z146" i="1" s="1"/>
  <c r="Z147" i="1" s="1"/>
  <c r="Z148" i="1" s="1"/>
  <c r="Z149" i="1" s="1"/>
  <c r="Z150" i="1" s="1"/>
  <c r="Z151" i="1" s="1"/>
  <c r="Z152" i="1" s="1"/>
  <c r="Z153" i="1" s="1"/>
  <c r="Z154" i="1" s="1"/>
  <c r="Z155" i="1" s="1"/>
  <c r="Z156" i="1" s="1"/>
  <c r="Z157" i="1" s="1"/>
  <c r="Z158" i="1" s="1"/>
  <c r="Z159" i="1" s="1"/>
  <c r="Z160" i="1" s="1"/>
  <c r="Z161" i="1" s="1"/>
  <c r="Z162" i="1" s="1"/>
  <c r="Z163" i="1" s="1"/>
  <c r="Z164" i="1" s="1"/>
  <c r="Z165" i="1" s="1"/>
  <c r="Z166" i="1" s="1"/>
  <c r="Z167" i="1" s="1"/>
  <c r="Z168" i="1" s="1"/>
  <c r="Z169" i="1" s="1"/>
  <c r="Z170" i="1" s="1"/>
  <c r="Z171" i="1" s="1"/>
  <c r="Z172" i="1" s="1"/>
  <c r="Z173" i="1" s="1"/>
  <c r="Z174" i="1" s="1"/>
  <c r="Z175" i="1" s="1"/>
  <c r="Z176" i="1" s="1"/>
  <c r="Z177" i="1" s="1"/>
  <c r="Z178" i="1" s="1"/>
  <c r="Z179" i="1" s="1"/>
  <c r="Z180" i="1" s="1"/>
  <c r="Z181" i="1" s="1"/>
  <c r="Z182" i="1" s="1"/>
  <c r="Z183" i="1" s="1"/>
  <c r="Z184" i="1" s="1"/>
  <c r="Z125" i="1"/>
  <c r="Z124" i="1"/>
  <c r="Y37" i="1"/>
  <c r="Y38" i="1" s="1"/>
  <c r="Y39" i="1" s="1"/>
  <c r="Y40" i="1" s="1"/>
  <c r="Y41" i="1" s="1"/>
  <c r="Y42" i="1" s="1"/>
  <c r="Y43" i="1" s="1"/>
  <c r="Y44" i="1" s="1"/>
  <c r="Y45" i="1" s="1"/>
  <c r="Y46" i="1" s="1"/>
  <c r="Y47" i="1" s="1"/>
  <c r="Y48" i="1" s="1"/>
  <c r="Y49" i="1" s="1"/>
  <c r="Y50" i="1" s="1"/>
  <c r="Y51" i="1" s="1"/>
  <c r="Y52" i="1" s="1"/>
  <c r="Y53" i="1" s="1"/>
  <c r="Y54" i="1" s="1"/>
  <c r="Y55" i="1" s="1"/>
  <c r="Y56" i="1" s="1"/>
  <c r="Y57" i="1" s="1"/>
  <c r="Y58" i="1" s="1"/>
  <c r="Y59" i="1" s="1"/>
  <c r="Y60" i="1" s="1"/>
  <c r="Y61" i="1" s="1"/>
  <c r="Y62" i="1" s="1"/>
  <c r="Y63" i="1" s="1"/>
  <c r="Y64" i="1" s="1"/>
  <c r="Y65" i="1" s="1"/>
  <c r="Y66" i="1" s="1"/>
  <c r="Y67" i="1" s="1"/>
  <c r="Y68" i="1" s="1"/>
  <c r="Y69" i="1" s="1"/>
  <c r="Y70" i="1" s="1"/>
  <c r="Y71" i="1" s="1"/>
  <c r="Y72" i="1" s="1"/>
  <c r="Y73" i="1" s="1"/>
  <c r="Y74" i="1" s="1"/>
  <c r="Y75" i="1" s="1"/>
  <c r="Y76" i="1" s="1"/>
  <c r="Y77" i="1" s="1"/>
  <c r="Y78" i="1" s="1"/>
  <c r="Y79" i="1" s="1"/>
  <c r="Y80" i="1" s="1"/>
  <c r="Y81" i="1" s="1"/>
  <c r="Y82" i="1" s="1"/>
  <c r="Y83" i="1" s="1"/>
  <c r="Y84" i="1" s="1"/>
  <c r="Y85" i="1" s="1"/>
  <c r="Y86" i="1" s="1"/>
  <c r="Y87" i="1" s="1"/>
  <c r="Y88" i="1" s="1"/>
  <c r="Y89" i="1" s="1"/>
  <c r="Y90" i="1" s="1"/>
  <c r="Y91" i="1" s="1"/>
  <c r="Y92" i="1" s="1"/>
  <c r="Y93" i="1" s="1"/>
  <c r="Y94" i="1" s="1"/>
  <c r="Y95" i="1" s="1"/>
  <c r="Y96" i="1" s="1"/>
  <c r="Y97" i="1" s="1"/>
  <c r="Y98" i="1" s="1"/>
  <c r="Y99" i="1" s="1"/>
  <c r="Y100" i="1" s="1"/>
  <c r="Y101" i="1" s="1"/>
  <c r="Y102" i="1" s="1"/>
  <c r="Y103" i="1" s="1"/>
  <c r="Y104" i="1" s="1"/>
  <c r="Y105" i="1" s="1"/>
  <c r="Y106" i="1" s="1"/>
  <c r="Y107" i="1" s="1"/>
  <c r="Y108" i="1" s="1"/>
  <c r="Y109" i="1" s="1"/>
  <c r="Y110" i="1" s="1"/>
  <c r="Y111" i="1" s="1"/>
  <c r="Y112" i="1" s="1"/>
  <c r="Y113" i="1" s="1"/>
  <c r="Y114" i="1" s="1"/>
  <c r="Y115" i="1" s="1"/>
  <c r="Y116" i="1" s="1"/>
  <c r="Y117" i="1" s="1"/>
  <c r="Y118" i="1" s="1"/>
  <c r="Y119" i="1" s="1"/>
  <c r="Y120" i="1" s="1"/>
  <c r="Y121" i="1" s="1"/>
  <c r="Y122" i="1" s="1"/>
  <c r="Y123" i="1" s="1"/>
  <c r="Y124" i="1" s="1"/>
  <c r="Y125" i="1" s="1"/>
  <c r="Y126" i="1" s="1"/>
  <c r="Y127" i="1" s="1"/>
  <c r="Y128" i="1" s="1"/>
  <c r="Y129" i="1" s="1"/>
  <c r="Y130" i="1" s="1"/>
  <c r="Y131" i="1" s="1"/>
  <c r="Y132" i="1" s="1"/>
  <c r="Y133" i="1" s="1"/>
  <c r="Y134" i="1" s="1"/>
  <c r="Y135" i="1" s="1"/>
  <c r="Y136" i="1" s="1"/>
  <c r="Y137" i="1" s="1"/>
  <c r="Y138" i="1" s="1"/>
  <c r="Y139" i="1" s="1"/>
  <c r="Y140" i="1" s="1"/>
  <c r="Y141" i="1" s="1"/>
  <c r="Y142" i="1" s="1"/>
  <c r="Y143" i="1" s="1"/>
  <c r="Y144" i="1" s="1"/>
  <c r="Y145" i="1" s="1"/>
  <c r="Y146" i="1" s="1"/>
  <c r="Y147" i="1" s="1"/>
  <c r="Y148" i="1" s="1"/>
  <c r="Y149" i="1" s="1"/>
  <c r="Y150" i="1" s="1"/>
  <c r="Y151" i="1" s="1"/>
  <c r="Y152" i="1" s="1"/>
  <c r="Y153" i="1" s="1"/>
  <c r="Y154" i="1" s="1"/>
  <c r="Y155" i="1" s="1"/>
  <c r="Y156" i="1" s="1"/>
  <c r="Y157" i="1" s="1"/>
  <c r="Y158" i="1" s="1"/>
  <c r="Y159" i="1" s="1"/>
  <c r="Y160" i="1" s="1"/>
  <c r="Y161" i="1" s="1"/>
  <c r="Y162" i="1" s="1"/>
  <c r="Y163" i="1" s="1"/>
  <c r="Y164" i="1" s="1"/>
  <c r="Y165" i="1" s="1"/>
  <c r="Y166" i="1" s="1"/>
  <c r="Y167" i="1" s="1"/>
  <c r="Y168" i="1" s="1"/>
  <c r="Y169" i="1" s="1"/>
  <c r="Y170" i="1" s="1"/>
  <c r="Y171" i="1" s="1"/>
  <c r="Y172" i="1" s="1"/>
  <c r="Y173" i="1" s="1"/>
  <c r="Y174" i="1" s="1"/>
  <c r="Y175" i="1" s="1"/>
  <c r="Y176" i="1" s="1"/>
  <c r="Y177" i="1" s="1"/>
  <c r="Y178" i="1" s="1"/>
  <c r="Y179" i="1" s="1"/>
  <c r="Y180" i="1" s="1"/>
  <c r="Y181" i="1" s="1"/>
  <c r="Y182" i="1" s="1"/>
  <c r="Y183" i="1" s="1"/>
  <c r="Y184" i="1" s="1"/>
  <c r="Y185" i="1" s="1"/>
  <c r="Y186" i="1" s="1"/>
  <c r="Y187" i="1" s="1"/>
  <c r="Y188" i="1" s="1"/>
  <c r="Y189" i="1" s="1"/>
  <c r="Y190" i="1" s="1"/>
  <c r="Y191" i="1" s="1"/>
  <c r="Y192" i="1" s="1"/>
  <c r="Y193" i="1" s="1"/>
  <c r="Y194" i="1" s="1"/>
  <c r="Y195" i="1" s="1"/>
  <c r="Y196" i="1" s="1"/>
  <c r="Y197" i="1" s="1"/>
  <c r="Y198" i="1" s="1"/>
  <c r="Y199" i="1" s="1"/>
  <c r="Y200" i="1" s="1"/>
  <c r="Y201" i="1" s="1"/>
  <c r="Y202" i="1" s="1"/>
  <c r="Y203" i="1" s="1"/>
  <c r="Y204" i="1" s="1"/>
  <c r="Y205" i="1" s="1"/>
  <c r="Y206" i="1" s="1"/>
  <c r="Y207" i="1" s="1"/>
  <c r="Y208" i="1" s="1"/>
  <c r="Y209" i="1" s="1"/>
  <c r="Y210" i="1" s="1"/>
  <c r="Y211" i="1" s="1"/>
  <c r="Y212" i="1" s="1"/>
  <c r="Y213" i="1" s="1"/>
  <c r="Y214" i="1" s="1"/>
  <c r="Y215" i="1" s="1"/>
  <c r="Y216" i="1" s="1"/>
  <c r="Y217" i="1" s="1"/>
  <c r="Y218" i="1" s="1"/>
  <c r="Y219" i="1" s="1"/>
  <c r="Y220" i="1" s="1"/>
  <c r="Y221" i="1" s="1"/>
  <c r="Y222" i="1" s="1"/>
  <c r="Y223" i="1" s="1"/>
  <c r="Y224" i="1" s="1"/>
  <c r="Y225" i="1" s="1"/>
  <c r="Y226" i="1" s="1"/>
  <c r="Y227" i="1" s="1"/>
  <c r="Y228" i="1" s="1"/>
  <c r="Y229" i="1" s="1"/>
  <c r="Y230" i="1" s="1"/>
  <c r="Y231" i="1" s="1"/>
  <c r="Y232" i="1" s="1"/>
  <c r="Y233" i="1" s="1"/>
  <c r="Y234" i="1" s="1"/>
  <c r="Y235" i="1" s="1"/>
  <c r="Y236" i="1" s="1"/>
  <c r="Y237" i="1" s="1"/>
  <c r="Y238" i="1" s="1"/>
  <c r="Y239" i="1" s="1"/>
  <c r="Y240" i="1" s="1"/>
  <c r="Y241" i="1" s="1"/>
  <c r="Y242" i="1" s="1"/>
  <c r="Y243" i="1" s="1"/>
  <c r="Y244" i="1" s="1"/>
  <c r="Y245" i="1" s="1"/>
  <c r="Y246" i="1" s="1"/>
  <c r="Y247" i="1" s="1"/>
  <c r="Y248" i="1" s="1"/>
  <c r="Y249" i="1" s="1"/>
  <c r="Y250" i="1" s="1"/>
  <c r="Y251" i="1" s="1"/>
  <c r="Y252" i="1" s="1"/>
  <c r="Y253" i="1" s="1"/>
  <c r="Y254" i="1" s="1"/>
  <c r="Y255" i="1" s="1"/>
  <c r="Y256" i="1" s="1"/>
  <c r="Y257" i="1" s="1"/>
  <c r="Y258" i="1" s="1"/>
  <c r="Y259" i="1" s="1"/>
  <c r="Y260" i="1" s="1"/>
  <c r="Y261" i="1" s="1"/>
  <c r="Y262" i="1" s="1"/>
  <c r="Y263" i="1" s="1"/>
  <c r="Y264" i="1" s="1"/>
  <c r="Y265" i="1" s="1"/>
  <c r="Y266" i="1" s="1"/>
  <c r="Y267" i="1" s="1"/>
  <c r="Y268" i="1" s="1"/>
  <c r="Y269" i="1" s="1"/>
  <c r="Y270" i="1" s="1"/>
  <c r="Y271" i="1" s="1"/>
  <c r="Y272" i="1" s="1"/>
  <c r="Y273" i="1" s="1"/>
  <c r="Y274" i="1" s="1"/>
  <c r="Y275" i="1" s="1"/>
  <c r="Y276" i="1" s="1"/>
  <c r="Y277" i="1" s="1"/>
  <c r="Y278" i="1" s="1"/>
  <c r="Y279" i="1" s="1"/>
  <c r="Y280" i="1" s="1"/>
  <c r="Y281" i="1" s="1"/>
  <c r="Y282" i="1" s="1"/>
  <c r="Y283" i="1" s="1"/>
  <c r="Y284" i="1" s="1"/>
  <c r="Y285" i="1" s="1"/>
  <c r="Y286" i="1" s="1"/>
  <c r="Y287" i="1" s="1"/>
  <c r="Y288" i="1" s="1"/>
  <c r="Y289" i="1" s="1"/>
  <c r="Y290" i="1" s="1"/>
  <c r="Y291" i="1" s="1"/>
  <c r="Y292" i="1" s="1"/>
  <c r="Y293" i="1" s="1"/>
  <c r="Y294" i="1" s="1"/>
  <c r="Y295" i="1" s="1"/>
  <c r="Y296" i="1" s="1"/>
  <c r="Y297" i="1" s="1"/>
  <c r="Y298" i="1" s="1"/>
  <c r="Y299" i="1" s="1"/>
  <c r="Y300" i="1" s="1"/>
  <c r="Y301" i="1" s="1"/>
  <c r="Y302" i="1" s="1"/>
  <c r="Y303" i="1" s="1"/>
  <c r="Y304" i="1" s="1"/>
  <c r="Y305" i="1" s="1"/>
  <c r="Y306" i="1" s="1"/>
  <c r="Y307" i="1" s="1"/>
  <c r="Y308" i="1" s="1"/>
  <c r="Y309" i="1" s="1"/>
  <c r="Y310" i="1" s="1"/>
  <c r="Y311" i="1" s="1"/>
  <c r="Y312" i="1" s="1"/>
  <c r="Y313" i="1" s="1"/>
  <c r="Y314" i="1" s="1"/>
  <c r="Y315" i="1" s="1"/>
  <c r="Y316" i="1" s="1"/>
  <c r="Y317" i="1" s="1"/>
  <c r="Y318" i="1" s="1"/>
  <c r="Y319" i="1" s="1"/>
  <c r="Y320" i="1" s="1"/>
  <c r="Y321" i="1" s="1"/>
  <c r="Y322" i="1" s="1"/>
  <c r="Y323" i="1" s="1"/>
  <c r="Y324" i="1" s="1"/>
  <c r="Y325" i="1" s="1"/>
  <c r="Y326" i="1" s="1"/>
  <c r="Y327" i="1" s="1"/>
  <c r="Y328" i="1" s="1"/>
  <c r="Y329" i="1" s="1"/>
  <c r="Y330" i="1" s="1"/>
  <c r="Y331" i="1" s="1"/>
  <c r="Y332" i="1" s="1"/>
  <c r="Y333" i="1" s="1"/>
  <c r="Y334" i="1" s="1"/>
  <c r="Y335" i="1" s="1"/>
  <c r="Y336" i="1" s="1"/>
  <c r="Y337" i="1" s="1"/>
  <c r="Y338" i="1" s="1"/>
  <c r="Y339" i="1" s="1"/>
  <c r="Y340" i="1" s="1"/>
  <c r="Y341" i="1" s="1"/>
  <c r="Y342" i="1" s="1"/>
  <c r="Y343" i="1" s="1"/>
  <c r="Y344" i="1" s="1"/>
  <c r="Y345" i="1" s="1"/>
  <c r="Y346" i="1" s="1"/>
  <c r="Y347" i="1" s="1"/>
  <c r="Y348" i="1" s="1"/>
  <c r="Y349" i="1" s="1"/>
  <c r="Y350" i="1" s="1"/>
  <c r="Y351" i="1" s="1"/>
  <c r="Y352" i="1" s="1"/>
  <c r="Y353" i="1" s="1"/>
  <c r="Y354" i="1" s="1"/>
  <c r="Y355" i="1" s="1"/>
  <c r="Y356" i="1" s="1"/>
  <c r="Y357" i="1" s="1"/>
  <c r="Y36" i="1"/>
  <c r="Y35" i="1"/>
  <c r="R297" i="1"/>
  <c r="R298" i="1"/>
  <c r="R299" i="1"/>
  <c r="R300" i="1"/>
  <c r="R301" i="1"/>
  <c r="R302" i="1"/>
  <c r="R303" i="1"/>
  <c r="R304" i="1"/>
  <c r="S304" i="1" s="1"/>
  <c r="T304" i="1" s="1"/>
  <c r="R305" i="1"/>
  <c r="R306" i="1"/>
  <c r="R307" i="1"/>
  <c r="R308" i="1"/>
  <c r="R309" i="1"/>
  <c r="R310" i="1"/>
  <c r="R311" i="1"/>
  <c r="R312" i="1"/>
  <c r="S312" i="1" s="1"/>
  <c r="T312" i="1" s="1"/>
  <c r="R313" i="1"/>
  <c r="R314" i="1"/>
  <c r="R315" i="1"/>
  <c r="R316" i="1"/>
  <c r="R317" i="1"/>
  <c r="R318" i="1"/>
  <c r="R319" i="1"/>
  <c r="R320" i="1"/>
  <c r="S320" i="1" s="1"/>
  <c r="T320" i="1" s="1"/>
  <c r="R321" i="1"/>
  <c r="R322" i="1"/>
  <c r="R323" i="1"/>
  <c r="R324" i="1"/>
  <c r="R325" i="1"/>
  <c r="R326" i="1"/>
  <c r="R327" i="1"/>
  <c r="R328" i="1"/>
  <c r="S328" i="1" s="1"/>
  <c r="T328" i="1" s="1"/>
  <c r="R329" i="1"/>
  <c r="R330" i="1"/>
  <c r="R331" i="1"/>
  <c r="R332" i="1"/>
  <c r="R333" i="1"/>
  <c r="R334" i="1"/>
  <c r="R335" i="1"/>
  <c r="R336" i="1"/>
  <c r="S336" i="1" s="1"/>
  <c r="T336" i="1" s="1"/>
  <c r="R337" i="1"/>
  <c r="R338" i="1"/>
  <c r="R339" i="1"/>
  <c r="R340" i="1"/>
  <c r="R341" i="1"/>
  <c r="R342" i="1"/>
  <c r="R343" i="1"/>
  <c r="R344" i="1"/>
  <c r="S344" i="1" s="1"/>
  <c r="T344" i="1" s="1"/>
  <c r="R345" i="1"/>
  <c r="R346" i="1"/>
  <c r="R347" i="1"/>
  <c r="R348" i="1"/>
  <c r="R349" i="1"/>
  <c r="R350" i="1"/>
  <c r="R351" i="1"/>
  <c r="R352" i="1"/>
  <c r="S352" i="1" s="1"/>
  <c r="T352" i="1" s="1"/>
  <c r="R353" i="1"/>
  <c r="R354" i="1"/>
  <c r="R355" i="1"/>
  <c r="R356" i="1"/>
  <c r="R357" i="1"/>
  <c r="R296" i="1"/>
  <c r="R186" i="1"/>
  <c r="R187" i="1"/>
  <c r="R188" i="1"/>
  <c r="R189" i="1"/>
  <c r="R190" i="1"/>
  <c r="R191" i="1"/>
  <c r="R192" i="1"/>
  <c r="R193" i="1"/>
  <c r="S193" i="1" s="1"/>
  <c r="T193" i="1" s="1"/>
  <c r="R194" i="1"/>
  <c r="R195" i="1"/>
  <c r="R196" i="1"/>
  <c r="R197" i="1"/>
  <c r="R198" i="1"/>
  <c r="R199" i="1"/>
  <c r="R200" i="1"/>
  <c r="R201" i="1"/>
  <c r="S201" i="1" s="1"/>
  <c r="T201" i="1" s="1"/>
  <c r="R202" i="1"/>
  <c r="R203" i="1"/>
  <c r="R204" i="1"/>
  <c r="R205" i="1"/>
  <c r="R206" i="1"/>
  <c r="R207" i="1"/>
  <c r="R208" i="1"/>
  <c r="R209" i="1"/>
  <c r="S209" i="1" s="1"/>
  <c r="T209" i="1" s="1"/>
  <c r="R210" i="1"/>
  <c r="R211" i="1"/>
  <c r="S211" i="1" s="1"/>
  <c r="T211" i="1" s="1"/>
  <c r="R212" i="1"/>
  <c r="R213" i="1"/>
  <c r="R214" i="1"/>
  <c r="R215" i="1"/>
  <c r="R216" i="1"/>
  <c r="R217" i="1"/>
  <c r="S217" i="1" s="1"/>
  <c r="T217" i="1" s="1"/>
  <c r="R218" i="1"/>
  <c r="R219" i="1"/>
  <c r="S219" i="1" s="1"/>
  <c r="T219" i="1" s="1"/>
  <c r="R220" i="1"/>
  <c r="R221" i="1"/>
  <c r="R222" i="1"/>
  <c r="R223" i="1"/>
  <c r="R224" i="1"/>
  <c r="R225" i="1"/>
  <c r="S225" i="1" s="1"/>
  <c r="T225" i="1" s="1"/>
  <c r="R226" i="1"/>
  <c r="R227" i="1"/>
  <c r="S227" i="1" s="1"/>
  <c r="T227" i="1" s="1"/>
  <c r="R228" i="1"/>
  <c r="R229" i="1"/>
  <c r="R230" i="1"/>
  <c r="R231" i="1"/>
  <c r="R232" i="1"/>
  <c r="R233" i="1"/>
  <c r="S233" i="1" s="1"/>
  <c r="T233" i="1" s="1"/>
  <c r="R234" i="1"/>
  <c r="R235" i="1"/>
  <c r="S235" i="1" s="1"/>
  <c r="T235" i="1" s="1"/>
  <c r="R236" i="1"/>
  <c r="R237" i="1"/>
  <c r="R238" i="1"/>
  <c r="R239" i="1"/>
  <c r="R240" i="1"/>
  <c r="R241" i="1"/>
  <c r="S241" i="1" s="1"/>
  <c r="T241" i="1" s="1"/>
  <c r="R242" i="1"/>
  <c r="R243" i="1"/>
  <c r="S243" i="1" s="1"/>
  <c r="T243" i="1" s="1"/>
  <c r="R244" i="1"/>
  <c r="R245" i="1"/>
  <c r="R246" i="1"/>
  <c r="R247" i="1"/>
  <c r="R248" i="1"/>
  <c r="R185" i="1"/>
  <c r="S185" i="1" s="1"/>
  <c r="T185" i="1" s="1"/>
  <c r="R47" i="1"/>
  <c r="R48" i="1"/>
  <c r="R49" i="1"/>
  <c r="R50" i="1"/>
  <c r="S50" i="1" s="1"/>
  <c r="T50" i="1" s="1"/>
  <c r="R51" i="1"/>
  <c r="R52" i="1"/>
  <c r="R53" i="1"/>
  <c r="R54" i="1"/>
  <c r="S54" i="1" s="1"/>
  <c r="T54" i="1" s="1"/>
  <c r="R55" i="1"/>
  <c r="R56" i="1"/>
  <c r="R57" i="1"/>
  <c r="R58" i="1"/>
  <c r="S58" i="1" s="1"/>
  <c r="T58" i="1" s="1"/>
  <c r="R59" i="1"/>
  <c r="R60" i="1"/>
  <c r="R61" i="1"/>
  <c r="R62" i="1"/>
  <c r="S62" i="1" s="1"/>
  <c r="T62" i="1" s="1"/>
  <c r="R63" i="1"/>
  <c r="R64" i="1"/>
  <c r="R65" i="1"/>
  <c r="R66" i="1"/>
  <c r="S66" i="1" s="1"/>
  <c r="T66" i="1" s="1"/>
  <c r="R67" i="1"/>
  <c r="R68" i="1"/>
  <c r="R69" i="1"/>
  <c r="R70" i="1"/>
  <c r="S70" i="1" s="1"/>
  <c r="T70" i="1" s="1"/>
  <c r="R71" i="1"/>
  <c r="R72" i="1"/>
  <c r="R73" i="1"/>
  <c r="R74" i="1"/>
  <c r="S74" i="1" s="1"/>
  <c r="T74" i="1" s="1"/>
  <c r="R75" i="1"/>
  <c r="R76" i="1"/>
  <c r="R77" i="1"/>
  <c r="R78" i="1"/>
  <c r="S78" i="1" s="1"/>
  <c r="T78" i="1" s="1"/>
  <c r="R79" i="1"/>
  <c r="R80" i="1"/>
  <c r="R81" i="1"/>
  <c r="R82" i="1"/>
  <c r="S82" i="1" s="1"/>
  <c r="T82" i="1" s="1"/>
  <c r="R83" i="1"/>
  <c r="R84" i="1"/>
  <c r="R85" i="1"/>
  <c r="R86" i="1"/>
  <c r="S86" i="1" s="1"/>
  <c r="T86" i="1" s="1"/>
  <c r="R87" i="1"/>
  <c r="R88" i="1"/>
  <c r="R89" i="1"/>
  <c r="R90" i="1"/>
  <c r="S90" i="1" s="1"/>
  <c r="T90" i="1" s="1"/>
  <c r="R91" i="1"/>
  <c r="R92" i="1"/>
  <c r="R93" i="1"/>
  <c r="R94" i="1"/>
  <c r="S94" i="1" s="1"/>
  <c r="T94" i="1" s="1"/>
  <c r="R95" i="1"/>
  <c r="R96" i="1"/>
  <c r="R97" i="1"/>
  <c r="R98" i="1"/>
  <c r="S98" i="1" s="1"/>
  <c r="T98" i="1" s="1"/>
  <c r="R99" i="1"/>
  <c r="R100" i="1"/>
  <c r="R101" i="1"/>
  <c r="R102" i="1"/>
  <c r="S102" i="1" s="1"/>
  <c r="T102" i="1" s="1"/>
  <c r="R103" i="1"/>
  <c r="R104" i="1"/>
  <c r="R105" i="1"/>
  <c r="R106" i="1"/>
  <c r="S106" i="1" s="1"/>
  <c r="T106" i="1" s="1"/>
  <c r="R107" i="1"/>
  <c r="R108" i="1"/>
  <c r="R109" i="1"/>
  <c r="R110" i="1"/>
  <c r="S110" i="1" s="1"/>
  <c r="T110" i="1" s="1"/>
  <c r="R111" i="1"/>
  <c r="R112" i="1"/>
  <c r="R113" i="1"/>
  <c r="R114" i="1"/>
  <c r="S114" i="1" s="1"/>
  <c r="T114" i="1" s="1"/>
  <c r="R115" i="1"/>
  <c r="R116" i="1"/>
  <c r="R117" i="1"/>
  <c r="R118" i="1"/>
  <c r="S118" i="1" s="1"/>
  <c r="T118" i="1" s="1"/>
  <c r="R119" i="1"/>
  <c r="R120" i="1"/>
  <c r="R121" i="1"/>
  <c r="R122" i="1"/>
  <c r="S122" i="1" s="1"/>
  <c r="T122" i="1" s="1"/>
  <c r="R123" i="1"/>
  <c r="R46" i="1"/>
  <c r="T36" i="1"/>
  <c r="T37" i="1"/>
  <c r="T38" i="1"/>
  <c r="T39" i="1"/>
  <c r="T40" i="1"/>
  <c r="T41" i="1"/>
  <c r="T42" i="1"/>
  <c r="T43" i="1"/>
  <c r="T44" i="1"/>
  <c r="T45"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8" i="1"/>
  <c r="T190" i="1"/>
  <c r="T192" i="1"/>
  <c r="T196" i="1"/>
  <c r="T198" i="1"/>
  <c r="T200" i="1"/>
  <c r="T204" i="1"/>
  <c r="T206" i="1"/>
  <c r="T208" i="1"/>
  <c r="T212" i="1"/>
  <c r="T214" i="1"/>
  <c r="T216" i="1"/>
  <c r="T220" i="1"/>
  <c r="T222" i="1"/>
  <c r="T224" i="1"/>
  <c r="T228" i="1"/>
  <c r="T230" i="1"/>
  <c r="T232" i="1"/>
  <c r="T236" i="1"/>
  <c r="T238" i="1"/>
  <c r="T240" i="1"/>
  <c r="T244" i="1"/>
  <c r="T246"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8" i="1"/>
  <c r="T302" i="1"/>
  <c r="T310" i="1"/>
  <c r="T314" i="1"/>
  <c r="T318" i="1"/>
  <c r="T322" i="1"/>
  <c r="T326" i="1"/>
  <c r="T330" i="1"/>
  <c r="T334" i="1"/>
  <c r="T338" i="1"/>
  <c r="T342" i="1"/>
  <c r="T346" i="1"/>
  <c r="T350" i="1"/>
  <c r="T354" i="1"/>
  <c r="T35" i="1"/>
  <c r="S36" i="1"/>
  <c r="S37" i="1"/>
  <c r="S38" i="1"/>
  <c r="S39" i="1"/>
  <c r="S40" i="1"/>
  <c r="S41" i="1"/>
  <c r="S42" i="1"/>
  <c r="S43" i="1"/>
  <c r="S44" i="1"/>
  <c r="S45" i="1"/>
  <c r="S46" i="1"/>
  <c r="T46" i="1" s="1"/>
  <c r="S47" i="1"/>
  <c r="T47" i="1" s="1"/>
  <c r="S48" i="1"/>
  <c r="T48" i="1" s="1"/>
  <c r="S49" i="1"/>
  <c r="T49" i="1" s="1"/>
  <c r="S51" i="1"/>
  <c r="T51" i="1" s="1"/>
  <c r="S52" i="1"/>
  <c r="T52" i="1" s="1"/>
  <c r="S53" i="1"/>
  <c r="T53" i="1" s="1"/>
  <c r="S55" i="1"/>
  <c r="T55" i="1" s="1"/>
  <c r="S56" i="1"/>
  <c r="T56" i="1" s="1"/>
  <c r="S57" i="1"/>
  <c r="T57" i="1" s="1"/>
  <c r="S59" i="1"/>
  <c r="T59" i="1" s="1"/>
  <c r="S60" i="1"/>
  <c r="T60" i="1" s="1"/>
  <c r="S61" i="1"/>
  <c r="T61" i="1" s="1"/>
  <c r="S63" i="1"/>
  <c r="T63" i="1" s="1"/>
  <c r="S64" i="1"/>
  <c r="T64" i="1" s="1"/>
  <c r="S65" i="1"/>
  <c r="T65" i="1" s="1"/>
  <c r="S67" i="1"/>
  <c r="T67" i="1" s="1"/>
  <c r="S68" i="1"/>
  <c r="T68" i="1" s="1"/>
  <c r="S69" i="1"/>
  <c r="T69" i="1" s="1"/>
  <c r="S71" i="1"/>
  <c r="T71" i="1" s="1"/>
  <c r="S72" i="1"/>
  <c r="T72" i="1" s="1"/>
  <c r="S73" i="1"/>
  <c r="T73" i="1" s="1"/>
  <c r="S75" i="1"/>
  <c r="T75" i="1" s="1"/>
  <c r="S76" i="1"/>
  <c r="T76" i="1" s="1"/>
  <c r="S77" i="1"/>
  <c r="T77" i="1" s="1"/>
  <c r="S79" i="1"/>
  <c r="T79" i="1" s="1"/>
  <c r="S80" i="1"/>
  <c r="T80" i="1" s="1"/>
  <c r="S81" i="1"/>
  <c r="T81" i="1" s="1"/>
  <c r="S83" i="1"/>
  <c r="T83" i="1" s="1"/>
  <c r="S84" i="1"/>
  <c r="T84" i="1" s="1"/>
  <c r="S85" i="1"/>
  <c r="T85" i="1" s="1"/>
  <c r="S87" i="1"/>
  <c r="T87" i="1" s="1"/>
  <c r="S88" i="1"/>
  <c r="T88" i="1" s="1"/>
  <c r="S89" i="1"/>
  <c r="T89" i="1" s="1"/>
  <c r="S91" i="1"/>
  <c r="T91" i="1" s="1"/>
  <c r="S92" i="1"/>
  <c r="T92" i="1" s="1"/>
  <c r="S93" i="1"/>
  <c r="T93" i="1" s="1"/>
  <c r="S95" i="1"/>
  <c r="T95" i="1" s="1"/>
  <c r="S96" i="1"/>
  <c r="T96" i="1" s="1"/>
  <c r="S97" i="1"/>
  <c r="T97" i="1" s="1"/>
  <c r="S99" i="1"/>
  <c r="T99" i="1" s="1"/>
  <c r="S100" i="1"/>
  <c r="T100" i="1" s="1"/>
  <c r="S101" i="1"/>
  <c r="T101" i="1" s="1"/>
  <c r="S103" i="1"/>
  <c r="T103" i="1" s="1"/>
  <c r="S104" i="1"/>
  <c r="T104" i="1" s="1"/>
  <c r="S105" i="1"/>
  <c r="T105" i="1" s="1"/>
  <c r="S107" i="1"/>
  <c r="T107" i="1" s="1"/>
  <c r="S108" i="1"/>
  <c r="T108" i="1" s="1"/>
  <c r="S109" i="1"/>
  <c r="T109" i="1" s="1"/>
  <c r="S111" i="1"/>
  <c r="T111" i="1" s="1"/>
  <c r="S112" i="1"/>
  <c r="T112" i="1" s="1"/>
  <c r="S113" i="1"/>
  <c r="T113" i="1" s="1"/>
  <c r="S115" i="1"/>
  <c r="T115" i="1" s="1"/>
  <c r="S116" i="1"/>
  <c r="T116" i="1" s="1"/>
  <c r="S117" i="1"/>
  <c r="T117" i="1" s="1"/>
  <c r="S119" i="1"/>
  <c r="T119" i="1" s="1"/>
  <c r="S120" i="1"/>
  <c r="T120" i="1" s="1"/>
  <c r="S121" i="1"/>
  <c r="T121" i="1" s="1"/>
  <c r="S123" i="1"/>
  <c r="T123" i="1" s="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6" i="1"/>
  <c r="T186" i="1" s="1"/>
  <c r="S187" i="1"/>
  <c r="T187" i="1" s="1"/>
  <c r="S188" i="1"/>
  <c r="S189" i="1"/>
  <c r="T189" i="1" s="1"/>
  <c r="S190" i="1"/>
  <c r="S191" i="1"/>
  <c r="T191" i="1" s="1"/>
  <c r="S192" i="1"/>
  <c r="S194" i="1"/>
  <c r="T194" i="1" s="1"/>
  <c r="S195" i="1"/>
  <c r="T195" i="1" s="1"/>
  <c r="S196" i="1"/>
  <c r="S197" i="1"/>
  <c r="T197" i="1" s="1"/>
  <c r="S198" i="1"/>
  <c r="S199" i="1"/>
  <c r="T199" i="1" s="1"/>
  <c r="S200" i="1"/>
  <c r="S202" i="1"/>
  <c r="T202" i="1" s="1"/>
  <c r="S203" i="1"/>
  <c r="T203" i="1" s="1"/>
  <c r="S204" i="1"/>
  <c r="S205" i="1"/>
  <c r="T205" i="1" s="1"/>
  <c r="S206" i="1"/>
  <c r="S207" i="1"/>
  <c r="T207" i="1" s="1"/>
  <c r="S208" i="1"/>
  <c r="S210" i="1"/>
  <c r="T210" i="1" s="1"/>
  <c r="S212" i="1"/>
  <c r="S213" i="1"/>
  <c r="T213" i="1" s="1"/>
  <c r="S214" i="1"/>
  <c r="S215" i="1"/>
  <c r="T215" i="1" s="1"/>
  <c r="S216" i="1"/>
  <c r="S218" i="1"/>
  <c r="T218" i="1" s="1"/>
  <c r="S220" i="1"/>
  <c r="S221" i="1"/>
  <c r="T221" i="1" s="1"/>
  <c r="S222" i="1"/>
  <c r="S223" i="1"/>
  <c r="T223" i="1" s="1"/>
  <c r="S224" i="1"/>
  <c r="S226" i="1"/>
  <c r="T226" i="1" s="1"/>
  <c r="S228" i="1"/>
  <c r="S229" i="1"/>
  <c r="T229" i="1" s="1"/>
  <c r="S230" i="1"/>
  <c r="S231" i="1"/>
  <c r="T231" i="1" s="1"/>
  <c r="S232" i="1"/>
  <c r="S234" i="1"/>
  <c r="T234" i="1" s="1"/>
  <c r="S236" i="1"/>
  <c r="S237" i="1"/>
  <c r="T237" i="1" s="1"/>
  <c r="S238" i="1"/>
  <c r="S239" i="1"/>
  <c r="T239" i="1" s="1"/>
  <c r="S240" i="1"/>
  <c r="S242" i="1"/>
  <c r="T242" i="1" s="1"/>
  <c r="S244" i="1"/>
  <c r="S245" i="1"/>
  <c r="T245" i="1" s="1"/>
  <c r="S246" i="1"/>
  <c r="S247" i="1"/>
  <c r="T247" i="1" s="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T296" i="1" s="1"/>
  <c r="S297" i="1"/>
  <c r="T297" i="1" s="1"/>
  <c r="S298" i="1"/>
  <c r="S299" i="1"/>
  <c r="T299" i="1" s="1"/>
  <c r="S300" i="1"/>
  <c r="T300" i="1" s="1"/>
  <c r="S301" i="1"/>
  <c r="T301" i="1" s="1"/>
  <c r="S302" i="1"/>
  <c r="S303" i="1"/>
  <c r="T303" i="1" s="1"/>
  <c r="S305" i="1"/>
  <c r="T305" i="1" s="1"/>
  <c r="S306" i="1"/>
  <c r="T306" i="1" s="1"/>
  <c r="S307" i="1"/>
  <c r="T307" i="1" s="1"/>
  <c r="S308" i="1"/>
  <c r="T308" i="1" s="1"/>
  <c r="S309" i="1"/>
  <c r="T309" i="1" s="1"/>
  <c r="S310" i="1"/>
  <c r="S311" i="1"/>
  <c r="T311" i="1" s="1"/>
  <c r="S313" i="1"/>
  <c r="T313" i="1" s="1"/>
  <c r="S314" i="1"/>
  <c r="S315" i="1"/>
  <c r="T315" i="1" s="1"/>
  <c r="S316" i="1"/>
  <c r="T316" i="1" s="1"/>
  <c r="S317" i="1"/>
  <c r="T317" i="1" s="1"/>
  <c r="S318" i="1"/>
  <c r="S319" i="1"/>
  <c r="T319" i="1" s="1"/>
  <c r="S321" i="1"/>
  <c r="T321" i="1" s="1"/>
  <c r="S322" i="1"/>
  <c r="S323" i="1"/>
  <c r="T323" i="1" s="1"/>
  <c r="S324" i="1"/>
  <c r="T324" i="1" s="1"/>
  <c r="S325" i="1"/>
  <c r="T325" i="1" s="1"/>
  <c r="S326" i="1"/>
  <c r="S327" i="1"/>
  <c r="T327" i="1" s="1"/>
  <c r="S329" i="1"/>
  <c r="T329" i="1" s="1"/>
  <c r="S330" i="1"/>
  <c r="S331" i="1"/>
  <c r="T331" i="1" s="1"/>
  <c r="S332" i="1"/>
  <c r="T332" i="1" s="1"/>
  <c r="S333" i="1"/>
  <c r="T333" i="1" s="1"/>
  <c r="S334" i="1"/>
  <c r="S335" i="1"/>
  <c r="T335" i="1" s="1"/>
  <c r="S337" i="1"/>
  <c r="T337" i="1" s="1"/>
  <c r="S338" i="1"/>
  <c r="S339" i="1"/>
  <c r="T339" i="1" s="1"/>
  <c r="S340" i="1"/>
  <c r="T340" i="1" s="1"/>
  <c r="S341" i="1"/>
  <c r="T341" i="1" s="1"/>
  <c r="S342" i="1"/>
  <c r="S343" i="1"/>
  <c r="T343" i="1" s="1"/>
  <c r="S345" i="1"/>
  <c r="T345" i="1" s="1"/>
  <c r="S346" i="1"/>
  <c r="S347" i="1"/>
  <c r="T347" i="1" s="1"/>
  <c r="S348" i="1"/>
  <c r="T348" i="1" s="1"/>
  <c r="S349" i="1"/>
  <c r="T349" i="1" s="1"/>
  <c r="S350" i="1"/>
  <c r="S351" i="1"/>
  <c r="T351" i="1" s="1"/>
  <c r="S353" i="1"/>
  <c r="T353" i="1" s="1"/>
  <c r="S354" i="1"/>
  <c r="S355" i="1"/>
  <c r="T355" i="1" s="1"/>
  <c r="S356" i="1"/>
  <c r="T356" i="1" s="1"/>
  <c r="S357" i="1"/>
  <c r="T357" i="1" s="1"/>
  <c r="S35" i="1"/>
  <c r="P41" i="1"/>
  <c r="P49" i="1"/>
  <c r="P50" i="1" s="1"/>
  <c r="P51" i="1" s="1"/>
  <c r="P52" i="1" s="1"/>
  <c r="P53" i="1" s="1"/>
  <c r="P54" i="1" s="1"/>
  <c r="P55" i="1" s="1"/>
  <c r="P56" i="1" s="1"/>
  <c r="P57" i="1" s="1"/>
  <c r="P58" i="1" s="1"/>
  <c r="P60" i="1" s="1"/>
  <c r="P61" i="1" s="1"/>
  <c r="P65" i="1" s="1"/>
  <c r="P66" i="1" s="1"/>
  <c r="P79" i="1" s="1"/>
  <c r="P80" i="1" s="1"/>
  <c r="P81" i="1" s="1"/>
  <c r="P82" i="1" s="1"/>
  <c r="P83" i="1" s="1"/>
  <c r="P84" i="1" s="1"/>
  <c r="P85" i="1" s="1"/>
  <c r="P86" i="1" s="1"/>
  <c r="P87" i="1" s="1"/>
  <c r="P88" i="1" s="1"/>
  <c r="P89" i="1" s="1"/>
  <c r="P90" i="1" s="1"/>
  <c r="P91" i="1" s="1"/>
  <c r="P92" i="1" s="1"/>
  <c r="P93" i="1" s="1"/>
  <c r="P94" i="1" s="1"/>
  <c r="P95" i="1" s="1"/>
  <c r="P96" i="1" s="1"/>
  <c r="P97" i="1" s="1"/>
  <c r="P98" i="1" s="1"/>
  <c r="P99" i="1" s="1"/>
  <c r="P100" i="1" s="1"/>
  <c r="P101" i="1" s="1"/>
  <c r="P102" i="1" s="1"/>
  <c r="P103" i="1" s="1"/>
  <c r="P104" i="1" s="1"/>
  <c r="P105" i="1" s="1"/>
  <c r="P106" i="1" s="1"/>
  <c r="P107" i="1" s="1"/>
  <c r="P108" i="1" s="1"/>
  <c r="P109" i="1" s="1"/>
  <c r="P110" i="1" s="1"/>
  <c r="P111" i="1" s="1"/>
  <c r="P112" i="1" s="1"/>
  <c r="P113" i="1" s="1"/>
  <c r="P114" i="1" s="1"/>
  <c r="P115" i="1" s="1"/>
  <c r="P116" i="1" s="1"/>
  <c r="P117" i="1" s="1"/>
  <c r="P118" i="1" s="1"/>
  <c r="P119" i="1" s="1"/>
  <c r="P120" i="1" s="1"/>
  <c r="P121" i="1" s="1"/>
  <c r="P122" i="1" s="1"/>
  <c r="P123" i="1" s="1"/>
  <c r="P124" i="1" s="1"/>
  <c r="P125" i="1" s="1"/>
  <c r="P126" i="1" s="1"/>
  <c r="P127" i="1" s="1"/>
  <c r="P128" i="1" s="1"/>
  <c r="P129" i="1" s="1"/>
  <c r="P130" i="1" s="1"/>
  <c r="P131" i="1" s="1"/>
  <c r="P132" i="1" s="1"/>
  <c r="P133" i="1" s="1"/>
  <c r="P134" i="1" s="1"/>
  <c r="P135" i="1" s="1"/>
  <c r="P136" i="1" s="1"/>
  <c r="P137" i="1" s="1"/>
  <c r="P138" i="1" s="1"/>
  <c r="P139" i="1" s="1"/>
  <c r="P140" i="1" s="1"/>
  <c r="P141" i="1" s="1"/>
  <c r="P142" i="1" s="1"/>
  <c r="P143" i="1" s="1"/>
  <c r="P144" i="1" s="1"/>
  <c r="P145" i="1" s="1"/>
  <c r="P146" i="1" s="1"/>
  <c r="P147" i="1" s="1"/>
  <c r="P148" i="1" s="1"/>
  <c r="P149" i="1" s="1"/>
  <c r="P150" i="1" s="1"/>
  <c r="P151" i="1" s="1"/>
  <c r="P152" i="1" s="1"/>
  <c r="P153" i="1" s="1"/>
  <c r="P154" i="1" s="1"/>
  <c r="P155" i="1" s="1"/>
  <c r="P156" i="1" s="1"/>
  <c r="P157" i="1" s="1"/>
  <c r="P158" i="1" s="1"/>
  <c r="P159" i="1" s="1"/>
  <c r="P160" i="1" s="1"/>
  <c r="P161" i="1" s="1"/>
  <c r="P162" i="1" s="1"/>
  <c r="P163" i="1" s="1"/>
  <c r="P164" i="1" s="1"/>
  <c r="P165" i="1" s="1"/>
  <c r="P166" i="1" s="1"/>
  <c r="P167" i="1" s="1"/>
  <c r="P168" i="1" s="1"/>
  <c r="P169" i="1" s="1"/>
  <c r="P170" i="1" s="1"/>
  <c r="P171" i="1" s="1"/>
  <c r="P172" i="1" s="1"/>
  <c r="P173" i="1" s="1"/>
  <c r="P174" i="1" s="1"/>
  <c r="P175" i="1" s="1"/>
  <c r="P176" i="1" s="1"/>
  <c r="P177" i="1" s="1"/>
  <c r="P178" i="1" s="1"/>
  <c r="P179" i="1" s="1"/>
  <c r="P180" i="1" s="1"/>
  <c r="P181" i="1" s="1"/>
  <c r="P182" i="1" s="1"/>
  <c r="P183" i="1" s="1"/>
  <c r="P184" i="1" s="1"/>
  <c r="P185" i="1" s="1"/>
  <c r="P186" i="1" s="1"/>
  <c r="P187" i="1" s="1"/>
  <c r="P188" i="1" s="1"/>
  <c r="P189" i="1" s="1"/>
  <c r="P190" i="1" s="1"/>
  <c r="P191" i="1" s="1"/>
  <c r="P192" i="1" s="1"/>
  <c r="P193" i="1" s="1"/>
  <c r="P194" i="1" s="1"/>
  <c r="P195" i="1" s="1"/>
  <c r="P196" i="1" s="1"/>
  <c r="P197" i="1" s="1"/>
  <c r="P198" i="1" s="1"/>
  <c r="P199" i="1" s="1"/>
  <c r="P200" i="1" s="1"/>
  <c r="P201" i="1" s="1"/>
  <c r="P202" i="1" s="1"/>
  <c r="P203" i="1" s="1"/>
  <c r="P204" i="1" s="1"/>
  <c r="P205" i="1" s="1"/>
  <c r="P206" i="1" s="1"/>
  <c r="P207" i="1" s="1"/>
  <c r="P208" i="1" s="1"/>
  <c r="P209" i="1" s="1"/>
  <c r="P210" i="1" s="1"/>
  <c r="P211" i="1" s="1"/>
  <c r="P212" i="1" s="1"/>
  <c r="P213" i="1" s="1"/>
  <c r="P214" i="1" s="1"/>
  <c r="P215" i="1" s="1"/>
  <c r="P216" i="1" s="1"/>
  <c r="P217" i="1" s="1"/>
  <c r="P218" i="1" s="1"/>
  <c r="P219" i="1" s="1"/>
  <c r="P220" i="1" s="1"/>
  <c r="P221" i="1" s="1"/>
  <c r="P222" i="1" s="1"/>
  <c r="P223" i="1" s="1"/>
  <c r="P224" i="1" s="1"/>
  <c r="P225" i="1" s="1"/>
  <c r="P226" i="1" s="1"/>
  <c r="P227" i="1" s="1"/>
  <c r="P228" i="1" s="1"/>
  <c r="P229" i="1" s="1"/>
  <c r="P230" i="1" s="1"/>
  <c r="P231" i="1" s="1"/>
  <c r="P232" i="1" s="1"/>
  <c r="P233" i="1" s="1"/>
  <c r="P234" i="1" s="1"/>
  <c r="P235" i="1" s="1"/>
  <c r="P236" i="1" s="1"/>
  <c r="P237" i="1" s="1"/>
  <c r="P238" i="1" s="1"/>
  <c r="P239" i="1" s="1"/>
  <c r="P240" i="1" s="1"/>
  <c r="P241" i="1" s="1"/>
  <c r="P242" i="1" s="1"/>
  <c r="P243" i="1" s="1"/>
  <c r="P244" i="1" s="1"/>
  <c r="P245" i="1" s="1"/>
  <c r="P246" i="1" s="1"/>
  <c r="P247" i="1" s="1"/>
  <c r="P248" i="1" s="1"/>
  <c r="P249" i="1" s="1"/>
  <c r="P250" i="1" s="1"/>
  <c r="P251" i="1" s="1"/>
  <c r="P252" i="1" s="1"/>
  <c r="P253" i="1" s="1"/>
  <c r="P254" i="1" s="1"/>
  <c r="P255" i="1" s="1"/>
  <c r="P256" i="1" s="1"/>
  <c r="P257" i="1" s="1"/>
  <c r="P258" i="1" s="1"/>
  <c r="P259" i="1" s="1"/>
  <c r="P260" i="1" s="1"/>
  <c r="P261" i="1" s="1"/>
  <c r="P262" i="1" s="1"/>
  <c r="P263" i="1" s="1"/>
  <c r="P264" i="1" s="1"/>
  <c r="P265" i="1" s="1"/>
  <c r="P266" i="1" s="1"/>
  <c r="P267" i="1" s="1"/>
  <c r="P268" i="1" s="1"/>
  <c r="P269" i="1" s="1"/>
  <c r="P270" i="1" s="1"/>
  <c r="P271" i="1" s="1"/>
  <c r="P272" i="1" s="1"/>
  <c r="P273" i="1" s="1"/>
  <c r="P274" i="1" s="1"/>
  <c r="P275" i="1" s="1"/>
  <c r="P276" i="1" s="1"/>
  <c r="P277" i="1" s="1"/>
  <c r="P278" i="1" s="1"/>
  <c r="P279" i="1" s="1"/>
  <c r="P280" i="1" s="1"/>
  <c r="P281" i="1" s="1"/>
  <c r="P282" i="1" s="1"/>
  <c r="P283" i="1" s="1"/>
  <c r="P284" i="1" s="1"/>
  <c r="P285" i="1" s="1"/>
  <c r="P286" i="1" s="1"/>
  <c r="P287" i="1" s="1"/>
  <c r="P288" i="1" s="1"/>
  <c r="P289" i="1" s="1"/>
  <c r="P290" i="1" s="1"/>
  <c r="P291" i="1" s="1"/>
  <c r="P292" i="1" s="1"/>
  <c r="P293" i="1" s="1"/>
  <c r="P294" i="1" s="1"/>
  <c r="P295" i="1" s="1"/>
  <c r="P296" i="1" s="1"/>
  <c r="P297" i="1" s="1"/>
  <c r="P298" i="1" s="1"/>
  <c r="P299" i="1" s="1"/>
  <c r="P300" i="1" s="1"/>
  <c r="P301" i="1" s="1"/>
  <c r="P302" i="1" s="1"/>
  <c r="P303" i="1" s="1"/>
  <c r="P304" i="1" s="1"/>
  <c r="P305" i="1" s="1"/>
  <c r="P306" i="1" s="1"/>
  <c r="P307" i="1" s="1"/>
  <c r="P308" i="1" s="1"/>
  <c r="P309" i="1" s="1"/>
  <c r="P310" i="1" s="1"/>
  <c r="P311" i="1" s="1"/>
  <c r="P312" i="1" s="1"/>
  <c r="P313" i="1" s="1"/>
  <c r="P314" i="1" s="1"/>
  <c r="P315" i="1" s="1"/>
  <c r="P316" i="1" s="1"/>
  <c r="P317" i="1" s="1"/>
  <c r="P318" i="1" s="1"/>
  <c r="P319" i="1" s="1"/>
  <c r="P320" i="1" s="1"/>
  <c r="P321" i="1" s="1"/>
  <c r="P335" i="1" s="1"/>
  <c r="P336" i="1" s="1"/>
  <c r="P337" i="1" s="1"/>
  <c r="P338" i="1" s="1"/>
  <c r="P339" i="1" s="1"/>
  <c r="P340" i="1" s="1"/>
  <c r="P341" i="1" s="1"/>
  <c r="P342" i="1" s="1"/>
  <c r="P343" i="1" s="1"/>
  <c r="P344" i="1" s="1"/>
  <c r="P347" i="1" s="1"/>
  <c r="P348" i="1" s="1"/>
  <c r="P349" i="1" s="1"/>
  <c r="P350" i="1" s="1"/>
  <c r="P351" i="1" s="1"/>
  <c r="P352" i="1" s="1"/>
  <c r="P40" i="1"/>
  <c r="P39" i="1"/>
  <c r="P7" i="1"/>
  <c r="P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 i="1"/>
  <c r="L319" i="1"/>
  <c r="L317" i="1"/>
  <c r="L315" i="1"/>
  <c r="L301" i="1"/>
  <c r="L299" i="1"/>
  <c r="L277" i="1"/>
  <c r="L273" i="1"/>
  <c r="L256" i="1"/>
  <c r="L254" i="1"/>
  <c r="L252" i="1"/>
  <c r="L192" i="1"/>
  <c r="L190" i="1"/>
  <c r="L188" i="1"/>
  <c r="L131" i="1"/>
  <c r="L129" i="1"/>
  <c r="L127" i="1"/>
  <c r="L42" i="1"/>
  <c r="L40" i="1"/>
  <c r="L38" i="1"/>
  <c r="K185" i="1"/>
  <c r="K127" i="1"/>
  <c r="K128" i="1" s="1"/>
  <c r="K129"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9" i="1" s="1"/>
  <c r="K160" i="1" s="1"/>
  <c r="K161" i="1" s="1"/>
  <c r="K162" i="1" s="1"/>
  <c r="K165" i="1" s="1"/>
  <c r="K166" i="1" s="1"/>
  <c r="K167" i="1" s="1"/>
  <c r="K168" i="1" s="1"/>
  <c r="K169" i="1" s="1"/>
  <c r="K170" i="1" s="1"/>
  <c r="K171" i="1" s="1"/>
  <c r="K172" i="1" s="1"/>
  <c r="K173" i="1" s="1"/>
  <c r="K184" i="1" s="1"/>
  <c r="K124" i="1"/>
  <c r="J37" i="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7" i="1" s="1"/>
  <c r="J128" i="1" s="1"/>
  <c r="J129"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9" i="1" s="1"/>
  <c r="J160" i="1" s="1"/>
  <c r="J161" i="1" s="1"/>
  <c r="J162" i="1" s="1"/>
  <c r="J165" i="1" s="1"/>
  <c r="J166" i="1" s="1"/>
  <c r="J167" i="1" s="1"/>
  <c r="J168" i="1" s="1"/>
  <c r="J169" i="1" s="1"/>
  <c r="J170" i="1" s="1"/>
  <c r="J171" i="1" s="1"/>
  <c r="J172" i="1" s="1"/>
  <c r="J173" i="1" s="1"/>
  <c r="J184" i="1" s="1"/>
  <c r="J185" i="1" s="1"/>
  <c r="J186" i="1" s="1"/>
  <c r="J187" i="1" s="1"/>
  <c r="J188" i="1" s="1"/>
  <c r="J189" i="1" s="1"/>
  <c r="J190" i="1" s="1"/>
  <c r="J191" i="1" s="1"/>
  <c r="J192" i="1" s="1"/>
  <c r="J193" i="1" s="1"/>
  <c r="J194" i="1" s="1"/>
  <c r="J195" i="1" s="1"/>
  <c r="J196" i="1" s="1"/>
  <c r="J197" i="1" s="1"/>
  <c r="J198"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6" i="1"/>
  <c r="J35" i="1"/>
  <c r="V133" i="2" l="1"/>
  <c r="V135" i="2" s="1"/>
  <c r="V131" i="2"/>
  <c r="V129" i="2"/>
  <c r="Z186" i="1"/>
  <c r="Z187" i="1" s="1"/>
  <c r="Z188" i="1" s="1"/>
  <c r="Z189" i="1" s="1"/>
  <c r="Z190" i="1" s="1"/>
  <c r="Z191" i="1" s="1"/>
  <c r="Z192" i="1" s="1"/>
  <c r="Z193" i="1" s="1"/>
  <c r="Z194" i="1" s="1"/>
  <c r="Z195" i="1" s="1"/>
  <c r="Z196" i="1" s="1"/>
  <c r="Z197" i="1" s="1"/>
  <c r="Z198" i="1" s="1"/>
  <c r="Z199" i="1" s="1"/>
  <c r="Z200" i="1" s="1"/>
  <c r="Z201" i="1" s="1"/>
  <c r="Z202" i="1" s="1"/>
  <c r="Z203" i="1" s="1"/>
  <c r="Z204" i="1" s="1"/>
  <c r="Z205" i="1" s="1"/>
  <c r="Z206" i="1" s="1"/>
  <c r="Z207" i="1" s="1"/>
  <c r="Z208" i="1" s="1"/>
  <c r="Z209" i="1" s="1"/>
  <c r="Z210" i="1" s="1"/>
  <c r="Z211" i="1" s="1"/>
  <c r="Z212" i="1" s="1"/>
  <c r="Z213" i="1" s="1"/>
  <c r="Z214" i="1" s="1"/>
  <c r="Z215" i="1" s="1"/>
  <c r="Z216" i="1" s="1"/>
  <c r="Z217" i="1" s="1"/>
  <c r="Z218" i="1" s="1"/>
  <c r="Z219" i="1" s="1"/>
  <c r="Z220" i="1" s="1"/>
  <c r="Z221" i="1" s="1"/>
  <c r="Z222" i="1" s="1"/>
  <c r="Z223" i="1" s="1"/>
  <c r="Z224" i="1" s="1"/>
  <c r="Z225" i="1" s="1"/>
  <c r="Z226" i="1" s="1"/>
  <c r="Z227" i="1" s="1"/>
  <c r="Z228" i="1" s="1"/>
  <c r="Z229" i="1" s="1"/>
  <c r="Z230" i="1" s="1"/>
  <c r="Z231" i="1" s="1"/>
  <c r="Z232" i="1" s="1"/>
  <c r="Z233" i="1" s="1"/>
  <c r="Z234" i="1" s="1"/>
  <c r="Z235" i="1" s="1"/>
  <c r="Z236" i="1" s="1"/>
  <c r="Z237" i="1" s="1"/>
  <c r="Z238" i="1" s="1"/>
  <c r="Z239" i="1" s="1"/>
  <c r="Z240" i="1" s="1"/>
  <c r="Z241" i="1" s="1"/>
  <c r="Z242" i="1" s="1"/>
  <c r="Z243" i="1" s="1"/>
  <c r="Z244" i="1" s="1"/>
  <c r="Z245" i="1" s="1"/>
  <c r="Z246" i="1" s="1"/>
  <c r="Z247" i="1" s="1"/>
  <c r="Z248" i="1" s="1"/>
  <c r="Z250" i="1" s="1"/>
  <c r="Z251" i="1" s="1"/>
  <c r="Z252" i="1" s="1"/>
  <c r="Z253" i="1" s="1"/>
  <c r="Z254" i="1" s="1"/>
  <c r="Z255" i="1" s="1"/>
  <c r="Z256" i="1" s="1"/>
  <c r="Z257" i="1" s="1"/>
  <c r="Z258" i="1" s="1"/>
  <c r="Z259" i="1" s="1"/>
  <c r="Z260" i="1" s="1"/>
  <c r="Z261" i="1" s="1"/>
  <c r="Z262" i="1" s="1"/>
  <c r="Z263" i="1" s="1"/>
  <c r="Z264" i="1" s="1"/>
  <c r="Z265" i="1" s="1"/>
  <c r="Z266" i="1" s="1"/>
  <c r="Z267" i="1" s="1"/>
  <c r="Z268" i="1" s="1"/>
  <c r="Z269" i="1" s="1"/>
  <c r="Z271" i="1" s="1"/>
  <c r="Z272" i="1" s="1"/>
  <c r="Z273" i="1" s="1"/>
  <c r="Z274" i="1" s="1"/>
  <c r="Z275" i="1" s="1"/>
  <c r="Z276" i="1" s="1"/>
  <c r="Z277" i="1" s="1"/>
  <c r="Z278" i="1" s="1"/>
  <c r="Z279" i="1" s="1"/>
  <c r="Z280" i="1" s="1"/>
  <c r="Z281" i="1" s="1"/>
  <c r="Z282" i="1" s="1"/>
  <c r="Z283" i="1" s="1"/>
  <c r="Z284" i="1" s="1"/>
  <c r="Z285" i="1" s="1"/>
  <c r="Z286" i="1" s="1"/>
  <c r="Z287" i="1" s="1"/>
  <c r="Z288" i="1" s="1"/>
  <c r="Z289" i="1" s="1"/>
  <c r="Z290" i="1" s="1"/>
  <c r="Z291" i="1" s="1"/>
  <c r="Z292" i="1" s="1"/>
  <c r="Z293" i="1" s="1"/>
  <c r="Z294" i="1" s="1"/>
  <c r="Z295" i="1" s="1"/>
  <c r="Z297" i="1" s="1"/>
  <c r="Z298" i="1" s="1"/>
  <c r="Z299" i="1" s="1"/>
  <c r="Z300" i="1" s="1"/>
  <c r="Z301" i="1" s="1"/>
  <c r="Z302" i="1" s="1"/>
  <c r="Z303" i="1" s="1"/>
  <c r="Z304" i="1" s="1"/>
  <c r="Z305" i="1" s="1"/>
  <c r="Z306" i="1" s="1"/>
  <c r="Z307" i="1" s="1"/>
  <c r="Z308" i="1" s="1"/>
  <c r="Z309" i="1" s="1"/>
  <c r="Z310" i="1" s="1"/>
  <c r="Z311" i="1" s="1"/>
  <c r="Z313" i="1" s="1"/>
  <c r="Z314" i="1" s="1"/>
  <c r="Z315" i="1" s="1"/>
  <c r="Z316" i="1" s="1"/>
  <c r="Z317" i="1" s="1"/>
  <c r="Z318" i="1" s="1"/>
  <c r="Z319" i="1" s="1"/>
  <c r="Z320" i="1" s="1"/>
  <c r="Z321" i="1" s="1"/>
  <c r="Z322" i="1" s="1"/>
  <c r="Z323" i="1" s="1"/>
  <c r="Z324" i="1" s="1"/>
  <c r="Z325" i="1" s="1"/>
  <c r="Z326" i="1" s="1"/>
  <c r="Z327" i="1" s="1"/>
  <c r="Z328" i="1" s="1"/>
  <c r="Z329" i="1" s="1"/>
  <c r="Z330" i="1" s="1"/>
  <c r="Z331" i="1" s="1"/>
  <c r="Z333" i="1" s="1"/>
  <c r="Z334" i="1" s="1"/>
  <c r="Z335" i="1" s="1"/>
  <c r="Z336" i="1" s="1"/>
  <c r="Z337" i="1" s="1"/>
  <c r="Z338" i="1" s="1"/>
  <c r="Z339" i="1" s="1"/>
  <c r="Z340" i="1" s="1"/>
  <c r="Z341" i="1" s="1"/>
  <c r="Z342" i="1" s="1"/>
  <c r="Z343" i="1" s="1"/>
  <c r="Z344" i="1" s="1"/>
  <c r="Z345" i="1" s="1"/>
  <c r="Z346" i="1" s="1"/>
  <c r="Z347" i="1" s="1"/>
  <c r="Z348" i="1" s="1"/>
  <c r="Z349" i="1" s="1"/>
  <c r="Z350" i="1" s="1"/>
  <c r="Z351" i="1" s="1"/>
  <c r="Z352" i="1" s="1"/>
  <c r="Z353" i="1" s="1"/>
  <c r="Z354" i="1" s="1"/>
  <c r="Z355" i="1" s="1"/>
  <c r="Z356" i="1" s="1"/>
  <c r="Z357" i="1" s="1"/>
  <c r="K186" i="1"/>
  <c r="K187" i="1" s="1"/>
  <c r="K188" i="1" s="1"/>
  <c r="K189" i="1" s="1"/>
  <c r="K190" i="1" s="1"/>
  <c r="K191" i="1" s="1"/>
  <c r="K192" i="1" s="1"/>
  <c r="K193" i="1" s="1"/>
  <c r="K194" i="1" s="1"/>
  <c r="K195" i="1" s="1"/>
  <c r="K196" i="1" s="1"/>
  <c r="K197" i="1" s="1"/>
  <c r="K198"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7" i="1" s="1"/>
  <c r="K298" i="1" s="1"/>
  <c r="K299" i="1" s="1"/>
  <c r="K300" i="1" s="1"/>
  <c r="K301" i="1" s="1"/>
  <c r="K302" i="1" s="1"/>
  <c r="K303" i="1" s="1"/>
  <c r="K304" i="1" s="1"/>
  <c r="K305" i="1" s="1"/>
  <c r="K306" i="1" s="1"/>
  <c r="K307" i="1" s="1"/>
  <c r="K308" i="1" s="1"/>
  <c r="K309" i="1" s="1"/>
  <c r="K310" i="1" s="1"/>
  <c r="K311" i="1" s="1"/>
  <c r="K313" i="1" s="1"/>
  <c r="K314" i="1" s="1"/>
  <c r="K315" i="1" s="1"/>
  <c r="K316" i="1" s="1"/>
  <c r="K317" i="1" s="1"/>
  <c r="K318" i="1" s="1"/>
  <c r="K319" i="1" s="1"/>
  <c r="K320" i="1" s="1"/>
  <c r="K321" i="1" s="1"/>
  <c r="K322" i="1" s="1"/>
  <c r="K323" i="1" s="1"/>
  <c r="K324" i="1" s="1"/>
  <c r="K325" i="1" s="1"/>
  <c r="K326" i="1" s="1"/>
  <c r="K327" i="1" s="1"/>
  <c r="K328" i="1" s="1"/>
  <c r="K329" i="1" s="1"/>
  <c r="K330" i="1" s="1"/>
  <c r="K331"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V194" i="2" l="1"/>
  <c r="V196" i="2" s="1"/>
  <c r="V190" i="2"/>
  <c r="V192" i="2"/>
  <c r="V254" i="2" l="1"/>
  <c r="V252" i="2"/>
  <c r="V256" i="2"/>
  <c r="V258" i="2" s="1"/>
  <c r="V273" i="2" l="1"/>
  <c r="V277" i="2"/>
  <c r="V279" i="2" s="1"/>
  <c r="V275" i="2"/>
  <c r="V304" i="2" l="1"/>
  <c r="V306" i="2" s="1"/>
  <c r="V302" i="2"/>
  <c r="V318" i="2"/>
  <c r="V300" i="2"/>
  <c r="V320" i="2" l="1"/>
  <c r="V322" i="2" s="1"/>
</calcChain>
</file>

<file path=xl/sharedStrings.xml><?xml version="1.0" encoding="utf-8"?>
<sst xmlns="http://schemas.openxmlformats.org/spreadsheetml/2006/main" count="323" uniqueCount="70">
  <si>
    <t>LAMBX</t>
  </si>
  <si>
    <t>LAMBY</t>
  </si>
  <si>
    <t>DATE</t>
  </si>
  <si>
    <t>PRELIQ_Q</t>
  </si>
  <si>
    <t>T_Q</t>
  </si>
  <si>
    <t>SSI_Q</t>
  </si>
  <si>
    <t>ETP_Q</t>
  </si>
  <si>
    <t>TINF_H_Q</t>
  </si>
  <si>
    <t>TSUP_H_Q</t>
  </si>
  <si>
    <t>TEMPERATURE</t>
  </si>
  <si>
    <t>EAU</t>
  </si>
  <si>
    <t>BILAN HYDRIQUE</t>
  </si>
  <si>
    <t>SOLAIRE</t>
  </si>
  <si>
    <t>Floraison</t>
  </si>
  <si>
    <t>Vernalisation</t>
  </si>
  <si>
    <t>Période</t>
  </si>
  <si>
    <t>GDD_Cumul</t>
  </si>
  <si>
    <t>GDD/période</t>
  </si>
  <si>
    <t>Indicateurs</t>
  </si>
  <si>
    <t>P-ETP</t>
  </si>
  <si>
    <t>RU_avant_semis</t>
  </si>
  <si>
    <t>i</t>
  </si>
  <si>
    <t>kc</t>
  </si>
  <si>
    <t>ETM</t>
  </si>
  <si>
    <t>P-ETM</t>
  </si>
  <si>
    <t>WSCi</t>
  </si>
  <si>
    <t>indicateur</t>
  </si>
  <si>
    <t>QTP</t>
  </si>
  <si>
    <t>SSI_Cumul</t>
  </si>
  <si>
    <t>SSI/période</t>
  </si>
  <si>
    <t>photopériode</t>
  </si>
  <si>
    <t>Indicateur</t>
  </si>
  <si>
    <t>SEMIS</t>
  </si>
  <si>
    <t>Levée</t>
  </si>
  <si>
    <t>FLO</t>
  </si>
  <si>
    <t>Fin FLO</t>
  </si>
  <si>
    <t>RECOLTE</t>
  </si>
  <si>
    <t>Hiver</t>
  </si>
  <si>
    <t>Fin Hiver</t>
  </si>
  <si>
    <t>LGDD</t>
  </si>
  <si>
    <t>TMN</t>
  </si>
  <si>
    <t>TMIN</t>
  </si>
  <si>
    <t>TMAX</t>
  </si>
  <si>
    <t>NBD_HT</t>
  </si>
  <si>
    <t>NBD_LT</t>
  </si>
  <si>
    <t>NBD_FR</t>
  </si>
  <si>
    <t>FALL</t>
  </si>
  <si>
    <t>CLIMATIC WINTER</t>
  </si>
  <si>
    <t>BOLTING</t>
  </si>
  <si>
    <t>FLOWERING</t>
  </si>
  <si>
    <t>P300</t>
  </si>
  <si>
    <t>P600</t>
  </si>
  <si>
    <t>P1000</t>
  </si>
  <si>
    <t>NBD_WD</t>
  </si>
  <si>
    <t>NBD_WS</t>
  </si>
  <si>
    <t>WSC_MIN</t>
  </si>
  <si>
    <t>WSC_MAX</t>
  </si>
  <si>
    <t>WSC_MN</t>
  </si>
  <si>
    <t>SSR</t>
  </si>
  <si>
    <t>QPT</t>
  </si>
  <si>
    <t>NBD_DSR</t>
  </si>
  <si>
    <t>s</t>
  </si>
  <si>
    <t>NBD_VERN</t>
  </si>
  <si>
    <t>N50</t>
  </si>
  <si>
    <t>N70</t>
  </si>
  <si>
    <t>WSC_I</t>
  </si>
  <si>
    <t>BI</t>
  </si>
  <si>
    <t>DRF</t>
  </si>
  <si>
    <t>TS</t>
  </si>
  <si>
    <t>IRF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</si>
</sst>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 x14ac:knownFonts="1">
    <font>
      <sz val="11"/>
      <color theme="1"/>
      <name val="Calibri"/>
      <family val="2"/>
      <scheme val="minor"/>
    </font>
    <font>
      <b/>
      <sz val="11"/>
      <color theme="1"/>
      <name val="Calibri"/>
      <family val="2"/>
      <scheme val="minor"/>
    </font>
    <font>
      <b/>
      <i/>
      <u/>
      <sz val="11"/>
      <color theme="1"/>
      <name val="Calibri"/>
      <family val="2"/>
      <scheme val="minor"/>
    </font>
  </fonts>
  <fills count="15">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rgb="FFFF5FC9"/>
        <bgColor indexed="64"/>
      </patternFill>
    </fill>
    <fill>
      <patternFill patternType="solid">
        <fgColor rgb="FFC67DFF"/>
        <bgColor indexed="64"/>
      </patternFill>
    </fill>
    <fill>
      <patternFill patternType="solid">
        <fgColor rgb="FF05A6FF"/>
        <bgColor indexed="64"/>
      </patternFill>
    </fill>
    <fill>
      <patternFill patternType="solid">
        <fgColor rgb="FF0ABFC6"/>
        <bgColor indexed="64"/>
      </patternFill>
    </fill>
    <fill>
      <patternFill patternType="solid">
        <fgColor rgb="FF00CC67"/>
        <bgColor indexed="64"/>
      </patternFill>
    </fill>
    <fill>
      <patternFill patternType="solid">
        <fgColor rgb="FF7BAE02"/>
        <bgColor indexed="64"/>
      </patternFill>
    </fill>
    <fill>
      <patternFill patternType="solid">
        <fgColor rgb="FFCF9C01"/>
        <bgColor indexed="64"/>
      </patternFill>
    </fill>
    <fill>
      <patternFill patternType="solid">
        <fgColor theme="6"/>
        <bgColor indexed="64"/>
      </patternFill>
    </fill>
    <fill>
      <patternFill patternType="solid">
        <fgColor theme="2"/>
        <bgColor indexed="64"/>
      </patternFill>
    </fill>
    <fill>
      <patternFill patternType="solid">
        <fgColor theme="3"/>
        <bgColor indexed="64"/>
      </patternFill>
    </fill>
    <fill>
      <patternFill patternType="solid">
        <fgColor theme="0" tint="-0.14999847407452621"/>
        <bgColor indexed="64"/>
      </patternFill>
    </fill>
  </fills>
  <borders count="4">
    <border>
      <left/>
      <right/>
      <top/>
      <bottom/>
      <diagonal/>
    </border>
    <border>
      <left/>
      <right style="thin">
        <color indexed="64"/>
      </right>
      <top/>
      <bottom/>
      <diagonal/>
    </border>
    <border>
      <left/>
      <right/>
      <top/>
      <bottom style="medium">
        <color indexed="64"/>
      </bottom>
      <diagonal/>
    </border>
    <border>
      <left/>
      <right/>
      <top style="medium">
        <color indexed="64"/>
      </top>
      <bottom/>
      <diagonal/>
    </border>
  </borders>
  <cellStyleXfs count="1">
    <xf numFmtId="0" fontId="0" fillId="0" borderId="0"/>
  </cellStyleXfs>
  <cellXfs count="63">
    <xf numFmtId="0" fontId="0" fillId="0" borderId="0" xfId="0"/>
    <xf numFmtId="0" fontId="1" fillId="0" borderId="0" xfId="0" applyFont="1" applyAlignment="1">
      <alignment horizontal="center" vertical="center"/>
    </xf>
    <xf numFmtId="0" fontId="1" fillId="0" borderId="0" xfId="0" applyFont="1"/>
    <xf numFmtId="0" fontId="1" fillId="0" borderId="0" xfId="0" applyNumberFormat="1" applyFont="1" applyFill="1"/>
    <xf numFmtId="0" fontId="1" fillId="0" borderId="1" xfId="0" applyFont="1" applyFill="1" applyBorder="1"/>
    <xf numFmtId="0" fontId="1" fillId="0" borderId="0" xfId="0" applyFont="1" applyFill="1"/>
    <xf numFmtId="0" fontId="1" fillId="0" borderId="0" xfId="0" applyNumberFormat="1" applyFont="1" applyFill="1" applyBorder="1"/>
    <xf numFmtId="0" fontId="1" fillId="0" borderId="0" xfId="0" applyFont="1" applyFill="1" applyBorder="1"/>
    <xf numFmtId="14" fontId="0" fillId="0" borderId="0" xfId="0" applyNumberFormat="1"/>
    <xf numFmtId="0" fontId="0" fillId="3" borderId="0" xfId="0" applyFill="1"/>
    <xf numFmtId="0" fontId="0" fillId="2" borderId="0" xfId="0" applyFill="1"/>
    <xf numFmtId="0" fontId="1" fillId="4" borderId="1" xfId="0" applyFont="1" applyFill="1" applyBorder="1"/>
    <xf numFmtId="0" fontId="0" fillId="0" borderId="1" xfId="0" applyBorder="1"/>
    <xf numFmtId="0" fontId="0" fillId="0" borderId="1" xfId="0" applyFont="1" applyBorder="1"/>
    <xf numFmtId="0" fontId="1" fillId="5" borderId="1" xfId="0" applyFont="1" applyFill="1" applyBorder="1"/>
    <xf numFmtId="0" fontId="1" fillId="6" borderId="1" xfId="0" applyFont="1" applyFill="1" applyBorder="1"/>
    <xf numFmtId="0" fontId="1" fillId="7" borderId="1" xfId="0" applyFont="1" applyFill="1" applyBorder="1"/>
    <xf numFmtId="2" fontId="0" fillId="0" borderId="1" xfId="0" applyNumberFormat="1" applyBorder="1"/>
    <xf numFmtId="0" fontId="0" fillId="0" borderId="1" xfId="0" applyFill="1" applyBorder="1"/>
    <xf numFmtId="0" fontId="1" fillId="8" borderId="1" xfId="0" applyFont="1" applyFill="1" applyBorder="1"/>
    <xf numFmtId="0" fontId="1" fillId="9" borderId="1" xfId="0" applyFont="1" applyFill="1" applyBorder="1"/>
    <xf numFmtId="0" fontId="1" fillId="10" borderId="1" xfId="0" applyFont="1" applyFill="1" applyBorder="1"/>
    <xf numFmtId="0" fontId="0" fillId="0" borderId="0" xfId="0" applyFill="1" applyBorder="1"/>
    <xf numFmtId="2" fontId="0" fillId="0" borderId="0" xfId="0" applyNumberFormat="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1" fillId="0" borderId="2" xfId="0" applyFont="1" applyBorder="1"/>
    <xf numFmtId="14" fontId="1" fillId="0" borderId="2" xfId="0" applyNumberFormat="1" applyFont="1" applyBorder="1"/>
    <xf numFmtId="2" fontId="1" fillId="0" borderId="2" xfId="0" applyNumberFormat="1" applyFont="1" applyBorder="1"/>
    <xf numFmtId="0" fontId="1" fillId="0" borderId="2" xfId="0" applyFont="1" applyFill="1" applyBorder="1"/>
    <xf numFmtId="0" fontId="0" fillId="11" borderId="0" xfId="0" applyFill="1"/>
    <xf numFmtId="0" fontId="1" fillId="11" borderId="2" xfId="0" applyFont="1" applyFill="1" applyBorder="1"/>
    <xf numFmtId="0" fontId="1" fillId="0" borderId="0" xfId="0" applyFont="1" applyAlignment="1">
      <alignment horizontal="center" vertical="center"/>
    </xf>
    <xf numFmtId="0" fontId="0" fillId="0" borderId="0" xfId="0" applyFont="1" applyBorder="1"/>
    <xf numFmtId="14" fontId="0" fillId="0" borderId="0" xfId="0" applyNumberFormat="1" applyFont="1" applyBorder="1"/>
    <xf numFmtId="0" fontId="0" fillId="0" borderId="0" xfId="0" applyFont="1" applyFill="1" applyBorder="1"/>
    <xf numFmtId="2" fontId="0" fillId="0" borderId="0" xfId="0" applyNumberFormat="1" applyFont="1" applyBorder="1"/>
    <xf numFmtId="164" fontId="0" fillId="0" borderId="0" xfId="0" applyNumberFormat="1"/>
    <xf numFmtId="0" fontId="1" fillId="0" borderId="0" xfId="0" applyFont="1"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1" fillId="4" borderId="0" xfId="0" applyFont="1" applyFill="1" applyBorder="1" applyAlignment="1">
      <alignment horizontal="center" vertical="center" textRotation="255"/>
    </xf>
    <xf numFmtId="0" fontId="1" fillId="5" borderId="0" xfId="0" applyFont="1" applyFill="1" applyBorder="1" applyAlignment="1">
      <alignment horizontal="center" vertical="center" textRotation="255"/>
    </xf>
    <xf numFmtId="0" fontId="1" fillId="6" borderId="0" xfId="0" applyFont="1" applyFill="1" applyBorder="1" applyAlignment="1">
      <alignment horizontal="center" vertical="center" textRotation="255"/>
    </xf>
    <xf numFmtId="0" fontId="1" fillId="7" borderId="0" xfId="0" applyFont="1" applyFill="1" applyBorder="1" applyAlignment="1">
      <alignment horizontal="center" vertical="center" textRotation="255"/>
    </xf>
    <xf numFmtId="0" fontId="1" fillId="8" borderId="0" xfId="0" applyFont="1" applyFill="1" applyBorder="1" applyAlignment="1">
      <alignment horizontal="center" vertical="center" textRotation="255"/>
    </xf>
    <xf numFmtId="0" fontId="1" fillId="9" borderId="0" xfId="0" applyFont="1" applyFill="1" applyBorder="1" applyAlignment="1">
      <alignment horizontal="center" vertical="center" textRotation="255"/>
    </xf>
    <xf numFmtId="0" fontId="1" fillId="10" borderId="0" xfId="0" applyFont="1" applyFill="1" applyBorder="1" applyAlignment="1">
      <alignment horizontal="center" vertical="center" textRotation="255"/>
    </xf>
    <xf numFmtId="0" fontId="1" fillId="6" borderId="2" xfId="0" applyFont="1" applyFill="1" applyBorder="1" applyAlignment="1">
      <alignment horizontal="center" vertical="center" textRotation="255"/>
    </xf>
    <xf numFmtId="0" fontId="1" fillId="7" borderId="3" xfId="0" applyFont="1" applyFill="1" applyBorder="1" applyAlignment="1">
      <alignment horizontal="center" vertical="center" textRotation="255"/>
    </xf>
    <xf numFmtId="0" fontId="0" fillId="12" borderId="0" xfId="0" applyFill="1"/>
    <xf numFmtId="2" fontId="0" fillId="12" borderId="0" xfId="0" applyNumberFormat="1" applyFill="1"/>
    <xf numFmtId="0" fontId="0" fillId="13" borderId="0" xfId="0" applyFill="1"/>
    <xf numFmtId="14" fontId="0" fillId="13" borderId="0" xfId="0" applyNumberFormat="1" applyFill="1"/>
    <xf numFmtId="2" fontId="0" fillId="13" borderId="0" xfId="0" applyNumberFormat="1" applyFill="1"/>
    <xf numFmtId="0" fontId="0" fillId="13" borderId="0" xfId="0" applyFill="1" applyBorder="1"/>
    <xf numFmtId="2" fontId="0" fillId="14" borderId="0" xfId="0" applyNumberFormat="1" applyFill="1"/>
    <xf numFmtId="0" fontId="0" fillId="14" borderId="0" xfId="0" applyFill="1"/>
  </cellXfs>
  <cellStyles count="1">
    <cellStyle name="Normal" xfId="0" builtinId="0"/>
  </cellStyles>
  <dxfs count="50">
    <dxf>
      <fill>
        <patternFill>
          <bgColor theme="5" tint="0.59996337778862885"/>
        </patternFill>
      </fill>
    </dxf>
    <dxf>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59996337778862885"/>
        </patternFill>
      </fill>
    </dxf>
    <dxf>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theme="4"/>
        </patternFill>
      </fill>
    </dxf>
    <dxf>
      <fill>
        <patternFill>
          <bgColor rgb="FF00B0F0"/>
        </patternFill>
      </fill>
    </dxf>
    <dxf>
      <fill>
        <patternFill>
          <bgColor rgb="FF00B0F0"/>
        </patternFill>
      </fill>
    </dxf>
    <dxf>
      <fill>
        <patternFill>
          <bgColor theme="4" tint="0.39994506668294322"/>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01"/>
  <sheetViews>
    <sheetView zoomScale="80" zoomScaleNormal="80" workbookViewId="0">
      <pane xSplit="6" ySplit="2" topLeftCell="G267" activePane="bottomRight" state="frozen"/>
      <selection pane="topRight" activeCell="G1" sqref="G1"/>
      <selection pane="bottomLeft" activeCell="A3" sqref="A3"/>
      <selection pane="bottomRight" activeCell="P326" sqref="P326"/>
    </sheetView>
  </sheetViews>
  <sheetFormatPr baseColWidth="10" defaultRowHeight="15" x14ac:dyDescent="0.25"/>
  <sheetData>
    <row r="1" spans="1:28" x14ac:dyDescent="0.25">
      <c r="G1" s="43" t="s">
        <v>9</v>
      </c>
      <c r="H1" s="43"/>
      <c r="I1" s="43"/>
      <c r="J1" s="43"/>
      <c r="K1" s="43"/>
      <c r="L1" s="43"/>
      <c r="M1" s="43" t="s">
        <v>10</v>
      </c>
      <c r="N1" s="43"/>
      <c r="O1" s="43"/>
      <c r="P1" s="43"/>
      <c r="Q1" s="43" t="s">
        <v>11</v>
      </c>
      <c r="R1" s="43"/>
      <c r="S1" s="43"/>
      <c r="T1" s="43"/>
      <c r="U1" s="43"/>
      <c r="V1" s="1"/>
      <c r="W1" s="43" t="s">
        <v>12</v>
      </c>
      <c r="X1" s="43"/>
      <c r="Y1" s="43"/>
      <c r="Z1" s="43"/>
      <c r="AA1" s="43"/>
      <c r="AB1" s="43"/>
    </row>
    <row r="2" spans="1:28" x14ac:dyDescent="0.25">
      <c r="A2" s="2" t="s">
        <v>0</v>
      </c>
      <c r="B2" s="2" t="s">
        <v>1</v>
      </c>
      <c r="C2" s="2" t="s">
        <v>2</v>
      </c>
      <c r="D2" s="2" t="s">
        <v>13</v>
      </c>
      <c r="E2" s="2" t="s">
        <v>14</v>
      </c>
      <c r="F2" s="2" t="s">
        <v>15</v>
      </c>
      <c r="G2" s="2" t="s">
        <v>4</v>
      </c>
      <c r="H2" s="2" t="s">
        <v>7</v>
      </c>
      <c r="I2" s="2" t="s">
        <v>8</v>
      </c>
      <c r="J2" s="3" t="s">
        <v>16</v>
      </c>
      <c r="K2" s="3" t="s">
        <v>17</v>
      </c>
      <c r="L2" s="4" t="s">
        <v>18</v>
      </c>
      <c r="M2" s="5" t="s">
        <v>3</v>
      </c>
      <c r="N2" s="5" t="s">
        <v>6</v>
      </c>
      <c r="O2" s="6" t="s">
        <v>19</v>
      </c>
      <c r="P2" s="7" t="s">
        <v>20</v>
      </c>
      <c r="Q2" s="7" t="s">
        <v>21</v>
      </c>
      <c r="R2" s="7" t="s">
        <v>22</v>
      </c>
      <c r="S2" s="7" t="s">
        <v>23</v>
      </c>
      <c r="T2" s="6" t="s">
        <v>24</v>
      </c>
      <c r="U2" s="7" t="s">
        <v>25</v>
      </c>
      <c r="V2" s="4" t="s">
        <v>26</v>
      </c>
      <c r="W2" s="5" t="s">
        <v>5</v>
      </c>
      <c r="X2" s="5" t="s">
        <v>27</v>
      </c>
      <c r="Y2" s="5" t="s">
        <v>28</v>
      </c>
      <c r="Z2" s="5" t="s">
        <v>29</v>
      </c>
      <c r="AA2" s="5" t="s">
        <v>30</v>
      </c>
      <c r="AB2" s="5" t="s">
        <v>31</v>
      </c>
    </row>
    <row r="3" spans="1:28" x14ac:dyDescent="0.25">
      <c r="A3">
        <v>6280</v>
      </c>
      <c r="B3">
        <v>24170</v>
      </c>
      <c r="C3" s="8">
        <v>42582</v>
      </c>
      <c r="G3">
        <v>19</v>
      </c>
      <c r="H3">
        <v>14.9</v>
      </c>
      <c r="I3">
        <v>22.6</v>
      </c>
      <c r="M3">
        <v>0</v>
      </c>
      <c r="N3">
        <v>4.0999999999999996</v>
      </c>
      <c r="O3">
        <f>M3-N3</f>
        <v>-4.0999999999999996</v>
      </c>
      <c r="P3">
        <v>0</v>
      </c>
      <c r="W3">
        <v>2137.6</v>
      </c>
    </row>
    <row r="4" spans="1:28" x14ac:dyDescent="0.25">
      <c r="A4">
        <v>6280</v>
      </c>
      <c r="B4">
        <v>24170</v>
      </c>
      <c r="C4" s="8">
        <v>42583</v>
      </c>
      <c r="G4">
        <v>19.100000000000001</v>
      </c>
      <c r="H4">
        <v>14.6</v>
      </c>
      <c r="I4">
        <v>22.9</v>
      </c>
      <c r="M4">
        <v>3.1</v>
      </c>
      <c r="N4">
        <v>3.3</v>
      </c>
      <c r="O4">
        <f t="shared" ref="O4:O33" si="0">M4-N4</f>
        <v>-0.19999999999999973</v>
      </c>
      <c r="P4">
        <v>0</v>
      </c>
      <c r="W4">
        <v>1628.9</v>
      </c>
    </row>
    <row r="5" spans="1:28" x14ac:dyDescent="0.25">
      <c r="A5">
        <v>6280</v>
      </c>
      <c r="B5">
        <v>24170</v>
      </c>
      <c r="C5" s="8">
        <v>42584</v>
      </c>
      <c r="G5">
        <v>18.600000000000001</v>
      </c>
      <c r="H5">
        <v>15.6</v>
      </c>
      <c r="I5">
        <v>20.5</v>
      </c>
      <c r="M5">
        <v>3.3</v>
      </c>
      <c r="N5">
        <v>1.5</v>
      </c>
      <c r="O5">
        <f t="shared" si="0"/>
        <v>1.7999999999999998</v>
      </c>
      <c r="P5">
        <f>O5</f>
        <v>1.7999999999999998</v>
      </c>
      <c r="W5">
        <v>730.7</v>
      </c>
    </row>
    <row r="6" spans="1:28" x14ac:dyDescent="0.25">
      <c r="A6">
        <v>6280</v>
      </c>
      <c r="B6">
        <v>24170</v>
      </c>
      <c r="C6" s="8">
        <v>42585</v>
      </c>
      <c r="G6">
        <v>20.5</v>
      </c>
      <c r="H6">
        <v>18</v>
      </c>
      <c r="I6">
        <v>23.8</v>
      </c>
      <c r="M6">
        <v>0.7</v>
      </c>
      <c r="N6">
        <v>3.3</v>
      </c>
      <c r="O6">
        <f t="shared" si="0"/>
        <v>-2.5999999999999996</v>
      </c>
      <c r="P6">
        <v>0</v>
      </c>
      <c r="W6">
        <v>1423.5</v>
      </c>
    </row>
    <row r="7" spans="1:28" x14ac:dyDescent="0.25">
      <c r="A7">
        <v>6280</v>
      </c>
      <c r="B7">
        <v>24170</v>
      </c>
      <c r="C7" s="8">
        <v>42586</v>
      </c>
      <c r="G7">
        <v>17.7</v>
      </c>
      <c r="H7">
        <v>16.5</v>
      </c>
      <c r="I7">
        <v>19.899999999999999</v>
      </c>
      <c r="M7">
        <v>1.4</v>
      </c>
      <c r="N7">
        <v>1.4</v>
      </c>
      <c r="O7">
        <f t="shared" si="0"/>
        <v>0</v>
      </c>
      <c r="P7">
        <f t="shared" ref="P7" si="1">P6+O7</f>
        <v>0</v>
      </c>
      <c r="W7">
        <v>841.9</v>
      </c>
    </row>
    <row r="8" spans="1:28" x14ac:dyDescent="0.25">
      <c r="A8">
        <v>6280</v>
      </c>
      <c r="B8">
        <v>24170</v>
      </c>
      <c r="C8" s="8">
        <v>42587</v>
      </c>
      <c r="G8">
        <v>18</v>
      </c>
      <c r="H8">
        <v>14.6</v>
      </c>
      <c r="I8">
        <v>22.2</v>
      </c>
      <c r="M8">
        <v>0</v>
      </c>
      <c r="N8">
        <v>4</v>
      </c>
      <c r="O8">
        <f t="shared" si="0"/>
        <v>-4</v>
      </c>
      <c r="P8">
        <v>0</v>
      </c>
      <c r="W8">
        <v>2047.6</v>
      </c>
    </row>
    <row r="9" spans="1:28" x14ac:dyDescent="0.25">
      <c r="A9">
        <v>6280</v>
      </c>
      <c r="B9">
        <v>24170</v>
      </c>
      <c r="C9" s="8">
        <v>42588</v>
      </c>
      <c r="G9">
        <v>18.600000000000001</v>
      </c>
      <c r="H9">
        <v>14.2</v>
      </c>
      <c r="I9">
        <v>23.1</v>
      </c>
      <c r="M9">
        <v>0</v>
      </c>
      <c r="N9">
        <v>4.3</v>
      </c>
      <c r="O9">
        <f t="shared" si="0"/>
        <v>-4.3</v>
      </c>
      <c r="P9">
        <v>0</v>
      </c>
      <c r="W9">
        <v>2240.1999999999998</v>
      </c>
    </row>
    <row r="10" spans="1:28" x14ac:dyDescent="0.25">
      <c r="A10">
        <v>6280</v>
      </c>
      <c r="B10">
        <v>24170</v>
      </c>
      <c r="C10" s="8">
        <v>42589</v>
      </c>
      <c r="G10">
        <v>21.6</v>
      </c>
      <c r="H10">
        <v>14.6</v>
      </c>
      <c r="I10">
        <v>27.9</v>
      </c>
      <c r="M10">
        <v>0</v>
      </c>
      <c r="N10">
        <v>4.7</v>
      </c>
      <c r="O10">
        <f t="shared" si="0"/>
        <v>-4.7</v>
      </c>
      <c r="P10">
        <v>0</v>
      </c>
      <c r="W10">
        <v>2239.5</v>
      </c>
    </row>
    <row r="11" spans="1:28" x14ac:dyDescent="0.25">
      <c r="A11">
        <v>6280</v>
      </c>
      <c r="B11">
        <v>24170</v>
      </c>
      <c r="C11" s="8">
        <v>42590</v>
      </c>
      <c r="G11">
        <v>18.2</v>
      </c>
      <c r="H11">
        <v>16.399999999999999</v>
      </c>
      <c r="I11">
        <v>20.399999999999999</v>
      </c>
      <c r="M11">
        <v>0</v>
      </c>
      <c r="N11">
        <v>2.6</v>
      </c>
      <c r="O11">
        <f t="shared" si="0"/>
        <v>-2.6</v>
      </c>
      <c r="P11">
        <v>0</v>
      </c>
      <c r="W11">
        <v>1097.5</v>
      </c>
    </row>
    <row r="12" spans="1:28" x14ac:dyDescent="0.25">
      <c r="A12">
        <v>6280</v>
      </c>
      <c r="B12">
        <v>24170</v>
      </c>
      <c r="C12" s="8">
        <v>42591</v>
      </c>
      <c r="G12">
        <v>17.2</v>
      </c>
      <c r="H12">
        <v>14</v>
      </c>
      <c r="I12">
        <v>21.2</v>
      </c>
      <c r="M12">
        <v>0</v>
      </c>
      <c r="N12">
        <v>4.9000000000000004</v>
      </c>
      <c r="O12">
        <f t="shared" si="0"/>
        <v>-4.9000000000000004</v>
      </c>
      <c r="P12">
        <v>0</v>
      </c>
      <c r="W12">
        <v>2574</v>
      </c>
    </row>
    <row r="13" spans="1:28" x14ac:dyDescent="0.25">
      <c r="A13">
        <v>6280</v>
      </c>
      <c r="B13">
        <v>24170</v>
      </c>
      <c r="C13" s="8">
        <v>42592</v>
      </c>
      <c r="G13">
        <v>13.8</v>
      </c>
      <c r="H13">
        <v>11.1</v>
      </c>
      <c r="I13">
        <v>17.3</v>
      </c>
      <c r="M13">
        <v>0</v>
      </c>
      <c r="N13">
        <v>2.8</v>
      </c>
      <c r="O13">
        <f t="shared" si="0"/>
        <v>-2.8</v>
      </c>
      <c r="P13">
        <v>0</v>
      </c>
      <c r="W13">
        <v>1484.6</v>
      </c>
    </row>
    <row r="14" spans="1:28" x14ac:dyDescent="0.25">
      <c r="A14">
        <v>6280</v>
      </c>
      <c r="B14">
        <v>24170</v>
      </c>
      <c r="C14" s="8">
        <v>42593</v>
      </c>
      <c r="G14">
        <v>15.9</v>
      </c>
      <c r="H14">
        <v>9.6</v>
      </c>
      <c r="I14">
        <v>21.5</v>
      </c>
      <c r="M14">
        <v>0</v>
      </c>
      <c r="N14">
        <v>2.2999999999999998</v>
      </c>
      <c r="O14">
        <f t="shared" si="0"/>
        <v>-2.2999999999999998</v>
      </c>
      <c r="P14">
        <v>0</v>
      </c>
      <c r="W14">
        <v>1080.0999999999999</v>
      </c>
    </row>
    <row r="15" spans="1:28" x14ac:dyDescent="0.25">
      <c r="A15">
        <v>6280</v>
      </c>
      <c r="B15">
        <v>24170</v>
      </c>
      <c r="C15" s="8">
        <v>42594</v>
      </c>
      <c r="G15">
        <v>20</v>
      </c>
      <c r="H15">
        <v>14.5</v>
      </c>
      <c r="I15">
        <v>25.9</v>
      </c>
      <c r="M15">
        <v>0</v>
      </c>
      <c r="N15">
        <v>3.8</v>
      </c>
      <c r="O15">
        <f t="shared" si="0"/>
        <v>-3.8</v>
      </c>
      <c r="P15">
        <v>0</v>
      </c>
      <c r="W15">
        <v>1777.4</v>
      </c>
    </row>
    <row r="16" spans="1:28" x14ac:dyDescent="0.25">
      <c r="A16">
        <v>6280</v>
      </c>
      <c r="B16">
        <v>24170</v>
      </c>
      <c r="C16" s="8">
        <v>42595</v>
      </c>
      <c r="G16">
        <v>20.9</v>
      </c>
      <c r="H16">
        <v>15.4</v>
      </c>
      <c r="I16">
        <v>26.4</v>
      </c>
      <c r="M16">
        <v>0</v>
      </c>
      <c r="N16">
        <v>4.8</v>
      </c>
      <c r="O16">
        <f t="shared" si="0"/>
        <v>-4.8</v>
      </c>
      <c r="P16">
        <v>0</v>
      </c>
      <c r="W16">
        <v>2241.8000000000002</v>
      </c>
    </row>
    <row r="17" spans="1:28" x14ac:dyDescent="0.25">
      <c r="A17">
        <v>6280</v>
      </c>
      <c r="B17">
        <v>24170</v>
      </c>
      <c r="C17" s="8">
        <v>42596</v>
      </c>
      <c r="G17">
        <v>19.899999999999999</v>
      </c>
      <c r="H17">
        <v>14.1</v>
      </c>
      <c r="I17">
        <v>25.4</v>
      </c>
      <c r="M17">
        <v>0</v>
      </c>
      <c r="N17">
        <v>4.3</v>
      </c>
      <c r="O17">
        <f t="shared" si="0"/>
        <v>-4.3</v>
      </c>
      <c r="P17">
        <v>0</v>
      </c>
      <c r="W17">
        <v>2050.9</v>
      </c>
    </row>
    <row r="18" spans="1:28" x14ac:dyDescent="0.25">
      <c r="A18">
        <v>6280</v>
      </c>
      <c r="B18">
        <v>24170</v>
      </c>
      <c r="C18" s="8">
        <v>42597</v>
      </c>
      <c r="G18">
        <v>20.5</v>
      </c>
      <c r="H18">
        <v>14</v>
      </c>
      <c r="I18">
        <v>26.1</v>
      </c>
      <c r="M18">
        <v>0</v>
      </c>
      <c r="N18">
        <v>5.2</v>
      </c>
      <c r="O18">
        <f t="shared" si="0"/>
        <v>-5.2</v>
      </c>
      <c r="P18">
        <v>0</v>
      </c>
      <c r="W18">
        <v>2481.4</v>
      </c>
    </row>
    <row r="19" spans="1:28" x14ac:dyDescent="0.25">
      <c r="A19">
        <v>6280</v>
      </c>
      <c r="B19">
        <v>24170</v>
      </c>
      <c r="C19" s="8">
        <v>42598</v>
      </c>
      <c r="G19">
        <v>22.2</v>
      </c>
      <c r="H19">
        <v>14.8</v>
      </c>
      <c r="I19">
        <v>27.7</v>
      </c>
      <c r="M19">
        <v>0</v>
      </c>
      <c r="N19">
        <v>4.8</v>
      </c>
      <c r="O19">
        <f t="shared" si="0"/>
        <v>-4.8</v>
      </c>
      <c r="P19">
        <v>0</v>
      </c>
      <c r="W19">
        <v>2304.9</v>
      </c>
    </row>
    <row r="20" spans="1:28" x14ac:dyDescent="0.25">
      <c r="A20">
        <v>6280</v>
      </c>
      <c r="B20">
        <v>24170</v>
      </c>
      <c r="C20" s="8">
        <v>42599</v>
      </c>
      <c r="G20">
        <v>22.7</v>
      </c>
      <c r="H20">
        <v>17.3</v>
      </c>
      <c r="I20">
        <v>27.5</v>
      </c>
      <c r="M20">
        <v>2.9</v>
      </c>
      <c r="N20">
        <v>4.9000000000000004</v>
      </c>
      <c r="O20">
        <f t="shared" si="0"/>
        <v>-2.0000000000000004</v>
      </c>
      <c r="P20">
        <v>0</v>
      </c>
      <c r="W20">
        <v>2263</v>
      </c>
    </row>
    <row r="21" spans="1:28" x14ac:dyDescent="0.25">
      <c r="A21">
        <v>6280</v>
      </c>
      <c r="B21">
        <v>24170</v>
      </c>
      <c r="C21" s="8">
        <v>42600</v>
      </c>
      <c r="G21">
        <v>19.2</v>
      </c>
      <c r="H21">
        <v>17.600000000000001</v>
      </c>
      <c r="I21">
        <v>20.8</v>
      </c>
      <c r="M21">
        <v>1.1000000000000001</v>
      </c>
      <c r="N21">
        <v>1.5</v>
      </c>
      <c r="O21">
        <f t="shared" si="0"/>
        <v>-0.39999999999999991</v>
      </c>
      <c r="P21">
        <v>0</v>
      </c>
      <c r="W21">
        <v>663</v>
      </c>
    </row>
    <row r="22" spans="1:28" x14ac:dyDescent="0.25">
      <c r="A22">
        <v>6280</v>
      </c>
      <c r="B22">
        <v>24170</v>
      </c>
      <c r="C22" s="8">
        <v>42601</v>
      </c>
      <c r="G22">
        <v>18.899999999999999</v>
      </c>
      <c r="H22">
        <v>16.7</v>
      </c>
      <c r="I22">
        <v>22.7</v>
      </c>
      <c r="M22">
        <v>0.8</v>
      </c>
      <c r="N22">
        <v>2.7</v>
      </c>
      <c r="O22">
        <f t="shared" si="0"/>
        <v>-1.9000000000000001</v>
      </c>
      <c r="P22">
        <v>0</v>
      </c>
      <c r="W22">
        <v>1160.8</v>
      </c>
    </row>
    <row r="23" spans="1:28" x14ac:dyDescent="0.25">
      <c r="A23">
        <v>6280</v>
      </c>
      <c r="B23">
        <v>24170</v>
      </c>
      <c r="C23" s="8">
        <v>42602</v>
      </c>
      <c r="G23">
        <v>18.8</v>
      </c>
      <c r="H23">
        <v>14.6</v>
      </c>
      <c r="I23">
        <v>22.7</v>
      </c>
      <c r="M23">
        <v>0</v>
      </c>
      <c r="N23">
        <v>4.4000000000000004</v>
      </c>
      <c r="O23">
        <f t="shared" si="0"/>
        <v>-4.4000000000000004</v>
      </c>
      <c r="P23">
        <v>0</v>
      </c>
      <c r="W23">
        <v>1967.8</v>
      </c>
    </row>
    <row r="24" spans="1:28" x14ac:dyDescent="0.25">
      <c r="A24">
        <v>6280</v>
      </c>
      <c r="B24">
        <v>24170</v>
      </c>
      <c r="C24" s="8">
        <v>42603</v>
      </c>
      <c r="G24">
        <v>16.899999999999999</v>
      </c>
      <c r="H24">
        <v>14.3</v>
      </c>
      <c r="I24">
        <v>20</v>
      </c>
      <c r="M24">
        <v>0.2</v>
      </c>
      <c r="N24">
        <v>2.2999999999999998</v>
      </c>
      <c r="O24">
        <f t="shared" si="0"/>
        <v>-2.0999999999999996</v>
      </c>
      <c r="P24">
        <v>0</v>
      </c>
      <c r="W24">
        <v>1055.9000000000001</v>
      </c>
    </row>
    <row r="25" spans="1:28" x14ac:dyDescent="0.25">
      <c r="A25">
        <v>6280</v>
      </c>
      <c r="B25">
        <v>24170</v>
      </c>
      <c r="C25" s="8">
        <v>42604</v>
      </c>
      <c r="G25">
        <v>21.1</v>
      </c>
      <c r="H25">
        <v>15.3</v>
      </c>
      <c r="I25">
        <v>26.1</v>
      </c>
      <c r="M25">
        <v>0</v>
      </c>
      <c r="N25">
        <v>4.0999999999999996</v>
      </c>
      <c r="O25">
        <f t="shared" si="0"/>
        <v>-4.0999999999999996</v>
      </c>
      <c r="P25">
        <v>0</v>
      </c>
      <c r="W25">
        <v>1893</v>
      </c>
    </row>
    <row r="26" spans="1:28" x14ac:dyDescent="0.25">
      <c r="A26">
        <v>6280</v>
      </c>
      <c r="B26">
        <v>24170</v>
      </c>
      <c r="C26" s="8">
        <v>42605</v>
      </c>
      <c r="G26">
        <v>23.8</v>
      </c>
      <c r="H26">
        <v>18</v>
      </c>
      <c r="I26">
        <v>29.3</v>
      </c>
      <c r="M26">
        <v>0</v>
      </c>
      <c r="N26">
        <v>6.3</v>
      </c>
      <c r="O26">
        <f t="shared" si="0"/>
        <v>-6.3</v>
      </c>
      <c r="P26">
        <v>0</v>
      </c>
      <c r="W26">
        <v>2506.9</v>
      </c>
    </row>
    <row r="27" spans="1:28" x14ac:dyDescent="0.25">
      <c r="A27">
        <v>6280</v>
      </c>
      <c r="B27">
        <v>24170</v>
      </c>
      <c r="C27" s="8">
        <v>42606</v>
      </c>
      <c r="G27">
        <v>26.1</v>
      </c>
      <c r="H27">
        <v>18.899999999999999</v>
      </c>
      <c r="I27">
        <v>32.9</v>
      </c>
      <c r="M27">
        <v>0</v>
      </c>
      <c r="N27">
        <v>6.5</v>
      </c>
      <c r="O27">
        <f t="shared" si="0"/>
        <v>-6.5</v>
      </c>
      <c r="P27">
        <v>0</v>
      </c>
      <c r="W27">
        <v>2491.6999999999998</v>
      </c>
    </row>
    <row r="28" spans="1:28" x14ac:dyDescent="0.25">
      <c r="A28">
        <v>6280</v>
      </c>
      <c r="B28">
        <v>24170</v>
      </c>
      <c r="C28" s="8">
        <v>42607</v>
      </c>
      <c r="G28">
        <v>26.9</v>
      </c>
      <c r="H28">
        <v>20</v>
      </c>
      <c r="I28">
        <v>34.5</v>
      </c>
      <c r="M28">
        <v>0</v>
      </c>
      <c r="N28">
        <v>5.6</v>
      </c>
      <c r="O28">
        <f t="shared" si="0"/>
        <v>-5.6</v>
      </c>
      <c r="P28">
        <v>0</v>
      </c>
      <c r="W28">
        <v>2135.5</v>
      </c>
    </row>
    <row r="29" spans="1:28" x14ac:dyDescent="0.25">
      <c r="A29">
        <v>6280</v>
      </c>
      <c r="B29">
        <v>24170</v>
      </c>
      <c r="C29" s="8">
        <v>42608</v>
      </c>
      <c r="G29">
        <v>26</v>
      </c>
      <c r="H29">
        <v>19.8</v>
      </c>
      <c r="I29">
        <v>32.299999999999997</v>
      </c>
      <c r="M29">
        <v>0</v>
      </c>
      <c r="N29">
        <v>5</v>
      </c>
      <c r="O29">
        <f t="shared" si="0"/>
        <v>-5</v>
      </c>
      <c r="P29">
        <v>0</v>
      </c>
      <c r="W29">
        <v>2109.8000000000002</v>
      </c>
    </row>
    <row r="30" spans="1:28" x14ac:dyDescent="0.25">
      <c r="A30">
        <v>6280</v>
      </c>
      <c r="B30">
        <v>24170</v>
      </c>
      <c r="C30" s="8">
        <v>42609</v>
      </c>
      <c r="G30">
        <v>26.2</v>
      </c>
      <c r="H30">
        <v>19.8</v>
      </c>
      <c r="I30">
        <v>32.1</v>
      </c>
      <c r="M30">
        <v>0</v>
      </c>
      <c r="N30">
        <v>3.8</v>
      </c>
      <c r="O30">
        <f t="shared" si="0"/>
        <v>-3.8</v>
      </c>
      <c r="P30">
        <v>0</v>
      </c>
      <c r="W30">
        <v>1469.1</v>
      </c>
    </row>
    <row r="31" spans="1:28" x14ac:dyDescent="0.25">
      <c r="A31">
        <v>6280</v>
      </c>
      <c r="B31">
        <v>24170</v>
      </c>
      <c r="C31" s="8">
        <v>42610</v>
      </c>
      <c r="G31">
        <v>22.6</v>
      </c>
      <c r="H31">
        <v>20</v>
      </c>
      <c r="I31">
        <v>25.5</v>
      </c>
      <c r="M31">
        <v>0</v>
      </c>
      <c r="N31">
        <v>4.0999999999999996</v>
      </c>
      <c r="O31">
        <f t="shared" si="0"/>
        <v>-4.0999999999999996</v>
      </c>
      <c r="P31">
        <v>0</v>
      </c>
      <c r="W31">
        <v>1603.1</v>
      </c>
    </row>
    <row r="32" spans="1:28" x14ac:dyDescent="0.25">
      <c r="A32">
        <v>6280</v>
      </c>
      <c r="B32">
        <v>24170</v>
      </c>
      <c r="C32" s="8">
        <v>42611</v>
      </c>
      <c r="G32">
        <v>18.7</v>
      </c>
      <c r="H32">
        <v>18</v>
      </c>
      <c r="I32">
        <v>19.7</v>
      </c>
      <c r="M32">
        <v>1.1000000000000001</v>
      </c>
      <c r="N32">
        <v>2.4</v>
      </c>
      <c r="O32">
        <f t="shared" si="0"/>
        <v>-1.2999999999999998</v>
      </c>
      <c r="P32">
        <v>0</v>
      </c>
      <c r="W32">
        <v>1447.4</v>
      </c>
      <c r="AB32">
        <v>197.4</v>
      </c>
    </row>
    <row r="33" spans="1:28" x14ac:dyDescent="0.25">
      <c r="A33">
        <v>6280</v>
      </c>
      <c r="B33">
        <v>24170</v>
      </c>
      <c r="C33" s="8">
        <v>42612</v>
      </c>
      <c r="G33">
        <v>19.600000000000001</v>
      </c>
      <c r="H33">
        <v>13.9</v>
      </c>
      <c r="I33">
        <v>24.6</v>
      </c>
      <c r="M33">
        <v>0</v>
      </c>
      <c r="N33">
        <v>4.3</v>
      </c>
      <c r="O33">
        <f t="shared" si="0"/>
        <v>-4.3</v>
      </c>
      <c r="P33">
        <v>0</v>
      </c>
      <c r="W33">
        <v>2121.6999999999998</v>
      </c>
    </row>
    <row r="34" spans="1:28" s="10" customFormat="1" x14ac:dyDescent="0.25">
      <c r="A34" s="44" t="s">
        <v>32</v>
      </c>
      <c r="B34" s="44"/>
      <c r="C34" s="44"/>
      <c r="D34" s="44"/>
      <c r="E34" s="44"/>
      <c r="F34" s="44"/>
    </row>
    <row r="35" spans="1:28" x14ac:dyDescent="0.25">
      <c r="A35">
        <v>6280</v>
      </c>
      <c r="B35">
        <v>24170</v>
      </c>
      <c r="C35" s="8">
        <v>42613</v>
      </c>
      <c r="F35" s="46" t="s">
        <v>46</v>
      </c>
      <c r="G35">
        <v>20.3</v>
      </c>
      <c r="H35">
        <v>14.4</v>
      </c>
      <c r="I35">
        <v>26.8</v>
      </c>
      <c r="J35">
        <f>G35</f>
        <v>20.3</v>
      </c>
      <c r="L35" s="11" t="s">
        <v>39</v>
      </c>
      <c r="M35">
        <v>0</v>
      </c>
      <c r="N35">
        <v>4.8</v>
      </c>
      <c r="O35">
        <f>M35-N35</f>
        <v>-4.8</v>
      </c>
      <c r="P35">
        <v>0</v>
      </c>
      <c r="Q35">
        <v>1</v>
      </c>
      <c r="R35">
        <v>0.35</v>
      </c>
      <c r="S35" s="23">
        <f>R35*N35</f>
        <v>1.68</v>
      </c>
      <c r="T35" s="23">
        <f>M35-S35</f>
        <v>-1.68</v>
      </c>
      <c r="U35">
        <v>0</v>
      </c>
      <c r="V35" s="24" t="s">
        <v>53</v>
      </c>
      <c r="W35">
        <v>2098.1999999999998</v>
      </c>
      <c r="Y35">
        <f>W35</f>
        <v>2098.1999999999998</v>
      </c>
      <c r="AA35">
        <v>13.244473850309104</v>
      </c>
      <c r="AB35" s="24" t="s">
        <v>58</v>
      </c>
    </row>
    <row r="36" spans="1:28" x14ac:dyDescent="0.25">
      <c r="A36">
        <v>6280</v>
      </c>
      <c r="B36">
        <v>24170</v>
      </c>
      <c r="C36" s="8">
        <v>42614</v>
      </c>
      <c r="F36" s="46"/>
      <c r="G36">
        <v>19</v>
      </c>
      <c r="H36">
        <v>13.4</v>
      </c>
      <c r="I36">
        <v>24.8</v>
      </c>
      <c r="J36">
        <f>J35+G36</f>
        <v>39.299999999999997</v>
      </c>
      <c r="L36" s="12">
        <v>1079.5999999999999</v>
      </c>
      <c r="M36">
        <v>0</v>
      </c>
      <c r="N36">
        <v>2.9</v>
      </c>
      <c r="O36">
        <f t="shared" ref="O36:O99" si="2">M36-N36</f>
        <v>-2.9</v>
      </c>
      <c r="P36" s="22">
        <v>0</v>
      </c>
      <c r="Q36" s="22">
        <v>2</v>
      </c>
      <c r="R36">
        <v>0.35</v>
      </c>
      <c r="S36" s="23">
        <f t="shared" ref="S36:S99" si="3">R36*N36</f>
        <v>1.0149999999999999</v>
      </c>
      <c r="T36" s="23">
        <f t="shared" ref="T36:T99" si="4">M36-S36</f>
        <v>-1.0149999999999999</v>
      </c>
      <c r="U36">
        <v>0</v>
      </c>
      <c r="V36">
        <v>6</v>
      </c>
      <c r="W36">
        <v>1507.4</v>
      </c>
      <c r="Y36">
        <f>Y35+W36</f>
        <v>3605.6</v>
      </c>
      <c r="AA36">
        <v>13.18490611695678</v>
      </c>
      <c r="AB36">
        <v>66885.100000000006</v>
      </c>
    </row>
    <row r="37" spans="1:28" x14ac:dyDescent="0.25">
      <c r="A37">
        <v>6280</v>
      </c>
      <c r="B37">
        <v>24170</v>
      </c>
      <c r="C37" s="8">
        <v>42615</v>
      </c>
      <c r="F37" s="46"/>
      <c r="G37">
        <v>20.399999999999999</v>
      </c>
      <c r="H37">
        <v>13.7</v>
      </c>
      <c r="I37">
        <v>27.6</v>
      </c>
      <c r="J37">
        <f t="shared" ref="J37:J100" si="5">J36+G37</f>
        <v>59.699999999999996</v>
      </c>
      <c r="L37" s="11" t="s">
        <v>40</v>
      </c>
      <c r="M37">
        <v>0</v>
      </c>
      <c r="N37">
        <v>2.7</v>
      </c>
      <c r="O37">
        <f t="shared" si="2"/>
        <v>-2.7</v>
      </c>
      <c r="P37" s="22">
        <v>0</v>
      </c>
      <c r="Q37">
        <v>3</v>
      </c>
      <c r="R37">
        <v>0.35</v>
      </c>
      <c r="S37" s="23">
        <f t="shared" si="3"/>
        <v>0.94499999999999995</v>
      </c>
      <c r="T37" s="23">
        <f t="shared" si="4"/>
        <v>-0.94499999999999995</v>
      </c>
      <c r="U37">
        <v>0</v>
      </c>
      <c r="V37" s="24" t="s">
        <v>54</v>
      </c>
      <c r="W37">
        <v>1279.2</v>
      </c>
      <c r="Y37">
        <f t="shared" ref="Y37:Y100" si="6">Y36+W37</f>
        <v>4884.8</v>
      </c>
      <c r="AA37">
        <v>13.125160577386858</v>
      </c>
      <c r="AB37" s="24" t="s">
        <v>59</v>
      </c>
    </row>
    <row r="38" spans="1:28" x14ac:dyDescent="0.25">
      <c r="A38">
        <v>6280</v>
      </c>
      <c r="B38">
        <v>24170</v>
      </c>
      <c r="C38" s="8">
        <v>42616</v>
      </c>
      <c r="F38" s="46"/>
      <c r="G38">
        <v>20.100000000000001</v>
      </c>
      <c r="H38">
        <v>13.8</v>
      </c>
      <c r="I38">
        <v>24.7</v>
      </c>
      <c r="J38">
        <f t="shared" si="5"/>
        <v>79.8</v>
      </c>
      <c r="L38" s="12">
        <f>AVERAGE(G35:G123)</f>
        <v>12.130337078651689</v>
      </c>
      <c r="M38">
        <v>0.2</v>
      </c>
      <c r="N38">
        <v>3</v>
      </c>
      <c r="O38">
        <f t="shared" si="2"/>
        <v>-2.8</v>
      </c>
      <c r="P38" s="22">
        <v>0</v>
      </c>
      <c r="Q38" s="22">
        <v>4</v>
      </c>
      <c r="R38">
        <v>0.35</v>
      </c>
      <c r="S38" s="23">
        <f t="shared" si="3"/>
        <v>1.0499999999999998</v>
      </c>
      <c r="T38" s="23">
        <f t="shared" si="4"/>
        <v>-0.84999999999999987</v>
      </c>
      <c r="U38">
        <v>0</v>
      </c>
      <c r="V38">
        <v>82</v>
      </c>
      <c r="W38">
        <v>1626</v>
      </c>
      <c r="Y38">
        <f t="shared" si="6"/>
        <v>6510.8</v>
      </c>
      <c r="AA38">
        <v>13.065248148333348</v>
      </c>
      <c r="AB38">
        <f>(AB36/100)/L36</f>
        <v>0.61953593923675454</v>
      </c>
    </row>
    <row r="39" spans="1:28" x14ac:dyDescent="0.25">
      <c r="A39">
        <v>6280</v>
      </c>
      <c r="B39">
        <v>24170</v>
      </c>
      <c r="C39" s="8">
        <v>42617</v>
      </c>
      <c r="F39" s="46"/>
      <c r="G39">
        <v>18.899999999999999</v>
      </c>
      <c r="H39">
        <v>17</v>
      </c>
      <c r="I39">
        <v>21.7</v>
      </c>
      <c r="J39">
        <f t="shared" si="5"/>
        <v>98.699999999999989</v>
      </c>
      <c r="L39" s="11" t="s">
        <v>41</v>
      </c>
      <c r="M39">
        <v>2.7</v>
      </c>
      <c r="N39">
        <v>1.2</v>
      </c>
      <c r="O39">
        <f t="shared" si="2"/>
        <v>1.5000000000000002</v>
      </c>
      <c r="P39">
        <f>O39</f>
        <v>1.5000000000000002</v>
      </c>
      <c r="Q39">
        <v>5</v>
      </c>
      <c r="R39">
        <v>0.35</v>
      </c>
      <c r="S39" s="23">
        <f t="shared" si="3"/>
        <v>0.42</v>
      </c>
      <c r="T39" s="23">
        <f t="shared" si="4"/>
        <v>2.2800000000000002</v>
      </c>
      <c r="U39" s="23">
        <f>T39</f>
        <v>2.2800000000000002</v>
      </c>
      <c r="V39" s="24" t="s">
        <v>55</v>
      </c>
      <c r="W39">
        <v>525.5</v>
      </c>
      <c r="Y39">
        <f t="shared" si="6"/>
        <v>7036.3</v>
      </c>
      <c r="AA39">
        <v>13.005179467109548</v>
      </c>
      <c r="AB39" s="24" t="s">
        <v>60</v>
      </c>
    </row>
    <row r="40" spans="1:28" x14ac:dyDescent="0.25">
      <c r="A40">
        <v>6280</v>
      </c>
      <c r="B40">
        <v>24170</v>
      </c>
      <c r="C40" s="8">
        <v>42618</v>
      </c>
      <c r="F40" s="46"/>
      <c r="G40">
        <v>17</v>
      </c>
      <c r="H40">
        <v>15.1</v>
      </c>
      <c r="I40">
        <v>18.5</v>
      </c>
      <c r="J40">
        <f t="shared" si="5"/>
        <v>115.69999999999999</v>
      </c>
      <c r="L40" s="13">
        <f>MIN(H35:H123)</f>
        <v>-1.9</v>
      </c>
      <c r="M40">
        <v>4.7</v>
      </c>
      <c r="N40">
        <v>1</v>
      </c>
      <c r="O40">
        <f t="shared" si="2"/>
        <v>3.7</v>
      </c>
      <c r="P40">
        <f>P39+O40</f>
        <v>5.2</v>
      </c>
      <c r="Q40" s="22">
        <v>6</v>
      </c>
      <c r="R40">
        <v>0.35</v>
      </c>
      <c r="S40" s="23">
        <f t="shared" si="3"/>
        <v>0.35</v>
      </c>
      <c r="T40" s="23">
        <f t="shared" si="4"/>
        <v>4.3500000000000005</v>
      </c>
      <c r="U40" s="23">
        <f>MIN(U39+T40,197.4)</f>
        <v>6.6300000000000008</v>
      </c>
      <c r="V40">
        <v>0</v>
      </c>
      <c r="W40">
        <v>450.2</v>
      </c>
      <c r="Y40">
        <f t="shared" si="6"/>
        <v>7486.5</v>
      </c>
      <c r="AA40">
        <v>12.944964905383465</v>
      </c>
      <c r="AB40">
        <v>57</v>
      </c>
    </row>
    <row r="41" spans="1:28" x14ac:dyDescent="0.25">
      <c r="A41">
        <v>6280</v>
      </c>
      <c r="B41">
        <v>24170</v>
      </c>
      <c r="C41" s="8">
        <v>42619</v>
      </c>
      <c r="F41" s="46"/>
      <c r="G41">
        <v>19.7</v>
      </c>
      <c r="H41">
        <v>18.3</v>
      </c>
      <c r="I41">
        <v>22.2</v>
      </c>
      <c r="J41">
        <f t="shared" si="5"/>
        <v>135.39999999999998</v>
      </c>
      <c r="L41" s="11" t="s">
        <v>42</v>
      </c>
      <c r="M41">
        <v>0.2</v>
      </c>
      <c r="N41">
        <v>1.4</v>
      </c>
      <c r="O41">
        <f t="shared" si="2"/>
        <v>-1.2</v>
      </c>
      <c r="P41">
        <f t="shared" ref="P41:P104" si="7">P40+O41</f>
        <v>4</v>
      </c>
      <c r="Q41">
        <v>7</v>
      </c>
      <c r="R41">
        <v>0.35</v>
      </c>
      <c r="S41" s="23">
        <f t="shared" si="3"/>
        <v>0.48999999999999994</v>
      </c>
      <c r="T41" s="23">
        <f t="shared" si="4"/>
        <v>-0.28999999999999992</v>
      </c>
      <c r="U41" s="23">
        <f t="shared" ref="U41:U104" si="8">MIN(U40+T41,197.4)</f>
        <v>6.3400000000000007</v>
      </c>
      <c r="V41" s="24" t="s">
        <v>56</v>
      </c>
      <c r="W41">
        <v>510.3</v>
      </c>
      <c r="Y41">
        <f t="shared" si="6"/>
        <v>7996.8</v>
      </c>
      <c r="AA41">
        <v>12.884614583213251</v>
      </c>
    </row>
    <row r="42" spans="1:28" x14ac:dyDescent="0.25">
      <c r="A42">
        <v>6280</v>
      </c>
      <c r="B42">
        <v>24170</v>
      </c>
      <c r="C42" s="8">
        <v>42620</v>
      </c>
      <c r="F42" s="46"/>
      <c r="G42">
        <v>19.7</v>
      </c>
      <c r="H42">
        <v>13.5</v>
      </c>
      <c r="I42">
        <v>26.2</v>
      </c>
      <c r="J42">
        <f t="shared" si="5"/>
        <v>155.09999999999997</v>
      </c>
      <c r="L42" s="12">
        <f>MAX(I35:I123)</f>
        <v>29.8</v>
      </c>
      <c r="M42">
        <v>0</v>
      </c>
      <c r="N42">
        <v>4.5999999999999996</v>
      </c>
      <c r="O42">
        <f t="shared" si="2"/>
        <v>-4.5999999999999996</v>
      </c>
      <c r="P42">
        <v>0</v>
      </c>
      <c r="Q42" s="22">
        <v>8</v>
      </c>
      <c r="R42">
        <v>0.35</v>
      </c>
      <c r="S42" s="23">
        <f t="shared" si="3"/>
        <v>1.6099999999999999</v>
      </c>
      <c r="T42" s="23">
        <f t="shared" si="4"/>
        <v>-1.6099999999999999</v>
      </c>
      <c r="U42" s="23">
        <f t="shared" si="8"/>
        <v>4.7300000000000004</v>
      </c>
      <c r="V42" s="23">
        <f>MAX(U35:U123)</f>
        <v>65.811666666666653</v>
      </c>
      <c r="W42">
        <v>1998</v>
      </c>
      <c r="Y42">
        <f t="shared" si="6"/>
        <v>9994.7999999999993</v>
      </c>
      <c r="AA42">
        <v>12.824138383316749</v>
      </c>
    </row>
    <row r="43" spans="1:28" x14ac:dyDescent="0.25">
      <c r="A43">
        <v>6280</v>
      </c>
      <c r="B43">
        <v>24170</v>
      </c>
      <c r="C43" s="8">
        <v>42621</v>
      </c>
      <c r="F43" s="46"/>
      <c r="G43">
        <v>18.2</v>
      </c>
      <c r="H43">
        <v>14.2</v>
      </c>
      <c r="I43">
        <v>24.4</v>
      </c>
      <c r="J43">
        <f t="shared" si="5"/>
        <v>173.29999999999995</v>
      </c>
      <c r="L43" s="11" t="s">
        <v>43</v>
      </c>
      <c r="M43">
        <v>0</v>
      </c>
      <c r="N43">
        <v>4</v>
      </c>
      <c r="O43">
        <f t="shared" si="2"/>
        <v>-4</v>
      </c>
      <c r="P43">
        <v>0</v>
      </c>
      <c r="Q43">
        <v>9</v>
      </c>
      <c r="R43">
        <v>0.35</v>
      </c>
      <c r="S43" s="23">
        <f t="shared" si="3"/>
        <v>1.4</v>
      </c>
      <c r="T43" s="23">
        <f t="shared" si="4"/>
        <v>-1.4</v>
      </c>
      <c r="U43" s="23">
        <f t="shared" si="8"/>
        <v>3.3300000000000005</v>
      </c>
      <c r="V43" s="24" t="s">
        <v>57</v>
      </c>
      <c r="W43">
        <v>1770.9</v>
      </c>
      <c r="Y43">
        <f t="shared" si="6"/>
        <v>11765.699999999999</v>
      </c>
      <c r="AA43">
        <v>12.76354596555124</v>
      </c>
    </row>
    <row r="44" spans="1:28" x14ac:dyDescent="0.25">
      <c r="A44">
        <v>6280</v>
      </c>
      <c r="B44">
        <v>24170</v>
      </c>
      <c r="C44" s="8">
        <v>42622</v>
      </c>
      <c r="F44" s="46"/>
      <c r="G44">
        <v>17.600000000000001</v>
      </c>
      <c r="H44">
        <v>11</v>
      </c>
      <c r="I44">
        <v>24.5</v>
      </c>
      <c r="J44">
        <f t="shared" si="5"/>
        <v>190.89999999999995</v>
      </c>
      <c r="L44" s="12">
        <v>7</v>
      </c>
      <c r="M44">
        <v>0</v>
      </c>
      <c r="N44">
        <v>4.0999999999999996</v>
      </c>
      <c r="O44">
        <f t="shared" si="2"/>
        <v>-4.0999999999999996</v>
      </c>
      <c r="P44">
        <v>0</v>
      </c>
      <c r="Q44" s="22">
        <v>10</v>
      </c>
      <c r="R44">
        <v>0.35</v>
      </c>
      <c r="S44" s="23">
        <f t="shared" si="3"/>
        <v>1.4349999999999998</v>
      </c>
      <c r="T44" s="23">
        <f t="shared" si="4"/>
        <v>-1.4349999999999998</v>
      </c>
      <c r="U44" s="23">
        <f t="shared" si="8"/>
        <v>1.8950000000000007</v>
      </c>
      <c r="V44" s="23">
        <f>AVERAGE(U35:U123)</f>
        <v>21.676788389513106</v>
      </c>
      <c r="W44">
        <v>1933</v>
      </c>
      <c r="Y44">
        <f t="shared" si="6"/>
        <v>13698.699999999999</v>
      </c>
      <c r="AA44">
        <v>12.702846781581259</v>
      </c>
    </row>
    <row r="45" spans="1:28" x14ac:dyDescent="0.25">
      <c r="A45">
        <v>6280</v>
      </c>
      <c r="B45">
        <v>24170</v>
      </c>
      <c r="C45" s="8">
        <v>42623</v>
      </c>
      <c r="D45" t="s">
        <v>33</v>
      </c>
      <c r="F45" s="46"/>
      <c r="G45">
        <v>19</v>
      </c>
      <c r="H45">
        <v>11.6</v>
      </c>
      <c r="I45">
        <v>25.9</v>
      </c>
      <c r="J45">
        <f t="shared" si="5"/>
        <v>209.89999999999995</v>
      </c>
      <c r="L45" s="11" t="s">
        <v>44</v>
      </c>
      <c r="M45">
        <v>0</v>
      </c>
      <c r="N45">
        <v>3</v>
      </c>
      <c r="O45">
        <f t="shared" si="2"/>
        <v>-3</v>
      </c>
      <c r="P45">
        <v>0</v>
      </c>
      <c r="Q45">
        <v>11</v>
      </c>
      <c r="R45">
        <v>0.35</v>
      </c>
      <c r="S45" s="23">
        <f t="shared" si="3"/>
        <v>1.0499999999999998</v>
      </c>
      <c r="T45" s="23">
        <f t="shared" si="4"/>
        <v>-1.0499999999999998</v>
      </c>
      <c r="U45" s="23">
        <f t="shared" si="8"/>
        <v>0.84500000000000086</v>
      </c>
      <c r="W45">
        <v>1389.7</v>
      </c>
      <c r="Y45">
        <f t="shared" si="6"/>
        <v>15088.4</v>
      </c>
      <c r="AA45">
        <v>12.642050089714084</v>
      </c>
    </row>
    <row r="46" spans="1:28" x14ac:dyDescent="0.25">
      <c r="A46">
        <v>6280</v>
      </c>
      <c r="B46">
        <v>24170</v>
      </c>
      <c r="C46" s="8">
        <v>42624</v>
      </c>
      <c r="F46" s="46"/>
      <c r="G46">
        <v>20</v>
      </c>
      <c r="H46">
        <v>17.8</v>
      </c>
      <c r="I46">
        <v>22.7</v>
      </c>
      <c r="J46">
        <f t="shared" si="5"/>
        <v>229.89999999999995</v>
      </c>
      <c r="L46" s="12">
        <v>15</v>
      </c>
      <c r="M46">
        <v>0</v>
      </c>
      <c r="N46">
        <v>1.3</v>
      </c>
      <c r="O46">
        <f t="shared" si="2"/>
        <v>-1.3</v>
      </c>
      <c r="P46">
        <v>0</v>
      </c>
      <c r="Q46" s="22">
        <v>12</v>
      </c>
      <c r="R46">
        <f>0.35+((Q46-11)/78)*(1-0.35)</f>
        <v>0.35833333333333334</v>
      </c>
      <c r="S46" s="23">
        <f t="shared" si="3"/>
        <v>0.46583333333333338</v>
      </c>
      <c r="T46" s="23">
        <f t="shared" si="4"/>
        <v>-0.46583333333333338</v>
      </c>
      <c r="U46" s="23">
        <f t="shared" si="8"/>
        <v>0.37916666666666748</v>
      </c>
      <c r="V46">
        <f>(V44*100)/197.4</f>
        <v>10.981149133491948</v>
      </c>
      <c r="W46">
        <v>689</v>
      </c>
      <c r="Y46">
        <f t="shared" si="6"/>
        <v>15777.4</v>
      </c>
      <c r="AA46">
        <v>12.581164969884062</v>
      </c>
    </row>
    <row r="47" spans="1:28" x14ac:dyDescent="0.25">
      <c r="A47">
        <v>6280</v>
      </c>
      <c r="B47">
        <v>24170</v>
      </c>
      <c r="C47" s="8">
        <v>42625</v>
      </c>
      <c r="F47" s="46"/>
      <c r="G47">
        <v>22.8</v>
      </c>
      <c r="H47">
        <v>15.3</v>
      </c>
      <c r="I47">
        <v>29.8</v>
      </c>
      <c r="J47">
        <f t="shared" si="5"/>
        <v>252.69999999999996</v>
      </c>
      <c r="L47" s="11" t="s">
        <v>45</v>
      </c>
      <c r="M47">
        <v>0</v>
      </c>
      <c r="N47">
        <v>3.3</v>
      </c>
      <c r="O47">
        <f t="shared" si="2"/>
        <v>-3.3</v>
      </c>
      <c r="P47">
        <v>0</v>
      </c>
      <c r="Q47">
        <v>13</v>
      </c>
      <c r="R47">
        <f t="shared" ref="R47:R110" si="9">0.35+((Q47-11)/78)*(1-0.35)</f>
        <v>0.36666666666666664</v>
      </c>
      <c r="S47" s="23">
        <f t="shared" si="3"/>
        <v>1.2099999999999997</v>
      </c>
      <c r="T47" s="23">
        <f t="shared" si="4"/>
        <v>-1.2099999999999997</v>
      </c>
      <c r="U47" s="23">
        <v>0</v>
      </c>
      <c r="W47">
        <v>1363.9</v>
      </c>
      <c r="Y47">
        <f t="shared" si="6"/>
        <v>17141.3</v>
      </c>
      <c r="AA47">
        <v>12.520200338768458</v>
      </c>
    </row>
    <row r="48" spans="1:28" x14ac:dyDescent="0.25">
      <c r="A48">
        <v>6280</v>
      </c>
      <c r="B48">
        <v>24170</v>
      </c>
      <c r="C48" s="8">
        <v>42626</v>
      </c>
      <c r="F48" s="46"/>
      <c r="G48">
        <v>25.2</v>
      </c>
      <c r="H48">
        <v>21.4</v>
      </c>
      <c r="I48">
        <v>29.8</v>
      </c>
      <c r="J48">
        <f t="shared" si="5"/>
        <v>277.89999999999998</v>
      </c>
      <c r="L48" s="12">
        <v>2</v>
      </c>
      <c r="M48">
        <v>0</v>
      </c>
      <c r="N48">
        <v>3</v>
      </c>
      <c r="O48">
        <f t="shared" si="2"/>
        <v>-3</v>
      </c>
      <c r="P48">
        <v>0</v>
      </c>
      <c r="Q48" s="22">
        <v>14</v>
      </c>
      <c r="R48">
        <f t="shared" si="9"/>
        <v>0.375</v>
      </c>
      <c r="S48" s="23">
        <f t="shared" si="3"/>
        <v>1.125</v>
      </c>
      <c r="T48" s="23">
        <f t="shared" si="4"/>
        <v>-1.125</v>
      </c>
      <c r="U48" s="23">
        <v>0</v>
      </c>
      <c r="W48">
        <v>904.5</v>
      </c>
      <c r="Y48">
        <f t="shared" si="6"/>
        <v>18045.8</v>
      </c>
      <c r="AA48">
        <v>12.459164965018829</v>
      </c>
    </row>
    <row r="49" spans="1:27" x14ac:dyDescent="0.25">
      <c r="A49">
        <v>6280</v>
      </c>
      <c r="B49">
        <v>24170</v>
      </c>
      <c r="C49" s="8">
        <v>42627</v>
      </c>
      <c r="F49" s="46"/>
      <c r="G49">
        <v>22.1</v>
      </c>
      <c r="H49">
        <v>17.899999999999999</v>
      </c>
      <c r="I49">
        <v>26.4</v>
      </c>
      <c r="J49">
        <f t="shared" si="5"/>
        <v>300</v>
      </c>
      <c r="M49">
        <v>8.1999999999999993</v>
      </c>
      <c r="N49">
        <v>3</v>
      </c>
      <c r="O49">
        <f t="shared" si="2"/>
        <v>5.1999999999999993</v>
      </c>
      <c r="P49">
        <f t="shared" si="7"/>
        <v>5.1999999999999993</v>
      </c>
      <c r="Q49">
        <v>15</v>
      </c>
      <c r="R49">
        <f t="shared" si="9"/>
        <v>0.3833333333333333</v>
      </c>
      <c r="S49" s="23">
        <f t="shared" si="3"/>
        <v>1.1499999999999999</v>
      </c>
      <c r="T49" s="23">
        <f t="shared" si="4"/>
        <v>7.0499999999999989</v>
      </c>
      <c r="U49" s="23">
        <f t="shared" si="8"/>
        <v>7.0499999999999989</v>
      </c>
      <c r="W49">
        <v>1485.2</v>
      </c>
      <c r="Y49">
        <f t="shared" si="6"/>
        <v>19531</v>
      </c>
      <c r="AA49">
        <v>12.398067484593184</v>
      </c>
    </row>
    <row r="50" spans="1:27" x14ac:dyDescent="0.25">
      <c r="A50">
        <v>6280</v>
      </c>
      <c r="B50">
        <v>24170</v>
      </c>
      <c r="C50" s="8">
        <v>42628</v>
      </c>
      <c r="F50" s="46"/>
      <c r="G50">
        <v>17.3</v>
      </c>
      <c r="H50">
        <v>16.7</v>
      </c>
      <c r="I50">
        <v>18.600000000000001</v>
      </c>
      <c r="J50">
        <f t="shared" si="5"/>
        <v>317.3</v>
      </c>
      <c r="M50">
        <v>3.6</v>
      </c>
      <c r="N50">
        <v>1.3</v>
      </c>
      <c r="O50">
        <f t="shared" si="2"/>
        <v>2.2999999999999998</v>
      </c>
      <c r="P50">
        <f t="shared" si="7"/>
        <v>7.4999999999999991</v>
      </c>
      <c r="Q50" s="22">
        <v>16</v>
      </c>
      <c r="R50">
        <f t="shared" si="9"/>
        <v>0.39166666666666666</v>
      </c>
      <c r="S50" s="23">
        <f t="shared" si="3"/>
        <v>0.50916666666666666</v>
      </c>
      <c r="T50" s="23">
        <f t="shared" si="4"/>
        <v>3.0908333333333333</v>
      </c>
      <c r="U50" s="23">
        <f t="shared" si="8"/>
        <v>10.140833333333333</v>
      </c>
      <c r="W50">
        <v>549.5</v>
      </c>
      <c r="Y50">
        <f t="shared" si="6"/>
        <v>20080.5</v>
      </c>
      <c r="AA50">
        <v>12.33691641617532</v>
      </c>
    </row>
    <row r="51" spans="1:27" x14ac:dyDescent="0.25">
      <c r="A51">
        <v>6280</v>
      </c>
      <c r="B51">
        <v>24170</v>
      </c>
      <c r="C51" s="8">
        <v>42629</v>
      </c>
      <c r="F51" s="46"/>
      <c r="G51">
        <v>16</v>
      </c>
      <c r="H51">
        <v>13.2</v>
      </c>
      <c r="I51">
        <v>21</v>
      </c>
      <c r="J51">
        <f t="shared" si="5"/>
        <v>333.3</v>
      </c>
      <c r="M51">
        <v>9.5</v>
      </c>
      <c r="N51">
        <v>2.4</v>
      </c>
      <c r="O51">
        <f t="shared" si="2"/>
        <v>7.1</v>
      </c>
      <c r="P51">
        <f t="shared" si="7"/>
        <v>14.599999999999998</v>
      </c>
      <c r="Q51">
        <v>17</v>
      </c>
      <c r="R51">
        <f t="shared" si="9"/>
        <v>0.39999999999999997</v>
      </c>
      <c r="S51" s="23">
        <f t="shared" si="3"/>
        <v>0.95999999999999985</v>
      </c>
      <c r="T51" s="23">
        <f t="shared" si="4"/>
        <v>8.5400000000000009</v>
      </c>
      <c r="U51" s="23">
        <f t="shared" si="8"/>
        <v>18.680833333333332</v>
      </c>
      <c r="W51">
        <v>916.7</v>
      </c>
      <c r="Y51">
        <f t="shared" si="6"/>
        <v>20997.200000000001</v>
      </c>
      <c r="AA51">
        <v>12.27572017666871</v>
      </c>
    </row>
    <row r="52" spans="1:27" x14ac:dyDescent="0.25">
      <c r="A52">
        <v>6280</v>
      </c>
      <c r="B52">
        <v>24170</v>
      </c>
      <c r="C52" s="8">
        <v>42630</v>
      </c>
      <c r="F52" s="46"/>
      <c r="G52">
        <v>13.9</v>
      </c>
      <c r="H52">
        <v>13.1</v>
      </c>
      <c r="I52">
        <v>15.6</v>
      </c>
      <c r="J52">
        <f t="shared" si="5"/>
        <v>347.2</v>
      </c>
      <c r="M52">
        <v>0</v>
      </c>
      <c r="N52">
        <v>1</v>
      </c>
      <c r="O52">
        <f t="shared" si="2"/>
        <v>-1</v>
      </c>
      <c r="P52">
        <f t="shared" si="7"/>
        <v>13.599999999999998</v>
      </c>
      <c r="Q52" s="22">
        <v>18</v>
      </c>
      <c r="R52">
        <f t="shared" si="9"/>
        <v>0.40833333333333333</v>
      </c>
      <c r="S52" s="23">
        <f t="shared" si="3"/>
        <v>0.40833333333333333</v>
      </c>
      <c r="T52" s="23">
        <f t="shared" si="4"/>
        <v>-0.40833333333333333</v>
      </c>
      <c r="U52" s="23">
        <f t="shared" si="8"/>
        <v>18.272499999999997</v>
      </c>
      <c r="W52">
        <v>487.9</v>
      </c>
      <c r="Y52">
        <f t="shared" si="6"/>
        <v>21485.100000000002</v>
      </c>
      <c r="AA52">
        <v>12.214487096753224</v>
      </c>
    </row>
    <row r="53" spans="1:27" x14ac:dyDescent="0.25">
      <c r="A53">
        <v>6280</v>
      </c>
      <c r="B53">
        <v>24170</v>
      </c>
      <c r="C53" s="8">
        <v>42631</v>
      </c>
      <c r="F53" s="46"/>
      <c r="G53">
        <v>16</v>
      </c>
      <c r="H53">
        <v>10.9</v>
      </c>
      <c r="I53">
        <v>19.3</v>
      </c>
      <c r="J53">
        <f t="shared" si="5"/>
        <v>363.2</v>
      </c>
      <c r="M53">
        <v>0.2</v>
      </c>
      <c r="N53">
        <v>1.2</v>
      </c>
      <c r="O53">
        <f t="shared" si="2"/>
        <v>-1</v>
      </c>
      <c r="P53">
        <f t="shared" si="7"/>
        <v>12.599999999999998</v>
      </c>
      <c r="Q53">
        <v>19</v>
      </c>
      <c r="R53">
        <f t="shared" si="9"/>
        <v>0.41666666666666663</v>
      </c>
      <c r="S53" s="23">
        <f t="shared" si="3"/>
        <v>0.49999999999999994</v>
      </c>
      <c r="T53" s="23">
        <f t="shared" si="4"/>
        <v>-0.29999999999999993</v>
      </c>
      <c r="U53" s="23">
        <f t="shared" si="8"/>
        <v>17.972499999999997</v>
      </c>
      <c r="W53">
        <v>893.4</v>
      </c>
      <c r="Y53">
        <f t="shared" si="6"/>
        <v>22378.500000000004</v>
      </c>
      <c r="AA53">
        <v>12.153225436493724</v>
      </c>
    </row>
    <row r="54" spans="1:27" x14ac:dyDescent="0.25">
      <c r="A54">
        <v>6280</v>
      </c>
      <c r="B54">
        <v>24170</v>
      </c>
      <c r="C54" s="8">
        <v>42632</v>
      </c>
      <c r="F54" s="46"/>
      <c r="G54">
        <v>16.3</v>
      </c>
      <c r="H54">
        <v>14.7</v>
      </c>
      <c r="I54">
        <v>18.899999999999999</v>
      </c>
      <c r="J54">
        <f t="shared" si="5"/>
        <v>379.5</v>
      </c>
      <c r="M54">
        <v>0.3</v>
      </c>
      <c r="N54">
        <v>1.6</v>
      </c>
      <c r="O54">
        <f t="shared" si="2"/>
        <v>-1.3</v>
      </c>
      <c r="P54">
        <f t="shared" si="7"/>
        <v>11.299999999999997</v>
      </c>
      <c r="Q54" s="22">
        <v>20</v>
      </c>
      <c r="R54">
        <f t="shared" si="9"/>
        <v>0.42499999999999999</v>
      </c>
      <c r="S54" s="23">
        <f t="shared" si="3"/>
        <v>0.68</v>
      </c>
      <c r="T54" s="23">
        <f t="shared" si="4"/>
        <v>-0.38000000000000006</v>
      </c>
      <c r="U54" s="23">
        <f t="shared" si="8"/>
        <v>17.592499999999998</v>
      </c>
      <c r="W54">
        <v>921.1</v>
      </c>
      <c r="Y54">
        <f t="shared" si="6"/>
        <v>23299.600000000002</v>
      </c>
      <c r="AA54">
        <v>12.091943400990182</v>
      </c>
    </row>
    <row r="55" spans="1:27" x14ac:dyDescent="0.25">
      <c r="A55">
        <v>6280</v>
      </c>
      <c r="B55">
        <v>24170</v>
      </c>
      <c r="C55" s="8">
        <v>42633</v>
      </c>
      <c r="F55" s="46"/>
      <c r="G55">
        <v>15.8</v>
      </c>
      <c r="H55">
        <v>14.2</v>
      </c>
      <c r="I55">
        <v>19.5</v>
      </c>
      <c r="J55">
        <f t="shared" si="5"/>
        <v>395.3</v>
      </c>
      <c r="M55">
        <v>0</v>
      </c>
      <c r="N55">
        <v>2</v>
      </c>
      <c r="O55">
        <f t="shared" si="2"/>
        <v>-2</v>
      </c>
      <c r="P55">
        <f t="shared" si="7"/>
        <v>9.2999999999999972</v>
      </c>
      <c r="Q55">
        <v>21</v>
      </c>
      <c r="R55">
        <f t="shared" si="9"/>
        <v>0.43333333333333329</v>
      </c>
      <c r="S55" s="23">
        <f t="shared" si="3"/>
        <v>0.86666666666666659</v>
      </c>
      <c r="T55" s="23">
        <f t="shared" si="4"/>
        <v>-0.86666666666666659</v>
      </c>
      <c r="U55" s="23">
        <f t="shared" si="8"/>
        <v>16.72583333333333</v>
      </c>
      <c r="W55">
        <v>1021.5</v>
      </c>
      <c r="Y55">
        <f t="shared" si="6"/>
        <v>24321.100000000002</v>
      </c>
      <c r="AA55">
        <v>12.030649156059615</v>
      </c>
    </row>
    <row r="56" spans="1:27" x14ac:dyDescent="0.25">
      <c r="A56">
        <v>6280</v>
      </c>
      <c r="B56">
        <v>24170</v>
      </c>
      <c r="C56" s="8">
        <v>42634</v>
      </c>
      <c r="F56" s="46"/>
      <c r="G56">
        <v>14.6</v>
      </c>
      <c r="H56">
        <v>9</v>
      </c>
      <c r="I56">
        <v>21.2</v>
      </c>
      <c r="J56">
        <f t="shared" si="5"/>
        <v>409.90000000000003</v>
      </c>
      <c r="M56">
        <v>0</v>
      </c>
      <c r="N56">
        <v>2.6</v>
      </c>
      <c r="O56">
        <f t="shared" si="2"/>
        <v>-2.6</v>
      </c>
      <c r="P56">
        <f t="shared" si="7"/>
        <v>6.6999999999999975</v>
      </c>
      <c r="Q56" s="22">
        <v>22</v>
      </c>
      <c r="R56">
        <f t="shared" si="9"/>
        <v>0.44166666666666665</v>
      </c>
      <c r="S56" s="23">
        <f t="shared" si="3"/>
        <v>1.1483333333333334</v>
      </c>
      <c r="T56" s="23">
        <f t="shared" si="4"/>
        <v>-1.1483333333333334</v>
      </c>
      <c r="U56" s="23">
        <f t="shared" si="8"/>
        <v>15.577499999999997</v>
      </c>
      <c r="W56">
        <v>1441.1</v>
      </c>
      <c r="Y56">
        <f t="shared" si="6"/>
        <v>25762.2</v>
      </c>
      <c r="AA56">
        <v>11.969350843940385</v>
      </c>
    </row>
    <row r="57" spans="1:27" x14ac:dyDescent="0.25">
      <c r="A57">
        <v>6280</v>
      </c>
      <c r="B57">
        <v>24170</v>
      </c>
      <c r="C57" s="8">
        <v>42635</v>
      </c>
      <c r="F57" s="46"/>
      <c r="G57">
        <v>16.3</v>
      </c>
      <c r="H57">
        <v>10.199999999999999</v>
      </c>
      <c r="I57">
        <v>23.2</v>
      </c>
      <c r="J57">
        <f t="shared" si="5"/>
        <v>426.20000000000005</v>
      </c>
      <c r="M57">
        <v>0</v>
      </c>
      <c r="N57">
        <v>1.9</v>
      </c>
      <c r="O57">
        <f t="shared" si="2"/>
        <v>-1.9</v>
      </c>
      <c r="P57">
        <f t="shared" si="7"/>
        <v>4.7999999999999972</v>
      </c>
      <c r="Q57">
        <v>23</v>
      </c>
      <c r="R57">
        <f t="shared" si="9"/>
        <v>0.44999999999999996</v>
      </c>
      <c r="S57" s="23">
        <f t="shared" si="3"/>
        <v>0.85499999999999987</v>
      </c>
      <c r="T57" s="23">
        <f t="shared" si="4"/>
        <v>-0.85499999999999987</v>
      </c>
      <c r="U57" s="23">
        <f t="shared" si="8"/>
        <v>14.722499999999997</v>
      </c>
      <c r="W57">
        <v>982.6</v>
      </c>
      <c r="Y57">
        <f t="shared" si="6"/>
        <v>26744.799999999999</v>
      </c>
      <c r="AA57">
        <v>11.908056599009816</v>
      </c>
    </row>
    <row r="58" spans="1:27" x14ac:dyDescent="0.25">
      <c r="A58">
        <v>6280</v>
      </c>
      <c r="B58">
        <v>24170</v>
      </c>
      <c r="C58" s="8">
        <v>42636</v>
      </c>
      <c r="F58" s="46"/>
      <c r="G58">
        <v>15.9</v>
      </c>
      <c r="H58">
        <v>11.5</v>
      </c>
      <c r="I58">
        <v>21.3</v>
      </c>
      <c r="J58">
        <f t="shared" si="5"/>
        <v>442.1</v>
      </c>
      <c r="M58">
        <v>0.1</v>
      </c>
      <c r="N58">
        <v>2.7</v>
      </c>
      <c r="O58">
        <f t="shared" si="2"/>
        <v>-2.6</v>
      </c>
      <c r="P58">
        <f t="shared" si="7"/>
        <v>2.1999999999999971</v>
      </c>
      <c r="Q58" s="22">
        <v>24</v>
      </c>
      <c r="R58">
        <f t="shared" si="9"/>
        <v>0.45833333333333331</v>
      </c>
      <c r="S58" s="23">
        <f t="shared" si="3"/>
        <v>1.2375</v>
      </c>
      <c r="T58" s="23">
        <f t="shared" si="4"/>
        <v>-1.1375</v>
      </c>
      <c r="U58" s="23">
        <f t="shared" si="8"/>
        <v>13.584999999999997</v>
      </c>
      <c r="W58">
        <v>1419.6</v>
      </c>
      <c r="Y58">
        <f t="shared" si="6"/>
        <v>28164.399999999998</v>
      </c>
      <c r="AA58">
        <v>11.846774563506276</v>
      </c>
    </row>
    <row r="59" spans="1:27" x14ac:dyDescent="0.25">
      <c r="A59">
        <v>6280</v>
      </c>
      <c r="B59">
        <v>24170</v>
      </c>
      <c r="C59" s="8">
        <v>42637</v>
      </c>
      <c r="F59" s="46"/>
      <c r="G59">
        <v>16.5</v>
      </c>
      <c r="H59">
        <v>10.1</v>
      </c>
      <c r="I59">
        <v>23.4</v>
      </c>
      <c r="J59">
        <f t="shared" si="5"/>
        <v>458.6</v>
      </c>
      <c r="M59">
        <v>0</v>
      </c>
      <c r="N59">
        <v>3.4</v>
      </c>
      <c r="O59">
        <f t="shared" si="2"/>
        <v>-3.4</v>
      </c>
      <c r="P59">
        <v>0</v>
      </c>
      <c r="Q59">
        <v>25</v>
      </c>
      <c r="R59">
        <f t="shared" si="9"/>
        <v>0.46666666666666667</v>
      </c>
      <c r="S59" s="23">
        <f t="shared" si="3"/>
        <v>1.5866666666666667</v>
      </c>
      <c r="T59" s="23">
        <f t="shared" si="4"/>
        <v>-1.5866666666666667</v>
      </c>
      <c r="U59" s="23">
        <f t="shared" si="8"/>
        <v>11.998333333333331</v>
      </c>
      <c r="W59">
        <v>1532.4</v>
      </c>
      <c r="Y59">
        <f t="shared" si="6"/>
        <v>29696.799999999999</v>
      </c>
      <c r="AA59">
        <v>11.785512903246772</v>
      </c>
    </row>
    <row r="60" spans="1:27" x14ac:dyDescent="0.25">
      <c r="A60">
        <v>6280</v>
      </c>
      <c r="B60">
        <v>24170</v>
      </c>
      <c r="C60" s="8">
        <v>42638</v>
      </c>
      <c r="F60" s="46"/>
      <c r="G60">
        <v>14.4</v>
      </c>
      <c r="H60">
        <v>13.8</v>
      </c>
      <c r="I60">
        <v>16.100000000000001</v>
      </c>
      <c r="J60">
        <f t="shared" si="5"/>
        <v>473</v>
      </c>
      <c r="M60">
        <v>3.8</v>
      </c>
      <c r="N60">
        <v>1.2</v>
      </c>
      <c r="O60">
        <f t="shared" si="2"/>
        <v>2.5999999999999996</v>
      </c>
      <c r="P60">
        <f t="shared" si="7"/>
        <v>2.5999999999999996</v>
      </c>
      <c r="Q60" s="22">
        <v>26</v>
      </c>
      <c r="R60">
        <f t="shared" si="9"/>
        <v>0.47499999999999998</v>
      </c>
      <c r="S60" s="23">
        <f t="shared" si="3"/>
        <v>0.56999999999999995</v>
      </c>
      <c r="T60" s="23">
        <f t="shared" si="4"/>
        <v>3.23</v>
      </c>
      <c r="U60" s="23">
        <f t="shared" si="8"/>
        <v>15.228333333333332</v>
      </c>
      <c r="W60">
        <v>544.1</v>
      </c>
      <c r="Y60">
        <f t="shared" si="6"/>
        <v>30240.899999999998</v>
      </c>
      <c r="AA60">
        <v>11.724279823331289</v>
      </c>
    </row>
    <row r="61" spans="1:27" x14ac:dyDescent="0.25">
      <c r="A61">
        <v>6280</v>
      </c>
      <c r="B61">
        <v>24170</v>
      </c>
      <c r="C61" s="8">
        <v>42639</v>
      </c>
      <c r="F61" s="46"/>
      <c r="G61">
        <v>13.5</v>
      </c>
      <c r="H61">
        <v>9.1</v>
      </c>
      <c r="I61">
        <v>18.7</v>
      </c>
      <c r="J61">
        <f t="shared" si="5"/>
        <v>486.5</v>
      </c>
      <c r="M61">
        <v>0</v>
      </c>
      <c r="N61">
        <v>1.3</v>
      </c>
      <c r="O61">
        <f t="shared" si="2"/>
        <v>-1.3</v>
      </c>
      <c r="P61">
        <f t="shared" si="7"/>
        <v>1.2999999999999996</v>
      </c>
      <c r="Q61">
        <v>27</v>
      </c>
      <c r="R61">
        <f t="shared" si="9"/>
        <v>0.48333333333333328</v>
      </c>
      <c r="S61" s="23">
        <f t="shared" si="3"/>
        <v>0.6283333333333333</v>
      </c>
      <c r="T61" s="23">
        <f t="shared" si="4"/>
        <v>-0.6283333333333333</v>
      </c>
      <c r="U61" s="23">
        <f t="shared" si="8"/>
        <v>14.599999999999998</v>
      </c>
      <c r="W61">
        <v>633.4</v>
      </c>
      <c r="Y61">
        <f t="shared" si="6"/>
        <v>30874.3</v>
      </c>
      <c r="AA61">
        <v>11.663083583824678</v>
      </c>
    </row>
    <row r="62" spans="1:27" x14ac:dyDescent="0.25">
      <c r="A62">
        <v>6280</v>
      </c>
      <c r="B62">
        <v>24170</v>
      </c>
      <c r="C62" s="8">
        <v>42640</v>
      </c>
      <c r="F62" s="46"/>
      <c r="G62">
        <v>15.1</v>
      </c>
      <c r="H62">
        <v>9.1999999999999993</v>
      </c>
      <c r="I62">
        <v>21</v>
      </c>
      <c r="J62">
        <f t="shared" si="5"/>
        <v>501.6</v>
      </c>
      <c r="M62">
        <v>0</v>
      </c>
      <c r="N62">
        <v>2.5</v>
      </c>
      <c r="O62">
        <f t="shared" si="2"/>
        <v>-2.5</v>
      </c>
      <c r="P62">
        <v>0</v>
      </c>
      <c r="Q62" s="22">
        <v>28</v>
      </c>
      <c r="R62">
        <f t="shared" si="9"/>
        <v>0.49166666666666664</v>
      </c>
      <c r="S62" s="23">
        <f t="shared" si="3"/>
        <v>1.2291666666666665</v>
      </c>
      <c r="T62" s="23">
        <f t="shared" si="4"/>
        <v>-1.2291666666666665</v>
      </c>
      <c r="U62" s="23">
        <f t="shared" si="8"/>
        <v>13.370833333333332</v>
      </c>
      <c r="W62">
        <v>1214.4000000000001</v>
      </c>
      <c r="Y62">
        <f t="shared" si="6"/>
        <v>32088.7</v>
      </c>
      <c r="AA62">
        <v>11.601932515406816</v>
      </c>
    </row>
    <row r="63" spans="1:27" x14ac:dyDescent="0.25">
      <c r="A63">
        <v>6280</v>
      </c>
      <c r="B63">
        <v>24170</v>
      </c>
      <c r="C63" s="8">
        <v>42641</v>
      </c>
      <c r="F63" s="46"/>
      <c r="G63">
        <v>17.3</v>
      </c>
      <c r="H63">
        <v>13.6</v>
      </c>
      <c r="I63">
        <v>21.3</v>
      </c>
      <c r="J63">
        <f t="shared" si="5"/>
        <v>518.9</v>
      </c>
      <c r="M63">
        <v>0</v>
      </c>
      <c r="N63">
        <v>1.6</v>
      </c>
      <c r="O63">
        <f t="shared" si="2"/>
        <v>-1.6</v>
      </c>
      <c r="P63">
        <v>0</v>
      </c>
      <c r="Q63">
        <v>29</v>
      </c>
      <c r="R63">
        <f t="shared" si="9"/>
        <v>0.5</v>
      </c>
      <c r="S63" s="23">
        <f t="shared" si="3"/>
        <v>0.8</v>
      </c>
      <c r="T63" s="23">
        <f t="shared" si="4"/>
        <v>-0.8</v>
      </c>
      <c r="U63" s="23">
        <f t="shared" si="8"/>
        <v>12.570833333333331</v>
      </c>
      <c r="W63">
        <v>656.9</v>
      </c>
      <c r="Y63">
        <f t="shared" si="6"/>
        <v>32745.600000000002</v>
      </c>
      <c r="AA63">
        <v>11.540835034981169</v>
      </c>
    </row>
    <row r="64" spans="1:27" x14ac:dyDescent="0.25">
      <c r="A64">
        <v>6280</v>
      </c>
      <c r="B64">
        <v>24170</v>
      </c>
      <c r="C64" s="8">
        <v>42642</v>
      </c>
      <c r="F64" s="46"/>
      <c r="G64">
        <v>16.3</v>
      </c>
      <c r="H64">
        <v>12.8</v>
      </c>
      <c r="I64">
        <v>19.100000000000001</v>
      </c>
      <c r="J64">
        <f t="shared" si="5"/>
        <v>535.19999999999993</v>
      </c>
      <c r="M64">
        <v>0</v>
      </c>
      <c r="N64">
        <v>1.6</v>
      </c>
      <c r="O64">
        <f t="shared" si="2"/>
        <v>-1.6</v>
      </c>
      <c r="P64">
        <v>0</v>
      </c>
      <c r="Q64" s="22">
        <v>30</v>
      </c>
      <c r="R64">
        <f t="shared" si="9"/>
        <v>0.5083333333333333</v>
      </c>
      <c r="S64" s="23">
        <f t="shared" si="3"/>
        <v>0.81333333333333335</v>
      </c>
      <c r="T64" s="23">
        <f t="shared" si="4"/>
        <v>-0.81333333333333335</v>
      </c>
      <c r="U64" s="23">
        <f t="shared" si="8"/>
        <v>11.757499999999999</v>
      </c>
      <c r="W64">
        <v>741.9</v>
      </c>
      <c r="Y64">
        <f t="shared" si="6"/>
        <v>33487.5</v>
      </c>
      <c r="AA64">
        <v>11.47979966123154</v>
      </c>
    </row>
    <row r="65" spans="1:27" x14ac:dyDescent="0.25">
      <c r="A65">
        <v>6280</v>
      </c>
      <c r="B65">
        <v>24170</v>
      </c>
      <c r="C65" s="8">
        <v>42643</v>
      </c>
      <c r="F65" s="46"/>
      <c r="G65">
        <v>14.4</v>
      </c>
      <c r="H65">
        <v>13.1</v>
      </c>
      <c r="I65">
        <v>17.5</v>
      </c>
      <c r="J65">
        <f t="shared" si="5"/>
        <v>549.59999999999991</v>
      </c>
      <c r="M65">
        <v>3.4</v>
      </c>
      <c r="N65">
        <v>1</v>
      </c>
      <c r="O65">
        <f t="shared" si="2"/>
        <v>2.4</v>
      </c>
      <c r="P65">
        <f t="shared" si="7"/>
        <v>2.4</v>
      </c>
      <c r="Q65">
        <v>31</v>
      </c>
      <c r="R65">
        <f t="shared" si="9"/>
        <v>0.51666666666666661</v>
      </c>
      <c r="S65" s="23">
        <f t="shared" si="3"/>
        <v>0.51666666666666661</v>
      </c>
      <c r="T65" s="23">
        <f t="shared" si="4"/>
        <v>2.8833333333333333</v>
      </c>
      <c r="U65" s="23">
        <f t="shared" si="8"/>
        <v>14.640833333333331</v>
      </c>
      <c r="W65">
        <v>465.9</v>
      </c>
      <c r="Y65">
        <f t="shared" si="6"/>
        <v>33953.4</v>
      </c>
      <c r="AA65">
        <v>11.418835030115938</v>
      </c>
    </row>
    <row r="66" spans="1:27" x14ac:dyDescent="0.25">
      <c r="A66">
        <v>6280</v>
      </c>
      <c r="B66">
        <v>24170</v>
      </c>
      <c r="C66" s="8">
        <v>42644</v>
      </c>
      <c r="F66" s="46"/>
      <c r="G66">
        <v>13.4</v>
      </c>
      <c r="H66">
        <v>11.9</v>
      </c>
      <c r="I66">
        <v>15.9</v>
      </c>
      <c r="J66">
        <f t="shared" si="5"/>
        <v>562.99999999999989</v>
      </c>
      <c r="M66">
        <v>0.6</v>
      </c>
      <c r="N66">
        <v>2</v>
      </c>
      <c r="O66">
        <f t="shared" si="2"/>
        <v>-1.4</v>
      </c>
      <c r="P66">
        <f t="shared" si="7"/>
        <v>1</v>
      </c>
      <c r="Q66" s="22">
        <v>32</v>
      </c>
      <c r="R66">
        <f t="shared" si="9"/>
        <v>0.52499999999999991</v>
      </c>
      <c r="S66" s="23">
        <f t="shared" si="3"/>
        <v>1.0499999999999998</v>
      </c>
      <c r="T66" s="23">
        <f t="shared" si="4"/>
        <v>-0.44999999999999984</v>
      </c>
      <c r="U66" s="23">
        <f t="shared" si="8"/>
        <v>14.190833333333332</v>
      </c>
      <c r="W66">
        <v>1102.2</v>
      </c>
      <c r="Y66">
        <f t="shared" si="6"/>
        <v>35055.599999999999</v>
      </c>
      <c r="AA66">
        <v>11.357949910285916</v>
      </c>
    </row>
    <row r="67" spans="1:27" x14ac:dyDescent="0.25">
      <c r="A67">
        <v>6280</v>
      </c>
      <c r="B67">
        <v>24170</v>
      </c>
      <c r="C67" s="8">
        <v>42645</v>
      </c>
      <c r="F67" s="46"/>
      <c r="G67">
        <v>11.5</v>
      </c>
      <c r="H67">
        <v>9</v>
      </c>
      <c r="I67">
        <v>15.8</v>
      </c>
      <c r="J67">
        <f t="shared" si="5"/>
        <v>574.49999999999989</v>
      </c>
      <c r="M67">
        <v>0</v>
      </c>
      <c r="N67">
        <v>2.1</v>
      </c>
      <c r="O67">
        <f t="shared" si="2"/>
        <v>-2.1</v>
      </c>
      <c r="P67">
        <v>0</v>
      </c>
      <c r="Q67">
        <v>33</v>
      </c>
      <c r="R67">
        <f t="shared" si="9"/>
        <v>0.53333333333333333</v>
      </c>
      <c r="S67" s="23">
        <f t="shared" si="3"/>
        <v>1.1200000000000001</v>
      </c>
      <c r="T67" s="23">
        <f t="shared" si="4"/>
        <v>-1.1200000000000001</v>
      </c>
      <c r="U67" s="23">
        <f t="shared" si="8"/>
        <v>13.070833333333333</v>
      </c>
      <c r="W67">
        <v>1179.5999999999999</v>
      </c>
      <c r="Y67">
        <f t="shared" si="6"/>
        <v>36235.199999999997</v>
      </c>
      <c r="AA67">
        <v>11.297153218418739</v>
      </c>
    </row>
    <row r="68" spans="1:27" x14ac:dyDescent="0.25">
      <c r="A68">
        <v>6280</v>
      </c>
      <c r="B68">
        <v>24170</v>
      </c>
      <c r="C68" s="8">
        <v>42646</v>
      </c>
      <c r="F68" s="46"/>
      <c r="G68">
        <v>10.6</v>
      </c>
      <c r="H68">
        <v>5.3</v>
      </c>
      <c r="I68">
        <v>17.5</v>
      </c>
      <c r="J68">
        <f t="shared" si="5"/>
        <v>585.09999999999991</v>
      </c>
      <c r="M68">
        <v>0</v>
      </c>
      <c r="N68">
        <v>2.2999999999999998</v>
      </c>
      <c r="O68">
        <f t="shared" si="2"/>
        <v>-2.2999999999999998</v>
      </c>
      <c r="P68">
        <v>0</v>
      </c>
      <c r="Q68" s="22">
        <v>34</v>
      </c>
      <c r="R68">
        <f t="shared" si="9"/>
        <v>0.54166666666666663</v>
      </c>
      <c r="S68" s="23">
        <f t="shared" si="3"/>
        <v>1.2458333333333331</v>
      </c>
      <c r="T68" s="23">
        <f t="shared" si="4"/>
        <v>-1.2458333333333331</v>
      </c>
      <c r="U68" s="23">
        <f t="shared" si="8"/>
        <v>11.824999999999999</v>
      </c>
      <c r="W68">
        <v>1293.5</v>
      </c>
      <c r="Y68">
        <f t="shared" si="6"/>
        <v>37528.699999999997</v>
      </c>
      <c r="AA68">
        <v>11.236454034448759</v>
      </c>
    </row>
    <row r="69" spans="1:27" x14ac:dyDescent="0.25">
      <c r="A69">
        <v>6280</v>
      </c>
      <c r="B69">
        <v>24170</v>
      </c>
      <c r="C69" s="8">
        <v>42647</v>
      </c>
      <c r="F69" s="46"/>
      <c r="G69">
        <v>13</v>
      </c>
      <c r="H69">
        <v>8.3000000000000007</v>
      </c>
      <c r="I69">
        <v>18.2</v>
      </c>
      <c r="J69">
        <f t="shared" si="5"/>
        <v>598.09999999999991</v>
      </c>
      <c r="M69">
        <v>0</v>
      </c>
      <c r="N69">
        <v>2.9</v>
      </c>
      <c r="O69">
        <f t="shared" si="2"/>
        <v>-2.9</v>
      </c>
      <c r="P69">
        <v>0</v>
      </c>
      <c r="Q69">
        <v>35</v>
      </c>
      <c r="R69">
        <f t="shared" si="9"/>
        <v>0.55000000000000004</v>
      </c>
      <c r="S69" s="23">
        <f t="shared" si="3"/>
        <v>1.595</v>
      </c>
      <c r="T69" s="23">
        <f t="shared" si="4"/>
        <v>-1.595</v>
      </c>
      <c r="U69" s="23">
        <f t="shared" si="8"/>
        <v>10.229999999999999</v>
      </c>
      <c r="W69">
        <v>1351.4</v>
      </c>
      <c r="Y69">
        <f t="shared" si="6"/>
        <v>38880.1</v>
      </c>
      <c r="AA69">
        <v>11.175861616683253</v>
      </c>
    </row>
    <row r="70" spans="1:27" x14ac:dyDescent="0.25">
      <c r="A70">
        <v>6280</v>
      </c>
      <c r="B70">
        <v>24170</v>
      </c>
      <c r="C70" s="8">
        <v>42648</v>
      </c>
      <c r="F70" s="46"/>
      <c r="G70">
        <v>11.7</v>
      </c>
      <c r="H70">
        <v>8.8000000000000007</v>
      </c>
      <c r="I70">
        <v>16</v>
      </c>
      <c r="J70">
        <f t="shared" si="5"/>
        <v>609.79999999999995</v>
      </c>
      <c r="M70">
        <v>0</v>
      </c>
      <c r="N70">
        <v>3</v>
      </c>
      <c r="O70">
        <f t="shared" si="2"/>
        <v>-3</v>
      </c>
      <c r="P70">
        <v>0</v>
      </c>
      <c r="Q70" s="22">
        <v>36</v>
      </c>
      <c r="R70">
        <f t="shared" si="9"/>
        <v>0.55833333333333335</v>
      </c>
      <c r="S70" s="23">
        <f t="shared" si="3"/>
        <v>1.675</v>
      </c>
      <c r="T70" s="23">
        <f t="shared" si="4"/>
        <v>-1.675</v>
      </c>
      <c r="U70" s="23">
        <f t="shared" si="8"/>
        <v>8.5549999999999979</v>
      </c>
      <c r="W70">
        <v>1459.7</v>
      </c>
      <c r="Y70">
        <f t="shared" si="6"/>
        <v>40339.799999999996</v>
      </c>
      <c r="AA70">
        <v>11.115385416786749</v>
      </c>
    </row>
    <row r="71" spans="1:27" x14ac:dyDescent="0.25">
      <c r="A71">
        <v>6280</v>
      </c>
      <c r="B71">
        <v>24170</v>
      </c>
      <c r="C71" s="8">
        <v>42649</v>
      </c>
      <c r="F71" s="46"/>
      <c r="G71">
        <v>9.8000000000000007</v>
      </c>
      <c r="H71">
        <v>5.7</v>
      </c>
      <c r="I71">
        <v>13.9</v>
      </c>
      <c r="J71">
        <f t="shared" si="5"/>
        <v>619.59999999999991</v>
      </c>
      <c r="M71">
        <v>0</v>
      </c>
      <c r="N71">
        <v>2.2999999999999998</v>
      </c>
      <c r="O71">
        <f t="shared" si="2"/>
        <v>-2.2999999999999998</v>
      </c>
      <c r="P71">
        <v>0</v>
      </c>
      <c r="Q71">
        <v>37</v>
      </c>
      <c r="R71">
        <f t="shared" si="9"/>
        <v>0.56666666666666665</v>
      </c>
      <c r="S71" s="23">
        <f t="shared" si="3"/>
        <v>1.3033333333333332</v>
      </c>
      <c r="T71" s="23">
        <f t="shared" si="4"/>
        <v>-1.3033333333333332</v>
      </c>
      <c r="U71" s="23">
        <f t="shared" si="8"/>
        <v>7.2516666666666652</v>
      </c>
      <c r="W71">
        <v>1315.5</v>
      </c>
      <c r="Y71">
        <f t="shared" si="6"/>
        <v>41655.299999999996</v>
      </c>
      <c r="AA71">
        <v>11.055035094616533</v>
      </c>
    </row>
    <row r="72" spans="1:27" x14ac:dyDescent="0.25">
      <c r="A72">
        <v>6280</v>
      </c>
      <c r="B72">
        <v>24170</v>
      </c>
      <c r="C72" s="8">
        <v>42650</v>
      </c>
      <c r="F72" s="46"/>
      <c r="G72">
        <v>11.5</v>
      </c>
      <c r="H72">
        <v>8</v>
      </c>
      <c r="I72">
        <v>13.8</v>
      </c>
      <c r="J72">
        <f t="shared" si="5"/>
        <v>631.09999999999991</v>
      </c>
      <c r="M72">
        <v>0</v>
      </c>
      <c r="N72">
        <v>1.2</v>
      </c>
      <c r="O72">
        <f t="shared" si="2"/>
        <v>-1.2</v>
      </c>
      <c r="P72">
        <v>0</v>
      </c>
      <c r="Q72" s="22">
        <v>38</v>
      </c>
      <c r="R72">
        <f t="shared" si="9"/>
        <v>0.57499999999999996</v>
      </c>
      <c r="S72" s="23">
        <f t="shared" si="3"/>
        <v>0.69</v>
      </c>
      <c r="T72" s="23">
        <f t="shared" si="4"/>
        <v>-0.69</v>
      </c>
      <c r="U72" s="23">
        <f t="shared" si="8"/>
        <v>6.5616666666666656</v>
      </c>
      <c r="W72">
        <v>243</v>
      </c>
      <c r="Y72">
        <f t="shared" si="6"/>
        <v>41898.299999999996</v>
      </c>
      <c r="AA72">
        <v>10.994820532890451</v>
      </c>
    </row>
    <row r="73" spans="1:27" x14ac:dyDescent="0.25">
      <c r="A73">
        <v>6280</v>
      </c>
      <c r="B73">
        <v>24170</v>
      </c>
      <c r="C73" s="8">
        <v>42651</v>
      </c>
      <c r="F73" s="46"/>
      <c r="G73">
        <v>11.1</v>
      </c>
      <c r="H73">
        <v>9.3000000000000007</v>
      </c>
      <c r="I73">
        <v>15.9</v>
      </c>
      <c r="J73">
        <f t="shared" si="5"/>
        <v>642.19999999999993</v>
      </c>
      <c r="M73">
        <v>0</v>
      </c>
      <c r="N73">
        <v>1.9</v>
      </c>
      <c r="O73">
        <f t="shared" si="2"/>
        <v>-1.9</v>
      </c>
      <c r="P73">
        <v>0</v>
      </c>
      <c r="Q73">
        <v>39</v>
      </c>
      <c r="R73">
        <f t="shared" si="9"/>
        <v>0.58333333333333326</v>
      </c>
      <c r="S73" s="23">
        <f t="shared" si="3"/>
        <v>1.1083333333333332</v>
      </c>
      <c r="T73" s="23">
        <f t="shared" si="4"/>
        <v>-1.1083333333333332</v>
      </c>
      <c r="U73" s="23">
        <f t="shared" si="8"/>
        <v>5.4533333333333323</v>
      </c>
      <c r="W73">
        <v>998</v>
      </c>
      <c r="Y73">
        <f t="shared" si="6"/>
        <v>42896.299999999996</v>
      </c>
      <c r="AA73">
        <v>10.934751851666652</v>
      </c>
    </row>
    <row r="74" spans="1:27" x14ac:dyDescent="0.25">
      <c r="A74">
        <v>6280</v>
      </c>
      <c r="B74">
        <v>24170</v>
      </c>
      <c r="C74" s="8">
        <v>42652</v>
      </c>
      <c r="F74" s="46"/>
      <c r="G74">
        <v>8.6999999999999993</v>
      </c>
      <c r="H74">
        <v>3.8</v>
      </c>
      <c r="I74">
        <v>14.6</v>
      </c>
      <c r="J74">
        <f t="shared" si="5"/>
        <v>650.9</v>
      </c>
      <c r="M74">
        <v>0</v>
      </c>
      <c r="N74">
        <v>2.1</v>
      </c>
      <c r="O74">
        <f t="shared" si="2"/>
        <v>-2.1</v>
      </c>
      <c r="P74">
        <v>0</v>
      </c>
      <c r="Q74" s="22">
        <v>40</v>
      </c>
      <c r="R74">
        <f t="shared" si="9"/>
        <v>0.59166666666666667</v>
      </c>
      <c r="S74" s="23">
        <f t="shared" si="3"/>
        <v>1.2425000000000002</v>
      </c>
      <c r="T74" s="23">
        <f t="shared" si="4"/>
        <v>-1.2425000000000002</v>
      </c>
      <c r="U74" s="23">
        <f t="shared" si="8"/>
        <v>4.2108333333333317</v>
      </c>
      <c r="W74">
        <v>1295.5999999999999</v>
      </c>
      <c r="Y74">
        <f t="shared" si="6"/>
        <v>44191.899999999994</v>
      </c>
      <c r="AA74">
        <v>10.874839422613142</v>
      </c>
    </row>
    <row r="75" spans="1:27" x14ac:dyDescent="0.25">
      <c r="A75">
        <v>6280</v>
      </c>
      <c r="B75">
        <v>24170</v>
      </c>
      <c r="C75" s="8">
        <v>42653</v>
      </c>
      <c r="F75" s="46"/>
      <c r="G75">
        <v>7.5</v>
      </c>
      <c r="H75">
        <v>2.1</v>
      </c>
      <c r="I75">
        <v>13</v>
      </c>
      <c r="J75">
        <f t="shared" si="5"/>
        <v>658.4</v>
      </c>
      <c r="M75">
        <v>0.5</v>
      </c>
      <c r="N75">
        <v>1.4</v>
      </c>
      <c r="O75">
        <f t="shared" si="2"/>
        <v>-0.89999999999999991</v>
      </c>
      <c r="P75">
        <v>0</v>
      </c>
      <c r="Q75">
        <v>41</v>
      </c>
      <c r="R75">
        <f t="shared" si="9"/>
        <v>0.6</v>
      </c>
      <c r="S75" s="23">
        <f t="shared" si="3"/>
        <v>0.84</v>
      </c>
      <c r="T75" s="23">
        <f t="shared" si="4"/>
        <v>-0.33999999999999997</v>
      </c>
      <c r="U75" s="23">
        <f t="shared" si="8"/>
        <v>3.8708333333333318</v>
      </c>
      <c r="W75">
        <v>950.5</v>
      </c>
      <c r="Y75">
        <f t="shared" si="6"/>
        <v>45142.399999999994</v>
      </c>
      <c r="AA75">
        <v>10.815093883043218</v>
      </c>
    </row>
    <row r="76" spans="1:27" x14ac:dyDescent="0.25">
      <c r="A76">
        <v>6280</v>
      </c>
      <c r="B76">
        <v>24170</v>
      </c>
      <c r="C76" s="8">
        <v>42654</v>
      </c>
      <c r="F76" s="46"/>
      <c r="G76">
        <v>7.5</v>
      </c>
      <c r="H76">
        <v>4.5</v>
      </c>
      <c r="I76">
        <v>12</v>
      </c>
      <c r="J76">
        <f t="shared" si="5"/>
        <v>665.9</v>
      </c>
      <c r="M76">
        <v>0</v>
      </c>
      <c r="N76">
        <v>1.7</v>
      </c>
      <c r="O76">
        <f t="shared" si="2"/>
        <v>-1.7</v>
      </c>
      <c r="P76">
        <v>0</v>
      </c>
      <c r="Q76" s="22">
        <v>42</v>
      </c>
      <c r="R76">
        <f t="shared" si="9"/>
        <v>0.60833333333333328</v>
      </c>
      <c r="S76" s="23">
        <f t="shared" si="3"/>
        <v>1.0341666666666665</v>
      </c>
      <c r="T76" s="23">
        <f t="shared" si="4"/>
        <v>-1.0341666666666665</v>
      </c>
      <c r="U76" s="23">
        <f t="shared" si="8"/>
        <v>2.8366666666666651</v>
      </c>
      <c r="W76">
        <v>1212.5</v>
      </c>
      <c r="Y76">
        <f t="shared" si="6"/>
        <v>46354.899999999994</v>
      </c>
      <c r="AA76">
        <v>10.755526149690896</v>
      </c>
    </row>
    <row r="77" spans="1:27" x14ac:dyDescent="0.25">
      <c r="A77">
        <v>6280</v>
      </c>
      <c r="B77">
        <v>24170</v>
      </c>
      <c r="C77" s="8">
        <v>42655</v>
      </c>
      <c r="F77" s="46"/>
      <c r="G77">
        <v>7.7</v>
      </c>
      <c r="H77">
        <v>1.5</v>
      </c>
      <c r="I77">
        <v>13.6</v>
      </c>
      <c r="J77">
        <f t="shared" si="5"/>
        <v>673.6</v>
      </c>
      <c r="M77">
        <v>0.1</v>
      </c>
      <c r="N77">
        <v>1.6</v>
      </c>
      <c r="O77">
        <f t="shared" si="2"/>
        <v>-1.5</v>
      </c>
      <c r="P77">
        <v>0</v>
      </c>
      <c r="Q77">
        <v>43</v>
      </c>
      <c r="R77">
        <f t="shared" si="9"/>
        <v>0.6166666666666667</v>
      </c>
      <c r="S77" s="23">
        <f t="shared" si="3"/>
        <v>0.9866666666666668</v>
      </c>
      <c r="T77" s="23">
        <f t="shared" si="4"/>
        <v>-0.88666666666666683</v>
      </c>
      <c r="U77" s="23">
        <f t="shared" si="8"/>
        <v>1.9499999999999984</v>
      </c>
      <c r="W77">
        <v>1094.3</v>
      </c>
      <c r="Y77">
        <f t="shared" si="6"/>
        <v>47449.2</v>
      </c>
      <c r="AA77">
        <v>10.696147432198439</v>
      </c>
    </row>
    <row r="78" spans="1:27" x14ac:dyDescent="0.25">
      <c r="A78">
        <v>6280</v>
      </c>
      <c r="B78">
        <v>24170</v>
      </c>
      <c r="C78" s="8">
        <v>42656</v>
      </c>
      <c r="F78" s="46"/>
      <c r="G78">
        <v>8.3000000000000007</v>
      </c>
      <c r="H78">
        <v>4.8</v>
      </c>
      <c r="I78">
        <v>10.5</v>
      </c>
      <c r="J78">
        <f t="shared" si="5"/>
        <v>681.9</v>
      </c>
      <c r="M78">
        <v>0.4</v>
      </c>
      <c r="N78">
        <v>0.8</v>
      </c>
      <c r="O78">
        <f t="shared" si="2"/>
        <v>-0.4</v>
      </c>
      <c r="P78">
        <v>0</v>
      </c>
      <c r="Q78" s="22">
        <v>44</v>
      </c>
      <c r="R78">
        <f t="shared" si="9"/>
        <v>0.625</v>
      </c>
      <c r="S78" s="23">
        <f t="shared" si="3"/>
        <v>0.5</v>
      </c>
      <c r="T78" s="23">
        <f t="shared" si="4"/>
        <v>-9.9999999999999978E-2</v>
      </c>
      <c r="U78" s="23">
        <f t="shared" si="8"/>
        <v>1.8499999999999983</v>
      </c>
      <c r="W78">
        <v>428.4</v>
      </c>
      <c r="Y78">
        <f t="shared" si="6"/>
        <v>47877.599999999999</v>
      </c>
      <c r="AA78">
        <v>10.636969246285936</v>
      </c>
    </row>
    <row r="79" spans="1:27" x14ac:dyDescent="0.25">
      <c r="A79">
        <v>6280</v>
      </c>
      <c r="B79">
        <v>24170</v>
      </c>
      <c r="C79" s="8">
        <v>42657</v>
      </c>
      <c r="F79" s="46"/>
      <c r="G79">
        <v>10.7</v>
      </c>
      <c r="H79">
        <v>9.3000000000000007</v>
      </c>
      <c r="I79">
        <v>12.4</v>
      </c>
      <c r="J79">
        <f t="shared" si="5"/>
        <v>692.6</v>
      </c>
      <c r="M79">
        <v>7.7</v>
      </c>
      <c r="N79">
        <v>0.8</v>
      </c>
      <c r="O79">
        <f t="shared" si="2"/>
        <v>6.9</v>
      </c>
      <c r="P79">
        <f t="shared" si="7"/>
        <v>6.9</v>
      </c>
      <c r="Q79">
        <v>45</v>
      </c>
      <c r="R79">
        <f t="shared" si="9"/>
        <v>0.6333333333333333</v>
      </c>
      <c r="S79" s="23">
        <f t="shared" si="3"/>
        <v>0.50666666666666671</v>
      </c>
      <c r="T79" s="23">
        <f t="shared" si="4"/>
        <v>7.1933333333333334</v>
      </c>
      <c r="U79" s="23">
        <f t="shared" si="8"/>
        <v>9.0433333333333312</v>
      </c>
      <c r="W79">
        <v>279.10000000000002</v>
      </c>
      <c r="Y79">
        <f t="shared" si="6"/>
        <v>48156.7</v>
      </c>
      <c r="AA79">
        <v>10.578003426570682</v>
      </c>
    </row>
    <row r="80" spans="1:27" x14ac:dyDescent="0.25">
      <c r="A80">
        <v>6280</v>
      </c>
      <c r="B80">
        <v>24170</v>
      </c>
      <c r="C80" s="8">
        <v>42658</v>
      </c>
      <c r="F80" s="46"/>
      <c r="G80">
        <v>11.9</v>
      </c>
      <c r="H80">
        <v>8</v>
      </c>
      <c r="I80">
        <v>15.2</v>
      </c>
      <c r="J80">
        <f t="shared" si="5"/>
        <v>704.5</v>
      </c>
      <c r="M80">
        <v>0</v>
      </c>
      <c r="N80">
        <v>1.4</v>
      </c>
      <c r="O80">
        <f t="shared" si="2"/>
        <v>-1.4</v>
      </c>
      <c r="P80">
        <f t="shared" si="7"/>
        <v>5.5</v>
      </c>
      <c r="Q80" s="22">
        <v>46</v>
      </c>
      <c r="R80">
        <f t="shared" si="9"/>
        <v>0.64166666666666661</v>
      </c>
      <c r="S80" s="23">
        <f t="shared" si="3"/>
        <v>0.89833333333333321</v>
      </c>
      <c r="T80" s="23">
        <f t="shared" si="4"/>
        <v>-0.89833333333333321</v>
      </c>
      <c r="U80" s="23">
        <f t="shared" si="8"/>
        <v>8.1449999999999978</v>
      </c>
      <c r="W80">
        <v>945.7</v>
      </c>
      <c r="Y80">
        <f t="shared" si="6"/>
        <v>49102.399999999994</v>
      </c>
      <c r="AA80">
        <v>10.519262139001635</v>
      </c>
    </row>
    <row r="81" spans="1:27" x14ac:dyDescent="0.25">
      <c r="A81">
        <v>6280</v>
      </c>
      <c r="B81">
        <v>24170</v>
      </c>
      <c r="C81" s="8">
        <v>42659</v>
      </c>
      <c r="F81" s="46"/>
      <c r="G81">
        <v>13.9</v>
      </c>
      <c r="H81">
        <v>9.1999999999999993</v>
      </c>
      <c r="I81">
        <v>20.100000000000001</v>
      </c>
      <c r="J81">
        <f t="shared" si="5"/>
        <v>718.4</v>
      </c>
      <c r="M81">
        <v>0.6</v>
      </c>
      <c r="N81">
        <v>2.1</v>
      </c>
      <c r="O81">
        <f t="shared" si="2"/>
        <v>-1.5</v>
      </c>
      <c r="P81">
        <f t="shared" si="7"/>
        <v>4</v>
      </c>
      <c r="Q81">
        <v>47</v>
      </c>
      <c r="R81">
        <f t="shared" si="9"/>
        <v>0.65</v>
      </c>
      <c r="S81" s="23">
        <f t="shared" si="3"/>
        <v>1.3650000000000002</v>
      </c>
      <c r="T81" s="23">
        <f t="shared" si="4"/>
        <v>-0.76500000000000024</v>
      </c>
      <c r="U81" s="23">
        <f t="shared" si="8"/>
        <v>7.3799999999999972</v>
      </c>
      <c r="W81">
        <v>966.9</v>
      </c>
      <c r="Y81">
        <f t="shared" si="6"/>
        <v>50069.299999999996</v>
      </c>
      <c r="AA81">
        <v>10.460757892872039</v>
      </c>
    </row>
    <row r="82" spans="1:27" x14ac:dyDescent="0.25">
      <c r="A82">
        <v>6280</v>
      </c>
      <c r="B82">
        <v>24170</v>
      </c>
      <c r="C82" s="8">
        <v>42660</v>
      </c>
      <c r="F82" s="46"/>
      <c r="G82">
        <v>13</v>
      </c>
      <c r="H82">
        <v>11.3</v>
      </c>
      <c r="I82">
        <v>17</v>
      </c>
      <c r="J82">
        <f t="shared" si="5"/>
        <v>731.4</v>
      </c>
      <c r="M82">
        <v>0.7</v>
      </c>
      <c r="N82">
        <v>1.3</v>
      </c>
      <c r="O82">
        <f t="shared" si="2"/>
        <v>-0.60000000000000009</v>
      </c>
      <c r="P82">
        <f t="shared" si="7"/>
        <v>3.4</v>
      </c>
      <c r="Q82" s="22">
        <v>48</v>
      </c>
      <c r="R82">
        <f t="shared" si="9"/>
        <v>0.65833333333333333</v>
      </c>
      <c r="S82" s="23">
        <f t="shared" si="3"/>
        <v>0.85583333333333333</v>
      </c>
      <c r="T82" s="23">
        <f t="shared" si="4"/>
        <v>-0.15583333333333338</v>
      </c>
      <c r="U82" s="23">
        <f t="shared" si="8"/>
        <v>7.2241666666666635</v>
      </c>
      <c r="W82">
        <v>670.7</v>
      </c>
      <c r="Y82">
        <f t="shared" si="6"/>
        <v>50739.999999999993</v>
      </c>
      <c r="AA82">
        <v>10.402503552370584</v>
      </c>
    </row>
    <row r="83" spans="1:27" x14ac:dyDescent="0.25">
      <c r="A83">
        <v>6280</v>
      </c>
      <c r="B83">
        <v>24170</v>
      </c>
      <c r="C83" s="8">
        <v>42661</v>
      </c>
      <c r="F83" s="46"/>
      <c r="G83">
        <v>10.4</v>
      </c>
      <c r="H83">
        <v>6.5</v>
      </c>
      <c r="I83">
        <v>15.9</v>
      </c>
      <c r="J83">
        <f t="shared" si="5"/>
        <v>741.8</v>
      </c>
      <c r="M83">
        <v>2.9</v>
      </c>
      <c r="N83">
        <v>1.5</v>
      </c>
      <c r="O83">
        <f t="shared" si="2"/>
        <v>1.4</v>
      </c>
      <c r="P83">
        <f t="shared" si="7"/>
        <v>4.8</v>
      </c>
      <c r="Q83">
        <v>49</v>
      </c>
      <c r="R83">
        <f t="shared" si="9"/>
        <v>0.66666666666666663</v>
      </c>
      <c r="S83" s="23">
        <f t="shared" si="3"/>
        <v>1</v>
      </c>
      <c r="T83" s="23">
        <f t="shared" si="4"/>
        <v>1.9</v>
      </c>
      <c r="U83" s="23">
        <f t="shared" si="8"/>
        <v>9.1241666666666639</v>
      </c>
      <c r="W83">
        <v>832.2</v>
      </c>
      <c r="Y83">
        <f t="shared" si="6"/>
        <v>51572.19999999999</v>
      </c>
      <c r="AA83">
        <v>10.344512347629061</v>
      </c>
    </row>
    <row r="84" spans="1:27" x14ac:dyDescent="0.25">
      <c r="A84">
        <v>6280</v>
      </c>
      <c r="B84">
        <v>24170</v>
      </c>
      <c r="C84" s="8">
        <v>42662</v>
      </c>
      <c r="F84" s="46"/>
      <c r="G84">
        <v>9.3000000000000007</v>
      </c>
      <c r="H84">
        <v>6.4</v>
      </c>
      <c r="I84">
        <v>12.7</v>
      </c>
      <c r="J84">
        <f t="shared" si="5"/>
        <v>751.09999999999991</v>
      </c>
      <c r="M84">
        <v>1.9</v>
      </c>
      <c r="N84">
        <v>1.2</v>
      </c>
      <c r="O84">
        <f t="shared" si="2"/>
        <v>0.7</v>
      </c>
      <c r="P84">
        <f t="shared" si="7"/>
        <v>5.5</v>
      </c>
      <c r="Q84" s="22">
        <v>50</v>
      </c>
      <c r="R84">
        <f t="shared" si="9"/>
        <v>0.67500000000000004</v>
      </c>
      <c r="S84" s="23">
        <f t="shared" si="3"/>
        <v>0.81</v>
      </c>
      <c r="T84" s="23">
        <f t="shared" si="4"/>
        <v>1.0899999999999999</v>
      </c>
      <c r="U84" s="23">
        <f t="shared" si="8"/>
        <v>10.214166666666664</v>
      </c>
      <c r="W84">
        <v>745.4</v>
      </c>
      <c r="Y84">
        <f t="shared" si="6"/>
        <v>52317.599999999991</v>
      </c>
      <c r="AA84">
        <v>10.286797885221745</v>
      </c>
    </row>
    <row r="85" spans="1:27" x14ac:dyDescent="0.25">
      <c r="A85">
        <v>6280</v>
      </c>
      <c r="B85">
        <v>24170</v>
      </c>
      <c r="C85" s="8">
        <v>42663</v>
      </c>
      <c r="F85" s="46"/>
      <c r="G85">
        <v>10.6</v>
      </c>
      <c r="H85">
        <v>8.9</v>
      </c>
      <c r="I85">
        <v>12.9</v>
      </c>
      <c r="J85">
        <f t="shared" si="5"/>
        <v>761.69999999999993</v>
      </c>
      <c r="M85">
        <v>0.9</v>
      </c>
      <c r="N85">
        <v>0.8</v>
      </c>
      <c r="O85">
        <f t="shared" si="2"/>
        <v>9.9999999999999978E-2</v>
      </c>
      <c r="P85">
        <f t="shared" si="7"/>
        <v>5.6</v>
      </c>
      <c r="Q85">
        <v>51</v>
      </c>
      <c r="R85">
        <f t="shared" si="9"/>
        <v>0.68333333333333335</v>
      </c>
      <c r="S85" s="23">
        <f t="shared" si="3"/>
        <v>0.54666666666666675</v>
      </c>
      <c r="T85" s="23">
        <f t="shared" si="4"/>
        <v>0.35333333333333328</v>
      </c>
      <c r="U85" s="23">
        <f t="shared" si="8"/>
        <v>10.567499999999997</v>
      </c>
      <c r="W85">
        <v>345.5</v>
      </c>
      <c r="Y85">
        <f t="shared" si="6"/>
        <v>52663.099999999991</v>
      </c>
      <c r="AA85">
        <v>10.229374158069168</v>
      </c>
    </row>
    <row r="86" spans="1:27" x14ac:dyDescent="0.25">
      <c r="A86">
        <v>6280</v>
      </c>
      <c r="B86">
        <v>24170</v>
      </c>
      <c r="C86" s="8">
        <v>42664</v>
      </c>
      <c r="F86" s="46"/>
      <c r="G86">
        <v>9.6</v>
      </c>
      <c r="H86">
        <v>8.4</v>
      </c>
      <c r="I86">
        <v>12.4</v>
      </c>
      <c r="J86">
        <f t="shared" si="5"/>
        <v>771.3</v>
      </c>
      <c r="M86">
        <v>0.1</v>
      </c>
      <c r="N86">
        <v>1</v>
      </c>
      <c r="O86">
        <f t="shared" si="2"/>
        <v>-0.9</v>
      </c>
      <c r="P86">
        <f t="shared" si="7"/>
        <v>4.6999999999999993</v>
      </c>
      <c r="Q86" s="22">
        <v>52</v>
      </c>
      <c r="R86">
        <f t="shared" si="9"/>
        <v>0.69166666666666665</v>
      </c>
      <c r="S86" s="23">
        <f t="shared" si="3"/>
        <v>0.69166666666666665</v>
      </c>
      <c r="T86" s="23">
        <f t="shared" si="4"/>
        <v>-0.59166666666666667</v>
      </c>
      <c r="U86" s="23">
        <f t="shared" si="8"/>
        <v>9.9758333333333304</v>
      </c>
      <c r="W86">
        <v>584</v>
      </c>
      <c r="Y86">
        <f t="shared" si="6"/>
        <v>53247.099999999991</v>
      </c>
      <c r="AA86">
        <v>10.172255554696203</v>
      </c>
    </row>
    <row r="87" spans="1:27" x14ac:dyDescent="0.25">
      <c r="A87">
        <v>6280</v>
      </c>
      <c r="B87">
        <v>24170</v>
      </c>
      <c r="C87" s="8">
        <v>42665</v>
      </c>
      <c r="F87" s="46"/>
      <c r="G87">
        <v>7.8</v>
      </c>
      <c r="H87">
        <v>6.6</v>
      </c>
      <c r="I87">
        <v>10.1</v>
      </c>
      <c r="J87">
        <f t="shared" si="5"/>
        <v>779.09999999999991</v>
      </c>
      <c r="M87">
        <v>0.2</v>
      </c>
      <c r="N87">
        <v>1</v>
      </c>
      <c r="O87">
        <f t="shared" si="2"/>
        <v>-0.8</v>
      </c>
      <c r="P87">
        <f t="shared" si="7"/>
        <v>3.8999999999999995</v>
      </c>
      <c r="Q87">
        <v>53</v>
      </c>
      <c r="R87">
        <f t="shared" si="9"/>
        <v>0.7</v>
      </c>
      <c r="S87" s="23">
        <f t="shared" si="3"/>
        <v>0.7</v>
      </c>
      <c r="T87" s="23">
        <f t="shared" si="4"/>
        <v>-0.49999999999999994</v>
      </c>
      <c r="U87" s="23">
        <f t="shared" si="8"/>
        <v>9.4758333333333304</v>
      </c>
      <c r="W87">
        <v>644.1</v>
      </c>
      <c r="Y87">
        <f t="shared" si="6"/>
        <v>53891.19999999999</v>
      </c>
      <c r="AA87">
        <v>10.115456867791687</v>
      </c>
    </row>
    <row r="88" spans="1:27" x14ac:dyDescent="0.25">
      <c r="A88">
        <v>6280</v>
      </c>
      <c r="B88">
        <v>24170</v>
      </c>
      <c r="C88" s="8">
        <v>42666</v>
      </c>
      <c r="F88" s="46"/>
      <c r="G88">
        <v>9.1999999999999993</v>
      </c>
      <c r="H88">
        <v>5.3</v>
      </c>
      <c r="I88">
        <v>12.3</v>
      </c>
      <c r="J88">
        <f t="shared" si="5"/>
        <v>788.3</v>
      </c>
      <c r="M88">
        <v>10.6</v>
      </c>
      <c r="N88">
        <v>1.1000000000000001</v>
      </c>
      <c r="O88">
        <f t="shared" si="2"/>
        <v>9.5</v>
      </c>
      <c r="P88">
        <f t="shared" si="7"/>
        <v>13.399999999999999</v>
      </c>
      <c r="Q88" s="22">
        <v>54</v>
      </c>
      <c r="R88">
        <f t="shared" si="9"/>
        <v>0.70833333333333337</v>
      </c>
      <c r="S88" s="23">
        <f t="shared" si="3"/>
        <v>0.77916666666666679</v>
      </c>
      <c r="T88" s="23">
        <f t="shared" si="4"/>
        <v>9.8208333333333329</v>
      </c>
      <c r="U88" s="23">
        <f t="shared" si="8"/>
        <v>19.296666666666663</v>
      </c>
      <c r="W88">
        <v>680.5</v>
      </c>
      <c r="Y88">
        <f t="shared" si="6"/>
        <v>54571.69999999999</v>
      </c>
      <c r="AA88">
        <v>10.058993302014095</v>
      </c>
    </row>
    <row r="89" spans="1:27" x14ac:dyDescent="0.25">
      <c r="A89">
        <v>6280</v>
      </c>
      <c r="B89">
        <v>24170</v>
      </c>
      <c r="C89" s="8">
        <v>42667</v>
      </c>
      <c r="F89" s="46"/>
      <c r="G89">
        <v>11.7</v>
      </c>
      <c r="H89">
        <v>10.199999999999999</v>
      </c>
      <c r="I89">
        <v>13.2</v>
      </c>
      <c r="J89">
        <f t="shared" si="5"/>
        <v>800</v>
      </c>
      <c r="M89">
        <v>2.4</v>
      </c>
      <c r="N89">
        <v>0.2</v>
      </c>
      <c r="O89">
        <f t="shared" si="2"/>
        <v>2.1999999999999997</v>
      </c>
      <c r="P89">
        <f t="shared" si="7"/>
        <v>15.599999999999998</v>
      </c>
      <c r="Q89">
        <v>55</v>
      </c>
      <c r="R89">
        <f t="shared" si="9"/>
        <v>0.71666666666666667</v>
      </c>
      <c r="S89" s="23">
        <f t="shared" si="3"/>
        <v>0.14333333333333334</v>
      </c>
      <c r="T89" s="23">
        <f t="shared" si="4"/>
        <v>2.2566666666666664</v>
      </c>
      <c r="U89" s="23">
        <f t="shared" si="8"/>
        <v>21.553333333333331</v>
      </c>
      <c r="W89">
        <v>107.1</v>
      </c>
      <c r="Y89">
        <f t="shared" si="6"/>
        <v>54678.799999999988</v>
      </c>
      <c r="AA89">
        <v>10.002880480985208</v>
      </c>
    </row>
    <row r="90" spans="1:27" x14ac:dyDescent="0.25">
      <c r="A90">
        <v>6280</v>
      </c>
      <c r="B90">
        <v>24170</v>
      </c>
      <c r="C90" s="8">
        <v>42668</v>
      </c>
      <c r="F90" s="46"/>
      <c r="G90">
        <v>12.1</v>
      </c>
      <c r="H90">
        <v>11</v>
      </c>
      <c r="I90">
        <v>13.6</v>
      </c>
      <c r="J90">
        <f t="shared" si="5"/>
        <v>812.1</v>
      </c>
      <c r="M90">
        <v>0</v>
      </c>
      <c r="N90">
        <v>0.5</v>
      </c>
      <c r="O90">
        <f t="shared" si="2"/>
        <v>-0.5</v>
      </c>
      <c r="P90">
        <f t="shared" si="7"/>
        <v>15.099999999999998</v>
      </c>
      <c r="Q90" s="22">
        <v>56</v>
      </c>
      <c r="R90">
        <f t="shared" si="9"/>
        <v>0.72499999999999998</v>
      </c>
      <c r="S90" s="23">
        <f t="shared" si="3"/>
        <v>0.36249999999999999</v>
      </c>
      <c r="T90" s="23">
        <f t="shared" si="4"/>
        <v>-0.36249999999999999</v>
      </c>
      <c r="U90" s="23">
        <f t="shared" si="8"/>
        <v>21.19083333333333</v>
      </c>
      <c r="W90">
        <v>269.7</v>
      </c>
      <c r="Y90">
        <f t="shared" si="6"/>
        <v>54948.499999999985</v>
      </c>
      <c r="AA90">
        <v>9.9471344534110102</v>
      </c>
    </row>
    <row r="91" spans="1:27" x14ac:dyDescent="0.25">
      <c r="A91">
        <v>6280</v>
      </c>
      <c r="B91">
        <v>24170</v>
      </c>
      <c r="C91" s="8">
        <v>42669</v>
      </c>
      <c r="F91" s="46"/>
      <c r="G91">
        <v>9.9</v>
      </c>
      <c r="H91">
        <v>8.6999999999999993</v>
      </c>
      <c r="I91">
        <v>11.2</v>
      </c>
      <c r="J91">
        <f t="shared" si="5"/>
        <v>822</v>
      </c>
      <c r="M91">
        <v>0</v>
      </c>
      <c r="N91">
        <v>0.6</v>
      </c>
      <c r="O91">
        <f t="shared" si="2"/>
        <v>-0.6</v>
      </c>
      <c r="P91">
        <f t="shared" si="7"/>
        <v>14.499999999999998</v>
      </c>
      <c r="Q91">
        <v>57</v>
      </c>
      <c r="R91">
        <f t="shared" si="9"/>
        <v>0.73333333333333339</v>
      </c>
      <c r="S91" s="23">
        <f t="shared" si="3"/>
        <v>0.44</v>
      </c>
      <c r="T91" s="23">
        <f t="shared" si="4"/>
        <v>-0.44</v>
      </c>
      <c r="U91" s="23">
        <f t="shared" si="8"/>
        <v>20.750833333333329</v>
      </c>
      <c r="W91">
        <v>253.8</v>
      </c>
      <c r="Y91">
        <f t="shared" si="6"/>
        <v>55202.299999999988</v>
      </c>
      <c r="AA91">
        <v>9.8917716982665507</v>
      </c>
    </row>
    <row r="92" spans="1:27" x14ac:dyDescent="0.25">
      <c r="A92">
        <v>6280</v>
      </c>
      <c r="B92">
        <v>24170</v>
      </c>
      <c r="C92" s="8">
        <v>42670</v>
      </c>
      <c r="F92" s="46"/>
      <c r="G92">
        <v>9.8000000000000007</v>
      </c>
      <c r="H92">
        <v>8.3000000000000007</v>
      </c>
      <c r="I92">
        <v>12.3</v>
      </c>
      <c r="J92">
        <f t="shared" si="5"/>
        <v>831.8</v>
      </c>
      <c r="M92">
        <v>0</v>
      </c>
      <c r="N92">
        <v>1.4</v>
      </c>
      <c r="O92">
        <f t="shared" si="2"/>
        <v>-1.4</v>
      </c>
      <c r="P92">
        <f t="shared" si="7"/>
        <v>13.099999999999998</v>
      </c>
      <c r="Q92" s="22">
        <v>58</v>
      </c>
      <c r="R92">
        <f t="shared" si="9"/>
        <v>0.7416666666666667</v>
      </c>
      <c r="S92" s="23">
        <f t="shared" si="3"/>
        <v>1.0383333333333333</v>
      </c>
      <c r="T92" s="23">
        <f t="shared" si="4"/>
        <v>-1.0383333333333333</v>
      </c>
      <c r="U92" s="23">
        <f t="shared" si="8"/>
        <v>19.712499999999995</v>
      </c>
      <c r="W92">
        <v>813.3</v>
      </c>
      <c r="Y92">
        <f t="shared" si="6"/>
        <v>56015.599999999991</v>
      </c>
      <c r="AA92">
        <v>9.8368091289791959</v>
      </c>
    </row>
    <row r="93" spans="1:27" x14ac:dyDescent="0.25">
      <c r="A93">
        <v>6280</v>
      </c>
      <c r="B93">
        <v>24170</v>
      </c>
      <c r="C93" s="8">
        <v>42671</v>
      </c>
      <c r="F93" s="46"/>
      <c r="G93">
        <v>10.1</v>
      </c>
      <c r="H93">
        <v>5.8</v>
      </c>
      <c r="I93">
        <v>12.6</v>
      </c>
      <c r="J93">
        <f t="shared" si="5"/>
        <v>841.9</v>
      </c>
      <c r="M93">
        <v>0</v>
      </c>
      <c r="N93">
        <v>0.7</v>
      </c>
      <c r="O93">
        <f t="shared" si="2"/>
        <v>-0.7</v>
      </c>
      <c r="P93">
        <f t="shared" si="7"/>
        <v>12.399999999999999</v>
      </c>
      <c r="Q93">
        <v>59</v>
      </c>
      <c r="R93">
        <f t="shared" si="9"/>
        <v>0.75</v>
      </c>
      <c r="S93" s="23">
        <f t="shared" si="3"/>
        <v>0.52499999999999991</v>
      </c>
      <c r="T93" s="23">
        <f t="shared" si="4"/>
        <v>-0.52499999999999991</v>
      </c>
      <c r="U93" s="23">
        <f t="shared" si="8"/>
        <v>19.187499999999996</v>
      </c>
      <c r="W93">
        <v>248.5</v>
      </c>
      <c r="Y93">
        <f t="shared" si="6"/>
        <v>56264.099999999991</v>
      </c>
      <c r="AA93">
        <v>9.7822640965422742</v>
      </c>
    </row>
    <row r="94" spans="1:27" x14ac:dyDescent="0.25">
      <c r="A94">
        <v>6280</v>
      </c>
      <c r="B94">
        <v>24170</v>
      </c>
      <c r="C94" s="8">
        <v>42672</v>
      </c>
      <c r="F94" s="46"/>
      <c r="G94">
        <v>11</v>
      </c>
      <c r="H94">
        <v>10.199999999999999</v>
      </c>
      <c r="I94">
        <v>13.1</v>
      </c>
      <c r="J94">
        <f t="shared" si="5"/>
        <v>852.9</v>
      </c>
      <c r="M94">
        <v>0</v>
      </c>
      <c r="N94">
        <v>0.9</v>
      </c>
      <c r="O94">
        <f t="shared" si="2"/>
        <v>-0.9</v>
      </c>
      <c r="P94">
        <f t="shared" si="7"/>
        <v>11.499999999999998</v>
      </c>
      <c r="Q94" s="22">
        <v>60</v>
      </c>
      <c r="R94">
        <f t="shared" si="9"/>
        <v>0.7583333333333333</v>
      </c>
      <c r="S94" s="23">
        <f t="shared" si="3"/>
        <v>0.6825</v>
      </c>
      <c r="T94" s="23">
        <f t="shared" si="4"/>
        <v>-0.6825</v>
      </c>
      <c r="U94" s="23">
        <f t="shared" si="8"/>
        <v>18.504999999999995</v>
      </c>
      <c r="W94">
        <v>212.5</v>
      </c>
      <c r="Y94">
        <f t="shared" si="6"/>
        <v>56476.599999999991</v>
      </c>
      <c r="AA94">
        <v>9.7281543914891877</v>
      </c>
    </row>
    <row r="95" spans="1:27" x14ac:dyDescent="0.25">
      <c r="A95">
        <v>6280</v>
      </c>
      <c r="B95">
        <v>24170</v>
      </c>
      <c r="C95" s="8">
        <v>42673</v>
      </c>
      <c r="F95" s="46"/>
      <c r="G95">
        <v>10.6</v>
      </c>
      <c r="H95">
        <v>6.7</v>
      </c>
      <c r="I95">
        <v>15.7</v>
      </c>
      <c r="J95">
        <f t="shared" si="5"/>
        <v>863.5</v>
      </c>
      <c r="M95">
        <v>0.1</v>
      </c>
      <c r="N95">
        <v>1.6</v>
      </c>
      <c r="O95">
        <f t="shared" si="2"/>
        <v>-1.5</v>
      </c>
      <c r="P95">
        <f t="shared" si="7"/>
        <v>9.9999999999999982</v>
      </c>
      <c r="Q95">
        <v>61</v>
      </c>
      <c r="R95">
        <f t="shared" si="9"/>
        <v>0.76666666666666672</v>
      </c>
      <c r="S95" s="23">
        <f t="shared" si="3"/>
        <v>1.2266666666666668</v>
      </c>
      <c r="T95" s="23">
        <f t="shared" si="4"/>
        <v>-1.1266666666666667</v>
      </c>
      <c r="U95" s="23">
        <f t="shared" si="8"/>
        <v>17.37833333333333</v>
      </c>
      <c r="W95">
        <v>840</v>
      </c>
      <c r="Y95">
        <f t="shared" si="6"/>
        <v>57316.599999999991</v>
      </c>
      <c r="AA95">
        <v>9.6744982446561298</v>
      </c>
    </row>
    <row r="96" spans="1:27" x14ac:dyDescent="0.25">
      <c r="A96">
        <v>6280</v>
      </c>
      <c r="B96">
        <v>24170</v>
      </c>
      <c r="C96" s="8">
        <v>42674</v>
      </c>
      <c r="F96" s="46"/>
      <c r="G96">
        <v>10.4</v>
      </c>
      <c r="H96">
        <v>6</v>
      </c>
      <c r="I96">
        <v>16.2</v>
      </c>
      <c r="J96">
        <f t="shared" si="5"/>
        <v>873.9</v>
      </c>
      <c r="M96">
        <v>0</v>
      </c>
      <c r="N96">
        <v>1.5</v>
      </c>
      <c r="O96">
        <f t="shared" si="2"/>
        <v>-1.5</v>
      </c>
      <c r="P96">
        <f t="shared" si="7"/>
        <v>8.4999999999999982</v>
      </c>
      <c r="Q96" s="22">
        <v>62</v>
      </c>
      <c r="R96">
        <f t="shared" si="9"/>
        <v>0.77500000000000002</v>
      </c>
      <c r="S96" s="23">
        <f t="shared" si="3"/>
        <v>1.1625000000000001</v>
      </c>
      <c r="T96" s="23">
        <f t="shared" si="4"/>
        <v>-1.1625000000000001</v>
      </c>
      <c r="U96" s="23">
        <f t="shared" si="8"/>
        <v>16.215833333333329</v>
      </c>
      <c r="W96">
        <v>820.3</v>
      </c>
      <c r="Y96">
        <f t="shared" si="6"/>
        <v>58136.899999999994</v>
      </c>
      <c r="AA96">
        <v>9.6213143266599523</v>
      </c>
    </row>
    <row r="97" spans="1:27" x14ac:dyDescent="0.25">
      <c r="A97">
        <v>6280</v>
      </c>
      <c r="B97">
        <v>24170</v>
      </c>
      <c r="C97" s="8">
        <v>42675</v>
      </c>
      <c r="F97" s="46"/>
      <c r="G97">
        <v>7.5</v>
      </c>
      <c r="H97">
        <v>2.9</v>
      </c>
      <c r="I97">
        <v>11.7</v>
      </c>
      <c r="J97">
        <f t="shared" si="5"/>
        <v>881.4</v>
      </c>
      <c r="M97">
        <v>0.1</v>
      </c>
      <c r="N97">
        <v>1</v>
      </c>
      <c r="O97">
        <f t="shared" si="2"/>
        <v>-0.9</v>
      </c>
      <c r="P97">
        <f t="shared" si="7"/>
        <v>7.5999999999999979</v>
      </c>
      <c r="Q97">
        <v>63</v>
      </c>
      <c r="R97">
        <f t="shared" si="9"/>
        <v>0.78333333333333333</v>
      </c>
      <c r="S97" s="23">
        <f t="shared" si="3"/>
        <v>0.78333333333333333</v>
      </c>
      <c r="T97" s="23">
        <f t="shared" si="4"/>
        <v>-0.68333333333333335</v>
      </c>
      <c r="U97" s="23">
        <f t="shared" si="8"/>
        <v>15.532499999999995</v>
      </c>
      <c r="W97">
        <v>617.70000000000005</v>
      </c>
      <c r="Y97">
        <f t="shared" si="6"/>
        <v>58754.599999999991</v>
      </c>
      <c r="AA97">
        <v>9.5686217460165253</v>
      </c>
    </row>
    <row r="98" spans="1:27" x14ac:dyDescent="0.25">
      <c r="A98">
        <v>6280</v>
      </c>
      <c r="B98">
        <v>24170</v>
      </c>
      <c r="C98" s="8">
        <v>42676</v>
      </c>
      <c r="F98" s="46"/>
      <c r="G98">
        <v>7.7</v>
      </c>
      <c r="H98">
        <v>5.7</v>
      </c>
      <c r="I98">
        <v>11.5</v>
      </c>
      <c r="J98">
        <f t="shared" si="5"/>
        <v>889.1</v>
      </c>
      <c r="M98">
        <v>0</v>
      </c>
      <c r="N98">
        <v>1</v>
      </c>
      <c r="O98">
        <f t="shared" si="2"/>
        <v>-1</v>
      </c>
      <c r="P98">
        <f t="shared" si="7"/>
        <v>6.5999999999999979</v>
      </c>
      <c r="Q98" s="22">
        <v>64</v>
      </c>
      <c r="R98">
        <f t="shared" si="9"/>
        <v>0.79166666666666674</v>
      </c>
      <c r="S98" s="23">
        <f t="shared" si="3"/>
        <v>0.79166666666666674</v>
      </c>
      <c r="T98" s="23">
        <f t="shared" si="4"/>
        <v>-0.79166666666666674</v>
      </c>
      <c r="U98" s="23">
        <f t="shared" si="8"/>
        <v>14.740833333333329</v>
      </c>
      <c r="W98">
        <v>703.3</v>
      </c>
      <c r="Y98">
        <f t="shared" si="6"/>
        <v>59457.899999999994</v>
      </c>
      <c r="AA98">
        <v>9.5164400458238969</v>
      </c>
    </row>
    <row r="99" spans="1:27" x14ac:dyDescent="0.25">
      <c r="A99">
        <v>6280</v>
      </c>
      <c r="B99">
        <v>24170</v>
      </c>
      <c r="C99" s="8">
        <v>42677</v>
      </c>
      <c r="F99" s="46"/>
      <c r="G99">
        <v>4.7</v>
      </c>
      <c r="H99">
        <v>-0.4</v>
      </c>
      <c r="I99">
        <v>10.5</v>
      </c>
      <c r="J99">
        <f t="shared" si="5"/>
        <v>893.80000000000007</v>
      </c>
      <c r="M99">
        <v>0.1</v>
      </c>
      <c r="N99">
        <v>1</v>
      </c>
      <c r="O99">
        <f t="shared" si="2"/>
        <v>-0.9</v>
      </c>
      <c r="P99">
        <f t="shared" si="7"/>
        <v>5.6999999999999975</v>
      </c>
      <c r="Q99">
        <v>65</v>
      </c>
      <c r="R99">
        <f t="shared" si="9"/>
        <v>0.8</v>
      </c>
      <c r="S99" s="23">
        <f t="shared" si="3"/>
        <v>0.8</v>
      </c>
      <c r="T99" s="23">
        <f t="shared" si="4"/>
        <v>-0.70000000000000007</v>
      </c>
      <c r="U99" s="23">
        <f t="shared" si="8"/>
        <v>14.04083333333333</v>
      </c>
      <c r="W99">
        <v>652.29999999999995</v>
      </c>
      <c r="Y99">
        <f t="shared" si="6"/>
        <v>60110.2</v>
      </c>
      <c r="AA99">
        <v>9.4647891989341879</v>
      </c>
    </row>
    <row r="100" spans="1:27" x14ac:dyDescent="0.25">
      <c r="A100">
        <v>6280</v>
      </c>
      <c r="B100">
        <v>24170</v>
      </c>
      <c r="C100" s="8">
        <v>42678</v>
      </c>
      <c r="F100" s="46"/>
      <c r="G100">
        <v>5.6</v>
      </c>
      <c r="H100">
        <v>3.4</v>
      </c>
      <c r="I100">
        <v>7.5</v>
      </c>
      <c r="J100">
        <f t="shared" si="5"/>
        <v>899.40000000000009</v>
      </c>
      <c r="M100">
        <v>11.9</v>
      </c>
      <c r="N100">
        <v>0.2</v>
      </c>
      <c r="O100">
        <f t="shared" ref="O100:O163" si="10">M100-N100</f>
        <v>11.700000000000001</v>
      </c>
      <c r="P100">
        <f t="shared" si="7"/>
        <v>17.399999999999999</v>
      </c>
      <c r="Q100" s="22">
        <v>66</v>
      </c>
      <c r="R100">
        <f t="shared" si="9"/>
        <v>0.80833333333333335</v>
      </c>
      <c r="S100" s="23">
        <f t="shared" ref="S100:S163" si="11">R100*N100</f>
        <v>0.16166666666666668</v>
      </c>
      <c r="T100" s="23">
        <f t="shared" ref="T100:T163" si="12">M100-S100</f>
        <v>11.738333333333333</v>
      </c>
      <c r="U100" s="23">
        <f t="shared" si="8"/>
        <v>25.779166666666661</v>
      </c>
      <c r="W100">
        <v>86.1</v>
      </c>
      <c r="Y100">
        <f t="shared" si="6"/>
        <v>60196.299999999996</v>
      </c>
      <c r="AA100">
        <v>9.4136896015379623</v>
      </c>
    </row>
    <row r="101" spans="1:27" x14ac:dyDescent="0.25">
      <c r="A101">
        <v>6280</v>
      </c>
      <c r="B101">
        <v>24170</v>
      </c>
      <c r="C101" s="8">
        <v>42679</v>
      </c>
      <c r="F101" s="46"/>
      <c r="G101">
        <v>7.8</v>
      </c>
      <c r="H101">
        <v>6.8</v>
      </c>
      <c r="I101">
        <v>9.3000000000000007</v>
      </c>
      <c r="J101">
        <f t="shared" ref="J101:J162" si="13">J100+G101</f>
        <v>907.2</v>
      </c>
      <c r="M101">
        <v>0.4</v>
      </c>
      <c r="N101">
        <v>0.5</v>
      </c>
      <c r="O101">
        <f t="shared" si="10"/>
        <v>-9.9999999999999978E-2</v>
      </c>
      <c r="P101">
        <f t="shared" si="7"/>
        <v>17.299999999999997</v>
      </c>
      <c r="Q101">
        <v>67</v>
      </c>
      <c r="R101">
        <f t="shared" si="9"/>
        <v>0.81666666666666665</v>
      </c>
      <c r="S101" s="23">
        <f t="shared" si="11"/>
        <v>0.40833333333333333</v>
      </c>
      <c r="T101" s="23">
        <f t="shared" si="12"/>
        <v>-8.3333333333333037E-3</v>
      </c>
      <c r="U101" s="23">
        <f t="shared" si="8"/>
        <v>25.770833333333329</v>
      </c>
      <c r="W101">
        <v>347.2</v>
      </c>
      <c r="Y101">
        <f t="shared" ref="Y101:Y164" si="14">Y100+W101</f>
        <v>60543.499999999993</v>
      </c>
      <c r="AA101">
        <v>9.3631620650854828</v>
      </c>
    </row>
    <row r="102" spans="1:27" x14ac:dyDescent="0.25">
      <c r="A102">
        <v>6280</v>
      </c>
      <c r="B102">
        <v>24170</v>
      </c>
      <c r="C102" s="8">
        <v>42680</v>
      </c>
      <c r="F102" s="46"/>
      <c r="G102">
        <v>5.4</v>
      </c>
      <c r="H102">
        <v>4.3</v>
      </c>
      <c r="I102">
        <v>7.8</v>
      </c>
      <c r="J102">
        <f t="shared" si="13"/>
        <v>912.6</v>
      </c>
      <c r="M102">
        <v>1.3</v>
      </c>
      <c r="N102">
        <v>1</v>
      </c>
      <c r="O102">
        <f t="shared" si="10"/>
        <v>0.30000000000000004</v>
      </c>
      <c r="P102">
        <f t="shared" si="7"/>
        <v>17.599999999999998</v>
      </c>
      <c r="Q102" s="22">
        <v>68</v>
      </c>
      <c r="R102">
        <f t="shared" si="9"/>
        <v>0.82499999999999996</v>
      </c>
      <c r="S102" s="23">
        <f t="shared" si="11"/>
        <v>0.82499999999999996</v>
      </c>
      <c r="T102" s="23">
        <f t="shared" si="12"/>
        <v>0.47500000000000009</v>
      </c>
      <c r="U102" s="23">
        <f t="shared" si="8"/>
        <v>26.24583333333333</v>
      </c>
      <c r="W102">
        <v>826.7</v>
      </c>
      <c r="Y102">
        <f t="shared" si="14"/>
        <v>61370.19999999999</v>
      </c>
      <c r="AA102">
        <v>9.3132278064701204</v>
      </c>
    </row>
    <row r="103" spans="1:27" x14ac:dyDescent="0.25">
      <c r="A103">
        <v>6280</v>
      </c>
      <c r="B103">
        <v>24170</v>
      </c>
      <c r="C103" s="8">
        <v>42681</v>
      </c>
      <c r="F103" s="46"/>
      <c r="G103">
        <v>2.7</v>
      </c>
      <c r="H103">
        <v>1.8</v>
      </c>
      <c r="I103">
        <v>3.7</v>
      </c>
      <c r="J103">
        <f t="shared" si="13"/>
        <v>915.30000000000007</v>
      </c>
      <c r="M103">
        <v>3.1</v>
      </c>
      <c r="N103">
        <v>0.4</v>
      </c>
      <c r="O103">
        <f t="shared" si="10"/>
        <v>2.7</v>
      </c>
      <c r="P103">
        <f t="shared" si="7"/>
        <v>20.299999999999997</v>
      </c>
      <c r="Q103">
        <v>69</v>
      </c>
      <c r="R103">
        <f t="shared" si="9"/>
        <v>0.83333333333333326</v>
      </c>
      <c r="S103" s="23">
        <f t="shared" si="11"/>
        <v>0.33333333333333331</v>
      </c>
      <c r="T103" s="23">
        <f t="shared" si="12"/>
        <v>2.7666666666666666</v>
      </c>
      <c r="U103" s="23">
        <f t="shared" si="8"/>
        <v>29.012499999999996</v>
      </c>
      <c r="W103">
        <v>185.2</v>
      </c>
      <c r="Y103">
        <f t="shared" si="14"/>
        <v>61555.399999999987</v>
      </c>
      <c r="AA103">
        <v>9.2639084364010795</v>
      </c>
    </row>
    <row r="104" spans="1:27" x14ac:dyDescent="0.25">
      <c r="A104">
        <v>6280</v>
      </c>
      <c r="B104">
        <v>24170</v>
      </c>
      <c r="C104" s="8">
        <v>42682</v>
      </c>
      <c r="F104" s="46"/>
      <c r="G104">
        <v>4.5999999999999996</v>
      </c>
      <c r="H104">
        <v>2.5</v>
      </c>
      <c r="I104">
        <v>6.2</v>
      </c>
      <c r="J104">
        <f t="shared" si="13"/>
        <v>919.90000000000009</v>
      </c>
      <c r="M104">
        <v>5</v>
      </c>
      <c r="N104">
        <v>0.6</v>
      </c>
      <c r="O104">
        <f t="shared" si="10"/>
        <v>4.4000000000000004</v>
      </c>
      <c r="P104">
        <f t="shared" si="7"/>
        <v>24.699999999999996</v>
      </c>
      <c r="Q104" s="22">
        <v>70</v>
      </c>
      <c r="R104">
        <f t="shared" si="9"/>
        <v>0.84166666666666667</v>
      </c>
      <c r="S104" s="23">
        <f t="shared" si="11"/>
        <v>0.505</v>
      </c>
      <c r="T104" s="23">
        <f t="shared" si="12"/>
        <v>4.4950000000000001</v>
      </c>
      <c r="U104" s="23">
        <f t="shared" si="8"/>
        <v>33.507499999999993</v>
      </c>
      <c r="W104">
        <v>549.9</v>
      </c>
      <c r="Y104">
        <f t="shared" si="14"/>
        <v>62105.299999999988</v>
      </c>
      <c r="AA104">
        <v>9.2152259458948578</v>
      </c>
    </row>
    <row r="105" spans="1:27" x14ac:dyDescent="0.25">
      <c r="A105">
        <v>6280</v>
      </c>
      <c r="B105">
        <v>24170</v>
      </c>
      <c r="C105" s="8">
        <v>42683</v>
      </c>
      <c r="F105" s="46"/>
      <c r="G105">
        <v>6.7</v>
      </c>
      <c r="H105">
        <v>4.5</v>
      </c>
      <c r="I105">
        <v>8.1</v>
      </c>
      <c r="J105">
        <f t="shared" si="13"/>
        <v>926.60000000000014</v>
      </c>
      <c r="M105">
        <v>12</v>
      </c>
      <c r="N105">
        <v>0.3</v>
      </c>
      <c r="O105">
        <f t="shared" si="10"/>
        <v>11.7</v>
      </c>
      <c r="P105">
        <f t="shared" ref="P105:P168" si="15">P104+O105</f>
        <v>36.399999999999991</v>
      </c>
      <c r="Q105">
        <v>71</v>
      </c>
      <c r="R105">
        <f t="shared" si="9"/>
        <v>0.85</v>
      </c>
      <c r="S105" s="23">
        <f t="shared" si="11"/>
        <v>0.255</v>
      </c>
      <c r="T105" s="23">
        <f t="shared" si="12"/>
        <v>11.744999999999999</v>
      </c>
      <c r="U105" s="23">
        <f t="shared" ref="U105:U168" si="16">MIN(U104+T105,197.4)</f>
        <v>45.252499999999991</v>
      </c>
      <c r="W105">
        <v>121.7</v>
      </c>
      <c r="Y105">
        <f t="shared" si="14"/>
        <v>62226.999999999985</v>
      </c>
      <c r="AA105">
        <v>9.1672026908181508</v>
      </c>
    </row>
    <row r="106" spans="1:27" x14ac:dyDescent="0.25">
      <c r="A106">
        <v>6280</v>
      </c>
      <c r="B106">
        <v>24170</v>
      </c>
      <c r="C106" s="8">
        <v>42684</v>
      </c>
      <c r="F106" s="46"/>
      <c r="G106">
        <v>8.1999999999999993</v>
      </c>
      <c r="H106">
        <v>6.5</v>
      </c>
      <c r="I106">
        <v>9.6999999999999993</v>
      </c>
      <c r="J106">
        <f t="shared" si="13"/>
        <v>934.80000000000018</v>
      </c>
      <c r="M106">
        <v>7.8</v>
      </c>
      <c r="N106">
        <v>0.7</v>
      </c>
      <c r="O106">
        <f t="shared" si="10"/>
        <v>7.1</v>
      </c>
      <c r="P106">
        <f t="shared" si="15"/>
        <v>43.499999999999993</v>
      </c>
      <c r="Q106" s="22">
        <v>72</v>
      </c>
      <c r="R106">
        <f t="shared" si="9"/>
        <v>0.85833333333333328</v>
      </c>
      <c r="S106" s="23">
        <f t="shared" si="11"/>
        <v>0.60083333333333322</v>
      </c>
      <c r="T106" s="23">
        <f t="shared" si="12"/>
        <v>7.1991666666666667</v>
      </c>
      <c r="U106" s="23">
        <f t="shared" si="16"/>
        <v>52.451666666666654</v>
      </c>
      <c r="W106">
        <v>416</v>
      </c>
      <c r="Y106">
        <f t="shared" si="14"/>
        <v>62642.999999999985</v>
      </c>
      <c r="AA106">
        <v>9.1198613744188091</v>
      </c>
    </row>
    <row r="107" spans="1:27" x14ac:dyDescent="0.25">
      <c r="A107">
        <v>6280</v>
      </c>
      <c r="B107">
        <v>24170</v>
      </c>
      <c r="C107" s="8">
        <v>42685</v>
      </c>
      <c r="F107" s="46"/>
      <c r="G107">
        <v>4.7</v>
      </c>
      <c r="H107">
        <v>3.1</v>
      </c>
      <c r="I107">
        <v>8.8000000000000007</v>
      </c>
      <c r="J107">
        <f t="shared" si="13"/>
        <v>939.50000000000023</v>
      </c>
      <c r="M107">
        <v>0</v>
      </c>
      <c r="N107">
        <v>1</v>
      </c>
      <c r="O107">
        <f t="shared" si="10"/>
        <v>-1</v>
      </c>
      <c r="P107">
        <f t="shared" si="15"/>
        <v>42.499999999999993</v>
      </c>
      <c r="Q107">
        <v>73</v>
      </c>
      <c r="R107">
        <f t="shared" si="9"/>
        <v>0.86666666666666659</v>
      </c>
      <c r="S107" s="23">
        <f t="shared" si="11"/>
        <v>0.86666666666666659</v>
      </c>
      <c r="T107" s="23">
        <f t="shared" si="12"/>
        <v>-0.86666666666666659</v>
      </c>
      <c r="U107" s="23">
        <f t="shared" si="16"/>
        <v>51.584999999999987</v>
      </c>
      <c r="W107">
        <v>538</v>
      </c>
      <c r="Y107">
        <f t="shared" si="14"/>
        <v>63180.999999999985</v>
      </c>
      <c r="AA107">
        <v>9.0732250277864139</v>
      </c>
    </row>
    <row r="108" spans="1:27" x14ac:dyDescent="0.25">
      <c r="A108">
        <v>6280</v>
      </c>
      <c r="B108">
        <v>24170</v>
      </c>
      <c r="C108" s="8">
        <v>42686</v>
      </c>
      <c r="F108" s="46"/>
      <c r="G108">
        <v>2</v>
      </c>
      <c r="H108">
        <v>-1.9</v>
      </c>
      <c r="I108">
        <v>5.4</v>
      </c>
      <c r="J108">
        <f t="shared" si="13"/>
        <v>941.50000000000023</v>
      </c>
      <c r="M108">
        <v>4.9000000000000004</v>
      </c>
      <c r="N108">
        <v>0.4</v>
      </c>
      <c r="O108">
        <f t="shared" si="10"/>
        <v>4.5</v>
      </c>
      <c r="P108">
        <f t="shared" si="15"/>
        <v>46.999999999999993</v>
      </c>
      <c r="Q108" s="22">
        <v>74</v>
      </c>
      <c r="R108">
        <f t="shared" si="9"/>
        <v>0.875</v>
      </c>
      <c r="S108" s="23">
        <f t="shared" si="11"/>
        <v>0.35000000000000003</v>
      </c>
      <c r="T108" s="23">
        <f t="shared" si="12"/>
        <v>4.5500000000000007</v>
      </c>
      <c r="U108" s="23">
        <f t="shared" si="16"/>
        <v>56.134999999999991</v>
      </c>
      <c r="W108">
        <v>261.60000000000002</v>
      </c>
      <c r="Y108">
        <f t="shared" si="14"/>
        <v>63442.599999999984</v>
      </c>
      <c r="AA108">
        <v>9.027316988189737</v>
      </c>
    </row>
    <row r="109" spans="1:27" x14ac:dyDescent="0.25">
      <c r="A109">
        <v>6280</v>
      </c>
      <c r="B109">
        <v>24170</v>
      </c>
      <c r="C109" s="8">
        <v>42687</v>
      </c>
      <c r="E109" t="s">
        <v>61</v>
      </c>
      <c r="F109" s="46"/>
      <c r="G109">
        <v>6.7</v>
      </c>
      <c r="H109">
        <v>4.0999999999999996</v>
      </c>
      <c r="I109">
        <v>8.4</v>
      </c>
      <c r="J109">
        <f t="shared" si="13"/>
        <v>948.20000000000027</v>
      </c>
      <c r="M109">
        <v>1</v>
      </c>
      <c r="N109">
        <v>0.2</v>
      </c>
      <c r="O109">
        <f t="shared" si="10"/>
        <v>0.8</v>
      </c>
      <c r="P109">
        <f t="shared" si="15"/>
        <v>47.79999999999999</v>
      </c>
      <c r="Q109">
        <v>75</v>
      </c>
      <c r="R109">
        <f t="shared" si="9"/>
        <v>0.8833333333333333</v>
      </c>
      <c r="S109" s="23">
        <f t="shared" si="11"/>
        <v>0.17666666666666667</v>
      </c>
      <c r="T109" s="23">
        <f t="shared" si="12"/>
        <v>0.82333333333333336</v>
      </c>
      <c r="U109" s="23">
        <f t="shared" si="16"/>
        <v>56.958333333333321</v>
      </c>
      <c r="W109">
        <v>131.19999999999999</v>
      </c>
      <c r="Y109">
        <f t="shared" si="14"/>
        <v>63573.799999999981</v>
      </c>
      <c r="AA109" s="35">
        <v>8.9821608752453006</v>
      </c>
    </row>
    <row r="110" spans="1:27" x14ac:dyDescent="0.25">
      <c r="A110">
        <v>6280</v>
      </c>
      <c r="B110">
        <v>24170</v>
      </c>
      <c r="C110" s="8">
        <v>42688</v>
      </c>
      <c r="F110" s="46"/>
      <c r="G110">
        <v>6.6</v>
      </c>
      <c r="H110">
        <v>5.5</v>
      </c>
      <c r="I110">
        <v>7.7</v>
      </c>
      <c r="J110">
        <f t="shared" si="13"/>
        <v>954.8000000000003</v>
      </c>
      <c r="M110">
        <v>0.9</v>
      </c>
      <c r="N110">
        <v>0.5</v>
      </c>
      <c r="O110">
        <f t="shared" si="10"/>
        <v>0.4</v>
      </c>
      <c r="P110">
        <f t="shared" si="15"/>
        <v>48.199999999999989</v>
      </c>
      <c r="Q110" s="22">
        <v>76</v>
      </c>
      <c r="R110">
        <f t="shared" si="9"/>
        <v>0.89166666666666672</v>
      </c>
      <c r="S110" s="23">
        <f t="shared" si="11"/>
        <v>0.44583333333333336</v>
      </c>
      <c r="T110" s="23">
        <f t="shared" si="12"/>
        <v>0.45416666666666666</v>
      </c>
      <c r="U110" s="23">
        <f t="shared" si="16"/>
        <v>57.412499999999987</v>
      </c>
      <c r="W110">
        <v>219.8</v>
      </c>
      <c r="Y110">
        <f t="shared" si="14"/>
        <v>63793.599999999984</v>
      </c>
      <c r="AA110" s="35">
        <v>8.9377805648789082</v>
      </c>
    </row>
    <row r="111" spans="1:27" x14ac:dyDescent="0.25">
      <c r="A111">
        <v>6280</v>
      </c>
      <c r="B111">
        <v>24170</v>
      </c>
      <c r="C111" s="8">
        <v>42689</v>
      </c>
      <c r="F111" s="46"/>
      <c r="G111">
        <v>9.9</v>
      </c>
      <c r="H111">
        <v>6.9</v>
      </c>
      <c r="I111">
        <v>11.7</v>
      </c>
      <c r="J111">
        <f t="shared" si="13"/>
        <v>964.70000000000027</v>
      </c>
      <c r="M111">
        <v>0.9</v>
      </c>
      <c r="N111">
        <v>0.2</v>
      </c>
      <c r="O111">
        <f t="shared" si="10"/>
        <v>0.7</v>
      </c>
      <c r="P111">
        <f t="shared" si="15"/>
        <v>48.899999999999991</v>
      </c>
      <c r="Q111">
        <v>77</v>
      </c>
      <c r="R111">
        <f t="shared" ref="R111:R123" si="17">0.35+((Q111-11)/78)*(1-0.35)</f>
        <v>0.9</v>
      </c>
      <c r="S111" s="23">
        <f t="shared" si="11"/>
        <v>0.18000000000000002</v>
      </c>
      <c r="T111" s="23">
        <f t="shared" si="12"/>
        <v>0.72</v>
      </c>
      <c r="U111" s="23">
        <f t="shared" si="16"/>
        <v>58.132499999999986</v>
      </c>
      <c r="W111">
        <v>103.3</v>
      </c>
      <c r="Y111">
        <f t="shared" si="14"/>
        <v>63896.899999999987</v>
      </c>
      <c r="AA111" s="35">
        <v>8.894200161051014</v>
      </c>
    </row>
    <row r="112" spans="1:27" x14ac:dyDescent="0.25">
      <c r="A112">
        <v>6280</v>
      </c>
      <c r="B112">
        <v>24170</v>
      </c>
      <c r="C112" s="8">
        <v>42690</v>
      </c>
      <c r="F112" s="46"/>
      <c r="G112">
        <v>11.4</v>
      </c>
      <c r="H112">
        <v>11.3</v>
      </c>
      <c r="I112">
        <v>11.5</v>
      </c>
      <c r="J112">
        <f t="shared" si="13"/>
        <v>976.10000000000025</v>
      </c>
      <c r="M112">
        <v>0.2</v>
      </c>
      <c r="N112">
        <v>0.4</v>
      </c>
      <c r="O112">
        <f t="shared" si="10"/>
        <v>-0.2</v>
      </c>
      <c r="P112">
        <f t="shared" si="15"/>
        <v>48.699999999999989</v>
      </c>
      <c r="Q112" s="22">
        <v>78</v>
      </c>
      <c r="R112">
        <f t="shared" si="17"/>
        <v>0.90833333333333333</v>
      </c>
      <c r="S112" s="23">
        <f t="shared" si="11"/>
        <v>0.36333333333333334</v>
      </c>
      <c r="T112" s="23">
        <f t="shared" si="12"/>
        <v>-0.16333333333333333</v>
      </c>
      <c r="U112" s="23">
        <f t="shared" si="16"/>
        <v>57.969166666666652</v>
      </c>
      <c r="W112">
        <v>74.400000000000006</v>
      </c>
      <c r="Y112">
        <f t="shared" si="14"/>
        <v>63971.299999999988</v>
      </c>
      <c r="AA112" s="35">
        <v>8.851443965226732</v>
      </c>
    </row>
    <row r="113" spans="1:28" x14ac:dyDescent="0.25">
      <c r="A113">
        <v>6280</v>
      </c>
      <c r="B113">
        <v>24170</v>
      </c>
      <c r="C113" s="8">
        <v>42691</v>
      </c>
      <c r="F113" s="46"/>
      <c r="G113">
        <v>11.6</v>
      </c>
      <c r="H113">
        <v>10.6</v>
      </c>
      <c r="I113">
        <v>12.6</v>
      </c>
      <c r="J113">
        <f t="shared" si="13"/>
        <v>987.70000000000027</v>
      </c>
      <c r="M113">
        <v>3.5</v>
      </c>
      <c r="N113">
        <v>1.1000000000000001</v>
      </c>
      <c r="O113">
        <f t="shared" si="10"/>
        <v>2.4</v>
      </c>
      <c r="P113">
        <f t="shared" si="15"/>
        <v>51.099999999999987</v>
      </c>
      <c r="Q113">
        <v>79</v>
      </c>
      <c r="R113">
        <f t="shared" si="17"/>
        <v>0.91666666666666663</v>
      </c>
      <c r="S113" s="23">
        <f t="shared" si="11"/>
        <v>1.0083333333333333</v>
      </c>
      <c r="T113" s="23">
        <f t="shared" si="12"/>
        <v>2.4916666666666667</v>
      </c>
      <c r="U113" s="23">
        <f t="shared" si="16"/>
        <v>60.460833333333319</v>
      </c>
      <c r="W113">
        <v>290.2</v>
      </c>
      <c r="Y113">
        <f t="shared" si="14"/>
        <v>64261.499999999985</v>
      </c>
      <c r="AA113" s="35">
        <v>8.8095364435824077</v>
      </c>
    </row>
    <row r="114" spans="1:28" x14ac:dyDescent="0.25">
      <c r="A114">
        <v>6280</v>
      </c>
      <c r="B114">
        <v>24170</v>
      </c>
      <c r="C114" s="8">
        <v>42692</v>
      </c>
      <c r="F114" s="46"/>
      <c r="G114">
        <v>8.3000000000000007</v>
      </c>
      <c r="H114">
        <v>7.3</v>
      </c>
      <c r="I114">
        <v>9.8000000000000007</v>
      </c>
      <c r="J114">
        <f t="shared" si="13"/>
        <v>996.00000000000023</v>
      </c>
      <c r="M114">
        <v>0</v>
      </c>
      <c r="N114">
        <v>1.3</v>
      </c>
      <c r="O114">
        <f t="shared" si="10"/>
        <v>-1.3</v>
      </c>
      <c r="P114">
        <f t="shared" si="15"/>
        <v>49.79999999999999</v>
      </c>
      <c r="Q114" s="22">
        <v>80</v>
      </c>
      <c r="R114">
        <f t="shared" si="17"/>
        <v>0.92499999999999993</v>
      </c>
      <c r="S114" s="23">
        <f t="shared" si="11"/>
        <v>1.2024999999999999</v>
      </c>
      <c r="T114" s="23">
        <f t="shared" si="12"/>
        <v>-1.2024999999999999</v>
      </c>
      <c r="U114" s="23">
        <f t="shared" si="16"/>
        <v>59.258333333333319</v>
      </c>
      <c r="W114">
        <v>488.5</v>
      </c>
      <c r="Y114">
        <f t="shared" si="14"/>
        <v>64749.999999999985</v>
      </c>
      <c r="AA114" s="35">
        <v>8.7685021919528374</v>
      </c>
    </row>
    <row r="115" spans="1:28" x14ac:dyDescent="0.25">
      <c r="A115">
        <v>6280</v>
      </c>
      <c r="B115">
        <v>24170</v>
      </c>
      <c r="C115" s="8">
        <v>42693</v>
      </c>
      <c r="F115" s="46"/>
      <c r="G115">
        <v>6.5</v>
      </c>
      <c r="H115">
        <v>3.8</v>
      </c>
      <c r="I115">
        <v>10.5</v>
      </c>
      <c r="J115">
        <f t="shared" si="13"/>
        <v>1002.5000000000002</v>
      </c>
      <c r="M115">
        <v>1.3</v>
      </c>
      <c r="N115">
        <v>1.3</v>
      </c>
      <c r="O115">
        <f t="shared" si="10"/>
        <v>0</v>
      </c>
      <c r="P115">
        <f t="shared" si="15"/>
        <v>49.79999999999999</v>
      </c>
      <c r="Q115">
        <v>81</v>
      </c>
      <c r="R115">
        <f t="shared" si="17"/>
        <v>0.93333333333333335</v>
      </c>
      <c r="S115" s="23">
        <f t="shared" si="11"/>
        <v>1.2133333333333334</v>
      </c>
      <c r="T115" s="23">
        <f t="shared" si="12"/>
        <v>8.666666666666667E-2</v>
      </c>
      <c r="U115" s="23">
        <f t="shared" si="16"/>
        <v>59.344999999999985</v>
      </c>
      <c r="W115">
        <v>421.5</v>
      </c>
      <c r="Y115">
        <f t="shared" si="14"/>
        <v>65171.499999999985</v>
      </c>
      <c r="AA115" s="35">
        <v>8.7283658985364827</v>
      </c>
    </row>
    <row r="116" spans="1:28" x14ac:dyDescent="0.25">
      <c r="A116">
        <v>6280</v>
      </c>
      <c r="B116">
        <v>24170</v>
      </c>
      <c r="C116" s="8">
        <v>42694</v>
      </c>
      <c r="F116" s="46"/>
      <c r="G116">
        <v>10.9</v>
      </c>
      <c r="H116">
        <v>7.4</v>
      </c>
      <c r="I116">
        <v>11.7</v>
      </c>
      <c r="J116">
        <f t="shared" si="13"/>
        <v>1013.4000000000002</v>
      </c>
      <c r="M116">
        <v>4.5</v>
      </c>
      <c r="N116">
        <v>0.6</v>
      </c>
      <c r="O116">
        <f t="shared" si="10"/>
        <v>3.9</v>
      </c>
      <c r="P116">
        <f t="shared" si="15"/>
        <v>53.699999999999989</v>
      </c>
      <c r="Q116" s="22">
        <v>82</v>
      </c>
      <c r="R116">
        <f t="shared" si="17"/>
        <v>0.94166666666666665</v>
      </c>
      <c r="S116" s="23">
        <f t="shared" si="11"/>
        <v>0.56499999999999995</v>
      </c>
      <c r="T116" s="23">
        <f t="shared" si="12"/>
        <v>3.9350000000000001</v>
      </c>
      <c r="U116" s="23">
        <f t="shared" si="16"/>
        <v>63.279999999999987</v>
      </c>
      <c r="W116">
        <v>99.8</v>
      </c>
      <c r="Y116">
        <f t="shared" si="14"/>
        <v>65271.299999999988</v>
      </c>
      <c r="AA116" s="35">
        <v>8.6891523043905785</v>
      </c>
    </row>
    <row r="117" spans="1:28" x14ac:dyDescent="0.25">
      <c r="A117">
        <v>6280</v>
      </c>
      <c r="B117">
        <v>24170</v>
      </c>
      <c r="C117" s="8">
        <v>42695</v>
      </c>
      <c r="F117" s="46"/>
      <c r="G117">
        <v>12.6</v>
      </c>
      <c r="H117">
        <v>11.5</v>
      </c>
      <c r="I117">
        <v>16.2</v>
      </c>
      <c r="J117">
        <f t="shared" si="13"/>
        <v>1026.0000000000002</v>
      </c>
      <c r="M117">
        <v>0.8</v>
      </c>
      <c r="N117">
        <v>1.8</v>
      </c>
      <c r="O117">
        <f t="shared" si="10"/>
        <v>-1</v>
      </c>
      <c r="P117">
        <f t="shared" si="15"/>
        <v>52.699999999999989</v>
      </c>
      <c r="Q117">
        <v>83</v>
      </c>
      <c r="R117">
        <f t="shared" si="17"/>
        <v>0.95000000000000007</v>
      </c>
      <c r="S117" s="23">
        <f t="shared" si="11"/>
        <v>1.7100000000000002</v>
      </c>
      <c r="T117" s="23">
        <f t="shared" si="12"/>
        <v>-0.91000000000000014</v>
      </c>
      <c r="U117" s="23">
        <f t="shared" si="16"/>
        <v>62.36999999999999</v>
      </c>
      <c r="W117">
        <v>137.5</v>
      </c>
      <c r="Y117">
        <f t="shared" si="14"/>
        <v>65408.799999999988</v>
      </c>
      <c r="AA117" s="35">
        <v>8.6508861617631254</v>
      </c>
    </row>
    <row r="118" spans="1:28" x14ac:dyDescent="0.25">
      <c r="A118">
        <v>6280</v>
      </c>
      <c r="B118">
        <v>24170</v>
      </c>
      <c r="C118" s="8">
        <v>42696</v>
      </c>
      <c r="F118" s="46"/>
      <c r="G118">
        <v>9.9</v>
      </c>
      <c r="H118">
        <v>9</v>
      </c>
      <c r="I118">
        <v>11.1</v>
      </c>
      <c r="J118">
        <f t="shared" si="13"/>
        <v>1035.9000000000003</v>
      </c>
      <c r="M118">
        <v>4.4000000000000004</v>
      </c>
      <c r="N118">
        <v>1</v>
      </c>
      <c r="O118">
        <f t="shared" si="10"/>
        <v>3.4000000000000004</v>
      </c>
      <c r="P118">
        <f t="shared" si="15"/>
        <v>56.099999999999987</v>
      </c>
      <c r="Q118" s="22">
        <v>84</v>
      </c>
      <c r="R118">
        <f t="shared" si="17"/>
        <v>0.95833333333333337</v>
      </c>
      <c r="S118" s="23">
        <f t="shared" si="11"/>
        <v>0.95833333333333337</v>
      </c>
      <c r="T118" s="23">
        <f t="shared" si="12"/>
        <v>3.4416666666666669</v>
      </c>
      <c r="U118" s="23">
        <f t="shared" si="16"/>
        <v>65.811666666666653</v>
      </c>
      <c r="W118">
        <v>379.3</v>
      </c>
      <c r="Y118">
        <f t="shared" si="14"/>
        <v>65788.099999999991</v>
      </c>
      <c r="AA118" s="35">
        <v>8.613592190325452</v>
      </c>
    </row>
    <row r="119" spans="1:28" x14ac:dyDescent="0.25">
      <c r="A119">
        <v>6280</v>
      </c>
      <c r="B119">
        <v>24170</v>
      </c>
      <c r="C119" s="8">
        <v>42697</v>
      </c>
      <c r="F119" s="46"/>
      <c r="G119">
        <v>11.7</v>
      </c>
      <c r="H119">
        <v>8.5</v>
      </c>
      <c r="I119">
        <v>14</v>
      </c>
      <c r="J119">
        <f t="shared" si="13"/>
        <v>1047.6000000000004</v>
      </c>
      <c r="M119">
        <v>0</v>
      </c>
      <c r="N119">
        <v>0.4</v>
      </c>
      <c r="O119">
        <f t="shared" si="10"/>
        <v>-0.4</v>
      </c>
      <c r="P119">
        <f t="shared" si="15"/>
        <v>55.699999999999989</v>
      </c>
      <c r="Q119">
        <v>85</v>
      </c>
      <c r="R119">
        <f t="shared" si="17"/>
        <v>0.96666666666666667</v>
      </c>
      <c r="S119" s="23">
        <f t="shared" si="11"/>
        <v>0.38666666666666671</v>
      </c>
      <c r="T119" s="23">
        <f t="shared" si="12"/>
        <v>-0.38666666666666671</v>
      </c>
      <c r="U119" s="23">
        <f t="shared" si="16"/>
        <v>65.424999999999983</v>
      </c>
      <c r="W119">
        <v>243.2</v>
      </c>
      <c r="Y119">
        <f t="shared" si="14"/>
        <v>66031.299999999988</v>
      </c>
      <c r="AA119" s="35">
        <v>8.5772950313859724</v>
      </c>
    </row>
    <row r="120" spans="1:28" x14ac:dyDescent="0.25">
      <c r="A120">
        <v>6280</v>
      </c>
      <c r="B120">
        <v>24170</v>
      </c>
      <c r="C120" s="8">
        <v>42698</v>
      </c>
      <c r="F120" s="46"/>
      <c r="G120">
        <v>10.1</v>
      </c>
      <c r="H120">
        <v>9.4</v>
      </c>
      <c r="I120">
        <v>12.4</v>
      </c>
      <c r="J120">
        <f t="shared" si="13"/>
        <v>1057.7000000000003</v>
      </c>
      <c r="M120">
        <v>0</v>
      </c>
      <c r="N120">
        <v>1</v>
      </c>
      <c r="O120">
        <f t="shared" si="10"/>
        <v>-1</v>
      </c>
      <c r="P120">
        <f t="shared" si="15"/>
        <v>54.699999999999989</v>
      </c>
      <c r="Q120" s="22">
        <v>86</v>
      </c>
      <c r="R120">
        <f t="shared" si="17"/>
        <v>0.97499999999999998</v>
      </c>
      <c r="S120" s="23">
        <f t="shared" si="11"/>
        <v>0.97499999999999998</v>
      </c>
      <c r="T120" s="23">
        <f t="shared" si="12"/>
        <v>-0.97499999999999998</v>
      </c>
      <c r="U120" s="23">
        <f t="shared" si="16"/>
        <v>64.449999999999989</v>
      </c>
      <c r="W120">
        <v>240.7</v>
      </c>
      <c r="Y120">
        <f t="shared" si="14"/>
        <v>66271.999999999985</v>
      </c>
      <c r="AA120" s="35">
        <v>8.5420192001839439</v>
      </c>
    </row>
    <row r="121" spans="1:28" x14ac:dyDescent="0.25">
      <c r="A121">
        <v>6280</v>
      </c>
      <c r="B121">
        <v>24170</v>
      </c>
      <c r="C121" s="8">
        <v>42699</v>
      </c>
      <c r="F121" s="46"/>
      <c r="G121">
        <v>7.9</v>
      </c>
      <c r="H121">
        <v>7.5</v>
      </c>
      <c r="I121">
        <v>8.6</v>
      </c>
      <c r="J121">
        <f t="shared" si="13"/>
        <v>1065.6000000000004</v>
      </c>
      <c r="M121">
        <v>0.3</v>
      </c>
      <c r="N121">
        <v>0.7</v>
      </c>
      <c r="O121">
        <f t="shared" si="10"/>
        <v>-0.39999999999999997</v>
      </c>
      <c r="P121">
        <f t="shared" si="15"/>
        <v>54.29999999999999</v>
      </c>
      <c r="Q121">
        <v>87</v>
      </c>
      <c r="R121">
        <f t="shared" si="17"/>
        <v>0.98333333333333328</v>
      </c>
      <c r="S121" s="23">
        <f t="shared" si="11"/>
        <v>0.68833333333333324</v>
      </c>
      <c r="T121" s="23">
        <f t="shared" si="12"/>
        <v>-0.38833333333333325</v>
      </c>
      <c r="U121" s="23">
        <f t="shared" si="16"/>
        <v>64.061666666666653</v>
      </c>
      <c r="W121">
        <v>104.6</v>
      </c>
      <c r="Y121">
        <f t="shared" si="14"/>
        <v>66376.599999999991</v>
      </c>
      <c r="AA121" s="35">
        <v>8.5077890363805952</v>
      </c>
    </row>
    <row r="122" spans="1:28" x14ac:dyDescent="0.25">
      <c r="A122">
        <v>6280</v>
      </c>
      <c r="B122">
        <v>24170</v>
      </c>
      <c r="C122" s="8">
        <v>42700</v>
      </c>
      <c r="F122" s="46"/>
      <c r="G122">
        <v>7.9</v>
      </c>
      <c r="H122">
        <v>7</v>
      </c>
      <c r="I122">
        <v>9</v>
      </c>
      <c r="J122">
        <f t="shared" si="13"/>
        <v>1073.5000000000005</v>
      </c>
      <c r="M122">
        <v>0</v>
      </c>
      <c r="N122">
        <v>0.5</v>
      </c>
      <c r="O122">
        <f t="shared" si="10"/>
        <v>-0.5</v>
      </c>
      <c r="P122">
        <f t="shared" si="15"/>
        <v>53.79999999999999</v>
      </c>
      <c r="Q122" s="22">
        <v>88</v>
      </c>
      <c r="R122">
        <f t="shared" si="17"/>
        <v>0.9916666666666667</v>
      </c>
      <c r="S122" s="23">
        <f t="shared" si="11"/>
        <v>0.49583333333333335</v>
      </c>
      <c r="T122" s="23">
        <f t="shared" si="12"/>
        <v>-0.49583333333333335</v>
      </c>
      <c r="U122" s="23">
        <f t="shared" si="16"/>
        <v>63.565833333333323</v>
      </c>
      <c r="W122">
        <v>107.7</v>
      </c>
      <c r="Y122">
        <f t="shared" si="14"/>
        <v>66484.299999999988</v>
      </c>
      <c r="AA122" s="35">
        <v>8.4746286528840358</v>
      </c>
    </row>
    <row r="123" spans="1:28" s="31" customFormat="1" ht="15.75" thickBot="1" x14ac:dyDescent="0.3">
      <c r="A123" s="31">
        <v>6280</v>
      </c>
      <c r="B123" s="31">
        <v>24170</v>
      </c>
      <c r="C123" s="32">
        <v>42701</v>
      </c>
      <c r="F123" s="46"/>
      <c r="G123" s="31">
        <v>6.1</v>
      </c>
      <c r="H123" s="31">
        <v>3.3</v>
      </c>
      <c r="I123" s="31">
        <v>7.8</v>
      </c>
      <c r="J123" s="31">
        <f t="shared" si="13"/>
        <v>1079.6000000000004</v>
      </c>
      <c r="M123" s="31">
        <v>0</v>
      </c>
      <c r="N123" s="31">
        <v>0.6</v>
      </c>
      <c r="O123" s="31">
        <f t="shared" si="10"/>
        <v>-0.6</v>
      </c>
      <c r="P123" s="31">
        <f t="shared" si="15"/>
        <v>53.199999999999989</v>
      </c>
      <c r="Q123" s="31">
        <v>89</v>
      </c>
      <c r="R123" s="31">
        <f t="shared" si="17"/>
        <v>1</v>
      </c>
      <c r="S123" s="33">
        <f t="shared" si="11"/>
        <v>0.6</v>
      </c>
      <c r="T123" s="33">
        <f t="shared" si="12"/>
        <v>-0.6</v>
      </c>
      <c r="U123" s="23">
        <f t="shared" si="16"/>
        <v>62.965833333333322</v>
      </c>
      <c r="W123" s="31">
        <v>400.8</v>
      </c>
      <c r="Y123" s="31">
        <f t="shared" si="14"/>
        <v>66885.099999999991</v>
      </c>
      <c r="AA123" s="36">
        <v>8.442561883163842</v>
      </c>
    </row>
    <row r="124" spans="1:28" x14ac:dyDescent="0.25">
      <c r="A124">
        <v>6280</v>
      </c>
      <c r="B124">
        <v>24170</v>
      </c>
      <c r="C124" s="8">
        <v>42702</v>
      </c>
      <c r="D124" t="s">
        <v>37</v>
      </c>
      <c r="E124" s="35">
        <v>1</v>
      </c>
      <c r="F124" s="47" t="s">
        <v>47</v>
      </c>
      <c r="G124">
        <v>3.3</v>
      </c>
      <c r="H124">
        <v>2.4</v>
      </c>
      <c r="I124">
        <v>5.7</v>
      </c>
      <c r="J124">
        <f t="shared" si="13"/>
        <v>1082.9000000000003</v>
      </c>
      <c r="K124">
        <f>G124</f>
        <v>3.3</v>
      </c>
      <c r="L124" s="14" t="s">
        <v>39</v>
      </c>
      <c r="M124">
        <v>0</v>
      </c>
      <c r="N124">
        <v>1.5</v>
      </c>
      <c r="O124">
        <f t="shared" si="10"/>
        <v>-1.5</v>
      </c>
      <c r="P124">
        <f t="shared" si="15"/>
        <v>51.699999999999989</v>
      </c>
      <c r="Q124" s="22">
        <v>90</v>
      </c>
      <c r="R124" s="22">
        <v>1</v>
      </c>
      <c r="S124" s="23">
        <f t="shared" si="11"/>
        <v>1.5</v>
      </c>
      <c r="T124" s="23">
        <f t="shared" si="12"/>
        <v>-1.5</v>
      </c>
      <c r="U124" s="23">
        <f t="shared" si="16"/>
        <v>61.465833333333322</v>
      </c>
      <c r="V124" s="25" t="s">
        <v>53</v>
      </c>
      <c r="W124">
        <v>712.6</v>
      </c>
      <c r="Y124">
        <f t="shared" si="14"/>
        <v>67597.7</v>
      </c>
      <c r="Z124">
        <f>W124</f>
        <v>712.6</v>
      </c>
      <c r="AA124" s="35">
        <v>8.4116122272306146</v>
      </c>
      <c r="AB124" s="25" t="s">
        <v>58</v>
      </c>
    </row>
    <row r="125" spans="1:28" x14ac:dyDescent="0.25">
      <c r="A125">
        <v>6280</v>
      </c>
      <c r="B125">
        <v>24170</v>
      </c>
      <c r="C125" s="8">
        <v>42703</v>
      </c>
      <c r="E125" s="35">
        <v>2</v>
      </c>
      <c r="F125" s="47"/>
      <c r="G125">
        <v>-0.1</v>
      </c>
      <c r="H125">
        <v>-2.1</v>
      </c>
      <c r="I125">
        <v>3.4</v>
      </c>
      <c r="J125">
        <v>1082.9000000000001</v>
      </c>
      <c r="K125">
        <v>3.3</v>
      </c>
      <c r="L125" s="12">
        <v>161.9</v>
      </c>
      <c r="M125">
        <v>0</v>
      </c>
      <c r="N125">
        <v>1</v>
      </c>
      <c r="O125">
        <f t="shared" si="10"/>
        <v>-1</v>
      </c>
      <c r="P125">
        <f t="shared" si="15"/>
        <v>50.699999999999989</v>
      </c>
      <c r="Q125">
        <v>91</v>
      </c>
      <c r="R125" s="22">
        <v>1</v>
      </c>
      <c r="S125" s="23">
        <f t="shared" si="11"/>
        <v>1</v>
      </c>
      <c r="T125" s="23">
        <f t="shared" si="12"/>
        <v>-1</v>
      </c>
      <c r="U125" s="23">
        <f t="shared" si="16"/>
        <v>60.465833333333322</v>
      </c>
      <c r="V125">
        <v>0</v>
      </c>
      <c r="W125">
        <v>732.7</v>
      </c>
      <c r="Y125">
        <f t="shared" si="14"/>
        <v>68330.399999999994</v>
      </c>
      <c r="Z125">
        <f>Z124+W125</f>
        <v>1445.3000000000002</v>
      </c>
      <c r="AA125" s="35">
        <v>8.381802796475208</v>
      </c>
      <c r="AB125">
        <v>21646</v>
      </c>
    </row>
    <row r="126" spans="1:28" x14ac:dyDescent="0.25">
      <c r="A126">
        <v>6280</v>
      </c>
      <c r="B126">
        <v>24170</v>
      </c>
      <c r="C126" s="8">
        <v>42704</v>
      </c>
      <c r="E126" s="35">
        <v>3</v>
      </c>
      <c r="F126" s="47"/>
      <c r="G126">
        <v>-0.9</v>
      </c>
      <c r="H126">
        <v>-4.3</v>
      </c>
      <c r="I126">
        <v>3.7</v>
      </c>
      <c r="J126">
        <v>1082.9000000000001</v>
      </c>
      <c r="K126">
        <v>3.3</v>
      </c>
      <c r="L126" s="14" t="s">
        <v>40</v>
      </c>
      <c r="M126">
        <v>0</v>
      </c>
      <c r="N126">
        <v>0.8</v>
      </c>
      <c r="O126">
        <f t="shared" si="10"/>
        <v>-0.8</v>
      </c>
      <c r="P126">
        <f t="shared" si="15"/>
        <v>49.899999999999991</v>
      </c>
      <c r="Q126" s="22">
        <v>92</v>
      </c>
      <c r="R126" s="22">
        <v>1</v>
      </c>
      <c r="S126" s="23">
        <f t="shared" si="11"/>
        <v>0.8</v>
      </c>
      <c r="T126" s="23">
        <f t="shared" si="12"/>
        <v>-0.8</v>
      </c>
      <c r="U126" s="23">
        <f t="shared" si="16"/>
        <v>59.665833333333325</v>
      </c>
      <c r="V126" s="25" t="s">
        <v>54</v>
      </c>
      <c r="W126">
        <v>676.4</v>
      </c>
      <c r="Y126">
        <f t="shared" si="14"/>
        <v>69006.799999999988</v>
      </c>
      <c r="Z126">
        <f t="shared" ref="Z126:Z189" si="18">Z125+W126</f>
        <v>2121.7000000000003</v>
      </c>
      <c r="AA126" s="35">
        <v>8.3531562575812561</v>
      </c>
      <c r="AB126" s="25" t="s">
        <v>59</v>
      </c>
    </row>
    <row r="127" spans="1:28" x14ac:dyDescent="0.25">
      <c r="A127">
        <v>6280</v>
      </c>
      <c r="B127">
        <v>24170</v>
      </c>
      <c r="C127" s="8">
        <v>42705</v>
      </c>
      <c r="E127" s="35">
        <v>4</v>
      </c>
      <c r="F127" s="47"/>
      <c r="G127">
        <v>0</v>
      </c>
      <c r="H127">
        <v>-3.7</v>
      </c>
      <c r="I127">
        <v>4.7</v>
      </c>
      <c r="J127">
        <f t="shared" si="13"/>
        <v>1082.9000000000001</v>
      </c>
      <c r="K127">
        <f t="shared" ref="K127:K189" si="19">K126+G127</f>
        <v>3.3</v>
      </c>
      <c r="L127" s="12">
        <f>AVERAGE(G124:G184)</f>
        <v>1.9475409836065578</v>
      </c>
      <c r="M127">
        <v>0.1</v>
      </c>
      <c r="N127">
        <v>0.8</v>
      </c>
      <c r="O127">
        <f t="shared" si="10"/>
        <v>-0.70000000000000007</v>
      </c>
      <c r="P127">
        <f t="shared" si="15"/>
        <v>49.199999999999989</v>
      </c>
      <c r="Q127">
        <v>93</v>
      </c>
      <c r="R127" s="22">
        <v>1</v>
      </c>
      <c r="S127" s="23">
        <f t="shared" si="11"/>
        <v>0.8</v>
      </c>
      <c r="T127" s="23">
        <f t="shared" si="12"/>
        <v>-0.70000000000000007</v>
      </c>
      <c r="U127" s="23">
        <f t="shared" si="16"/>
        <v>58.965833333333322</v>
      </c>
      <c r="V127">
        <v>42</v>
      </c>
      <c r="W127">
        <v>589.6</v>
      </c>
      <c r="Y127">
        <f t="shared" si="14"/>
        <v>69596.399999999994</v>
      </c>
      <c r="Z127">
        <f t="shared" si="18"/>
        <v>2711.3</v>
      </c>
      <c r="AA127" s="35">
        <v>8.3256947757429725</v>
      </c>
      <c r="AB127">
        <f>(AB125/100)/L125</f>
        <v>1.3369981470043237</v>
      </c>
    </row>
    <row r="128" spans="1:28" x14ac:dyDescent="0.25">
      <c r="A128">
        <v>6280</v>
      </c>
      <c r="B128">
        <v>24170</v>
      </c>
      <c r="C128" s="8">
        <v>42706</v>
      </c>
      <c r="E128" s="35">
        <v>5</v>
      </c>
      <c r="F128" s="47"/>
      <c r="G128">
        <v>3</v>
      </c>
      <c r="H128">
        <v>-0.7</v>
      </c>
      <c r="I128">
        <v>5</v>
      </c>
      <c r="J128">
        <f t="shared" si="13"/>
        <v>1085.9000000000001</v>
      </c>
      <c r="K128">
        <f t="shared" si="19"/>
        <v>6.3</v>
      </c>
      <c r="L128" s="14" t="s">
        <v>41</v>
      </c>
      <c r="M128">
        <v>0</v>
      </c>
      <c r="N128">
        <v>0.6</v>
      </c>
      <c r="O128">
        <f t="shared" si="10"/>
        <v>-0.6</v>
      </c>
      <c r="P128">
        <f t="shared" si="15"/>
        <v>48.599999999999987</v>
      </c>
      <c r="Q128" s="22">
        <v>94</v>
      </c>
      <c r="R128" s="22">
        <v>1</v>
      </c>
      <c r="S128" s="23">
        <f t="shared" si="11"/>
        <v>0.6</v>
      </c>
      <c r="T128" s="23">
        <f t="shared" si="12"/>
        <v>-0.6</v>
      </c>
      <c r="U128" s="23">
        <f t="shared" si="16"/>
        <v>58.36583333333332</v>
      </c>
      <c r="V128" s="25" t="s">
        <v>55</v>
      </c>
      <c r="W128">
        <v>521.4</v>
      </c>
      <c r="Y128">
        <f t="shared" si="14"/>
        <v>70117.799999999988</v>
      </c>
      <c r="Z128">
        <f t="shared" si="18"/>
        <v>3232.7000000000003</v>
      </c>
      <c r="AA128" s="35">
        <v>8.2994399574375635</v>
      </c>
      <c r="AB128" s="25" t="s">
        <v>60</v>
      </c>
    </row>
    <row r="129" spans="1:28" x14ac:dyDescent="0.25">
      <c r="A129">
        <v>6280</v>
      </c>
      <c r="B129">
        <v>24170</v>
      </c>
      <c r="C129" s="8">
        <v>42707</v>
      </c>
      <c r="E129" s="35">
        <v>6</v>
      </c>
      <c r="F129" s="47"/>
      <c r="G129">
        <v>2.7</v>
      </c>
      <c r="H129">
        <v>0.3</v>
      </c>
      <c r="I129">
        <v>5.0999999999999996</v>
      </c>
      <c r="J129">
        <f t="shared" si="13"/>
        <v>1088.6000000000001</v>
      </c>
      <c r="K129">
        <f t="shared" si="19"/>
        <v>9</v>
      </c>
      <c r="L129" s="13">
        <f>MIN(H124:H184)</f>
        <v>-7.6</v>
      </c>
      <c r="M129">
        <v>0</v>
      </c>
      <c r="N129">
        <v>0.6</v>
      </c>
      <c r="O129">
        <f t="shared" si="10"/>
        <v>-0.6</v>
      </c>
      <c r="P129">
        <f t="shared" si="15"/>
        <v>47.999999999999986</v>
      </c>
      <c r="Q129">
        <v>95</v>
      </c>
      <c r="R129" s="22">
        <v>1</v>
      </c>
      <c r="S129" s="23">
        <f t="shared" si="11"/>
        <v>0.6</v>
      </c>
      <c r="T129" s="23">
        <f t="shared" si="12"/>
        <v>-0.6</v>
      </c>
      <c r="U129" s="23">
        <f t="shared" si="16"/>
        <v>57.765833333333319</v>
      </c>
      <c r="V129" s="23">
        <f>MIN(U124:U184)</f>
        <v>50.36583333333332</v>
      </c>
      <c r="W129">
        <v>628.6</v>
      </c>
      <c r="Y129">
        <f t="shared" si="14"/>
        <v>70746.399999999994</v>
      </c>
      <c r="Z129">
        <f t="shared" si="18"/>
        <v>3861.3</v>
      </c>
      <c r="AA129" s="35">
        <v>8.2744127930178983</v>
      </c>
      <c r="AB129">
        <v>61</v>
      </c>
    </row>
    <row r="130" spans="1:28" x14ac:dyDescent="0.25">
      <c r="A130">
        <v>6280</v>
      </c>
      <c r="B130">
        <v>24170</v>
      </c>
      <c r="C130" s="8">
        <v>42708</v>
      </c>
      <c r="E130" s="35">
        <v>7</v>
      </c>
      <c r="F130" s="47"/>
      <c r="G130">
        <v>-0.5</v>
      </c>
      <c r="H130">
        <v>-4.2</v>
      </c>
      <c r="I130">
        <v>3.1</v>
      </c>
      <c r="J130">
        <v>1088.5999999999999</v>
      </c>
      <c r="K130">
        <v>9</v>
      </c>
      <c r="L130" s="14" t="s">
        <v>42</v>
      </c>
      <c r="M130">
        <v>0</v>
      </c>
      <c r="N130">
        <v>0.7</v>
      </c>
      <c r="O130">
        <f t="shared" si="10"/>
        <v>-0.7</v>
      </c>
      <c r="P130">
        <f t="shared" si="15"/>
        <v>47.299999999999983</v>
      </c>
      <c r="Q130" s="22">
        <v>96</v>
      </c>
      <c r="R130" s="22">
        <v>1</v>
      </c>
      <c r="S130" s="23">
        <f t="shared" si="11"/>
        <v>0.7</v>
      </c>
      <c r="T130" s="23">
        <f t="shared" si="12"/>
        <v>-0.7</v>
      </c>
      <c r="U130" s="23">
        <f t="shared" si="16"/>
        <v>57.065833333333316</v>
      </c>
      <c r="V130" s="25" t="s">
        <v>56</v>
      </c>
      <c r="W130">
        <v>679.2</v>
      </c>
      <c r="Y130">
        <f t="shared" si="14"/>
        <v>71425.599999999991</v>
      </c>
      <c r="Z130">
        <f t="shared" si="18"/>
        <v>4540.5</v>
      </c>
      <c r="AA130" s="35">
        <v>8.2506335994056847</v>
      </c>
      <c r="AB130" t="s">
        <v>62</v>
      </c>
    </row>
    <row r="131" spans="1:28" x14ac:dyDescent="0.25">
      <c r="A131">
        <v>6280</v>
      </c>
      <c r="B131">
        <v>24170</v>
      </c>
      <c r="C131" s="8">
        <v>42709</v>
      </c>
      <c r="E131" s="35">
        <v>8</v>
      </c>
      <c r="F131" s="47"/>
      <c r="G131">
        <v>2.4</v>
      </c>
      <c r="H131">
        <v>-1.3</v>
      </c>
      <c r="I131">
        <v>7</v>
      </c>
      <c r="J131">
        <f t="shared" si="13"/>
        <v>1091</v>
      </c>
      <c r="K131">
        <f t="shared" si="19"/>
        <v>11.4</v>
      </c>
      <c r="L131" s="12">
        <f>MAX(I124:I184)</f>
        <v>10.199999999999999</v>
      </c>
      <c r="M131">
        <v>0</v>
      </c>
      <c r="N131">
        <v>0.8</v>
      </c>
      <c r="O131">
        <f t="shared" si="10"/>
        <v>-0.8</v>
      </c>
      <c r="P131">
        <f t="shared" si="15"/>
        <v>46.499999999999986</v>
      </c>
      <c r="Q131">
        <v>97</v>
      </c>
      <c r="R131" s="22">
        <v>1</v>
      </c>
      <c r="S131" s="23">
        <f t="shared" si="11"/>
        <v>0.8</v>
      </c>
      <c r="T131" s="23">
        <f t="shared" si="12"/>
        <v>-0.8</v>
      </c>
      <c r="U131" s="23">
        <f t="shared" si="16"/>
        <v>56.265833333333319</v>
      </c>
      <c r="V131" s="23">
        <f>MAX(U124:U184)</f>
        <v>74.965833333333308</v>
      </c>
      <c r="W131">
        <v>508.1</v>
      </c>
      <c r="Y131">
        <f t="shared" si="14"/>
        <v>71933.7</v>
      </c>
      <c r="Z131">
        <f t="shared" si="18"/>
        <v>5048.6000000000004</v>
      </c>
      <c r="AA131" s="35">
        <v>8.2281219631784062</v>
      </c>
      <c r="AB131">
        <v>51</v>
      </c>
    </row>
    <row r="132" spans="1:28" x14ac:dyDescent="0.25">
      <c r="A132">
        <v>6280</v>
      </c>
      <c r="B132">
        <v>24170</v>
      </c>
      <c r="C132" s="8">
        <v>42710</v>
      </c>
      <c r="E132" s="35">
        <v>9</v>
      </c>
      <c r="F132" s="47"/>
      <c r="G132">
        <v>3.6</v>
      </c>
      <c r="H132">
        <v>0</v>
      </c>
      <c r="I132">
        <v>8.9</v>
      </c>
      <c r="J132">
        <f t="shared" si="13"/>
        <v>1094.5999999999999</v>
      </c>
      <c r="K132">
        <f t="shared" si="19"/>
        <v>15</v>
      </c>
      <c r="L132" s="14" t="s">
        <v>43</v>
      </c>
      <c r="M132">
        <v>0.1</v>
      </c>
      <c r="N132">
        <v>0.6</v>
      </c>
      <c r="O132">
        <f t="shared" si="10"/>
        <v>-0.5</v>
      </c>
      <c r="P132">
        <f t="shared" si="15"/>
        <v>45.999999999999986</v>
      </c>
      <c r="Q132" s="22">
        <v>98</v>
      </c>
      <c r="R132" s="22">
        <v>1</v>
      </c>
      <c r="S132" s="23">
        <f t="shared" si="11"/>
        <v>0.6</v>
      </c>
      <c r="T132" s="23">
        <f t="shared" si="12"/>
        <v>-0.5</v>
      </c>
      <c r="U132" s="23">
        <f t="shared" si="16"/>
        <v>55.765833333333319</v>
      </c>
      <c r="V132" s="25" t="s">
        <v>57</v>
      </c>
      <c r="W132">
        <v>370.6</v>
      </c>
      <c r="Y132">
        <f t="shared" si="14"/>
        <v>72304.3</v>
      </c>
      <c r="Z132">
        <f t="shared" si="18"/>
        <v>5419.2000000000007</v>
      </c>
      <c r="AA132" s="35">
        <v>8.2068966843541062</v>
      </c>
    </row>
    <row r="133" spans="1:28" x14ac:dyDescent="0.25">
      <c r="A133">
        <v>6280</v>
      </c>
      <c r="B133">
        <v>24170</v>
      </c>
      <c r="C133" s="8">
        <v>42711</v>
      </c>
      <c r="E133" s="35">
        <v>10</v>
      </c>
      <c r="F133" s="47"/>
      <c r="G133">
        <v>4.5999999999999996</v>
      </c>
      <c r="H133">
        <v>1.2</v>
      </c>
      <c r="I133">
        <v>9.3000000000000007</v>
      </c>
      <c r="J133">
        <f t="shared" si="13"/>
        <v>1099.1999999999998</v>
      </c>
      <c r="K133">
        <f t="shared" si="19"/>
        <v>19.600000000000001</v>
      </c>
      <c r="L133" s="12">
        <v>0</v>
      </c>
      <c r="M133">
        <v>0</v>
      </c>
      <c r="N133">
        <v>0.7</v>
      </c>
      <c r="O133">
        <f t="shared" si="10"/>
        <v>-0.7</v>
      </c>
      <c r="P133">
        <f t="shared" si="15"/>
        <v>45.299999999999983</v>
      </c>
      <c r="Q133">
        <v>99</v>
      </c>
      <c r="R133" s="22">
        <v>1</v>
      </c>
      <c r="S133" s="23">
        <f t="shared" si="11"/>
        <v>0.7</v>
      </c>
      <c r="T133" s="23">
        <f t="shared" si="12"/>
        <v>-0.7</v>
      </c>
      <c r="U133" s="23">
        <f t="shared" si="16"/>
        <v>55.065833333333316</v>
      </c>
      <c r="V133" s="23">
        <f>AVERAGE(U124:U184)</f>
        <v>62.55271857923492</v>
      </c>
      <c r="W133">
        <v>342.8</v>
      </c>
      <c r="Y133">
        <f t="shared" si="14"/>
        <v>72647.100000000006</v>
      </c>
      <c r="Z133">
        <f t="shared" si="18"/>
        <v>5762.0000000000009</v>
      </c>
      <c r="AA133" s="35">
        <v>8.1869757211866041</v>
      </c>
    </row>
    <row r="134" spans="1:28" x14ac:dyDescent="0.25">
      <c r="A134">
        <v>6280</v>
      </c>
      <c r="B134">
        <v>24170</v>
      </c>
      <c r="C134" s="8">
        <v>42712</v>
      </c>
      <c r="E134" s="35">
        <v>11</v>
      </c>
      <c r="F134" s="47"/>
      <c r="G134">
        <v>3.4</v>
      </c>
      <c r="H134">
        <v>0.3</v>
      </c>
      <c r="I134">
        <v>7.5</v>
      </c>
      <c r="J134">
        <f t="shared" si="13"/>
        <v>1102.5999999999999</v>
      </c>
      <c r="K134">
        <f t="shared" si="19"/>
        <v>23</v>
      </c>
      <c r="L134" s="14" t="s">
        <v>44</v>
      </c>
      <c r="M134">
        <v>0.1</v>
      </c>
      <c r="N134">
        <v>0.6</v>
      </c>
      <c r="O134">
        <f t="shared" si="10"/>
        <v>-0.5</v>
      </c>
      <c r="P134">
        <f t="shared" si="15"/>
        <v>44.799999999999983</v>
      </c>
      <c r="Q134" s="22">
        <v>100</v>
      </c>
      <c r="R134" s="22">
        <v>1</v>
      </c>
      <c r="S134" s="23">
        <f t="shared" si="11"/>
        <v>0.6</v>
      </c>
      <c r="T134" s="23">
        <f t="shared" si="12"/>
        <v>-0.5</v>
      </c>
      <c r="U134" s="23">
        <f t="shared" si="16"/>
        <v>54.565833333333316</v>
      </c>
      <c r="W134">
        <v>355.7</v>
      </c>
      <c r="Y134">
        <f t="shared" si="14"/>
        <v>73002.8</v>
      </c>
      <c r="Z134">
        <f t="shared" si="18"/>
        <v>6117.7000000000007</v>
      </c>
      <c r="AA134" s="35">
        <v>8.1683761362897229</v>
      </c>
    </row>
    <row r="135" spans="1:28" x14ac:dyDescent="0.25">
      <c r="A135">
        <v>6280</v>
      </c>
      <c r="B135">
        <v>24170</v>
      </c>
      <c r="C135" s="8">
        <v>42713</v>
      </c>
      <c r="E135" s="35">
        <v>12</v>
      </c>
      <c r="F135" s="47"/>
      <c r="G135">
        <v>4.5</v>
      </c>
      <c r="H135">
        <v>0.9</v>
      </c>
      <c r="I135">
        <v>9</v>
      </c>
      <c r="J135">
        <f t="shared" si="13"/>
        <v>1107.0999999999999</v>
      </c>
      <c r="K135">
        <f t="shared" si="19"/>
        <v>27.5</v>
      </c>
      <c r="L135" s="12">
        <v>25</v>
      </c>
      <c r="M135">
        <v>0.1</v>
      </c>
      <c r="N135">
        <v>0.4</v>
      </c>
      <c r="O135">
        <f t="shared" si="10"/>
        <v>-0.30000000000000004</v>
      </c>
      <c r="P135">
        <f t="shared" si="15"/>
        <v>44.499999999999986</v>
      </c>
      <c r="Q135">
        <v>101</v>
      </c>
      <c r="R135" s="22">
        <v>1</v>
      </c>
      <c r="S135" s="23">
        <f t="shared" si="11"/>
        <v>0.4</v>
      </c>
      <c r="T135" s="23">
        <f t="shared" si="12"/>
        <v>-0.30000000000000004</v>
      </c>
      <c r="U135" s="23">
        <f t="shared" si="16"/>
        <v>54.265833333333319</v>
      </c>
      <c r="V135">
        <f>(V133*100)/197.4</f>
        <v>31.688307284313534</v>
      </c>
      <c r="W135">
        <v>132.1</v>
      </c>
      <c r="Y135">
        <f t="shared" si="14"/>
        <v>73134.900000000009</v>
      </c>
      <c r="Z135">
        <f t="shared" si="18"/>
        <v>6249.8000000000011</v>
      </c>
      <c r="AA135" s="35">
        <v>8.1511140444121164</v>
      </c>
    </row>
    <row r="136" spans="1:28" x14ac:dyDescent="0.25">
      <c r="A136">
        <v>6280</v>
      </c>
      <c r="B136">
        <v>24170</v>
      </c>
      <c r="C136" s="8">
        <v>42714</v>
      </c>
      <c r="E136" s="35">
        <v>13</v>
      </c>
      <c r="F136" s="47"/>
      <c r="G136">
        <v>2.9</v>
      </c>
      <c r="H136">
        <v>0.3</v>
      </c>
      <c r="I136">
        <v>4.8</v>
      </c>
      <c r="J136">
        <f t="shared" si="13"/>
        <v>1110</v>
      </c>
      <c r="K136">
        <f t="shared" si="19"/>
        <v>30.4</v>
      </c>
      <c r="L136" s="14" t="s">
        <v>45</v>
      </c>
      <c r="M136">
        <v>0.3</v>
      </c>
      <c r="N136">
        <v>0.3</v>
      </c>
      <c r="O136">
        <f t="shared" si="10"/>
        <v>0</v>
      </c>
      <c r="P136">
        <f t="shared" si="15"/>
        <v>44.499999999999986</v>
      </c>
      <c r="Q136" s="22">
        <v>102</v>
      </c>
      <c r="R136" s="22">
        <v>1</v>
      </c>
      <c r="S136" s="23">
        <f t="shared" si="11"/>
        <v>0.3</v>
      </c>
      <c r="T136" s="23">
        <f t="shared" si="12"/>
        <v>0</v>
      </c>
      <c r="U136" s="23">
        <f t="shared" si="16"/>
        <v>54.265833333333319</v>
      </c>
      <c r="W136">
        <v>230.6</v>
      </c>
      <c r="Y136">
        <f t="shared" si="14"/>
        <v>73365.500000000015</v>
      </c>
      <c r="Z136">
        <f t="shared" si="18"/>
        <v>6480.4000000000015</v>
      </c>
      <c r="AA136" s="35">
        <v>8.1352045621844038</v>
      </c>
    </row>
    <row r="137" spans="1:28" x14ac:dyDescent="0.25">
      <c r="A137">
        <v>6280</v>
      </c>
      <c r="B137">
        <v>24170</v>
      </c>
      <c r="C137" s="8">
        <v>42715</v>
      </c>
      <c r="F137" s="47"/>
      <c r="G137">
        <v>6</v>
      </c>
      <c r="H137">
        <v>4</v>
      </c>
      <c r="I137">
        <v>9.8000000000000007</v>
      </c>
      <c r="J137">
        <f t="shared" si="13"/>
        <v>1116</v>
      </c>
      <c r="K137">
        <f t="shared" si="19"/>
        <v>36.4</v>
      </c>
      <c r="L137" s="12">
        <v>30</v>
      </c>
      <c r="M137">
        <v>0.1</v>
      </c>
      <c r="N137">
        <v>0.7</v>
      </c>
      <c r="O137">
        <f t="shared" si="10"/>
        <v>-0.6</v>
      </c>
      <c r="P137">
        <f t="shared" si="15"/>
        <v>43.899999999999984</v>
      </c>
      <c r="Q137">
        <v>103</v>
      </c>
      <c r="R137" s="22">
        <v>1</v>
      </c>
      <c r="S137" s="23">
        <f t="shared" si="11"/>
        <v>0.7</v>
      </c>
      <c r="T137" s="23">
        <f t="shared" si="12"/>
        <v>-0.6</v>
      </c>
      <c r="U137" s="23">
        <f t="shared" si="16"/>
        <v>53.665833333333318</v>
      </c>
      <c r="W137">
        <v>364.9</v>
      </c>
      <c r="Y137">
        <f t="shared" si="14"/>
        <v>73730.400000000009</v>
      </c>
      <c r="Z137">
        <f t="shared" si="18"/>
        <v>6845.3000000000011</v>
      </c>
      <c r="AA137" s="35">
        <v>8.1206617601572137</v>
      </c>
    </row>
    <row r="138" spans="1:28" x14ac:dyDescent="0.25">
      <c r="A138">
        <v>6280</v>
      </c>
      <c r="B138">
        <v>24170</v>
      </c>
      <c r="C138" s="8">
        <v>42716</v>
      </c>
      <c r="E138" s="35">
        <v>14</v>
      </c>
      <c r="F138" s="47"/>
      <c r="G138">
        <v>4.5</v>
      </c>
      <c r="H138">
        <v>3.6</v>
      </c>
      <c r="I138">
        <v>5</v>
      </c>
      <c r="J138">
        <f t="shared" si="13"/>
        <v>1120.5</v>
      </c>
      <c r="K138">
        <f t="shared" si="19"/>
        <v>40.9</v>
      </c>
      <c r="M138">
        <v>1</v>
      </c>
      <c r="N138">
        <v>0.5</v>
      </c>
      <c r="O138">
        <f t="shared" si="10"/>
        <v>0.5</v>
      </c>
      <c r="P138">
        <f t="shared" si="15"/>
        <v>44.399999999999984</v>
      </c>
      <c r="Q138" s="22">
        <v>104</v>
      </c>
      <c r="R138" s="22">
        <v>1</v>
      </c>
      <c r="S138" s="23">
        <f t="shared" si="11"/>
        <v>0.5</v>
      </c>
      <c r="T138" s="23">
        <f t="shared" si="12"/>
        <v>0.5</v>
      </c>
      <c r="U138" s="23">
        <f t="shared" si="16"/>
        <v>54.165833333333318</v>
      </c>
      <c r="W138">
        <v>201.1</v>
      </c>
      <c r="Y138">
        <f t="shared" si="14"/>
        <v>73931.500000000015</v>
      </c>
      <c r="Z138">
        <f t="shared" si="18"/>
        <v>7046.4000000000015</v>
      </c>
      <c r="AA138" s="35">
        <v>8.1074986174422818</v>
      </c>
    </row>
    <row r="139" spans="1:28" x14ac:dyDescent="0.25">
      <c r="A139">
        <v>6280</v>
      </c>
      <c r="B139">
        <v>24170</v>
      </c>
      <c r="C139" s="8">
        <v>42717</v>
      </c>
      <c r="F139" s="47"/>
      <c r="G139">
        <v>5.9</v>
      </c>
      <c r="H139">
        <v>4.4000000000000004</v>
      </c>
      <c r="I139">
        <v>7.5</v>
      </c>
      <c r="J139">
        <f t="shared" si="13"/>
        <v>1126.4000000000001</v>
      </c>
      <c r="K139">
        <f t="shared" si="19"/>
        <v>46.8</v>
      </c>
      <c r="M139">
        <v>0.1</v>
      </c>
      <c r="N139">
        <v>0.5</v>
      </c>
      <c r="O139">
        <f t="shared" si="10"/>
        <v>-0.4</v>
      </c>
      <c r="P139">
        <f t="shared" si="15"/>
        <v>43.999999999999986</v>
      </c>
      <c r="Q139">
        <v>105</v>
      </c>
      <c r="R139" s="22">
        <v>1</v>
      </c>
      <c r="S139" s="23">
        <f t="shared" si="11"/>
        <v>0.5</v>
      </c>
      <c r="T139" s="23">
        <f t="shared" si="12"/>
        <v>-0.4</v>
      </c>
      <c r="U139" s="23">
        <f t="shared" si="16"/>
        <v>53.765833333333319</v>
      </c>
      <c r="W139">
        <v>105.6</v>
      </c>
      <c r="Y139">
        <f t="shared" si="14"/>
        <v>74037.10000000002</v>
      </c>
      <c r="Z139">
        <f t="shared" si="18"/>
        <v>7152.0000000000018</v>
      </c>
      <c r="AA139" s="35">
        <v>8.0957269792590232</v>
      </c>
    </row>
    <row r="140" spans="1:28" x14ac:dyDescent="0.25">
      <c r="A140">
        <v>6280</v>
      </c>
      <c r="B140">
        <v>24170</v>
      </c>
      <c r="C140" s="8">
        <v>42718</v>
      </c>
      <c r="E140" s="35">
        <v>15</v>
      </c>
      <c r="F140" s="47"/>
      <c r="G140">
        <v>3.9</v>
      </c>
      <c r="H140">
        <v>1.2</v>
      </c>
      <c r="I140">
        <v>8.4</v>
      </c>
      <c r="J140">
        <f t="shared" si="13"/>
        <v>1130.3000000000002</v>
      </c>
      <c r="K140">
        <f t="shared" si="19"/>
        <v>50.699999999999996</v>
      </c>
      <c r="M140">
        <v>0</v>
      </c>
      <c r="N140">
        <v>0.7</v>
      </c>
      <c r="O140">
        <f t="shared" si="10"/>
        <v>-0.7</v>
      </c>
      <c r="P140">
        <f t="shared" si="15"/>
        <v>43.299999999999983</v>
      </c>
      <c r="Q140" s="22">
        <v>106</v>
      </c>
      <c r="R140" s="22">
        <v>1</v>
      </c>
      <c r="S140" s="23">
        <f t="shared" si="11"/>
        <v>0.7</v>
      </c>
      <c r="T140" s="23">
        <f t="shared" si="12"/>
        <v>-0.7</v>
      </c>
      <c r="U140" s="23">
        <f t="shared" si="16"/>
        <v>53.065833333333316</v>
      </c>
      <c r="W140">
        <v>425.1</v>
      </c>
      <c r="Y140">
        <f t="shared" si="14"/>
        <v>74462.200000000026</v>
      </c>
      <c r="Z140">
        <f t="shared" si="18"/>
        <v>7577.1000000000022</v>
      </c>
      <c r="AA140" s="35">
        <v>8.0853575176758063</v>
      </c>
    </row>
    <row r="141" spans="1:28" x14ac:dyDescent="0.25">
      <c r="A141">
        <v>6280</v>
      </c>
      <c r="B141">
        <v>24170</v>
      </c>
      <c r="C141" s="8">
        <v>42719</v>
      </c>
      <c r="E141" s="35">
        <v>16</v>
      </c>
      <c r="F141" s="47"/>
      <c r="G141">
        <v>3.7</v>
      </c>
      <c r="H141">
        <v>-0.9</v>
      </c>
      <c r="I141">
        <v>7.1</v>
      </c>
      <c r="J141">
        <f t="shared" si="13"/>
        <v>1134.0000000000002</v>
      </c>
      <c r="K141">
        <f t="shared" si="19"/>
        <v>54.4</v>
      </c>
      <c r="M141">
        <v>0.1</v>
      </c>
      <c r="N141">
        <v>0.4</v>
      </c>
      <c r="O141">
        <f t="shared" si="10"/>
        <v>-0.30000000000000004</v>
      </c>
      <c r="P141">
        <f t="shared" si="15"/>
        <v>42.999999999999986</v>
      </c>
      <c r="Q141">
        <v>107</v>
      </c>
      <c r="R141" s="22">
        <v>1</v>
      </c>
      <c r="S141" s="23">
        <f t="shared" si="11"/>
        <v>0.4</v>
      </c>
      <c r="T141" s="23">
        <f t="shared" si="12"/>
        <v>-0.30000000000000004</v>
      </c>
      <c r="U141" s="23">
        <f t="shared" si="16"/>
        <v>52.765833333333319</v>
      </c>
      <c r="W141">
        <v>377.5</v>
      </c>
      <c r="Y141">
        <f t="shared" si="14"/>
        <v>74839.700000000026</v>
      </c>
      <c r="Z141">
        <f t="shared" si="18"/>
        <v>7954.6000000000022</v>
      </c>
      <c r="AA141" s="35">
        <v>8.0763996958186581</v>
      </c>
    </row>
    <row r="142" spans="1:28" x14ac:dyDescent="0.25">
      <c r="A142">
        <v>6280</v>
      </c>
      <c r="B142">
        <v>24170</v>
      </c>
      <c r="C142" s="8">
        <v>42720</v>
      </c>
      <c r="F142" s="47"/>
      <c r="G142">
        <v>6.4</v>
      </c>
      <c r="H142">
        <v>5.4</v>
      </c>
      <c r="I142">
        <v>10</v>
      </c>
      <c r="J142">
        <f t="shared" si="13"/>
        <v>1140.4000000000003</v>
      </c>
      <c r="K142">
        <f t="shared" si="19"/>
        <v>60.8</v>
      </c>
      <c r="M142">
        <v>0</v>
      </c>
      <c r="N142">
        <v>0.9</v>
      </c>
      <c r="O142">
        <f t="shared" si="10"/>
        <v>-0.9</v>
      </c>
      <c r="P142">
        <f t="shared" si="15"/>
        <v>42.099999999999987</v>
      </c>
      <c r="Q142" s="22">
        <v>108</v>
      </c>
      <c r="R142" s="22">
        <v>1</v>
      </c>
      <c r="S142" s="23">
        <f t="shared" si="11"/>
        <v>0.9</v>
      </c>
      <c r="T142" s="23">
        <f t="shared" si="12"/>
        <v>-0.9</v>
      </c>
      <c r="U142" s="23">
        <f t="shared" si="16"/>
        <v>51.86583333333332</v>
      </c>
      <c r="W142">
        <v>321.3</v>
      </c>
      <c r="Y142">
        <f t="shared" si="14"/>
        <v>75161.000000000029</v>
      </c>
      <c r="Z142">
        <f t="shared" si="18"/>
        <v>8275.9000000000015</v>
      </c>
      <c r="AA142" s="35">
        <v>8.068861735800418</v>
      </c>
    </row>
    <row r="143" spans="1:28" x14ac:dyDescent="0.25">
      <c r="A143">
        <v>6280</v>
      </c>
      <c r="B143">
        <v>24170</v>
      </c>
      <c r="C143" s="8">
        <v>42721</v>
      </c>
      <c r="E143" s="35">
        <v>17</v>
      </c>
      <c r="F143" s="47"/>
      <c r="G143">
        <v>3.6</v>
      </c>
      <c r="H143">
        <v>0.3</v>
      </c>
      <c r="I143">
        <v>6.8</v>
      </c>
      <c r="J143">
        <f t="shared" si="13"/>
        <v>1144.0000000000002</v>
      </c>
      <c r="K143">
        <f t="shared" si="19"/>
        <v>64.399999999999991</v>
      </c>
      <c r="M143">
        <v>0</v>
      </c>
      <c r="N143">
        <v>0.7</v>
      </c>
      <c r="O143">
        <f t="shared" si="10"/>
        <v>-0.7</v>
      </c>
      <c r="P143">
        <f t="shared" si="15"/>
        <v>41.399999999999984</v>
      </c>
      <c r="Q143">
        <v>109</v>
      </c>
      <c r="R143" s="22">
        <v>1</v>
      </c>
      <c r="S143" s="23">
        <f t="shared" si="11"/>
        <v>0.7</v>
      </c>
      <c r="T143" s="23">
        <f t="shared" si="12"/>
        <v>-0.7</v>
      </c>
      <c r="U143" s="23">
        <f t="shared" si="16"/>
        <v>51.165833333333318</v>
      </c>
      <c r="W143">
        <v>539.79999999999995</v>
      </c>
      <c r="Y143">
        <f t="shared" si="14"/>
        <v>75700.800000000032</v>
      </c>
      <c r="Z143">
        <f t="shared" si="18"/>
        <v>8815.7000000000007</v>
      </c>
      <c r="AA143" s="35">
        <v>8.0627505906005581</v>
      </c>
    </row>
    <row r="144" spans="1:28" x14ac:dyDescent="0.25">
      <c r="A144">
        <v>6280</v>
      </c>
      <c r="B144">
        <v>24170</v>
      </c>
      <c r="C144" s="8">
        <v>42722</v>
      </c>
      <c r="E144" s="35">
        <v>18</v>
      </c>
      <c r="F144" s="47"/>
      <c r="G144">
        <v>2.6</v>
      </c>
      <c r="H144">
        <v>2.4</v>
      </c>
      <c r="I144">
        <v>3.4</v>
      </c>
      <c r="J144">
        <f t="shared" si="13"/>
        <v>1146.6000000000001</v>
      </c>
      <c r="K144">
        <f t="shared" si="19"/>
        <v>66.999999999999986</v>
      </c>
      <c r="M144">
        <v>0.4</v>
      </c>
      <c r="N144">
        <v>0.2</v>
      </c>
      <c r="O144">
        <f t="shared" si="10"/>
        <v>0.2</v>
      </c>
      <c r="P144">
        <f t="shared" si="15"/>
        <v>41.599999999999987</v>
      </c>
      <c r="Q144" s="22">
        <v>110</v>
      </c>
      <c r="R144" s="22">
        <v>1</v>
      </c>
      <c r="S144" s="23">
        <f t="shared" si="11"/>
        <v>0.2</v>
      </c>
      <c r="T144" s="23">
        <f t="shared" si="12"/>
        <v>0.2</v>
      </c>
      <c r="U144" s="23">
        <f t="shared" si="16"/>
        <v>51.36583333333332</v>
      </c>
      <c r="W144">
        <v>99.2</v>
      </c>
      <c r="Y144">
        <f t="shared" si="14"/>
        <v>75800.000000000029</v>
      </c>
      <c r="Z144">
        <f t="shared" si="18"/>
        <v>8914.9000000000015</v>
      </c>
      <c r="AA144" s="35">
        <v>8.0580719201001543</v>
      </c>
    </row>
    <row r="145" spans="1:27" x14ac:dyDescent="0.25">
      <c r="A145">
        <v>6280</v>
      </c>
      <c r="B145">
        <v>24170</v>
      </c>
      <c r="C145" s="8">
        <v>42723</v>
      </c>
      <c r="E145" s="35">
        <v>19</v>
      </c>
      <c r="F145" s="47"/>
      <c r="G145">
        <v>4.0999999999999996</v>
      </c>
      <c r="H145">
        <v>2.4</v>
      </c>
      <c r="I145">
        <v>5.5</v>
      </c>
      <c r="J145">
        <f t="shared" si="13"/>
        <v>1150.7</v>
      </c>
      <c r="K145">
        <f t="shared" si="19"/>
        <v>71.09999999999998</v>
      </c>
      <c r="M145">
        <v>0</v>
      </c>
      <c r="N145">
        <v>0.4</v>
      </c>
      <c r="O145">
        <f t="shared" si="10"/>
        <v>-0.4</v>
      </c>
      <c r="P145">
        <f t="shared" si="15"/>
        <v>41.199999999999989</v>
      </c>
      <c r="Q145">
        <v>111</v>
      </c>
      <c r="R145" s="22">
        <v>1</v>
      </c>
      <c r="S145" s="23">
        <f t="shared" si="11"/>
        <v>0.4</v>
      </c>
      <c r="T145" s="23">
        <f t="shared" si="12"/>
        <v>-0.4</v>
      </c>
      <c r="U145" s="23">
        <f t="shared" si="16"/>
        <v>50.965833333333322</v>
      </c>
      <c r="W145">
        <v>256.2</v>
      </c>
      <c r="Y145">
        <f t="shared" si="14"/>
        <v>76056.200000000026</v>
      </c>
      <c r="Z145">
        <f t="shared" si="18"/>
        <v>9171.1000000000022</v>
      </c>
      <c r="AA145" s="35">
        <v>8.054830071448329</v>
      </c>
    </row>
    <row r="146" spans="1:27" x14ac:dyDescent="0.25">
      <c r="A146">
        <v>6280</v>
      </c>
      <c r="B146">
        <v>24170</v>
      </c>
      <c r="C146" s="8">
        <v>42724</v>
      </c>
      <c r="E146" s="35">
        <v>20</v>
      </c>
      <c r="F146" s="47"/>
      <c r="G146">
        <v>3.5</v>
      </c>
      <c r="H146">
        <v>1.8</v>
      </c>
      <c r="I146">
        <v>5.5</v>
      </c>
      <c r="J146">
        <f t="shared" si="13"/>
        <v>1154.2</v>
      </c>
      <c r="K146">
        <f t="shared" si="19"/>
        <v>74.59999999999998</v>
      </c>
      <c r="M146">
        <v>0</v>
      </c>
      <c r="N146">
        <v>0.6</v>
      </c>
      <c r="O146">
        <f t="shared" si="10"/>
        <v>-0.6</v>
      </c>
      <c r="P146">
        <f t="shared" si="15"/>
        <v>40.599999999999987</v>
      </c>
      <c r="Q146" s="22">
        <v>112</v>
      </c>
      <c r="R146" s="22">
        <v>1</v>
      </c>
      <c r="S146" s="23">
        <f t="shared" si="11"/>
        <v>0.6</v>
      </c>
      <c r="T146" s="23">
        <f t="shared" si="12"/>
        <v>-0.6</v>
      </c>
      <c r="U146" s="23">
        <f t="shared" si="16"/>
        <v>50.36583333333332</v>
      </c>
      <c r="W146">
        <v>289.5</v>
      </c>
      <c r="Y146">
        <f t="shared" si="14"/>
        <v>76345.700000000026</v>
      </c>
      <c r="Z146">
        <f t="shared" si="18"/>
        <v>9460.6000000000022</v>
      </c>
      <c r="AA146" s="35">
        <v>8.0530280639058915</v>
      </c>
    </row>
    <row r="147" spans="1:27" x14ac:dyDescent="0.25">
      <c r="A147">
        <v>6280</v>
      </c>
      <c r="B147">
        <v>24170</v>
      </c>
      <c r="C147" s="8">
        <v>42725</v>
      </c>
      <c r="E147" s="35">
        <v>21</v>
      </c>
      <c r="F147" s="47"/>
      <c r="G147">
        <v>4.3</v>
      </c>
      <c r="H147">
        <v>1.2</v>
      </c>
      <c r="I147">
        <v>6.7</v>
      </c>
      <c r="J147">
        <f t="shared" si="13"/>
        <v>1158.5</v>
      </c>
      <c r="K147">
        <f t="shared" si="19"/>
        <v>78.899999999999977</v>
      </c>
      <c r="M147">
        <v>12.8</v>
      </c>
      <c r="N147">
        <v>0.6</v>
      </c>
      <c r="O147">
        <f t="shared" si="10"/>
        <v>12.200000000000001</v>
      </c>
      <c r="P147">
        <f t="shared" si="15"/>
        <v>52.79999999999999</v>
      </c>
      <c r="Q147">
        <v>113</v>
      </c>
      <c r="R147" s="22">
        <v>1</v>
      </c>
      <c r="S147" s="23">
        <f t="shared" si="11"/>
        <v>0.6</v>
      </c>
      <c r="T147" s="23">
        <f t="shared" si="12"/>
        <v>12.200000000000001</v>
      </c>
      <c r="U147" s="23">
        <f t="shared" si="16"/>
        <v>62.565833333333323</v>
      </c>
      <c r="W147">
        <v>371.7</v>
      </c>
      <c r="Y147">
        <f t="shared" si="14"/>
        <v>76717.400000000023</v>
      </c>
      <c r="Z147">
        <f t="shared" si="18"/>
        <v>9832.3000000000029</v>
      </c>
      <c r="AA147" s="35">
        <v>8.0526675782795305</v>
      </c>
    </row>
    <row r="148" spans="1:27" x14ac:dyDescent="0.25">
      <c r="A148">
        <v>6280</v>
      </c>
      <c r="B148">
        <v>24170</v>
      </c>
      <c r="C148" s="8">
        <v>42726</v>
      </c>
      <c r="F148" s="47"/>
      <c r="G148">
        <v>6.7</v>
      </c>
      <c r="H148">
        <v>5.5</v>
      </c>
      <c r="I148">
        <v>8</v>
      </c>
      <c r="J148">
        <f t="shared" si="13"/>
        <v>1165.2</v>
      </c>
      <c r="K148">
        <f t="shared" si="19"/>
        <v>85.59999999999998</v>
      </c>
      <c r="M148">
        <v>2</v>
      </c>
      <c r="N148">
        <v>0.3</v>
      </c>
      <c r="O148">
        <f t="shared" si="10"/>
        <v>1.7</v>
      </c>
      <c r="P148">
        <f t="shared" si="15"/>
        <v>54.499999999999993</v>
      </c>
      <c r="Q148" s="22">
        <v>114</v>
      </c>
      <c r="R148" s="22">
        <v>1</v>
      </c>
      <c r="S148" s="23">
        <f t="shared" si="11"/>
        <v>0.3</v>
      </c>
      <c r="T148" s="23">
        <f t="shared" si="12"/>
        <v>1.7</v>
      </c>
      <c r="U148" s="23">
        <f t="shared" si="16"/>
        <v>64.265833333333319</v>
      </c>
      <c r="W148">
        <v>65.099999999999994</v>
      </c>
      <c r="Y148">
        <f t="shared" si="14"/>
        <v>76782.500000000029</v>
      </c>
      <c r="Z148">
        <f t="shared" si="18"/>
        <v>9897.4000000000033</v>
      </c>
      <c r="AA148" s="35">
        <v>8.053748951025959</v>
      </c>
    </row>
    <row r="149" spans="1:27" x14ac:dyDescent="0.25">
      <c r="A149">
        <v>6280</v>
      </c>
      <c r="B149">
        <v>24170</v>
      </c>
      <c r="C149" s="8">
        <v>42727</v>
      </c>
      <c r="E149" s="35">
        <v>22</v>
      </c>
      <c r="F149" s="47"/>
      <c r="G149">
        <v>4.5999999999999996</v>
      </c>
      <c r="H149">
        <v>2.2000000000000002</v>
      </c>
      <c r="I149">
        <v>7.7</v>
      </c>
      <c r="J149">
        <f t="shared" si="13"/>
        <v>1169.8</v>
      </c>
      <c r="K149">
        <f t="shared" si="19"/>
        <v>90.199999999999974</v>
      </c>
      <c r="M149">
        <v>1.4</v>
      </c>
      <c r="N149">
        <v>0.3</v>
      </c>
      <c r="O149">
        <f t="shared" si="10"/>
        <v>1.0999999999999999</v>
      </c>
      <c r="P149">
        <f t="shared" si="15"/>
        <v>55.599999999999994</v>
      </c>
      <c r="Q149">
        <v>115</v>
      </c>
      <c r="R149" s="22">
        <v>1</v>
      </c>
      <c r="S149" s="23">
        <f t="shared" si="11"/>
        <v>0.3</v>
      </c>
      <c r="T149" s="23">
        <f t="shared" si="12"/>
        <v>1.0999999999999999</v>
      </c>
      <c r="U149" s="23">
        <f t="shared" si="16"/>
        <v>65.365833333333313</v>
      </c>
      <c r="W149">
        <v>82.7</v>
      </c>
      <c r="Y149">
        <f t="shared" si="14"/>
        <v>76865.200000000026</v>
      </c>
      <c r="Z149">
        <f t="shared" si="18"/>
        <v>9980.100000000004</v>
      </c>
      <c r="AA149" s="35">
        <v>8.0562711730705203</v>
      </c>
    </row>
    <row r="150" spans="1:27" x14ac:dyDescent="0.25">
      <c r="A150">
        <v>6280</v>
      </c>
      <c r="B150">
        <v>24170</v>
      </c>
      <c r="C150" s="8">
        <v>42728</v>
      </c>
      <c r="F150" s="47"/>
      <c r="G150">
        <v>7.8</v>
      </c>
      <c r="H150">
        <v>5.8</v>
      </c>
      <c r="I150">
        <v>9.1999999999999993</v>
      </c>
      <c r="J150">
        <f t="shared" si="13"/>
        <v>1177.5999999999999</v>
      </c>
      <c r="K150">
        <f t="shared" si="19"/>
        <v>97.999999999999972</v>
      </c>
      <c r="M150">
        <v>0</v>
      </c>
      <c r="N150">
        <v>0.4</v>
      </c>
      <c r="O150">
        <f t="shared" si="10"/>
        <v>-0.4</v>
      </c>
      <c r="P150">
        <f t="shared" si="15"/>
        <v>55.199999999999996</v>
      </c>
      <c r="Q150" s="22">
        <v>116</v>
      </c>
      <c r="R150" s="22">
        <v>1</v>
      </c>
      <c r="S150" s="23">
        <f t="shared" si="11"/>
        <v>0.4</v>
      </c>
      <c r="T150" s="23">
        <f t="shared" si="12"/>
        <v>-0.4</v>
      </c>
      <c r="U150" s="23">
        <f t="shared" si="16"/>
        <v>64.965833333333308</v>
      </c>
      <c r="W150">
        <v>264.89999999999998</v>
      </c>
      <c r="Y150">
        <f t="shared" si="14"/>
        <v>77130.10000000002</v>
      </c>
      <c r="Z150">
        <f t="shared" si="18"/>
        <v>10245.000000000004</v>
      </c>
      <c r="AA150" s="35">
        <v>8.0602318933491635</v>
      </c>
    </row>
    <row r="151" spans="1:27" x14ac:dyDescent="0.25">
      <c r="A151">
        <v>6280</v>
      </c>
      <c r="B151">
        <v>24170</v>
      </c>
      <c r="C151" s="8">
        <v>42729</v>
      </c>
      <c r="F151" s="47"/>
      <c r="G151">
        <v>9.1</v>
      </c>
      <c r="H151">
        <v>7.4</v>
      </c>
      <c r="I151">
        <v>10.199999999999999</v>
      </c>
      <c r="J151">
        <f t="shared" si="13"/>
        <v>1186.6999999999998</v>
      </c>
      <c r="K151">
        <f t="shared" si="19"/>
        <v>107.09999999999997</v>
      </c>
      <c r="M151">
        <v>0.4</v>
      </c>
      <c r="N151">
        <v>0.7</v>
      </c>
      <c r="O151">
        <f t="shared" si="10"/>
        <v>-0.29999999999999993</v>
      </c>
      <c r="P151">
        <f t="shared" si="15"/>
        <v>54.9</v>
      </c>
      <c r="Q151">
        <v>117</v>
      </c>
      <c r="R151" s="22">
        <v>1</v>
      </c>
      <c r="S151" s="23">
        <f t="shared" si="11"/>
        <v>0.7</v>
      </c>
      <c r="T151" s="23">
        <f t="shared" si="12"/>
        <v>-0.29999999999999993</v>
      </c>
      <c r="U151" s="23">
        <f t="shared" si="16"/>
        <v>64.66583333333331</v>
      </c>
      <c r="W151">
        <v>107.6</v>
      </c>
      <c r="Y151">
        <f t="shared" si="14"/>
        <v>77237.700000000026</v>
      </c>
      <c r="Z151">
        <f t="shared" si="18"/>
        <v>10352.600000000004</v>
      </c>
      <c r="AA151" s="35">
        <v>8.0656274270470103</v>
      </c>
    </row>
    <row r="152" spans="1:27" x14ac:dyDescent="0.25">
      <c r="A152">
        <v>6280</v>
      </c>
      <c r="B152">
        <v>24170</v>
      </c>
      <c r="C152" s="8">
        <v>42730</v>
      </c>
      <c r="F152" s="47"/>
      <c r="G152">
        <v>7.5</v>
      </c>
      <c r="H152">
        <v>6</v>
      </c>
      <c r="I152">
        <v>9.6999999999999993</v>
      </c>
      <c r="J152">
        <f t="shared" si="13"/>
        <v>1194.1999999999998</v>
      </c>
      <c r="K152">
        <f t="shared" si="19"/>
        <v>114.59999999999997</v>
      </c>
      <c r="M152">
        <v>0.2</v>
      </c>
      <c r="N152">
        <v>0.6</v>
      </c>
      <c r="O152">
        <f t="shared" si="10"/>
        <v>-0.39999999999999997</v>
      </c>
      <c r="P152">
        <f t="shared" si="15"/>
        <v>54.5</v>
      </c>
      <c r="Q152" s="22">
        <v>118</v>
      </c>
      <c r="R152" s="22">
        <v>1</v>
      </c>
      <c r="S152" s="23">
        <f t="shared" si="11"/>
        <v>0.6</v>
      </c>
      <c r="T152" s="23">
        <f t="shared" si="12"/>
        <v>-0.39999999999999997</v>
      </c>
      <c r="U152" s="23">
        <f t="shared" si="16"/>
        <v>64.265833333333305</v>
      </c>
      <c r="W152">
        <v>332.5</v>
      </c>
      <c r="Y152">
        <f t="shared" si="14"/>
        <v>77570.200000000026</v>
      </c>
      <c r="Z152">
        <f t="shared" si="18"/>
        <v>10685.100000000004</v>
      </c>
      <c r="AA152" s="35">
        <v>8.0724527684715515</v>
      </c>
    </row>
    <row r="153" spans="1:27" x14ac:dyDescent="0.25">
      <c r="A153">
        <v>6280</v>
      </c>
      <c r="B153">
        <v>24170</v>
      </c>
      <c r="C153" s="8">
        <v>42731</v>
      </c>
      <c r="E153" s="35">
        <v>23</v>
      </c>
      <c r="F153" s="47"/>
      <c r="G153">
        <v>1.9</v>
      </c>
      <c r="H153">
        <v>-1</v>
      </c>
      <c r="I153">
        <v>6.6</v>
      </c>
      <c r="J153">
        <f t="shared" si="13"/>
        <v>1196.0999999999999</v>
      </c>
      <c r="K153">
        <f t="shared" si="19"/>
        <v>116.49999999999997</v>
      </c>
      <c r="M153">
        <v>0.1</v>
      </c>
      <c r="N153">
        <v>0.7</v>
      </c>
      <c r="O153">
        <f t="shared" si="10"/>
        <v>-0.6</v>
      </c>
      <c r="P153">
        <f t="shared" si="15"/>
        <v>53.9</v>
      </c>
      <c r="Q153">
        <v>119</v>
      </c>
      <c r="R153" s="22">
        <v>1</v>
      </c>
      <c r="S153" s="23">
        <f t="shared" si="11"/>
        <v>0.7</v>
      </c>
      <c r="T153" s="23">
        <f t="shared" si="12"/>
        <v>-0.6</v>
      </c>
      <c r="U153" s="23">
        <f t="shared" si="16"/>
        <v>63.665833333333303</v>
      </c>
      <c r="W153">
        <v>507.1</v>
      </c>
      <c r="Y153">
        <f t="shared" si="14"/>
        <v>78077.300000000032</v>
      </c>
      <c r="Z153">
        <f t="shared" si="18"/>
        <v>11192.200000000004</v>
      </c>
      <c r="AA153" s="35">
        <v>8.0807016084638228</v>
      </c>
    </row>
    <row r="154" spans="1:27" x14ac:dyDescent="0.25">
      <c r="A154">
        <v>6280</v>
      </c>
      <c r="B154">
        <v>24170</v>
      </c>
      <c r="C154" s="8">
        <v>42732</v>
      </c>
      <c r="E154" s="35">
        <v>24</v>
      </c>
      <c r="F154" s="47"/>
      <c r="G154">
        <v>2</v>
      </c>
      <c r="H154">
        <v>-0.5</v>
      </c>
      <c r="I154">
        <v>6.1</v>
      </c>
      <c r="J154">
        <f t="shared" si="13"/>
        <v>1198.0999999999999</v>
      </c>
      <c r="K154">
        <f t="shared" si="19"/>
        <v>118.49999999999997</v>
      </c>
      <c r="M154">
        <v>0.1</v>
      </c>
      <c r="N154">
        <v>0.8</v>
      </c>
      <c r="O154">
        <f t="shared" si="10"/>
        <v>-0.70000000000000007</v>
      </c>
      <c r="P154">
        <f t="shared" si="15"/>
        <v>53.199999999999996</v>
      </c>
      <c r="Q154" s="22">
        <v>120</v>
      </c>
      <c r="R154" s="22">
        <v>1</v>
      </c>
      <c r="S154" s="23">
        <f t="shared" si="11"/>
        <v>0.8</v>
      </c>
      <c r="T154" s="23">
        <f t="shared" si="12"/>
        <v>-0.70000000000000007</v>
      </c>
      <c r="U154" s="23">
        <f t="shared" si="16"/>
        <v>62.9658333333333</v>
      </c>
      <c r="W154">
        <v>479.7</v>
      </c>
      <c r="Y154">
        <f t="shared" si="14"/>
        <v>78557.000000000029</v>
      </c>
      <c r="Z154">
        <f t="shared" si="18"/>
        <v>11671.900000000005</v>
      </c>
      <c r="AA154" s="35">
        <v>8.0903663562178636</v>
      </c>
    </row>
    <row r="155" spans="1:27" x14ac:dyDescent="0.25">
      <c r="A155">
        <v>6280</v>
      </c>
      <c r="B155">
        <v>24170</v>
      </c>
      <c r="C155" s="8">
        <v>42733</v>
      </c>
      <c r="E155" s="35">
        <v>25</v>
      </c>
      <c r="F155" s="47"/>
      <c r="G155">
        <v>-0.6</v>
      </c>
      <c r="H155">
        <v>-0.7</v>
      </c>
      <c r="I155">
        <v>0.3</v>
      </c>
      <c r="J155">
        <v>1198.0999999999999</v>
      </c>
      <c r="K155">
        <v>118.5</v>
      </c>
      <c r="M155">
        <v>0</v>
      </c>
      <c r="N155">
        <v>0.5</v>
      </c>
      <c r="O155">
        <f t="shared" si="10"/>
        <v>-0.5</v>
      </c>
      <c r="P155">
        <f t="shared" si="15"/>
        <v>52.699999999999996</v>
      </c>
      <c r="Q155">
        <v>121</v>
      </c>
      <c r="R155" s="22">
        <v>1</v>
      </c>
      <c r="S155" s="23">
        <f t="shared" si="11"/>
        <v>0.5</v>
      </c>
      <c r="T155" s="23">
        <f t="shared" si="12"/>
        <v>-0.5</v>
      </c>
      <c r="U155" s="23">
        <f t="shared" si="16"/>
        <v>62.4658333333333</v>
      </c>
      <c r="W155">
        <v>368.3</v>
      </c>
      <c r="Y155">
        <f t="shared" si="14"/>
        <v>78925.300000000032</v>
      </c>
      <c r="Z155">
        <f t="shared" si="18"/>
        <v>12040.200000000004</v>
      </c>
      <c r="AA155" s="35">
        <v>8.1014381653471901</v>
      </c>
    </row>
    <row r="156" spans="1:27" x14ac:dyDescent="0.25">
      <c r="A156">
        <v>6280</v>
      </c>
      <c r="B156">
        <v>24170</v>
      </c>
      <c r="C156" s="8">
        <v>42734</v>
      </c>
      <c r="E156" s="35">
        <v>26</v>
      </c>
      <c r="F156" s="47"/>
      <c r="G156">
        <v>-3.3</v>
      </c>
      <c r="H156">
        <v>-3.5</v>
      </c>
      <c r="I156">
        <v>-2.7</v>
      </c>
      <c r="J156">
        <v>1198.0999999999999</v>
      </c>
      <c r="K156">
        <v>118.5</v>
      </c>
      <c r="M156">
        <v>0</v>
      </c>
      <c r="N156">
        <v>0.3</v>
      </c>
      <c r="O156">
        <f t="shared" si="10"/>
        <v>-0.3</v>
      </c>
      <c r="P156">
        <f t="shared" si="15"/>
        <v>52.4</v>
      </c>
      <c r="Q156" s="22">
        <v>122</v>
      </c>
      <c r="R156" s="22">
        <v>1</v>
      </c>
      <c r="S156" s="23">
        <f t="shared" si="11"/>
        <v>0.3</v>
      </c>
      <c r="T156" s="23">
        <f t="shared" si="12"/>
        <v>-0.3</v>
      </c>
      <c r="U156" s="23">
        <f t="shared" si="16"/>
        <v>62.165833333333303</v>
      </c>
      <c r="W156">
        <v>203.9</v>
      </c>
      <c r="Y156">
        <f t="shared" si="14"/>
        <v>79129.200000000026</v>
      </c>
      <c r="Z156">
        <f t="shared" si="18"/>
        <v>12244.100000000004</v>
      </c>
      <c r="AA156" s="35">
        <v>8.1139069640075512</v>
      </c>
    </row>
    <row r="157" spans="1:27" x14ac:dyDescent="0.25">
      <c r="A157">
        <v>6280</v>
      </c>
      <c r="B157">
        <v>24170</v>
      </c>
      <c r="C157" s="8">
        <v>42735</v>
      </c>
      <c r="E157" s="35">
        <v>27</v>
      </c>
      <c r="F157" s="47"/>
      <c r="G157">
        <v>-3.8</v>
      </c>
      <c r="H157">
        <v>-4.4000000000000004</v>
      </c>
      <c r="I157">
        <v>-2.9</v>
      </c>
      <c r="J157">
        <v>1198.0999999999999</v>
      </c>
      <c r="K157">
        <v>118.5</v>
      </c>
      <c r="M157">
        <v>0</v>
      </c>
      <c r="N157">
        <v>0.2</v>
      </c>
      <c r="O157">
        <f t="shared" si="10"/>
        <v>-0.2</v>
      </c>
      <c r="P157">
        <f t="shared" si="15"/>
        <v>52.199999999999996</v>
      </c>
      <c r="Q157">
        <v>123</v>
      </c>
      <c r="R157" s="22">
        <v>1</v>
      </c>
      <c r="S157" s="23">
        <f t="shared" si="11"/>
        <v>0.2</v>
      </c>
      <c r="T157" s="23">
        <f t="shared" si="12"/>
        <v>-0.2</v>
      </c>
      <c r="U157" s="23">
        <f t="shared" si="16"/>
        <v>61.9658333333333</v>
      </c>
      <c r="W157">
        <v>97.9</v>
      </c>
      <c r="Y157">
        <f t="shared" si="14"/>
        <v>79227.10000000002</v>
      </c>
      <c r="Z157">
        <f t="shared" si="18"/>
        <v>12342.000000000004</v>
      </c>
      <c r="AA157" s="35">
        <v>8.1277614888582495</v>
      </c>
    </row>
    <row r="158" spans="1:27" x14ac:dyDescent="0.25">
      <c r="A158">
        <v>6280</v>
      </c>
      <c r="B158">
        <v>24170</v>
      </c>
      <c r="C158" s="8">
        <v>42736</v>
      </c>
      <c r="E158" s="35">
        <v>28</v>
      </c>
      <c r="F158" s="47"/>
      <c r="G158">
        <v>-3.6</v>
      </c>
      <c r="H158">
        <v>-6.4</v>
      </c>
      <c r="I158">
        <v>0</v>
      </c>
      <c r="J158">
        <v>1198.0999999999999</v>
      </c>
      <c r="K158">
        <v>118.5</v>
      </c>
      <c r="M158">
        <v>0.3</v>
      </c>
      <c r="N158">
        <v>0.2</v>
      </c>
      <c r="O158">
        <f t="shared" si="10"/>
        <v>9.9999999999999978E-2</v>
      </c>
      <c r="P158">
        <f t="shared" si="15"/>
        <v>52.3</v>
      </c>
      <c r="Q158" s="22">
        <v>124</v>
      </c>
      <c r="R158" s="22">
        <v>1</v>
      </c>
      <c r="S158" s="23">
        <f t="shared" si="11"/>
        <v>0.2</v>
      </c>
      <c r="T158" s="23">
        <f t="shared" si="12"/>
        <v>9.9999999999999978E-2</v>
      </c>
      <c r="U158" s="23">
        <f t="shared" si="16"/>
        <v>62.065833333333302</v>
      </c>
      <c r="W158">
        <v>94.1</v>
      </c>
      <c r="Y158">
        <f t="shared" si="14"/>
        <v>79321.200000000026</v>
      </c>
      <c r="Z158">
        <f t="shared" si="18"/>
        <v>12436.100000000004</v>
      </c>
      <c r="AA158" s="35">
        <v>8.1429893226200978</v>
      </c>
    </row>
    <row r="159" spans="1:27" x14ac:dyDescent="0.25">
      <c r="A159">
        <v>6280</v>
      </c>
      <c r="B159">
        <v>24170</v>
      </c>
      <c r="C159" s="8">
        <v>42737</v>
      </c>
      <c r="E159" s="35">
        <v>29</v>
      </c>
      <c r="F159" s="47"/>
      <c r="G159">
        <v>0.1</v>
      </c>
      <c r="H159">
        <v>-2.2000000000000002</v>
      </c>
      <c r="I159">
        <v>0.5</v>
      </c>
      <c r="J159">
        <f t="shared" si="13"/>
        <v>1198.1999999999998</v>
      </c>
      <c r="K159">
        <f t="shared" si="19"/>
        <v>118.6</v>
      </c>
      <c r="M159">
        <v>0.1</v>
      </c>
      <c r="N159">
        <v>0.1</v>
      </c>
      <c r="O159">
        <f t="shared" si="10"/>
        <v>0</v>
      </c>
      <c r="P159">
        <f t="shared" si="15"/>
        <v>52.3</v>
      </c>
      <c r="Q159">
        <v>125</v>
      </c>
      <c r="R159" s="22">
        <v>1</v>
      </c>
      <c r="S159" s="23">
        <f t="shared" si="11"/>
        <v>0.1</v>
      </c>
      <c r="T159" s="23">
        <f t="shared" si="12"/>
        <v>0</v>
      </c>
      <c r="U159" s="23">
        <f t="shared" si="16"/>
        <v>62.065833333333302</v>
      </c>
      <c r="W159">
        <v>51.4</v>
      </c>
      <c r="Y159">
        <f t="shared" si="14"/>
        <v>79372.60000000002</v>
      </c>
      <c r="Z159">
        <f t="shared" si="18"/>
        <v>12487.500000000004</v>
      </c>
      <c r="AA159" s="35">
        <v>8.1595769349666938</v>
      </c>
    </row>
    <row r="160" spans="1:27" x14ac:dyDescent="0.25">
      <c r="A160">
        <v>6280</v>
      </c>
      <c r="B160">
        <v>24170</v>
      </c>
      <c r="C160" s="8">
        <v>42738</v>
      </c>
      <c r="E160" s="35">
        <v>30</v>
      </c>
      <c r="F160" s="47"/>
      <c r="G160">
        <v>0.3</v>
      </c>
      <c r="H160">
        <v>-0.7</v>
      </c>
      <c r="I160">
        <v>1.2</v>
      </c>
      <c r="J160">
        <f t="shared" si="13"/>
        <v>1198.4999999999998</v>
      </c>
      <c r="K160">
        <f t="shared" si="19"/>
        <v>118.89999999999999</v>
      </c>
      <c r="M160">
        <v>0</v>
      </c>
      <c r="N160">
        <v>0.2</v>
      </c>
      <c r="O160">
        <f t="shared" si="10"/>
        <v>-0.2</v>
      </c>
      <c r="P160">
        <f t="shared" si="15"/>
        <v>52.099999999999994</v>
      </c>
      <c r="Q160" s="22">
        <v>126</v>
      </c>
      <c r="R160" s="22">
        <v>1</v>
      </c>
      <c r="S160" s="23">
        <f t="shared" si="11"/>
        <v>0.2</v>
      </c>
      <c r="T160" s="23">
        <f t="shared" si="12"/>
        <v>-0.2</v>
      </c>
      <c r="U160" s="23">
        <f t="shared" si="16"/>
        <v>61.865833333333299</v>
      </c>
      <c r="W160">
        <v>199.2</v>
      </c>
      <c r="Y160">
        <f t="shared" si="14"/>
        <v>79571.800000000017</v>
      </c>
      <c r="Z160">
        <f t="shared" si="18"/>
        <v>12686.700000000004</v>
      </c>
      <c r="AA160" s="35">
        <v>8.1775097264676422</v>
      </c>
    </row>
    <row r="161" spans="1:27" x14ac:dyDescent="0.25">
      <c r="A161">
        <v>6280</v>
      </c>
      <c r="B161">
        <v>24170</v>
      </c>
      <c r="C161" s="8">
        <v>42739</v>
      </c>
      <c r="E161" s="35">
        <v>31</v>
      </c>
      <c r="F161" s="47"/>
      <c r="G161">
        <v>2.7</v>
      </c>
      <c r="H161">
        <v>-0.2</v>
      </c>
      <c r="I161">
        <v>4.9000000000000004</v>
      </c>
      <c r="J161">
        <f t="shared" si="13"/>
        <v>1201.1999999999998</v>
      </c>
      <c r="K161">
        <f t="shared" si="19"/>
        <v>121.6</v>
      </c>
      <c r="M161">
        <v>0.3</v>
      </c>
      <c r="N161">
        <v>0.3</v>
      </c>
      <c r="O161">
        <f t="shared" si="10"/>
        <v>0</v>
      </c>
      <c r="P161">
        <f t="shared" si="15"/>
        <v>52.099999999999994</v>
      </c>
      <c r="Q161">
        <v>127</v>
      </c>
      <c r="R161" s="22">
        <v>1</v>
      </c>
      <c r="S161" s="23">
        <f t="shared" si="11"/>
        <v>0.3</v>
      </c>
      <c r="T161" s="23">
        <f t="shared" si="12"/>
        <v>0</v>
      </c>
      <c r="U161" s="23">
        <f t="shared" si="16"/>
        <v>61.865833333333299</v>
      </c>
      <c r="W161">
        <v>81.2</v>
      </c>
      <c r="Y161">
        <f t="shared" si="14"/>
        <v>79653.000000000015</v>
      </c>
      <c r="Z161">
        <f t="shared" si="18"/>
        <v>12767.900000000005</v>
      </c>
      <c r="AA161" s="35">
        <v>8.196772075287468</v>
      </c>
    </row>
    <row r="162" spans="1:27" x14ac:dyDescent="0.25">
      <c r="A162">
        <v>6280</v>
      </c>
      <c r="B162">
        <v>24170</v>
      </c>
      <c r="C162" s="8">
        <v>42740</v>
      </c>
      <c r="E162" s="35">
        <v>32</v>
      </c>
      <c r="F162" s="47"/>
      <c r="G162">
        <v>1.7</v>
      </c>
      <c r="H162">
        <v>0.5</v>
      </c>
      <c r="I162">
        <v>4.9000000000000004</v>
      </c>
      <c r="J162">
        <f t="shared" si="13"/>
        <v>1202.8999999999999</v>
      </c>
      <c r="K162">
        <f t="shared" si="19"/>
        <v>123.3</v>
      </c>
      <c r="M162">
        <v>0.1</v>
      </c>
      <c r="N162">
        <v>0.5</v>
      </c>
      <c r="O162">
        <f t="shared" si="10"/>
        <v>-0.4</v>
      </c>
      <c r="P162">
        <f t="shared" si="15"/>
        <v>51.699999999999996</v>
      </c>
      <c r="Q162" s="22">
        <v>128</v>
      </c>
      <c r="R162" s="22">
        <v>1</v>
      </c>
      <c r="S162" s="23">
        <f t="shared" si="11"/>
        <v>0.5</v>
      </c>
      <c r="T162" s="23">
        <f t="shared" si="12"/>
        <v>-0.4</v>
      </c>
      <c r="U162" s="23">
        <f t="shared" si="16"/>
        <v>61.4658333333333</v>
      </c>
      <c r="W162">
        <v>373.9</v>
      </c>
      <c r="Y162">
        <f t="shared" si="14"/>
        <v>80026.900000000009</v>
      </c>
      <c r="Z162">
        <f t="shared" si="18"/>
        <v>13141.800000000005</v>
      </c>
      <c r="AA162" s="35">
        <v>8.2173473863325412</v>
      </c>
    </row>
    <row r="163" spans="1:27" x14ac:dyDescent="0.25">
      <c r="A163">
        <v>6280</v>
      </c>
      <c r="B163">
        <v>24170</v>
      </c>
      <c r="C163" s="8">
        <v>42741</v>
      </c>
      <c r="E163" s="35">
        <v>33</v>
      </c>
      <c r="F163" s="47"/>
      <c r="G163">
        <v>-2.7</v>
      </c>
      <c r="H163">
        <v>-4.4000000000000004</v>
      </c>
      <c r="I163">
        <v>0.7</v>
      </c>
      <c r="J163">
        <v>1202.9000000000001</v>
      </c>
      <c r="K163">
        <v>123.3</v>
      </c>
      <c r="M163">
        <v>0</v>
      </c>
      <c r="N163">
        <v>0.5</v>
      </c>
      <c r="O163">
        <f t="shared" si="10"/>
        <v>-0.5</v>
      </c>
      <c r="P163">
        <f t="shared" si="15"/>
        <v>51.199999999999996</v>
      </c>
      <c r="Q163">
        <v>129</v>
      </c>
      <c r="R163" s="22">
        <v>1</v>
      </c>
      <c r="S163" s="23">
        <f t="shared" si="11"/>
        <v>0.5</v>
      </c>
      <c r="T163" s="23">
        <f t="shared" si="12"/>
        <v>-0.5</v>
      </c>
      <c r="U163" s="23">
        <f t="shared" si="16"/>
        <v>60.9658333333333</v>
      </c>
      <c r="W163">
        <v>518.1</v>
      </c>
      <c r="Y163">
        <f t="shared" si="14"/>
        <v>80545.000000000015</v>
      </c>
      <c r="Z163">
        <f t="shared" si="18"/>
        <v>13659.900000000005</v>
      </c>
      <c r="AA163" s="35">
        <v>8.2392181425301754</v>
      </c>
    </row>
    <row r="164" spans="1:27" x14ac:dyDescent="0.25">
      <c r="A164">
        <v>6280</v>
      </c>
      <c r="B164">
        <v>24170</v>
      </c>
      <c r="C164" s="8">
        <v>42742</v>
      </c>
      <c r="E164" s="35">
        <v>34</v>
      </c>
      <c r="F164" s="47"/>
      <c r="G164">
        <v>-1.9</v>
      </c>
      <c r="H164">
        <v>-5.8</v>
      </c>
      <c r="I164">
        <v>2</v>
      </c>
      <c r="J164">
        <v>1202.9000000000001</v>
      </c>
      <c r="K164">
        <v>123.3</v>
      </c>
      <c r="M164">
        <v>0.1</v>
      </c>
      <c r="N164">
        <v>0.5</v>
      </c>
      <c r="O164">
        <f t="shared" ref="O164:O227" si="20">M164-N164</f>
        <v>-0.4</v>
      </c>
      <c r="P164">
        <f t="shared" si="15"/>
        <v>50.8</v>
      </c>
      <c r="Q164" s="22">
        <v>130</v>
      </c>
      <c r="R164" s="22">
        <v>1</v>
      </c>
      <c r="S164" s="23">
        <f t="shared" ref="S164:S227" si="21">R164*N164</f>
        <v>0.5</v>
      </c>
      <c r="T164" s="23">
        <f t="shared" ref="T164:T227" si="22">M164-S164</f>
        <v>-0.4</v>
      </c>
      <c r="U164" s="23">
        <f t="shared" si="16"/>
        <v>60.565833333333302</v>
      </c>
      <c r="W164">
        <v>95</v>
      </c>
      <c r="Y164">
        <f t="shared" si="14"/>
        <v>80640.000000000015</v>
      </c>
      <c r="Z164">
        <f t="shared" si="18"/>
        <v>13754.900000000005</v>
      </c>
      <c r="AA164" s="35">
        <v>8.2623659579193873</v>
      </c>
    </row>
    <row r="165" spans="1:27" x14ac:dyDescent="0.25">
      <c r="A165">
        <v>6280</v>
      </c>
      <c r="B165">
        <v>24170</v>
      </c>
      <c r="C165" s="8">
        <v>42743</v>
      </c>
      <c r="E165" s="35">
        <v>35</v>
      </c>
      <c r="F165" s="47"/>
      <c r="G165">
        <v>4.0999999999999996</v>
      </c>
      <c r="H165">
        <v>0</v>
      </c>
      <c r="I165">
        <v>6.9</v>
      </c>
      <c r="J165">
        <f t="shared" ref="J165:J228" si="23">J164+G165</f>
        <v>1207</v>
      </c>
      <c r="K165">
        <f t="shared" si="19"/>
        <v>127.39999999999999</v>
      </c>
      <c r="M165">
        <v>0.5</v>
      </c>
      <c r="N165">
        <v>0.3</v>
      </c>
      <c r="O165">
        <f t="shared" si="20"/>
        <v>0.2</v>
      </c>
      <c r="P165">
        <f t="shared" si="15"/>
        <v>51</v>
      </c>
      <c r="Q165">
        <v>131</v>
      </c>
      <c r="R165" s="22">
        <v>1</v>
      </c>
      <c r="S165" s="23">
        <f t="shared" si="21"/>
        <v>0.3</v>
      </c>
      <c r="T165" s="23">
        <f t="shared" si="22"/>
        <v>0.2</v>
      </c>
      <c r="U165" s="23">
        <f t="shared" si="16"/>
        <v>60.765833333333305</v>
      </c>
      <c r="W165">
        <v>331.4</v>
      </c>
      <c r="Y165">
        <f t="shared" ref="Y165:Y228" si="24">Y164+W165</f>
        <v>80971.400000000009</v>
      </c>
      <c r="Z165">
        <f t="shared" si="18"/>
        <v>14086.300000000005</v>
      </c>
      <c r="AA165" s="35">
        <v>8.2867716322312592</v>
      </c>
    </row>
    <row r="166" spans="1:27" x14ac:dyDescent="0.25">
      <c r="A166">
        <v>6280</v>
      </c>
      <c r="B166">
        <v>24170</v>
      </c>
      <c r="C166" s="8">
        <v>42744</v>
      </c>
      <c r="F166" s="47"/>
      <c r="G166">
        <v>5.6</v>
      </c>
      <c r="H166">
        <v>3.7</v>
      </c>
      <c r="I166">
        <v>7.1</v>
      </c>
      <c r="J166">
        <f t="shared" si="23"/>
        <v>1212.5999999999999</v>
      </c>
      <c r="K166">
        <f t="shared" si="19"/>
        <v>133</v>
      </c>
      <c r="M166">
        <v>7.4</v>
      </c>
      <c r="N166">
        <v>0.3</v>
      </c>
      <c r="O166">
        <f t="shared" si="20"/>
        <v>7.1000000000000005</v>
      </c>
      <c r="P166">
        <f t="shared" si="15"/>
        <v>58.1</v>
      </c>
      <c r="Q166" s="22">
        <v>132</v>
      </c>
      <c r="R166" s="22">
        <v>1</v>
      </c>
      <c r="S166" s="23">
        <f t="shared" si="21"/>
        <v>0.3</v>
      </c>
      <c r="T166" s="23">
        <f t="shared" si="22"/>
        <v>7.1000000000000005</v>
      </c>
      <c r="U166" s="23">
        <f t="shared" si="16"/>
        <v>67.865833333333299</v>
      </c>
      <c r="W166">
        <v>107.4</v>
      </c>
      <c r="Y166">
        <f t="shared" si="24"/>
        <v>81078.8</v>
      </c>
      <c r="Z166">
        <f t="shared" si="18"/>
        <v>14193.700000000004</v>
      </c>
      <c r="AA166" s="35">
        <v>8.3124152066384323</v>
      </c>
    </row>
    <row r="167" spans="1:27" x14ac:dyDescent="0.25">
      <c r="A167">
        <v>6280</v>
      </c>
      <c r="B167">
        <v>24170</v>
      </c>
      <c r="C167" s="8">
        <v>42745</v>
      </c>
      <c r="E167" s="35">
        <v>36</v>
      </c>
      <c r="F167" s="47"/>
      <c r="G167">
        <v>4.9000000000000004</v>
      </c>
      <c r="H167">
        <v>2.5</v>
      </c>
      <c r="I167">
        <v>6.4</v>
      </c>
      <c r="J167">
        <f t="shared" si="23"/>
        <v>1217.5</v>
      </c>
      <c r="K167">
        <f t="shared" si="19"/>
        <v>137.9</v>
      </c>
      <c r="M167">
        <v>0.3</v>
      </c>
      <c r="N167">
        <v>0.2</v>
      </c>
      <c r="O167">
        <f t="shared" si="20"/>
        <v>9.9999999999999978E-2</v>
      </c>
      <c r="P167">
        <f t="shared" si="15"/>
        <v>58.2</v>
      </c>
      <c r="Q167">
        <v>133</v>
      </c>
      <c r="R167" s="22">
        <v>1</v>
      </c>
      <c r="S167" s="23">
        <f t="shared" si="21"/>
        <v>0.2</v>
      </c>
      <c r="T167" s="23">
        <f t="shared" si="22"/>
        <v>9.9999999999999978E-2</v>
      </c>
      <c r="U167" s="23">
        <f t="shared" si="16"/>
        <v>67.965833333333293</v>
      </c>
      <c r="W167">
        <v>165.1</v>
      </c>
      <c r="Y167">
        <f t="shared" si="24"/>
        <v>81243.900000000009</v>
      </c>
      <c r="Z167">
        <f t="shared" si="18"/>
        <v>14358.800000000005</v>
      </c>
      <c r="AA167" s="35">
        <v>8.3392760203578682</v>
      </c>
    </row>
    <row r="168" spans="1:27" x14ac:dyDescent="0.25">
      <c r="A168">
        <v>6280</v>
      </c>
      <c r="B168">
        <v>24170</v>
      </c>
      <c r="C168" s="8">
        <v>42746</v>
      </c>
      <c r="F168" s="47"/>
      <c r="G168">
        <v>6.9</v>
      </c>
      <c r="H168">
        <v>4.5999999999999996</v>
      </c>
      <c r="I168">
        <v>9.1</v>
      </c>
      <c r="J168">
        <f t="shared" si="23"/>
        <v>1224.4000000000001</v>
      </c>
      <c r="K168">
        <f t="shared" si="19"/>
        <v>144.80000000000001</v>
      </c>
      <c r="M168">
        <v>0.9</v>
      </c>
      <c r="N168">
        <v>0.5</v>
      </c>
      <c r="O168">
        <f t="shared" si="20"/>
        <v>0.4</v>
      </c>
      <c r="P168">
        <f t="shared" si="15"/>
        <v>58.6</v>
      </c>
      <c r="Q168" s="22">
        <v>134</v>
      </c>
      <c r="R168" s="22">
        <v>1</v>
      </c>
      <c r="S168" s="23">
        <f t="shared" si="21"/>
        <v>0.5</v>
      </c>
      <c r="T168" s="23">
        <f t="shared" si="22"/>
        <v>0.4</v>
      </c>
      <c r="U168" s="23">
        <f t="shared" si="16"/>
        <v>68.365833333333299</v>
      </c>
      <c r="W168">
        <v>161.6</v>
      </c>
      <c r="Y168">
        <f t="shared" si="24"/>
        <v>81405.500000000015</v>
      </c>
      <c r="Z168">
        <f t="shared" si="18"/>
        <v>14520.400000000005</v>
      </c>
      <c r="AA168" s="35">
        <v>8.3673327677981604</v>
      </c>
    </row>
    <row r="169" spans="1:27" x14ac:dyDescent="0.25">
      <c r="A169">
        <v>6280</v>
      </c>
      <c r="B169">
        <v>24170</v>
      </c>
      <c r="C169" s="8">
        <v>42747</v>
      </c>
      <c r="F169" s="47"/>
      <c r="G169">
        <v>5.9</v>
      </c>
      <c r="H169">
        <v>5.8</v>
      </c>
      <c r="I169">
        <v>6.8</v>
      </c>
      <c r="J169">
        <f t="shared" si="23"/>
        <v>1230.3000000000002</v>
      </c>
      <c r="K169">
        <f t="shared" si="19"/>
        <v>150.70000000000002</v>
      </c>
      <c r="M169">
        <v>5.0999999999999996</v>
      </c>
      <c r="N169">
        <v>0.9</v>
      </c>
      <c r="O169">
        <f t="shared" si="20"/>
        <v>4.1999999999999993</v>
      </c>
      <c r="P169">
        <f t="shared" ref="P169:P232" si="25">P168+O169</f>
        <v>62.8</v>
      </c>
      <c r="Q169">
        <v>135</v>
      </c>
      <c r="R169" s="22">
        <v>1</v>
      </c>
      <c r="S169" s="23">
        <f t="shared" si="21"/>
        <v>0.9</v>
      </c>
      <c r="T169" s="23">
        <f t="shared" si="22"/>
        <v>4.1999999999999993</v>
      </c>
      <c r="U169" s="23">
        <f t="shared" ref="U169:U232" si="26">MIN(U168+T169,197.4)</f>
        <v>72.565833333333302</v>
      </c>
      <c r="W169">
        <v>113.6</v>
      </c>
      <c r="Y169">
        <f t="shared" si="24"/>
        <v>81519.10000000002</v>
      </c>
      <c r="Z169">
        <f t="shared" si="18"/>
        <v>14634.000000000005</v>
      </c>
      <c r="AA169" s="35">
        <v>8.3965635559525147</v>
      </c>
    </row>
    <row r="170" spans="1:27" x14ac:dyDescent="0.25">
      <c r="A170">
        <v>6280</v>
      </c>
      <c r="B170">
        <v>24170</v>
      </c>
      <c r="C170" s="8">
        <v>42748</v>
      </c>
      <c r="E170" s="35">
        <v>37</v>
      </c>
      <c r="F170" s="47"/>
      <c r="G170">
        <v>3.1</v>
      </c>
      <c r="H170">
        <v>1.8</v>
      </c>
      <c r="I170">
        <v>4.0999999999999996</v>
      </c>
      <c r="J170">
        <f t="shared" si="23"/>
        <v>1233.4000000000001</v>
      </c>
      <c r="K170">
        <f t="shared" si="19"/>
        <v>153.80000000000001</v>
      </c>
      <c r="M170">
        <v>2.2000000000000002</v>
      </c>
      <c r="N170">
        <v>0.8</v>
      </c>
      <c r="O170">
        <f t="shared" si="20"/>
        <v>1.4000000000000001</v>
      </c>
      <c r="P170">
        <f t="shared" si="25"/>
        <v>64.2</v>
      </c>
      <c r="Q170" s="22">
        <v>136</v>
      </c>
      <c r="R170" s="22">
        <v>1</v>
      </c>
      <c r="S170" s="23">
        <f t="shared" si="21"/>
        <v>0.8</v>
      </c>
      <c r="T170" s="23">
        <f t="shared" si="22"/>
        <v>1.4000000000000001</v>
      </c>
      <c r="U170" s="23">
        <f t="shared" si="26"/>
        <v>73.965833333333308</v>
      </c>
      <c r="W170">
        <v>339.7</v>
      </c>
      <c r="Y170">
        <f t="shared" si="24"/>
        <v>81858.800000000017</v>
      </c>
      <c r="Z170">
        <f t="shared" si="18"/>
        <v>14973.700000000006</v>
      </c>
      <c r="AA170" s="35">
        <v>8.4269459617503557</v>
      </c>
    </row>
    <row r="171" spans="1:27" x14ac:dyDescent="0.25">
      <c r="A171">
        <v>6280</v>
      </c>
      <c r="B171">
        <v>24170</v>
      </c>
      <c r="C171" s="8">
        <v>42749</v>
      </c>
      <c r="E171" s="35">
        <v>38</v>
      </c>
      <c r="F171" s="47"/>
      <c r="G171">
        <v>2</v>
      </c>
      <c r="H171">
        <v>0.1</v>
      </c>
      <c r="I171">
        <v>3.6</v>
      </c>
      <c r="J171">
        <f t="shared" si="23"/>
        <v>1235.4000000000001</v>
      </c>
      <c r="K171">
        <f t="shared" si="19"/>
        <v>155.80000000000001</v>
      </c>
      <c r="M171">
        <v>0.4</v>
      </c>
      <c r="N171">
        <v>0.5</v>
      </c>
      <c r="O171">
        <f t="shared" si="20"/>
        <v>-9.9999999999999978E-2</v>
      </c>
      <c r="P171">
        <f t="shared" si="25"/>
        <v>64.100000000000009</v>
      </c>
      <c r="Q171">
        <v>137</v>
      </c>
      <c r="R171" s="22">
        <v>1</v>
      </c>
      <c r="S171" s="23">
        <f t="shared" si="21"/>
        <v>0.5</v>
      </c>
      <c r="T171" s="23">
        <f t="shared" si="22"/>
        <v>-9.9999999999999978E-2</v>
      </c>
      <c r="U171" s="23">
        <f t="shared" si="26"/>
        <v>73.865833333333313</v>
      </c>
      <c r="W171">
        <v>142.4</v>
      </c>
      <c r="Y171">
        <f t="shared" si="24"/>
        <v>82001.200000000012</v>
      </c>
      <c r="Z171">
        <f t="shared" si="18"/>
        <v>15116.100000000006</v>
      </c>
      <c r="AA171" s="35">
        <v>8.4584570890944395</v>
      </c>
    </row>
    <row r="172" spans="1:27" x14ac:dyDescent="0.25">
      <c r="A172">
        <v>6280</v>
      </c>
      <c r="B172">
        <v>24170</v>
      </c>
      <c r="C172" s="8">
        <v>42750</v>
      </c>
      <c r="E172" s="35">
        <v>39</v>
      </c>
      <c r="F172" s="47"/>
      <c r="G172">
        <v>0.3</v>
      </c>
      <c r="H172">
        <v>-1.2</v>
      </c>
      <c r="I172">
        <v>2.2000000000000002</v>
      </c>
      <c r="J172">
        <f t="shared" si="23"/>
        <v>1235.7</v>
      </c>
      <c r="K172">
        <f t="shared" si="19"/>
        <v>156.10000000000002</v>
      </c>
      <c r="M172">
        <v>1.4</v>
      </c>
      <c r="N172">
        <v>0.3</v>
      </c>
      <c r="O172">
        <f t="shared" si="20"/>
        <v>1.0999999999999999</v>
      </c>
      <c r="P172">
        <f t="shared" si="25"/>
        <v>65.2</v>
      </c>
      <c r="Q172" s="22">
        <v>138</v>
      </c>
      <c r="R172" s="22">
        <v>1</v>
      </c>
      <c r="S172" s="23">
        <f t="shared" si="21"/>
        <v>0.3</v>
      </c>
      <c r="T172" s="23">
        <f t="shared" si="22"/>
        <v>1.0999999999999999</v>
      </c>
      <c r="U172" s="23">
        <f t="shared" si="26"/>
        <v>74.965833333333308</v>
      </c>
      <c r="W172">
        <v>183</v>
      </c>
      <c r="Y172">
        <f t="shared" si="24"/>
        <v>82184.200000000012</v>
      </c>
      <c r="Z172">
        <f t="shared" si="18"/>
        <v>15299.100000000006</v>
      </c>
      <c r="AA172" s="35">
        <v>8.4910736253257895</v>
      </c>
    </row>
    <row r="173" spans="1:27" x14ac:dyDescent="0.25">
      <c r="A173">
        <v>6280</v>
      </c>
      <c r="B173">
        <v>24170</v>
      </c>
      <c r="C173" s="8">
        <v>42751</v>
      </c>
      <c r="E173" s="35">
        <v>40</v>
      </c>
      <c r="F173" s="47"/>
      <c r="G173">
        <v>0.9</v>
      </c>
      <c r="H173">
        <v>0.1</v>
      </c>
      <c r="I173">
        <v>2</v>
      </c>
      <c r="J173">
        <f t="shared" si="23"/>
        <v>1236.6000000000001</v>
      </c>
      <c r="K173">
        <f t="shared" si="19"/>
        <v>157.00000000000003</v>
      </c>
      <c r="M173">
        <v>0</v>
      </c>
      <c r="N173">
        <v>0.2</v>
      </c>
      <c r="O173">
        <f t="shared" si="20"/>
        <v>-0.2</v>
      </c>
      <c r="P173">
        <f t="shared" si="25"/>
        <v>65</v>
      </c>
      <c r="Q173">
        <v>139</v>
      </c>
      <c r="R173" s="22">
        <v>1</v>
      </c>
      <c r="S173" s="23">
        <f t="shared" si="21"/>
        <v>0.2</v>
      </c>
      <c r="T173" s="23">
        <f t="shared" si="22"/>
        <v>-0.2</v>
      </c>
      <c r="U173" s="23">
        <f t="shared" si="26"/>
        <v>74.765833333333305</v>
      </c>
      <c r="W173">
        <v>161.19999999999999</v>
      </c>
      <c r="Y173">
        <f t="shared" si="24"/>
        <v>82345.400000000009</v>
      </c>
      <c r="Z173">
        <f t="shared" si="18"/>
        <v>15460.300000000007</v>
      </c>
      <c r="AA173" s="35">
        <v>8.5247718968757109</v>
      </c>
    </row>
    <row r="174" spans="1:27" x14ac:dyDescent="0.25">
      <c r="A174">
        <v>6280</v>
      </c>
      <c r="B174">
        <v>24170</v>
      </c>
      <c r="C174" s="8">
        <v>42752</v>
      </c>
      <c r="E174" s="35">
        <v>41</v>
      </c>
      <c r="F174" s="47"/>
      <c r="G174">
        <v>-2.4</v>
      </c>
      <c r="H174">
        <v>-3.3</v>
      </c>
      <c r="I174">
        <v>-1.3</v>
      </c>
      <c r="J174">
        <v>1236.5999999999999</v>
      </c>
      <c r="K174">
        <v>157</v>
      </c>
      <c r="M174">
        <v>0</v>
      </c>
      <c r="N174">
        <v>0.4</v>
      </c>
      <c r="O174">
        <f t="shared" si="20"/>
        <v>-0.4</v>
      </c>
      <c r="P174">
        <f t="shared" si="25"/>
        <v>64.599999999999994</v>
      </c>
      <c r="Q174" s="22">
        <v>140</v>
      </c>
      <c r="R174" s="22">
        <v>1</v>
      </c>
      <c r="S174" s="23">
        <f t="shared" si="21"/>
        <v>0.4</v>
      </c>
      <c r="T174" s="23">
        <f t="shared" si="22"/>
        <v>-0.4</v>
      </c>
      <c r="U174" s="23">
        <f t="shared" si="26"/>
        <v>74.365833333333299</v>
      </c>
      <c r="W174">
        <v>493.2</v>
      </c>
      <c r="Y174">
        <f t="shared" si="24"/>
        <v>82838.600000000006</v>
      </c>
      <c r="Z174">
        <f t="shared" si="18"/>
        <v>15953.500000000007</v>
      </c>
      <c r="AA174" s="35">
        <v>8.5595279238819089</v>
      </c>
    </row>
    <row r="175" spans="1:27" x14ac:dyDescent="0.25">
      <c r="A175">
        <v>6280</v>
      </c>
      <c r="B175">
        <v>24170</v>
      </c>
      <c r="C175" s="8">
        <v>42753</v>
      </c>
      <c r="E175" s="35">
        <v>42</v>
      </c>
      <c r="F175" s="47"/>
      <c r="G175">
        <v>-2.5</v>
      </c>
      <c r="H175">
        <v>-4.4000000000000004</v>
      </c>
      <c r="I175">
        <v>-1</v>
      </c>
      <c r="J175">
        <v>1236.5999999999999</v>
      </c>
      <c r="K175">
        <v>157</v>
      </c>
      <c r="M175">
        <v>0</v>
      </c>
      <c r="N175">
        <v>0.8</v>
      </c>
      <c r="O175">
        <f t="shared" si="20"/>
        <v>-0.8</v>
      </c>
      <c r="P175">
        <f t="shared" si="25"/>
        <v>63.8</v>
      </c>
      <c r="Q175">
        <v>141</v>
      </c>
      <c r="R175" s="22">
        <v>1</v>
      </c>
      <c r="S175" s="23">
        <f t="shared" si="21"/>
        <v>0.8</v>
      </c>
      <c r="T175" s="23">
        <f t="shared" si="22"/>
        <v>-0.8</v>
      </c>
      <c r="U175" s="23">
        <f t="shared" si="26"/>
        <v>73.565833333333302</v>
      </c>
      <c r="W175">
        <v>780.6</v>
      </c>
      <c r="Y175">
        <f t="shared" si="24"/>
        <v>83619.200000000012</v>
      </c>
      <c r="Z175">
        <f t="shared" si="18"/>
        <v>16734.100000000006</v>
      </c>
      <c r="AA175" s="35">
        <v>8.5953174735645472</v>
      </c>
    </row>
    <row r="176" spans="1:27" x14ac:dyDescent="0.25">
      <c r="A176">
        <v>6280</v>
      </c>
      <c r="B176">
        <v>24170</v>
      </c>
      <c r="C176" s="8">
        <v>42754</v>
      </c>
      <c r="E176" s="35">
        <v>43</v>
      </c>
      <c r="F176" s="47"/>
      <c r="G176">
        <v>-3.2</v>
      </c>
      <c r="H176">
        <v>-4.8</v>
      </c>
      <c r="I176">
        <v>-1.1000000000000001</v>
      </c>
      <c r="J176">
        <v>1236.5999999999999</v>
      </c>
      <c r="K176">
        <v>157</v>
      </c>
      <c r="M176">
        <v>0</v>
      </c>
      <c r="N176">
        <v>0.7</v>
      </c>
      <c r="O176">
        <f t="shared" si="20"/>
        <v>-0.7</v>
      </c>
      <c r="P176">
        <f t="shared" si="25"/>
        <v>63.099999999999994</v>
      </c>
      <c r="Q176" s="22">
        <v>142</v>
      </c>
      <c r="R176" s="22">
        <v>1</v>
      </c>
      <c r="S176" s="23">
        <f t="shared" si="21"/>
        <v>0.7</v>
      </c>
      <c r="T176" s="23">
        <f t="shared" si="22"/>
        <v>-0.7</v>
      </c>
      <c r="U176" s="23">
        <f t="shared" si="26"/>
        <v>72.865833333333299</v>
      </c>
      <c r="W176">
        <v>811.6</v>
      </c>
      <c r="Y176">
        <f t="shared" si="24"/>
        <v>84430.800000000017</v>
      </c>
      <c r="Z176">
        <f t="shared" si="18"/>
        <v>17545.700000000004</v>
      </c>
      <c r="AA176" s="35">
        <v>8.6321161121772132</v>
      </c>
    </row>
    <row r="177" spans="1:28" x14ac:dyDescent="0.25">
      <c r="A177">
        <v>6280</v>
      </c>
      <c r="B177">
        <v>24170</v>
      </c>
      <c r="C177" s="8">
        <v>42755</v>
      </c>
      <c r="E177" s="35">
        <v>44</v>
      </c>
      <c r="F177" s="47"/>
      <c r="G177">
        <v>-3.6</v>
      </c>
      <c r="H177">
        <v>-5.8</v>
      </c>
      <c r="I177">
        <v>-0.6</v>
      </c>
      <c r="J177">
        <v>1236.5999999999999</v>
      </c>
      <c r="K177">
        <v>157</v>
      </c>
      <c r="M177">
        <v>0</v>
      </c>
      <c r="N177">
        <v>0.7</v>
      </c>
      <c r="O177">
        <f t="shared" si="20"/>
        <v>-0.7</v>
      </c>
      <c r="P177">
        <f t="shared" si="25"/>
        <v>62.399999999999991</v>
      </c>
      <c r="Q177">
        <v>143</v>
      </c>
      <c r="R177" s="22">
        <v>1</v>
      </c>
      <c r="S177" s="23">
        <f t="shared" si="21"/>
        <v>0.7</v>
      </c>
      <c r="T177" s="23">
        <f t="shared" si="22"/>
        <v>-0.7</v>
      </c>
      <c r="U177" s="23">
        <f t="shared" si="26"/>
        <v>72.165833333333296</v>
      </c>
      <c r="W177">
        <v>800.8</v>
      </c>
      <c r="Y177">
        <f t="shared" si="24"/>
        <v>85231.60000000002</v>
      </c>
      <c r="Z177">
        <f t="shared" si="18"/>
        <v>18346.500000000004</v>
      </c>
      <c r="AA177" s="35">
        <v>8.6698992553671506</v>
      </c>
    </row>
    <row r="178" spans="1:28" x14ac:dyDescent="0.25">
      <c r="A178">
        <v>6280</v>
      </c>
      <c r="B178">
        <v>24170</v>
      </c>
      <c r="C178" s="8">
        <v>42756</v>
      </c>
      <c r="E178" s="35">
        <v>45</v>
      </c>
      <c r="F178" s="47"/>
      <c r="G178">
        <v>-3.1</v>
      </c>
      <c r="H178">
        <v>-7.1</v>
      </c>
      <c r="I178">
        <v>0.6</v>
      </c>
      <c r="J178">
        <v>1236.5999999999999</v>
      </c>
      <c r="K178">
        <v>157</v>
      </c>
      <c r="M178">
        <v>0</v>
      </c>
      <c r="N178">
        <v>0.6</v>
      </c>
      <c r="O178">
        <f t="shared" si="20"/>
        <v>-0.6</v>
      </c>
      <c r="P178">
        <f t="shared" si="25"/>
        <v>61.79999999999999</v>
      </c>
      <c r="Q178" s="22">
        <v>144</v>
      </c>
      <c r="R178" s="22">
        <v>1</v>
      </c>
      <c r="S178" s="23">
        <f t="shared" si="21"/>
        <v>0.6</v>
      </c>
      <c r="T178" s="23">
        <f t="shared" si="22"/>
        <v>-0.6</v>
      </c>
      <c r="U178" s="23">
        <f t="shared" si="26"/>
        <v>71.565833333333302</v>
      </c>
      <c r="W178">
        <v>722.5</v>
      </c>
      <c r="Y178">
        <f t="shared" si="24"/>
        <v>85954.10000000002</v>
      </c>
      <c r="Z178">
        <f t="shared" si="18"/>
        <v>19069.000000000004</v>
      </c>
      <c r="AA178" s="35">
        <v>8.7086422167986814</v>
      </c>
    </row>
    <row r="179" spans="1:28" x14ac:dyDescent="0.25">
      <c r="A179">
        <v>6280</v>
      </c>
      <c r="B179">
        <v>24170</v>
      </c>
      <c r="C179" s="8">
        <v>42757</v>
      </c>
      <c r="E179" s="35">
        <v>46</v>
      </c>
      <c r="F179" s="47"/>
      <c r="G179">
        <v>-2.1</v>
      </c>
      <c r="H179">
        <v>-6.3</v>
      </c>
      <c r="I179">
        <v>2.2000000000000002</v>
      </c>
      <c r="J179">
        <v>1236.5999999999999</v>
      </c>
      <c r="K179">
        <v>157</v>
      </c>
      <c r="M179">
        <v>0</v>
      </c>
      <c r="N179">
        <v>0.6</v>
      </c>
      <c r="O179">
        <f t="shared" si="20"/>
        <v>-0.6</v>
      </c>
      <c r="P179">
        <f t="shared" si="25"/>
        <v>61.199999999999989</v>
      </c>
      <c r="Q179">
        <v>145</v>
      </c>
      <c r="R179" s="22">
        <v>1</v>
      </c>
      <c r="S179" s="23">
        <f t="shared" si="21"/>
        <v>0.6</v>
      </c>
      <c r="T179" s="23">
        <f t="shared" si="22"/>
        <v>-0.6</v>
      </c>
      <c r="U179" s="23">
        <f t="shared" si="26"/>
        <v>70.965833333333308</v>
      </c>
      <c r="W179">
        <v>649</v>
      </c>
      <c r="Y179">
        <f t="shared" si="24"/>
        <v>86603.10000000002</v>
      </c>
      <c r="Z179">
        <f t="shared" si="18"/>
        <v>19718.000000000004</v>
      </c>
      <c r="AA179" s="35">
        <v>8.7483202549129331</v>
      </c>
    </row>
    <row r="180" spans="1:28" x14ac:dyDescent="0.25">
      <c r="A180">
        <v>6280</v>
      </c>
      <c r="B180">
        <v>24170</v>
      </c>
      <c r="C180" s="8">
        <v>42758</v>
      </c>
      <c r="E180" s="35">
        <v>47</v>
      </c>
      <c r="F180" s="47"/>
      <c r="G180">
        <v>-2.7</v>
      </c>
      <c r="H180">
        <v>-4.2</v>
      </c>
      <c r="I180">
        <v>-1.3</v>
      </c>
      <c r="J180">
        <v>1236.5999999999999</v>
      </c>
      <c r="K180">
        <v>157</v>
      </c>
      <c r="M180">
        <v>0</v>
      </c>
      <c r="N180">
        <v>0.4</v>
      </c>
      <c r="O180">
        <f t="shared" si="20"/>
        <v>-0.4</v>
      </c>
      <c r="P180">
        <f t="shared" si="25"/>
        <v>60.79999999999999</v>
      </c>
      <c r="Q180" s="22">
        <v>146</v>
      </c>
      <c r="R180" s="22">
        <v>1</v>
      </c>
      <c r="S180" s="23">
        <f t="shared" si="21"/>
        <v>0.4</v>
      </c>
      <c r="T180" s="23">
        <f t="shared" si="22"/>
        <v>-0.4</v>
      </c>
      <c r="U180" s="23">
        <f t="shared" si="26"/>
        <v>70.565833333333302</v>
      </c>
      <c r="W180">
        <v>436.5</v>
      </c>
      <c r="Y180">
        <f t="shared" si="24"/>
        <v>87039.60000000002</v>
      </c>
      <c r="Z180">
        <f t="shared" si="18"/>
        <v>20154.500000000004</v>
      </c>
      <c r="AA180" s="35">
        <v>8.7889086177158919</v>
      </c>
    </row>
    <row r="181" spans="1:28" x14ac:dyDescent="0.25">
      <c r="A181">
        <v>6280</v>
      </c>
      <c r="B181">
        <v>24170</v>
      </c>
      <c r="C181" s="8">
        <v>42759</v>
      </c>
      <c r="E181" s="35">
        <v>48</v>
      </c>
      <c r="F181" s="47"/>
      <c r="G181">
        <v>-1.2</v>
      </c>
      <c r="H181">
        <v>-2.8</v>
      </c>
      <c r="I181">
        <v>-0.1</v>
      </c>
      <c r="J181">
        <v>1236.5999999999999</v>
      </c>
      <c r="K181">
        <v>157</v>
      </c>
      <c r="M181">
        <v>0</v>
      </c>
      <c r="N181">
        <v>0.2</v>
      </c>
      <c r="O181">
        <f t="shared" si="20"/>
        <v>-0.2</v>
      </c>
      <c r="P181">
        <f t="shared" si="25"/>
        <v>60.599999999999987</v>
      </c>
      <c r="Q181">
        <v>147</v>
      </c>
      <c r="R181" s="22">
        <v>1</v>
      </c>
      <c r="S181" s="23">
        <f t="shared" si="21"/>
        <v>0.2</v>
      </c>
      <c r="T181" s="23">
        <f t="shared" si="22"/>
        <v>-0.2</v>
      </c>
      <c r="U181" s="23">
        <f t="shared" si="26"/>
        <v>70.365833333333299</v>
      </c>
      <c r="W181">
        <v>123.6</v>
      </c>
      <c r="Y181">
        <f t="shared" si="24"/>
        <v>87163.200000000026</v>
      </c>
      <c r="Z181">
        <f t="shared" si="18"/>
        <v>20278.100000000002</v>
      </c>
      <c r="AA181" s="35">
        <v>8.8303825855051077</v>
      </c>
    </row>
    <row r="182" spans="1:28" x14ac:dyDescent="0.25">
      <c r="A182">
        <v>6280</v>
      </c>
      <c r="B182">
        <v>24170</v>
      </c>
      <c r="C182" s="8">
        <v>42760</v>
      </c>
      <c r="E182" s="35">
        <v>49</v>
      </c>
      <c r="F182" s="47"/>
      <c r="G182">
        <v>-1.8</v>
      </c>
      <c r="H182">
        <v>-2.2000000000000002</v>
      </c>
      <c r="I182">
        <v>-0.8</v>
      </c>
      <c r="J182">
        <v>1236.5999999999999</v>
      </c>
      <c r="K182">
        <v>157</v>
      </c>
      <c r="M182">
        <v>0</v>
      </c>
      <c r="N182">
        <v>0.6</v>
      </c>
      <c r="O182">
        <f t="shared" si="20"/>
        <v>-0.6</v>
      </c>
      <c r="P182">
        <f t="shared" si="25"/>
        <v>59.999999999999986</v>
      </c>
      <c r="Q182" s="22">
        <v>148</v>
      </c>
      <c r="R182" s="22">
        <v>1</v>
      </c>
      <c r="S182" s="23">
        <f t="shared" si="21"/>
        <v>0.6</v>
      </c>
      <c r="T182" s="23">
        <f t="shared" si="22"/>
        <v>-0.6</v>
      </c>
      <c r="U182" s="23">
        <f t="shared" si="26"/>
        <v>69.765833333333305</v>
      </c>
      <c r="W182">
        <v>139.9</v>
      </c>
      <c r="Y182">
        <f t="shared" si="24"/>
        <v>87303.10000000002</v>
      </c>
      <c r="Z182">
        <f t="shared" si="18"/>
        <v>20418.000000000004</v>
      </c>
      <c r="AA182" s="35">
        <v>8.8727175114630477</v>
      </c>
    </row>
    <row r="183" spans="1:28" x14ac:dyDescent="0.25">
      <c r="A183">
        <v>6280</v>
      </c>
      <c r="B183">
        <v>24170</v>
      </c>
      <c r="C183" s="8">
        <v>42761</v>
      </c>
      <c r="E183" s="35">
        <v>50</v>
      </c>
      <c r="F183" s="47"/>
      <c r="G183">
        <v>-3.1</v>
      </c>
      <c r="H183">
        <v>-7.6</v>
      </c>
      <c r="I183">
        <v>0.8</v>
      </c>
      <c r="J183">
        <v>1236.5999999999999</v>
      </c>
      <c r="K183">
        <v>157</v>
      </c>
      <c r="M183">
        <v>0</v>
      </c>
      <c r="N183">
        <v>0.9</v>
      </c>
      <c r="O183">
        <f t="shared" si="20"/>
        <v>-0.9</v>
      </c>
      <c r="P183">
        <f t="shared" si="25"/>
        <v>59.099999999999987</v>
      </c>
      <c r="Q183">
        <v>149</v>
      </c>
      <c r="R183" s="22">
        <v>1</v>
      </c>
      <c r="S183" s="23">
        <f t="shared" si="21"/>
        <v>0.9</v>
      </c>
      <c r="T183" s="23">
        <f t="shared" si="22"/>
        <v>-0.9</v>
      </c>
      <c r="U183" s="23">
        <f t="shared" si="26"/>
        <v>68.865833333333299</v>
      </c>
      <c r="W183">
        <v>841.1</v>
      </c>
      <c r="Y183">
        <f t="shared" si="24"/>
        <v>88144.200000000026</v>
      </c>
      <c r="Z183">
        <f t="shared" si="18"/>
        <v>21259.100000000002</v>
      </c>
      <c r="AA183" s="35">
        <v>8.9158888600618518</v>
      </c>
    </row>
    <row r="184" spans="1:28" s="31" customFormat="1" ht="15.75" thickBot="1" x14ac:dyDescent="0.3">
      <c r="A184" s="31">
        <v>6280</v>
      </c>
      <c r="B184" s="31">
        <v>24170</v>
      </c>
      <c r="C184" s="32">
        <v>42762</v>
      </c>
      <c r="D184" s="31" t="s">
        <v>38</v>
      </c>
      <c r="E184" s="35">
        <v>51</v>
      </c>
      <c r="F184" s="47"/>
      <c r="G184" s="31">
        <v>4.9000000000000004</v>
      </c>
      <c r="H184" s="31">
        <v>-1.4</v>
      </c>
      <c r="I184" s="31">
        <v>8.5</v>
      </c>
      <c r="J184" s="31">
        <f t="shared" si="23"/>
        <v>1241.5</v>
      </c>
      <c r="K184" s="31">
        <f t="shared" si="19"/>
        <v>161.9</v>
      </c>
      <c r="M184" s="31">
        <v>0.2</v>
      </c>
      <c r="N184" s="31">
        <v>0.8</v>
      </c>
      <c r="O184" s="31">
        <f t="shared" si="20"/>
        <v>-0.60000000000000009</v>
      </c>
      <c r="P184" s="31">
        <f t="shared" si="25"/>
        <v>58.499999999999986</v>
      </c>
      <c r="Q184" s="34">
        <v>150</v>
      </c>
      <c r="R184" s="34">
        <v>1</v>
      </c>
      <c r="S184" s="33">
        <f t="shared" si="21"/>
        <v>0.8</v>
      </c>
      <c r="T184" s="33">
        <f t="shared" si="22"/>
        <v>-0.60000000000000009</v>
      </c>
      <c r="U184" s="23">
        <f t="shared" si="26"/>
        <v>68.265833333333305</v>
      </c>
      <c r="W184" s="31">
        <v>386.9</v>
      </c>
      <c r="Y184" s="31">
        <f t="shared" si="24"/>
        <v>88531.10000000002</v>
      </c>
      <c r="Z184" s="31">
        <f t="shared" si="18"/>
        <v>21646.000000000004</v>
      </c>
      <c r="AA184" s="36">
        <v>8.9598722432401559</v>
      </c>
    </row>
    <row r="185" spans="1:28" x14ac:dyDescent="0.25">
      <c r="A185">
        <v>6280</v>
      </c>
      <c r="B185">
        <v>24170</v>
      </c>
      <c r="C185" s="8">
        <v>42763</v>
      </c>
      <c r="F185" s="48" t="s">
        <v>48</v>
      </c>
      <c r="G185">
        <v>6.9</v>
      </c>
      <c r="H185">
        <v>5.5</v>
      </c>
      <c r="I185">
        <v>9.6</v>
      </c>
      <c r="J185">
        <f t="shared" si="23"/>
        <v>1248.4000000000001</v>
      </c>
      <c r="K185">
        <f>G185</f>
        <v>6.9</v>
      </c>
      <c r="L185" s="15" t="s">
        <v>39</v>
      </c>
      <c r="M185">
        <v>0.1</v>
      </c>
      <c r="N185">
        <v>1.1000000000000001</v>
      </c>
      <c r="O185">
        <f t="shared" si="20"/>
        <v>-1</v>
      </c>
      <c r="P185">
        <f t="shared" si="25"/>
        <v>57.499999999999986</v>
      </c>
      <c r="Q185">
        <v>151</v>
      </c>
      <c r="R185">
        <f>1+((Q185-150)/64)*(1.15-1)</f>
        <v>1.0023437500000001</v>
      </c>
      <c r="S185" s="23">
        <f t="shared" si="21"/>
        <v>1.1025781250000002</v>
      </c>
      <c r="T185" s="23">
        <f t="shared" si="22"/>
        <v>-1.0025781250000001</v>
      </c>
      <c r="U185" s="23">
        <f t="shared" si="26"/>
        <v>67.263255208333305</v>
      </c>
      <c r="V185" s="26" t="s">
        <v>53</v>
      </c>
      <c r="W185">
        <v>295.60000000000002</v>
      </c>
      <c r="Y185">
        <f t="shared" si="24"/>
        <v>88826.700000000026</v>
      </c>
      <c r="Z185">
        <f>W185</f>
        <v>295.60000000000002</v>
      </c>
      <c r="AA185">
        <v>9.0046434543275087</v>
      </c>
      <c r="AB185" s="26" t="s">
        <v>58</v>
      </c>
    </row>
    <row r="186" spans="1:28" x14ac:dyDescent="0.25">
      <c r="A186">
        <v>6280</v>
      </c>
      <c r="B186">
        <v>24170</v>
      </c>
      <c r="C186" s="8">
        <v>42764</v>
      </c>
      <c r="F186" s="48"/>
      <c r="G186">
        <v>4.2</v>
      </c>
      <c r="H186">
        <v>2.1</v>
      </c>
      <c r="I186">
        <v>7.8</v>
      </c>
      <c r="J186">
        <f t="shared" si="23"/>
        <v>1252.6000000000001</v>
      </c>
      <c r="K186">
        <f t="shared" si="19"/>
        <v>11.100000000000001</v>
      </c>
      <c r="L186" s="12">
        <v>528.6</v>
      </c>
      <c r="M186">
        <v>2.9</v>
      </c>
      <c r="N186">
        <v>0.6</v>
      </c>
      <c r="O186">
        <f t="shared" si="20"/>
        <v>2.2999999999999998</v>
      </c>
      <c r="P186">
        <f t="shared" si="25"/>
        <v>59.799999999999983</v>
      </c>
      <c r="Q186" s="22">
        <v>152</v>
      </c>
      <c r="R186">
        <f t="shared" ref="R186:R248" si="27">1+((Q186-150)/64)*(1.15-1)</f>
        <v>1.0046875</v>
      </c>
      <c r="S186" s="23">
        <f t="shared" si="21"/>
        <v>0.60281249999999997</v>
      </c>
      <c r="T186" s="23">
        <f t="shared" si="22"/>
        <v>2.2971874999999997</v>
      </c>
      <c r="U186" s="23">
        <f t="shared" si="26"/>
        <v>69.560442708333312</v>
      </c>
      <c r="V186">
        <v>0</v>
      </c>
      <c r="W186">
        <v>90.5</v>
      </c>
      <c r="Y186">
        <f t="shared" si="24"/>
        <v>88917.200000000026</v>
      </c>
      <c r="Z186">
        <f t="shared" si="18"/>
        <v>386.1</v>
      </c>
      <c r="AA186">
        <v>9.0501784997058206</v>
      </c>
      <c r="AB186">
        <v>37030.5</v>
      </c>
    </row>
    <row r="187" spans="1:28" x14ac:dyDescent="0.25">
      <c r="A187">
        <v>6280</v>
      </c>
      <c r="B187">
        <v>24170</v>
      </c>
      <c r="C187" s="8">
        <v>42765</v>
      </c>
      <c r="F187" s="48"/>
      <c r="G187">
        <v>8.9</v>
      </c>
      <c r="H187">
        <v>5</v>
      </c>
      <c r="I187">
        <v>10</v>
      </c>
      <c r="J187">
        <f t="shared" si="23"/>
        <v>1261.5000000000002</v>
      </c>
      <c r="K187">
        <f t="shared" si="19"/>
        <v>20</v>
      </c>
      <c r="L187" s="15" t="s">
        <v>40</v>
      </c>
      <c r="M187">
        <v>3</v>
      </c>
      <c r="N187">
        <v>0.1</v>
      </c>
      <c r="O187">
        <f t="shared" si="20"/>
        <v>2.9</v>
      </c>
      <c r="P187">
        <f t="shared" si="25"/>
        <v>62.699999999999982</v>
      </c>
      <c r="Q187">
        <v>153</v>
      </c>
      <c r="R187">
        <f t="shared" si="27"/>
        <v>1.00703125</v>
      </c>
      <c r="S187" s="23">
        <f t="shared" si="21"/>
        <v>0.100703125</v>
      </c>
      <c r="T187" s="23">
        <f t="shared" si="22"/>
        <v>2.8992968750000001</v>
      </c>
      <c r="U187" s="23">
        <f t="shared" si="26"/>
        <v>72.459739583333317</v>
      </c>
      <c r="V187" s="26" t="s">
        <v>54</v>
      </c>
      <c r="W187">
        <v>133.4</v>
      </c>
      <c r="Y187">
        <f t="shared" si="24"/>
        <v>89050.60000000002</v>
      </c>
      <c r="Z187">
        <f t="shared" si="18"/>
        <v>519.5</v>
      </c>
      <c r="AA187">
        <v>9.0964536282099377</v>
      </c>
      <c r="AB187" s="26" t="s">
        <v>59</v>
      </c>
    </row>
    <row r="188" spans="1:28" x14ac:dyDescent="0.25">
      <c r="A188">
        <v>6280</v>
      </c>
      <c r="B188">
        <v>24170</v>
      </c>
      <c r="C188" s="8">
        <v>42766</v>
      </c>
      <c r="F188" s="48"/>
      <c r="G188">
        <v>9.9</v>
      </c>
      <c r="H188">
        <v>8.9</v>
      </c>
      <c r="I188">
        <v>10.9</v>
      </c>
      <c r="J188">
        <f t="shared" si="23"/>
        <v>1271.4000000000003</v>
      </c>
      <c r="K188">
        <f t="shared" si="19"/>
        <v>29.9</v>
      </c>
      <c r="L188" s="12">
        <f>AVERAGE(G185:G248)</f>
        <v>8.2531250000000025</v>
      </c>
      <c r="M188">
        <v>0.4</v>
      </c>
      <c r="N188">
        <v>0.3</v>
      </c>
      <c r="O188">
        <f t="shared" si="20"/>
        <v>0.10000000000000003</v>
      </c>
      <c r="P188">
        <f t="shared" si="25"/>
        <v>62.799999999999983</v>
      </c>
      <c r="Q188" s="22">
        <v>154</v>
      </c>
      <c r="R188">
        <f t="shared" si="27"/>
        <v>1.0093749999999999</v>
      </c>
      <c r="S188" s="23">
        <f t="shared" si="21"/>
        <v>0.30281249999999998</v>
      </c>
      <c r="T188" s="23">
        <f t="shared" si="22"/>
        <v>9.7187500000000038E-2</v>
      </c>
      <c r="U188" s="23">
        <f t="shared" si="26"/>
        <v>72.556927083333321</v>
      </c>
      <c r="V188">
        <v>0</v>
      </c>
      <c r="W188">
        <v>102.8</v>
      </c>
      <c r="Y188">
        <f t="shared" si="24"/>
        <v>89153.400000000023</v>
      </c>
      <c r="Z188">
        <f t="shared" si="18"/>
        <v>622.29999999999995</v>
      </c>
      <c r="AA188">
        <v>9.1434453582811308</v>
      </c>
      <c r="AB188">
        <f>(AB186/100)/L186</f>
        <v>0.70053916004540295</v>
      </c>
    </row>
    <row r="189" spans="1:28" x14ac:dyDescent="0.25">
      <c r="A189">
        <v>6280</v>
      </c>
      <c r="B189">
        <v>24170</v>
      </c>
      <c r="C189" s="8">
        <v>42767</v>
      </c>
      <c r="F189" s="48"/>
      <c r="G189">
        <v>10.199999999999999</v>
      </c>
      <c r="H189">
        <v>8.9</v>
      </c>
      <c r="I189">
        <v>11.6</v>
      </c>
      <c r="J189">
        <f t="shared" si="23"/>
        <v>1281.6000000000004</v>
      </c>
      <c r="K189">
        <f t="shared" si="19"/>
        <v>40.099999999999994</v>
      </c>
      <c r="L189" s="15" t="s">
        <v>41</v>
      </c>
      <c r="M189">
        <v>0</v>
      </c>
      <c r="N189">
        <v>0.5</v>
      </c>
      <c r="O189">
        <f t="shared" si="20"/>
        <v>-0.5</v>
      </c>
      <c r="P189">
        <f t="shared" si="25"/>
        <v>62.299999999999983</v>
      </c>
      <c r="Q189">
        <v>155</v>
      </c>
      <c r="R189">
        <f t="shared" si="27"/>
        <v>1.01171875</v>
      </c>
      <c r="S189" s="23">
        <f t="shared" si="21"/>
        <v>0.505859375</v>
      </c>
      <c r="T189" s="23">
        <f t="shared" si="22"/>
        <v>-0.505859375</v>
      </c>
      <c r="U189" s="23">
        <f t="shared" si="26"/>
        <v>72.051067708333321</v>
      </c>
      <c r="V189" s="26" t="s">
        <v>55</v>
      </c>
      <c r="W189">
        <v>295.10000000000002</v>
      </c>
      <c r="Y189">
        <f t="shared" si="24"/>
        <v>89448.500000000029</v>
      </c>
      <c r="Z189">
        <f t="shared" si="18"/>
        <v>917.4</v>
      </c>
      <c r="AA189">
        <v>9.1911305028978365</v>
      </c>
      <c r="AB189" s="26" t="s">
        <v>60</v>
      </c>
    </row>
    <row r="190" spans="1:28" x14ac:dyDescent="0.25">
      <c r="A190">
        <v>6280</v>
      </c>
      <c r="B190">
        <v>24170</v>
      </c>
      <c r="C190" s="8">
        <v>42768</v>
      </c>
      <c r="F190" s="48"/>
      <c r="G190">
        <v>10.6</v>
      </c>
      <c r="H190">
        <v>8.6</v>
      </c>
      <c r="I190">
        <v>12.6</v>
      </c>
      <c r="J190">
        <f t="shared" si="23"/>
        <v>1292.2000000000003</v>
      </c>
      <c r="K190">
        <f t="shared" ref="K190:K253" si="28">K189+G190</f>
        <v>50.699999999999996</v>
      </c>
      <c r="L190" s="13">
        <f>MIN(H185:H248)</f>
        <v>-1.4</v>
      </c>
      <c r="M190">
        <v>1.2</v>
      </c>
      <c r="N190">
        <v>1.2</v>
      </c>
      <c r="O190">
        <f t="shared" si="20"/>
        <v>0</v>
      </c>
      <c r="P190">
        <f t="shared" si="25"/>
        <v>62.299999999999983</v>
      </c>
      <c r="Q190" s="22">
        <v>156</v>
      </c>
      <c r="R190">
        <f t="shared" si="27"/>
        <v>1.0140625000000001</v>
      </c>
      <c r="S190" s="23">
        <f t="shared" si="21"/>
        <v>1.2168750000000002</v>
      </c>
      <c r="T190" s="23">
        <f t="shared" si="22"/>
        <v>-1.6875000000000195E-2</v>
      </c>
      <c r="U190" s="23">
        <f t="shared" si="26"/>
        <v>72.034192708333322</v>
      </c>
      <c r="V190" s="23">
        <f>MIN(U185:U248)</f>
        <v>67.263255208333305</v>
      </c>
      <c r="W190">
        <v>247</v>
      </c>
      <c r="Y190">
        <f t="shared" si="24"/>
        <v>89695.500000000029</v>
      </c>
      <c r="Z190">
        <f t="shared" ref="Z190:Z253" si="29">Z189+W190</f>
        <v>1164.4000000000001</v>
      </c>
      <c r="AA190">
        <v>9.239486192317381</v>
      </c>
      <c r="AB190">
        <v>48</v>
      </c>
    </row>
    <row r="191" spans="1:28" x14ac:dyDescent="0.25">
      <c r="A191">
        <v>6280</v>
      </c>
      <c r="B191">
        <v>24170</v>
      </c>
      <c r="C191" s="8">
        <v>42769</v>
      </c>
      <c r="F191" s="48"/>
      <c r="G191">
        <v>8.5</v>
      </c>
      <c r="H191">
        <v>7.4</v>
      </c>
      <c r="I191">
        <v>11.1</v>
      </c>
      <c r="J191">
        <f t="shared" si="23"/>
        <v>1300.7000000000003</v>
      </c>
      <c r="K191">
        <f t="shared" si="28"/>
        <v>59.199999999999996</v>
      </c>
      <c r="L191" s="15" t="s">
        <v>42</v>
      </c>
      <c r="M191">
        <v>6.3</v>
      </c>
      <c r="N191">
        <v>1.6</v>
      </c>
      <c r="O191">
        <f t="shared" si="20"/>
        <v>4.6999999999999993</v>
      </c>
      <c r="P191">
        <f t="shared" si="25"/>
        <v>66.999999999999986</v>
      </c>
      <c r="Q191">
        <v>157</v>
      </c>
      <c r="R191">
        <f t="shared" si="27"/>
        <v>1.01640625</v>
      </c>
      <c r="S191" s="23">
        <f t="shared" si="21"/>
        <v>1.62625</v>
      </c>
      <c r="T191" s="23">
        <f t="shared" si="22"/>
        <v>4.6737500000000001</v>
      </c>
      <c r="U191" s="23">
        <f t="shared" si="26"/>
        <v>76.70794270833332</v>
      </c>
      <c r="V191" s="26" t="s">
        <v>56</v>
      </c>
      <c r="W191">
        <v>757.5</v>
      </c>
      <c r="Y191">
        <f t="shared" si="24"/>
        <v>90453.000000000029</v>
      </c>
      <c r="Z191">
        <f t="shared" si="29"/>
        <v>1921.9</v>
      </c>
      <c r="AA191">
        <v>9.2884898946707679</v>
      </c>
    </row>
    <row r="192" spans="1:28" x14ac:dyDescent="0.25">
      <c r="A192">
        <v>6280</v>
      </c>
      <c r="B192">
        <v>24170</v>
      </c>
      <c r="C192" s="8">
        <v>42770</v>
      </c>
      <c r="F192" s="48"/>
      <c r="G192">
        <v>6.1</v>
      </c>
      <c r="H192">
        <v>5.3</v>
      </c>
      <c r="I192">
        <v>7.4</v>
      </c>
      <c r="J192">
        <f t="shared" si="23"/>
        <v>1306.8000000000002</v>
      </c>
      <c r="K192">
        <f t="shared" si="28"/>
        <v>65.3</v>
      </c>
      <c r="L192" s="12">
        <f>MAX(I185:I248)</f>
        <v>20.8</v>
      </c>
      <c r="M192">
        <v>4.3</v>
      </c>
      <c r="N192">
        <v>0.5</v>
      </c>
      <c r="O192">
        <f t="shared" si="20"/>
        <v>3.8</v>
      </c>
      <c r="P192">
        <f t="shared" si="25"/>
        <v>70.799999999999983</v>
      </c>
      <c r="Q192" s="22">
        <v>158</v>
      </c>
      <c r="R192">
        <f t="shared" si="27"/>
        <v>1.01875</v>
      </c>
      <c r="S192" s="23">
        <f t="shared" si="21"/>
        <v>0.50937500000000002</v>
      </c>
      <c r="T192" s="23">
        <f t="shared" si="22"/>
        <v>3.7906249999999999</v>
      </c>
      <c r="U192" s="23">
        <f t="shared" si="26"/>
        <v>80.498567708333326</v>
      </c>
      <c r="V192" s="23">
        <f>MAX(U185:U248)</f>
        <v>130.83372395833334</v>
      </c>
      <c r="W192">
        <v>134.5</v>
      </c>
      <c r="Y192">
        <f t="shared" si="24"/>
        <v>90587.500000000029</v>
      </c>
      <c r="Z192">
        <f t="shared" si="29"/>
        <v>2056.4</v>
      </c>
      <c r="AA192">
        <v>9.3381194344599461</v>
      </c>
    </row>
    <row r="193" spans="1:27" x14ac:dyDescent="0.25">
      <c r="A193">
        <v>6280</v>
      </c>
      <c r="B193">
        <v>24170</v>
      </c>
      <c r="C193" s="8">
        <v>42771</v>
      </c>
      <c r="F193" s="48"/>
      <c r="G193">
        <v>6.3</v>
      </c>
      <c r="H193">
        <v>5.2</v>
      </c>
      <c r="I193">
        <v>8.5</v>
      </c>
      <c r="J193">
        <f t="shared" si="23"/>
        <v>1313.1000000000001</v>
      </c>
      <c r="K193">
        <f t="shared" si="28"/>
        <v>71.599999999999994</v>
      </c>
      <c r="L193" s="15" t="s">
        <v>43</v>
      </c>
      <c r="M193">
        <v>1.2</v>
      </c>
      <c r="N193">
        <v>0.6</v>
      </c>
      <c r="O193">
        <f t="shared" si="20"/>
        <v>0.6</v>
      </c>
      <c r="P193">
        <f t="shared" si="25"/>
        <v>71.399999999999977</v>
      </c>
      <c r="Q193">
        <v>159</v>
      </c>
      <c r="R193">
        <f t="shared" si="27"/>
        <v>1.0210937499999999</v>
      </c>
      <c r="S193" s="23">
        <f t="shared" si="21"/>
        <v>0.6126562499999999</v>
      </c>
      <c r="T193" s="23">
        <f t="shared" si="22"/>
        <v>0.58734375000000005</v>
      </c>
      <c r="U193" s="23">
        <f t="shared" si="26"/>
        <v>81.085911458333328</v>
      </c>
      <c r="V193" s="26" t="s">
        <v>57</v>
      </c>
      <c r="W193">
        <v>204.2</v>
      </c>
      <c r="Y193">
        <f t="shared" si="24"/>
        <v>90791.700000000026</v>
      </c>
      <c r="Z193">
        <f t="shared" si="29"/>
        <v>2260.6</v>
      </c>
      <c r="AA193">
        <v>9.3883530090132492</v>
      </c>
    </row>
    <row r="194" spans="1:27" x14ac:dyDescent="0.25">
      <c r="A194">
        <v>6280</v>
      </c>
      <c r="B194">
        <v>24170</v>
      </c>
      <c r="C194" s="8">
        <v>42772</v>
      </c>
      <c r="F194" s="48"/>
      <c r="G194">
        <v>5.7</v>
      </c>
      <c r="H194">
        <v>4.5</v>
      </c>
      <c r="I194">
        <v>7.1</v>
      </c>
      <c r="J194">
        <f t="shared" si="23"/>
        <v>1318.8000000000002</v>
      </c>
      <c r="K194">
        <f t="shared" si="28"/>
        <v>77.3</v>
      </c>
      <c r="L194" s="12">
        <v>0</v>
      </c>
      <c r="M194">
        <v>7.3</v>
      </c>
      <c r="N194">
        <v>0.7</v>
      </c>
      <c r="O194">
        <f t="shared" si="20"/>
        <v>6.6</v>
      </c>
      <c r="P194">
        <f t="shared" si="25"/>
        <v>77.999999999999972</v>
      </c>
      <c r="Q194" s="22">
        <v>160</v>
      </c>
      <c r="R194">
        <f t="shared" si="27"/>
        <v>1.0234375</v>
      </c>
      <c r="S194" s="23">
        <f t="shared" si="21"/>
        <v>0.71640624999999991</v>
      </c>
      <c r="T194" s="23">
        <f t="shared" si="22"/>
        <v>6.5835937500000004</v>
      </c>
      <c r="U194" s="23">
        <f t="shared" si="26"/>
        <v>87.669505208333334</v>
      </c>
      <c r="V194" s="23">
        <f>AVERAGE(U185:U248)</f>
        <v>99.28623128255208</v>
      </c>
      <c r="W194">
        <v>494.4</v>
      </c>
      <c r="Y194">
        <f t="shared" si="24"/>
        <v>91286.10000000002</v>
      </c>
      <c r="Z194">
        <f t="shared" si="29"/>
        <v>2755</v>
      </c>
      <c r="AA194">
        <v>9.4391692029600254</v>
      </c>
    </row>
    <row r="195" spans="1:27" x14ac:dyDescent="0.25">
      <c r="A195">
        <v>6280</v>
      </c>
      <c r="B195">
        <v>24170</v>
      </c>
      <c r="C195" s="8">
        <v>42773</v>
      </c>
      <c r="F195" s="48"/>
      <c r="G195">
        <v>5.9</v>
      </c>
      <c r="H195">
        <v>4.5999999999999996</v>
      </c>
      <c r="I195">
        <v>7.5</v>
      </c>
      <c r="J195">
        <f t="shared" si="23"/>
        <v>1324.7000000000003</v>
      </c>
      <c r="K195">
        <f t="shared" si="28"/>
        <v>83.2</v>
      </c>
      <c r="L195" s="15" t="s">
        <v>44</v>
      </c>
      <c r="M195">
        <v>1.1000000000000001</v>
      </c>
      <c r="N195">
        <v>0.4</v>
      </c>
      <c r="O195">
        <f t="shared" si="20"/>
        <v>0.70000000000000007</v>
      </c>
      <c r="P195">
        <f t="shared" si="25"/>
        <v>78.699999999999974</v>
      </c>
      <c r="Q195">
        <v>161</v>
      </c>
      <c r="R195">
        <f t="shared" si="27"/>
        <v>1.0257812500000001</v>
      </c>
      <c r="S195" s="23">
        <f t="shared" si="21"/>
        <v>0.41031250000000008</v>
      </c>
      <c r="T195" s="23">
        <f t="shared" si="22"/>
        <v>0.68968750000000001</v>
      </c>
      <c r="U195" s="23">
        <f t="shared" si="26"/>
        <v>88.359192708333339</v>
      </c>
      <c r="W195">
        <v>121.4</v>
      </c>
      <c r="Y195">
        <f t="shared" si="24"/>
        <v>91407.500000000015</v>
      </c>
      <c r="Z195">
        <f t="shared" si="29"/>
        <v>2876.4</v>
      </c>
      <c r="AA195">
        <v>9.4905470007898938</v>
      </c>
    </row>
    <row r="196" spans="1:27" x14ac:dyDescent="0.25">
      <c r="A196">
        <v>6280</v>
      </c>
      <c r="B196">
        <v>24170</v>
      </c>
      <c r="C196" s="8">
        <v>42774</v>
      </c>
      <c r="F196" s="48"/>
      <c r="G196">
        <v>4.4000000000000004</v>
      </c>
      <c r="H196">
        <v>2.6</v>
      </c>
      <c r="I196">
        <v>6.5</v>
      </c>
      <c r="J196">
        <f t="shared" si="23"/>
        <v>1329.1000000000004</v>
      </c>
      <c r="K196">
        <f t="shared" si="28"/>
        <v>87.600000000000009</v>
      </c>
      <c r="L196" s="12">
        <v>22</v>
      </c>
      <c r="M196">
        <v>0</v>
      </c>
      <c r="N196">
        <v>0.4</v>
      </c>
      <c r="O196">
        <f t="shared" si="20"/>
        <v>-0.4</v>
      </c>
      <c r="P196">
        <f t="shared" si="25"/>
        <v>78.299999999999969</v>
      </c>
      <c r="Q196" s="22">
        <v>162</v>
      </c>
      <c r="R196">
        <f t="shared" si="27"/>
        <v>1.028125</v>
      </c>
      <c r="S196" s="23">
        <f t="shared" si="21"/>
        <v>0.41125</v>
      </c>
      <c r="T196" s="23">
        <f t="shared" si="22"/>
        <v>-0.41125</v>
      </c>
      <c r="U196" s="23">
        <f t="shared" si="26"/>
        <v>87.947942708333343</v>
      </c>
      <c r="V196">
        <f>(V194*100)/197.4</f>
        <v>50.296976333613003</v>
      </c>
      <c r="W196">
        <v>253.2</v>
      </c>
      <c r="Y196">
        <f t="shared" si="24"/>
        <v>91660.700000000012</v>
      </c>
      <c r="Z196">
        <f t="shared" si="29"/>
        <v>3129.6</v>
      </c>
      <c r="AA196">
        <v>9.5424657975657183</v>
      </c>
    </row>
    <row r="197" spans="1:27" x14ac:dyDescent="0.25">
      <c r="A197">
        <v>6280</v>
      </c>
      <c r="B197">
        <v>24170</v>
      </c>
      <c r="C197" s="8">
        <v>42775</v>
      </c>
      <c r="F197" s="48"/>
      <c r="G197">
        <v>2.8</v>
      </c>
      <c r="H197">
        <v>2.4</v>
      </c>
      <c r="I197">
        <v>4.2</v>
      </c>
      <c r="J197">
        <f t="shared" si="23"/>
        <v>1331.9000000000003</v>
      </c>
      <c r="K197">
        <f t="shared" si="28"/>
        <v>90.4</v>
      </c>
      <c r="L197" s="15" t="s">
        <v>45</v>
      </c>
      <c r="M197">
        <v>0</v>
      </c>
      <c r="N197">
        <v>0.6</v>
      </c>
      <c r="O197">
        <f t="shared" si="20"/>
        <v>-0.6</v>
      </c>
      <c r="P197">
        <f t="shared" si="25"/>
        <v>77.699999999999974</v>
      </c>
      <c r="Q197">
        <v>163</v>
      </c>
      <c r="R197">
        <f t="shared" si="27"/>
        <v>1.03046875</v>
      </c>
      <c r="S197" s="23">
        <f t="shared" si="21"/>
        <v>0.61828125</v>
      </c>
      <c r="T197" s="23">
        <f t="shared" si="22"/>
        <v>-0.61828125</v>
      </c>
      <c r="U197" s="23">
        <f t="shared" si="26"/>
        <v>87.329661458333348</v>
      </c>
      <c r="W197">
        <v>369.2</v>
      </c>
      <c r="Y197">
        <f t="shared" si="24"/>
        <v>92029.900000000009</v>
      </c>
      <c r="Z197">
        <f t="shared" si="29"/>
        <v>3498.7999999999997</v>
      </c>
      <c r="AA197">
        <v>9.5949054078620239</v>
      </c>
    </row>
    <row r="198" spans="1:27" x14ac:dyDescent="0.25">
      <c r="A198">
        <v>6280</v>
      </c>
      <c r="B198">
        <v>24170</v>
      </c>
      <c r="C198" s="8">
        <v>42776</v>
      </c>
      <c r="F198" s="48"/>
      <c r="G198">
        <v>0.5</v>
      </c>
      <c r="H198">
        <v>-0.8</v>
      </c>
      <c r="I198">
        <v>2.1</v>
      </c>
      <c r="J198">
        <f t="shared" si="23"/>
        <v>1332.4000000000003</v>
      </c>
      <c r="K198">
        <f t="shared" si="28"/>
        <v>90.9</v>
      </c>
      <c r="L198" s="12">
        <v>6</v>
      </c>
      <c r="M198">
        <v>0</v>
      </c>
      <c r="N198">
        <v>0.6</v>
      </c>
      <c r="O198">
        <f t="shared" si="20"/>
        <v>-0.6</v>
      </c>
      <c r="P198">
        <f t="shared" si="25"/>
        <v>77.09999999999998</v>
      </c>
      <c r="Q198" s="22">
        <v>164</v>
      </c>
      <c r="R198">
        <f t="shared" si="27"/>
        <v>1.0328124999999999</v>
      </c>
      <c r="S198" s="23">
        <f t="shared" si="21"/>
        <v>0.61968749999999995</v>
      </c>
      <c r="T198" s="23">
        <f t="shared" si="22"/>
        <v>-0.61968749999999995</v>
      </c>
      <c r="U198" s="23">
        <f t="shared" si="26"/>
        <v>86.70997395833335</v>
      </c>
      <c r="W198">
        <v>222.6</v>
      </c>
      <c r="Y198">
        <f t="shared" si="24"/>
        <v>92252.500000000015</v>
      </c>
      <c r="Z198">
        <f t="shared" si="29"/>
        <v>3721.3999999999996</v>
      </c>
      <c r="AA198">
        <v>9.6478460730027713</v>
      </c>
    </row>
    <row r="199" spans="1:27" x14ac:dyDescent="0.25">
      <c r="A199">
        <v>6280</v>
      </c>
      <c r="B199">
        <v>24170</v>
      </c>
      <c r="C199" s="8">
        <v>42777</v>
      </c>
      <c r="F199" s="48"/>
      <c r="G199">
        <v>-0.4</v>
      </c>
      <c r="H199">
        <v>-1.2</v>
      </c>
      <c r="I199">
        <v>0.1</v>
      </c>
      <c r="J199">
        <v>1332.4</v>
      </c>
      <c r="K199">
        <v>90.9</v>
      </c>
      <c r="M199">
        <v>0</v>
      </c>
      <c r="N199">
        <v>0.3</v>
      </c>
      <c r="O199">
        <f t="shared" si="20"/>
        <v>-0.3</v>
      </c>
      <c r="P199">
        <f t="shared" si="25"/>
        <v>76.799999999999983</v>
      </c>
      <c r="Q199">
        <v>165</v>
      </c>
      <c r="R199">
        <f t="shared" si="27"/>
        <v>1.03515625</v>
      </c>
      <c r="S199" s="23">
        <f t="shared" si="21"/>
        <v>0.310546875</v>
      </c>
      <c r="T199" s="23">
        <f t="shared" si="22"/>
        <v>-0.310546875</v>
      </c>
      <c r="U199" s="23">
        <f t="shared" si="26"/>
        <v>86.39942708333335</v>
      </c>
      <c r="W199">
        <v>202.7</v>
      </c>
      <c r="Y199">
        <f t="shared" si="24"/>
        <v>92455.200000000012</v>
      </c>
      <c r="Z199">
        <f t="shared" si="29"/>
        <v>3924.0999999999995</v>
      </c>
      <c r="AA199">
        <v>9.7012684666737332</v>
      </c>
    </row>
    <row r="200" spans="1:27" x14ac:dyDescent="0.25">
      <c r="A200">
        <v>6280</v>
      </c>
      <c r="B200">
        <v>24170</v>
      </c>
      <c r="C200" s="8">
        <v>42778</v>
      </c>
      <c r="F200" s="48"/>
      <c r="G200">
        <v>2.9</v>
      </c>
      <c r="H200">
        <v>-0.8</v>
      </c>
      <c r="I200">
        <v>7.3</v>
      </c>
      <c r="J200">
        <f t="shared" si="23"/>
        <v>1335.3000000000002</v>
      </c>
      <c r="K200">
        <f t="shared" si="28"/>
        <v>93.800000000000011</v>
      </c>
      <c r="M200">
        <v>0.2</v>
      </c>
      <c r="N200">
        <v>0.5</v>
      </c>
      <c r="O200">
        <f t="shared" si="20"/>
        <v>-0.3</v>
      </c>
      <c r="P200">
        <f t="shared" si="25"/>
        <v>76.499999999999986</v>
      </c>
      <c r="Q200" s="22">
        <v>166</v>
      </c>
      <c r="R200">
        <f t="shared" si="27"/>
        <v>1.0375000000000001</v>
      </c>
      <c r="S200" s="23">
        <f t="shared" si="21"/>
        <v>0.51875000000000004</v>
      </c>
      <c r="T200" s="23">
        <f t="shared" si="22"/>
        <v>-0.31875000000000003</v>
      </c>
      <c r="U200" s="23">
        <f t="shared" si="26"/>
        <v>86.080677083333356</v>
      </c>
      <c r="W200">
        <v>180.3</v>
      </c>
      <c r="Y200">
        <f t="shared" si="24"/>
        <v>92635.500000000015</v>
      </c>
      <c r="Z200">
        <f t="shared" si="29"/>
        <v>4104.3999999999996</v>
      </c>
      <c r="AA200">
        <v>9.7551536989854224</v>
      </c>
    </row>
    <row r="201" spans="1:27" x14ac:dyDescent="0.25">
      <c r="A201">
        <v>6280</v>
      </c>
      <c r="B201">
        <v>24170</v>
      </c>
      <c r="C201" s="8">
        <v>42779</v>
      </c>
      <c r="F201" s="48"/>
      <c r="G201">
        <v>4.2</v>
      </c>
      <c r="H201">
        <v>1.2</v>
      </c>
      <c r="I201">
        <v>6.7</v>
      </c>
      <c r="J201">
        <f t="shared" si="23"/>
        <v>1339.5000000000002</v>
      </c>
      <c r="K201">
        <f t="shared" si="28"/>
        <v>98.000000000000014</v>
      </c>
      <c r="M201">
        <v>0</v>
      </c>
      <c r="N201">
        <v>1.3</v>
      </c>
      <c r="O201">
        <f t="shared" si="20"/>
        <v>-1.3</v>
      </c>
      <c r="P201">
        <f t="shared" si="25"/>
        <v>75.199999999999989</v>
      </c>
      <c r="Q201">
        <v>167</v>
      </c>
      <c r="R201">
        <f t="shared" si="27"/>
        <v>1.03984375</v>
      </c>
      <c r="S201" s="23">
        <f t="shared" si="21"/>
        <v>1.351796875</v>
      </c>
      <c r="T201" s="23">
        <f t="shared" si="22"/>
        <v>-1.351796875</v>
      </c>
      <c r="U201" s="23">
        <f t="shared" si="26"/>
        <v>84.728880208333351</v>
      </c>
      <c r="W201">
        <v>985.1</v>
      </c>
      <c r="Y201">
        <f t="shared" si="24"/>
        <v>93620.60000000002</v>
      </c>
      <c r="Z201">
        <f t="shared" si="29"/>
        <v>5089.5</v>
      </c>
      <c r="AA201">
        <v>9.8094833190628457</v>
      </c>
    </row>
    <row r="202" spans="1:27" x14ac:dyDescent="0.25">
      <c r="A202">
        <v>6280</v>
      </c>
      <c r="B202">
        <v>24170</v>
      </c>
      <c r="C202" s="8">
        <v>42780</v>
      </c>
      <c r="F202" s="48"/>
      <c r="G202">
        <v>7.7</v>
      </c>
      <c r="H202">
        <v>2.7</v>
      </c>
      <c r="I202">
        <v>10.7</v>
      </c>
      <c r="J202">
        <f t="shared" si="23"/>
        <v>1347.2000000000003</v>
      </c>
      <c r="K202">
        <f t="shared" si="28"/>
        <v>105.70000000000002</v>
      </c>
      <c r="M202">
        <v>0.2</v>
      </c>
      <c r="N202">
        <v>1</v>
      </c>
      <c r="O202">
        <f t="shared" si="20"/>
        <v>-0.8</v>
      </c>
      <c r="P202">
        <f t="shared" si="25"/>
        <v>74.399999999999991</v>
      </c>
      <c r="Q202" s="22">
        <v>168</v>
      </c>
      <c r="R202">
        <f t="shared" si="27"/>
        <v>1.0421875</v>
      </c>
      <c r="S202" s="23">
        <f t="shared" si="21"/>
        <v>1.0421875</v>
      </c>
      <c r="T202" s="23">
        <f t="shared" si="22"/>
        <v>-0.84218750000000009</v>
      </c>
      <c r="U202" s="23">
        <f t="shared" si="26"/>
        <v>83.886692708333356</v>
      </c>
      <c r="W202">
        <v>213.7</v>
      </c>
      <c r="Y202">
        <f t="shared" si="24"/>
        <v>93834.300000000017</v>
      </c>
      <c r="Z202">
        <f t="shared" si="29"/>
        <v>5303.2</v>
      </c>
      <c r="AA202">
        <v>9.8642393162379776</v>
      </c>
    </row>
    <row r="203" spans="1:27" x14ac:dyDescent="0.25">
      <c r="A203">
        <v>6280</v>
      </c>
      <c r="B203">
        <v>24170</v>
      </c>
      <c r="C203" s="8">
        <v>42781</v>
      </c>
      <c r="F203" s="48"/>
      <c r="G203">
        <v>10.9</v>
      </c>
      <c r="H203">
        <v>7.4</v>
      </c>
      <c r="I203">
        <v>15.2</v>
      </c>
      <c r="J203">
        <f t="shared" si="23"/>
        <v>1358.1000000000004</v>
      </c>
      <c r="K203">
        <f t="shared" si="28"/>
        <v>116.60000000000002</v>
      </c>
      <c r="M203">
        <v>1.2</v>
      </c>
      <c r="N203">
        <v>1.7</v>
      </c>
      <c r="O203">
        <f t="shared" si="20"/>
        <v>-0.5</v>
      </c>
      <c r="P203">
        <f t="shared" si="25"/>
        <v>73.899999999999991</v>
      </c>
      <c r="Q203">
        <v>169</v>
      </c>
      <c r="R203">
        <f t="shared" si="27"/>
        <v>1.0445312499999999</v>
      </c>
      <c r="S203" s="23">
        <f t="shared" si="21"/>
        <v>1.7757031249999997</v>
      </c>
      <c r="T203" s="23">
        <f t="shared" si="22"/>
        <v>-0.57570312499999976</v>
      </c>
      <c r="U203" s="23">
        <f t="shared" si="26"/>
        <v>83.310989583333352</v>
      </c>
      <c r="W203">
        <v>1057.8</v>
      </c>
      <c r="Y203">
        <f t="shared" si="24"/>
        <v>94892.10000000002</v>
      </c>
      <c r="Z203">
        <f t="shared" si="29"/>
        <v>6361</v>
      </c>
      <c r="AA203">
        <v>9.919404119920209</v>
      </c>
    </row>
    <row r="204" spans="1:27" x14ac:dyDescent="0.25">
      <c r="A204">
        <v>6280</v>
      </c>
      <c r="B204">
        <v>24170</v>
      </c>
      <c r="C204" s="8">
        <v>42782</v>
      </c>
      <c r="F204" s="48"/>
      <c r="G204">
        <v>8.3000000000000007</v>
      </c>
      <c r="H204">
        <v>6.5</v>
      </c>
      <c r="I204">
        <v>10.3</v>
      </c>
      <c r="J204">
        <f t="shared" si="23"/>
        <v>1366.4000000000003</v>
      </c>
      <c r="K204">
        <f t="shared" si="28"/>
        <v>124.90000000000002</v>
      </c>
      <c r="M204">
        <v>5.5</v>
      </c>
      <c r="N204">
        <v>0.7</v>
      </c>
      <c r="O204">
        <f t="shared" si="20"/>
        <v>4.8</v>
      </c>
      <c r="P204">
        <f t="shared" si="25"/>
        <v>78.699999999999989</v>
      </c>
      <c r="Q204" s="22">
        <v>170</v>
      </c>
      <c r="R204">
        <f t="shared" si="27"/>
        <v>1.046875</v>
      </c>
      <c r="S204" s="23">
        <f t="shared" si="21"/>
        <v>0.73281249999999998</v>
      </c>
      <c r="T204" s="23">
        <f t="shared" si="22"/>
        <v>4.7671875000000004</v>
      </c>
      <c r="U204" s="23">
        <f t="shared" si="26"/>
        <v>88.078177083333358</v>
      </c>
      <c r="W204">
        <v>371.4</v>
      </c>
      <c r="Y204">
        <f t="shared" si="24"/>
        <v>95263.500000000015</v>
      </c>
      <c r="Z204">
        <f t="shared" si="29"/>
        <v>6732.4</v>
      </c>
      <c r="AA204">
        <v>9.9749605982188427</v>
      </c>
    </row>
    <row r="205" spans="1:27" x14ac:dyDescent="0.25">
      <c r="A205">
        <v>6280</v>
      </c>
      <c r="B205">
        <v>24170</v>
      </c>
      <c r="C205" s="8">
        <v>42783</v>
      </c>
      <c r="F205" s="48"/>
      <c r="G205">
        <v>5.5</v>
      </c>
      <c r="H205">
        <v>4.8</v>
      </c>
      <c r="I205">
        <v>7.9</v>
      </c>
      <c r="J205">
        <f t="shared" si="23"/>
        <v>1371.9000000000003</v>
      </c>
      <c r="K205">
        <f t="shared" si="28"/>
        <v>130.40000000000003</v>
      </c>
      <c r="M205">
        <v>0.1</v>
      </c>
      <c r="N205">
        <v>1.1000000000000001</v>
      </c>
      <c r="O205">
        <f t="shared" si="20"/>
        <v>-1</v>
      </c>
      <c r="P205">
        <f t="shared" si="25"/>
        <v>77.699999999999989</v>
      </c>
      <c r="Q205">
        <v>171</v>
      </c>
      <c r="R205">
        <f t="shared" si="27"/>
        <v>1.0492187499999999</v>
      </c>
      <c r="S205" s="23">
        <f t="shared" si="21"/>
        <v>1.1541406249999999</v>
      </c>
      <c r="T205" s="23">
        <f t="shared" si="22"/>
        <v>-1.0541406249999998</v>
      </c>
      <c r="U205" s="23">
        <f t="shared" si="26"/>
        <v>87.024036458333356</v>
      </c>
      <c r="W205">
        <v>761</v>
      </c>
      <c r="Y205">
        <f t="shared" si="24"/>
        <v>96024.500000000015</v>
      </c>
      <c r="Z205">
        <f t="shared" si="29"/>
        <v>7493.4</v>
      </c>
      <c r="AA205">
        <v>10.030892055390337</v>
      </c>
    </row>
    <row r="206" spans="1:27" x14ac:dyDescent="0.25">
      <c r="A206">
        <v>6280</v>
      </c>
      <c r="B206">
        <v>24170</v>
      </c>
      <c r="C206" s="8">
        <v>42784</v>
      </c>
      <c r="F206" s="48"/>
      <c r="G206">
        <v>4.2</v>
      </c>
      <c r="H206">
        <v>-0.6</v>
      </c>
      <c r="I206">
        <v>8.6999999999999993</v>
      </c>
      <c r="J206">
        <f t="shared" si="23"/>
        <v>1376.1000000000004</v>
      </c>
      <c r="K206">
        <f t="shared" si="28"/>
        <v>134.60000000000002</v>
      </c>
      <c r="M206">
        <v>0</v>
      </c>
      <c r="N206">
        <v>0.9</v>
      </c>
      <c r="O206">
        <f t="shared" si="20"/>
        <v>-0.9</v>
      </c>
      <c r="P206">
        <f t="shared" si="25"/>
        <v>76.799999999999983</v>
      </c>
      <c r="Q206" s="22">
        <v>172</v>
      </c>
      <c r="R206">
        <f t="shared" si="27"/>
        <v>1.0515625</v>
      </c>
      <c r="S206" s="23">
        <f t="shared" si="21"/>
        <v>0.94640625</v>
      </c>
      <c r="T206" s="23">
        <f t="shared" si="22"/>
        <v>-0.94640625</v>
      </c>
      <c r="U206" s="23">
        <f t="shared" si="26"/>
        <v>86.07763020833336</v>
      </c>
      <c r="W206">
        <v>647.29999999999995</v>
      </c>
      <c r="Y206">
        <f t="shared" si="24"/>
        <v>96671.800000000017</v>
      </c>
      <c r="Z206">
        <f t="shared" si="29"/>
        <v>8140.7</v>
      </c>
      <c r="AA206">
        <v>10.087182228181257</v>
      </c>
    </row>
    <row r="207" spans="1:27" x14ac:dyDescent="0.25">
      <c r="A207">
        <v>6280</v>
      </c>
      <c r="B207">
        <v>24170</v>
      </c>
      <c r="C207" s="8">
        <v>42785</v>
      </c>
      <c r="F207" s="48"/>
      <c r="G207">
        <v>4.5999999999999996</v>
      </c>
      <c r="H207">
        <v>-1.4</v>
      </c>
      <c r="I207">
        <v>9.3000000000000007</v>
      </c>
      <c r="J207">
        <f t="shared" si="23"/>
        <v>1380.7000000000003</v>
      </c>
      <c r="K207">
        <f t="shared" si="28"/>
        <v>139.20000000000002</v>
      </c>
      <c r="M207">
        <v>0.6</v>
      </c>
      <c r="N207">
        <v>0.6</v>
      </c>
      <c r="O207">
        <f t="shared" si="20"/>
        <v>0</v>
      </c>
      <c r="P207">
        <f t="shared" si="25"/>
        <v>76.799999999999983</v>
      </c>
      <c r="Q207">
        <v>173</v>
      </c>
      <c r="R207">
        <f t="shared" si="27"/>
        <v>1.05390625</v>
      </c>
      <c r="S207" s="23">
        <f t="shared" si="21"/>
        <v>0.63234374999999998</v>
      </c>
      <c r="T207" s="23">
        <f t="shared" si="22"/>
        <v>-3.2343750000000004E-2</v>
      </c>
      <c r="U207" s="23">
        <f t="shared" si="26"/>
        <v>86.045286458333365</v>
      </c>
      <c r="W207">
        <v>530</v>
      </c>
      <c r="Y207">
        <f t="shared" si="24"/>
        <v>97201.800000000017</v>
      </c>
      <c r="Z207">
        <f t="shared" si="29"/>
        <v>8670.7000000000007</v>
      </c>
      <c r="AA207">
        <v>10.14381528113584</v>
      </c>
    </row>
    <row r="208" spans="1:27" x14ac:dyDescent="0.25">
      <c r="A208">
        <v>6280</v>
      </c>
      <c r="B208">
        <v>24170</v>
      </c>
      <c r="C208" s="8">
        <v>42786</v>
      </c>
      <c r="F208" s="48"/>
      <c r="G208">
        <v>8.8000000000000007</v>
      </c>
      <c r="H208">
        <v>6.6</v>
      </c>
      <c r="I208">
        <v>10.9</v>
      </c>
      <c r="J208">
        <f t="shared" si="23"/>
        <v>1389.5000000000002</v>
      </c>
      <c r="K208">
        <f t="shared" si="28"/>
        <v>148.00000000000003</v>
      </c>
      <c r="M208">
        <v>0.2</v>
      </c>
      <c r="N208">
        <v>0.6</v>
      </c>
      <c r="O208">
        <f t="shared" si="20"/>
        <v>-0.39999999999999997</v>
      </c>
      <c r="P208">
        <f t="shared" si="25"/>
        <v>76.399999999999977</v>
      </c>
      <c r="Q208" s="22">
        <v>174</v>
      </c>
      <c r="R208">
        <f t="shared" si="27"/>
        <v>1.0562499999999999</v>
      </c>
      <c r="S208" s="23">
        <f t="shared" si="21"/>
        <v>0.63374999999999992</v>
      </c>
      <c r="T208" s="23">
        <f t="shared" si="22"/>
        <v>-0.43374999999999991</v>
      </c>
      <c r="U208" s="23">
        <f t="shared" si="26"/>
        <v>85.611536458333362</v>
      </c>
      <c r="W208">
        <v>192.6</v>
      </c>
      <c r="Y208">
        <f t="shared" si="24"/>
        <v>97394.400000000023</v>
      </c>
      <c r="Z208">
        <f t="shared" si="29"/>
        <v>8863.3000000000011</v>
      </c>
      <c r="AA208">
        <v>10.200775800935068</v>
      </c>
    </row>
    <row r="209" spans="1:27" x14ac:dyDescent="0.25">
      <c r="A209">
        <v>6280</v>
      </c>
      <c r="B209">
        <v>24170</v>
      </c>
      <c r="C209" s="8">
        <v>42787</v>
      </c>
      <c r="F209" s="48"/>
      <c r="G209">
        <v>10.7</v>
      </c>
      <c r="H209">
        <v>10</v>
      </c>
      <c r="I209">
        <v>11.2</v>
      </c>
      <c r="J209">
        <f t="shared" si="23"/>
        <v>1400.2000000000003</v>
      </c>
      <c r="K209">
        <f t="shared" si="28"/>
        <v>158.70000000000002</v>
      </c>
      <c r="M209">
        <v>0</v>
      </c>
      <c r="N209">
        <v>0.7</v>
      </c>
      <c r="O209">
        <f t="shared" si="20"/>
        <v>-0.7</v>
      </c>
      <c r="P209">
        <f t="shared" si="25"/>
        <v>75.699999999999974</v>
      </c>
      <c r="Q209">
        <v>175</v>
      </c>
      <c r="R209">
        <f t="shared" si="27"/>
        <v>1.05859375</v>
      </c>
      <c r="S209" s="23">
        <f t="shared" si="21"/>
        <v>0.74101562499999996</v>
      </c>
      <c r="T209" s="23">
        <f t="shared" si="22"/>
        <v>-0.74101562499999996</v>
      </c>
      <c r="U209" s="23">
        <f t="shared" si="26"/>
        <v>84.870520833333359</v>
      </c>
      <c r="W209">
        <v>189.8</v>
      </c>
      <c r="Y209">
        <f t="shared" si="24"/>
        <v>97584.200000000026</v>
      </c>
      <c r="Z209">
        <f t="shared" si="29"/>
        <v>9053.1</v>
      </c>
      <c r="AA209">
        <v>10.258048789831637</v>
      </c>
    </row>
    <row r="210" spans="1:27" x14ac:dyDescent="0.25">
      <c r="A210">
        <v>6280</v>
      </c>
      <c r="B210">
        <v>24170</v>
      </c>
      <c r="C210" s="8">
        <v>42788</v>
      </c>
      <c r="F210" s="48"/>
      <c r="G210">
        <v>10.3</v>
      </c>
      <c r="H210">
        <v>9.8000000000000007</v>
      </c>
      <c r="I210">
        <v>10.8</v>
      </c>
      <c r="J210">
        <f t="shared" si="23"/>
        <v>1410.5000000000002</v>
      </c>
      <c r="K210">
        <f t="shared" si="28"/>
        <v>169.00000000000003</v>
      </c>
      <c r="M210">
        <v>0</v>
      </c>
      <c r="N210">
        <v>1.4</v>
      </c>
      <c r="O210">
        <f t="shared" si="20"/>
        <v>-1.4</v>
      </c>
      <c r="P210">
        <f t="shared" si="25"/>
        <v>74.299999999999969</v>
      </c>
      <c r="Q210" s="22">
        <v>176</v>
      </c>
      <c r="R210">
        <f t="shared" si="27"/>
        <v>1.0609374999999999</v>
      </c>
      <c r="S210" s="23">
        <f t="shared" si="21"/>
        <v>1.4853124999999998</v>
      </c>
      <c r="T210" s="23">
        <f t="shared" si="22"/>
        <v>-1.4853124999999998</v>
      </c>
      <c r="U210" s="23">
        <f t="shared" si="26"/>
        <v>83.385208333333352</v>
      </c>
      <c r="W210">
        <v>264.39999999999998</v>
      </c>
      <c r="Y210">
        <f t="shared" si="24"/>
        <v>97848.60000000002</v>
      </c>
      <c r="Z210">
        <f t="shared" si="29"/>
        <v>9317.5</v>
      </c>
      <c r="AA210">
        <v>10.315619658242856</v>
      </c>
    </row>
    <row r="211" spans="1:27" x14ac:dyDescent="0.25">
      <c r="A211">
        <v>6280</v>
      </c>
      <c r="B211">
        <v>24170</v>
      </c>
      <c r="C211" s="8">
        <v>42789</v>
      </c>
      <c r="F211" s="48"/>
      <c r="G211">
        <v>9.3000000000000007</v>
      </c>
      <c r="H211">
        <v>8.8000000000000007</v>
      </c>
      <c r="I211">
        <v>10.199999999999999</v>
      </c>
      <c r="J211">
        <f t="shared" si="23"/>
        <v>1419.8000000000002</v>
      </c>
      <c r="K211">
        <f t="shared" si="28"/>
        <v>178.30000000000004</v>
      </c>
      <c r="M211">
        <v>0.6</v>
      </c>
      <c r="N211">
        <v>1.7</v>
      </c>
      <c r="O211">
        <f t="shared" si="20"/>
        <v>-1.1000000000000001</v>
      </c>
      <c r="P211">
        <f t="shared" si="25"/>
        <v>73.199999999999974</v>
      </c>
      <c r="Q211">
        <v>177</v>
      </c>
      <c r="R211">
        <f t="shared" si="27"/>
        <v>1.06328125</v>
      </c>
      <c r="S211" s="23">
        <f t="shared" si="21"/>
        <v>1.8075781249999998</v>
      </c>
      <c r="T211" s="23">
        <f t="shared" si="22"/>
        <v>-1.2075781249999999</v>
      </c>
      <c r="U211" s="23">
        <f t="shared" si="26"/>
        <v>82.177630208333355</v>
      </c>
      <c r="W211">
        <v>251.6</v>
      </c>
      <c r="Y211">
        <f t="shared" si="24"/>
        <v>98100.200000000026</v>
      </c>
      <c r="Z211">
        <f t="shared" si="29"/>
        <v>9569.1</v>
      </c>
      <c r="AA211">
        <v>10.373474216560899</v>
      </c>
    </row>
    <row r="212" spans="1:27" x14ac:dyDescent="0.25">
      <c r="A212">
        <v>6280</v>
      </c>
      <c r="B212">
        <v>24170</v>
      </c>
      <c r="C212" s="8">
        <v>42790</v>
      </c>
      <c r="F212" s="48"/>
      <c r="G212">
        <v>5.8</v>
      </c>
      <c r="H212">
        <v>4.8</v>
      </c>
      <c r="I212">
        <v>8.6999999999999993</v>
      </c>
      <c r="J212">
        <f t="shared" si="23"/>
        <v>1425.6000000000001</v>
      </c>
      <c r="K212">
        <f t="shared" si="28"/>
        <v>184.10000000000005</v>
      </c>
      <c r="M212">
        <v>0</v>
      </c>
      <c r="N212">
        <v>1.2</v>
      </c>
      <c r="O212">
        <f t="shared" si="20"/>
        <v>-1.2</v>
      </c>
      <c r="P212">
        <f t="shared" si="25"/>
        <v>71.999999999999972</v>
      </c>
      <c r="Q212" s="22">
        <v>178</v>
      </c>
      <c r="R212">
        <f t="shared" si="27"/>
        <v>1.065625</v>
      </c>
      <c r="S212" s="23">
        <f t="shared" si="21"/>
        <v>1.2787500000000001</v>
      </c>
      <c r="T212" s="23">
        <f t="shared" si="22"/>
        <v>-1.2787500000000001</v>
      </c>
      <c r="U212" s="23">
        <f t="shared" si="26"/>
        <v>80.898880208333352</v>
      </c>
      <c r="W212">
        <v>652</v>
      </c>
      <c r="Y212">
        <f t="shared" si="24"/>
        <v>98752.200000000026</v>
      </c>
      <c r="Z212">
        <f t="shared" si="29"/>
        <v>10221.1</v>
      </c>
      <c r="AA212">
        <v>10.431598666237178</v>
      </c>
    </row>
    <row r="213" spans="1:27" x14ac:dyDescent="0.25">
      <c r="A213">
        <v>6280</v>
      </c>
      <c r="B213">
        <v>24170</v>
      </c>
      <c r="C213" s="8">
        <v>42791</v>
      </c>
      <c r="F213" s="48"/>
      <c r="G213">
        <v>5.0999999999999996</v>
      </c>
      <c r="H213">
        <v>-0.9</v>
      </c>
      <c r="I213">
        <v>9.6</v>
      </c>
      <c r="J213">
        <f t="shared" si="23"/>
        <v>1430.7</v>
      </c>
      <c r="K213">
        <f t="shared" si="28"/>
        <v>189.20000000000005</v>
      </c>
      <c r="M213">
        <v>0</v>
      </c>
      <c r="N213">
        <v>1.5</v>
      </c>
      <c r="O213">
        <f t="shared" si="20"/>
        <v>-1.5</v>
      </c>
      <c r="P213">
        <f t="shared" si="25"/>
        <v>70.499999999999972</v>
      </c>
      <c r="Q213">
        <v>179</v>
      </c>
      <c r="R213">
        <f t="shared" si="27"/>
        <v>1.0679687499999999</v>
      </c>
      <c r="S213" s="23">
        <f t="shared" si="21"/>
        <v>1.6019531249999999</v>
      </c>
      <c r="T213" s="23">
        <f t="shared" si="22"/>
        <v>-1.6019531249999999</v>
      </c>
      <c r="U213" s="23">
        <f t="shared" si="26"/>
        <v>79.296927083333358</v>
      </c>
      <c r="W213">
        <v>929</v>
      </c>
      <c r="Y213">
        <f t="shared" si="24"/>
        <v>99681.200000000026</v>
      </c>
      <c r="Z213">
        <f t="shared" si="29"/>
        <v>11150.1</v>
      </c>
      <c r="AA213">
        <v>10.489979590195002</v>
      </c>
    </row>
    <row r="214" spans="1:27" x14ac:dyDescent="0.25">
      <c r="A214">
        <v>6280</v>
      </c>
      <c r="B214">
        <v>24170</v>
      </c>
      <c r="C214" s="8">
        <v>42792</v>
      </c>
      <c r="F214" s="48"/>
      <c r="G214">
        <v>8.6999999999999993</v>
      </c>
      <c r="H214">
        <v>5.0999999999999996</v>
      </c>
      <c r="I214">
        <v>10.7</v>
      </c>
      <c r="J214">
        <f t="shared" si="23"/>
        <v>1439.4</v>
      </c>
      <c r="K214">
        <f t="shared" si="28"/>
        <v>197.90000000000003</v>
      </c>
      <c r="M214">
        <v>0</v>
      </c>
      <c r="N214">
        <v>1.3</v>
      </c>
      <c r="O214">
        <f t="shared" si="20"/>
        <v>-1.3</v>
      </c>
      <c r="P214">
        <f t="shared" si="25"/>
        <v>69.199999999999974</v>
      </c>
      <c r="Q214" s="22">
        <v>180</v>
      </c>
      <c r="R214">
        <f t="shared" si="27"/>
        <v>1.0703125</v>
      </c>
      <c r="S214" s="23">
        <f t="shared" si="21"/>
        <v>1.39140625</v>
      </c>
      <c r="T214" s="23">
        <f t="shared" si="22"/>
        <v>-1.39140625</v>
      </c>
      <c r="U214" s="23">
        <f t="shared" si="26"/>
        <v>77.905520833333355</v>
      </c>
      <c r="W214">
        <v>404.1</v>
      </c>
      <c r="Y214">
        <f t="shared" si="24"/>
        <v>100085.30000000003</v>
      </c>
      <c r="Z214">
        <f t="shared" si="29"/>
        <v>11554.2</v>
      </c>
      <c r="AA214">
        <v>10.548603942621904</v>
      </c>
    </row>
    <row r="215" spans="1:27" x14ac:dyDescent="0.25">
      <c r="A215">
        <v>6280</v>
      </c>
      <c r="B215">
        <v>24170</v>
      </c>
      <c r="C215" s="8">
        <v>42793</v>
      </c>
      <c r="F215" s="48"/>
      <c r="G215">
        <v>8.9</v>
      </c>
      <c r="H215">
        <v>7.9</v>
      </c>
      <c r="I215">
        <v>10.9</v>
      </c>
      <c r="J215">
        <f t="shared" si="23"/>
        <v>1448.3000000000002</v>
      </c>
      <c r="K215">
        <f t="shared" si="28"/>
        <v>206.80000000000004</v>
      </c>
      <c r="M215">
        <v>9.6</v>
      </c>
      <c r="N215">
        <v>1.5</v>
      </c>
      <c r="O215">
        <f t="shared" si="20"/>
        <v>8.1</v>
      </c>
      <c r="P215">
        <f t="shared" si="25"/>
        <v>77.299999999999969</v>
      </c>
      <c r="Q215">
        <v>181</v>
      </c>
      <c r="R215">
        <f t="shared" si="27"/>
        <v>1.0726562499999999</v>
      </c>
      <c r="S215" s="23">
        <f t="shared" si="21"/>
        <v>1.6089843749999999</v>
      </c>
      <c r="T215" s="23">
        <f t="shared" si="22"/>
        <v>7.9910156249999993</v>
      </c>
      <c r="U215" s="23">
        <f t="shared" si="26"/>
        <v>85.896536458333358</v>
      </c>
      <c r="W215">
        <v>263.10000000000002</v>
      </c>
      <c r="Y215">
        <f t="shared" si="24"/>
        <v>100348.40000000004</v>
      </c>
      <c r="Z215">
        <f t="shared" si="29"/>
        <v>11817.300000000001</v>
      </c>
      <c r="AA215">
        <v>10.607459038190354</v>
      </c>
    </row>
    <row r="216" spans="1:27" x14ac:dyDescent="0.25">
      <c r="A216">
        <v>6280</v>
      </c>
      <c r="B216">
        <v>24170</v>
      </c>
      <c r="C216" s="8">
        <v>42794</v>
      </c>
      <c r="F216" s="48"/>
      <c r="G216">
        <v>5.7</v>
      </c>
      <c r="H216">
        <v>4.5</v>
      </c>
      <c r="I216">
        <v>6.6</v>
      </c>
      <c r="J216">
        <f t="shared" si="23"/>
        <v>1454.0000000000002</v>
      </c>
      <c r="K216">
        <f t="shared" si="28"/>
        <v>212.50000000000003</v>
      </c>
      <c r="M216">
        <v>4</v>
      </c>
      <c r="N216">
        <v>0.9</v>
      </c>
      <c r="O216">
        <f t="shared" si="20"/>
        <v>3.1</v>
      </c>
      <c r="P216">
        <f t="shared" si="25"/>
        <v>80.399999999999963</v>
      </c>
      <c r="Q216" s="22">
        <v>182</v>
      </c>
      <c r="R216">
        <f t="shared" si="27"/>
        <v>1.075</v>
      </c>
      <c r="S216" s="23">
        <f t="shared" si="21"/>
        <v>0.96750000000000003</v>
      </c>
      <c r="T216" s="23">
        <f t="shared" si="22"/>
        <v>3.0324999999999998</v>
      </c>
      <c r="U216" s="23">
        <f t="shared" si="26"/>
        <v>88.929036458333357</v>
      </c>
      <c r="W216">
        <v>263.10000000000002</v>
      </c>
      <c r="Y216">
        <f t="shared" si="24"/>
        <v>100611.50000000004</v>
      </c>
      <c r="Z216">
        <f t="shared" si="29"/>
        <v>12080.400000000001</v>
      </c>
      <c r="AA216">
        <v>10.666532540752948</v>
      </c>
    </row>
    <row r="217" spans="1:27" x14ac:dyDescent="0.25">
      <c r="A217">
        <v>6280</v>
      </c>
      <c r="B217">
        <v>24170</v>
      </c>
      <c r="C217" s="8">
        <v>42795</v>
      </c>
      <c r="F217" s="48"/>
      <c r="G217">
        <v>7.9</v>
      </c>
      <c r="H217">
        <v>6</v>
      </c>
      <c r="I217">
        <v>10.9</v>
      </c>
      <c r="J217">
        <f t="shared" si="23"/>
        <v>1461.9000000000003</v>
      </c>
      <c r="K217">
        <f t="shared" si="28"/>
        <v>220.40000000000003</v>
      </c>
      <c r="M217">
        <v>11</v>
      </c>
      <c r="N217">
        <v>1</v>
      </c>
      <c r="O217">
        <f t="shared" si="20"/>
        <v>10</v>
      </c>
      <c r="P217">
        <f t="shared" si="25"/>
        <v>90.399999999999963</v>
      </c>
      <c r="Q217">
        <v>183</v>
      </c>
      <c r="R217">
        <f t="shared" si="27"/>
        <v>1.07734375</v>
      </c>
      <c r="S217" s="23">
        <f t="shared" si="21"/>
        <v>1.07734375</v>
      </c>
      <c r="T217" s="23">
        <f t="shared" si="22"/>
        <v>9.9226562499999993</v>
      </c>
      <c r="U217" s="23">
        <f t="shared" si="26"/>
        <v>98.85169270833336</v>
      </c>
      <c r="W217">
        <v>292.39999999999998</v>
      </c>
      <c r="Y217">
        <f t="shared" si="24"/>
        <v>100903.90000000004</v>
      </c>
      <c r="Z217">
        <f t="shared" si="29"/>
        <v>12372.800000000001</v>
      </c>
      <c r="AA217">
        <v>10.725812451555395</v>
      </c>
    </row>
    <row r="218" spans="1:27" x14ac:dyDescent="0.25">
      <c r="A218">
        <v>6280</v>
      </c>
      <c r="B218">
        <v>24170</v>
      </c>
      <c r="C218" s="8">
        <v>42796</v>
      </c>
      <c r="F218" s="48"/>
      <c r="G218">
        <v>8.1999999999999993</v>
      </c>
      <c r="H218">
        <v>5.5</v>
      </c>
      <c r="I218">
        <v>11.8</v>
      </c>
      <c r="J218">
        <f t="shared" si="23"/>
        <v>1470.1000000000004</v>
      </c>
      <c r="K218">
        <f t="shared" si="28"/>
        <v>228.60000000000002</v>
      </c>
      <c r="M218">
        <v>0</v>
      </c>
      <c r="N218">
        <v>1.7</v>
      </c>
      <c r="O218">
        <f t="shared" si="20"/>
        <v>-1.7</v>
      </c>
      <c r="P218">
        <f t="shared" si="25"/>
        <v>88.69999999999996</v>
      </c>
      <c r="Q218" s="22">
        <v>184</v>
      </c>
      <c r="R218">
        <f t="shared" si="27"/>
        <v>1.0796874999999999</v>
      </c>
      <c r="S218" s="23">
        <f t="shared" si="21"/>
        <v>1.8354687499999998</v>
      </c>
      <c r="T218" s="23">
        <f t="shared" si="22"/>
        <v>-1.8354687499999998</v>
      </c>
      <c r="U218" s="23">
        <f t="shared" si="26"/>
        <v>97.016223958333356</v>
      </c>
      <c r="W218">
        <v>732.3</v>
      </c>
      <c r="Y218">
        <f t="shared" si="24"/>
        <v>101636.20000000004</v>
      </c>
      <c r="Z218">
        <f t="shared" si="29"/>
        <v>13105.1</v>
      </c>
      <c r="AA218">
        <v>10.785287097008213</v>
      </c>
    </row>
    <row r="219" spans="1:27" x14ac:dyDescent="0.25">
      <c r="A219">
        <v>6280</v>
      </c>
      <c r="B219">
        <v>24170</v>
      </c>
      <c r="C219" s="8">
        <v>42797</v>
      </c>
      <c r="F219" s="48"/>
      <c r="G219">
        <v>10.3</v>
      </c>
      <c r="H219">
        <v>5.3</v>
      </c>
      <c r="I219">
        <v>12.6</v>
      </c>
      <c r="J219">
        <f t="shared" si="23"/>
        <v>1480.4000000000003</v>
      </c>
      <c r="K219">
        <f t="shared" si="28"/>
        <v>238.90000000000003</v>
      </c>
      <c r="M219">
        <v>2.9</v>
      </c>
      <c r="N219">
        <v>1.3</v>
      </c>
      <c r="O219">
        <f t="shared" si="20"/>
        <v>1.5999999999999999</v>
      </c>
      <c r="P219">
        <f t="shared" si="25"/>
        <v>90.299999999999955</v>
      </c>
      <c r="Q219">
        <v>185</v>
      </c>
      <c r="R219">
        <f t="shared" si="27"/>
        <v>1.08203125</v>
      </c>
      <c r="S219" s="23">
        <f t="shared" si="21"/>
        <v>1.4066406250000001</v>
      </c>
      <c r="T219" s="23">
        <f t="shared" si="22"/>
        <v>1.4933593749999998</v>
      </c>
      <c r="U219" s="23">
        <f t="shared" si="26"/>
        <v>98.509583333333353</v>
      </c>
      <c r="W219">
        <v>518.5</v>
      </c>
      <c r="Y219">
        <f t="shared" si="24"/>
        <v>102154.70000000004</v>
      </c>
      <c r="Z219">
        <f t="shared" si="29"/>
        <v>13623.6</v>
      </c>
      <c r="AA219">
        <v>10.844945116055314</v>
      </c>
    </row>
    <row r="220" spans="1:27" x14ac:dyDescent="0.25">
      <c r="A220">
        <v>6280</v>
      </c>
      <c r="B220">
        <v>24170</v>
      </c>
      <c r="C220" s="8">
        <v>42798</v>
      </c>
      <c r="F220" s="48"/>
      <c r="G220">
        <v>8.1</v>
      </c>
      <c r="H220">
        <v>6.7</v>
      </c>
      <c r="I220">
        <v>8.6</v>
      </c>
      <c r="J220">
        <f t="shared" si="23"/>
        <v>1488.5000000000002</v>
      </c>
      <c r="K220">
        <f t="shared" si="28"/>
        <v>247.00000000000003</v>
      </c>
      <c r="M220">
        <v>13.9</v>
      </c>
      <c r="N220">
        <v>0.5</v>
      </c>
      <c r="O220">
        <f t="shared" si="20"/>
        <v>13.4</v>
      </c>
      <c r="P220">
        <f t="shared" si="25"/>
        <v>103.69999999999996</v>
      </c>
      <c r="Q220" s="22">
        <v>186</v>
      </c>
      <c r="R220">
        <f t="shared" si="27"/>
        <v>1.0843749999999999</v>
      </c>
      <c r="S220" s="23">
        <f t="shared" si="21"/>
        <v>0.54218749999999993</v>
      </c>
      <c r="T220" s="23">
        <f t="shared" si="22"/>
        <v>13.3578125</v>
      </c>
      <c r="U220" s="23">
        <f t="shared" si="26"/>
        <v>111.86739583333335</v>
      </c>
      <c r="W220">
        <v>246.2</v>
      </c>
      <c r="Y220">
        <f t="shared" si="24"/>
        <v>102400.90000000004</v>
      </c>
      <c r="Z220">
        <f t="shared" si="29"/>
        <v>13869.800000000001</v>
      </c>
      <c r="AA220">
        <v>10.904775447175357</v>
      </c>
    </row>
    <row r="221" spans="1:27" x14ac:dyDescent="0.25">
      <c r="A221">
        <v>6280</v>
      </c>
      <c r="B221">
        <v>24170</v>
      </c>
      <c r="C221" s="8">
        <v>42799</v>
      </c>
      <c r="F221" s="48"/>
      <c r="G221">
        <v>6.1</v>
      </c>
      <c r="H221">
        <v>4.2</v>
      </c>
      <c r="I221">
        <v>7.4</v>
      </c>
      <c r="J221">
        <f t="shared" si="23"/>
        <v>1494.6000000000001</v>
      </c>
      <c r="K221">
        <f t="shared" si="28"/>
        <v>253.10000000000002</v>
      </c>
      <c r="M221">
        <v>11.3</v>
      </c>
      <c r="N221">
        <v>0.7</v>
      </c>
      <c r="O221">
        <f t="shared" si="20"/>
        <v>10.600000000000001</v>
      </c>
      <c r="P221">
        <f t="shared" si="25"/>
        <v>114.29999999999995</v>
      </c>
      <c r="Q221">
        <v>187</v>
      </c>
      <c r="R221">
        <f t="shared" si="27"/>
        <v>1.08671875</v>
      </c>
      <c r="S221" s="23">
        <f t="shared" si="21"/>
        <v>0.76070312499999992</v>
      </c>
      <c r="T221" s="23">
        <f t="shared" si="22"/>
        <v>10.539296875000002</v>
      </c>
      <c r="U221" s="23">
        <f t="shared" si="26"/>
        <v>122.40669270833335</v>
      </c>
      <c r="W221">
        <v>266.89999999999998</v>
      </c>
      <c r="Y221">
        <f t="shared" si="24"/>
        <v>102667.80000000003</v>
      </c>
      <c r="Z221">
        <f t="shared" si="29"/>
        <v>14136.7</v>
      </c>
      <c r="AA221">
        <v>10.964767315049304</v>
      </c>
    </row>
    <row r="222" spans="1:27" x14ac:dyDescent="0.25">
      <c r="A222">
        <v>6280</v>
      </c>
      <c r="B222">
        <v>24170</v>
      </c>
      <c r="C222" s="8">
        <v>42800</v>
      </c>
      <c r="F222" s="48"/>
      <c r="G222">
        <v>5.8</v>
      </c>
      <c r="H222">
        <v>4.2</v>
      </c>
      <c r="I222">
        <v>7</v>
      </c>
      <c r="J222">
        <f t="shared" si="23"/>
        <v>1500.4</v>
      </c>
      <c r="K222">
        <f t="shared" si="28"/>
        <v>258.90000000000003</v>
      </c>
      <c r="M222">
        <v>8.5</v>
      </c>
      <c r="N222">
        <v>0.6</v>
      </c>
      <c r="O222">
        <f t="shared" si="20"/>
        <v>7.9</v>
      </c>
      <c r="P222">
        <f t="shared" si="25"/>
        <v>122.19999999999996</v>
      </c>
      <c r="Q222" s="22">
        <v>188</v>
      </c>
      <c r="R222">
        <f t="shared" si="27"/>
        <v>1.0890625</v>
      </c>
      <c r="S222" s="23">
        <f t="shared" si="21"/>
        <v>0.6534375</v>
      </c>
      <c r="T222" s="23">
        <f t="shared" si="22"/>
        <v>7.8465625000000001</v>
      </c>
      <c r="U222" s="23">
        <f t="shared" si="26"/>
        <v>130.25325520833334</v>
      </c>
      <c r="W222">
        <v>348.5</v>
      </c>
      <c r="Y222">
        <f t="shared" si="24"/>
        <v>103016.30000000003</v>
      </c>
      <c r="Z222">
        <f t="shared" si="29"/>
        <v>14485.2</v>
      </c>
      <c r="AA222">
        <v>11.02491021692531</v>
      </c>
    </row>
    <row r="223" spans="1:27" x14ac:dyDescent="0.25">
      <c r="A223">
        <v>6280</v>
      </c>
      <c r="B223">
        <v>24170</v>
      </c>
      <c r="C223" s="8">
        <v>42801</v>
      </c>
      <c r="F223" s="48"/>
      <c r="G223">
        <v>6.9</v>
      </c>
      <c r="H223">
        <v>5.8</v>
      </c>
      <c r="I223">
        <v>8.9</v>
      </c>
      <c r="J223">
        <f t="shared" si="23"/>
        <v>1507.3000000000002</v>
      </c>
      <c r="K223">
        <f t="shared" si="28"/>
        <v>265.8</v>
      </c>
      <c r="M223">
        <v>1.6</v>
      </c>
      <c r="N223">
        <v>1</v>
      </c>
      <c r="O223">
        <f t="shared" si="20"/>
        <v>0.60000000000000009</v>
      </c>
      <c r="P223">
        <f t="shared" si="25"/>
        <v>122.79999999999995</v>
      </c>
      <c r="Q223">
        <v>189</v>
      </c>
      <c r="R223">
        <f t="shared" si="27"/>
        <v>1.0914062499999999</v>
      </c>
      <c r="S223" s="23">
        <f t="shared" si="21"/>
        <v>1.0914062499999999</v>
      </c>
      <c r="T223" s="23">
        <f t="shared" si="22"/>
        <v>0.50859375000000018</v>
      </c>
      <c r="U223" s="23">
        <f t="shared" si="26"/>
        <v>130.76184895833333</v>
      </c>
      <c r="W223">
        <v>304.8</v>
      </c>
      <c r="Y223">
        <f t="shared" si="24"/>
        <v>103321.10000000003</v>
      </c>
      <c r="Z223">
        <f t="shared" si="29"/>
        <v>14790</v>
      </c>
      <c r="AA223">
        <v>11.08519390870994</v>
      </c>
    </row>
    <row r="224" spans="1:27" x14ac:dyDescent="0.25">
      <c r="A224">
        <v>6280</v>
      </c>
      <c r="B224">
        <v>24170</v>
      </c>
      <c r="C224" s="8">
        <v>42802</v>
      </c>
      <c r="F224" s="48"/>
      <c r="G224">
        <v>9.6</v>
      </c>
      <c r="H224">
        <v>4.9000000000000004</v>
      </c>
      <c r="I224">
        <v>12.2</v>
      </c>
      <c r="J224">
        <f t="shared" si="23"/>
        <v>1516.9</v>
      </c>
      <c r="K224">
        <f t="shared" si="28"/>
        <v>275.40000000000003</v>
      </c>
      <c r="M224">
        <v>0.4</v>
      </c>
      <c r="N224">
        <v>0.3</v>
      </c>
      <c r="O224">
        <f t="shared" si="20"/>
        <v>0.10000000000000003</v>
      </c>
      <c r="P224">
        <f t="shared" si="25"/>
        <v>122.89999999999995</v>
      </c>
      <c r="Q224" s="22">
        <v>190</v>
      </c>
      <c r="R224">
        <f t="shared" si="27"/>
        <v>1.09375</v>
      </c>
      <c r="S224" s="23">
        <f t="shared" si="21"/>
        <v>0.328125</v>
      </c>
      <c r="T224" s="23">
        <f t="shared" si="22"/>
        <v>7.1875000000000022E-2</v>
      </c>
      <c r="U224" s="23">
        <f t="shared" si="26"/>
        <v>130.83372395833334</v>
      </c>
      <c r="W224">
        <v>264.10000000000002</v>
      </c>
      <c r="Y224">
        <f t="shared" si="24"/>
        <v>103585.20000000004</v>
      </c>
      <c r="Z224">
        <f t="shared" si="29"/>
        <v>15054.1</v>
      </c>
      <c r="AA224">
        <v>11.145608390812566</v>
      </c>
    </row>
    <row r="225" spans="1:27" x14ac:dyDescent="0.25">
      <c r="A225">
        <v>6280</v>
      </c>
      <c r="B225">
        <v>24170</v>
      </c>
      <c r="C225" s="8">
        <v>42803</v>
      </c>
      <c r="F225" s="48"/>
      <c r="G225">
        <v>11.6</v>
      </c>
      <c r="H225">
        <v>10.9</v>
      </c>
      <c r="I225">
        <v>13.2</v>
      </c>
      <c r="J225">
        <f t="shared" si="23"/>
        <v>1528.5</v>
      </c>
      <c r="K225">
        <f t="shared" si="28"/>
        <v>287.00000000000006</v>
      </c>
      <c r="M225">
        <v>0</v>
      </c>
      <c r="N225">
        <v>0.7</v>
      </c>
      <c r="O225">
        <f t="shared" si="20"/>
        <v>-0.7</v>
      </c>
      <c r="P225">
        <f t="shared" si="25"/>
        <v>122.19999999999995</v>
      </c>
      <c r="Q225">
        <v>191</v>
      </c>
      <c r="R225">
        <f t="shared" si="27"/>
        <v>1.0960937499999999</v>
      </c>
      <c r="S225" s="23">
        <f t="shared" si="21"/>
        <v>0.76726562499999984</v>
      </c>
      <c r="T225" s="23">
        <f t="shared" si="22"/>
        <v>-0.76726562499999984</v>
      </c>
      <c r="U225" s="23">
        <f t="shared" si="26"/>
        <v>130.06645833333334</v>
      </c>
      <c r="W225">
        <v>302.89999999999998</v>
      </c>
      <c r="Y225">
        <f t="shared" si="24"/>
        <v>103888.10000000003</v>
      </c>
      <c r="Z225">
        <f t="shared" si="29"/>
        <v>15357</v>
      </c>
      <c r="AA225">
        <v>11.206143893767848</v>
      </c>
    </row>
    <row r="226" spans="1:27" x14ac:dyDescent="0.25">
      <c r="A226">
        <v>6280</v>
      </c>
      <c r="B226">
        <v>24170</v>
      </c>
      <c r="C226" s="8">
        <v>42804</v>
      </c>
      <c r="F226" s="48"/>
      <c r="G226">
        <v>7.7</v>
      </c>
      <c r="H226">
        <v>7.1</v>
      </c>
      <c r="I226">
        <v>9.6</v>
      </c>
      <c r="J226">
        <f t="shared" si="23"/>
        <v>1536.2</v>
      </c>
      <c r="K226">
        <f t="shared" si="28"/>
        <v>294.70000000000005</v>
      </c>
      <c r="M226">
        <v>0</v>
      </c>
      <c r="N226">
        <v>0.9</v>
      </c>
      <c r="O226">
        <f t="shared" si="20"/>
        <v>-0.9</v>
      </c>
      <c r="P226">
        <f t="shared" si="25"/>
        <v>121.29999999999994</v>
      </c>
      <c r="Q226" s="22">
        <v>192</v>
      </c>
      <c r="R226">
        <f t="shared" si="27"/>
        <v>1.0984375</v>
      </c>
      <c r="S226" s="23">
        <f t="shared" si="21"/>
        <v>0.98859374999999994</v>
      </c>
      <c r="T226" s="23">
        <f t="shared" si="22"/>
        <v>-0.98859374999999994</v>
      </c>
      <c r="U226" s="23">
        <f t="shared" si="26"/>
        <v>129.07786458333334</v>
      </c>
      <c r="W226">
        <v>527.20000000000005</v>
      </c>
      <c r="Y226">
        <f t="shared" si="24"/>
        <v>104415.30000000003</v>
      </c>
      <c r="Z226">
        <f t="shared" si="29"/>
        <v>15884.2</v>
      </c>
      <c r="AA226">
        <v>11.26679086365929</v>
      </c>
    </row>
    <row r="227" spans="1:27" x14ac:dyDescent="0.25">
      <c r="A227">
        <v>6280</v>
      </c>
      <c r="B227">
        <v>24170</v>
      </c>
      <c r="C227" s="8">
        <v>42805</v>
      </c>
      <c r="F227" s="48"/>
      <c r="G227">
        <v>8.3000000000000007</v>
      </c>
      <c r="H227">
        <v>1.5</v>
      </c>
      <c r="I227">
        <v>14.2</v>
      </c>
      <c r="J227">
        <f t="shared" si="23"/>
        <v>1544.5</v>
      </c>
      <c r="K227">
        <f t="shared" si="28"/>
        <v>303.00000000000006</v>
      </c>
      <c r="M227">
        <v>0</v>
      </c>
      <c r="N227">
        <v>1.7</v>
      </c>
      <c r="O227">
        <f t="shared" si="20"/>
        <v>-1.7</v>
      </c>
      <c r="P227">
        <f t="shared" si="25"/>
        <v>119.59999999999994</v>
      </c>
      <c r="Q227">
        <v>193</v>
      </c>
      <c r="R227">
        <f t="shared" si="27"/>
        <v>1.1007812499999998</v>
      </c>
      <c r="S227" s="23">
        <f t="shared" si="21"/>
        <v>1.8713281249999996</v>
      </c>
      <c r="T227" s="23">
        <f t="shared" si="22"/>
        <v>-1.8713281249999996</v>
      </c>
      <c r="U227" s="23">
        <f t="shared" si="26"/>
        <v>127.20653645833333</v>
      </c>
      <c r="W227">
        <v>1027.9000000000001</v>
      </c>
      <c r="Y227">
        <f t="shared" si="24"/>
        <v>105443.20000000003</v>
      </c>
      <c r="Z227">
        <f t="shared" si="29"/>
        <v>16912.100000000002</v>
      </c>
      <c r="AA227">
        <v>11.327539947365151</v>
      </c>
    </row>
    <row r="228" spans="1:27" x14ac:dyDescent="0.25">
      <c r="A228">
        <v>6280</v>
      </c>
      <c r="B228">
        <v>24170</v>
      </c>
      <c r="C228" s="8">
        <v>42806</v>
      </c>
      <c r="F228" s="48"/>
      <c r="G228">
        <v>10.199999999999999</v>
      </c>
      <c r="H228">
        <v>4.9000000000000004</v>
      </c>
      <c r="I228">
        <v>15.7</v>
      </c>
      <c r="J228">
        <f t="shared" si="23"/>
        <v>1554.7</v>
      </c>
      <c r="K228">
        <f t="shared" si="28"/>
        <v>313.20000000000005</v>
      </c>
      <c r="M228">
        <v>0</v>
      </c>
      <c r="N228">
        <v>1.9</v>
      </c>
      <c r="O228">
        <f t="shared" ref="O228:O291" si="30">M228-N228</f>
        <v>-1.9</v>
      </c>
      <c r="P228">
        <f t="shared" si="25"/>
        <v>117.69999999999993</v>
      </c>
      <c r="Q228" s="22">
        <v>194</v>
      </c>
      <c r="R228">
        <f t="shared" si="27"/>
        <v>1.1031249999999999</v>
      </c>
      <c r="S228" s="23">
        <f t="shared" ref="S228:S291" si="31">R228*N228</f>
        <v>2.0959374999999998</v>
      </c>
      <c r="T228" s="23">
        <f t="shared" ref="T228:T291" si="32">M228-S228</f>
        <v>-2.0959374999999998</v>
      </c>
      <c r="U228" s="23">
        <f t="shared" si="26"/>
        <v>125.11059895833333</v>
      </c>
      <c r="W228">
        <v>1138.5</v>
      </c>
      <c r="Y228">
        <f t="shared" si="24"/>
        <v>106581.70000000003</v>
      </c>
      <c r="Z228">
        <f t="shared" si="29"/>
        <v>18050.600000000002</v>
      </c>
      <c r="AA228">
        <v>11.38838197764627</v>
      </c>
    </row>
    <row r="229" spans="1:27" x14ac:dyDescent="0.25">
      <c r="A229">
        <v>6280</v>
      </c>
      <c r="B229">
        <v>24170</v>
      </c>
      <c r="C229" s="8">
        <v>42807</v>
      </c>
      <c r="F229" s="48"/>
      <c r="G229">
        <v>9.1999999999999993</v>
      </c>
      <c r="H229">
        <v>3.9</v>
      </c>
      <c r="I229">
        <v>13.4</v>
      </c>
      <c r="J229">
        <f t="shared" ref="J229:J292" si="33">J228+G229</f>
        <v>1563.9</v>
      </c>
      <c r="K229">
        <f t="shared" si="28"/>
        <v>322.40000000000003</v>
      </c>
      <c r="M229">
        <v>0</v>
      </c>
      <c r="N229">
        <v>1.5</v>
      </c>
      <c r="O229">
        <f t="shared" si="30"/>
        <v>-1.5</v>
      </c>
      <c r="P229">
        <f t="shared" si="25"/>
        <v>116.19999999999993</v>
      </c>
      <c r="Q229">
        <v>195</v>
      </c>
      <c r="R229">
        <f t="shared" si="27"/>
        <v>1.10546875</v>
      </c>
      <c r="S229" s="23">
        <f t="shared" si="31"/>
        <v>1.658203125</v>
      </c>
      <c r="T229" s="23">
        <f t="shared" si="32"/>
        <v>-1.658203125</v>
      </c>
      <c r="U229" s="23">
        <f t="shared" si="26"/>
        <v>123.45239583333333</v>
      </c>
      <c r="W229">
        <v>1115.0999999999999</v>
      </c>
      <c r="Y229">
        <f t="shared" ref="Y229:Y292" si="34">Y228+W229</f>
        <v>107696.80000000003</v>
      </c>
      <c r="Z229">
        <f t="shared" si="29"/>
        <v>19165.7</v>
      </c>
      <c r="AA229">
        <v>11.449307958093899</v>
      </c>
    </row>
    <row r="230" spans="1:27" x14ac:dyDescent="0.25">
      <c r="A230">
        <v>6280</v>
      </c>
      <c r="B230">
        <v>24170</v>
      </c>
      <c r="C230" s="8">
        <v>42808</v>
      </c>
      <c r="F230" s="48"/>
      <c r="G230">
        <v>9.1</v>
      </c>
      <c r="H230">
        <v>2.6</v>
      </c>
      <c r="I230">
        <v>14</v>
      </c>
      <c r="J230">
        <f t="shared" si="33"/>
        <v>1573</v>
      </c>
      <c r="K230">
        <f t="shared" si="28"/>
        <v>331.50000000000006</v>
      </c>
      <c r="M230">
        <v>0</v>
      </c>
      <c r="N230">
        <v>1.7</v>
      </c>
      <c r="O230">
        <f t="shared" si="30"/>
        <v>-1.7</v>
      </c>
      <c r="P230">
        <f t="shared" si="25"/>
        <v>114.49999999999993</v>
      </c>
      <c r="Q230" s="22">
        <v>196</v>
      </c>
      <c r="R230">
        <f t="shared" si="27"/>
        <v>1.1078124999999999</v>
      </c>
      <c r="S230" s="23">
        <f t="shared" si="31"/>
        <v>1.8832812499999998</v>
      </c>
      <c r="T230" s="23">
        <f t="shared" si="32"/>
        <v>-1.8832812499999998</v>
      </c>
      <c r="U230" s="23">
        <f t="shared" si="26"/>
        <v>121.56911458333333</v>
      </c>
      <c r="W230">
        <v>1251.3</v>
      </c>
      <c r="Y230">
        <f t="shared" si="34"/>
        <v>108948.10000000003</v>
      </c>
      <c r="Z230">
        <f t="shared" si="29"/>
        <v>20417</v>
      </c>
      <c r="AA230">
        <v>11.510309047954181</v>
      </c>
    </row>
    <row r="231" spans="1:27" x14ac:dyDescent="0.25">
      <c r="A231">
        <v>6280</v>
      </c>
      <c r="B231">
        <v>24170</v>
      </c>
      <c r="C231" s="8">
        <v>42809</v>
      </c>
      <c r="F231" s="48"/>
      <c r="G231">
        <v>10.6</v>
      </c>
      <c r="H231">
        <v>8.6</v>
      </c>
      <c r="I231">
        <v>13.4</v>
      </c>
      <c r="J231">
        <f t="shared" si="33"/>
        <v>1583.6</v>
      </c>
      <c r="K231">
        <f t="shared" si="28"/>
        <v>342.10000000000008</v>
      </c>
      <c r="M231">
        <v>0</v>
      </c>
      <c r="N231">
        <v>1.2</v>
      </c>
      <c r="O231">
        <f t="shared" si="30"/>
        <v>-1.2</v>
      </c>
      <c r="P231">
        <f t="shared" si="25"/>
        <v>113.29999999999993</v>
      </c>
      <c r="Q231">
        <v>197</v>
      </c>
      <c r="R231">
        <f t="shared" si="27"/>
        <v>1.11015625</v>
      </c>
      <c r="S231" s="23">
        <f t="shared" si="31"/>
        <v>1.3321874999999999</v>
      </c>
      <c r="T231" s="23">
        <f t="shared" si="32"/>
        <v>-1.3321874999999999</v>
      </c>
      <c r="U231" s="23">
        <f t="shared" si="26"/>
        <v>120.23692708333333</v>
      </c>
      <c r="W231">
        <v>859.4</v>
      </c>
      <c r="Y231">
        <f t="shared" si="34"/>
        <v>109807.50000000003</v>
      </c>
      <c r="Z231">
        <f t="shared" si="29"/>
        <v>21276.400000000001</v>
      </c>
      <c r="AA231">
        <v>11.571376546844606</v>
      </c>
    </row>
    <row r="232" spans="1:27" x14ac:dyDescent="0.25">
      <c r="A232">
        <v>6280</v>
      </c>
      <c r="B232">
        <v>24170</v>
      </c>
      <c r="C232" s="8">
        <v>42810</v>
      </c>
      <c r="F232" s="48"/>
      <c r="G232">
        <v>11</v>
      </c>
      <c r="H232">
        <v>3.4</v>
      </c>
      <c r="I232">
        <v>17.7</v>
      </c>
      <c r="J232">
        <f t="shared" si="33"/>
        <v>1594.6</v>
      </c>
      <c r="K232">
        <f t="shared" si="28"/>
        <v>353.10000000000008</v>
      </c>
      <c r="M232">
        <v>0</v>
      </c>
      <c r="N232">
        <v>2.7</v>
      </c>
      <c r="O232">
        <f t="shared" si="30"/>
        <v>-2.7</v>
      </c>
      <c r="P232">
        <f t="shared" si="25"/>
        <v>110.59999999999992</v>
      </c>
      <c r="Q232" s="22">
        <v>198</v>
      </c>
      <c r="R232">
        <f t="shared" si="27"/>
        <v>1.1124999999999998</v>
      </c>
      <c r="S232" s="23">
        <f t="shared" si="31"/>
        <v>3.0037499999999997</v>
      </c>
      <c r="T232" s="23">
        <f t="shared" si="32"/>
        <v>-3.0037499999999997</v>
      </c>
      <c r="U232" s="23">
        <f t="shared" si="26"/>
        <v>117.23317708333333</v>
      </c>
      <c r="W232">
        <v>1671.2</v>
      </c>
      <c r="Y232">
        <f t="shared" si="34"/>
        <v>111478.70000000003</v>
      </c>
      <c r="Z232">
        <f t="shared" si="29"/>
        <v>22947.600000000002</v>
      </c>
      <c r="AA232">
        <v>11.632501879376637</v>
      </c>
    </row>
    <row r="233" spans="1:27" x14ac:dyDescent="0.25">
      <c r="A233">
        <v>6280</v>
      </c>
      <c r="B233">
        <v>24170</v>
      </c>
      <c r="C233" s="8">
        <v>42811</v>
      </c>
      <c r="F233" s="48"/>
      <c r="G233">
        <v>9.3000000000000007</v>
      </c>
      <c r="H233">
        <v>7.1</v>
      </c>
      <c r="I233">
        <v>11.8</v>
      </c>
      <c r="J233">
        <f t="shared" si="33"/>
        <v>1603.8999999999999</v>
      </c>
      <c r="K233">
        <f t="shared" si="28"/>
        <v>362.40000000000009</v>
      </c>
      <c r="M233">
        <v>0.3</v>
      </c>
      <c r="N233">
        <v>1.1000000000000001</v>
      </c>
      <c r="O233">
        <f t="shared" si="30"/>
        <v>-0.8</v>
      </c>
      <c r="P233">
        <f t="shared" ref="P233:P296" si="35">P232+O233</f>
        <v>109.79999999999993</v>
      </c>
      <c r="Q233">
        <v>199</v>
      </c>
      <c r="R233">
        <f t="shared" si="27"/>
        <v>1.1148437499999999</v>
      </c>
      <c r="S233" s="23">
        <f t="shared" si="31"/>
        <v>1.226328125</v>
      </c>
      <c r="T233" s="23">
        <f t="shared" si="32"/>
        <v>-0.92632812499999995</v>
      </c>
      <c r="U233" s="23">
        <f t="shared" ref="U233:U296" si="36">MIN(U232+T233,197.4)</f>
        <v>116.30684895833333</v>
      </c>
      <c r="W233">
        <v>419.1</v>
      </c>
      <c r="Y233">
        <f t="shared" si="34"/>
        <v>111897.80000000003</v>
      </c>
      <c r="Z233">
        <f t="shared" si="29"/>
        <v>23366.7</v>
      </c>
      <c r="AA233">
        <v>11.693676579697561</v>
      </c>
    </row>
    <row r="234" spans="1:27" x14ac:dyDescent="0.25">
      <c r="A234">
        <v>6280</v>
      </c>
      <c r="B234">
        <v>24170</v>
      </c>
      <c r="C234" s="8">
        <v>42812</v>
      </c>
      <c r="F234" s="48"/>
      <c r="G234">
        <v>10.1</v>
      </c>
      <c r="H234">
        <v>7.2</v>
      </c>
      <c r="I234">
        <v>12</v>
      </c>
      <c r="J234">
        <f t="shared" si="33"/>
        <v>1613.9999999999998</v>
      </c>
      <c r="K234">
        <f t="shared" si="28"/>
        <v>372.50000000000011</v>
      </c>
      <c r="M234">
        <v>0.3</v>
      </c>
      <c r="N234">
        <v>0.7</v>
      </c>
      <c r="O234">
        <f t="shared" si="30"/>
        <v>-0.39999999999999997</v>
      </c>
      <c r="P234">
        <f t="shared" si="35"/>
        <v>109.39999999999992</v>
      </c>
      <c r="Q234" s="22">
        <v>200</v>
      </c>
      <c r="R234">
        <f t="shared" si="27"/>
        <v>1.1171875</v>
      </c>
      <c r="S234" s="23">
        <f t="shared" si="31"/>
        <v>0.78203124999999996</v>
      </c>
      <c r="T234" s="23">
        <f t="shared" si="32"/>
        <v>-0.48203124999999997</v>
      </c>
      <c r="U234" s="23">
        <f t="shared" si="36"/>
        <v>115.82481770833333</v>
      </c>
      <c r="W234">
        <v>339.6</v>
      </c>
      <c r="Y234">
        <f t="shared" si="34"/>
        <v>112237.40000000004</v>
      </c>
      <c r="Z234">
        <f t="shared" si="29"/>
        <v>23706.3</v>
      </c>
      <c r="AA234">
        <v>11.754892275963792</v>
      </c>
    </row>
    <row r="235" spans="1:27" x14ac:dyDescent="0.25">
      <c r="A235">
        <v>6280</v>
      </c>
      <c r="B235">
        <v>24170</v>
      </c>
      <c r="C235" s="8">
        <v>42813</v>
      </c>
      <c r="F235" s="48"/>
      <c r="G235">
        <v>11.6</v>
      </c>
      <c r="H235">
        <v>10.4</v>
      </c>
      <c r="I235">
        <v>12.4</v>
      </c>
      <c r="J235">
        <f t="shared" si="33"/>
        <v>1625.5999999999997</v>
      </c>
      <c r="K235">
        <f t="shared" si="28"/>
        <v>384.10000000000014</v>
      </c>
      <c r="M235">
        <v>0</v>
      </c>
      <c r="N235">
        <v>1</v>
      </c>
      <c r="O235">
        <f t="shared" si="30"/>
        <v>-1</v>
      </c>
      <c r="P235">
        <f t="shared" si="35"/>
        <v>108.39999999999992</v>
      </c>
      <c r="Q235">
        <v>201</v>
      </c>
      <c r="R235">
        <f t="shared" si="27"/>
        <v>1.1195312499999999</v>
      </c>
      <c r="S235" s="23">
        <f t="shared" si="31"/>
        <v>1.1195312499999999</v>
      </c>
      <c r="T235" s="23">
        <f t="shared" si="32"/>
        <v>-1.1195312499999999</v>
      </c>
      <c r="U235" s="23">
        <f t="shared" si="36"/>
        <v>114.70528645833333</v>
      </c>
      <c r="W235">
        <v>258.5</v>
      </c>
      <c r="Y235">
        <f t="shared" si="34"/>
        <v>112495.90000000004</v>
      </c>
      <c r="Z235">
        <f t="shared" si="29"/>
        <v>23964.799999999999</v>
      </c>
      <c r="AA235">
        <v>11.816140674756868</v>
      </c>
    </row>
    <row r="236" spans="1:27" x14ac:dyDescent="0.25">
      <c r="A236">
        <v>6280</v>
      </c>
      <c r="B236">
        <v>24170</v>
      </c>
      <c r="C236" s="8">
        <v>42814</v>
      </c>
      <c r="F236" s="48"/>
      <c r="G236">
        <v>10.3</v>
      </c>
      <c r="H236">
        <v>9.1999999999999993</v>
      </c>
      <c r="I236">
        <v>10.9</v>
      </c>
      <c r="J236">
        <f t="shared" si="33"/>
        <v>1635.8999999999996</v>
      </c>
      <c r="K236">
        <f t="shared" si="28"/>
        <v>394.40000000000015</v>
      </c>
      <c r="M236">
        <v>0.1</v>
      </c>
      <c r="N236">
        <v>1.2</v>
      </c>
      <c r="O236">
        <f t="shared" si="30"/>
        <v>-1.0999999999999999</v>
      </c>
      <c r="P236">
        <f t="shared" si="35"/>
        <v>107.29999999999993</v>
      </c>
      <c r="Q236" s="22">
        <v>202</v>
      </c>
      <c r="R236">
        <f t="shared" si="27"/>
        <v>1.121875</v>
      </c>
      <c r="S236" s="23">
        <f t="shared" si="31"/>
        <v>1.3462499999999999</v>
      </c>
      <c r="T236" s="23">
        <f t="shared" si="32"/>
        <v>-1.2462499999999999</v>
      </c>
      <c r="U236" s="23">
        <f t="shared" si="36"/>
        <v>113.45903645833333</v>
      </c>
      <c r="W236">
        <v>215</v>
      </c>
      <c r="Y236">
        <f t="shared" si="34"/>
        <v>112710.90000000004</v>
      </c>
      <c r="Z236">
        <f t="shared" si="29"/>
        <v>24179.8</v>
      </c>
      <c r="AA236">
        <v>11.877413545452852</v>
      </c>
    </row>
    <row r="237" spans="1:27" x14ac:dyDescent="0.25">
      <c r="A237">
        <v>6280</v>
      </c>
      <c r="B237">
        <v>24170</v>
      </c>
      <c r="C237" s="8">
        <v>42815</v>
      </c>
      <c r="F237" s="48"/>
      <c r="G237">
        <v>8.3000000000000007</v>
      </c>
      <c r="H237">
        <v>8.4</v>
      </c>
      <c r="I237">
        <v>8.8000000000000007</v>
      </c>
      <c r="J237">
        <f t="shared" si="33"/>
        <v>1644.1999999999996</v>
      </c>
      <c r="K237">
        <f t="shared" si="28"/>
        <v>402.70000000000016</v>
      </c>
      <c r="M237">
        <v>0.7</v>
      </c>
      <c r="N237">
        <v>0.9</v>
      </c>
      <c r="O237">
        <f t="shared" si="30"/>
        <v>-0.20000000000000007</v>
      </c>
      <c r="P237">
        <f t="shared" si="35"/>
        <v>107.09999999999992</v>
      </c>
      <c r="Q237">
        <v>203</v>
      </c>
      <c r="R237">
        <f t="shared" si="27"/>
        <v>1.1242187499999998</v>
      </c>
      <c r="S237" s="23">
        <f t="shared" si="31"/>
        <v>1.0117968749999999</v>
      </c>
      <c r="T237" s="23">
        <f t="shared" si="32"/>
        <v>-0.31179687499999997</v>
      </c>
      <c r="U237" s="23">
        <f t="shared" si="36"/>
        <v>113.14723958333333</v>
      </c>
      <c r="W237">
        <v>571.1</v>
      </c>
      <c r="Y237">
        <f t="shared" si="34"/>
        <v>113282.00000000004</v>
      </c>
      <c r="Z237">
        <f t="shared" si="29"/>
        <v>24750.899999999998</v>
      </c>
      <c r="AA237">
        <v>11.938702704555096</v>
      </c>
    </row>
    <row r="238" spans="1:27" x14ac:dyDescent="0.25">
      <c r="A238">
        <v>6280</v>
      </c>
      <c r="B238">
        <v>24170</v>
      </c>
      <c r="C238" s="8">
        <v>42816</v>
      </c>
      <c r="F238" s="48"/>
      <c r="G238">
        <v>8</v>
      </c>
      <c r="H238">
        <v>3.8</v>
      </c>
      <c r="I238">
        <v>10.6</v>
      </c>
      <c r="J238">
        <f t="shared" si="33"/>
        <v>1652.1999999999996</v>
      </c>
      <c r="K238">
        <f t="shared" si="28"/>
        <v>410.70000000000016</v>
      </c>
      <c r="M238">
        <v>0</v>
      </c>
      <c r="N238">
        <v>1.4</v>
      </c>
      <c r="O238">
        <f t="shared" si="30"/>
        <v>-1.4</v>
      </c>
      <c r="P238">
        <f t="shared" si="35"/>
        <v>105.69999999999992</v>
      </c>
      <c r="Q238" s="22">
        <v>204</v>
      </c>
      <c r="R238">
        <f t="shared" si="27"/>
        <v>1.1265624999999999</v>
      </c>
      <c r="S238" s="23">
        <f t="shared" si="31"/>
        <v>1.5771874999999997</v>
      </c>
      <c r="T238" s="23">
        <f t="shared" si="32"/>
        <v>-1.5771874999999997</v>
      </c>
      <c r="U238" s="23">
        <f t="shared" si="36"/>
        <v>111.57005208333334</v>
      </c>
      <c r="W238">
        <v>952.1</v>
      </c>
      <c r="Y238">
        <f t="shared" si="34"/>
        <v>114234.10000000005</v>
      </c>
      <c r="Z238">
        <f t="shared" si="29"/>
        <v>25702.999999999996</v>
      </c>
      <c r="AA238">
        <v>12</v>
      </c>
    </row>
    <row r="239" spans="1:27" x14ac:dyDescent="0.25">
      <c r="A239">
        <v>6280</v>
      </c>
      <c r="B239">
        <v>24170</v>
      </c>
      <c r="C239" s="8">
        <v>42817</v>
      </c>
      <c r="F239" s="48"/>
      <c r="G239">
        <v>9.4</v>
      </c>
      <c r="H239">
        <v>5.7</v>
      </c>
      <c r="I239">
        <v>13.1</v>
      </c>
      <c r="J239">
        <f t="shared" si="33"/>
        <v>1661.5999999999997</v>
      </c>
      <c r="K239">
        <f t="shared" si="28"/>
        <v>420.10000000000014</v>
      </c>
      <c r="M239">
        <v>13.3</v>
      </c>
      <c r="N239">
        <v>1.2</v>
      </c>
      <c r="O239">
        <f t="shared" si="30"/>
        <v>12.100000000000001</v>
      </c>
      <c r="P239">
        <f t="shared" si="35"/>
        <v>117.79999999999993</v>
      </c>
      <c r="Q239">
        <v>205</v>
      </c>
      <c r="R239">
        <f t="shared" si="27"/>
        <v>1.12890625</v>
      </c>
      <c r="S239" s="23">
        <f t="shared" si="31"/>
        <v>1.3546875</v>
      </c>
      <c r="T239" s="23">
        <f t="shared" si="32"/>
        <v>11.9453125</v>
      </c>
      <c r="U239" s="23">
        <f t="shared" si="36"/>
        <v>123.51536458333334</v>
      </c>
      <c r="W239">
        <v>705.1</v>
      </c>
      <c r="Y239">
        <f t="shared" si="34"/>
        <v>114939.20000000006</v>
      </c>
      <c r="Z239">
        <f t="shared" si="29"/>
        <v>26408.099999999995</v>
      </c>
      <c r="AA239">
        <v>12.061297295444902</v>
      </c>
    </row>
    <row r="240" spans="1:27" x14ac:dyDescent="0.25">
      <c r="A240">
        <v>6280</v>
      </c>
      <c r="B240">
        <v>24170</v>
      </c>
      <c r="C240" s="8">
        <v>42818</v>
      </c>
      <c r="F240" s="48"/>
      <c r="G240">
        <v>9.6</v>
      </c>
      <c r="H240">
        <v>7.7</v>
      </c>
      <c r="I240">
        <v>12</v>
      </c>
      <c r="J240">
        <f t="shared" si="33"/>
        <v>1671.1999999999996</v>
      </c>
      <c r="K240">
        <f t="shared" si="28"/>
        <v>429.70000000000016</v>
      </c>
      <c r="M240">
        <v>0.8</v>
      </c>
      <c r="N240">
        <v>1.2</v>
      </c>
      <c r="O240">
        <f t="shared" si="30"/>
        <v>-0.39999999999999991</v>
      </c>
      <c r="P240">
        <f t="shared" si="35"/>
        <v>117.39999999999992</v>
      </c>
      <c r="Q240" s="22">
        <v>206</v>
      </c>
      <c r="R240">
        <f t="shared" si="27"/>
        <v>1.1312499999999999</v>
      </c>
      <c r="S240" s="23">
        <f t="shared" si="31"/>
        <v>1.3574999999999997</v>
      </c>
      <c r="T240" s="23">
        <f t="shared" si="32"/>
        <v>-0.55749999999999966</v>
      </c>
      <c r="U240" s="23">
        <f t="shared" si="36"/>
        <v>122.95786458333333</v>
      </c>
      <c r="W240">
        <v>889.8</v>
      </c>
      <c r="Y240">
        <f t="shared" si="34"/>
        <v>115829.00000000006</v>
      </c>
      <c r="Z240">
        <f t="shared" si="29"/>
        <v>27297.899999999994</v>
      </c>
      <c r="AA240">
        <v>12.122586454547147</v>
      </c>
    </row>
    <row r="241" spans="1:28" x14ac:dyDescent="0.25">
      <c r="A241">
        <v>6280</v>
      </c>
      <c r="B241">
        <v>24170</v>
      </c>
      <c r="C241" s="8">
        <v>42819</v>
      </c>
      <c r="F241" s="48"/>
      <c r="G241">
        <v>10.9</v>
      </c>
      <c r="H241">
        <v>5.6</v>
      </c>
      <c r="I241">
        <v>15.4</v>
      </c>
      <c r="J241">
        <f t="shared" si="33"/>
        <v>1682.0999999999997</v>
      </c>
      <c r="K241">
        <f t="shared" si="28"/>
        <v>440.60000000000014</v>
      </c>
      <c r="M241">
        <v>0</v>
      </c>
      <c r="N241">
        <v>3.3</v>
      </c>
      <c r="O241">
        <f t="shared" si="30"/>
        <v>-3.3</v>
      </c>
      <c r="P241">
        <f t="shared" si="35"/>
        <v>114.09999999999992</v>
      </c>
      <c r="Q241">
        <v>207</v>
      </c>
      <c r="R241">
        <f t="shared" si="27"/>
        <v>1.13359375</v>
      </c>
      <c r="S241" s="23">
        <f t="shared" si="31"/>
        <v>3.7408593749999994</v>
      </c>
      <c r="T241" s="23">
        <f t="shared" si="32"/>
        <v>-3.7408593749999994</v>
      </c>
      <c r="U241" s="23">
        <f t="shared" si="36"/>
        <v>119.21700520833333</v>
      </c>
      <c r="W241">
        <v>1701.7</v>
      </c>
      <c r="Y241">
        <f t="shared" si="34"/>
        <v>117530.70000000006</v>
      </c>
      <c r="Z241">
        <f t="shared" si="29"/>
        <v>28999.599999999995</v>
      </c>
      <c r="AA241">
        <v>12.18385932524313</v>
      </c>
    </row>
    <row r="242" spans="1:28" x14ac:dyDescent="0.25">
      <c r="A242">
        <v>6280</v>
      </c>
      <c r="B242">
        <v>24170</v>
      </c>
      <c r="C242" s="8">
        <v>42820</v>
      </c>
      <c r="F242" s="48"/>
      <c r="G242">
        <v>10.8</v>
      </c>
      <c r="H242">
        <v>4.5</v>
      </c>
      <c r="I242">
        <v>15.9</v>
      </c>
      <c r="J242">
        <f t="shared" si="33"/>
        <v>1692.8999999999996</v>
      </c>
      <c r="K242">
        <f t="shared" si="28"/>
        <v>451.40000000000015</v>
      </c>
      <c r="M242">
        <v>0</v>
      </c>
      <c r="N242">
        <v>2.2999999999999998</v>
      </c>
      <c r="O242">
        <f t="shared" si="30"/>
        <v>-2.2999999999999998</v>
      </c>
      <c r="P242">
        <f t="shared" si="35"/>
        <v>111.79999999999993</v>
      </c>
      <c r="Q242" s="22">
        <v>208</v>
      </c>
      <c r="R242">
        <f t="shared" si="27"/>
        <v>1.1359374999999998</v>
      </c>
      <c r="S242" s="23">
        <f t="shared" si="31"/>
        <v>2.6126562499999992</v>
      </c>
      <c r="T242" s="23">
        <f t="shared" si="32"/>
        <v>-2.6126562499999992</v>
      </c>
      <c r="U242" s="23">
        <f t="shared" si="36"/>
        <v>116.60434895833333</v>
      </c>
      <c r="W242">
        <v>1574.3</v>
      </c>
      <c r="Y242">
        <f t="shared" si="34"/>
        <v>119105.00000000006</v>
      </c>
      <c r="Z242">
        <f t="shared" si="29"/>
        <v>30573.899999999994</v>
      </c>
      <c r="AA242">
        <v>12.245107724036208</v>
      </c>
    </row>
    <row r="243" spans="1:28" x14ac:dyDescent="0.25">
      <c r="A243">
        <v>6280</v>
      </c>
      <c r="B243">
        <v>24170</v>
      </c>
      <c r="C243" s="8">
        <v>42821</v>
      </c>
      <c r="F243" s="48"/>
      <c r="G243">
        <v>11.2</v>
      </c>
      <c r="H243">
        <v>4.3</v>
      </c>
      <c r="I243">
        <v>17</v>
      </c>
      <c r="J243">
        <f t="shared" si="33"/>
        <v>1704.0999999999997</v>
      </c>
      <c r="K243">
        <f t="shared" si="28"/>
        <v>462.60000000000014</v>
      </c>
      <c r="M243">
        <v>0</v>
      </c>
      <c r="N243">
        <v>2.5</v>
      </c>
      <c r="O243">
        <f t="shared" si="30"/>
        <v>-2.5</v>
      </c>
      <c r="P243">
        <f t="shared" si="35"/>
        <v>109.29999999999993</v>
      </c>
      <c r="Q243">
        <v>209</v>
      </c>
      <c r="R243">
        <f t="shared" si="27"/>
        <v>1.1382812499999999</v>
      </c>
      <c r="S243" s="23">
        <f t="shared" si="31"/>
        <v>2.845703125</v>
      </c>
      <c r="T243" s="23">
        <f t="shared" si="32"/>
        <v>-2.845703125</v>
      </c>
      <c r="U243" s="23">
        <f t="shared" si="36"/>
        <v>113.75864583333333</v>
      </c>
      <c r="W243">
        <v>1452.9</v>
      </c>
      <c r="Y243">
        <f t="shared" si="34"/>
        <v>120557.90000000005</v>
      </c>
      <c r="Z243">
        <f t="shared" si="29"/>
        <v>32026.799999999996</v>
      </c>
      <c r="AA243">
        <v>12.306323420302437</v>
      </c>
    </row>
    <row r="244" spans="1:28" x14ac:dyDescent="0.25">
      <c r="A244">
        <v>6280</v>
      </c>
      <c r="B244">
        <v>24170</v>
      </c>
      <c r="C244" s="8">
        <v>42822</v>
      </c>
      <c r="F244" s="48"/>
      <c r="G244">
        <v>11.7</v>
      </c>
      <c r="H244">
        <v>5.6</v>
      </c>
      <c r="I244">
        <v>16.899999999999999</v>
      </c>
      <c r="J244">
        <f t="shared" si="33"/>
        <v>1715.7999999999997</v>
      </c>
      <c r="K244">
        <f t="shared" si="28"/>
        <v>474.30000000000013</v>
      </c>
      <c r="M244">
        <v>0</v>
      </c>
      <c r="N244">
        <v>1.7</v>
      </c>
      <c r="O244">
        <f t="shared" si="30"/>
        <v>-1.7</v>
      </c>
      <c r="P244">
        <f t="shared" si="35"/>
        <v>107.59999999999992</v>
      </c>
      <c r="Q244" s="22">
        <v>210</v>
      </c>
      <c r="R244">
        <f t="shared" si="27"/>
        <v>1.140625</v>
      </c>
      <c r="S244" s="23">
        <f t="shared" si="31"/>
        <v>1.9390624999999999</v>
      </c>
      <c r="T244" s="23">
        <f t="shared" si="32"/>
        <v>-1.9390624999999999</v>
      </c>
      <c r="U244" s="23">
        <f t="shared" si="36"/>
        <v>111.81958333333333</v>
      </c>
      <c r="W244">
        <v>904.8</v>
      </c>
      <c r="Y244">
        <f t="shared" si="34"/>
        <v>121462.70000000006</v>
      </c>
      <c r="Z244">
        <f t="shared" si="29"/>
        <v>32931.599999999999</v>
      </c>
      <c r="AA244">
        <v>12.367498120623363</v>
      </c>
    </row>
    <row r="245" spans="1:28" x14ac:dyDescent="0.25">
      <c r="A245">
        <v>6280</v>
      </c>
      <c r="B245">
        <v>24170</v>
      </c>
      <c r="C245" s="8">
        <v>42823</v>
      </c>
      <c r="F245" s="48"/>
      <c r="G245">
        <v>13</v>
      </c>
      <c r="H245">
        <v>6.5</v>
      </c>
      <c r="I245">
        <v>17.7</v>
      </c>
      <c r="J245">
        <f t="shared" si="33"/>
        <v>1728.7999999999997</v>
      </c>
      <c r="K245">
        <f t="shared" si="28"/>
        <v>487.30000000000013</v>
      </c>
      <c r="M245">
        <v>0</v>
      </c>
      <c r="N245">
        <v>1.7</v>
      </c>
      <c r="O245">
        <f t="shared" si="30"/>
        <v>-1.7</v>
      </c>
      <c r="P245">
        <f t="shared" si="35"/>
        <v>105.89999999999992</v>
      </c>
      <c r="Q245">
        <v>211</v>
      </c>
      <c r="R245">
        <f t="shared" si="27"/>
        <v>1.1429687499999999</v>
      </c>
      <c r="S245" s="23">
        <f t="shared" si="31"/>
        <v>1.9430468749999996</v>
      </c>
      <c r="T245" s="23">
        <f t="shared" si="32"/>
        <v>-1.9430468749999996</v>
      </c>
      <c r="U245" s="23">
        <f t="shared" si="36"/>
        <v>109.87653645833333</v>
      </c>
      <c r="W245">
        <v>1041.2</v>
      </c>
      <c r="Y245">
        <f t="shared" si="34"/>
        <v>122503.90000000005</v>
      </c>
      <c r="Z245">
        <f t="shared" si="29"/>
        <v>33972.799999999996</v>
      </c>
      <c r="AA245">
        <v>12.428623453155392</v>
      </c>
    </row>
    <row r="246" spans="1:28" x14ac:dyDescent="0.25">
      <c r="A246">
        <v>6280</v>
      </c>
      <c r="B246">
        <v>24170</v>
      </c>
      <c r="C246" s="8">
        <v>42824</v>
      </c>
      <c r="F246" s="48"/>
      <c r="G246">
        <v>15.3</v>
      </c>
      <c r="H246">
        <v>7.9</v>
      </c>
      <c r="I246">
        <v>20.8</v>
      </c>
      <c r="J246">
        <f t="shared" si="33"/>
        <v>1744.0999999999997</v>
      </c>
      <c r="K246">
        <f t="shared" si="28"/>
        <v>502.60000000000014</v>
      </c>
      <c r="M246">
        <v>0</v>
      </c>
      <c r="N246">
        <v>2.9</v>
      </c>
      <c r="O246">
        <f t="shared" si="30"/>
        <v>-2.9</v>
      </c>
      <c r="P246">
        <f t="shared" si="35"/>
        <v>102.99999999999991</v>
      </c>
      <c r="Q246" s="22">
        <v>212</v>
      </c>
      <c r="R246">
        <f t="shared" si="27"/>
        <v>1.1453125</v>
      </c>
      <c r="S246" s="23">
        <f t="shared" si="31"/>
        <v>3.3214062499999999</v>
      </c>
      <c r="T246" s="23">
        <f t="shared" si="32"/>
        <v>-3.3214062499999999</v>
      </c>
      <c r="U246" s="23">
        <f t="shared" si="36"/>
        <v>106.55513020833334</v>
      </c>
      <c r="W246">
        <v>1522.3</v>
      </c>
      <c r="Y246">
        <f t="shared" si="34"/>
        <v>124026.20000000006</v>
      </c>
      <c r="Z246">
        <f t="shared" si="29"/>
        <v>35495.1</v>
      </c>
      <c r="AA246">
        <v>12.489690952045818</v>
      </c>
    </row>
    <row r="247" spans="1:28" x14ac:dyDescent="0.25">
      <c r="A247">
        <v>6280</v>
      </c>
      <c r="B247">
        <v>24170</v>
      </c>
      <c r="C247" s="8">
        <v>42825</v>
      </c>
      <c r="F247" s="48"/>
      <c r="G247">
        <v>14.3</v>
      </c>
      <c r="H247">
        <v>12.9</v>
      </c>
      <c r="I247">
        <v>16.399999999999999</v>
      </c>
      <c r="J247">
        <f t="shared" si="33"/>
        <v>1758.3999999999996</v>
      </c>
      <c r="K247">
        <f t="shared" si="28"/>
        <v>516.90000000000009</v>
      </c>
      <c r="M247">
        <v>0.4</v>
      </c>
      <c r="N247">
        <v>2</v>
      </c>
      <c r="O247">
        <f t="shared" si="30"/>
        <v>-1.6</v>
      </c>
      <c r="P247">
        <f t="shared" si="35"/>
        <v>101.39999999999992</v>
      </c>
      <c r="Q247">
        <v>213</v>
      </c>
      <c r="R247">
        <f t="shared" si="27"/>
        <v>1.1476562499999998</v>
      </c>
      <c r="S247" s="23">
        <f t="shared" si="31"/>
        <v>2.2953124999999996</v>
      </c>
      <c r="T247" s="23">
        <f t="shared" si="32"/>
        <v>-1.8953124999999997</v>
      </c>
      <c r="U247" s="23">
        <f t="shared" si="36"/>
        <v>104.65981770833334</v>
      </c>
      <c r="W247">
        <v>545.29999999999995</v>
      </c>
      <c r="Y247">
        <f t="shared" si="34"/>
        <v>124571.50000000006</v>
      </c>
      <c r="Z247">
        <f t="shared" si="29"/>
        <v>36040.400000000001</v>
      </c>
      <c r="AA247">
        <v>12.550692041906101</v>
      </c>
    </row>
    <row r="248" spans="1:28" s="31" customFormat="1" ht="15.75" thickBot="1" x14ac:dyDescent="0.3">
      <c r="A248" s="31">
        <v>6280</v>
      </c>
      <c r="B248" s="31">
        <v>24170</v>
      </c>
      <c r="C248" s="32">
        <v>42826</v>
      </c>
      <c r="F248" s="48"/>
      <c r="G248" s="31">
        <v>11.7</v>
      </c>
      <c r="H248" s="31">
        <v>9.1999999999999993</v>
      </c>
      <c r="I248" s="31">
        <v>14.2</v>
      </c>
      <c r="J248" s="31">
        <f t="shared" si="33"/>
        <v>1770.0999999999997</v>
      </c>
      <c r="K248" s="31">
        <f t="shared" si="28"/>
        <v>528.60000000000014</v>
      </c>
      <c r="M248" s="31">
        <v>0</v>
      </c>
      <c r="N248" s="31">
        <v>1.4</v>
      </c>
      <c r="O248" s="31">
        <f t="shared" si="30"/>
        <v>-1.4</v>
      </c>
      <c r="P248" s="31">
        <f t="shared" si="35"/>
        <v>99.999999999999915</v>
      </c>
      <c r="Q248" s="34">
        <v>214</v>
      </c>
      <c r="R248" s="31">
        <f t="shared" si="27"/>
        <v>1.1499999999999999</v>
      </c>
      <c r="S248" s="33">
        <f t="shared" si="31"/>
        <v>1.6099999999999999</v>
      </c>
      <c r="T248" s="33">
        <f t="shared" si="32"/>
        <v>-1.6099999999999999</v>
      </c>
      <c r="U248" s="23">
        <f t="shared" si="36"/>
        <v>103.04981770833334</v>
      </c>
      <c r="W248" s="31">
        <v>990.1</v>
      </c>
      <c r="Y248" s="31">
        <f t="shared" si="34"/>
        <v>125561.60000000006</v>
      </c>
      <c r="Z248" s="31">
        <f t="shared" si="29"/>
        <v>37030.5</v>
      </c>
      <c r="AA248" s="31">
        <v>12.611618022353728</v>
      </c>
    </row>
    <row r="249" spans="1:28" x14ac:dyDescent="0.25">
      <c r="A249">
        <v>6280</v>
      </c>
      <c r="B249">
        <v>24170</v>
      </c>
      <c r="C249" s="8">
        <v>42827</v>
      </c>
      <c r="D249" t="s">
        <v>34</v>
      </c>
      <c r="F249" s="49" t="s">
        <v>49</v>
      </c>
      <c r="G249">
        <v>12</v>
      </c>
      <c r="H249">
        <v>6.6</v>
      </c>
      <c r="I249">
        <v>17</v>
      </c>
      <c r="J249">
        <f t="shared" si="33"/>
        <v>1782.0999999999997</v>
      </c>
      <c r="K249">
        <v>12</v>
      </c>
      <c r="L249" s="16" t="s">
        <v>39</v>
      </c>
      <c r="M249">
        <v>0</v>
      </c>
      <c r="N249">
        <v>2</v>
      </c>
      <c r="O249">
        <f t="shared" si="30"/>
        <v>-2</v>
      </c>
      <c r="P249">
        <f t="shared" si="35"/>
        <v>97.999999999999915</v>
      </c>
      <c r="Q249">
        <v>215</v>
      </c>
      <c r="R249">
        <v>1.1499999999999999</v>
      </c>
      <c r="S249" s="23">
        <f t="shared" si="31"/>
        <v>2.2999999999999998</v>
      </c>
      <c r="T249" s="23">
        <f t="shared" si="32"/>
        <v>-2.2999999999999998</v>
      </c>
      <c r="U249" s="23">
        <f t="shared" si="36"/>
        <v>100.74981770833334</v>
      </c>
      <c r="V249" s="27" t="s">
        <v>53</v>
      </c>
      <c r="W249">
        <v>1254.2</v>
      </c>
      <c r="Y249">
        <f t="shared" si="34"/>
        <v>126815.80000000006</v>
      </c>
      <c r="Z249">
        <f>W249</f>
        <v>1254.2</v>
      </c>
      <c r="AA249">
        <v>12.672460052634847</v>
      </c>
      <c r="AB249" s="27" t="s">
        <v>58</v>
      </c>
    </row>
    <row r="250" spans="1:28" x14ac:dyDescent="0.25">
      <c r="A250">
        <v>6280</v>
      </c>
      <c r="B250">
        <v>24170</v>
      </c>
      <c r="C250" s="8">
        <v>42828</v>
      </c>
      <c r="F250" s="49"/>
      <c r="G250">
        <v>12.2</v>
      </c>
      <c r="H250">
        <v>6</v>
      </c>
      <c r="I250">
        <v>18.2</v>
      </c>
      <c r="J250">
        <f t="shared" si="33"/>
        <v>1794.2999999999997</v>
      </c>
      <c r="K250">
        <f t="shared" si="28"/>
        <v>24.2</v>
      </c>
      <c r="L250" s="12">
        <v>215.9</v>
      </c>
      <c r="M250">
        <v>0</v>
      </c>
      <c r="N250">
        <v>2.7</v>
      </c>
      <c r="O250">
        <f t="shared" si="30"/>
        <v>-2.7</v>
      </c>
      <c r="P250">
        <f t="shared" si="35"/>
        <v>95.299999999999912</v>
      </c>
      <c r="Q250" s="22">
        <v>216</v>
      </c>
      <c r="R250">
        <v>1.1499999999999999</v>
      </c>
      <c r="S250" s="23">
        <f t="shared" si="31"/>
        <v>3.105</v>
      </c>
      <c r="T250" s="23">
        <f t="shared" si="32"/>
        <v>-3.105</v>
      </c>
      <c r="U250" s="23">
        <f t="shared" si="36"/>
        <v>97.644817708333335</v>
      </c>
      <c r="V250">
        <v>0</v>
      </c>
      <c r="W250">
        <v>1524.9</v>
      </c>
      <c r="Y250">
        <f t="shared" si="34"/>
        <v>128340.70000000006</v>
      </c>
      <c r="Z250">
        <f t="shared" si="29"/>
        <v>2779.1000000000004</v>
      </c>
      <c r="AA250">
        <v>12.733209136340708</v>
      </c>
      <c r="AB250">
        <v>29719.3</v>
      </c>
    </row>
    <row r="251" spans="1:28" x14ac:dyDescent="0.25">
      <c r="A251">
        <v>6280</v>
      </c>
      <c r="B251">
        <v>24170</v>
      </c>
      <c r="C251" s="8">
        <v>42829</v>
      </c>
      <c r="F251" s="49"/>
      <c r="G251">
        <v>12</v>
      </c>
      <c r="H251">
        <v>7.1</v>
      </c>
      <c r="I251">
        <v>17.100000000000001</v>
      </c>
      <c r="J251">
        <f t="shared" si="33"/>
        <v>1806.2999999999997</v>
      </c>
      <c r="K251">
        <f t="shared" si="28"/>
        <v>36.200000000000003</v>
      </c>
      <c r="L251" s="16" t="s">
        <v>40</v>
      </c>
      <c r="M251">
        <v>0</v>
      </c>
      <c r="N251">
        <v>1.7</v>
      </c>
      <c r="O251">
        <f t="shared" si="30"/>
        <v>-1.7</v>
      </c>
      <c r="P251">
        <f t="shared" si="35"/>
        <v>93.599999999999909</v>
      </c>
      <c r="Q251">
        <v>217</v>
      </c>
      <c r="R251">
        <v>1.1499999999999999</v>
      </c>
      <c r="S251" s="23">
        <f t="shared" si="31"/>
        <v>1.9549999999999998</v>
      </c>
      <c r="T251" s="23">
        <f t="shared" si="32"/>
        <v>-1.9549999999999998</v>
      </c>
      <c r="U251" s="23">
        <f t="shared" si="36"/>
        <v>95.689817708333337</v>
      </c>
      <c r="V251" s="27" t="s">
        <v>54</v>
      </c>
      <c r="W251">
        <v>795.8</v>
      </c>
      <c r="Y251">
        <f t="shared" si="34"/>
        <v>129136.50000000006</v>
      </c>
      <c r="Z251">
        <f t="shared" si="29"/>
        <v>3574.9000000000005</v>
      </c>
      <c r="AA251">
        <v>12.793856106232152</v>
      </c>
      <c r="AB251" s="27" t="s">
        <v>59</v>
      </c>
    </row>
    <row r="252" spans="1:28" x14ac:dyDescent="0.25">
      <c r="A252">
        <v>6280</v>
      </c>
      <c r="B252">
        <v>24170</v>
      </c>
      <c r="C252" s="8">
        <v>42830</v>
      </c>
      <c r="F252" s="49"/>
      <c r="G252">
        <v>10.3</v>
      </c>
      <c r="H252">
        <v>6.6</v>
      </c>
      <c r="I252">
        <v>13.1</v>
      </c>
      <c r="J252">
        <f t="shared" si="33"/>
        <v>1816.5999999999997</v>
      </c>
      <c r="K252">
        <f t="shared" si="28"/>
        <v>46.5</v>
      </c>
      <c r="L252" s="17">
        <f>AVERAGE(G249:G269)</f>
        <v>10.280952380952382</v>
      </c>
      <c r="M252">
        <v>0</v>
      </c>
      <c r="N252">
        <v>1.2</v>
      </c>
      <c r="O252">
        <f t="shared" si="30"/>
        <v>-1.2</v>
      </c>
      <c r="P252">
        <f t="shared" si="35"/>
        <v>92.399999999999906</v>
      </c>
      <c r="Q252" s="22">
        <v>218</v>
      </c>
      <c r="R252">
        <v>1.1499999999999999</v>
      </c>
      <c r="S252" s="23">
        <f t="shared" si="31"/>
        <v>1.38</v>
      </c>
      <c r="T252" s="23">
        <f t="shared" si="32"/>
        <v>-1.38</v>
      </c>
      <c r="U252" s="23">
        <f t="shared" si="36"/>
        <v>94.309817708333341</v>
      </c>
      <c r="V252">
        <v>7</v>
      </c>
      <c r="W252">
        <v>867</v>
      </c>
      <c r="Y252">
        <f t="shared" si="34"/>
        <v>130003.50000000006</v>
      </c>
      <c r="Z252">
        <f t="shared" si="29"/>
        <v>4441.9000000000005</v>
      </c>
      <c r="AA252">
        <v>12.854391609187434</v>
      </c>
      <c r="AB252" s="23">
        <f>(AB250/100)/L250</f>
        <v>1.3765308012968966</v>
      </c>
    </row>
    <row r="253" spans="1:28" x14ac:dyDescent="0.25">
      <c r="A253">
        <v>6280</v>
      </c>
      <c r="B253">
        <v>24170</v>
      </c>
      <c r="C253" s="8">
        <v>42831</v>
      </c>
      <c r="F253" s="49"/>
      <c r="G253">
        <v>8.1</v>
      </c>
      <c r="H253">
        <v>4.3</v>
      </c>
      <c r="I253">
        <v>11.4</v>
      </c>
      <c r="J253">
        <f t="shared" si="33"/>
        <v>1824.6999999999996</v>
      </c>
      <c r="K253">
        <f t="shared" si="28"/>
        <v>54.6</v>
      </c>
      <c r="L253" s="16" t="s">
        <v>41</v>
      </c>
      <c r="M253">
        <v>0</v>
      </c>
      <c r="N253">
        <v>2</v>
      </c>
      <c r="O253">
        <f t="shared" si="30"/>
        <v>-2</v>
      </c>
      <c r="P253">
        <f t="shared" si="35"/>
        <v>90.399999999999906</v>
      </c>
      <c r="Q253">
        <v>219</v>
      </c>
      <c r="R253">
        <v>1.1499999999999999</v>
      </c>
      <c r="S253" s="23">
        <f t="shared" si="31"/>
        <v>2.2999999999999998</v>
      </c>
      <c r="T253" s="23">
        <f t="shared" si="32"/>
        <v>-2.2999999999999998</v>
      </c>
      <c r="U253" s="23">
        <f t="shared" si="36"/>
        <v>92.009817708333344</v>
      </c>
      <c r="V253" s="27" t="s">
        <v>55</v>
      </c>
      <c r="W253">
        <v>1264.4000000000001</v>
      </c>
      <c r="Y253">
        <f t="shared" si="34"/>
        <v>131267.90000000005</v>
      </c>
      <c r="Z253">
        <f t="shared" si="29"/>
        <v>5706.3000000000011</v>
      </c>
      <c r="AA253">
        <v>12.91480609129006</v>
      </c>
      <c r="AB253" s="27" t="s">
        <v>60</v>
      </c>
    </row>
    <row r="254" spans="1:28" x14ac:dyDescent="0.25">
      <c r="A254">
        <v>6280</v>
      </c>
      <c r="B254">
        <v>24170</v>
      </c>
      <c r="C254" s="8">
        <v>42832</v>
      </c>
      <c r="F254" s="49"/>
      <c r="G254">
        <v>10.1</v>
      </c>
      <c r="H254">
        <v>3</v>
      </c>
      <c r="I254">
        <v>15.9</v>
      </c>
      <c r="J254">
        <f t="shared" si="33"/>
        <v>1834.7999999999995</v>
      </c>
      <c r="K254">
        <f t="shared" ref="K254:K317" si="37">K253+G254</f>
        <v>64.7</v>
      </c>
      <c r="L254" s="13">
        <f>MIN(H249:H269)</f>
        <v>1.2</v>
      </c>
      <c r="M254">
        <v>0</v>
      </c>
      <c r="N254">
        <v>2.9</v>
      </c>
      <c r="O254">
        <f t="shared" si="30"/>
        <v>-2.9</v>
      </c>
      <c r="P254">
        <f t="shared" si="35"/>
        <v>87.499999999999901</v>
      </c>
      <c r="Q254" s="22">
        <v>220</v>
      </c>
      <c r="R254">
        <v>1.1499999999999999</v>
      </c>
      <c r="S254" s="23">
        <f t="shared" si="31"/>
        <v>3.3349999999999995</v>
      </c>
      <c r="T254" s="23">
        <f t="shared" si="32"/>
        <v>-3.3349999999999995</v>
      </c>
      <c r="U254" s="23">
        <f t="shared" si="36"/>
        <v>88.67481770833335</v>
      </c>
      <c r="V254" s="23">
        <f>MIN(U249:U269)</f>
        <v>48.90481770833334</v>
      </c>
      <c r="W254">
        <v>1959.7</v>
      </c>
      <c r="Y254">
        <f t="shared" si="34"/>
        <v>133227.60000000006</v>
      </c>
      <c r="Z254">
        <f t="shared" ref="Z254:Z317" si="38">Z253+W254</f>
        <v>7666.0000000000009</v>
      </c>
      <c r="AA254">
        <v>12.97508978307469</v>
      </c>
      <c r="AB254">
        <v>7</v>
      </c>
    </row>
    <row r="255" spans="1:28" x14ac:dyDescent="0.25">
      <c r="A255">
        <v>6280</v>
      </c>
      <c r="B255">
        <v>24170</v>
      </c>
      <c r="C255" s="8">
        <v>42833</v>
      </c>
      <c r="F255" s="49"/>
      <c r="G255">
        <v>11.9</v>
      </c>
      <c r="H255">
        <v>4.7</v>
      </c>
      <c r="I255">
        <v>17.899999999999999</v>
      </c>
      <c r="J255">
        <f t="shared" si="33"/>
        <v>1846.6999999999996</v>
      </c>
      <c r="K255">
        <f t="shared" si="37"/>
        <v>76.600000000000009</v>
      </c>
      <c r="L255" s="16" t="s">
        <v>42</v>
      </c>
      <c r="M255">
        <v>0</v>
      </c>
      <c r="N255">
        <v>3.5</v>
      </c>
      <c r="O255">
        <f t="shared" si="30"/>
        <v>-3.5</v>
      </c>
      <c r="P255">
        <f t="shared" si="35"/>
        <v>83.999999999999901</v>
      </c>
      <c r="Q255">
        <v>221</v>
      </c>
      <c r="R255">
        <v>1.1499999999999999</v>
      </c>
      <c r="S255" s="23">
        <f t="shared" si="31"/>
        <v>4.0249999999999995</v>
      </c>
      <c r="T255" s="23">
        <f t="shared" si="32"/>
        <v>-4.0249999999999995</v>
      </c>
      <c r="U255" s="23">
        <f t="shared" si="36"/>
        <v>84.649817708333345</v>
      </c>
      <c r="V255" s="27" t="s">
        <v>56</v>
      </c>
      <c r="W255">
        <v>2183.9</v>
      </c>
      <c r="Y255">
        <f t="shared" si="34"/>
        <v>135411.50000000006</v>
      </c>
      <c r="Z255">
        <f t="shared" si="38"/>
        <v>9849.9000000000015</v>
      </c>
      <c r="AA255">
        <v>13.035232684950696</v>
      </c>
    </row>
    <row r="256" spans="1:28" x14ac:dyDescent="0.25">
      <c r="A256">
        <v>6280</v>
      </c>
      <c r="B256">
        <v>24170</v>
      </c>
      <c r="C256" s="8">
        <v>42834</v>
      </c>
      <c r="F256" s="49"/>
      <c r="G256">
        <v>14.8</v>
      </c>
      <c r="H256">
        <v>5.4</v>
      </c>
      <c r="I256">
        <v>22.5</v>
      </c>
      <c r="J256">
        <f t="shared" si="33"/>
        <v>1861.4999999999995</v>
      </c>
      <c r="K256">
        <f t="shared" si="37"/>
        <v>91.4</v>
      </c>
      <c r="L256" s="12">
        <f>MAX(I249:I269)</f>
        <v>22.5</v>
      </c>
      <c r="M256">
        <v>0</v>
      </c>
      <c r="N256">
        <v>4.0999999999999996</v>
      </c>
      <c r="O256">
        <f t="shared" si="30"/>
        <v>-4.0999999999999996</v>
      </c>
      <c r="P256">
        <f t="shared" si="35"/>
        <v>79.899999999999906</v>
      </c>
      <c r="Q256" s="22">
        <v>222</v>
      </c>
      <c r="R256">
        <v>1.1499999999999999</v>
      </c>
      <c r="S256" s="23">
        <f t="shared" si="31"/>
        <v>4.714999999999999</v>
      </c>
      <c r="T256" s="23">
        <f t="shared" si="32"/>
        <v>-4.714999999999999</v>
      </c>
      <c r="U256" s="23">
        <f t="shared" si="36"/>
        <v>79.934817708333341</v>
      </c>
      <c r="V256" s="23">
        <f>MAX(U249:U269)</f>
        <v>100.74981770833334</v>
      </c>
      <c r="W256">
        <v>2223.4</v>
      </c>
      <c r="Y256">
        <f t="shared" si="34"/>
        <v>137634.90000000005</v>
      </c>
      <c r="Z256">
        <f t="shared" si="38"/>
        <v>12073.300000000001</v>
      </c>
      <c r="AA256">
        <v>13.095224552824643</v>
      </c>
    </row>
    <row r="257" spans="1:28" x14ac:dyDescent="0.25">
      <c r="A257">
        <v>6280</v>
      </c>
      <c r="B257">
        <v>24170</v>
      </c>
      <c r="C257" s="8">
        <v>42835</v>
      </c>
      <c r="F257" s="49"/>
      <c r="G257">
        <v>11.3</v>
      </c>
      <c r="H257">
        <v>9.6999999999999993</v>
      </c>
      <c r="I257">
        <v>14.1</v>
      </c>
      <c r="J257">
        <f t="shared" si="33"/>
        <v>1872.7999999999995</v>
      </c>
      <c r="K257">
        <f t="shared" si="37"/>
        <v>102.7</v>
      </c>
      <c r="L257" s="16" t="s">
        <v>43</v>
      </c>
      <c r="M257">
        <v>0</v>
      </c>
      <c r="N257">
        <v>1.7</v>
      </c>
      <c r="O257">
        <f t="shared" si="30"/>
        <v>-1.7</v>
      </c>
      <c r="P257">
        <f t="shared" si="35"/>
        <v>78.199999999999903</v>
      </c>
      <c r="Q257">
        <v>223</v>
      </c>
      <c r="R257">
        <v>1.1499999999999999</v>
      </c>
      <c r="S257" s="23">
        <f t="shared" si="31"/>
        <v>1.9549999999999998</v>
      </c>
      <c r="T257" s="23">
        <f t="shared" si="32"/>
        <v>-1.9549999999999998</v>
      </c>
      <c r="U257" s="23">
        <f t="shared" si="36"/>
        <v>77.979817708333343</v>
      </c>
      <c r="V257" s="27" t="s">
        <v>57</v>
      </c>
      <c r="W257">
        <v>743.8</v>
      </c>
      <c r="Y257">
        <f t="shared" si="34"/>
        <v>138378.70000000004</v>
      </c>
      <c r="Z257">
        <f t="shared" si="38"/>
        <v>12817.1</v>
      </c>
      <c r="AA257">
        <v>13.155054883944684</v>
      </c>
    </row>
    <row r="258" spans="1:28" x14ac:dyDescent="0.25">
      <c r="A258">
        <v>6280</v>
      </c>
      <c r="B258">
        <v>24170</v>
      </c>
      <c r="C258" s="8">
        <v>42836</v>
      </c>
      <c r="F258" s="49"/>
      <c r="G258">
        <v>9.9</v>
      </c>
      <c r="H258">
        <v>5.3</v>
      </c>
      <c r="I258">
        <v>14.1</v>
      </c>
      <c r="J258">
        <f t="shared" si="33"/>
        <v>1882.6999999999996</v>
      </c>
      <c r="K258">
        <f t="shared" si="37"/>
        <v>112.60000000000001</v>
      </c>
      <c r="L258" s="12">
        <v>0</v>
      </c>
      <c r="M258">
        <v>0</v>
      </c>
      <c r="N258">
        <v>2.7</v>
      </c>
      <c r="O258">
        <f t="shared" si="30"/>
        <v>-2.7</v>
      </c>
      <c r="P258">
        <f t="shared" si="35"/>
        <v>75.499999999999901</v>
      </c>
      <c r="Q258" s="22">
        <v>224</v>
      </c>
      <c r="R258">
        <v>1.1499999999999999</v>
      </c>
      <c r="S258" s="23">
        <f t="shared" si="31"/>
        <v>3.105</v>
      </c>
      <c r="T258" s="23">
        <f t="shared" si="32"/>
        <v>-3.105</v>
      </c>
      <c r="U258" s="23">
        <f t="shared" si="36"/>
        <v>74.874817708333339</v>
      </c>
      <c r="V258" s="23">
        <f>AVERAGE(U249:U269)</f>
        <v>74.759341517857152</v>
      </c>
      <c r="W258">
        <v>1746.5</v>
      </c>
      <c r="Y258">
        <f t="shared" si="34"/>
        <v>140125.20000000004</v>
      </c>
      <c r="Z258">
        <f t="shared" si="38"/>
        <v>14563.6</v>
      </c>
      <c r="AA258">
        <v>13.214712902991787</v>
      </c>
    </row>
    <row r="259" spans="1:28" x14ac:dyDescent="0.25">
      <c r="A259">
        <v>6280</v>
      </c>
      <c r="B259">
        <v>24170</v>
      </c>
      <c r="C259" s="8">
        <v>42837</v>
      </c>
      <c r="F259" s="49"/>
      <c r="G259">
        <v>11.1</v>
      </c>
      <c r="H259">
        <v>4.2</v>
      </c>
      <c r="I259">
        <v>16.600000000000001</v>
      </c>
      <c r="J259">
        <f t="shared" si="33"/>
        <v>1893.7999999999995</v>
      </c>
      <c r="K259">
        <f t="shared" si="37"/>
        <v>123.7</v>
      </c>
      <c r="L259" s="16" t="s">
        <v>44</v>
      </c>
      <c r="M259">
        <v>0</v>
      </c>
      <c r="N259">
        <v>2.9</v>
      </c>
      <c r="O259">
        <f t="shared" si="30"/>
        <v>-2.9</v>
      </c>
      <c r="P259">
        <f t="shared" si="35"/>
        <v>72.599999999999895</v>
      </c>
      <c r="Q259">
        <v>225</v>
      </c>
      <c r="R259">
        <v>1.1499999999999999</v>
      </c>
      <c r="S259" s="23">
        <f t="shared" si="31"/>
        <v>3.3349999999999995</v>
      </c>
      <c r="T259" s="23">
        <f t="shared" si="32"/>
        <v>-3.3349999999999995</v>
      </c>
      <c r="U259" s="23">
        <f t="shared" si="36"/>
        <v>71.539817708333345</v>
      </c>
      <c r="W259">
        <v>1896.5</v>
      </c>
      <c r="Y259">
        <f t="shared" si="34"/>
        <v>142021.70000000004</v>
      </c>
      <c r="Z259">
        <f t="shared" si="38"/>
        <v>16460.099999999999</v>
      </c>
      <c r="AA259">
        <v>13.274187548444603</v>
      </c>
    </row>
    <row r="260" spans="1:28" x14ac:dyDescent="0.25">
      <c r="A260">
        <v>6280</v>
      </c>
      <c r="B260">
        <v>24170</v>
      </c>
      <c r="C260" s="8">
        <v>42838</v>
      </c>
      <c r="F260" s="49"/>
      <c r="G260">
        <v>11</v>
      </c>
      <c r="H260">
        <v>7</v>
      </c>
      <c r="I260">
        <v>14.3</v>
      </c>
      <c r="J260">
        <f t="shared" si="33"/>
        <v>1904.7999999999995</v>
      </c>
      <c r="K260">
        <f t="shared" si="37"/>
        <v>134.69999999999999</v>
      </c>
      <c r="L260" s="12">
        <v>8</v>
      </c>
      <c r="M260">
        <v>0</v>
      </c>
      <c r="N260">
        <v>1.1000000000000001</v>
      </c>
      <c r="O260">
        <f t="shared" si="30"/>
        <v>-1.1000000000000001</v>
      </c>
      <c r="P260">
        <f t="shared" si="35"/>
        <v>71.499999999999901</v>
      </c>
      <c r="Q260" s="22">
        <v>226</v>
      </c>
      <c r="R260">
        <v>1.1499999999999999</v>
      </c>
      <c r="S260" s="23">
        <f t="shared" si="31"/>
        <v>1.2649999999999999</v>
      </c>
      <c r="T260" s="23">
        <f t="shared" si="32"/>
        <v>-1.2649999999999999</v>
      </c>
      <c r="U260" s="23">
        <f t="shared" si="36"/>
        <v>70.274817708333345</v>
      </c>
      <c r="V260">
        <f>(V258*100)/197.4</f>
        <v>37.872006847951951</v>
      </c>
      <c r="W260">
        <v>665.8</v>
      </c>
      <c r="Y260">
        <f t="shared" si="34"/>
        <v>142687.50000000003</v>
      </c>
      <c r="Z260">
        <f t="shared" si="38"/>
        <v>17125.899999999998</v>
      </c>
      <c r="AA260">
        <v>13.333467459247052</v>
      </c>
    </row>
    <row r="261" spans="1:28" x14ac:dyDescent="0.25">
      <c r="A261">
        <v>6280</v>
      </c>
      <c r="B261">
        <v>24170</v>
      </c>
      <c r="C261" s="8">
        <v>42839</v>
      </c>
      <c r="F261" s="49"/>
      <c r="G261">
        <v>11.9</v>
      </c>
      <c r="H261">
        <v>9</v>
      </c>
      <c r="I261">
        <v>15.5</v>
      </c>
      <c r="J261">
        <f t="shared" si="33"/>
        <v>1916.6999999999996</v>
      </c>
      <c r="K261">
        <f t="shared" si="37"/>
        <v>146.6</v>
      </c>
      <c r="L261" s="16" t="s">
        <v>45</v>
      </c>
      <c r="M261">
        <v>0</v>
      </c>
      <c r="N261">
        <v>2.1</v>
      </c>
      <c r="O261">
        <f t="shared" si="30"/>
        <v>-2.1</v>
      </c>
      <c r="P261">
        <f t="shared" si="35"/>
        <v>69.399999999999906</v>
      </c>
      <c r="Q261">
        <v>227</v>
      </c>
      <c r="R261">
        <v>1.1499999999999999</v>
      </c>
      <c r="S261" s="23">
        <f t="shared" si="31"/>
        <v>2.415</v>
      </c>
      <c r="T261" s="23">
        <f t="shared" si="32"/>
        <v>-2.415</v>
      </c>
      <c r="U261" s="23">
        <f t="shared" si="36"/>
        <v>67.859817708333338</v>
      </c>
      <c r="W261">
        <v>1181.5</v>
      </c>
      <c r="Y261">
        <f t="shared" si="34"/>
        <v>143869.00000000003</v>
      </c>
      <c r="Z261">
        <f t="shared" si="38"/>
        <v>18307.399999999998</v>
      </c>
      <c r="AA261">
        <v>13.392540961809644</v>
      </c>
    </row>
    <row r="262" spans="1:28" x14ac:dyDescent="0.25">
      <c r="A262">
        <v>6280</v>
      </c>
      <c r="B262">
        <v>24170</v>
      </c>
      <c r="C262" s="8">
        <v>42840</v>
      </c>
      <c r="F262" s="49"/>
      <c r="G262">
        <v>10.3</v>
      </c>
      <c r="H262">
        <v>7.6</v>
      </c>
      <c r="I262">
        <v>13.4</v>
      </c>
      <c r="J262">
        <f t="shared" si="33"/>
        <v>1926.9999999999995</v>
      </c>
      <c r="K262">
        <f t="shared" si="37"/>
        <v>156.9</v>
      </c>
      <c r="L262" s="18">
        <v>0</v>
      </c>
      <c r="M262">
        <v>0.3</v>
      </c>
      <c r="N262">
        <v>1</v>
      </c>
      <c r="O262">
        <f t="shared" si="30"/>
        <v>-0.7</v>
      </c>
      <c r="P262">
        <f t="shared" si="35"/>
        <v>68.699999999999903</v>
      </c>
      <c r="Q262" s="22">
        <v>228</v>
      </c>
      <c r="R262">
        <v>1.1499999999999999</v>
      </c>
      <c r="S262" s="23">
        <f t="shared" si="31"/>
        <v>1.1499999999999999</v>
      </c>
      <c r="T262" s="23">
        <f t="shared" si="32"/>
        <v>-0.84999999999999987</v>
      </c>
      <c r="U262" s="23">
        <f t="shared" si="36"/>
        <v>67.009817708333344</v>
      </c>
      <c r="W262">
        <v>339.4</v>
      </c>
      <c r="Y262">
        <f t="shared" si="34"/>
        <v>144208.40000000002</v>
      </c>
      <c r="Z262">
        <f t="shared" si="38"/>
        <v>18646.8</v>
      </c>
      <c r="AA262">
        <v>13.451396057378094</v>
      </c>
    </row>
    <row r="263" spans="1:28" x14ac:dyDescent="0.25">
      <c r="A263">
        <v>6280</v>
      </c>
      <c r="B263">
        <v>24170</v>
      </c>
      <c r="C263" s="8">
        <v>42841</v>
      </c>
      <c r="F263" s="49"/>
      <c r="G263">
        <v>10.4</v>
      </c>
      <c r="H263">
        <v>7.3</v>
      </c>
      <c r="I263">
        <v>12.9</v>
      </c>
      <c r="J263">
        <f t="shared" si="33"/>
        <v>1937.3999999999996</v>
      </c>
      <c r="K263">
        <f t="shared" si="37"/>
        <v>167.3</v>
      </c>
      <c r="M263">
        <v>0</v>
      </c>
      <c r="N263">
        <v>1.6</v>
      </c>
      <c r="O263">
        <f t="shared" si="30"/>
        <v>-1.6</v>
      </c>
      <c r="P263">
        <f t="shared" si="35"/>
        <v>67.099999999999909</v>
      </c>
      <c r="Q263">
        <v>229</v>
      </c>
      <c r="R263">
        <v>1.1499999999999999</v>
      </c>
      <c r="S263" s="23">
        <f t="shared" si="31"/>
        <v>1.8399999999999999</v>
      </c>
      <c r="T263" s="23">
        <f t="shared" si="32"/>
        <v>-1.8399999999999999</v>
      </c>
      <c r="U263" s="23">
        <f t="shared" si="36"/>
        <v>65.169817708333341</v>
      </c>
      <c r="W263">
        <v>844.1</v>
      </c>
      <c r="Y263">
        <f t="shared" si="34"/>
        <v>145052.50000000003</v>
      </c>
      <c r="Z263">
        <f t="shared" si="38"/>
        <v>19490.899999999998</v>
      </c>
      <c r="AA263">
        <v>13.510020409804996</v>
      </c>
    </row>
    <row r="264" spans="1:28" x14ac:dyDescent="0.25">
      <c r="A264">
        <v>6280</v>
      </c>
      <c r="B264">
        <v>24170</v>
      </c>
      <c r="C264" s="8">
        <v>42842</v>
      </c>
      <c r="F264" s="49"/>
      <c r="G264">
        <v>9.6999999999999993</v>
      </c>
      <c r="H264">
        <v>8.3000000000000007</v>
      </c>
      <c r="I264">
        <v>13.4</v>
      </c>
      <c r="J264">
        <f t="shared" si="33"/>
        <v>1947.0999999999997</v>
      </c>
      <c r="K264">
        <f t="shared" si="37"/>
        <v>177</v>
      </c>
      <c r="M264">
        <v>0.6</v>
      </c>
      <c r="N264">
        <v>1.6</v>
      </c>
      <c r="O264">
        <f t="shared" si="30"/>
        <v>-1</v>
      </c>
      <c r="P264">
        <f t="shared" si="35"/>
        <v>66.099999999999909</v>
      </c>
      <c r="Q264" s="22">
        <v>230</v>
      </c>
      <c r="R264">
        <v>1.1499999999999999</v>
      </c>
      <c r="S264" s="23">
        <f t="shared" si="31"/>
        <v>1.8399999999999999</v>
      </c>
      <c r="T264" s="23">
        <f t="shared" si="32"/>
        <v>-1.2399999999999998</v>
      </c>
      <c r="U264" s="23">
        <f t="shared" si="36"/>
        <v>63.929817708333339</v>
      </c>
      <c r="W264">
        <v>889.7</v>
      </c>
      <c r="Y264">
        <f t="shared" si="34"/>
        <v>145942.20000000004</v>
      </c>
      <c r="Z264">
        <f t="shared" si="38"/>
        <v>20380.599999999999</v>
      </c>
      <c r="AA264">
        <v>13.568401333762822</v>
      </c>
    </row>
    <row r="265" spans="1:28" x14ac:dyDescent="0.25">
      <c r="A265">
        <v>6280</v>
      </c>
      <c r="B265">
        <v>24170</v>
      </c>
      <c r="C265" s="8">
        <v>42843</v>
      </c>
      <c r="F265" s="49"/>
      <c r="G265">
        <v>6.3</v>
      </c>
      <c r="H265">
        <v>3</v>
      </c>
      <c r="I265">
        <v>10</v>
      </c>
      <c r="J265">
        <f t="shared" si="33"/>
        <v>1953.3999999999996</v>
      </c>
      <c r="K265">
        <f t="shared" si="37"/>
        <v>183.3</v>
      </c>
      <c r="M265">
        <v>0.5</v>
      </c>
      <c r="N265">
        <v>1.8</v>
      </c>
      <c r="O265">
        <f t="shared" si="30"/>
        <v>-1.3</v>
      </c>
      <c r="P265">
        <f t="shared" si="35"/>
        <v>64.799999999999912</v>
      </c>
      <c r="Q265">
        <v>231</v>
      </c>
      <c r="R265">
        <v>1.1499999999999999</v>
      </c>
      <c r="S265" s="23">
        <f t="shared" si="31"/>
        <v>2.0699999999999998</v>
      </c>
      <c r="T265" s="23">
        <f t="shared" si="32"/>
        <v>-1.5699999999999998</v>
      </c>
      <c r="U265" s="23">
        <f t="shared" si="36"/>
        <v>62.359817708333338</v>
      </c>
      <c r="W265">
        <v>1306.9000000000001</v>
      </c>
      <c r="Y265">
        <f t="shared" si="34"/>
        <v>147249.10000000003</v>
      </c>
      <c r="Z265">
        <f t="shared" si="38"/>
        <v>21687.5</v>
      </c>
      <c r="AA265">
        <v>13.626525783439101</v>
      </c>
    </row>
    <row r="266" spans="1:28" x14ac:dyDescent="0.25">
      <c r="A266">
        <v>6280</v>
      </c>
      <c r="B266">
        <v>24170</v>
      </c>
      <c r="C266" s="8">
        <v>42844</v>
      </c>
      <c r="F266" s="49"/>
      <c r="G266">
        <v>5.8</v>
      </c>
      <c r="H266">
        <v>2.4</v>
      </c>
      <c r="I266">
        <v>9.3000000000000007</v>
      </c>
      <c r="J266">
        <f t="shared" si="33"/>
        <v>1959.1999999999996</v>
      </c>
      <c r="K266">
        <f t="shared" si="37"/>
        <v>189.10000000000002</v>
      </c>
      <c r="M266">
        <v>0</v>
      </c>
      <c r="N266">
        <v>2.9</v>
      </c>
      <c r="O266">
        <f t="shared" si="30"/>
        <v>-2.9</v>
      </c>
      <c r="P266">
        <f t="shared" si="35"/>
        <v>61.899999999999913</v>
      </c>
      <c r="Q266" s="22">
        <v>232</v>
      </c>
      <c r="R266">
        <v>1.1499999999999999</v>
      </c>
      <c r="S266" s="23">
        <f t="shared" si="31"/>
        <v>3.3349999999999995</v>
      </c>
      <c r="T266" s="23">
        <f t="shared" si="32"/>
        <v>-3.3349999999999995</v>
      </c>
      <c r="U266" s="23">
        <f t="shared" si="36"/>
        <v>59.024817708333337</v>
      </c>
      <c r="W266">
        <v>2029.7</v>
      </c>
      <c r="Y266">
        <f t="shared" si="34"/>
        <v>149278.80000000005</v>
      </c>
      <c r="Z266">
        <f t="shared" si="38"/>
        <v>23717.200000000001</v>
      </c>
      <c r="AA266">
        <v>13.684380341757143</v>
      </c>
    </row>
    <row r="267" spans="1:28" x14ac:dyDescent="0.25">
      <c r="A267">
        <v>6280</v>
      </c>
      <c r="B267">
        <v>24170</v>
      </c>
      <c r="C267" s="8">
        <v>42845</v>
      </c>
      <c r="F267" s="49"/>
      <c r="G267">
        <v>6.3</v>
      </c>
      <c r="H267">
        <v>1.2</v>
      </c>
      <c r="I267">
        <v>11.1</v>
      </c>
      <c r="J267">
        <f t="shared" si="33"/>
        <v>1965.4999999999995</v>
      </c>
      <c r="K267">
        <f t="shared" si="37"/>
        <v>195.40000000000003</v>
      </c>
      <c r="M267">
        <v>0</v>
      </c>
      <c r="N267">
        <v>2.8</v>
      </c>
      <c r="O267">
        <f t="shared" si="30"/>
        <v>-2.8</v>
      </c>
      <c r="P267">
        <f t="shared" si="35"/>
        <v>59.099999999999916</v>
      </c>
      <c r="Q267">
        <v>233</v>
      </c>
      <c r="R267">
        <v>1.1499999999999999</v>
      </c>
      <c r="S267" s="23">
        <f t="shared" si="31"/>
        <v>3.2199999999999998</v>
      </c>
      <c r="T267" s="23">
        <f t="shared" si="32"/>
        <v>-3.2199999999999998</v>
      </c>
      <c r="U267" s="23">
        <f t="shared" si="36"/>
        <v>55.804817708333339</v>
      </c>
      <c r="W267">
        <v>2129.9</v>
      </c>
      <c r="Y267">
        <f t="shared" si="34"/>
        <v>151408.70000000004</v>
      </c>
      <c r="Z267">
        <f t="shared" si="38"/>
        <v>25847.100000000002</v>
      </c>
      <c r="AA267">
        <v>13.741951210168363</v>
      </c>
    </row>
    <row r="268" spans="1:28" x14ac:dyDescent="0.25">
      <c r="A268">
        <v>6280</v>
      </c>
      <c r="B268">
        <v>24170</v>
      </c>
      <c r="C268" s="8">
        <v>42846</v>
      </c>
      <c r="F268" s="49"/>
      <c r="G268">
        <v>10</v>
      </c>
      <c r="H268">
        <v>2.6</v>
      </c>
      <c r="I268">
        <v>15.4</v>
      </c>
      <c r="J268">
        <f t="shared" si="33"/>
        <v>1975.4999999999995</v>
      </c>
      <c r="K268">
        <f t="shared" si="37"/>
        <v>205.40000000000003</v>
      </c>
      <c r="M268">
        <v>0</v>
      </c>
      <c r="N268">
        <v>3.7</v>
      </c>
      <c r="O268">
        <f t="shared" si="30"/>
        <v>-3.7</v>
      </c>
      <c r="P268">
        <f t="shared" si="35"/>
        <v>55.399999999999913</v>
      </c>
      <c r="Q268" s="22">
        <v>234</v>
      </c>
      <c r="R268">
        <v>1.1499999999999999</v>
      </c>
      <c r="S268" s="23">
        <f t="shared" si="31"/>
        <v>4.2549999999999999</v>
      </c>
      <c r="T268" s="23">
        <f t="shared" si="32"/>
        <v>-4.2549999999999999</v>
      </c>
      <c r="U268" s="23">
        <f t="shared" si="36"/>
        <v>51.549817708333336</v>
      </c>
      <c r="W268">
        <v>2540.4</v>
      </c>
      <c r="Y268">
        <f t="shared" si="34"/>
        <v>153949.10000000003</v>
      </c>
      <c r="Z268">
        <f t="shared" si="38"/>
        <v>28387.500000000004</v>
      </c>
      <c r="AA268">
        <v>13.79922419906493</v>
      </c>
    </row>
    <row r="269" spans="1:28" s="31" customFormat="1" ht="15.75" thickBot="1" x14ac:dyDescent="0.3">
      <c r="A269" s="31">
        <v>6280</v>
      </c>
      <c r="B269" s="31">
        <v>24170</v>
      </c>
      <c r="C269" s="32">
        <v>42847</v>
      </c>
      <c r="D269" s="31" t="s">
        <v>35</v>
      </c>
      <c r="F269" s="49"/>
      <c r="G269" s="31">
        <v>10.5</v>
      </c>
      <c r="H269" s="31">
        <v>9.1</v>
      </c>
      <c r="I269" s="31">
        <v>14.3</v>
      </c>
      <c r="J269" s="31">
        <f t="shared" si="33"/>
        <v>1985.9999999999995</v>
      </c>
      <c r="K269" s="31">
        <f t="shared" si="37"/>
        <v>215.90000000000003</v>
      </c>
      <c r="M269" s="31">
        <v>0</v>
      </c>
      <c r="N269" s="31">
        <v>2.2999999999999998</v>
      </c>
      <c r="O269" s="31">
        <f t="shared" si="30"/>
        <v>-2.2999999999999998</v>
      </c>
      <c r="P269" s="31">
        <f t="shared" si="35"/>
        <v>53.099999999999916</v>
      </c>
      <c r="Q269" s="31">
        <v>235</v>
      </c>
      <c r="R269" s="31">
        <v>1.1499999999999999</v>
      </c>
      <c r="S269" s="33">
        <f t="shared" si="31"/>
        <v>2.6449999999999996</v>
      </c>
      <c r="T269" s="33">
        <f t="shared" si="32"/>
        <v>-2.6449999999999996</v>
      </c>
      <c r="U269" s="23">
        <f t="shared" si="36"/>
        <v>48.90481770833334</v>
      </c>
      <c r="W269" s="31">
        <v>1331.8</v>
      </c>
      <c r="Y269" s="31">
        <f t="shared" si="34"/>
        <v>155280.90000000002</v>
      </c>
      <c r="Z269" s="31">
        <f t="shared" si="38"/>
        <v>29719.300000000003</v>
      </c>
      <c r="AA269" s="31">
        <v>13.85618471886416</v>
      </c>
    </row>
    <row r="270" spans="1:28" x14ac:dyDescent="0.25">
      <c r="A270">
        <v>6280</v>
      </c>
      <c r="B270">
        <v>24170</v>
      </c>
      <c r="C270" s="8">
        <v>42848</v>
      </c>
      <c r="F270" s="50" t="s">
        <v>50</v>
      </c>
      <c r="G270">
        <v>8.4</v>
      </c>
      <c r="H270">
        <v>3.7</v>
      </c>
      <c r="I270">
        <v>12.8</v>
      </c>
      <c r="J270">
        <f t="shared" si="33"/>
        <v>1994.3999999999996</v>
      </c>
      <c r="K270">
        <v>8.4</v>
      </c>
      <c r="L270" s="19" t="s">
        <v>39</v>
      </c>
      <c r="M270">
        <v>0</v>
      </c>
      <c r="N270">
        <v>3</v>
      </c>
      <c r="O270">
        <f t="shared" si="30"/>
        <v>-3</v>
      </c>
      <c r="P270">
        <f t="shared" si="35"/>
        <v>50.099999999999916</v>
      </c>
      <c r="Q270" s="22">
        <v>236</v>
      </c>
      <c r="R270">
        <v>1.1499999999999999</v>
      </c>
      <c r="S270" s="23">
        <f t="shared" si="31"/>
        <v>3.4499999999999997</v>
      </c>
      <c r="T270" s="23">
        <f t="shared" si="32"/>
        <v>-3.4499999999999997</v>
      </c>
      <c r="U270" s="23">
        <f t="shared" si="36"/>
        <v>45.454817708333337</v>
      </c>
      <c r="V270" s="28" t="s">
        <v>53</v>
      </c>
      <c r="W270">
        <v>1971.4</v>
      </c>
      <c r="Y270">
        <f t="shared" si="34"/>
        <v>157252.30000000002</v>
      </c>
      <c r="Z270">
        <f>W270</f>
        <v>1971.4</v>
      </c>
      <c r="AA270">
        <v>13.912817771818741</v>
      </c>
      <c r="AB270" s="28" t="s">
        <v>58</v>
      </c>
    </row>
    <row r="271" spans="1:28" x14ac:dyDescent="0.25">
      <c r="A271">
        <v>6280</v>
      </c>
      <c r="B271">
        <v>24170</v>
      </c>
      <c r="C271" s="8">
        <v>42849</v>
      </c>
      <c r="F271" s="50"/>
      <c r="G271">
        <v>9.6</v>
      </c>
      <c r="H271">
        <v>3.6</v>
      </c>
      <c r="I271">
        <v>14.9</v>
      </c>
      <c r="J271">
        <f t="shared" si="33"/>
        <v>2003.9999999999995</v>
      </c>
      <c r="K271">
        <f t="shared" si="37"/>
        <v>18</v>
      </c>
      <c r="L271" s="12">
        <v>308.60000000000002</v>
      </c>
      <c r="M271">
        <v>0</v>
      </c>
      <c r="N271">
        <v>2.6</v>
      </c>
      <c r="O271">
        <f t="shared" si="30"/>
        <v>-2.6</v>
      </c>
      <c r="P271">
        <f t="shared" si="35"/>
        <v>47.499999999999915</v>
      </c>
      <c r="Q271">
        <v>237</v>
      </c>
      <c r="R271">
        <v>1.1499999999999999</v>
      </c>
      <c r="S271" s="23">
        <f t="shared" si="31"/>
        <v>2.9899999999999998</v>
      </c>
      <c r="T271" s="23">
        <f t="shared" si="32"/>
        <v>-2.9899999999999998</v>
      </c>
      <c r="U271" s="23">
        <f t="shared" si="36"/>
        <v>42.464817708333335</v>
      </c>
      <c r="V271">
        <v>0</v>
      </c>
      <c r="W271">
        <v>1812.6</v>
      </c>
      <c r="Y271">
        <f t="shared" si="34"/>
        <v>159064.90000000002</v>
      </c>
      <c r="Z271">
        <f t="shared" si="38"/>
        <v>3784</v>
      </c>
      <c r="AA271">
        <v>13.969107944609663</v>
      </c>
      <c r="AB271">
        <v>32491.1</v>
      </c>
    </row>
    <row r="272" spans="1:28" x14ac:dyDescent="0.25">
      <c r="A272">
        <v>6280</v>
      </c>
      <c r="B272">
        <v>24170</v>
      </c>
      <c r="C272" s="8">
        <v>42850</v>
      </c>
      <c r="F272" s="50"/>
      <c r="G272">
        <v>7</v>
      </c>
      <c r="H272">
        <v>5.4</v>
      </c>
      <c r="I272">
        <v>8.6999999999999993</v>
      </c>
      <c r="J272">
        <f t="shared" si="33"/>
        <v>2010.9999999999995</v>
      </c>
      <c r="K272">
        <f t="shared" si="37"/>
        <v>25</v>
      </c>
      <c r="L272" s="19" t="s">
        <v>40</v>
      </c>
      <c r="M272">
        <v>0</v>
      </c>
      <c r="N272">
        <v>1.6</v>
      </c>
      <c r="O272">
        <f t="shared" si="30"/>
        <v>-1.6</v>
      </c>
      <c r="P272">
        <f t="shared" si="35"/>
        <v>45.899999999999913</v>
      </c>
      <c r="Q272" s="22">
        <v>238</v>
      </c>
      <c r="R272">
        <v>1.1499999999999999</v>
      </c>
      <c r="S272" s="23">
        <f t="shared" si="31"/>
        <v>1.8399999999999999</v>
      </c>
      <c r="T272" s="23">
        <f t="shared" si="32"/>
        <v>-1.8399999999999999</v>
      </c>
      <c r="U272" s="23">
        <f t="shared" si="36"/>
        <v>40.624817708333339</v>
      </c>
      <c r="V272" s="28" t="s">
        <v>54</v>
      </c>
      <c r="W272">
        <v>687.4</v>
      </c>
      <c r="Y272">
        <f t="shared" si="34"/>
        <v>159752.30000000002</v>
      </c>
      <c r="Z272">
        <f t="shared" si="38"/>
        <v>4471.3999999999996</v>
      </c>
      <c r="AA272">
        <v>14.025039401781157</v>
      </c>
      <c r="AB272" s="28" t="s">
        <v>59</v>
      </c>
    </row>
    <row r="273" spans="1:28" x14ac:dyDescent="0.25">
      <c r="A273">
        <v>6280</v>
      </c>
      <c r="B273">
        <v>24170</v>
      </c>
      <c r="C273" s="8">
        <v>42851</v>
      </c>
      <c r="F273" s="50"/>
      <c r="G273">
        <v>5.0999999999999996</v>
      </c>
      <c r="H273">
        <v>2.8</v>
      </c>
      <c r="I273">
        <v>8.6999999999999993</v>
      </c>
      <c r="J273">
        <f t="shared" si="33"/>
        <v>2016.0999999999995</v>
      </c>
      <c r="K273">
        <f t="shared" si="37"/>
        <v>30.1</v>
      </c>
      <c r="L273" s="17">
        <f>AVERAGE(G270:G295)</f>
        <v>11.869230769230768</v>
      </c>
      <c r="M273">
        <v>3.8</v>
      </c>
      <c r="N273">
        <v>2.1</v>
      </c>
      <c r="O273">
        <f t="shared" si="30"/>
        <v>1.6999999999999997</v>
      </c>
      <c r="P273">
        <f t="shared" si="35"/>
        <v>47.599999999999916</v>
      </c>
      <c r="Q273">
        <v>239</v>
      </c>
      <c r="R273">
        <v>1.1499999999999999</v>
      </c>
      <c r="S273" s="23">
        <f t="shared" si="31"/>
        <v>2.415</v>
      </c>
      <c r="T273" s="23">
        <f t="shared" si="32"/>
        <v>1.3849999999999998</v>
      </c>
      <c r="U273" s="23">
        <f t="shared" si="36"/>
        <v>42.009817708333337</v>
      </c>
      <c r="V273">
        <v>26</v>
      </c>
      <c r="W273">
        <v>1511.8</v>
      </c>
      <c r="Y273">
        <f t="shared" si="34"/>
        <v>161264.1</v>
      </c>
      <c r="Z273">
        <f t="shared" si="38"/>
        <v>5983.2</v>
      </c>
      <c r="AA273">
        <v>14.080595880079791</v>
      </c>
      <c r="AB273">
        <f>(AB271/100)/L271</f>
        <v>1.0528548282566428</v>
      </c>
    </row>
    <row r="274" spans="1:28" x14ac:dyDescent="0.25">
      <c r="A274">
        <v>6280</v>
      </c>
      <c r="B274">
        <v>24170</v>
      </c>
      <c r="C274" s="8">
        <v>42852</v>
      </c>
      <c r="F274" s="50"/>
      <c r="G274">
        <v>5.9</v>
      </c>
      <c r="H274">
        <v>2.2000000000000002</v>
      </c>
      <c r="I274">
        <v>10.199999999999999</v>
      </c>
      <c r="J274">
        <f t="shared" si="33"/>
        <v>2021.9999999999995</v>
      </c>
      <c r="K274">
        <f t="shared" si="37"/>
        <v>36</v>
      </c>
      <c r="L274" s="19" t="s">
        <v>41</v>
      </c>
      <c r="M274">
        <v>0.9</v>
      </c>
      <c r="N274">
        <v>2.2999999999999998</v>
      </c>
      <c r="O274">
        <f t="shared" si="30"/>
        <v>-1.4</v>
      </c>
      <c r="P274">
        <f t="shared" si="35"/>
        <v>46.199999999999918</v>
      </c>
      <c r="Q274" s="22">
        <v>240</v>
      </c>
      <c r="R274">
        <v>1.1499999999999999</v>
      </c>
      <c r="S274" s="23">
        <f t="shared" si="31"/>
        <v>2.6449999999999996</v>
      </c>
      <c r="T274" s="23">
        <f t="shared" si="32"/>
        <v>-1.7449999999999997</v>
      </c>
      <c r="U274" s="23">
        <f t="shared" si="36"/>
        <v>40.264817708333339</v>
      </c>
      <c r="V274" s="28" t="s">
        <v>55</v>
      </c>
      <c r="W274">
        <v>1718.1</v>
      </c>
      <c r="Y274">
        <f t="shared" si="34"/>
        <v>162982.20000000001</v>
      </c>
      <c r="Z274">
        <f t="shared" si="38"/>
        <v>7701.2999999999993</v>
      </c>
      <c r="AA274">
        <v>14.135760683762022</v>
      </c>
      <c r="AB274" s="28" t="s">
        <v>60</v>
      </c>
    </row>
    <row r="275" spans="1:28" x14ac:dyDescent="0.25">
      <c r="A275">
        <v>6280</v>
      </c>
      <c r="B275">
        <v>24170</v>
      </c>
      <c r="C275" s="8">
        <v>42853</v>
      </c>
      <c r="F275" s="50"/>
      <c r="G275">
        <v>7.8</v>
      </c>
      <c r="H275">
        <v>1.5</v>
      </c>
      <c r="I275">
        <v>13</v>
      </c>
      <c r="J275">
        <f t="shared" si="33"/>
        <v>2029.7999999999995</v>
      </c>
      <c r="K275">
        <f t="shared" si="37"/>
        <v>43.8</v>
      </c>
      <c r="L275" s="13">
        <v>1.5</v>
      </c>
      <c r="M275">
        <v>2.8</v>
      </c>
      <c r="N275">
        <v>1.5</v>
      </c>
      <c r="O275">
        <f t="shared" si="30"/>
        <v>1.2999999999999998</v>
      </c>
      <c r="P275">
        <f t="shared" si="35"/>
        <v>47.499999999999915</v>
      </c>
      <c r="Q275">
        <v>241</v>
      </c>
      <c r="R275">
        <v>1.1499999999999999</v>
      </c>
      <c r="S275" s="23">
        <f t="shared" si="31"/>
        <v>1.7249999999999999</v>
      </c>
      <c r="T275" s="23">
        <f t="shared" si="32"/>
        <v>1.075</v>
      </c>
      <c r="U275" s="23">
        <f t="shared" si="36"/>
        <v>41.339817708333342</v>
      </c>
      <c r="V275" s="23">
        <f>MIN(U270:U295)</f>
        <v>37.889817708333339</v>
      </c>
      <c r="W275">
        <v>1106.3</v>
      </c>
      <c r="Y275">
        <f t="shared" si="34"/>
        <v>164088.5</v>
      </c>
      <c r="Z275">
        <f t="shared" si="38"/>
        <v>8807.5999999999985</v>
      </c>
      <c r="AA275">
        <v>14.190516680937154</v>
      </c>
      <c r="AB275">
        <v>9</v>
      </c>
    </row>
    <row r="276" spans="1:28" x14ac:dyDescent="0.25">
      <c r="A276">
        <v>6280</v>
      </c>
      <c r="B276">
        <v>24170</v>
      </c>
      <c r="C276" s="8">
        <v>42854</v>
      </c>
      <c r="F276" s="50"/>
      <c r="G276">
        <v>10</v>
      </c>
      <c r="H276">
        <v>4.5</v>
      </c>
      <c r="I276">
        <v>14.1</v>
      </c>
      <c r="J276">
        <f t="shared" si="33"/>
        <v>2039.7999999999995</v>
      </c>
      <c r="K276">
        <f t="shared" si="37"/>
        <v>53.8</v>
      </c>
      <c r="L276" s="19" t="s">
        <v>42</v>
      </c>
      <c r="M276">
        <v>0</v>
      </c>
      <c r="N276">
        <v>3</v>
      </c>
      <c r="O276">
        <f t="shared" si="30"/>
        <v>-3</v>
      </c>
      <c r="P276">
        <f t="shared" si="35"/>
        <v>44.499999999999915</v>
      </c>
      <c r="Q276" s="22">
        <v>242</v>
      </c>
      <c r="R276">
        <v>1.1499999999999999</v>
      </c>
      <c r="S276" s="23">
        <f t="shared" si="31"/>
        <v>3.4499999999999997</v>
      </c>
      <c r="T276" s="23">
        <f t="shared" si="32"/>
        <v>-3.4499999999999997</v>
      </c>
      <c r="U276" s="23">
        <f t="shared" si="36"/>
        <v>37.889817708333339</v>
      </c>
      <c r="V276" s="28" t="s">
        <v>56</v>
      </c>
      <c r="W276">
        <v>2018.4</v>
      </c>
      <c r="Y276">
        <f t="shared" si="34"/>
        <v>166106.9</v>
      </c>
      <c r="Z276">
        <f t="shared" si="38"/>
        <v>10825.999999999998</v>
      </c>
      <c r="AA276">
        <v>14.244846301014576</v>
      </c>
    </row>
    <row r="277" spans="1:28" x14ac:dyDescent="0.25">
      <c r="A277">
        <v>6280</v>
      </c>
      <c r="B277">
        <v>24170</v>
      </c>
      <c r="C277" s="8">
        <v>42855</v>
      </c>
      <c r="F277" s="50"/>
      <c r="G277">
        <v>11.3</v>
      </c>
      <c r="H277">
        <v>8.4</v>
      </c>
      <c r="I277">
        <v>17.8</v>
      </c>
      <c r="J277">
        <f t="shared" si="33"/>
        <v>2051.0999999999995</v>
      </c>
      <c r="K277">
        <f t="shared" si="37"/>
        <v>65.099999999999994</v>
      </c>
      <c r="L277" s="12">
        <f>MAX(I270:I295)</f>
        <v>27</v>
      </c>
      <c r="M277">
        <v>10.199999999999999</v>
      </c>
      <c r="N277">
        <v>2.8</v>
      </c>
      <c r="O277">
        <f t="shared" si="30"/>
        <v>7.3999999999999995</v>
      </c>
      <c r="P277">
        <f t="shared" si="35"/>
        <v>51.899999999999913</v>
      </c>
      <c r="Q277">
        <v>243</v>
      </c>
      <c r="R277">
        <v>1.1499999999999999</v>
      </c>
      <c r="S277" s="23">
        <f t="shared" si="31"/>
        <v>3.2199999999999998</v>
      </c>
      <c r="T277" s="23">
        <f t="shared" si="32"/>
        <v>6.9799999999999995</v>
      </c>
      <c r="U277" s="23">
        <f t="shared" si="36"/>
        <v>44.869817708333336</v>
      </c>
      <c r="V277" s="23">
        <f>MAX(U270:U295)</f>
        <v>57.524817708333345</v>
      </c>
      <c r="W277">
        <v>787.6</v>
      </c>
      <c r="Y277">
        <f t="shared" si="34"/>
        <v>166894.5</v>
      </c>
      <c r="Z277">
        <f t="shared" si="38"/>
        <v>11613.599999999999</v>
      </c>
      <c r="AA277">
        <v>14.298731533326267</v>
      </c>
    </row>
    <row r="278" spans="1:28" x14ac:dyDescent="0.25">
      <c r="A278">
        <v>6280</v>
      </c>
      <c r="B278">
        <v>24170</v>
      </c>
      <c r="C278" s="8">
        <v>42856</v>
      </c>
      <c r="F278" s="50"/>
      <c r="G278">
        <v>10.5</v>
      </c>
      <c r="H278">
        <v>7.6</v>
      </c>
      <c r="I278">
        <v>13.6</v>
      </c>
      <c r="J278">
        <f t="shared" si="33"/>
        <v>2061.5999999999995</v>
      </c>
      <c r="K278">
        <f t="shared" si="37"/>
        <v>75.599999999999994</v>
      </c>
      <c r="L278" s="19" t="s">
        <v>43</v>
      </c>
      <c r="M278">
        <v>0.2</v>
      </c>
      <c r="N278">
        <v>2.6</v>
      </c>
      <c r="O278">
        <f t="shared" si="30"/>
        <v>-2.4</v>
      </c>
      <c r="P278">
        <f t="shared" si="35"/>
        <v>49.499999999999915</v>
      </c>
      <c r="Q278" s="22">
        <v>244</v>
      </c>
      <c r="R278">
        <v>1.1499999999999999</v>
      </c>
      <c r="S278" s="23">
        <f t="shared" si="31"/>
        <v>2.9899999999999998</v>
      </c>
      <c r="T278" s="23">
        <f t="shared" si="32"/>
        <v>-2.7899999999999996</v>
      </c>
      <c r="U278" s="23">
        <f t="shared" si="36"/>
        <v>42.079817708333337</v>
      </c>
      <c r="V278" s="28" t="s">
        <v>57</v>
      </c>
      <c r="W278">
        <v>1382.3</v>
      </c>
      <c r="Y278">
        <f t="shared" si="34"/>
        <v>168276.8</v>
      </c>
      <c r="Z278">
        <f t="shared" si="38"/>
        <v>12995.899999999998</v>
      </c>
      <c r="AA278">
        <v>14.352153926997229</v>
      </c>
    </row>
    <row r="279" spans="1:28" x14ac:dyDescent="0.25">
      <c r="A279">
        <v>6280</v>
      </c>
      <c r="B279">
        <v>24170</v>
      </c>
      <c r="C279" s="8">
        <v>42857</v>
      </c>
      <c r="F279" s="50"/>
      <c r="G279">
        <v>11.5</v>
      </c>
      <c r="H279">
        <v>7</v>
      </c>
      <c r="I279">
        <v>15.1</v>
      </c>
      <c r="J279">
        <f t="shared" si="33"/>
        <v>2073.0999999999995</v>
      </c>
      <c r="K279">
        <f t="shared" si="37"/>
        <v>87.1</v>
      </c>
      <c r="L279" s="12">
        <v>1</v>
      </c>
      <c r="M279">
        <v>0.4</v>
      </c>
      <c r="N279">
        <v>2.2000000000000002</v>
      </c>
      <c r="O279">
        <f t="shared" si="30"/>
        <v>-1.8000000000000003</v>
      </c>
      <c r="P279">
        <f t="shared" si="35"/>
        <v>47.699999999999918</v>
      </c>
      <c r="Q279">
        <v>245</v>
      </c>
      <c r="R279">
        <v>1.1499999999999999</v>
      </c>
      <c r="S279" s="23">
        <f t="shared" si="31"/>
        <v>2.5299999999999998</v>
      </c>
      <c r="T279" s="23">
        <f t="shared" si="32"/>
        <v>-2.13</v>
      </c>
      <c r="U279" s="23">
        <f t="shared" si="36"/>
        <v>39.949817708333335</v>
      </c>
      <c r="V279" s="23">
        <f>AVERAGE(U270:U295)</f>
        <v>47.019625400641026</v>
      </c>
      <c r="W279">
        <v>1398</v>
      </c>
      <c r="Y279">
        <f t="shared" si="34"/>
        <v>169674.8</v>
      </c>
      <c r="Z279">
        <f t="shared" si="38"/>
        <v>14393.899999999998</v>
      </c>
      <c r="AA279">
        <v>14.405094592137976</v>
      </c>
    </row>
    <row r="280" spans="1:28" x14ac:dyDescent="0.25">
      <c r="A280">
        <v>6280</v>
      </c>
      <c r="B280">
        <v>24170</v>
      </c>
      <c r="C280" s="8">
        <v>42858</v>
      </c>
      <c r="F280" s="50"/>
      <c r="G280">
        <v>9.8000000000000007</v>
      </c>
      <c r="H280">
        <v>9.4</v>
      </c>
      <c r="I280">
        <v>11.5</v>
      </c>
      <c r="J280">
        <f t="shared" si="33"/>
        <v>2082.8999999999996</v>
      </c>
      <c r="K280">
        <f t="shared" si="37"/>
        <v>96.899999999999991</v>
      </c>
      <c r="L280" s="19" t="s">
        <v>44</v>
      </c>
      <c r="M280">
        <v>9.9</v>
      </c>
      <c r="N280">
        <v>0.8</v>
      </c>
      <c r="O280">
        <f t="shared" si="30"/>
        <v>9.1</v>
      </c>
      <c r="P280">
        <f t="shared" si="35"/>
        <v>56.799999999999919</v>
      </c>
      <c r="Q280" s="22">
        <v>246</v>
      </c>
      <c r="R280">
        <v>1.1499999999999999</v>
      </c>
      <c r="S280" s="23">
        <f t="shared" si="31"/>
        <v>0.91999999999999993</v>
      </c>
      <c r="T280" s="23">
        <f t="shared" si="32"/>
        <v>8.98</v>
      </c>
      <c r="U280" s="23">
        <f t="shared" si="36"/>
        <v>48.929817708333331</v>
      </c>
      <c r="W280">
        <v>462.1</v>
      </c>
      <c r="Y280">
        <f t="shared" si="34"/>
        <v>170136.9</v>
      </c>
      <c r="Z280">
        <f t="shared" si="38"/>
        <v>14855.999999999998</v>
      </c>
      <c r="AA280">
        <v>14.457534202434282</v>
      </c>
    </row>
    <row r="281" spans="1:28" x14ac:dyDescent="0.25">
      <c r="A281">
        <v>6280</v>
      </c>
      <c r="B281">
        <v>24170</v>
      </c>
      <c r="C281" s="8">
        <v>42859</v>
      </c>
      <c r="F281" s="50"/>
      <c r="G281">
        <v>10.4</v>
      </c>
      <c r="H281">
        <v>7</v>
      </c>
      <c r="I281">
        <v>14.7</v>
      </c>
      <c r="J281">
        <f t="shared" si="33"/>
        <v>2093.2999999999997</v>
      </c>
      <c r="K281">
        <f t="shared" si="37"/>
        <v>107.3</v>
      </c>
      <c r="L281" s="12">
        <v>6</v>
      </c>
      <c r="M281">
        <v>2.9</v>
      </c>
      <c r="N281">
        <v>1</v>
      </c>
      <c r="O281">
        <f t="shared" si="30"/>
        <v>1.9</v>
      </c>
      <c r="P281">
        <f t="shared" si="35"/>
        <v>58.699999999999918</v>
      </c>
      <c r="Q281">
        <v>247</v>
      </c>
      <c r="R281">
        <v>1.1499999999999999</v>
      </c>
      <c r="S281" s="23">
        <f t="shared" si="31"/>
        <v>1.1499999999999999</v>
      </c>
      <c r="T281" s="23">
        <f t="shared" si="32"/>
        <v>1.75</v>
      </c>
      <c r="U281" s="23">
        <f t="shared" si="36"/>
        <v>50.679817708333331</v>
      </c>
      <c r="V281">
        <f>(V279*100)/197.4</f>
        <v>23.819465755137298</v>
      </c>
      <c r="W281">
        <v>663.4</v>
      </c>
      <c r="Y281">
        <f t="shared" si="34"/>
        <v>170800.3</v>
      </c>
      <c r="Z281">
        <f t="shared" si="38"/>
        <v>15519.399999999998</v>
      </c>
      <c r="AA281">
        <v>14.509452999210106</v>
      </c>
    </row>
    <row r="282" spans="1:28" x14ac:dyDescent="0.25">
      <c r="A282">
        <v>6280</v>
      </c>
      <c r="B282">
        <v>24170</v>
      </c>
      <c r="C282" s="8">
        <v>42860</v>
      </c>
      <c r="F282" s="50"/>
      <c r="G282">
        <v>12.4</v>
      </c>
      <c r="H282">
        <v>7.2</v>
      </c>
      <c r="I282">
        <v>16.899999999999999</v>
      </c>
      <c r="J282">
        <f t="shared" si="33"/>
        <v>2105.6999999999998</v>
      </c>
      <c r="K282">
        <f t="shared" si="37"/>
        <v>119.7</v>
      </c>
      <c r="L282" s="19" t="s">
        <v>45</v>
      </c>
      <c r="M282">
        <v>0.2</v>
      </c>
      <c r="N282">
        <v>1.8</v>
      </c>
      <c r="O282">
        <f t="shared" si="30"/>
        <v>-1.6</v>
      </c>
      <c r="P282">
        <f t="shared" si="35"/>
        <v>57.099999999999916</v>
      </c>
      <c r="Q282" s="22">
        <v>248</v>
      </c>
      <c r="R282">
        <v>1.1499999999999999</v>
      </c>
      <c r="S282" s="23">
        <f t="shared" si="31"/>
        <v>2.0699999999999998</v>
      </c>
      <c r="T282" s="23">
        <f t="shared" si="32"/>
        <v>-1.8699999999999999</v>
      </c>
      <c r="U282" s="23">
        <f t="shared" si="36"/>
        <v>48.809817708333334</v>
      </c>
      <c r="W282">
        <v>1115.3</v>
      </c>
      <c r="Y282">
        <f t="shared" si="34"/>
        <v>171915.59999999998</v>
      </c>
      <c r="Z282">
        <f t="shared" si="38"/>
        <v>16634.699999999997</v>
      </c>
      <c r="AA282">
        <v>14.560830797039975</v>
      </c>
    </row>
    <row r="283" spans="1:28" x14ac:dyDescent="0.25">
      <c r="A283">
        <v>6280</v>
      </c>
      <c r="B283">
        <v>24170</v>
      </c>
      <c r="C283" s="8">
        <v>42861</v>
      </c>
      <c r="F283" s="50"/>
      <c r="G283">
        <v>11.9</v>
      </c>
      <c r="H283">
        <v>11.6</v>
      </c>
      <c r="I283">
        <v>12.5</v>
      </c>
      <c r="J283">
        <f t="shared" si="33"/>
        <v>2117.6</v>
      </c>
      <c r="K283">
        <f t="shared" si="37"/>
        <v>131.6</v>
      </c>
      <c r="L283" s="18">
        <v>0</v>
      </c>
      <c r="M283">
        <v>6.6</v>
      </c>
      <c r="N283">
        <v>1</v>
      </c>
      <c r="O283">
        <f t="shared" si="30"/>
        <v>5.6</v>
      </c>
      <c r="P283">
        <f t="shared" si="35"/>
        <v>62.699999999999918</v>
      </c>
      <c r="Q283">
        <v>249</v>
      </c>
      <c r="R283">
        <v>1.1499999999999999</v>
      </c>
      <c r="S283" s="23">
        <f t="shared" si="31"/>
        <v>1.1499999999999999</v>
      </c>
      <c r="T283" s="23">
        <f t="shared" si="32"/>
        <v>5.4499999999999993</v>
      </c>
      <c r="U283" s="23">
        <f t="shared" si="36"/>
        <v>54.25981770833333</v>
      </c>
      <c r="W283">
        <v>574.79999999999995</v>
      </c>
      <c r="Y283">
        <f t="shared" si="34"/>
        <v>172490.39999999997</v>
      </c>
      <c r="Z283">
        <f t="shared" si="38"/>
        <v>17209.499999999996</v>
      </c>
      <c r="AA283">
        <v>14.611646990986749</v>
      </c>
    </row>
    <row r="284" spans="1:28" x14ac:dyDescent="0.25">
      <c r="A284">
        <v>6280</v>
      </c>
      <c r="B284">
        <v>24170</v>
      </c>
      <c r="C284" s="8">
        <v>42862</v>
      </c>
      <c r="F284" s="50"/>
      <c r="G284">
        <v>10.6</v>
      </c>
      <c r="H284">
        <v>9.8000000000000007</v>
      </c>
      <c r="I284">
        <v>12</v>
      </c>
      <c r="J284">
        <f t="shared" si="33"/>
        <v>2128.1999999999998</v>
      </c>
      <c r="K284">
        <f t="shared" si="37"/>
        <v>142.19999999999999</v>
      </c>
      <c r="M284">
        <v>3</v>
      </c>
      <c r="N284">
        <v>1.2</v>
      </c>
      <c r="O284">
        <f t="shared" si="30"/>
        <v>1.8</v>
      </c>
      <c r="P284">
        <f t="shared" si="35"/>
        <v>64.499999999999915</v>
      </c>
      <c r="Q284" s="22">
        <v>250</v>
      </c>
      <c r="R284">
        <v>1.1499999999999999</v>
      </c>
      <c r="S284" s="23">
        <f t="shared" si="31"/>
        <v>1.38</v>
      </c>
      <c r="T284" s="23">
        <f t="shared" si="32"/>
        <v>1.62</v>
      </c>
      <c r="U284" s="23">
        <f t="shared" si="36"/>
        <v>55.879817708333327</v>
      </c>
      <c r="W284">
        <v>726.5</v>
      </c>
      <c r="Y284">
        <f t="shared" si="34"/>
        <v>173216.89999999997</v>
      </c>
      <c r="Z284">
        <f t="shared" si="38"/>
        <v>17935.999999999996</v>
      </c>
      <c r="AA284">
        <v>14.661880565540054</v>
      </c>
    </row>
    <row r="285" spans="1:28" x14ac:dyDescent="0.25">
      <c r="A285">
        <v>6280</v>
      </c>
      <c r="B285">
        <v>24170</v>
      </c>
      <c r="C285" s="8">
        <v>42863</v>
      </c>
      <c r="F285" s="50"/>
      <c r="G285">
        <v>9.3000000000000007</v>
      </c>
      <c r="H285">
        <v>8</v>
      </c>
      <c r="I285">
        <v>10.199999999999999</v>
      </c>
      <c r="J285">
        <f t="shared" si="33"/>
        <v>2137.5</v>
      </c>
      <c r="K285">
        <f t="shared" si="37"/>
        <v>151.5</v>
      </c>
      <c r="M285">
        <v>0.2</v>
      </c>
      <c r="N285">
        <v>1.1000000000000001</v>
      </c>
      <c r="O285">
        <f t="shared" si="30"/>
        <v>-0.90000000000000013</v>
      </c>
      <c r="P285">
        <f t="shared" si="35"/>
        <v>63.599999999999916</v>
      </c>
      <c r="Q285">
        <v>251</v>
      </c>
      <c r="R285">
        <v>1.1499999999999999</v>
      </c>
      <c r="S285" s="23">
        <f t="shared" si="31"/>
        <v>1.2649999999999999</v>
      </c>
      <c r="T285" s="23">
        <f t="shared" si="32"/>
        <v>-1.0649999999999999</v>
      </c>
      <c r="U285" s="23">
        <f t="shared" si="36"/>
        <v>54.814817708333329</v>
      </c>
      <c r="W285">
        <v>505.8</v>
      </c>
      <c r="Y285">
        <f t="shared" si="34"/>
        <v>173722.69999999995</v>
      </c>
      <c r="Z285">
        <f t="shared" si="38"/>
        <v>18441.799999999996</v>
      </c>
      <c r="AA285">
        <v>14.711510105329232</v>
      </c>
    </row>
    <row r="286" spans="1:28" x14ac:dyDescent="0.25">
      <c r="A286">
        <v>6280</v>
      </c>
      <c r="B286">
        <v>24170</v>
      </c>
      <c r="C286" s="8">
        <v>42864</v>
      </c>
      <c r="F286" s="50"/>
      <c r="G286">
        <v>10.6</v>
      </c>
      <c r="H286">
        <v>5.7</v>
      </c>
      <c r="I286">
        <v>14.7</v>
      </c>
      <c r="J286">
        <f t="shared" si="33"/>
        <v>2148.1</v>
      </c>
      <c r="K286">
        <f t="shared" si="37"/>
        <v>162.1</v>
      </c>
      <c r="M286">
        <v>0</v>
      </c>
      <c r="N286">
        <v>3.4</v>
      </c>
      <c r="O286">
        <f t="shared" si="30"/>
        <v>-3.4</v>
      </c>
      <c r="P286">
        <f t="shared" si="35"/>
        <v>60.199999999999918</v>
      </c>
      <c r="Q286" s="22">
        <v>252</v>
      </c>
      <c r="R286">
        <v>1.1499999999999999</v>
      </c>
      <c r="S286" s="23">
        <f t="shared" si="31"/>
        <v>3.9099999999999997</v>
      </c>
      <c r="T286" s="23">
        <f t="shared" si="32"/>
        <v>-3.9099999999999997</v>
      </c>
      <c r="U286" s="23">
        <f t="shared" si="36"/>
        <v>50.904817708333333</v>
      </c>
      <c r="W286">
        <v>2202.8000000000002</v>
      </c>
      <c r="Y286">
        <f t="shared" si="34"/>
        <v>175925.49999999994</v>
      </c>
      <c r="Z286">
        <f t="shared" si="38"/>
        <v>20644.599999999995</v>
      </c>
      <c r="AA286">
        <v>14.760513807682617</v>
      </c>
    </row>
    <row r="287" spans="1:28" x14ac:dyDescent="0.25">
      <c r="A287">
        <v>6280</v>
      </c>
      <c r="B287">
        <v>24170</v>
      </c>
      <c r="C287" s="8">
        <v>42865</v>
      </c>
      <c r="F287" s="50"/>
      <c r="G287">
        <v>13.7</v>
      </c>
      <c r="H287">
        <v>7</v>
      </c>
      <c r="I287">
        <v>18.600000000000001</v>
      </c>
      <c r="J287">
        <f t="shared" si="33"/>
        <v>2161.7999999999997</v>
      </c>
      <c r="K287">
        <f t="shared" si="37"/>
        <v>175.79999999999998</v>
      </c>
      <c r="M287">
        <v>0</v>
      </c>
      <c r="N287">
        <v>3.9</v>
      </c>
      <c r="O287">
        <f t="shared" si="30"/>
        <v>-3.9</v>
      </c>
      <c r="P287">
        <f t="shared" si="35"/>
        <v>56.299999999999919</v>
      </c>
      <c r="Q287">
        <v>253</v>
      </c>
      <c r="R287">
        <v>1.1499999999999999</v>
      </c>
      <c r="S287" s="23">
        <f t="shared" si="31"/>
        <v>4.4849999999999994</v>
      </c>
      <c r="T287" s="23">
        <f t="shared" si="32"/>
        <v>-4.4849999999999994</v>
      </c>
      <c r="U287" s="23">
        <f t="shared" si="36"/>
        <v>46.419817708333333</v>
      </c>
      <c r="W287">
        <v>2392.5</v>
      </c>
      <c r="Y287">
        <f t="shared" si="34"/>
        <v>178317.99999999994</v>
      </c>
      <c r="Z287">
        <f t="shared" si="38"/>
        <v>23037.099999999995</v>
      </c>
      <c r="AA287">
        <v>14.808869497102163</v>
      </c>
    </row>
    <row r="288" spans="1:28" x14ac:dyDescent="0.25">
      <c r="A288">
        <v>6280</v>
      </c>
      <c r="B288">
        <v>24170</v>
      </c>
      <c r="C288" s="8">
        <v>42866</v>
      </c>
      <c r="F288" s="50"/>
      <c r="G288">
        <v>15</v>
      </c>
      <c r="H288">
        <v>13.1</v>
      </c>
      <c r="I288">
        <v>18.100000000000001</v>
      </c>
      <c r="J288">
        <f t="shared" si="33"/>
        <v>2176.7999999999997</v>
      </c>
      <c r="K288">
        <f t="shared" si="37"/>
        <v>190.79999999999998</v>
      </c>
      <c r="M288">
        <v>0.3</v>
      </c>
      <c r="N288">
        <v>2.2000000000000002</v>
      </c>
      <c r="O288">
        <f t="shared" si="30"/>
        <v>-1.9000000000000001</v>
      </c>
      <c r="P288">
        <f t="shared" si="35"/>
        <v>54.39999999999992</v>
      </c>
      <c r="Q288" s="22">
        <v>254</v>
      </c>
      <c r="R288">
        <v>1.1499999999999999</v>
      </c>
      <c r="S288" s="23">
        <f t="shared" si="31"/>
        <v>2.5299999999999998</v>
      </c>
      <c r="T288" s="23">
        <f t="shared" si="32"/>
        <v>-2.23</v>
      </c>
      <c r="U288" s="23">
        <f t="shared" si="36"/>
        <v>44.189817708333337</v>
      </c>
      <c r="W288">
        <v>1060.4000000000001</v>
      </c>
      <c r="Y288">
        <f t="shared" si="34"/>
        <v>179378.39999999994</v>
      </c>
      <c r="Z288">
        <f t="shared" si="38"/>
        <v>24097.499999999996</v>
      </c>
      <c r="AA288">
        <v>14.856554641718869</v>
      </c>
    </row>
    <row r="289" spans="1:28" x14ac:dyDescent="0.25">
      <c r="A289">
        <v>6280</v>
      </c>
      <c r="B289">
        <v>24170</v>
      </c>
      <c r="C289" s="8">
        <v>42867</v>
      </c>
      <c r="F289" s="50"/>
      <c r="G289">
        <v>14.4</v>
      </c>
      <c r="H289">
        <v>12.9</v>
      </c>
      <c r="I289">
        <v>18.899999999999999</v>
      </c>
      <c r="J289">
        <f t="shared" si="33"/>
        <v>2191.1999999999998</v>
      </c>
      <c r="K289">
        <f t="shared" si="37"/>
        <v>205.2</v>
      </c>
      <c r="M289">
        <v>9.8000000000000007</v>
      </c>
      <c r="N289">
        <v>1.9</v>
      </c>
      <c r="O289">
        <f t="shared" si="30"/>
        <v>7.9</v>
      </c>
      <c r="P289">
        <f t="shared" si="35"/>
        <v>62.299999999999919</v>
      </c>
      <c r="Q289">
        <v>255</v>
      </c>
      <c r="R289">
        <v>1.1499999999999999</v>
      </c>
      <c r="S289" s="23">
        <f t="shared" si="31"/>
        <v>2.1849999999999996</v>
      </c>
      <c r="T289" s="23">
        <f t="shared" si="32"/>
        <v>7.6150000000000011</v>
      </c>
      <c r="U289" s="23">
        <f t="shared" si="36"/>
        <v>51.804817708333339</v>
      </c>
      <c r="W289">
        <v>770.5</v>
      </c>
      <c r="Y289">
        <f t="shared" si="34"/>
        <v>180148.89999999994</v>
      </c>
      <c r="Z289">
        <f t="shared" si="38"/>
        <v>24867.999999999996</v>
      </c>
      <c r="AA289">
        <v>14.90354637179006</v>
      </c>
    </row>
    <row r="290" spans="1:28" x14ac:dyDescent="0.25">
      <c r="A290">
        <v>6280</v>
      </c>
      <c r="B290">
        <v>24170</v>
      </c>
      <c r="C290" s="8">
        <v>42868</v>
      </c>
      <c r="F290" s="50"/>
      <c r="G290">
        <v>15.4</v>
      </c>
      <c r="H290">
        <v>11.9</v>
      </c>
      <c r="I290">
        <v>18.5</v>
      </c>
      <c r="J290">
        <f t="shared" si="33"/>
        <v>2206.6</v>
      </c>
      <c r="K290">
        <f t="shared" si="37"/>
        <v>220.6</v>
      </c>
      <c r="M290">
        <v>0</v>
      </c>
      <c r="N290">
        <v>2.8</v>
      </c>
      <c r="O290">
        <f t="shared" si="30"/>
        <v>-2.8</v>
      </c>
      <c r="P290">
        <f t="shared" si="35"/>
        <v>59.499999999999922</v>
      </c>
      <c r="Q290" s="22">
        <v>256</v>
      </c>
      <c r="R290">
        <v>1.1499999999999999</v>
      </c>
      <c r="S290" s="23">
        <f t="shared" si="31"/>
        <v>3.2199999999999998</v>
      </c>
      <c r="T290" s="23">
        <f t="shared" si="32"/>
        <v>-3.2199999999999998</v>
      </c>
      <c r="U290" s="23">
        <f t="shared" si="36"/>
        <v>48.58481770833334</v>
      </c>
      <c r="W290">
        <v>1531.5</v>
      </c>
      <c r="Y290">
        <f t="shared" si="34"/>
        <v>181680.39999999994</v>
      </c>
      <c r="Z290">
        <f t="shared" si="38"/>
        <v>26399.499999999996</v>
      </c>
      <c r="AA290">
        <v>14.949821500294176</v>
      </c>
    </row>
    <row r="291" spans="1:28" x14ac:dyDescent="0.25">
      <c r="A291">
        <v>6280</v>
      </c>
      <c r="B291">
        <v>24170</v>
      </c>
      <c r="C291" s="8">
        <v>42869</v>
      </c>
      <c r="F291" s="50"/>
      <c r="G291">
        <v>14.2</v>
      </c>
      <c r="H291">
        <v>12.3</v>
      </c>
      <c r="I291">
        <v>17.5</v>
      </c>
      <c r="J291">
        <f t="shared" si="33"/>
        <v>2220.7999999999997</v>
      </c>
      <c r="K291">
        <f t="shared" si="37"/>
        <v>234.79999999999998</v>
      </c>
      <c r="M291">
        <v>4.0999999999999996</v>
      </c>
      <c r="N291">
        <v>1.3</v>
      </c>
      <c r="O291">
        <f t="shared" si="30"/>
        <v>2.8</v>
      </c>
      <c r="P291">
        <f t="shared" si="35"/>
        <v>62.299999999999919</v>
      </c>
      <c r="Q291">
        <v>257</v>
      </c>
      <c r="R291">
        <v>1.1499999999999999</v>
      </c>
      <c r="S291" s="23">
        <f t="shared" si="31"/>
        <v>1.4949999999999999</v>
      </c>
      <c r="T291" s="23">
        <f t="shared" si="32"/>
        <v>2.6049999999999995</v>
      </c>
      <c r="U291" s="23">
        <f t="shared" si="36"/>
        <v>51.189817708333337</v>
      </c>
      <c r="W291">
        <v>642.79999999999995</v>
      </c>
      <c r="Y291">
        <f t="shared" si="34"/>
        <v>182323.19999999992</v>
      </c>
      <c r="Z291">
        <f t="shared" si="38"/>
        <v>27042.299999999996</v>
      </c>
      <c r="AA291">
        <v>14.995356545672491</v>
      </c>
    </row>
    <row r="292" spans="1:28" x14ac:dyDescent="0.25">
      <c r="A292">
        <v>6280</v>
      </c>
      <c r="B292">
        <v>24170</v>
      </c>
      <c r="C292" s="8">
        <v>42870</v>
      </c>
      <c r="F292" s="50"/>
      <c r="G292">
        <v>17.2</v>
      </c>
      <c r="H292">
        <v>9.6</v>
      </c>
      <c r="I292">
        <v>22.6</v>
      </c>
      <c r="J292">
        <f t="shared" si="33"/>
        <v>2237.9999999999995</v>
      </c>
      <c r="K292">
        <f t="shared" si="37"/>
        <v>251.99999999999997</v>
      </c>
      <c r="M292">
        <v>0</v>
      </c>
      <c r="N292">
        <v>2.5</v>
      </c>
      <c r="O292">
        <f t="shared" ref="O292:O355" si="39">M292-N292</f>
        <v>-2.5</v>
      </c>
      <c r="P292">
        <f t="shared" si="35"/>
        <v>59.799999999999919</v>
      </c>
      <c r="Q292" s="22">
        <v>258</v>
      </c>
      <c r="R292">
        <v>1.1499999999999999</v>
      </c>
      <c r="S292" s="23">
        <f t="shared" ref="S292:S355" si="40">R292*N292</f>
        <v>2.875</v>
      </c>
      <c r="T292" s="23">
        <f t="shared" ref="T292:T355" si="41">M292-S292</f>
        <v>-2.875</v>
      </c>
      <c r="U292" s="23">
        <f t="shared" si="36"/>
        <v>48.314817708333337</v>
      </c>
      <c r="W292">
        <v>1394.6</v>
      </c>
      <c r="Y292">
        <f t="shared" si="34"/>
        <v>183717.79999999993</v>
      </c>
      <c r="Z292">
        <f t="shared" si="38"/>
        <v>28436.899999999994</v>
      </c>
      <c r="AA292">
        <v>15.040127756759844</v>
      </c>
    </row>
    <row r="293" spans="1:28" x14ac:dyDescent="0.25">
      <c r="A293">
        <v>6280</v>
      </c>
      <c r="B293">
        <v>24170</v>
      </c>
      <c r="C293" s="8">
        <v>42871</v>
      </c>
      <c r="F293" s="50"/>
      <c r="G293">
        <v>20.5</v>
      </c>
      <c r="H293">
        <v>13.9</v>
      </c>
      <c r="I293">
        <v>24.9</v>
      </c>
      <c r="J293">
        <f t="shared" ref="J293:J356" si="42">J292+G293</f>
        <v>2258.4999999999995</v>
      </c>
      <c r="K293">
        <f t="shared" si="37"/>
        <v>272.5</v>
      </c>
      <c r="M293">
        <v>0</v>
      </c>
      <c r="N293">
        <v>2</v>
      </c>
      <c r="O293">
        <f t="shared" si="39"/>
        <v>-2</v>
      </c>
      <c r="P293">
        <f t="shared" si="35"/>
        <v>57.799999999999919</v>
      </c>
      <c r="Q293">
        <v>259</v>
      </c>
      <c r="R293">
        <v>1.1499999999999999</v>
      </c>
      <c r="S293" s="23">
        <f t="shared" si="40"/>
        <v>2.2999999999999998</v>
      </c>
      <c r="T293" s="23">
        <f t="shared" si="41"/>
        <v>-2.2999999999999998</v>
      </c>
      <c r="U293" s="23">
        <f t="shared" si="36"/>
        <v>46.014817708333339</v>
      </c>
      <c r="W293">
        <v>1029.5999999999999</v>
      </c>
      <c r="Y293">
        <f t="shared" ref="Y293:Y356" si="43">Y292+W293</f>
        <v>184747.39999999994</v>
      </c>
      <c r="Z293">
        <f t="shared" si="38"/>
        <v>29466.499999999993</v>
      </c>
      <c r="AA293">
        <v>15.084111139938146</v>
      </c>
    </row>
    <row r="294" spans="1:28" x14ac:dyDescent="0.25">
      <c r="A294">
        <v>6280</v>
      </c>
      <c r="B294">
        <v>24170</v>
      </c>
      <c r="C294" s="8">
        <v>42872</v>
      </c>
      <c r="F294" s="50"/>
      <c r="G294">
        <v>21.2</v>
      </c>
      <c r="H294">
        <v>17.100000000000001</v>
      </c>
      <c r="I294">
        <v>27</v>
      </c>
      <c r="J294">
        <f t="shared" si="42"/>
        <v>2279.6999999999994</v>
      </c>
      <c r="K294">
        <f t="shared" si="37"/>
        <v>293.7</v>
      </c>
      <c r="M294">
        <v>6.4</v>
      </c>
      <c r="N294">
        <v>4.5</v>
      </c>
      <c r="O294">
        <f t="shared" si="39"/>
        <v>1.9000000000000004</v>
      </c>
      <c r="P294">
        <f t="shared" si="35"/>
        <v>59.699999999999918</v>
      </c>
      <c r="Q294" s="22">
        <v>260</v>
      </c>
      <c r="R294">
        <v>1.1499999999999999</v>
      </c>
      <c r="S294" s="23">
        <f t="shared" si="40"/>
        <v>5.1749999999999998</v>
      </c>
      <c r="T294" s="23">
        <f t="shared" si="41"/>
        <v>1.2250000000000005</v>
      </c>
      <c r="U294" s="23">
        <f t="shared" si="36"/>
        <v>47.239817708333341</v>
      </c>
      <c r="W294">
        <v>1977</v>
      </c>
      <c r="Y294">
        <f t="shared" si="43"/>
        <v>186724.39999999994</v>
      </c>
      <c r="Z294">
        <f t="shared" si="38"/>
        <v>31443.499999999993</v>
      </c>
      <c r="AA294">
        <v>15.127282488536952</v>
      </c>
    </row>
    <row r="295" spans="1:28" s="31" customFormat="1" ht="15.75" thickBot="1" x14ac:dyDescent="0.3">
      <c r="A295" s="31">
        <v>6280</v>
      </c>
      <c r="B295" s="31">
        <v>24170</v>
      </c>
      <c r="C295" s="32">
        <v>42873</v>
      </c>
      <c r="D295" s="31">
        <v>300</v>
      </c>
      <c r="F295" s="50"/>
      <c r="G295" s="31">
        <v>14.9</v>
      </c>
      <c r="H295" s="31">
        <v>12.1</v>
      </c>
      <c r="I295" s="31">
        <v>19.100000000000001</v>
      </c>
      <c r="J295" s="31">
        <f t="shared" si="42"/>
        <v>2294.5999999999995</v>
      </c>
      <c r="K295" s="31">
        <f t="shared" si="37"/>
        <v>308.59999999999997</v>
      </c>
      <c r="M295" s="31">
        <v>12.7</v>
      </c>
      <c r="N295" s="31">
        <v>2.1</v>
      </c>
      <c r="O295" s="31">
        <f t="shared" si="39"/>
        <v>10.6</v>
      </c>
      <c r="P295" s="31">
        <f t="shared" si="35"/>
        <v>70.299999999999912</v>
      </c>
      <c r="Q295" s="31">
        <v>261</v>
      </c>
      <c r="R295" s="31">
        <v>1.1499999999999999</v>
      </c>
      <c r="S295" s="33">
        <f t="shared" si="40"/>
        <v>2.415</v>
      </c>
      <c r="T295" s="33">
        <f t="shared" si="41"/>
        <v>10.285</v>
      </c>
      <c r="U295" s="23">
        <f t="shared" si="36"/>
        <v>57.524817708333345</v>
      </c>
      <c r="W295" s="31">
        <v>1047.5999999999999</v>
      </c>
      <c r="Y295" s="31">
        <f t="shared" si="43"/>
        <v>187771.99999999994</v>
      </c>
      <c r="Z295" s="31">
        <f t="shared" si="38"/>
        <v>32491.099999999991</v>
      </c>
      <c r="AA295" s="31">
        <v>15.169617414494891</v>
      </c>
    </row>
    <row r="296" spans="1:28" x14ac:dyDescent="0.25">
      <c r="A296">
        <v>6280</v>
      </c>
      <c r="B296">
        <v>24170</v>
      </c>
      <c r="C296" s="8">
        <v>42874</v>
      </c>
      <c r="F296" s="51" t="s">
        <v>51</v>
      </c>
      <c r="G296">
        <v>11.8</v>
      </c>
      <c r="H296">
        <v>9.6</v>
      </c>
      <c r="I296">
        <v>14.3</v>
      </c>
      <c r="J296">
        <f t="shared" si="42"/>
        <v>2306.3999999999996</v>
      </c>
      <c r="K296">
        <v>11.8</v>
      </c>
      <c r="L296" s="20" t="s">
        <v>39</v>
      </c>
      <c r="M296">
        <v>0.7</v>
      </c>
      <c r="N296">
        <v>1.7</v>
      </c>
      <c r="O296">
        <f t="shared" si="39"/>
        <v>-1</v>
      </c>
      <c r="P296">
        <f t="shared" si="35"/>
        <v>69.299999999999912</v>
      </c>
      <c r="Q296" s="22">
        <v>262</v>
      </c>
      <c r="R296">
        <f>1.15+((Q296-261)/62)*(0.35-1.15)</f>
        <v>1.1370967741935483</v>
      </c>
      <c r="S296" s="23">
        <f t="shared" si="40"/>
        <v>1.9330645161290321</v>
      </c>
      <c r="T296" s="23">
        <f t="shared" si="41"/>
        <v>-1.2330645161290321</v>
      </c>
      <c r="U296" s="23">
        <f t="shared" si="36"/>
        <v>56.291753192204311</v>
      </c>
      <c r="V296" s="29" t="s">
        <v>53</v>
      </c>
      <c r="W296">
        <v>1056.3</v>
      </c>
      <c r="Y296">
        <f t="shared" si="43"/>
        <v>188828.29999999993</v>
      </c>
      <c r="Z296">
        <f>W296</f>
        <v>1056.3</v>
      </c>
      <c r="AA296">
        <v>15.211091382284106</v>
      </c>
      <c r="AB296" s="29" t="s">
        <v>58</v>
      </c>
    </row>
    <row r="297" spans="1:28" x14ac:dyDescent="0.25">
      <c r="A297">
        <v>6280</v>
      </c>
      <c r="B297">
        <v>24170</v>
      </c>
      <c r="C297" s="8">
        <v>42875</v>
      </c>
      <c r="F297" s="51"/>
      <c r="G297">
        <v>12.1</v>
      </c>
      <c r="H297">
        <v>8.6</v>
      </c>
      <c r="I297">
        <v>15.4</v>
      </c>
      <c r="J297">
        <f t="shared" si="42"/>
        <v>2318.4999999999995</v>
      </c>
      <c r="K297">
        <f t="shared" si="37"/>
        <v>23.9</v>
      </c>
      <c r="L297" s="12">
        <v>301.2</v>
      </c>
      <c r="M297">
        <v>0</v>
      </c>
      <c r="N297">
        <v>3.1</v>
      </c>
      <c r="O297">
        <f t="shared" si="39"/>
        <v>-3.1</v>
      </c>
      <c r="P297">
        <f t="shared" ref="P297:P352" si="44">P296+O297</f>
        <v>66.199999999999918</v>
      </c>
      <c r="Q297">
        <v>263</v>
      </c>
      <c r="R297">
        <f t="shared" ref="R297:R357" si="45">1.15+((Q297-261)/62)*(0.35-1.15)</f>
        <v>1.1241935483870966</v>
      </c>
      <c r="S297" s="23">
        <f t="shared" si="40"/>
        <v>3.4849999999999994</v>
      </c>
      <c r="T297" s="23">
        <f t="shared" si="41"/>
        <v>-3.4849999999999994</v>
      </c>
      <c r="U297" s="23">
        <f t="shared" ref="U297:U357" si="46">MIN(U296+T297,197.4)</f>
        <v>52.806753192204312</v>
      </c>
      <c r="V297">
        <v>0</v>
      </c>
      <c r="W297">
        <v>2022.8</v>
      </c>
      <c r="Y297">
        <f t="shared" si="43"/>
        <v>190851.09999999992</v>
      </c>
      <c r="Z297">
        <f t="shared" si="38"/>
        <v>3079.1</v>
      </c>
      <c r="AA297">
        <v>15.251679745087065</v>
      </c>
      <c r="AB297">
        <v>30008.400000000001</v>
      </c>
    </row>
    <row r="298" spans="1:28" x14ac:dyDescent="0.25">
      <c r="A298">
        <v>6280</v>
      </c>
      <c r="B298">
        <v>24170</v>
      </c>
      <c r="C298" s="8">
        <v>42876</v>
      </c>
      <c r="F298" s="51"/>
      <c r="G298">
        <v>15.1</v>
      </c>
      <c r="H298">
        <v>8.9</v>
      </c>
      <c r="I298">
        <v>19.899999999999999</v>
      </c>
      <c r="J298">
        <f t="shared" si="42"/>
        <v>2333.5999999999995</v>
      </c>
      <c r="K298">
        <f t="shared" si="37"/>
        <v>39</v>
      </c>
      <c r="L298" s="20" t="s">
        <v>40</v>
      </c>
      <c r="M298">
        <v>0</v>
      </c>
      <c r="N298">
        <v>3.3</v>
      </c>
      <c r="O298">
        <f t="shared" si="39"/>
        <v>-3.3</v>
      </c>
      <c r="P298">
        <f t="shared" si="44"/>
        <v>62.89999999999992</v>
      </c>
      <c r="Q298" s="22">
        <v>264</v>
      </c>
      <c r="R298">
        <f t="shared" si="45"/>
        <v>1.111290322580645</v>
      </c>
      <c r="S298" s="23">
        <f t="shared" si="40"/>
        <v>3.6672580645161283</v>
      </c>
      <c r="T298" s="23">
        <f t="shared" si="41"/>
        <v>-3.6672580645161283</v>
      </c>
      <c r="U298" s="23">
        <f t="shared" si="46"/>
        <v>49.139495127688186</v>
      </c>
      <c r="V298" s="29" t="s">
        <v>54</v>
      </c>
      <c r="W298">
        <v>1984</v>
      </c>
      <c r="Y298">
        <f t="shared" si="43"/>
        <v>192835.09999999992</v>
      </c>
      <c r="Z298">
        <f t="shared" si="38"/>
        <v>5063.1000000000004</v>
      </c>
      <c r="AA298">
        <v>15.291357783201317</v>
      </c>
      <c r="AB298" s="29" t="s">
        <v>59</v>
      </c>
    </row>
    <row r="299" spans="1:28" x14ac:dyDescent="0.25">
      <c r="A299">
        <v>6280</v>
      </c>
      <c r="B299">
        <v>24170</v>
      </c>
      <c r="C299" s="8">
        <v>42877</v>
      </c>
      <c r="F299" s="51"/>
      <c r="G299">
        <v>18.399999999999999</v>
      </c>
      <c r="H299">
        <v>10.3</v>
      </c>
      <c r="I299">
        <v>24.1</v>
      </c>
      <c r="J299">
        <f t="shared" si="42"/>
        <v>2351.9999999999995</v>
      </c>
      <c r="K299">
        <f t="shared" si="37"/>
        <v>57.4</v>
      </c>
      <c r="L299" s="17">
        <f>AVERAGE(G296:G311)</f>
        <v>18.825000000000003</v>
      </c>
      <c r="M299">
        <v>0</v>
      </c>
      <c r="N299">
        <v>4.2</v>
      </c>
      <c r="O299">
        <f t="shared" si="39"/>
        <v>-4.2</v>
      </c>
      <c r="P299">
        <f t="shared" si="44"/>
        <v>58.699999999999918</v>
      </c>
      <c r="Q299">
        <v>265</v>
      </c>
      <c r="R299">
        <f t="shared" si="45"/>
        <v>1.0983870967741935</v>
      </c>
      <c r="S299" s="23">
        <f t="shared" si="40"/>
        <v>4.613225806451613</v>
      </c>
      <c r="T299" s="23">
        <f t="shared" si="41"/>
        <v>-4.613225806451613</v>
      </c>
      <c r="U299" s="23">
        <f t="shared" si="46"/>
        <v>44.526269321236569</v>
      </c>
      <c r="V299">
        <v>16</v>
      </c>
      <c r="W299">
        <v>2308.3000000000002</v>
      </c>
      <c r="Y299">
        <f t="shared" si="43"/>
        <v>195143.39999999991</v>
      </c>
      <c r="Z299">
        <f t="shared" si="38"/>
        <v>7371.4000000000005</v>
      </c>
      <c r="AA299">
        <v>15.330100744632848</v>
      </c>
      <c r="AB299">
        <f>(AB297/100)/L297</f>
        <v>0.99629482071713149</v>
      </c>
    </row>
    <row r="300" spans="1:28" x14ac:dyDescent="0.25">
      <c r="A300">
        <v>6280</v>
      </c>
      <c r="B300">
        <v>24170</v>
      </c>
      <c r="C300" s="8">
        <v>42878</v>
      </c>
      <c r="F300" s="51"/>
      <c r="G300">
        <v>18.100000000000001</v>
      </c>
      <c r="H300">
        <v>14.1</v>
      </c>
      <c r="I300">
        <v>22.3</v>
      </c>
      <c r="J300">
        <f t="shared" si="42"/>
        <v>2370.0999999999995</v>
      </c>
      <c r="K300">
        <f t="shared" si="37"/>
        <v>75.5</v>
      </c>
      <c r="L300" s="20" t="s">
        <v>41</v>
      </c>
      <c r="M300">
        <v>0</v>
      </c>
      <c r="N300">
        <v>3.9</v>
      </c>
      <c r="O300">
        <f t="shared" si="39"/>
        <v>-3.9</v>
      </c>
      <c r="P300">
        <f t="shared" si="44"/>
        <v>54.799999999999919</v>
      </c>
      <c r="Q300" s="22">
        <v>266</v>
      </c>
      <c r="R300">
        <f t="shared" si="45"/>
        <v>1.0854838709677419</v>
      </c>
      <c r="S300" s="23">
        <f t="shared" si="40"/>
        <v>4.2333870967741936</v>
      </c>
      <c r="T300" s="23">
        <f t="shared" si="41"/>
        <v>-4.2333870967741936</v>
      </c>
      <c r="U300" s="23">
        <f t="shared" si="46"/>
        <v>40.292882224462375</v>
      </c>
      <c r="V300" s="29" t="s">
        <v>55</v>
      </c>
      <c r="W300">
        <v>1977.9</v>
      </c>
      <c r="Y300">
        <f t="shared" si="43"/>
        <v>197121.2999999999</v>
      </c>
      <c r="Z300">
        <f t="shared" si="38"/>
        <v>9349.3000000000011</v>
      </c>
      <c r="AA300">
        <v>15.367883887822787</v>
      </c>
      <c r="AB300" s="29" t="s">
        <v>60</v>
      </c>
    </row>
    <row r="301" spans="1:28" x14ac:dyDescent="0.25">
      <c r="A301">
        <v>6280</v>
      </c>
      <c r="B301">
        <v>24170</v>
      </c>
      <c r="C301" s="8">
        <v>42879</v>
      </c>
      <c r="F301" s="51"/>
      <c r="G301">
        <v>18.100000000000001</v>
      </c>
      <c r="H301">
        <v>14.3</v>
      </c>
      <c r="I301">
        <v>21.6</v>
      </c>
      <c r="J301">
        <f t="shared" si="42"/>
        <v>2388.1999999999994</v>
      </c>
      <c r="K301">
        <f t="shared" si="37"/>
        <v>93.6</v>
      </c>
      <c r="L301" s="13">
        <f>MIN(H296:H311)</f>
        <v>8.6</v>
      </c>
      <c r="M301">
        <v>0</v>
      </c>
      <c r="N301">
        <v>2.5</v>
      </c>
      <c r="O301">
        <f t="shared" si="39"/>
        <v>-2.5</v>
      </c>
      <c r="P301">
        <f t="shared" si="44"/>
        <v>52.299999999999919</v>
      </c>
      <c r="Q301">
        <v>267</v>
      </c>
      <c r="R301">
        <f t="shared" si="45"/>
        <v>1.0725806451612903</v>
      </c>
      <c r="S301" s="23">
        <f t="shared" si="40"/>
        <v>2.6814516129032255</v>
      </c>
      <c r="T301" s="23">
        <f t="shared" si="41"/>
        <v>-2.6814516129032255</v>
      </c>
      <c r="U301" s="23">
        <f t="shared" si="46"/>
        <v>37.61143061155915</v>
      </c>
      <c r="V301" s="23">
        <f>MIN(U296:U311)</f>
        <v>2.0877209341397984</v>
      </c>
      <c r="W301">
        <v>1310.4000000000001</v>
      </c>
      <c r="Y301">
        <f t="shared" si="43"/>
        <v>198431.6999999999</v>
      </c>
      <c r="Z301">
        <f t="shared" si="38"/>
        <v>10659.7</v>
      </c>
      <c r="AA301">
        <v>15.404682526435451</v>
      </c>
      <c r="AB301">
        <v>0</v>
      </c>
    </row>
    <row r="302" spans="1:28" x14ac:dyDescent="0.25">
      <c r="A302">
        <v>6280</v>
      </c>
      <c r="B302">
        <v>24170</v>
      </c>
      <c r="C302" s="8">
        <v>42880</v>
      </c>
      <c r="F302" s="51"/>
      <c r="G302">
        <v>19.7</v>
      </c>
      <c r="H302">
        <v>14.4</v>
      </c>
      <c r="I302">
        <v>24.5</v>
      </c>
      <c r="J302">
        <f t="shared" si="42"/>
        <v>2407.8999999999992</v>
      </c>
      <c r="K302">
        <f t="shared" si="37"/>
        <v>113.3</v>
      </c>
      <c r="L302" s="20" t="s">
        <v>42</v>
      </c>
      <c r="M302">
        <v>0</v>
      </c>
      <c r="N302">
        <v>6.1</v>
      </c>
      <c r="O302">
        <f t="shared" si="39"/>
        <v>-6.1</v>
      </c>
      <c r="P302">
        <f t="shared" si="44"/>
        <v>46.199999999999918</v>
      </c>
      <c r="Q302" s="22">
        <v>268</v>
      </c>
      <c r="R302">
        <f t="shared" si="45"/>
        <v>1.0596774193548386</v>
      </c>
      <c r="S302" s="23">
        <f t="shared" si="40"/>
        <v>6.4640322580645151</v>
      </c>
      <c r="T302" s="23">
        <f t="shared" si="41"/>
        <v>-6.4640322580645151</v>
      </c>
      <c r="U302" s="23">
        <f t="shared" si="46"/>
        <v>31.147398353494637</v>
      </c>
      <c r="V302" s="29" t="s">
        <v>56</v>
      </c>
      <c r="W302">
        <v>3037.8</v>
      </c>
      <c r="Y302">
        <f t="shared" si="43"/>
        <v>201469.49999999988</v>
      </c>
      <c r="Z302">
        <f t="shared" si="38"/>
        <v>13697.5</v>
      </c>
      <c r="AA302">
        <v>15.440472076118089</v>
      </c>
    </row>
    <row r="303" spans="1:28" x14ac:dyDescent="0.25">
      <c r="A303">
        <v>6280</v>
      </c>
      <c r="B303">
        <v>24170</v>
      </c>
      <c r="C303" s="8">
        <v>42881</v>
      </c>
      <c r="F303" s="51"/>
      <c r="G303">
        <v>21.4</v>
      </c>
      <c r="H303">
        <v>15.7</v>
      </c>
      <c r="I303">
        <v>26.2</v>
      </c>
      <c r="J303">
        <f t="shared" si="42"/>
        <v>2429.2999999999993</v>
      </c>
      <c r="K303">
        <f t="shared" si="37"/>
        <v>134.69999999999999</v>
      </c>
      <c r="L303" s="12">
        <v>29.4</v>
      </c>
      <c r="M303">
        <v>0</v>
      </c>
      <c r="N303">
        <v>6.9</v>
      </c>
      <c r="O303">
        <f t="shared" si="39"/>
        <v>-6.9</v>
      </c>
      <c r="P303">
        <f t="shared" si="44"/>
        <v>39.299999999999919</v>
      </c>
      <c r="Q303">
        <v>269</v>
      </c>
      <c r="R303">
        <f t="shared" si="45"/>
        <v>1.046774193548387</v>
      </c>
      <c r="S303" s="23">
        <f t="shared" si="40"/>
        <v>7.22274193548387</v>
      </c>
      <c r="T303" s="23">
        <f t="shared" si="41"/>
        <v>-7.22274193548387</v>
      </c>
      <c r="U303" s="23">
        <f t="shared" si="46"/>
        <v>23.924656418010766</v>
      </c>
      <c r="V303" s="23">
        <f>MAX(U296:U311)</f>
        <v>56.291753192204311</v>
      </c>
      <c r="W303">
        <v>3181.2</v>
      </c>
      <c r="Y303">
        <f t="shared" si="43"/>
        <v>204650.6999999999</v>
      </c>
      <c r="Z303">
        <f t="shared" si="38"/>
        <v>16878.7</v>
      </c>
      <c r="AA303">
        <v>15.475228103124287</v>
      </c>
    </row>
    <row r="304" spans="1:28" x14ac:dyDescent="0.25">
      <c r="A304">
        <v>6280</v>
      </c>
      <c r="B304">
        <v>24170</v>
      </c>
      <c r="C304" s="8">
        <v>42882</v>
      </c>
      <c r="F304" s="51"/>
      <c r="G304">
        <v>23.4</v>
      </c>
      <c r="H304">
        <v>18.5</v>
      </c>
      <c r="I304">
        <v>29</v>
      </c>
      <c r="J304">
        <f t="shared" si="42"/>
        <v>2452.6999999999994</v>
      </c>
      <c r="K304">
        <f t="shared" si="37"/>
        <v>158.1</v>
      </c>
      <c r="L304" s="20" t="s">
        <v>43</v>
      </c>
      <c r="M304">
        <v>1.5</v>
      </c>
      <c r="N304">
        <v>5.2</v>
      </c>
      <c r="O304">
        <f t="shared" si="39"/>
        <v>-3.7</v>
      </c>
      <c r="P304">
        <f t="shared" si="44"/>
        <v>35.599999999999916</v>
      </c>
      <c r="Q304" s="22">
        <v>270</v>
      </c>
      <c r="R304">
        <f t="shared" si="45"/>
        <v>1.0338709677419353</v>
      </c>
      <c r="S304" s="23">
        <f t="shared" si="40"/>
        <v>5.3761290322580635</v>
      </c>
      <c r="T304" s="23">
        <f t="shared" si="41"/>
        <v>-3.8761290322580635</v>
      </c>
      <c r="U304" s="23">
        <f t="shared" si="46"/>
        <v>20.048527385752703</v>
      </c>
      <c r="V304" s="29" t="s">
        <v>57</v>
      </c>
      <c r="W304">
        <v>2469.6999999999998</v>
      </c>
      <c r="Y304">
        <f t="shared" si="43"/>
        <v>207120.39999999991</v>
      </c>
      <c r="Z304">
        <f t="shared" si="38"/>
        <v>19348.400000000001</v>
      </c>
      <c r="AA304">
        <v>15.508926374674209</v>
      </c>
    </row>
    <row r="305" spans="1:28" x14ac:dyDescent="0.25">
      <c r="A305">
        <v>6280</v>
      </c>
      <c r="B305">
        <v>24170</v>
      </c>
      <c r="C305" s="8">
        <v>42883</v>
      </c>
      <c r="F305" s="51"/>
      <c r="G305">
        <v>23.9</v>
      </c>
      <c r="H305">
        <v>16.600000000000001</v>
      </c>
      <c r="I305">
        <v>29.4</v>
      </c>
      <c r="J305">
        <f t="shared" si="42"/>
        <v>2476.5999999999995</v>
      </c>
      <c r="K305">
        <f t="shared" si="37"/>
        <v>182</v>
      </c>
      <c r="L305" s="12">
        <v>6</v>
      </c>
      <c r="M305">
        <v>0</v>
      </c>
      <c r="N305">
        <v>3.2</v>
      </c>
      <c r="O305">
        <f t="shared" si="39"/>
        <v>-3.2</v>
      </c>
      <c r="P305">
        <f t="shared" si="44"/>
        <v>32.399999999999913</v>
      </c>
      <c r="Q305">
        <v>271</v>
      </c>
      <c r="R305">
        <f t="shared" si="45"/>
        <v>1.0209677419354839</v>
      </c>
      <c r="S305" s="23">
        <f t="shared" si="40"/>
        <v>3.2670967741935488</v>
      </c>
      <c r="T305" s="23">
        <f t="shared" si="41"/>
        <v>-3.2670967741935488</v>
      </c>
      <c r="U305" s="23">
        <f t="shared" si="46"/>
        <v>16.781430611559152</v>
      </c>
      <c r="V305" s="23">
        <f>AVERAGE(U296:U311)</f>
        <v>25.731410450268829</v>
      </c>
      <c r="W305">
        <v>1672</v>
      </c>
      <c r="Y305">
        <f t="shared" si="43"/>
        <v>208792.39999999991</v>
      </c>
      <c r="Z305">
        <f t="shared" si="38"/>
        <v>21020.400000000001</v>
      </c>
      <c r="AA305">
        <v>15.541542910905559</v>
      </c>
    </row>
    <row r="306" spans="1:28" x14ac:dyDescent="0.25">
      <c r="A306">
        <v>6280</v>
      </c>
      <c r="B306">
        <v>24170</v>
      </c>
      <c r="C306" s="8">
        <v>42884</v>
      </c>
      <c r="F306" s="51"/>
      <c r="G306">
        <v>23.6</v>
      </c>
      <c r="H306">
        <v>21.8</v>
      </c>
      <c r="I306">
        <v>27.4</v>
      </c>
      <c r="J306">
        <f t="shared" si="42"/>
        <v>2500.1999999999994</v>
      </c>
      <c r="K306">
        <f t="shared" si="37"/>
        <v>205.6</v>
      </c>
      <c r="L306" s="20" t="s">
        <v>44</v>
      </c>
      <c r="M306">
        <v>0</v>
      </c>
      <c r="N306">
        <v>3.3</v>
      </c>
      <c r="O306">
        <f t="shared" si="39"/>
        <v>-3.3</v>
      </c>
      <c r="P306">
        <f t="shared" si="44"/>
        <v>29.099999999999913</v>
      </c>
      <c r="Q306" s="22">
        <v>272</v>
      </c>
      <c r="R306">
        <f t="shared" si="45"/>
        <v>1.0080645161290323</v>
      </c>
      <c r="S306" s="23">
        <f t="shared" si="40"/>
        <v>3.3266129032258061</v>
      </c>
      <c r="T306" s="23">
        <f t="shared" si="41"/>
        <v>-3.3266129032258061</v>
      </c>
      <c r="U306" s="23">
        <f t="shared" si="46"/>
        <v>13.454817708333346</v>
      </c>
      <c r="W306">
        <v>1444.2</v>
      </c>
      <c r="Y306">
        <f t="shared" si="43"/>
        <v>210236.59999999992</v>
      </c>
      <c r="Z306">
        <f t="shared" si="38"/>
        <v>22464.600000000002</v>
      </c>
      <c r="AA306">
        <v>15.573054038249644</v>
      </c>
    </row>
    <row r="307" spans="1:28" x14ac:dyDescent="0.25">
      <c r="A307">
        <v>6280</v>
      </c>
      <c r="B307">
        <v>24170</v>
      </c>
      <c r="C307" s="8">
        <v>42885</v>
      </c>
      <c r="F307" s="51"/>
      <c r="G307">
        <v>19.3</v>
      </c>
      <c r="H307">
        <v>19.100000000000001</v>
      </c>
      <c r="I307">
        <v>21.6</v>
      </c>
      <c r="J307">
        <f t="shared" si="42"/>
        <v>2519.4999999999995</v>
      </c>
      <c r="K307">
        <f t="shared" si="37"/>
        <v>224.9</v>
      </c>
      <c r="L307" s="12">
        <v>0</v>
      </c>
      <c r="M307">
        <v>0</v>
      </c>
      <c r="N307">
        <v>3</v>
      </c>
      <c r="O307">
        <f t="shared" si="39"/>
        <v>-3</v>
      </c>
      <c r="P307">
        <f t="shared" si="44"/>
        <v>26.099999999999913</v>
      </c>
      <c r="Q307">
        <v>273</v>
      </c>
      <c r="R307">
        <f t="shared" si="45"/>
        <v>0.99516129032258061</v>
      </c>
      <c r="S307" s="23">
        <f t="shared" si="40"/>
        <v>2.9854838709677418</v>
      </c>
      <c r="T307" s="23">
        <f t="shared" si="41"/>
        <v>-2.9854838709677418</v>
      </c>
      <c r="U307" s="23">
        <f t="shared" si="46"/>
        <v>10.469333837365603</v>
      </c>
      <c r="V307">
        <f>(V305*100)/197.4</f>
        <v>13.03516233549586</v>
      </c>
      <c r="W307">
        <v>1185.5</v>
      </c>
      <c r="Y307">
        <f t="shared" si="43"/>
        <v>211422.09999999992</v>
      </c>
      <c r="Z307">
        <f t="shared" si="38"/>
        <v>23650.100000000002</v>
      </c>
      <c r="AA307">
        <v>15.603436444047484</v>
      </c>
    </row>
    <row r="308" spans="1:28" x14ac:dyDescent="0.25">
      <c r="A308">
        <v>6280</v>
      </c>
      <c r="B308">
        <v>24170</v>
      </c>
      <c r="C308" s="8">
        <v>42886</v>
      </c>
      <c r="F308" s="51"/>
      <c r="G308">
        <v>18.7</v>
      </c>
      <c r="H308">
        <v>13.2</v>
      </c>
      <c r="I308">
        <v>22.6</v>
      </c>
      <c r="J308">
        <f t="shared" si="42"/>
        <v>2538.1999999999994</v>
      </c>
      <c r="K308">
        <f t="shared" si="37"/>
        <v>243.6</v>
      </c>
      <c r="L308" s="20" t="s">
        <v>45</v>
      </c>
      <c r="M308">
        <v>0</v>
      </c>
      <c r="N308">
        <v>3.5</v>
      </c>
      <c r="O308">
        <f t="shared" si="39"/>
        <v>-3.5</v>
      </c>
      <c r="P308">
        <f t="shared" si="44"/>
        <v>22.599999999999913</v>
      </c>
      <c r="Q308" s="22">
        <v>274</v>
      </c>
      <c r="R308">
        <f t="shared" si="45"/>
        <v>0.98225806451612896</v>
      </c>
      <c r="S308" s="23">
        <f t="shared" si="40"/>
        <v>3.4379032258064512</v>
      </c>
      <c r="T308" s="23">
        <f t="shared" si="41"/>
        <v>-3.4379032258064512</v>
      </c>
      <c r="U308" s="23">
        <f t="shared" si="46"/>
        <v>7.0314306115591521</v>
      </c>
      <c r="W308">
        <v>1901.3</v>
      </c>
      <c r="Y308">
        <f t="shared" si="43"/>
        <v>213323.39999999991</v>
      </c>
      <c r="Z308">
        <f t="shared" si="38"/>
        <v>25551.4</v>
      </c>
      <c r="AA308">
        <v>15.632667232201838</v>
      </c>
    </row>
    <row r="309" spans="1:28" x14ac:dyDescent="0.25">
      <c r="A309">
        <v>6280</v>
      </c>
      <c r="B309">
        <v>24170</v>
      </c>
      <c r="C309" s="8">
        <v>42887</v>
      </c>
      <c r="F309" s="51"/>
      <c r="G309">
        <v>21</v>
      </c>
      <c r="H309">
        <v>15.6</v>
      </c>
      <c r="I309">
        <v>25.6</v>
      </c>
      <c r="J309">
        <f t="shared" si="42"/>
        <v>2559.1999999999994</v>
      </c>
      <c r="K309">
        <f t="shared" si="37"/>
        <v>264.60000000000002</v>
      </c>
      <c r="L309" s="18">
        <v>0</v>
      </c>
      <c r="M309">
        <v>0</v>
      </c>
      <c r="N309">
        <v>5.0999999999999996</v>
      </c>
      <c r="O309">
        <f t="shared" si="39"/>
        <v>-5.0999999999999996</v>
      </c>
      <c r="P309">
        <f t="shared" si="44"/>
        <v>17.499999999999915</v>
      </c>
      <c r="Q309">
        <v>275</v>
      </c>
      <c r="R309">
        <f t="shared" si="45"/>
        <v>0.96935483870967731</v>
      </c>
      <c r="S309" s="23">
        <f t="shared" si="40"/>
        <v>4.9437096774193536</v>
      </c>
      <c r="T309" s="23">
        <f t="shared" si="41"/>
        <v>-4.9437096774193536</v>
      </c>
      <c r="U309" s="23">
        <f t="shared" si="46"/>
        <v>2.0877209341397984</v>
      </c>
      <c r="W309">
        <v>2548</v>
      </c>
      <c r="Y309">
        <f t="shared" si="43"/>
        <v>215871.39999999991</v>
      </c>
      <c r="Z309">
        <f t="shared" si="38"/>
        <v>28099.4</v>
      </c>
      <c r="AA309">
        <v>15.660723979642132</v>
      </c>
    </row>
    <row r="310" spans="1:28" x14ac:dyDescent="0.25">
      <c r="A310">
        <v>6280</v>
      </c>
      <c r="B310">
        <v>24170</v>
      </c>
      <c r="C310" s="8">
        <v>42888</v>
      </c>
      <c r="F310" s="51"/>
      <c r="G310">
        <v>20.5</v>
      </c>
      <c r="H310">
        <v>17.399999999999999</v>
      </c>
      <c r="I310">
        <v>26.8</v>
      </c>
      <c r="J310">
        <f t="shared" si="42"/>
        <v>2579.6999999999994</v>
      </c>
      <c r="K310">
        <f t="shared" si="37"/>
        <v>285.10000000000002</v>
      </c>
      <c r="M310">
        <v>2.4</v>
      </c>
      <c r="N310">
        <v>2.2999999999999998</v>
      </c>
      <c r="O310">
        <f t="shared" si="39"/>
        <v>0.10000000000000009</v>
      </c>
      <c r="P310">
        <f t="shared" si="44"/>
        <v>17.599999999999916</v>
      </c>
      <c r="Q310" s="22">
        <v>276</v>
      </c>
      <c r="R310">
        <f t="shared" si="45"/>
        <v>0.95645161290322567</v>
      </c>
      <c r="S310" s="23">
        <f t="shared" si="40"/>
        <v>2.1998387096774188</v>
      </c>
      <c r="T310" s="23">
        <f t="shared" si="41"/>
        <v>0.20016129032258112</v>
      </c>
      <c r="U310" s="23">
        <f t="shared" si="46"/>
        <v>2.2878822244623795</v>
      </c>
      <c r="W310">
        <v>979.8</v>
      </c>
      <c r="Y310">
        <f t="shared" si="43"/>
        <v>216851.1999999999</v>
      </c>
      <c r="Z310">
        <f t="shared" si="38"/>
        <v>29079.200000000001</v>
      </c>
      <c r="AA310">
        <v>15.687584793361568</v>
      </c>
    </row>
    <row r="311" spans="1:28" s="31" customFormat="1" ht="15.75" thickBot="1" x14ac:dyDescent="0.3">
      <c r="A311" s="31">
        <v>6280</v>
      </c>
      <c r="B311" s="31">
        <v>24170</v>
      </c>
      <c r="C311" s="32">
        <v>42889</v>
      </c>
      <c r="D311" s="31">
        <v>600</v>
      </c>
      <c r="F311" s="51"/>
      <c r="G311" s="31">
        <v>16.100000000000001</v>
      </c>
      <c r="H311" s="31">
        <v>14.6</v>
      </c>
      <c r="I311" s="31">
        <v>20.6</v>
      </c>
      <c r="J311" s="31">
        <f t="shared" si="42"/>
        <v>2595.7999999999993</v>
      </c>
      <c r="K311" s="31">
        <f t="shared" si="37"/>
        <v>301.20000000000005</v>
      </c>
      <c r="M311" s="31">
        <v>3.4</v>
      </c>
      <c r="N311" s="31">
        <v>2</v>
      </c>
      <c r="O311" s="31">
        <f t="shared" si="39"/>
        <v>1.4</v>
      </c>
      <c r="P311" s="31">
        <f t="shared" si="44"/>
        <v>18.999999999999915</v>
      </c>
      <c r="Q311" s="31">
        <v>277</v>
      </c>
      <c r="R311" s="31">
        <f t="shared" si="45"/>
        <v>0.94354838709677413</v>
      </c>
      <c r="S311" s="33">
        <f t="shared" si="40"/>
        <v>1.8870967741935483</v>
      </c>
      <c r="T311" s="33">
        <f t="shared" si="41"/>
        <v>1.5129032258064516</v>
      </c>
      <c r="U311" s="23">
        <f t="shared" si="46"/>
        <v>3.8007854502688314</v>
      </c>
      <c r="W311" s="31">
        <v>929.2</v>
      </c>
      <c r="Y311" s="31">
        <f t="shared" si="43"/>
        <v>217780.39999999991</v>
      </c>
      <c r="Z311" s="31">
        <f t="shared" si="38"/>
        <v>30008.400000000001</v>
      </c>
      <c r="AA311" s="31">
        <v>15.713228367768739</v>
      </c>
    </row>
    <row r="312" spans="1:28" x14ac:dyDescent="0.25">
      <c r="A312">
        <v>6280</v>
      </c>
      <c r="B312">
        <v>24170</v>
      </c>
      <c r="C312" s="8">
        <v>42890</v>
      </c>
      <c r="F312" s="52" t="s">
        <v>52</v>
      </c>
      <c r="G312">
        <v>15.4</v>
      </c>
      <c r="H312">
        <v>10.199999999999999</v>
      </c>
      <c r="I312">
        <v>19.5</v>
      </c>
      <c r="J312">
        <f t="shared" si="42"/>
        <v>2611.1999999999994</v>
      </c>
      <c r="K312">
        <v>15.4</v>
      </c>
      <c r="L312" s="21" t="s">
        <v>39</v>
      </c>
      <c r="M312">
        <v>0</v>
      </c>
      <c r="N312">
        <v>3.4</v>
      </c>
      <c r="O312">
        <f t="shared" si="39"/>
        <v>-3.4</v>
      </c>
      <c r="P312">
        <f t="shared" si="44"/>
        <v>15.599999999999914</v>
      </c>
      <c r="Q312" s="22">
        <v>278</v>
      </c>
      <c r="R312">
        <f t="shared" si="45"/>
        <v>0.93064516129032249</v>
      </c>
      <c r="S312" s="23">
        <f t="shared" si="40"/>
        <v>3.1641935483870962</v>
      </c>
      <c r="T312" s="23">
        <f t="shared" si="41"/>
        <v>-3.1641935483870962</v>
      </c>
      <c r="U312" s="23">
        <f t="shared" si="46"/>
        <v>0.6365919018817352</v>
      </c>
      <c r="V312" s="30" t="s">
        <v>53</v>
      </c>
      <c r="W312">
        <v>2071.1999999999998</v>
      </c>
      <c r="Y312">
        <f t="shared" si="43"/>
        <v>219851.59999999992</v>
      </c>
      <c r="Z312">
        <f>W312</f>
        <v>2071.1999999999998</v>
      </c>
      <c r="AA312">
        <v>15.737634042080611</v>
      </c>
      <c r="AB312" s="30" t="s">
        <v>58</v>
      </c>
    </row>
    <row r="313" spans="1:28" x14ac:dyDescent="0.25">
      <c r="A313">
        <v>6280</v>
      </c>
      <c r="B313">
        <v>24170</v>
      </c>
      <c r="C313" s="8">
        <v>42891</v>
      </c>
      <c r="F313" s="52"/>
      <c r="G313">
        <v>17.2</v>
      </c>
      <c r="H313">
        <v>11.2</v>
      </c>
      <c r="I313">
        <v>20.9</v>
      </c>
      <c r="J313">
        <f t="shared" si="42"/>
        <v>2628.3999999999992</v>
      </c>
      <c r="K313">
        <f t="shared" si="37"/>
        <v>32.6</v>
      </c>
      <c r="L313" s="12">
        <v>408</v>
      </c>
      <c r="M313">
        <v>8.3000000000000007</v>
      </c>
      <c r="N313">
        <v>3.3</v>
      </c>
      <c r="O313">
        <f t="shared" si="39"/>
        <v>5.0000000000000009</v>
      </c>
      <c r="P313">
        <f t="shared" si="44"/>
        <v>20.599999999999916</v>
      </c>
      <c r="Q313">
        <v>279</v>
      </c>
      <c r="R313">
        <f t="shared" si="45"/>
        <v>0.91774193548387084</v>
      </c>
      <c r="S313" s="23">
        <f t="shared" si="40"/>
        <v>3.0285483870967735</v>
      </c>
      <c r="T313" s="23">
        <f t="shared" si="41"/>
        <v>5.2714516129032276</v>
      </c>
      <c r="U313" s="23">
        <f t="shared" si="46"/>
        <v>5.9080435147849624</v>
      </c>
      <c r="V313">
        <v>12</v>
      </c>
      <c r="W313">
        <v>1613.8</v>
      </c>
      <c r="Y313">
        <f t="shared" si="43"/>
        <v>221465.39999999991</v>
      </c>
      <c r="Z313">
        <f t="shared" si="38"/>
        <v>3685</v>
      </c>
      <c r="AA313">
        <v>15.760781857469823</v>
      </c>
      <c r="AB313">
        <v>43556.3</v>
      </c>
    </row>
    <row r="314" spans="1:28" x14ac:dyDescent="0.25">
      <c r="A314">
        <v>6280</v>
      </c>
      <c r="B314">
        <v>24170</v>
      </c>
      <c r="C314" s="8">
        <v>42892</v>
      </c>
      <c r="F314" s="52"/>
      <c r="G314">
        <v>12.9</v>
      </c>
      <c r="H314">
        <v>12.2</v>
      </c>
      <c r="I314">
        <v>13.9</v>
      </c>
      <c r="J314">
        <f t="shared" si="42"/>
        <v>2641.2999999999993</v>
      </c>
      <c r="K314">
        <f t="shared" si="37"/>
        <v>45.5</v>
      </c>
      <c r="L314" s="21" t="s">
        <v>40</v>
      </c>
      <c r="M314">
        <v>5.7</v>
      </c>
      <c r="N314">
        <v>2.6</v>
      </c>
      <c r="O314">
        <f t="shared" si="39"/>
        <v>3.1</v>
      </c>
      <c r="P314">
        <f t="shared" si="44"/>
        <v>23.699999999999918</v>
      </c>
      <c r="Q314" s="22">
        <v>280</v>
      </c>
      <c r="R314">
        <f t="shared" si="45"/>
        <v>0.90483870967741931</v>
      </c>
      <c r="S314" s="23">
        <f t="shared" si="40"/>
        <v>2.3525806451612903</v>
      </c>
      <c r="T314" s="23">
        <f t="shared" si="41"/>
        <v>3.3474193548387099</v>
      </c>
      <c r="U314" s="23">
        <f t="shared" si="46"/>
        <v>9.2554628696236723</v>
      </c>
      <c r="V314" s="30" t="s">
        <v>54</v>
      </c>
      <c r="W314">
        <v>1441</v>
      </c>
      <c r="Y314">
        <f t="shared" si="43"/>
        <v>222906.39999999991</v>
      </c>
      <c r="Z314">
        <f t="shared" si="38"/>
        <v>5126</v>
      </c>
      <c r="AA314">
        <v>15.782652613667457</v>
      </c>
      <c r="AB314" s="30" t="s">
        <v>59</v>
      </c>
    </row>
    <row r="315" spans="1:28" x14ac:dyDescent="0.25">
      <c r="A315">
        <v>6280</v>
      </c>
      <c r="B315">
        <v>24170</v>
      </c>
      <c r="C315" s="8">
        <v>42893</v>
      </c>
      <c r="F315" s="52"/>
      <c r="G315">
        <v>14.8</v>
      </c>
      <c r="H315">
        <v>10.7</v>
      </c>
      <c r="I315">
        <v>18.5</v>
      </c>
      <c r="J315">
        <f t="shared" si="42"/>
        <v>2656.0999999999995</v>
      </c>
      <c r="K315">
        <f t="shared" si="37"/>
        <v>60.3</v>
      </c>
      <c r="L315" s="12">
        <f>AVERAGE(G312:G331)</f>
        <v>20.400000000000002</v>
      </c>
      <c r="M315">
        <v>0</v>
      </c>
      <c r="N315">
        <v>3.9</v>
      </c>
      <c r="O315">
        <f t="shared" si="39"/>
        <v>-3.9</v>
      </c>
      <c r="P315">
        <f t="shared" si="44"/>
        <v>19.799999999999919</v>
      </c>
      <c r="Q315">
        <v>281</v>
      </c>
      <c r="R315">
        <f t="shared" si="45"/>
        <v>0.89193548387096766</v>
      </c>
      <c r="S315" s="23">
        <f t="shared" si="40"/>
        <v>3.4785483870967737</v>
      </c>
      <c r="T315" s="23">
        <f t="shared" si="41"/>
        <v>-3.4785483870967737</v>
      </c>
      <c r="U315" s="23">
        <f t="shared" si="46"/>
        <v>5.7769144825268981</v>
      </c>
      <c r="V315">
        <v>8</v>
      </c>
      <c r="W315">
        <v>2080.6</v>
      </c>
      <c r="Y315">
        <f t="shared" si="43"/>
        <v>224986.99999999991</v>
      </c>
      <c r="Z315">
        <f t="shared" si="38"/>
        <v>7206.6</v>
      </c>
      <c r="AA315">
        <v>15.80322792471253</v>
      </c>
      <c r="AB315">
        <f>(AB313/100)/L313</f>
        <v>1.0675563725490198</v>
      </c>
    </row>
    <row r="316" spans="1:28" x14ac:dyDescent="0.25">
      <c r="A316">
        <v>6280</v>
      </c>
      <c r="B316">
        <v>24170</v>
      </c>
      <c r="C316" s="8">
        <v>42894</v>
      </c>
      <c r="F316" s="52"/>
      <c r="G316">
        <v>19.3</v>
      </c>
      <c r="H316">
        <v>12.3</v>
      </c>
      <c r="I316">
        <v>24.8</v>
      </c>
      <c r="J316">
        <f t="shared" si="42"/>
        <v>2675.3999999999996</v>
      </c>
      <c r="K316">
        <f t="shared" si="37"/>
        <v>79.599999999999994</v>
      </c>
      <c r="L316" s="21" t="s">
        <v>41</v>
      </c>
      <c r="M316">
        <v>10.199999999999999</v>
      </c>
      <c r="N316">
        <v>3.6</v>
      </c>
      <c r="O316">
        <f t="shared" si="39"/>
        <v>6.6</v>
      </c>
      <c r="P316">
        <f t="shared" si="44"/>
        <v>26.39999999999992</v>
      </c>
      <c r="Q316" s="22">
        <v>282</v>
      </c>
      <c r="R316">
        <f t="shared" si="45"/>
        <v>0.87903225806451601</v>
      </c>
      <c r="S316" s="23">
        <f t="shared" si="40"/>
        <v>3.1645161290322577</v>
      </c>
      <c r="T316" s="23">
        <f t="shared" si="41"/>
        <v>7.0354838709677416</v>
      </c>
      <c r="U316" s="23">
        <f t="shared" si="46"/>
        <v>12.81239835349464</v>
      </c>
      <c r="V316" s="30" t="s">
        <v>55</v>
      </c>
      <c r="W316">
        <v>1815.1</v>
      </c>
      <c r="Y316">
        <f t="shared" si="43"/>
        <v>226802.09999999992</v>
      </c>
      <c r="Z316">
        <f t="shared" si="38"/>
        <v>9021.7000000000007</v>
      </c>
      <c r="AA316">
        <v>15.822490273532356</v>
      </c>
      <c r="AB316" s="30" t="s">
        <v>60</v>
      </c>
    </row>
    <row r="317" spans="1:28" x14ac:dyDescent="0.25">
      <c r="A317">
        <v>6280</v>
      </c>
      <c r="B317">
        <v>24170</v>
      </c>
      <c r="C317" s="8">
        <v>42895</v>
      </c>
      <c r="F317" s="52"/>
      <c r="G317">
        <v>18.600000000000001</v>
      </c>
      <c r="H317">
        <v>15.5</v>
      </c>
      <c r="I317">
        <v>21.3</v>
      </c>
      <c r="J317">
        <f t="shared" si="42"/>
        <v>2693.9999999999995</v>
      </c>
      <c r="K317">
        <f t="shared" si="37"/>
        <v>98.199999999999989</v>
      </c>
      <c r="L317" s="12">
        <f>MIN(H312:H331)</f>
        <v>10.199999999999999</v>
      </c>
      <c r="M317">
        <v>0</v>
      </c>
      <c r="N317">
        <v>3.2</v>
      </c>
      <c r="O317">
        <f t="shared" si="39"/>
        <v>-3.2</v>
      </c>
      <c r="P317">
        <f t="shared" si="44"/>
        <v>23.199999999999921</v>
      </c>
      <c r="Q317">
        <v>283</v>
      </c>
      <c r="R317">
        <f t="shared" si="45"/>
        <v>0.86612903225806437</v>
      </c>
      <c r="S317" s="23">
        <f t="shared" si="40"/>
        <v>2.7716129032258063</v>
      </c>
      <c r="T317" s="23">
        <f t="shared" si="41"/>
        <v>-2.7716129032258063</v>
      </c>
      <c r="U317" s="23">
        <f t="shared" si="46"/>
        <v>10.040785450268833</v>
      </c>
      <c r="V317">
        <v>0</v>
      </c>
      <c r="W317">
        <v>1461.2</v>
      </c>
      <c r="Y317">
        <f t="shared" si="43"/>
        <v>228263.29999999993</v>
      </c>
      <c r="Z317">
        <f t="shared" si="38"/>
        <v>10482.900000000001</v>
      </c>
      <c r="AA317">
        <v>15.840423065033304</v>
      </c>
      <c r="AB317">
        <v>0</v>
      </c>
    </row>
    <row r="318" spans="1:28" x14ac:dyDescent="0.25">
      <c r="A318">
        <v>6280</v>
      </c>
      <c r="B318">
        <v>24170</v>
      </c>
      <c r="C318" s="8">
        <v>42896</v>
      </c>
      <c r="F318" s="52"/>
      <c r="G318">
        <v>20.6</v>
      </c>
      <c r="H318">
        <v>14.7</v>
      </c>
      <c r="I318">
        <v>25.9</v>
      </c>
      <c r="J318">
        <f t="shared" si="42"/>
        <v>2714.5999999999995</v>
      </c>
      <c r="K318">
        <f t="shared" ref="K318:K357" si="47">K317+G318</f>
        <v>118.79999999999998</v>
      </c>
      <c r="L318" s="21" t="s">
        <v>42</v>
      </c>
      <c r="M318">
        <v>0</v>
      </c>
      <c r="N318">
        <v>5.2</v>
      </c>
      <c r="O318">
        <f t="shared" si="39"/>
        <v>-5.2</v>
      </c>
      <c r="P318">
        <f t="shared" si="44"/>
        <v>17.999999999999922</v>
      </c>
      <c r="Q318" s="22">
        <v>284</v>
      </c>
      <c r="R318">
        <f t="shared" si="45"/>
        <v>0.85322580645161283</v>
      </c>
      <c r="S318" s="23">
        <f t="shared" si="40"/>
        <v>4.4367741935483869</v>
      </c>
      <c r="T318" s="23">
        <f t="shared" si="41"/>
        <v>-4.4367741935483869</v>
      </c>
      <c r="U318" s="23">
        <f t="shared" si="46"/>
        <v>5.6040112567204465</v>
      </c>
      <c r="V318" s="30" t="s">
        <v>56</v>
      </c>
      <c r="W318">
        <v>2476.6</v>
      </c>
      <c r="Y318">
        <f t="shared" si="43"/>
        <v>230739.89999999994</v>
      </c>
      <c r="Z318">
        <f t="shared" ref="Z318:Z357" si="48">Z317+W318</f>
        <v>12959.500000000002</v>
      </c>
      <c r="AA318">
        <v>15.857010677379902</v>
      </c>
    </row>
    <row r="319" spans="1:28" x14ac:dyDescent="0.25">
      <c r="A319">
        <v>6280</v>
      </c>
      <c r="B319">
        <v>24170</v>
      </c>
      <c r="C319" s="8">
        <v>42897</v>
      </c>
      <c r="F319" s="52"/>
      <c r="G319">
        <v>22.7</v>
      </c>
      <c r="H319">
        <v>15.3</v>
      </c>
      <c r="I319">
        <v>28.4</v>
      </c>
      <c r="J319">
        <f t="shared" si="42"/>
        <v>2737.2999999999993</v>
      </c>
      <c r="K319">
        <f t="shared" si="47"/>
        <v>141.49999999999997</v>
      </c>
      <c r="L319" s="12">
        <f>MAX(I312:I331)</f>
        <v>34.200000000000003</v>
      </c>
      <c r="M319">
        <v>0</v>
      </c>
      <c r="N319">
        <v>4.4000000000000004</v>
      </c>
      <c r="O319">
        <f t="shared" si="39"/>
        <v>-4.4000000000000004</v>
      </c>
      <c r="P319">
        <f t="shared" si="44"/>
        <v>13.599999999999921</v>
      </c>
      <c r="Q319">
        <v>285</v>
      </c>
      <c r="R319">
        <f t="shared" si="45"/>
        <v>0.8403225806451613</v>
      </c>
      <c r="S319" s="23">
        <f t="shared" si="40"/>
        <v>3.69741935483871</v>
      </c>
      <c r="T319" s="23">
        <f t="shared" si="41"/>
        <v>-3.69741935483871</v>
      </c>
      <c r="U319" s="23">
        <f t="shared" si="46"/>
        <v>1.9065919018817366</v>
      </c>
      <c r="V319" s="23">
        <f>MAX(U312:U331)</f>
        <v>12.81239835349464</v>
      </c>
      <c r="W319">
        <v>1658</v>
      </c>
      <c r="Y319">
        <f t="shared" si="43"/>
        <v>232397.89999999994</v>
      </c>
      <c r="Z319">
        <f t="shared" si="48"/>
        <v>14617.500000000002</v>
      </c>
      <c r="AA319">
        <v>15.872238511141747</v>
      </c>
    </row>
    <row r="320" spans="1:28" x14ac:dyDescent="0.25">
      <c r="A320">
        <v>6280</v>
      </c>
      <c r="B320">
        <v>24170</v>
      </c>
      <c r="C320" s="8">
        <v>42898</v>
      </c>
      <c r="F320" s="52"/>
      <c r="G320">
        <v>17.3</v>
      </c>
      <c r="H320">
        <v>15.2</v>
      </c>
      <c r="I320">
        <v>20.399999999999999</v>
      </c>
      <c r="J320">
        <f t="shared" si="42"/>
        <v>2754.5999999999995</v>
      </c>
      <c r="K320">
        <f t="shared" si="47"/>
        <v>158.79999999999998</v>
      </c>
      <c r="L320" s="21" t="s">
        <v>43</v>
      </c>
      <c r="M320">
        <v>0</v>
      </c>
      <c r="N320">
        <v>5.3</v>
      </c>
      <c r="O320">
        <f t="shared" si="39"/>
        <v>-5.3</v>
      </c>
      <c r="P320">
        <f t="shared" si="44"/>
        <v>8.2999999999999226</v>
      </c>
      <c r="Q320" s="22">
        <v>286</v>
      </c>
      <c r="R320">
        <f t="shared" si="45"/>
        <v>0.82741935483870965</v>
      </c>
      <c r="S320" s="23">
        <f t="shared" si="40"/>
        <v>4.3853225806451608</v>
      </c>
      <c r="T320" s="23">
        <f t="shared" si="41"/>
        <v>-4.3853225806451608</v>
      </c>
      <c r="U320" s="23">
        <v>0</v>
      </c>
      <c r="V320" s="30" t="s">
        <v>57</v>
      </c>
      <c r="W320">
        <v>2636.3</v>
      </c>
      <c r="Y320">
        <f t="shared" si="43"/>
        <v>235034.19999999992</v>
      </c>
      <c r="Z320">
        <f t="shared" si="48"/>
        <v>17253.800000000003</v>
      </c>
      <c r="AA320">
        <v>15.886093035992447</v>
      </c>
    </row>
    <row r="321" spans="1:27" x14ac:dyDescent="0.25">
      <c r="A321">
        <v>6280</v>
      </c>
      <c r="B321">
        <v>24170</v>
      </c>
      <c r="C321" s="8">
        <v>42899</v>
      </c>
      <c r="F321" s="52"/>
      <c r="G321">
        <v>17.899999999999999</v>
      </c>
      <c r="H321">
        <v>11.4</v>
      </c>
      <c r="I321">
        <v>21.9</v>
      </c>
      <c r="J321">
        <f t="shared" si="42"/>
        <v>2772.4999999999995</v>
      </c>
      <c r="K321">
        <f t="shared" si="47"/>
        <v>176.7</v>
      </c>
      <c r="L321" s="12">
        <v>10</v>
      </c>
      <c r="M321">
        <v>0</v>
      </c>
      <c r="N321">
        <v>4.2</v>
      </c>
      <c r="O321">
        <f t="shared" si="39"/>
        <v>-4.2</v>
      </c>
      <c r="P321">
        <f t="shared" si="44"/>
        <v>4.0999999999999224</v>
      </c>
      <c r="Q321">
        <v>287</v>
      </c>
      <c r="R321">
        <f t="shared" si="45"/>
        <v>0.81451612903225801</v>
      </c>
      <c r="S321" s="23">
        <f t="shared" si="40"/>
        <v>3.4209677419354838</v>
      </c>
      <c r="T321" s="23">
        <f t="shared" si="41"/>
        <v>-3.4209677419354838</v>
      </c>
      <c r="U321" s="23">
        <v>0</v>
      </c>
      <c r="V321" s="23">
        <f>AVERAGE(U312:U331)</f>
        <v>2.5970399865591469</v>
      </c>
      <c r="W321">
        <v>2356.3000000000002</v>
      </c>
      <c r="Y321">
        <f t="shared" si="43"/>
        <v>237390.49999999991</v>
      </c>
      <c r="Z321">
        <f t="shared" si="48"/>
        <v>19610.100000000002</v>
      </c>
      <c r="AA321">
        <v>15.898561834652808</v>
      </c>
    </row>
    <row r="322" spans="1:27" x14ac:dyDescent="0.25">
      <c r="A322">
        <v>6280</v>
      </c>
      <c r="B322">
        <v>24170</v>
      </c>
      <c r="C322" s="8">
        <v>42900</v>
      </c>
      <c r="F322" s="52"/>
      <c r="G322">
        <v>21.9</v>
      </c>
      <c r="H322">
        <v>16.600000000000001</v>
      </c>
      <c r="I322">
        <v>27.3</v>
      </c>
      <c r="J322">
        <f t="shared" si="42"/>
        <v>2794.3999999999996</v>
      </c>
      <c r="K322">
        <f t="shared" si="47"/>
        <v>198.6</v>
      </c>
      <c r="L322" s="21" t="s">
        <v>44</v>
      </c>
      <c r="M322">
        <v>0</v>
      </c>
      <c r="N322">
        <v>5.3</v>
      </c>
      <c r="O322">
        <f t="shared" si="39"/>
        <v>-5.3</v>
      </c>
      <c r="P322">
        <v>0</v>
      </c>
      <c r="Q322" s="22">
        <v>288</v>
      </c>
      <c r="R322">
        <f t="shared" si="45"/>
        <v>0.80161290322580636</v>
      </c>
      <c r="S322" s="23">
        <f t="shared" si="40"/>
        <v>4.2485483870967737</v>
      </c>
      <c r="T322" s="23">
        <f t="shared" si="41"/>
        <v>-4.2485483870967737</v>
      </c>
      <c r="U322" s="23">
        <v>0</v>
      </c>
      <c r="W322">
        <v>2403.6</v>
      </c>
      <c r="Y322">
        <f t="shared" si="43"/>
        <v>239794.09999999992</v>
      </c>
      <c r="Z322">
        <f t="shared" si="48"/>
        <v>22013.7</v>
      </c>
      <c r="AA322">
        <v>15.909633643782135</v>
      </c>
    </row>
    <row r="323" spans="1:27" x14ac:dyDescent="0.25">
      <c r="A323">
        <v>6280</v>
      </c>
      <c r="B323">
        <v>24170</v>
      </c>
      <c r="C323" s="8">
        <v>42901</v>
      </c>
      <c r="F323" s="52"/>
      <c r="G323">
        <v>22.9</v>
      </c>
      <c r="H323">
        <v>18.2</v>
      </c>
      <c r="I323">
        <v>28.2</v>
      </c>
      <c r="J323">
        <f t="shared" si="42"/>
        <v>2817.2999999999997</v>
      </c>
      <c r="K323">
        <f t="shared" si="47"/>
        <v>221.5</v>
      </c>
      <c r="L323" s="12">
        <v>0</v>
      </c>
      <c r="M323">
        <v>0</v>
      </c>
      <c r="N323">
        <v>4.9000000000000004</v>
      </c>
      <c r="O323">
        <f t="shared" si="39"/>
        <v>-4.9000000000000004</v>
      </c>
      <c r="P323">
        <v>0</v>
      </c>
      <c r="Q323">
        <v>289</v>
      </c>
      <c r="R323">
        <f t="shared" si="45"/>
        <v>0.78870967741935472</v>
      </c>
      <c r="S323" s="23">
        <f t="shared" si="40"/>
        <v>3.8646774193548383</v>
      </c>
      <c r="T323" s="23">
        <f t="shared" si="41"/>
        <v>-3.8646774193548383</v>
      </c>
      <c r="U323" s="23">
        <v>0</v>
      </c>
      <c r="V323">
        <f>(V321*100)/197.4</f>
        <v>1.3156230934950086</v>
      </c>
      <c r="W323">
        <v>2247.8000000000002</v>
      </c>
      <c r="Y323">
        <f t="shared" si="43"/>
        <v>242041.89999999991</v>
      </c>
      <c r="Z323">
        <f t="shared" si="48"/>
        <v>24261.5</v>
      </c>
      <c r="AA323">
        <v>15.919298391536177</v>
      </c>
    </row>
    <row r="324" spans="1:27" x14ac:dyDescent="0.25">
      <c r="A324">
        <v>6280</v>
      </c>
      <c r="B324">
        <v>24170</v>
      </c>
      <c r="C324" s="8">
        <v>42902</v>
      </c>
      <c r="F324" s="52"/>
      <c r="G324">
        <v>18</v>
      </c>
      <c r="H324">
        <v>14.3</v>
      </c>
      <c r="I324">
        <v>22</v>
      </c>
      <c r="J324">
        <f t="shared" si="42"/>
        <v>2835.2999999999997</v>
      </c>
      <c r="K324">
        <f t="shared" si="47"/>
        <v>239.5</v>
      </c>
      <c r="L324" s="21" t="s">
        <v>45</v>
      </c>
      <c r="M324">
        <v>0</v>
      </c>
      <c r="N324">
        <v>4.7</v>
      </c>
      <c r="O324">
        <f t="shared" si="39"/>
        <v>-4.7</v>
      </c>
      <c r="P324">
        <v>0</v>
      </c>
      <c r="Q324" s="22">
        <v>290</v>
      </c>
      <c r="R324">
        <f t="shared" si="45"/>
        <v>0.77580645161290318</v>
      </c>
      <c r="S324" s="23">
        <f t="shared" si="40"/>
        <v>3.6462903225806449</v>
      </c>
      <c r="T324" s="23">
        <f t="shared" si="41"/>
        <v>-3.6462903225806449</v>
      </c>
      <c r="U324" s="23">
        <v>0</v>
      </c>
      <c r="W324">
        <v>2334.5</v>
      </c>
      <c r="Y324">
        <f t="shared" si="43"/>
        <v>244376.39999999991</v>
      </c>
      <c r="Z324">
        <f t="shared" si="48"/>
        <v>26596</v>
      </c>
      <c r="AA324">
        <v>15.927547231528447</v>
      </c>
    </row>
    <row r="325" spans="1:27" x14ac:dyDescent="0.25">
      <c r="A325">
        <v>6280</v>
      </c>
      <c r="B325">
        <v>24170</v>
      </c>
      <c r="C325" s="8">
        <v>42903</v>
      </c>
      <c r="F325" s="52"/>
      <c r="G325">
        <v>20.6</v>
      </c>
      <c r="H325">
        <v>14.2</v>
      </c>
      <c r="I325">
        <v>25.5</v>
      </c>
      <c r="J325">
        <f t="shared" si="42"/>
        <v>2855.8999999999996</v>
      </c>
      <c r="K325">
        <f t="shared" si="47"/>
        <v>260.10000000000002</v>
      </c>
      <c r="L325" s="12">
        <v>0</v>
      </c>
      <c r="M325">
        <v>0</v>
      </c>
      <c r="N325">
        <v>4.2</v>
      </c>
      <c r="O325">
        <f t="shared" si="39"/>
        <v>-4.2</v>
      </c>
      <c r="P325">
        <v>0</v>
      </c>
      <c r="Q325">
        <v>291</v>
      </c>
      <c r="R325">
        <f t="shared" si="45"/>
        <v>0.76290322580645153</v>
      </c>
      <c r="S325" s="23">
        <f t="shared" si="40"/>
        <v>3.2041935483870967</v>
      </c>
      <c r="T325" s="23">
        <f t="shared" si="41"/>
        <v>-3.2041935483870967</v>
      </c>
      <c r="U325" s="23">
        <v>0</v>
      </c>
      <c r="W325">
        <v>2015.3</v>
      </c>
      <c r="Y325">
        <f t="shared" si="43"/>
        <v>246391.6999999999</v>
      </c>
      <c r="Z325">
        <f t="shared" si="48"/>
        <v>28611.3</v>
      </c>
      <c r="AA325">
        <v>15.934372572952988</v>
      </c>
    </row>
    <row r="326" spans="1:27" x14ac:dyDescent="0.25">
      <c r="A326">
        <v>6280</v>
      </c>
      <c r="B326">
        <v>24170</v>
      </c>
      <c r="C326" s="8">
        <v>42904</v>
      </c>
      <c r="F326" s="52"/>
      <c r="G326">
        <v>22.8</v>
      </c>
      <c r="H326">
        <v>17.8</v>
      </c>
      <c r="I326">
        <v>27.9</v>
      </c>
      <c r="J326">
        <f t="shared" si="42"/>
        <v>2878.7</v>
      </c>
      <c r="K326">
        <f t="shared" si="47"/>
        <v>282.90000000000003</v>
      </c>
      <c r="M326">
        <v>0</v>
      </c>
      <c r="N326">
        <v>6.3</v>
      </c>
      <c r="O326">
        <f t="shared" si="39"/>
        <v>-6.3</v>
      </c>
      <c r="P326">
        <v>0</v>
      </c>
      <c r="Q326" s="22">
        <v>292</v>
      </c>
      <c r="R326">
        <f t="shared" si="45"/>
        <v>0.75</v>
      </c>
      <c r="S326" s="23">
        <f t="shared" si="40"/>
        <v>4.7249999999999996</v>
      </c>
      <c r="T326" s="23">
        <f t="shared" si="41"/>
        <v>-4.7249999999999996</v>
      </c>
      <c r="U326" s="23">
        <v>0</v>
      </c>
      <c r="W326">
        <v>2764.8</v>
      </c>
      <c r="Y326">
        <f t="shared" si="43"/>
        <v>249156.49999999988</v>
      </c>
      <c r="Z326">
        <f t="shared" si="48"/>
        <v>31376.1</v>
      </c>
      <c r="AA326">
        <v>15.939768106650835</v>
      </c>
    </row>
    <row r="327" spans="1:27" x14ac:dyDescent="0.25">
      <c r="A327">
        <v>6280</v>
      </c>
      <c r="B327">
        <v>24170</v>
      </c>
      <c r="C327" s="8">
        <v>42905</v>
      </c>
      <c r="F327" s="52"/>
      <c r="G327">
        <v>24.8</v>
      </c>
      <c r="H327">
        <v>17.600000000000001</v>
      </c>
      <c r="I327">
        <v>31.1</v>
      </c>
      <c r="J327">
        <f t="shared" si="42"/>
        <v>2903.5</v>
      </c>
      <c r="K327">
        <f t="shared" si="47"/>
        <v>307.70000000000005</v>
      </c>
      <c r="M327">
        <v>0</v>
      </c>
      <c r="N327">
        <v>7.2</v>
      </c>
      <c r="O327">
        <f t="shared" si="39"/>
        <v>-7.2</v>
      </c>
      <c r="P327">
        <v>0</v>
      </c>
      <c r="Q327">
        <v>293</v>
      </c>
      <c r="R327">
        <f t="shared" si="45"/>
        <v>0.73709677419354835</v>
      </c>
      <c r="S327" s="23">
        <f t="shared" si="40"/>
        <v>5.307096774193548</v>
      </c>
      <c r="T327" s="23">
        <f t="shared" si="41"/>
        <v>-5.307096774193548</v>
      </c>
      <c r="U327" s="23">
        <v>0</v>
      </c>
      <c r="W327">
        <v>3082</v>
      </c>
      <c r="Y327">
        <f t="shared" si="43"/>
        <v>252238.49999999988</v>
      </c>
      <c r="Z327">
        <f t="shared" si="48"/>
        <v>34458.1</v>
      </c>
      <c r="AA327">
        <v>15.943728826929478</v>
      </c>
    </row>
    <row r="328" spans="1:27" x14ac:dyDescent="0.25">
      <c r="A328">
        <v>6280</v>
      </c>
      <c r="B328">
        <v>24170</v>
      </c>
      <c r="C328" s="8">
        <v>42906</v>
      </c>
      <c r="F328" s="52"/>
      <c r="G328">
        <v>26.3</v>
      </c>
      <c r="H328">
        <v>18.399999999999999</v>
      </c>
      <c r="I328">
        <v>33</v>
      </c>
      <c r="J328">
        <f t="shared" si="42"/>
        <v>2929.8</v>
      </c>
      <c r="K328">
        <f t="shared" si="47"/>
        <v>334.00000000000006</v>
      </c>
      <c r="M328">
        <v>0</v>
      </c>
      <c r="N328">
        <v>5.7</v>
      </c>
      <c r="O328">
        <f t="shared" si="39"/>
        <v>-5.7</v>
      </c>
      <c r="P328">
        <v>0</v>
      </c>
      <c r="Q328" s="22">
        <v>294</v>
      </c>
      <c r="R328">
        <f t="shared" si="45"/>
        <v>0.72419354838709671</v>
      </c>
      <c r="S328" s="23">
        <f t="shared" si="40"/>
        <v>4.1279032258064516</v>
      </c>
      <c r="T328" s="23">
        <f t="shared" si="41"/>
        <v>-4.1279032258064516</v>
      </c>
      <c r="U328" s="23">
        <v>0</v>
      </c>
      <c r="W328">
        <v>2381.9</v>
      </c>
      <c r="Y328">
        <f t="shared" si="43"/>
        <v>254620.39999999988</v>
      </c>
      <c r="Z328">
        <f t="shared" si="48"/>
        <v>36840</v>
      </c>
      <c r="AA328">
        <v>15.946251048974041</v>
      </c>
    </row>
    <row r="329" spans="1:27" x14ac:dyDescent="0.25">
      <c r="A329">
        <v>6280</v>
      </c>
      <c r="B329">
        <v>24170</v>
      </c>
      <c r="C329" s="8">
        <v>42907</v>
      </c>
      <c r="F329" s="52"/>
      <c r="G329">
        <v>28.3</v>
      </c>
      <c r="H329">
        <v>20.2</v>
      </c>
      <c r="I329">
        <v>34.200000000000003</v>
      </c>
      <c r="J329">
        <f t="shared" si="42"/>
        <v>2958.1000000000004</v>
      </c>
      <c r="K329">
        <f t="shared" si="47"/>
        <v>362.30000000000007</v>
      </c>
      <c r="M329">
        <v>0</v>
      </c>
      <c r="N329">
        <v>6</v>
      </c>
      <c r="O329">
        <f t="shared" si="39"/>
        <v>-6</v>
      </c>
      <c r="P329">
        <v>0</v>
      </c>
      <c r="Q329">
        <v>295</v>
      </c>
      <c r="R329">
        <f t="shared" si="45"/>
        <v>0.71129032258064506</v>
      </c>
      <c r="S329" s="23">
        <f t="shared" si="40"/>
        <v>4.2677419354838708</v>
      </c>
      <c r="T329" s="23">
        <f t="shared" si="41"/>
        <v>-4.2677419354838708</v>
      </c>
      <c r="U329" s="23">
        <v>0</v>
      </c>
      <c r="W329">
        <v>2564.5</v>
      </c>
      <c r="Y329">
        <f t="shared" si="43"/>
        <v>257184.89999999988</v>
      </c>
      <c r="Z329">
        <f t="shared" si="48"/>
        <v>39404.5</v>
      </c>
      <c r="AA329">
        <v>15.947332421720469</v>
      </c>
    </row>
    <row r="330" spans="1:27" x14ac:dyDescent="0.25">
      <c r="A330">
        <v>6280</v>
      </c>
      <c r="B330">
        <v>24170</v>
      </c>
      <c r="C330" s="8">
        <v>42908</v>
      </c>
      <c r="F330" s="52"/>
      <c r="G330">
        <v>26.5</v>
      </c>
      <c r="H330">
        <v>24.6</v>
      </c>
      <c r="I330">
        <v>33.299999999999997</v>
      </c>
      <c r="J330">
        <f t="shared" si="42"/>
        <v>2984.6000000000004</v>
      </c>
      <c r="K330">
        <f t="shared" si="47"/>
        <v>388.80000000000007</v>
      </c>
      <c r="M330">
        <v>0</v>
      </c>
      <c r="N330">
        <v>6.6</v>
      </c>
      <c r="O330">
        <f t="shared" si="39"/>
        <v>-6.6</v>
      </c>
      <c r="P330">
        <v>0</v>
      </c>
      <c r="Q330" s="22">
        <v>296</v>
      </c>
      <c r="R330">
        <f t="shared" si="45"/>
        <v>0.69838709677419342</v>
      </c>
      <c r="S330" s="23">
        <f t="shared" si="40"/>
        <v>4.6093548387096765</v>
      </c>
      <c r="T330" s="23">
        <f t="shared" si="41"/>
        <v>-4.6093548387096765</v>
      </c>
      <c r="U330" s="23">
        <v>0</v>
      </c>
      <c r="W330">
        <v>2431.1999999999998</v>
      </c>
      <c r="Y330">
        <f t="shared" si="43"/>
        <v>259616.09999999989</v>
      </c>
      <c r="Z330">
        <f t="shared" si="48"/>
        <v>41835.699999999997</v>
      </c>
      <c r="AA330">
        <v>15.946971936094108</v>
      </c>
    </row>
    <row r="331" spans="1:27" s="31" customFormat="1" ht="15.75" thickBot="1" x14ac:dyDescent="0.3">
      <c r="A331" s="31">
        <v>6280</v>
      </c>
      <c r="B331" s="31">
        <v>24170</v>
      </c>
      <c r="C331" s="32">
        <v>42909</v>
      </c>
      <c r="D331" s="31">
        <v>1000</v>
      </c>
      <c r="F331" s="52"/>
      <c r="G331" s="31">
        <v>19.2</v>
      </c>
      <c r="H331" s="31">
        <v>16.8</v>
      </c>
      <c r="I331" s="31">
        <v>22.5</v>
      </c>
      <c r="J331" s="31">
        <f t="shared" si="42"/>
        <v>3003.8</v>
      </c>
      <c r="K331" s="31">
        <f t="shared" si="47"/>
        <v>408.00000000000006</v>
      </c>
      <c r="M331" s="31">
        <v>0</v>
      </c>
      <c r="N331" s="31">
        <v>4.3</v>
      </c>
      <c r="O331" s="31">
        <f t="shared" si="39"/>
        <v>-4.3</v>
      </c>
      <c r="P331" s="31">
        <v>0</v>
      </c>
      <c r="Q331" s="31">
        <v>297</v>
      </c>
      <c r="R331" s="31">
        <f t="shared" si="45"/>
        <v>0.68548387096774177</v>
      </c>
      <c r="S331" s="33">
        <f t="shared" si="40"/>
        <v>2.9475806451612896</v>
      </c>
      <c r="T331" s="33">
        <f t="shared" si="41"/>
        <v>-2.9475806451612896</v>
      </c>
      <c r="U331" s="23">
        <v>0</v>
      </c>
      <c r="W331" s="31">
        <v>1720.6</v>
      </c>
      <c r="Y331" s="31">
        <f t="shared" si="43"/>
        <v>261336.6999999999</v>
      </c>
      <c r="Z331" s="31">
        <f t="shared" si="48"/>
        <v>43556.299999999996</v>
      </c>
      <c r="AA331" s="31">
        <v>15.945169928551671</v>
      </c>
    </row>
    <row r="332" spans="1:27" x14ac:dyDescent="0.25">
      <c r="A332">
        <v>6280</v>
      </c>
      <c r="B332">
        <v>24170</v>
      </c>
      <c r="C332" s="8">
        <v>42910</v>
      </c>
      <c r="G332">
        <v>20.100000000000001</v>
      </c>
      <c r="H332">
        <v>14</v>
      </c>
      <c r="I332">
        <v>24.2</v>
      </c>
      <c r="J332">
        <f t="shared" si="42"/>
        <v>3023.9</v>
      </c>
      <c r="K332">
        <v>20.100000000000001</v>
      </c>
      <c r="M332">
        <v>0</v>
      </c>
      <c r="N332">
        <v>4.4000000000000004</v>
      </c>
      <c r="O332">
        <f t="shared" si="39"/>
        <v>-4.4000000000000004</v>
      </c>
      <c r="P332">
        <v>0</v>
      </c>
      <c r="Q332" s="22">
        <v>298</v>
      </c>
      <c r="R332">
        <f t="shared" si="45"/>
        <v>0.67258064516129024</v>
      </c>
      <c r="S332" s="23">
        <f t="shared" si="40"/>
        <v>2.9593548387096771</v>
      </c>
      <c r="T332" s="23">
        <f t="shared" si="41"/>
        <v>-2.9593548387096771</v>
      </c>
      <c r="U332" s="23">
        <v>0</v>
      </c>
      <c r="W332">
        <v>2159.1</v>
      </c>
      <c r="Y332">
        <f t="shared" si="43"/>
        <v>263495.79999999987</v>
      </c>
      <c r="Z332">
        <f>W332</f>
        <v>2159.1</v>
      </c>
      <c r="AA332">
        <v>15.941928079899844</v>
      </c>
    </row>
    <row r="333" spans="1:27" x14ac:dyDescent="0.25">
      <c r="A333">
        <v>6280</v>
      </c>
      <c r="B333">
        <v>24170</v>
      </c>
      <c r="C333" s="8">
        <v>42911</v>
      </c>
      <c r="G333">
        <v>21.8</v>
      </c>
      <c r="H333">
        <v>18.5</v>
      </c>
      <c r="I333">
        <v>25.8</v>
      </c>
      <c r="J333">
        <f t="shared" si="42"/>
        <v>3045.7000000000003</v>
      </c>
      <c r="K333">
        <f t="shared" si="47"/>
        <v>41.900000000000006</v>
      </c>
      <c r="M333">
        <v>0</v>
      </c>
      <c r="N333">
        <v>4.5</v>
      </c>
      <c r="O333">
        <f t="shared" si="39"/>
        <v>-4.5</v>
      </c>
      <c r="P333">
        <v>0</v>
      </c>
      <c r="Q333">
        <v>299</v>
      </c>
      <c r="R333">
        <f t="shared" si="45"/>
        <v>0.6596774193548387</v>
      </c>
      <c r="S333" s="23">
        <f t="shared" si="40"/>
        <v>2.9685483870967744</v>
      </c>
      <c r="T333" s="23">
        <f t="shared" si="41"/>
        <v>-2.9685483870967744</v>
      </c>
      <c r="U333" s="23">
        <v>0</v>
      </c>
      <c r="W333">
        <v>1739.8</v>
      </c>
      <c r="Y333">
        <f t="shared" si="43"/>
        <v>265235.59999999986</v>
      </c>
      <c r="Z333">
        <f t="shared" si="48"/>
        <v>3898.8999999999996</v>
      </c>
      <c r="AA333">
        <v>15.93724940939944</v>
      </c>
    </row>
    <row r="334" spans="1:27" x14ac:dyDescent="0.25">
      <c r="A334">
        <v>6280</v>
      </c>
      <c r="B334">
        <v>24170</v>
      </c>
      <c r="C334" s="8">
        <v>42912</v>
      </c>
      <c r="G334">
        <v>21.9</v>
      </c>
      <c r="H334">
        <v>17.2</v>
      </c>
      <c r="I334">
        <v>26.1</v>
      </c>
      <c r="J334">
        <f t="shared" si="42"/>
        <v>3067.6000000000004</v>
      </c>
      <c r="K334">
        <f t="shared" si="47"/>
        <v>63.800000000000004</v>
      </c>
      <c r="M334">
        <v>0.6</v>
      </c>
      <c r="N334">
        <v>5</v>
      </c>
      <c r="O334">
        <f t="shared" si="39"/>
        <v>-4.4000000000000004</v>
      </c>
      <c r="P334">
        <v>0</v>
      </c>
      <c r="Q334" s="22">
        <v>300</v>
      </c>
      <c r="R334">
        <f t="shared" si="45"/>
        <v>0.64677419354838706</v>
      </c>
      <c r="S334" s="23">
        <f t="shared" si="40"/>
        <v>3.2338709677419351</v>
      </c>
      <c r="T334" s="23">
        <f t="shared" si="41"/>
        <v>-2.633870967741935</v>
      </c>
      <c r="U334" s="23">
        <v>0</v>
      </c>
      <c r="W334">
        <v>2389.5</v>
      </c>
      <c r="Y334">
        <f t="shared" si="43"/>
        <v>267625.09999999986</v>
      </c>
      <c r="Z334">
        <f t="shared" si="48"/>
        <v>6288.4</v>
      </c>
      <c r="AA334">
        <v>15.931138264199582</v>
      </c>
    </row>
    <row r="335" spans="1:27" x14ac:dyDescent="0.25">
      <c r="A335">
        <v>6280</v>
      </c>
      <c r="B335">
        <v>24170</v>
      </c>
      <c r="C335" s="8">
        <v>42913</v>
      </c>
      <c r="G335">
        <v>20.6</v>
      </c>
      <c r="H335">
        <v>18.8</v>
      </c>
      <c r="I335">
        <v>23.5</v>
      </c>
      <c r="J335">
        <f t="shared" si="42"/>
        <v>3088.2000000000003</v>
      </c>
      <c r="K335">
        <f t="shared" si="47"/>
        <v>84.4</v>
      </c>
      <c r="M335">
        <v>3</v>
      </c>
      <c r="N335">
        <v>1.8</v>
      </c>
      <c r="O335">
        <f t="shared" si="39"/>
        <v>1.2</v>
      </c>
      <c r="P335">
        <f t="shared" si="44"/>
        <v>1.2</v>
      </c>
      <c r="Q335">
        <v>301</v>
      </c>
      <c r="R335">
        <f t="shared" si="45"/>
        <v>0.63387096774193541</v>
      </c>
      <c r="S335" s="23">
        <f t="shared" si="40"/>
        <v>1.1409677419354838</v>
      </c>
      <c r="T335" s="23">
        <f t="shared" si="41"/>
        <v>1.8590322580645162</v>
      </c>
      <c r="U335" s="23">
        <f t="shared" si="46"/>
        <v>1.8590322580645162</v>
      </c>
      <c r="W335">
        <v>823.2</v>
      </c>
      <c r="Y335">
        <f t="shared" si="43"/>
        <v>268448.29999999987</v>
      </c>
      <c r="Z335">
        <f t="shared" si="48"/>
        <v>7111.5999999999995</v>
      </c>
      <c r="AA335">
        <v>15.923600304181342</v>
      </c>
    </row>
    <row r="336" spans="1:27" x14ac:dyDescent="0.25">
      <c r="A336">
        <v>6280</v>
      </c>
      <c r="B336">
        <v>24170</v>
      </c>
      <c r="C336" s="8">
        <v>42914</v>
      </c>
      <c r="G336">
        <v>18.399999999999999</v>
      </c>
      <c r="H336">
        <v>17.2</v>
      </c>
      <c r="I336">
        <v>22.1</v>
      </c>
      <c r="J336">
        <f t="shared" si="42"/>
        <v>3106.6000000000004</v>
      </c>
      <c r="K336">
        <f t="shared" si="47"/>
        <v>102.80000000000001</v>
      </c>
      <c r="M336">
        <v>9.8000000000000007</v>
      </c>
      <c r="N336">
        <v>3.2</v>
      </c>
      <c r="O336">
        <f t="shared" si="39"/>
        <v>6.6000000000000005</v>
      </c>
      <c r="P336">
        <f t="shared" si="44"/>
        <v>7.8000000000000007</v>
      </c>
      <c r="Q336" s="22">
        <v>302</v>
      </c>
      <c r="R336">
        <f t="shared" si="45"/>
        <v>0.62096774193548387</v>
      </c>
      <c r="S336" s="23">
        <f t="shared" si="40"/>
        <v>1.9870967741935486</v>
      </c>
      <c r="T336" s="23">
        <f t="shared" si="41"/>
        <v>7.8129032258064521</v>
      </c>
      <c r="U336" s="23">
        <f t="shared" si="46"/>
        <v>9.6719354838709677</v>
      </c>
      <c r="W336">
        <v>1357</v>
      </c>
      <c r="Y336">
        <f t="shared" si="43"/>
        <v>269805.29999999987</v>
      </c>
      <c r="Z336">
        <f t="shared" si="48"/>
        <v>8468.5999999999985</v>
      </c>
      <c r="AA336">
        <v>15.914642482324194</v>
      </c>
    </row>
    <row r="337" spans="1:27" x14ac:dyDescent="0.25">
      <c r="A337">
        <v>6280</v>
      </c>
      <c r="B337">
        <v>24170</v>
      </c>
      <c r="C337" s="8">
        <v>42915</v>
      </c>
      <c r="G337">
        <v>16.5</v>
      </c>
      <c r="H337">
        <v>15</v>
      </c>
      <c r="I337">
        <v>19.3</v>
      </c>
      <c r="J337">
        <f t="shared" si="42"/>
        <v>3123.1000000000004</v>
      </c>
      <c r="K337">
        <f t="shared" si="47"/>
        <v>119.30000000000001</v>
      </c>
      <c r="M337">
        <v>0.4</v>
      </c>
      <c r="N337">
        <v>3.5</v>
      </c>
      <c r="O337">
        <f t="shared" si="39"/>
        <v>-3.1</v>
      </c>
      <c r="P337">
        <f t="shared" si="44"/>
        <v>4.7000000000000011</v>
      </c>
      <c r="Q337">
        <v>303</v>
      </c>
      <c r="R337">
        <f t="shared" si="45"/>
        <v>0.60806451612903223</v>
      </c>
      <c r="S337" s="23">
        <f t="shared" si="40"/>
        <v>2.1282258064516126</v>
      </c>
      <c r="T337" s="23">
        <f t="shared" si="41"/>
        <v>-1.7282258064516127</v>
      </c>
      <c r="U337" s="23">
        <f t="shared" si="46"/>
        <v>7.9437096774193545</v>
      </c>
      <c r="W337">
        <v>1496.9</v>
      </c>
      <c r="Y337">
        <f t="shared" si="43"/>
        <v>271302.1999999999</v>
      </c>
      <c r="Z337">
        <f t="shared" si="48"/>
        <v>9965.4999999999982</v>
      </c>
      <c r="AA337">
        <v>15.904273020740975</v>
      </c>
    </row>
    <row r="338" spans="1:27" x14ac:dyDescent="0.25">
      <c r="A338">
        <v>6280</v>
      </c>
      <c r="B338">
        <v>24170</v>
      </c>
      <c r="C338" s="8">
        <v>42916</v>
      </c>
      <c r="G338">
        <v>15.6</v>
      </c>
      <c r="H338">
        <v>14</v>
      </c>
      <c r="I338">
        <v>17.3</v>
      </c>
      <c r="J338">
        <f t="shared" si="42"/>
        <v>3138.7000000000003</v>
      </c>
      <c r="K338">
        <f t="shared" si="47"/>
        <v>134.9</v>
      </c>
      <c r="M338">
        <v>7.9</v>
      </c>
      <c r="N338">
        <v>1.5</v>
      </c>
      <c r="O338">
        <f t="shared" si="39"/>
        <v>6.4</v>
      </c>
      <c r="P338">
        <f t="shared" si="44"/>
        <v>11.100000000000001</v>
      </c>
      <c r="Q338" s="22">
        <v>304</v>
      </c>
      <c r="R338">
        <f t="shared" si="45"/>
        <v>0.59516129032258058</v>
      </c>
      <c r="S338" s="23">
        <f t="shared" si="40"/>
        <v>0.89274193548387082</v>
      </c>
      <c r="T338" s="23">
        <f t="shared" si="41"/>
        <v>7.0072580645161295</v>
      </c>
      <c r="U338" s="23">
        <f t="shared" si="46"/>
        <v>14.950967741935484</v>
      </c>
      <c r="W338">
        <v>659.6</v>
      </c>
      <c r="Y338">
        <f t="shared" si="43"/>
        <v>271961.79999999987</v>
      </c>
      <c r="Z338">
        <f t="shared" si="48"/>
        <v>10625.099999999999</v>
      </c>
      <c r="AA338">
        <v>15.89250138255772</v>
      </c>
    </row>
    <row r="339" spans="1:27" x14ac:dyDescent="0.25">
      <c r="A339">
        <v>6280</v>
      </c>
      <c r="B339">
        <v>24170</v>
      </c>
      <c r="C339" s="8">
        <v>42917</v>
      </c>
      <c r="G339">
        <v>16</v>
      </c>
      <c r="H339">
        <v>14.6</v>
      </c>
      <c r="I339">
        <v>19.2</v>
      </c>
      <c r="J339">
        <f t="shared" si="42"/>
        <v>3154.7000000000003</v>
      </c>
      <c r="K339">
        <f t="shared" si="47"/>
        <v>150.9</v>
      </c>
      <c r="M339">
        <v>8.4</v>
      </c>
      <c r="N339">
        <v>1.8</v>
      </c>
      <c r="O339">
        <f t="shared" si="39"/>
        <v>6.6000000000000005</v>
      </c>
      <c r="P339">
        <f t="shared" si="44"/>
        <v>17.700000000000003</v>
      </c>
      <c r="Q339">
        <v>305</v>
      </c>
      <c r="R339">
        <f t="shared" si="45"/>
        <v>0.58225806451612894</v>
      </c>
      <c r="S339" s="23">
        <f t="shared" si="40"/>
        <v>1.0480645161290321</v>
      </c>
      <c r="T339" s="23">
        <f t="shared" si="41"/>
        <v>7.3519354838709683</v>
      </c>
      <c r="U339" s="23">
        <f t="shared" si="46"/>
        <v>22.302903225806453</v>
      </c>
      <c r="W339">
        <v>728.8</v>
      </c>
      <c r="Y339">
        <f t="shared" si="43"/>
        <v>272690.59999999986</v>
      </c>
      <c r="Z339">
        <f t="shared" si="48"/>
        <v>11353.899999999998</v>
      </c>
      <c r="AA339">
        <v>15.879338239842786</v>
      </c>
    </row>
    <row r="340" spans="1:27" x14ac:dyDescent="0.25">
      <c r="A340">
        <v>6280</v>
      </c>
      <c r="B340">
        <v>24170</v>
      </c>
      <c r="C340" s="8">
        <v>42918</v>
      </c>
      <c r="G340">
        <v>16.399999999999999</v>
      </c>
      <c r="H340">
        <v>13.5</v>
      </c>
      <c r="I340">
        <v>21.7</v>
      </c>
      <c r="J340">
        <f t="shared" si="42"/>
        <v>3171.1000000000004</v>
      </c>
      <c r="K340">
        <f t="shared" si="47"/>
        <v>167.3</v>
      </c>
      <c r="M340">
        <v>0.2</v>
      </c>
      <c r="N340">
        <v>1.8</v>
      </c>
      <c r="O340">
        <f t="shared" si="39"/>
        <v>-1.6</v>
      </c>
      <c r="P340">
        <f t="shared" si="44"/>
        <v>16.100000000000001</v>
      </c>
      <c r="Q340" s="22">
        <v>306</v>
      </c>
      <c r="R340">
        <f t="shared" si="45"/>
        <v>0.5693548387096774</v>
      </c>
      <c r="S340" s="23">
        <f t="shared" si="40"/>
        <v>1.0248387096774194</v>
      </c>
      <c r="T340" s="23">
        <f t="shared" si="41"/>
        <v>-0.82483870967741946</v>
      </c>
      <c r="U340" s="23">
        <f t="shared" si="46"/>
        <v>21.478064516129034</v>
      </c>
      <c r="W340">
        <v>787.4</v>
      </c>
      <c r="Y340">
        <f t="shared" si="43"/>
        <v>273477.99999999988</v>
      </c>
      <c r="Z340">
        <f t="shared" si="48"/>
        <v>12141.299999999997</v>
      </c>
      <c r="AA340">
        <v>15.864795437815596</v>
      </c>
    </row>
    <row r="341" spans="1:27" x14ac:dyDescent="0.25">
      <c r="A341">
        <v>6280</v>
      </c>
      <c r="B341">
        <v>24170</v>
      </c>
      <c r="C341" s="8">
        <v>42919</v>
      </c>
      <c r="G341">
        <v>18.600000000000001</v>
      </c>
      <c r="H341">
        <v>14.4</v>
      </c>
      <c r="I341">
        <v>22.7</v>
      </c>
      <c r="J341">
        <f t="shared" si="42"/>
        <v>3189.7000000000003</v>
      </c>
      <c r="K341">
        <f t="shared" si="47"/>
        <v>185.9</v>
      </c>
      <c r="M341">
        <v>0</v>
      </c>
      <c r="N341">
        <v>3.6</v>
      </c>
      <c r="O341">
        <f t="shared" si="39"/>
        <v>-3.6</v>
      </c>
      <c r="P341">
        <f t="shared" si="44"/>
        <v>12.500000000000002</v>
      </c>
      <c r="Q341">
        <v>307</v>
      </c>
      <c r="R341">
        <f t="shared" si="45"/>
        <v>0.55645161290322576</v>
      </c>
      <c r="S341" s="23">
        <f t="shared" si="40"/>
        <v>2.0032258064516126</v>
      </c>
      <c r="T341" s="23">
        <f t="shared" si="41"/>
        <v>-2.0032258064516126</v>
      </c>
      <c r="U341" s="23">
        <f t="shared" si="46"/>
        <v>19.474838709677421</v>
      </c>
      <c r="W341">
        <v>1838.1</v>
      </c>
      <c r="Y341">
        <f t="shared" si="43"/>
        <v>275316.09999999986</v>
      </c>
      <c r="Z341">
        <f t="shared" si="48"/>
        <v>13979.399999999998</v>
      </c>
      <c r="AA341">
        <v>15.848885955587884</v>
      </c>
    </row>
    <row r="342" spans="1:27" x14ac:dyDescent="0.25">
      <c r="A342">
        <v>6280</v>
      </c>
      <c r="B342">
        <v>24170</v>
      </c>
      <c r="C342" s="8">
        <v>42920</v>
      </c>
      <c r="G342">
        <v>20.9</v>
      </c>
      <c r="H342">
        <v>14</v>
      </c>
      <c r="I342">
        <v>26.7</v>
      </c>
      <c r="J342">
        <f t="shared" si="42"/>
        <v>3210.6000000000004</v>
      </c>
      <c r="K342">
        <f t="shared" si="47"/>
        <v>206.8</v>
      </c>
      <c r="M342">
        <v>0</v>
      </c>
      <c r="N342">
        <v>5.6</v>
      </c>
      <c r="O342">
        <f t="shared" si="39"/>
        <v>-5.6</v>
      </c>
      <c r="P342">
        <f t="shared" si="44"/>
        <v>6.9000000000000021</v>
      </c>
      <c r="Q342" s="22">
        <v>308</v>
      </c>
      <c r="R342">
        <f t="shared" si="45"/>
        <v>0.54354838709677411</v>
      </c>
      <c r="S342" s="23">
        <f t="shared" si="40"/>
        <v>3.0438709677419347</v>
      </c>
      <c r="T342" s="23">
        <f t="shared" si="41"/>
        <v>-3.0438709677419347</v>
      </c>
      <c r="U342" s="23">
        <f t="shared" si="46"/>
        <v>16.430967741935486</v>
      </c>
      <c r="W342">
        <v>2871.1</v>
      </c>
      <c r="Y342">
        <f t="shared" si="43"/>
        <v>278187.19999999984</v>
      </c>
      <c r="Z342">
        <f t="shared" si="48"/>
        <v>16850.499999999996</v>
      </c>
      <c r="AA342">
        <v>15.831623863710275</v>
      </c>
    </row>
    <row r="343" spans="1:27" x14ac:dyDescent="0.25">
      <c r="A343">
        <v>6280</v>
      </c>
      <c r="B343">
        <v>24170</v>
      </c>
      <c r="C343" s="8">
        <v>42921</v>
      </c>
      <c r="G343">
        <v>24.4</v>
      </c>
      <c r="H343">
        <v>16.899999999999999</v>
      </c>
      <c r="I343">
        <v>30.3</v>
      </c>
      <c r="J343">
        <f t="shared" si="42"/>
        <v>3235.0000000000005</v>
      </c>
      <c r="K343">
        <f t="shared" si="47"/>
        <v>231.20000000000002</v>
      </c>
      <c r="M343">
        <v>0</v>
      </c>
      <c r="N343">
        <v>5.5</v>
      </c>
      <c r="O343">
        <f t="shared" si="39"/>
        <v>-5.5</v>
      </c>
      <c r="P343">
        <f t="shared" si="44"/>
        <v>1.4000000000000021</v>
      </c>
      <c r="Q343">
        <v>309</v>
      </c>
      <c r="R343">
        <f t="shared" si="45"/>
        <v>0.53064516129032258</v>
      </c>
      <c r="S343" s="23">
        <f t="shared" si="40"/>
        <v>2.9185483870967741</v>
      </c>
      <c r="T343" s="23">
        <f t="shared" si="41"/>
        <v>-2.9185483870967741</v>
      </c>
      <c r="U343" s="23">
        <f t="shared" si="46"/>
        <v>13.512419354838713</v>
      </c>
      <c r="W343">
        <v>2487.6</v>
      </c>
      <c r="Y343">
        <f t="shared" si="43"/>
        <v>280674.79999999981</v>
      </c>
      <c r="Z343">
        <f t="shared" si="48"/>
        <v>19338.099999999995</v>
      </c>
      <c r="AA343">
        <v>15.813024278813396</v>
      </c>
    </row>
    <row r="344" spans="1:27" x14ac:dyDescent="0.25">
      <c r="A344">
        <v>6280</v>
      </c>
      <c r="B344">
        <v>24170</v>
      </c>
      <c r="C344" s="8">
        <v>42922</v>
      </c>
      <c r="G344">
        <v>26.6</v>
      </c>
      <c r="H344">
        <v>21</v>
      </c>
      <c r="I344">
        <v>34.200000000000003</v>
      </c>
      <c r="J344">
        <f t="shared" si="42"/>
        <v>3261.6000000000004</v>
      </c>
      <c r="K344">
        <f t="shared" si="47"/>
        <v>257.8</v>
      </c>
      <c r="M344">
        <v>1.8</v>
      </c>
      <c r="N344">
        <v>3.1</v>
      </c>
      <c r="O344">
        <f t="shared" si="39"/>
        <v>-1.3</v>
      </c>
      <c r="P344">
        <f t="shared" si="44"/>
        <v>0.10000000000000209</v>
      </c>
      <c r="Q344" s="22">
        <v>310</v>
      </c>
      <c r="R344">
        <f t="shared" si="45"/>
        <v>0.51774193548387093</v>
      </c>
      <c r="S344" s="23">
        <f t="shared" si="40"/>
        <v>1.605</v>
      </c>
      <c r="T344" s="23">
        <f t="shared" si="41"/>
        <v>0.19500000000000006</v>
      </c>
      <c r="U344" s="23">
        <f t="shared" si="46"/>
        <v>13.707419354838713</v>
      </c>
      <c r="W344">
        <v>1135.7</v>
      </c>
      <c r="Y344">
        <f t="shared" si="43"/>
        <v>281810.49999999983</v>
      </c>
      <c r="Z344">
        <f t="shared" si="48"/>
        <v>20473.799999999996</v>
      </c>
      <c r="AA344">
        <v>15.793103315645896</v>
      </c>
    </row>
    <row r="345" spans="1:27" x14ac:dyDescent="0.25">
      <c r="A345">
        <v>6280</v>
      </c>
      <c r="B345">
        <v>24170</v>
      </c>
      <c r="C345" s="8">
        <v>42923</v>
      </c>
      <c r="G345">
        <v>25.9</v>
      </c>
      <c r="H345">
        <v>21</v>
      </c>
      <c r="I345">
        <v>30.9</v>
      </c>
      <c r="J345">
        <f t="shared" si="42"/>
        <v>3287.5000000000005</v>
      </c>
      <c r="K345">
        <f t="shared" si="47"/>
        <v>283.7</v>
      </c>
      <c r="M345">
        <v>0</v>
      </c>
      <c r="N345">
        <v>5.7</v>
      </c>
      <c r="O345">
        <f t="shared" si="39"/>
        <v>-5.7</v>
      </c>
      <c r="P345">
        <v>0</v>
      </c>
      <c r="Q345">
        <v>311</v>
      </c>
      <c r="R345">
        <f t="shared" si="45"/>
        <v>0.50483870967741939</v>
      </c>
      <c r="S345" s="23">
        <f t="shared" si="40"/>
        <v>2.8775806451612906</v>
      </c>
      <c r="T345" s="23">
        <f t="shared" si="41"/>
        <v>-2.8775806451612906</v>
      </c>
      <c r="U345" s="23">
        <f t="shared" si="46"/>
        <v>10.829838709677421</v>
      </c>
      <c r="W345">
        <v>2301.8000000000002</v>
      </c>
      <c r="Y345">
        <f t="shared" si="43"/>
        <v>284112.29999999981</v>
      </c>
      <c r="Z345">
        <f t="shared" si="48"/>
        <v>22775.599999999995</v>
      </c>
      <c r="AA345">
        <v>15.771878036821594</v>
      </c>
    </row>
    <row r="346" spans="1:27" x14ac:dyDescent="0.25">
      <c r="A346">
        <v>6280</v>
      </c>
      <c r="B346">
        <v>24170</v>
      </c>
      <c r="C346" s="8">
        <v>42924</v>
      </c>
      <c r="G346">
        <v>23.8</v>
      </c>
      <c r="H346">
        <v>18.7</v>
      </c>
      <c r="I346">
        <v>29</v>
      </c>
      <c r="J346">
        <f t="shared" si="42"/>
        <v>3311.3000000000006</v>
      </c>
      <c r="K346">
        <f t="shared" si="47"/>
        <v>307.5</v>
      </c>
      <c r="M346">
        <v>0</v>
      </c>
      <c r="N346">
        <v>6.2</v>
      </c>
      <c r="O346">
        <f t="shared" si="39"/>
        <v>-6.2</v>
      </c>
      <c r="P346">
        <v>0</v>
      </c>
      <c r="Q346" s="22">
        <v>312</v>
      </c>
      <c r="R346">
        <f t="shared" si="45"/>
        <v>0.49193548387096764</v>
      </c>
      <c r="S346" s="23">
        <f t="shared" si="40"/>
        <v>3.0499999999999994</v>
      </c>
      <c r="T346" s="23">
        <f t="shared" si="41"/>
        <v>-3.0499999999999994</v>
      </c>
      <c r="U346" s="23">
        <f t="shared" si="46"/>
        <v>7.7798387096774224</v>
      </c>
      <c r="W346">
        <v>2661.4</v>
      </c>
      <c r="Y346">
        <f t="shared" si="43"/>
        <v>286773.69999999984</v>
      </c>
      <c r="Z346">
        <f t="shared" si="48"/>
        <v>25436.999999999996</v>
      </c>
      <c r="AA346">
        <v>15.749366400594317</v>
      </c>
    </row>
    <row r="347" spans="1:27" x14ac:dyDescent="0.25">
      <c r="A347">
        <v>6280</v>
      </c>
      <c r="B347">
        <v>24170</v>
      </c>
      <c r="C347" s="8">
        <v>42925</v>
      </c>
      <c r="G347">
        <v>22.4</v>
      </c>
      <c r="H347">
        <v>19.5</v>
      </c>
      <c r="I347">
        <v>27.4</v>
      </c>
      <c r="J347">
        <f t="shared" si="42"/>
        <v>3333.7000000000007</v>
      </c>
      <c r="K347">
        <f t="shared" si="47"/>
        <v>329.9</v>
      </c>
      <c r="M347">
        <v>8.1</v>
      </c>
      <c r="N347">
        <v>2.4</v>
      </c>
      <c r="O347">
        <f t="shared" si="39"/>
        <v>5.6999999999999993</v>
      </c>
      <c r="P347">
        <f t="shared" si="44"/>
        <v>5.6999999999999993</v>
      </c>
      <c r="Q347">
        <v>313</v>
      </c>
      <c r="R347">
        <f t="shared" si="45"/>
        <v>0.4790322580645161</v>
      </c>
      <c r="S347" s="23">
        <f t="shared" si="40"/>
        <v>1.1496774193548387</v>
      </c>
      <c r="T347" s="23">
        <f t="shared" si="41"/>
        <v>6.9503225806451612</v>
      </c>
      <c r="U347" s="23">
        <f t="shared" si="46"/>
        <v>14.730161290322584</v>
      </c>
      <c r="W347">
        <v>927.8</v>
      </c>
      <c r="Y347">
        <f t="shared" si="43"/>
        <v>287701.49999999983</v>
      </c>
      <c r="Z347">
        <f t="shared" si="48"/>
        <v>26364.799999999996</v>
      </c>
      <c r="AA347">
        <v>15.725587206982102</v>
      </c>
    </row>
    <row r="348" spans="1:27" x14ac:dyDescent="0.25">
      <c r="A348">
        <v>6280</v>
      </c>
      <c r="B348">
        <v>24170</v>
      </c>
      <c r="C348" s="8">
        <v>42926</v>
      </c>
      <c r="G348">
        <v>19.2</v>
      </c>
      <c r="H348">
        <v>18.2</v>
      </c>
      <c r="I348">
        <v>21</v>
      </c>
      <c r="J348">
        <f t="shared" si="42"/>
        <v>3352.9000000000005</v>
      </c>
      <c r="K348">
        <f t="shared" si="47"/>
        <v>349.09999999999997</v>
      </c>
      <c r="M348">
        <v>5</v>
      </c>
      <c r="N348">
        <v>2.8</v>
      </c>
      <c r="O348">
        <f t="shared" si="39"/>
        <v>2.2000000000000002</v>
      </c>
      <c r="P348">
        <f t="shared" si="44"/>
        <v>7.8999999999999995</v>
      </c>
      <c r="Q348" s="22">
        <v>314</v>
      </c>
      <c r="R348">
        <f t="shared" si="45"/>
        <v>0.46612903225806446</v>
      </c>
      <c r="S348" s="23">
        <f t="shared" si="40"/>
        <v>1.3051612903225804</v>
      </c>
      <c r="T348" s="23">
        <f t="shared" si="41"/>
        <v>3.6948387096774198</v>
      </c>
      <c r="U348" s="23">
        <f t="shared" si="46"/>
        <v>18.425000000000004</v>
      </c>
      <c r="W348">
        <v>1360.5</v>
      </c>
      <c r="Y348">
        <f t="shared" si="43"/>
        <v>289061.99999999983</v>
      </c>
      <c r="Z348">
        <f t="shared" si="48"/>
        <v>27725.299999999996</v>
      </c>
      <c r="AA348">
        <v>15.700560042562437</v>
      </c>
    </row>
    <row r="349" spans="1:27" x14ac:dyDescent="0.25">
      <c r="A349">
        <v>6280</v>
      </c>
      <c r="B349">
        <v>24170</v>
      </c>
      <c r="C349" s="8">
        <v>42927</v>
      </c>
      <c r="G349">
        <v>18.399999999999999</v>
      </c>
      <c r="H349">
        <v>15.3</v>
      </c>
      <c r="I349">
        <v>22.2</v>
      </c>
      <c r="J349">
        <f t="shared" si="42"/>
        <v>3371.3000000000006</v>
      </c>
      <c r="K349">
        <f t="shared" si="47"/>
        <v>367.49999999999994</v>
      </c>
      <c r="M349">
        <v>3.7</v>
      </c>
      <c r="N349">
        <v>2.6</v>
      </c>
      <c r="O349">
        <f t="shared" si="39"/>
        <v>1.1000000000000001</v>
      </c>
      <c r="P349">
        <f t="shared" si="44"/>
        <v>9</v>
      </c>
      <c r="Q349">
        <v>315</v>
      </c>
      <c r="R349">
        <f t="shared" si="45"/>
        <v>0.45322580645161292</v>
      </c>
      <c r="S349" s="23">
        <f t="shared" si="40"/>
        <v>1.1783870967741936</v>
      </c>
      <c r="T349" s="23">
        <f t="shared" si="41"/>
        <v>2.5216129032258063</v>
      </c>
      <c r="U349" s="23">
        <f t="shared" si="46"/>
        <v>20.946612903225812</v>
      </c>
      <c r="W349">
        <v>1147.9000000000001</v>
      </c>
      <c r="Y349">
        <f t="shared" si="43"/>
        <v>290209.89999999985</v>
      </c>
      <c r="Z349">
        <f t="shared" si="48"/>
        <v>28873.199999999997</v>
      </c>
      <c r="AA349">
        <v>15.674305224257024</v>
      </c>
    </row>
    <row r="350" spans="1:27" x14ac:dyDescent="0.25">
      <c r="A350">
        <v>6280</v>
      </c>
      <c r="B350">
        <v>24170</v>
      </c>
      <c r="C350" s="8">
        <v>42928</v>
      </c>
      <c r="G350">
        <v>18.8</v>
      </c>
      <c r="H350">
        <v>16</v>
      </c>
      <c r="I350">
        <v>21.7</v>
      </c>
      <c r="J350">
        <f t="shared" si="42"/>
        <v>3390.1000000000008</v>
      </c>
      <c r="K350">
        <f t="shared" si="47"/>
        <v>386.29999999999995</v>
      </c>
      <c r="M350">
        <v>0.6</v>
      </c>
      <c r="N350">
        <v>2.1</v>
      </c>
      <c r="O350">
        <f t="shared" si="39"/>
        <v>-1.5</v>
      </c>
      <c r="P350">
        <f t="shared" si="44"/>
        <v>7.5</v>
      </c>
      <c r="Q350" s="22">
        <v>316</v>
      </c>
      <c r="R350">
        <f t="shared" si="45"/>
        <v>0.44032258064516128</v>
      </c>
      <c r="S350" s="23">
        <f t="shared" si="40"/>
        <v>0.92467741935483871</v>
      </c>
      <c r="T350" s="23">
        <f t="shared" si="41"/>
        <v>-0.32467741935483874</v>
      </c>
      <c r="U350" s="23">
        <f t="shared" si="46"/>
        <v>20.621935483870974</v>
      </c>
      <c r="W350">
        <v>724.5</v>
      </c>
      <c r="Y350">
        <f t="shared" si="43"/>
        <v>290934.39999999985</v>
      </c>
      <c r="Z350">
        <f t="shared" si="48"/>
        <v>29597.699999999997</v>
      </c>
      <c r="AA350">
        <v>15.646843742418742</v>
      </c>
    </row>
    <row r="351" spans="1:27" x14ac:dyDescent="0.25">
      <c r="A351">
        <v>6280</v>
      </c>
      <c r="B351">
        <v>24170</v>
      </c>
      <c r="C351" s="8">
        <v>42929</v>
      </c>
      <c r="G351">
        <v>18.7</v>
      </c>
      <c r="H351">
        <v>14.4</v>
      </c>
      <c r="I351">
        <v>22.4</v>
      </c>
      <c r="J351">
        <f t="shared" si="42"/>
        <v>3408.8000000000006</v>
      </c>
      <c r="K351">
        <f t="shared" si="47"/>
        <v>404.99999999999994</v>
      </c>
      <c r="M351">
        <v>0.1</v>
      </c>
      <c r="N351">
        <v>3.1</v>
      </c>
      <c r="O351">
        <f t="shared" si="39"/>
        <v>-3</v>
      </c>
      <c r="P351">
        <f t="shared" si="44"/>
        <v>4.5</v>
      </c>
      <c r="Q351">
        <v>317</v>
      </c>
      <c r="R351">
        <f t="shared" si="45"/>
        <v>0.42741935483870963</v>
      </c>
      <c r="S351" s="23">
        <f t="shared" si="40"/>
        <v>1.325</v>
      </c>
      <c r="T351" s="23">
        <f t="shared" si="41"/>
        <v>-1.2249999999999999</v>
      </c>
      <c r="U351" s="23">
        <f t="shared" si="46"/>
        <v>19.396935483870973</v>
      </c>
      <c r="W351">
        <v>1495.3</v>
      </c>
      <c r="Y351">
        <f t="shared" si="43"/>
        <v>292429.69999999984</v>
      </c>
      <c r="Z351">
        <f t="shared" si="48"/>
        <v>31092.999999999996</v>
      </c>
      <c r="AA351">
        <v>15.618197203524792</v>
      </c>
    </row>
    <row r="352" spans="1:27" x14ac:dyDescent="0.25">
      <c r="A352">
        <v>6280</v>
      </c>
      <c r="B352">
        <v>24170</v>
      </c>
      <c r="C352" s="8">
        <v>42930</v>
      </c>
      <c r="G352">
        <v>18.2</v>
      </c>
      <c r="H352">
        <v>15.1</v>
      </c>
      <c r="I352">
        <v>21.7</v>
      </c>
      <c r="J352">
        <f t="shared" si="42"/>
        <v>3427.0000000000005</v>
      </c>
      <c r="K352">
        <f t="shared" si="47"/>
        <v>423.19999999999993</v>
      </c>
      <c r="M352">
        <v>0</v>
      </c>
      <c r="N352">
        <v>4.2</v>
      </c>
      <c r="O352">
        <f t="shared" si="39"/>
        <v>-4.2</v>
      </c>
      <c r="P352">
        <f t="shared" si="44"/>
        <v>0.29999999999999982</v>
      </c>
      <c r="Q352" s="22">
        <v>318</v>
      </c>
      <c r="R352">
        <f t="shared" si="45"/>
        <v>0.4145161290322581</v>
      </c>
      <c r="S352" s="23">
        <f t="shared" si="40"/>
        <v>1.7409677419354841</v>
      </c>
      <c r="T352" s="23">
        <f t="shared" si="41"/>
        <v>-1.7409677419354841</v>
      </c>
      <c r="U352" s="23">
        <f t="shared" si="46"/>
        <v>17.655967741935488</v>
      </c>
      <c r="W352">
        <v>2127.1</v>
      </c>
      <c r="Y352">
        <f t="shared" si="43"/>
        <v>294556.79999999981</v>
      </c>
      <c r="Z352">
        <f t="shared" si="48"/>
        <v>33220.1</v>
      </c>
      <c r="AA352">
        <v>15.588387772769385</v>
      </c>
    </row>
    <row r="353" spans="1:27" x14ac:dyDescent="0.25">
      <c r="A353">
        <v>6280</v>
      </c>
      <c r="B353">
        <v>24170</v>
      </c>
      <c r="C353" s="8">
        <v>42931</v>
      </c>
      <c r="G353">
        <v>18.899999999999999</v>
      </c>
      <c r="H353">
        <v>12.7</v>
      </c>
      <c r="I353">
        <v>24.7</v>
      </c>
      <c r="J353">
        <f t="shared" si="42"/>
        <v>3445.9000000000005</v>
      </c>
      <c r="K353">
        <f t="shared" si="47"/>
        <v>442.09999999999991</v>
      </c>
      <c r="M353">
        <v>0</v>
      </c>
      <c r="N353">
        <v>3.8</v>
      </c>
      <c r="O353">
        <f t="shared" si="39"/>
        <v>-3.8</v>
      </c>
      <c r="P353">
        <v>0</v>
      </c>
      <c r="Q353">
        <v>319</v>
      </c>
      <c r="R353">
        <f t="shared" si="45"/>
        <v>0.40161290322580645</v>
      </c>
      <c r="S353" s="23">
        <f t="shared" si="40"/>
        <v>1.5261290322580645</v>
      </c>
      <c r="T353" s="23">
        <f t="shared" si="41"/>
        <v>-1.5261290322580645</v>
      </c>
      <c r="U353" s="23">
        <f t="shared" si="46"/>
        <v>16.129838709677422</v>
      </c>
      <c r="W353">
        <v>1741.3</v>
      </c>
      <c r="Y353">
        <f t="shared" si="43"/>
        <v>296298.0999999998</v>
      </c>
      <c r="Z353">
        <f t="shared" si="48"/>
        <v>34961.4</v>
      </c>
      <c r="AA353">
        <v>15.557438116836156</v>
      </c>
    </row>
    <row r="354" spans="1:27" x14ac:dyDescent="0.25">
      <c r="A354">
        <v>6280</v>
      </c>
      <c r="B354">
        <v>24170</v>
      </c>
      <c r="C354" s="8">
        <v>42932</v>
      </c>
      <c r="G354">
        <v>22.8</v>
      </c>
      <c r="H354">
        <v>18.3</v>
      </c>
      <c r="I354">
        <v>28.6</v>
      </c>
      <c r="J354">
        <f t="shared" si="42"/>
        <v>3468.7000000000007</v>
      </c>
      <c r="K354">
        <f t="shared" si="47"/>
        <v>464.89999999999992</v>
      </c>
      <c r="M354">
        <v>0</v>
      </c>
      <c r="N354">
        <v>5.3</v>
      </c>
      <c r="O354">
        <f t="shared" si="39"/>
        <v>-5.3</v>
      </c>
      <c r="P354">
        <v>0</v>
      </c>
      <c r="Q354" s="22">
        <v>320</v>
      </c>
      <c r="R354">
        <f t="shared" si="45"/>
        <v>0.3887096774193548</v>
      </c>
      <c r="S354" s="23">
        <f t="shared" si="40"/>
        <v>2.0601612903225806</v>
      </c>
      <c r="T354" s="23">
        <f t="shared" si="41"/>
        <v>-2.0601612903225806</v>
      </c>
      <c r="U354" s="23">
        <f t="shared" si="46"/>
        <v>14.069677419354841</v>
      </c>
      <c r="W354">
        <v>2270.6999999999998</v>
      </c>
      <c r="Y354">
        <f t="shared" si="43"/>
        <v>298568.79999999981</v>
      </c>
      <c r="Z354">
        <f t="shared" si="48"/>
        <v>37232.1</v>
      </c>
      <c r="AA354">
        <v>15.525371347115962</v>
      </c>
    </row>
    <row r="355" spans="1:27" x14ac:dyDescent="0.25">
      <c r="A355">
        <v>6280</v>
      </c>
      <c r="B355">
        <v>24170</v>
      </c>
      <c r="C355" s="8">
        <v>42933</v>
      </c>
      <c r="G355">
        <v>23.2</v>
      </c>
      <c r="H355">
        <v>17</v>
      </c>
      <c r="I355">
        <v>28.1</v>
      </c>
      <c r="J355">
        <f t="shared" si="42"/>
        <v>3491.9000000000005</v>
      </c>
      <c r="K355">
        <f t="shared" si="47"/>
        <v>488.09999999999991</v>
      </c>
      <c r="M355">
        <v>0</v>
      </c>
      <c r="N355">
        <v>3.8</v>
      </c>
      <c r="O355">
        <f t="shared" si="39"/>
        <v>-3.8</v>
      </c>
      <c r="P355">
        <v>0</v>
      </c>
      <c r="Q355">
        <v>321</v>
      </c>
      <c r="R355">
        <f t="shared" si="45"/>
        <v>0.37580645161290316</v>
      </c>
      <c r="S355" s="23">
        <f t="shared" si="40"/>
        <v>1.428064516129032</v>
      </c>
      <c r="T355" s="23">
        <f t="shared" si="41"/>
        <v>-1.428064516129032</v>
      </c>
      <c r="U355" s="23">
        <f t="shared" si="46"/>
        <v>12.641612903225809</v>
      </c>
      <c r="W355">
        <v>1823.2</v>
      </c>
      <c r="Y355">
        <f t="shared" si="43"/>
        <v>300391.99999999983</v>
      </c>
      <c r="Z355">
        <f t="shared" si="48"/>
        <v>39055.299999999996</v>
      </c>
      <c r="AA355">
        <v>15.492210963619405</v>
      </c>
    </row>
    <row r="356" spans="1:27" x14ac:dyDescent="0.25">
      <c r="A356">
        <v>6280</v>
      </c>
      <c r="B356">
        <v>24170</v>
      </c>
      <c r="C356" s="8">
        <v>42934</v>
      </c>
      <c r="G356">
        <v>26</v>
      </c>
      <c r="H356">
        <v>19.5</v>
      </c>
      <c r="I356">
        <v>31.1</v>
      </c>
      <c r="J356">
        <f t="shared" si="42"/>
        <v>3517.9000000000005</v>
      </c>
      <c r="K356">
        <f t="shared" si="47"/>
        <v>514.09999999999991</v>
      </c>
      <c r="M356">
        <v>0</v>
      </c>
      <c r="N356">
        <v>6.3</v>
      </c>
      <c r="O356">
        <f t="shared" ref="O356:O357" si="49">M356-N356</f>
        <v>-6.3</v>
      </c>
      <c r="P356">
        <v>0</v>
      </c>
      <c r="Q356" s="22">
        <v>322</v>
      </c>
      <c r="R356">
        <f t="shared" si="45"/>
        <v>0.36290322580645162</v>
      </c>
      <c r="S356" s="23">
        <f t="shared" ref="S356:S357" si="50">R356*N356</f>
        <v>2.286290322580645</v>
      </c>
      <c r="T356" s="23">
        <f t="shared" ref="T356:T357" si="51">M356-S356</f>
        <v>-2.286290322580645</v>
      </c>
      <c r="U356" s="23">
        <f t="shared" si="46"/>
        <v>10.355322580645165</v>
      </c>
      <c r="W356">
        <v>2426.8000000000002</v>
      </c>
      <c r="Y356">
        <f t="shared" si="43"/>
        <v>302818.79999999981</v>
      </c>
      <c r="Z356">
        <f t="shared" si="48"/>
        <v>41482.1</v>
      </c>
      <c r="AA356">
        <v>15.457980799816054</v>
      </c>
    </row>
    <row r="357" spans="1:27" x14ac:dyDescent="0.25">
      <c r="A357">
        <v>6280</v>
      </c>
      <c r="B357">
        <v>24170</v>
      </c>
      <c r="C357" s="8">
        <v>42935</v>
      </c>
      <c r="G357">
        <v>24.8</v>
      </c>
      <c r="H357">
        <v>23.6</v>
      </c>
      <c r="I357">
        <v>27.9</v>
      </c>
      <c r="J357">
        <f t="shared" ref="J357" si="52">J356+G357</f>
        <v>3542.7000000000007</v>
      </c>
      <c r="K357">
        <f t="shared" si="47"/>
        <v>538.89999999999986</v>
      </c>
      <c r="M357">
        <v>0</v>
      </c>
      <c r="N357">
        <v>4.4000000000000004</v>
      </c>
      <c r="O357">
        <f t="shared" si="49"/>
        <v>-4.4000000000000004</v>
      </c>
      <c r="P357">
        <v>0</v>
      </c>
      <c r="Q357">
        <v>323</v>
      </c>
      <c r="R357">
        <f t="shared" si="45"/>
        <v>0.35</v>
      </c>
      <c r="S357" s="23">
        <f t="shared" si="50"/>
        <v>1.54</v>
      </c>
      <c r="T357" s="23">
        <f t="shared" si="51"/>
        <v>-1.54</v>
      </c>
      <c r="U357" s="23">
        <f t="shared" si="46"/>
        <v>8.8153225806451658</v>
      </c>
      <c r="W357">
        <v>1027.3</v>
      </c>
      <c r="Y357">
        <f t="shared" ref="Y357" si="53">Y356+W357</f>
        <v>303846.0999999998</v>
      </c>
      <c r="Z357">
        <f t="shared" si="48"/>
        <v>42509.4</v>
      </c>
      <c r="AA357">
        <v>15.422704968614029</v>
      </c>
    </row>
    <row r="358" spans="1:27" s="9" customFormat="1" x14ac:dyDescent="0.25">
      <c r="A358" s="45" t="s">
        <v>36</v>
      </c>
      <c r="B358" s="45"/>
      <c r="C358" s="45"/>
      <c r="D358" s="45"/>
      <c r="E358" s="45"/>
      <c r="F358" s="45"/>
    </row>
    <row r="359" spans="1:27" x14ac:dyDescent="0.25">
      <c r="A359">
        <v>6280</v>
      </c>
      <c r="B359">
        <v>24170</v>
      </c>
      <c r="C359" s="8">
        <v>42936</v>
      </c>
      <c r="G359">
        <v>18.8</v>
      </c>
      <c r="H359">
        <v>18.5</v>
      </c>
      <c r="I359">
        <v>21.3</v>
      </c>
      <c r="M359">
        <v>0</v>
      </c>
      <c r="N359">
        <v>3.5</v>
      </c>
      <c r="W359">
        <v>1358.8</v>
      </c>
    </row>
    <row r="360" spans="1:27" x14ac:dyDescent="0.25">
      <c r="A360">
        <v>6280</v>
      </c>
      <c r="B360">
        <v>24170</v>
      </c>
      <c r="C360" s="8">
        <v>42937</v>
      </c>
      <c r="G360">
        <v>19.399999999999999</v>
      </c>
      <c r="H360">
        <v>13</v>
      </c>
      <c r="I360">
        <v>22.9</v>
      </c>
      <c r="M360">
        <v>0</v>
      </c>
      <c r="N360">
        <v>4.8</v>
      </c>
      <c r="Q360" s="22"/>
      <c r="W360">
        <v>2099.3000000000002</v>
      </c>
    </row>
    <row r="361" spans="1:27" x14ac:dyDescent="0.25">
      <c r="A361">
        <v>6280</v>
      </c>
      <c r="B361">
        <v>24170</v>
      </c>
      <c r="C361" s="8">
        <v>42938</v>
      </c>
      <c r="G361">
        <v>17.899999999999999</v>
      </c>
      <c r="H361">
        <v>17.5</v>
      </c>
      <c r="I361">
        <v>19.100000000000001</v>
      </c>
      <c r="M361">
        <v>9.5</v>
      </c>
      <c r="N361">
        <v>3</v>
      </c>
      <c r="W361">
        <v>1127.7</v>
      </c>
    </row>
    <row r="362" spans="1:27" x14ac:dyDescent="0.25">
      <c r="A362">
        <v>6280</v>
      </c>
      <c r="B362">
        <v>24170</v>
      </c>
      <c r="C362" s="8">
        <v>42939</v>
      </c>
      <c r="G362">
        <v>16.2</v>
      </c>
      <c r="H362">
        <v>13.5</v>
      </c>
      <c r="I362">
        <v>20.100000000000001</v>
      </c>
      <c r="M362">
        <v>4.7</v>
      </c>
      <c r="N362">
        <v>2.2999999999999998</v>
      </c>
      <c r="Q362" s="22"/>
      <c r="W362">
        <v>970.3</v>
      </c>
    </row>
    <row r="363" spans="1:27" x14ac:dyDescent="0.25">
      <c r="A363">
        <v>6280</v>
      </c>
      <c r="B363">
        <v>24170</v>
      </c>
      <c r="C363" s="8">
        <v>42940</v>
      </c>
      <c r="G363">
        <v>15.8</v>
      </c>
      <c r="H363">
        <v>13.9</v>
      </c>
      <c r="I363">
        <v>17.399999999999999</v>
      </c>
      <c r="M363">
        <v>3.7</v>
      </c>
      <c r="N363">
        <v>1.3</v>
      </c>
      <c r="W363">
        <v>573</v>
      </c>
    </row>
    <row r="364" spans="1:27" x14ac:dyDescent="0.25">
      <c r="A364">
        <v>6280</v>
      </c>
      <c r="B364">
        <v>24170</v>
      </c>
      <c r="C364" s="8">
        <v>42941</v>
      </c>
      <c r="G364">
        <v>16.899999999999999</v>
      </c>
      <c r="H364">
        <v>15</v>
      </c>
      <c r="I364">
        <v>20.399999999999999</v>
      </c>
      <c r="M364">
        <v>0.4</v>
      </c>
      <c r="N364">
        <v>2.9</v>
      </c>
      <c r="Q364" s="22"/>
      <c r="W364">
        <v>1254.0999999999999</v>
      </c>
    </row>
    <row r="365" spans="1:27" x14ac:dyDescent="0.25">
      <c r="A365">
        <v>6280</v>
      </c>
      <c r="B365">
        <v>24170</v>
      </c>
      <c r="C365" s="8">
        <v>42942</v>
      </c>
      <c r="G365">
        <v>17.7</v>
      </c>
      <c r="H365">
        <v>12.7</v>
      </c>
      <c r="I365">
        <v>22.8</v>
      </c>
      <c r="M365">
        <v>2.1</v>
      </c>
      <c r="N365">
        <v>3.4</v>
      </c>
      <c r="W365">
        <v>1571.1</v>
      </c>
    </row>
    <row r="366" spans="1:27" x14ac:dyDescent="0.25">
      <c r="A366">
        <v>6280</v>
      </c>
      <c r="B366">
        <v>24170</v>
      </c>
      <c r="C366" s="8">
        <v>42943</v>
      </c>
      <c r="G366">
        <v>17.899999999999999</v>
      </c>
      <c r="H366">
        <v>17.2</v>
      </c>
      <c r="I366">
        <v>19.8</v>
      </c>
      <c r="M366">
        <v>0.6</v>
      </c>
      <c r="N366">
        <v>1.9</v>
      </c>
      <c r="Q366" s="22"/>
      <c r="W366">
        <v>861.7</v>
      </c>
    </row>
    <row r="367" spans="1:27" x14ac:dyDescent="0.25">
      <c r="A367">
        <v>6280</v>
      </c>
      <c r="B367">
        <v>24170</v>
      </c>
      <c r="C367" s="8">
        <v>42944</v>
      </c>
      <c r="G367">
        <v>18.5</v>
      </c>
      <c r="H367">
        <v>13.1</v>
      </c>
      <c r="I367">
        <v>22.2</v>
      </c>
      <c r="M367">
        <v>0</v>
      </c>
      <c r="N367">
        <v>3</v>
      </c>
      <c r="W367">
        <v>1233.9000000000001</v>
      </c>
    </row>
    <row r="368" spans="1:27" x14ac:dyDescent="0.25">
      <c r="A368">
        <v>6280</v>
      </c>
      <c r="B368">
        <v>24170</v>
      </c>
      <c r="C368" s="8">
        <v>42945</v>
      </c>
      <c r="G368">
        <v>22.1</v>
      </c>
      <c r="H368">
        <v>17.399999999999999</v>
      </c>
      <c r="I368">
        <v>25.9</v>
      </c>
      <c r="M368">
        <v>0</v>
      </c>
      <c r="N368">
        <v>4.4000000000000004</v>
      </c>
      <c r="Q368" s="22"/>
      <c r="W368">
        <v>1441.8</v>
      </c>
    </row>
    <row r="369" spans="1:23" x14ac:dyDescent="0.25">
      <c r="A369">
        <v>6280</v>
      </c>
      <c r="B369">
        <v>24170</v>
      </c>
      <c r="C369" s="8">
        <v>42946</v>
      </c>
      <c r="G369">
        <v>21.4</v>
      </c>
      <c r="H369">
        <v>19.7</v>
      </c>
      <c r="I369">
        <v>23.1</v>
      </c>
      <c r="M369">
        <v>0</v>
      </c>
      <c r="N369">
        <v>5.2</v>
      </c>
      <c r="W369">
        <v>1848.3</v>
      </c>
    </row>
    <row r="370" spans="1:23" x14ac:dyDescent="0.25">
      <c r="A370">
        <v>6280</v>
      </c>
      <c r="B370">
        <v>24170</v>
      </c>
      <c r="C370" s="8">
        <v>42947</v>
      </c>
      <c r="G370">
        <v>19</v>
      </c>
      <c r="H370">
        <v>15.1</v>
      </c>
      <c r="I370">
        <v>22.1</v>
      </c>
      <c r="M370">
        <v>5.3</v>
      </c>
      <c r="N370">
        <v>1.9</v>
      </c>
      <c r="Q370" s="22"/>
      <c r="W370">
        <v>898.8</v>
      </c>
    </row>
    <row r="371" spans="1:23" x14ac:dyDescent="0.25">
      <c r="A371">
        <v>6280</v>
      </c>
      <c r="B371">
        <v>24170</v>
      </c>
      <c r="C371" s="8">
        <v>42948</v>
      </c>
      <c r="G371">
        <v>20.100000000000001</v>
      </c>
      <c r="H371">
        <v>15.7</v>
      </c>
      <c r="I371">
        <v>25.4</v>
      </c>
      <c r="M371">
        <v>0.7</v>
      </c>
      <c r="N371">
        <v>3.3</v>
      </c>
      <c r="W371">
        <v>1565.7</v>
      </c>
    </row>
    <row r="372" spans="1:23" x14ac:dyDescent="0.25">
      <c r="A372">
        <v>6280</v>
      </c>
      <c r="B372">
        <v>24170</v>
      </c>
      <c r="C372" s="8">
        <v>42949</v>
      </c>
      <c r="G372">
        <v>22.3</v>
      </c>
      <c r="H372">
        <v>16.7</v>
      </c>
      <c r="I372">
        <v>27.9</v>
      </c>
      <c r="M372">
        <v>0.6</v>
      </c>
      <c r="N372">
        <v>2.8</v>
      </c>
      <c r="Q372" s="22"/>
      <c r="W372">
        <v>970.2</v>
      </c>
    </row>
    <row r="373" spans="1:23" x14ac:dyDescent="0.25">
      <c r="A373">
        <v>6280</v>
      </c>
      <c r="B373">
        <v>24170</v>
      </c>
      <c r="C373" s="8">
        <v>42950</v>
      </c>
      <c r="G373">
        <v>22</v>
      </c>
      <c r="H373">
        <v>18.5</v>
      </c>
      <c r="I373">
        <v>24.7</v>
      </c>
      <c r="M373">
        <v>0</v>
      </c>
      <c r="N373">
        <v>4.5</v>
      </c>
      <c r="W373">
        <v>1647</v>
      </c>
    </row>
    <row r="374" spans="1:23" x14ac:dyDescent="0.25">
      <c r="A374">
        <v>6280</v>
      </c>
      <c r="B374">
        <v>24170</v>
      </c>
      <c r="C374" s="8">
        <v>42951</v>
      </c>
      <c r="G374">
        <v>21.5</v>
      </c>
      <c r="H374">
        <v>18.100000000000001</v>
      </c>
      <c r="I374">
        <v>24.2</v>
      </c>
      <c r="M374">
        <v>0.4</v>
      </c>
      <c r="N374">
        <v>3.7</v>
      </c>
      <c r="Q374" s="22"/>
      <c r="W374">
        <v>1173.5</v>
      </c>
    </row>
    <row r="375" spans="1:23" x14ac:dyDescent="0.25">
      <c r="A375">
        <v>6280</v>
      </c>
      <c r="B375">
        <v>24170</v>
      </c>
      <c r="C375" s="8">
        <v>42952</v>
      </c>
      <c r="G375">
        <v>19</v>
      </c>
      <c r="H375">
        <v>15.6</v>
      </c>
      <c r="I375">
        <v>22.5</v>
      </c>
      <c r="M375">
        <v>0</v>
      </c>
      <c r="N375">
        <v>3.3</v>
      </c>
      <c r="W375">
        <v>1409.4</v>
      </c>
    </row>
    <row r="376" spans="1:23" x14ac:dyDescent="0.25">
      <c r="A376">
        <v>6280</v>
      </c>
      <c r="B376">
        <v>24170</v>
      </c>
      <c r="C376" s="8">
        <v>42953</v>
      </c>
      <c r="G376">
        <v>17.7</v>
      </c>
      <c r="H376">
        <v>13.2</v>
      </c>
      <c r="I376">
        <v>22.4</v>
      </c>
      <c r="M376">
        <v>0</v>
      </c>
      <c r="N376">
        <v>4.2</v>
      </c>
      <c r="Q376" s="22"/>
      <c r="W376">
        <v>2169.8000000000002</v>
      </c>
    </row>
    <row r="377" spans="1:23" x14ac:dyDescent="0.25">
      <c r="A377">
        <v>6280</v>
      </c>
      <c r="B377">
        <v>24170</v>
      </c>
      <c r="C377" s="8">
        <v>42954</v>
      </c>
      <c r="G377">
        <v>20</v>
      </c>
      <c r="H377">
        <v>13.4</v>
      </c>
      <c r="I377">
        <v>25.2</v>
      </c>
      <c r="M377">
        <v>0.6</v>
      </c>
      <c r="N377">
        <v>4</v>
      </c>
      <c r="W377">
        <v>1870.8</v>
      </c>
    </row>
    <row r="378" spans="1:23" x14ac:dyDescent="0.25">
      <c r="A378">
        <v>6280</v>
      </c>
      <c r="B378">
        <v>24170</v>
      </c>
      <c r="C378" s="8">
        <v>42955</v>
      </c>
      <c r="G378">
        <v>15.8</v>
      </c>
      <c r="H378">
        <v>15.5</v>
      </c>
      <c r="I378">
        <v>16.399999999999999</v>
      </c>
      <c r="M378">
        <v>3.5</v>
      </c>
      <c r="N378">
        <v>1.2</v>
      </c>
      <c r="Q378" s="22"/>
      <c r="W378">
        <v>546.29999999999995</v>
      </c>
    </row>
    <row r="379" spans="1:23" x14ac:dyDescent="0.25">
      <c r="A379">
        <v>6280</v>
      </c>
      <c r="B379">
        <v>24170</v>
      </c>
      <c r="C379" s="8">
        <v>42956</v>
      </c>
      <c r="G379">
        <v>14.4</v>
      </c>
      <c r="H379">
        <v>12.8</v>
      </c>
      <c r="I379">
        <v>17.600000000000001</v>
      </c>
      <c r="M379">
        <v>7.5</v>
      </c>
      <c r="N379">
        <v>2.1</v>
      </c>
      <c r="W379">
        <v>1281.8</v>
      </c>
    </row>
    <row r="380" spans="1:23" x14ac:dyDescent="0.25">
      <c r="A380">
        <v>6280</v>
      </c>
      <c r="B380">
        <v>24170</v>
      </c>
      <c r="C380" s="8">
        <v>42957</v>
      </c>
      <c r="G380">
        <v>14</v>
      </c>
      <c r="H380">
        <v>11.4</v>
      </c>
      <c r="I380">
        <v>17.2</v>
      </c>
      <c r="M380">
        <v>0.9</v>
      </c>
      <c r="N380">
        <v>2.1</v>
      </c>
      <c r="Q380" s="22"/>
      <c r="W380">
        <v>1174.3</v>
      </c>
    </row>
    <row r="381" spans="1:23" x14ac:dyDescent="0.25">
      <c r="A381">
        <v>6280</v>
      </c>
      <c r="B381">
        <v>24170</v>
      </c>
      <c r="C381" s="8">
        <v>42958</v>
      </c>
      <c r="G381">
        <v>16.8</v>
      </c>
      <c r="H381">
        <v>12.3</v>
      </c>
      <c r="I381">
        <v>20.3</v>
      </c>
      <c r="M381">
        <v>0</v>
      </c>
      <c r="N381">
        <v>2.9</v>
      </c>
      <c r="W381">
        <v>1636.8</v>
      </c>
    </row>
    <row r="382" spans="1:23" x14ac:dyDescent="0.25">
      <c r="A382">
        <v>6280</v>
      </c>
      <c r="B382">
        <v>24170</v>
      </c>
      <c r="C382" s="8">
        <v>42959</v>
      </c>
      <c r="G382">
        <v>16.8</v>
      </c>
      <c r="H382">
        <v>14.1</v>
      </c>
      <c r="I382">
        <v>19.7</v>
      </c>
      <c r="M382">
        <v>2.5</v>
      </c>
      <c r="N382">
        <v>1.8</v>
      </c>
      <c r="Q382" s="22"/>
      <c r="W382">
        <v>652.6</v>
      </c>
    </row>
    <row r="383" spans="1:23" x14ac:dyDescent="0.25">
      <c r="A383">
        <v>6280</v>
      </c>
      <c r="B383">
        <v>24170</v>
      </c>
      <c r="C383" s="8">
        <v>42960</v>
      </c>
      <c r="G383">
        <v>17.3</v>
      </c>
      <c r="H383">
        <v>13.3</v>
      </c>
      <c r="I383">
        <v>21.4</v>
      </c>
      <c r="M383">
        <v>0.1</v>
      </c>
      <c r="N383">
        <v>3</v>
      </c>
      <c r="W383">
        <v>1486.7</v>
      </c>
    </row>
    <row r="384" spans="1:23" x14ac:dyDescent="0.25">
      <c r="A384">
        <v>6280</v>
      </c>
      <c r="B384">
        <v>24170</v>
      </c>
      <c r="C384" s="8">
        <v>42961</v>
      </c>
      <c r="G384">
        <v>19.8</v>
      </c>
      <c r="H384">
        <v>12.4</v>
      </c>
      <c r="I384">
        <v>25.6</v>
      </c>
      <c r="M384">
        <v>8.6</v>
      </c>
      <c r="N384">
        <v>2.8</v>
      </c>
      <c r="Q384" s="22"/>
      <c r="W384">
        <v>1463</v>
      </c>
    </row>
    <row r="385" spans="1:23" x14ac:dyDescent="0.25">
      <c r="A385">
        <v>6280</v>
      </c>
      <c r="B385">
        <v>24170</v>
      </c>
      <c r="C385" s="8">
        <v>42962</v>
      </c>
      <c r="G385">
        <v>20.2</v>
      </c>
      <c r="H385">
        <v>19.100000000000001</v>
      </c>
      <c r="I385">
        <v>23.9</v>
      </c>
      <c r="M385">
        <v>33.799999999999997</v>
      </c>
      <c r="N385">
        <v>2.7</v>
      </c>
      <c r="W385">
        <v>1289</v>
      </c>
    </row>
    <row r="386" spans="1:23" x14ac:dyDescent="0.25">
      <c r="A386">
        <v>6280</v>
      </c>
      <c r="B386">
        <v>24170</v>
      </c>
      <c r="C386" s="8">
        <v>42963</v>
      </c>
      <c r="G386">
        <v>19.600000000000001</v>
      </c>
      <c r="H386">
        <v>15.4</v>
      </c>
      <c r="I386">
        <v>23</v>
      </c>
      <c r="M386">
        <v>1</v>
      </c>
      <c r="N386">
        <v>2.7</v>
      </c>
      <c r="Q386" s="22"/>
      <c r="W386">
        <v>1389.4</v>
      </c>
    </row>
    <row r="387" spans="1:23" x14ac:dyDescent="0.25">
      <c r="A387">
        <v>6280</v>
      </c>
      <c r="B387">
        <v>24170</v>
      </c>
      <c r="C387" s="8">
        <v>42964</v>
      </c>
      <c r="G387">
        <v>19.2</v>
      </c>
      <c r="H387">
        <v>16.2</v>
      </c>
      <c r="I387">
        <v>21.3</v>
      </c>
      <c r="M387">
        <v>13</v>
      </c>
      <c r="N387">
        <v>0.9</v>
      </c>
      <c r="W387">
        <v>485.8</v>
      </c>
    </row>
    <row r="388" spans="1:23" x14ac:dyDescent="0.25">
      <c r="A388">
        <v>6280</v>
      </c>
      <c r="B388">
        <v>24170</v>
      </c>
      <c r="C388" s="8">
        <v>42965</v>
      </c>
      <c r="G388">
        <v>17.3</v>
      </c>
      <c r="H388">
        <v>17.399999999999999</v>
      </c>
      <c r="I388">
        <v>18.3</v>
      </c>
      <c r="M388">
        <v>7.1</v>
      </c>
      <c r="N388">
        <v>1</v>
      </c>
      <c r="Q388" s="22"/>
      <c r="W388">
        <v>482.3</v>
      </c>
    </row>
    <row r="389" spans="1:23" x14ac:dyDescent="0.25">
      <c r="A389">
        <v>6280</v>
      </c>
      <c r="B389">
        <v>24170</v>
      </c>
      <c r="C389" s="8">
        <v>42966</v>
      </c>
      <c r="G389">
        <v>15.7</v>
      </c>
      <c r="H389">
        <v>12.2</v>
      </c>
      <c r="I389">
        <v>19.7</v>
      </c>
      <c r="M389">
        <v>0.1</v>
      </c>
      <c r="N389">
        <v>3</v>
      </c>
      <c r="W389">
        <v>1633.4</v>
      </c>
    </row>
    <row r="390" spans="1:23" x14ac:dyDescent="0.25">
      <c r="A390">
        <v>6280</v>
      </c>
      <c r="B390">
        <v>24170</v>
      </c>
      <c r="C390" s="8">
        <v>42967</v>
      </c>
      <c r="G390">
        <v>16.3</v>
      </c>
      <c r="H390">
        <v>10.7</v>
      </c>
      <c r="I390">
        <v>20.2</v>
      </c>
      <c r="M390">
        <v>0</v>
      </c>
      <c r="N390">
        <v>2.5</v>
      </c>
      <c r="Q390" s="22"/>
      <c r="W390">
        <v>1303.4000000000001</v>
      </c>
    </row>
    <row r="391" spans="1:23" x14ac:dyDescent="0.25">
      <c r="A391">
        <v>6280</v>
      </c>
      <c r="B391">
        <v>24170</v>
      </c>
      <c r="C391" s="8">
        <v>42968</v>
      </c>
      <c r="G391">
        <v>19</v>
      </c>
      <c r="H391">
        <v>16.100000000000001</v>
      </c>
      <c r="I391">
        <v>22.3</v>
      </c>
      <c r="M391">
        <v>0</v>
      </c>
      <c r="N391">
        <v>1.7</v>
      </c>
      <c r="W391">
        <v>628.6</v>
      </c>
    </row>
    <row r="392" spans="1:23" x14ac:dyDescent="0.25">
      <c r="A392">
        <v>6280</v>
      </c>
      <c r="B392">
        <v>24170</v>
      </c>
      <c r="C392" s="8">
        <v>42969</v>
      </c>
      <c r="G392">
        <v>21.4</v>
      </c>
      <c r="H392">
        <v>15.8</v>
      </c>
      <c r="I392">
        <v>25.9</v>
      </c>
      <c r="M392">
        <v>0</v>
      </c>
      <c r="N392">
        <v>3.3</v>
      </c>
      <c r="Q392" s="22"/>
      <c r="W392">
        <v>1624.7</v>
      </c>
    </row>
    <row r="393" spans="1:23" x14ac:dyDescent="0.25">
      <c r="A393">
        <v>6280</v>
      </c>
      <c r="B393">
        <v>24170</v>
      </c>
      <c r="C393" s="8">
        <v>42970</v>
      </c>
      <c r="G393">
        <v>20</v>
      </c>
      <c r="H393">
        <v>18.100000000000001</v>
      </c>
      <c r="I393">
        <v>24.4</v>
      </c>
      <c r="M393">
        <v>0</v>
      </c>
      <c r="N393">
        <v>3.5</v>
      </c>
      <c r="W393">
        <v>1586.2</v>
      </c>
    </row>
    <row r="394" spans="1:23" x14ac:dyDescent="0.25">
      <c r="A394">
        <v>6280</v>
      </c>
      <c r="B394">
        <v>24170</v>
      </c>
      <c r="C394" s="8">
        <v>42971</v>
      </c>
      <c r="G394">
        <v>18.2</v>
      </c>
      <c r="H394">
        <v>13</v>
      </c>
      <c r="I394">
        <v>21.7</v>
      </c>
      <c r="M394">
        <v>0</v>
      </c>
      <c r="N394">
        <v>2.1</v>
      </c>
      <c r="Q394" s="22"/>
      <c r="W394">
        <v>1122.4000000000001</v>
      </c>
    </row>
    <row r="395" spans="1:23" x14ac:dyDescent="0.25">
      <c r="A395">
        <v>6280</v>
      </c>
      <c r="B395">
        <v>24170</v>
      </c>
      <c r="C395" s="8">
        <v>42972</v>
      </c>
      <c r="G395">
        <v>18.600000000000001</v>
      </c>
      <c r="H395">
        <v>17</v>
      </c>
      <c r="I395">
        <v>21.3</v>
      </c>
      <c r="M395">
        <v>31.3</v>
      </c>
      <c r="N395">
        <v>1.6</v>
      </c>
      <c r="W395">
        <v>635.6</v>
      </c>
    </row>
    <row r="396" spans="1:23" x14ac:dyDescent="0.25">
      <c r="A396">
        <v>6280</v>
      </c>
      <c r="B396">
        <v>24170</v>
      </c>
      <c r="C396" s="8">
        <v>42973</v>
      </c>
      <c r="G396">
        <v>21.3</v>
      </c>
      <c r="H396">
        <v>17.100000000000001</v>
      </c>
      <c r="I396">
        <v>25.4</v>
      </c>
      <c r="M396">
        <v>0.4</v>
      </c>
      <c r="N396">
        <v>2.6</v>
      </c>
      <c r="Q396" s="22"/>
      <c r="W396">
        <v>1316.6</v>
      </c>
    </row>
    <row r="397" spans="1:23" x14ac:dyDescent="0.25">
      <c r="A397">
        <v>6280</v>
      </c>
      <c r="B397">
        <v>24170</v>
      </c>
      <c r="C397" s="8">
        <v>42974</v>
      </c>
      <c r="G397">
        <v>21.8</v>
      </c>
      <c r="H397">
        <v>17.600000000000001</v>
      </c>
      <c r="I397">
        <v>26.3</v>
      </c>
      <c r="M397">
        <v>3.6</v>
      </c>
      <c r="N397">
        <v>3.4</v>
      </c>
      <c r="W397">
        <v>1614.6</v>
      </c>
    </row>
    <row r="398" spans="1:23" x14ac:dyDescent="0.25">
      <c r="A398">
        <v>6280</v>
      </c>
      <c r="B398">
        <v>24170</v>
      </c>
      <c r="C398" s="8">
        <v>42975</v>
      </c>
      <c r="G398">
        <v>22.8</v>
      </c>
      <c r="H398">
        <v>18</v>
      </c>
      <c r="I398">
        <v>28</v>
      </c>
      <c r="M398">
        <v>0</v>
      </c>
      <c r="N398">
        <v>4</v>
      </c>
      <c r="Q398" s="22"/>
      <c r="W398">
        <v>1792.6</v>
      </c>
    </row>
    <row r="399" spans="1:23" x14ac:dyDescent="0.25">
      <c r="A399">
        <v>6280</v>
      </c>
      <c r="B399">
        <v>24170</v>
      </c>
      <c r="C399" s="8">
        <v>42976</v>
      </c>
      <c r="G399">
        <v>24.5</v>
      </c>
      <c r="H399">
        <v>18.5</v>
      </c>
      <c r="I399">
        <v>30.1</v>
      </c>
      <c r="M399">
        <v>0</v>
      </c>
      <c r="N399">
        <v>4.2</v>
      </c>
      <c r="W399">
        <v>1762.6</v>
      </c>
    </row>
    <row r="400" spans="1:23" x14ac:dyDescent="0.25">
      <c r="A400">
        <v>6280</v>
      </c>
      <c r="B400">
        <v>24170</v>
      </c>
      <c r="C400" s="8">
        <v>42977</v>
      </c>
      <c r="G400">
        <v>18.7</v>
      </c>
      <c r="H400">
        <v>15.8</v>
      </c>
      <c r="I400">
        <v>22.6</v>
      </c>
      <c r="M400">
        <v>3.8</v>
      </c>
      <c r="N400">
        <v>1.2</v>
      </c>
      <c r="Q400" s="22"/>
      <c r="W400">
        <v>535.79999999999995</v>
      </c>
    </row>
    <row r="401" spans="1:23" x14ac:dyDescent="0.25">
      <c r="A401">
        <v>6280</v>
      </c>
      <c r="B401">
        <v>24170</v>
      </c>
      <c r="C401" s="8">
        <v>42978</v>
      </c>
      <c r="G401">
        <v>15.4</v>
      </c>
      <c r="H401">
        <v>12.1</v>
      </c>
      <c r="I401">
        <v>19.399999999999999</v>
      </c>
      <c r="M401">
        <v>0</v>
      </c>
      <c r="N401">
        <v>2.9</v>
      </c>
      <c r="W401">
        <v>1554.9</v>
      </c>
    </row>
  </sheetData>
  <mergeCells count="13">
    <mergeCell ref="Q1:U1"/>
    <mergeCell ref="W1:AB1"/>
    <mergeCell ref="A34:F34"/>
    <mergeCell ref="A358:F358"/>
    <mergeCell ref="F35:F123"/>
    <mergeCell ref="F124:F184"/>
    <mergeCell ref="F185:F248"/>
    <mergeCell ref="F249:F269"/>
    <mergeCell ref="F270:F295"/>
    <mergeCell ref="F296:F311"/>
    <mergeCell ref="F312:F331"/>
    <mergeCell ref="G1:L1"/>
    <mergeCell ref="M1:P1"/>
  </mergeCells>
  <conditionalFormatting sqref="O2">
    <cfRule type="cellIs" dxfId="49" priority="32" operator="lessThan">
      <formula>0</formula>
    </cfRule>
  </conditionalFormatting>
  <conditionalFormatting sqref="O1:O2">
    <cfRule type="cellIs" dxfId="48" priority="31" operator="lessThan">
      <formula>0</formula>
    </cfRule>
  </conditionalFormatting>
  <conditionalFormatting sqref="O1:O2">
    <cfRule type="cellIs" dxfId="47" priority="27" operator="lessThan">
      <formula>0</formula>
    </cfRule>
  </conditionalFormatting>
  <conditionalFormatting sqref="W1:W2">
    <cfRule type="cellIs" dxfId="46" priority="26" operator="lessThan">
      <formula>900</formula>
    </cfRule>
  </conditionalFormatting>
  <conditionalFormatting sqref="O1:O2">
    <cfRule type="cellIs" dxfId="45" priority="22" operator="lessThan">
      <formula>0</formula>
    </cfRule>
  </conditionalFormatting>
  <conditionalFormatting sqref="G35:I357">
    <cfRule type="cellIs" dxfId="44" priority="18" operator="greaterThanOrEqual">
      <formula>25</formula>
    </cfRule>
    <cfRule type="cellIs" priority="19" operator="greaterThanOrEqual">
      <formula>25</formula>
    </cfRule>
    <cfRule type="cellIs" dxfId="43" priority="20" operator="between">
      <formula>0</formula>
      <formula>5</formula>
    </cfRule>
    <cfRule type="cellIs" dxfId="42" priority="21" operator="lessThan">
      <formula>0</formula>
    </cfRule>
  </conditionalFormatting>
  <conditionalFormatting sqref="L36 L44 L48 L46">
    <cfRule type="cellIs" dxfId="41" priority="16" operator="lessThanOrEqual">
      <formula>0</formula>
    </cfRule>
    <cfRule type="cellIs" dxfId="40" priority="17" operator="lessThanOrEqual">
      <formula>5</formula>
    </cfRule>
  </conditionalFormatting>
  <conditionalFormatting sqref="L125 L133 L137 L135">
    <cfRule type="cellIs" dxfId="39" priority="14" operator="lessThanOrEqual">
      <formula>0</formula>
    </cfRule>
    <cfRule type="cellIs" dxfId="38" priority="15" operator="lessThanOrEqual">
      <formula>5</formula>
    </cfRule>
  </conditionalFormatting>
  <conditionalFormatting sqref="L186 L194 L198 L196">
    <cfRule type="cellIs" dxfId="37" priority="12" operator="lessThanOrEqual">
      <formula>0</formula>
    </cfRule>
    <cfRule type="cellIs" dxfId="36" priority="13" operator="lessThanOrEqual">
      <formula>5</formula>
    </cfRule>
  </conditionalFormatting>
  <conditionalFormatting sqref="L250 L262 L260 L258">
    <cfRule type="cellIs" dxfId="35" priority="10" operator="lessThanOrEqual">
      <formula>0</formula>
    </cfRule>
    <cfRule type="cellIs" dxfId="34" priority="11" operator="lessThanOrEqual">
      <formula>5</formula>
    </cfRule>
  </conditionalFormatting>
  <conditionalFormatting sqref="L271 L279 L281 L283">
    <cfRule type="cellIs" dxfId="33" priority="8" operator="lessThanOrEqual">
      <formula>0</formula>
    </cfRule>
    <cfRule type="cellIs" dxfId="32" priority="9" operator="lessThanOrEqual">
      <formula>5</formula>
    </cfRule>
  </conditionalFormatting>
  <conditionalFormatting sqref="L297 L307">
    <cfRule type="cellIs" dxfId="31" priority="6" operator="lessThanOrEqual">
      <formula>0</formula>
    </cfRule>
    <cfRule type="cellIs" dxfId="30" priority="7" operator="lessThanOrEqual">
      <formula>5</formula>
    </cfRule>
  </conditionalFormatting>
  <conditionalFormatting sqref="O3:O357 P36:P38 Q36 Q38 Q40 Q42 Q44 Q46 Q48 Q50 Q52 Q54 Q56 Q58 Q60 Q62 Q64 Q66 Q68 Q70 Q72 Q74 Q76 Q78 Q80 Q82 Q84 Q86 Q88 Q90 Q92 Q94 Q96 Q98 Q100 Q102 Q104 Q106 Q108 Q110 Q112 Q114 Q116 Q118 Q120 Q122 Q126 Q128 Q130 Q132 Q134 Q136 Q138 Q140 Q142 Q144 Q146 Q148 Q150 Q152 Q154 Q156 Q158 Q160 Q162 Q164 Q166 Q168 Q170 Q172 Q174 Q176 Q178 Q180 Q182 Q184 Q186 Q188 Q190 Q192 Q194 Q196 Q198 Q200 Q202 Q204 Q206 Q208 Q210 Q212 Q214 Q216 Q218 Q220 Q222 Q224 Q226 Q228 Q230 Q232 Q234 Q236 Q238 Q240 Q242 Q244 Q246 Q248 Q250 Q252 Q254 Q256 Q258 Q260 Q262 Q264 Q266 Q268 Q270 Q272 Q274 Q276 Q278 Q280 Q282 Q284 Q286 Q288 Q290 Q292 Q294 Q296 Q298 Q300 Q302 Q304 Q306 Q308 Q310 Q312 Q314 Q316 Q318 Q320 Q322 Q324 Q326 Q328 Q330 Q332 Q334 Q336 Q338 Q340 Q342 Q344 Q346 Q348 Q350 Q352 Q354 Q356 Q360 Q362 Q364 Q366 Q368 Q370 Q372 Q374 Q376 Q378 Q380 Q382 Q384 Q386 Q388 Q390 Q392 Q394 Q396 Q398 Q400 Q124:R124 R125:R184">
    <cfRule type="cellIs" dxfId="29" priority="5" operator="lessThan">
      <formula>0</formula>
    </cfRule>
  </conditionalFormatting>
  <conditionalFormatting sqref="T35:T357">
    <cfRule type="cellIs" dxfId="28" priority="4" operator="lessThan">
      <formula>0</formula>
    </cfRule>
  </conditionalFormatting>
  <conditionalFormatting sqref="W35:W357">
    <cfRule type="cellIs" dxfId="27" priority="3" operator="lessThan">
      <formula>900</formula>
    </cfRule>
  </conditionalFormatting>
  <conditionalFormatting sqref="U35:U357">
    <cfRule type="cellIs" dxfId="26" priority="1" operator="equal">
      <formula>0</formula>
    </cfRule>
    <cfRule type="cellIs" dxfId="25" priority="2" operator="lessThan">
      <formula>65.8</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01"/>
  <sheetViews>
    <sheetView tabSelected="1" zoomScale="70" zoomScaleNormal="70" workbookViewId="0">
      <pane xSplit="6" ySplit="2" topLeftCell="G200" activePane="bottomRight" state="frozen"/>
      <selection pane="topRight" activeCell="G1" sqref="G1"/>
      <selection pane="bottomLeft" activeCell="A3" sqref="A3"/>
      <selection pane="bottomRight" activeCell="T239" sqref="T239"/>
    </sheetView>
  </sheetViews>
  <sheetFormatPr baseColWidth="10" defaultRowHeight="15" x14ac:dyDescent="0.25"/>
  <sheetData>
    <row r="1" spans="1:28" x14ac:dyDescent="0.25">
      <c r="G1" s="43" t="s">
        <v>9</v>
      </c>
      <c r="H1" s="43"/>
      <c r="I1" s="43"/>
      <c r="J1" s="43"/>
      <c r="K1" s="43"/>
      <c r="L1" s="43"/>
      <c r="M1" s="43" t="s">
        <v>10</v>
      </c>
      <c r="N1" s="43"/>
      <c r="O1" s="43"/>
      <c r="P1" s="43"/>
      <c r="Q1" s="43" t="s">
        <v>11</v>
      </c>
      <c r="R1" s="43"/>
      <c r="S1" s="43"/>
      <c r="T1" s="43"/>
      <c r="U1" s="43"/>
      <c r="V1" s="37"/>
      <c r="W1" s="43" t="s">
        <v>12</v>
      </c>
      <c r="X1" s="43"/>
      <c r="Y1" s="43"/>
      <c r="Z1" s="43"/>
      <c r="AA1" s="43"/>
      <c r="AB1" s="43"/>
    </row>
    <row r="2" spans="1:28" x14ac:dyDescent="0.25">
      <c r="A2" s="2" t="s">
        <v>0</v>
      </c>
      <c r="B2" s="2" t="s">
        <v>1</v>
      </c>
      <c r="C2" s="2" t="s">
        <v>2</v>
      </c>
      <c r="D2" s="2" t="s">
        <v>13</v>
      </c>
      <c r="E2" s="2" t="s">
        <v>14</v>
      </c>
      <c r="F2" s="2" t="s">
        <v>15</v>
      </c>
      <c r="G2" s="2" t="s">
        <v>4</v>
      </c>
      <c r="H2" s="2" t="s">
        <v>7</v>
      </c>
      <c r="I2" s="2" t="s">
        <v>8</v>
      </c>
      <c r="J2" s="3" t="s">
        <v>16</v>
      </c>
      <c r="K2" s="3" t="s">
        <v>17</v>
      </c>
      <c r="L2" s="4" t="s">
        <v>18</v>
      </c>
      <c r="M2" s="5" t="s">
        <v>3</v>
      </c>
      <c r="N2" s="5" t="s">
        <v>6</v>
      </c>
      <c r="O2" s="6" t="s">
        <v>19</v>
      </c>
      <c r="P2" s="7" t="s">
        <v>20</v>
      </c>
      <c r="Q2" s="7" t="s">
        <v>21</v>
      </c>
      <c r="R2" s="7" t="s">
        <v>22</v>
      </c>
      <c r="S2" s="7" t="s">
        <v>23</v>
      </c>
      <c r="T2" s="6" t="s">
        <v>24</v>
      </c>
      <c r="U2" s="7" t="s">
        <v>25</v>
      </c>
      <c r="V2" s="4" t="s">
        <v>26</v>
      </c>
      <c r="W2" s="5" t="s">
        <v>5</v>
      </c>
      <c r="X2" s="5" t="s">
        <v>27</v>
      </c>
      <c r="Y2" s="5" t="s">
        <v>28</v>
      </c>
      <c r="Z2" s="5" t="s">
        <v>29</v>
      </c>
      <c r="AA2" s="5" t="s">
        <v>30</v>
      </c>
      <c r="AB2" s="5" t="s">
        <v>31</v>
      </c>
    </row>
    <row r="3" spans="1:28" x14ac:dyDescent="0.25">
      <c r="A3">
        <v>6280</v>
      </c>
      <c r="B3">
        <v>24170</v>
      </c>
      <c r="C3" s="8">
        <v>42582</v>
      </c>
      <c r="G3">
        <v>19</v>
      </c>
      <c r="H3">
        <v>14.9</v>
      </c>
      <c r="I3">
        <v>22.6</v>
      </c>
      <c r="M3">
        <v>0</v>
      </c>
      <c r="N3">
        <v>4.0999999999999996</v>
      </c>
      <c r="O3">
        <f>M3-N3</f>
        <v>-4.0999999999999996</v>
      </c>
      <c r="P3">
        <v>0</v>
      </c>
      <c r="W3">
        <v>2137.6</v>
      </c>
    </row>
    <row r="4" spans="1:28" x14ac:dyDescent="0.25">
      <c r="A4">
        <v>6280</v>
      </c>
      <c r="B4">
        <v>24170</v>
      </c>
      <c r="C4" s="8">
        <v>42583</v>
      </c>
      <c r="G4">
        <v>19.100000000000001</v>
      </c>
      <c r="H4">
        <v>14.6</v>
      </c>
      <c r="I4">
        <v>22.9</v>
      </c>
      <c r="M4">
        <v>3.1</v>
      </c>
      <c r="N4">
        <v>3.3</v>
      </c>
      <c r="O4">
        <f t="shared" ref="O4:O33" si="0">M4-N4</f>
        <v>-0.19999999999999973</v>
      </c>
      <c r="P4">
        <v>0</v>
      </c>
      <c r="W4">
        <v>1628.9</v>
      </c>
    </row>
    <row r="5" spans="1:28" x14ac:dyDescent="0.25">
      <c r="A5">
        <v>6280</v>
      </c>
      <c r="B5">
        <v>24170</v>
      </c>
      <c r="C5" s="8">
        <v>42584</v>
      </c>
      <c r="G5">
        <v>18.600000000000001</v>
      </c>
      <c r="H5">
        <v>15.6</v>
      </c>
      <c r="I5">
        <v>20.5</v>
      </c>
      <c r="M5">
        <v>3.3</v>
      </c>
      <c r="N5">
        <v>1.5</v>
      </c>
      <c r="O5">
        <f t="shared" si="0"/>
        <v>1.7999999999999998</v>
      </c>
      <c r="P5">
        <f>O5</f>
        <v>1.7999999999999998</v>
      </c>
      <c r="W5">
        <v>730.7</v>
      </c>
    </row>
    <row r="6" spans="1:28" x14ac:dyDescent="0.25">
      <c r="A6">
        <v>6280</v>
      </c>
      <c r="B6">
        <v>24170</v>
      </c>
      <c r="C6" s="8">
        <v>42585</v>
      </c>
      <c r="G6">
        <v>20.5</v>
      </c>
      <c r="H6">
        <v>18</v>
      </c>
      <c r="I6">
        <v>23.8</v>
      </c>
      <c r="M6">
        <v>0.7</v>
      </c>
      <c r="N6">
        <v>3.3</v>
      </c>
      <c r="O6">
        <f t="shared" si="0"/>
        <v>-2.5999999999999996</v>
      </c>
      <c r="P6">
        <v>0</v>
      </c>
      <c r="W6">
        <v>1423.5</v>
      </c>
    </row>
    <row r="7" spans="1:28" x14ac:dyDescent="0.25">
      <c r="A7">
        <v>6280</v>
      </c>
      <c r="B7">
        <v>24170</v>
      </c>
      <c r="C7" s="8">
        <v>42586</v>
      </c>
      <c r="G7">
        <v>17.7</v>
      </c>
      <c r="H7">
        <v>16.5</v>
      </c>
      <c r="I7">
        <v>19.899999999999999</v>
      </c>
      <c r="M7">
        <v>1.4</v>
      </c>
      <c r="N7">
        <v>1.4</v>
      </c>
      <c r="O7">
        <f t="shared" si="0"/>
        <v>0</v>
      </c>
      <c r="P7">
        <f t="shared" ref="P7" si="1">P6+O7</f>
        <v>0</v>
      </c>
      <c r="W7">
        <v>841.9</v>
      </c>
    </row>
    <row r="8" spans="1:28" x14ac:dyDescent="0.25">
      <c r="A8">
        <v>6280</v>
      </c>
      <c r="B8">
        <v>24170</v>
      </c>
      <c r="C8" s="8">
        <v>42587</v>
      </c>
      <c r="G8">
        <v>18</v>
      </c>
      <c r="H8">
        <v>14.6</v>
      </c>
      <c r="I8">
        <v>22.2</v>
      </c>
      <c r="M8">
        <v>0</v>
      </c>
      <c r="N8">
        <v>4</v>
      </c>
      <c r="O8">
        <f t="shared" si="0"/>
        <v>-4</v>
      </c>
      <c r="P8">
        <v>0</v>
      </c>
      <c r="W8">
        <v>2047.6</v>
      </c>
    </row>
    <row r="9" spans="1:28" x14ac:dyDescent="0.25">
      <c r="A9">
        <v>6280</v>
      </c>
      <c r="B9">
        <v>24170</v>
      </c>
      <c r="C9" s="8">
        <v>42588</v>
      </c>
      <c r="G9">
        <v>18.600000000000001</v>
      </c>
      <c r="H9">
        <v>14.2</v>
      </c>
      <c r="I9">
        <v>23.1</v>
      </c>
      <c r="M9">
        <v>0</v>
      </c>
      <c r="N9">
        <v>4.3</v>
      </c>
      <c r="O9">
        <f t="shared" si="0"/>
        <v>-4.3</v>
      </c>
      <c r="P9">
        <v>0</v>
      </c>
      <c r="W9">
        <v>2240.1999999999998</v>
      </c>
    </row>
    <row r="10" spans="1:28" x14ac:dyDescent="0.25">
      <c r="A10">
        <v>6280</v>
      </c>
      <c r="B10">
        <v>24170</v>
      </c>
      <c r="C10" s="8">
        <v>42589</v>
      </c>
      <c r="G10">
        <v>21.6</v>
      </c>
      <c r="H10">
        <v>14.6</v>
      </c>
      <c r="I10">
        <v>27.9</v>
      </c>
      <c r="M10">
        <v>0</v>
      </c>
      <c r="N10">
        <v>4.7</v>
      </c>
      <c r="O10">
        <f t="shared" si="0"/>
        <v>-4.7</v>
      </c>
      <c r="P10">
        <v>0</v>
      </c>
      <c r="W10">
        <v>2239.5</v>
      </c>
    </row>
    <row r="11" spans="1:28" x14ac:dyDescent="0.25">
      <c r="A11">
        <v>6280</v>
      </c>
      <c r="B11">
        <v>24170</v>
      </c>
      <c r="C11" s="8">
        <v>42590</v>
      </c>
      <c r="G11">
        <v>18.2</v>
      </c>
      <c r="H11">
        <v>16.399999999999999</v>
      </c>
      <c r="I11">
        <v>20.399999999999999</v>
      </c>
      <c r="M11">
        <v>0</v>
      </c>
      <c r="N11">
        <v>2.6</v>
      </c>
      <c r="O11">
        <f t="shared" si="0"/>
        <v>-2.6</v>
      </c>
      <c r="P11">
        <v>0</v>
      </c>
      <c r="W11">
        <v>1097.5</v>
      </c>
    </row>
    <row r="12" spans="1:28" x14ac:dyDescent="0.25">
      <c r="A12">
        <v>6280</v>
      </c>
      <c r="B12">
        <v>24170</v>
      </c>
      <c r="C12" s="8">
        <v>42591</v>
      </c>
      <c r="G12">
        <v>17.2</v>
      </c>
      <c r="H12">
        <v>14</v>
      </c>
      <c r="I12">
        <v>21.2</v>
      </c>
      <c r="M12">
        <v>0</v>
      </c>
      <c r="N12">
        <v>4.9000000000000004</v>
      </c>
      <c r="O12">
        <f t="shared" si="0"/>
        <v>-4.9000000000000004</v>
      </c>
      <c r="P12">
        <v>0</v>
      </c>
      <c r="W12">
        <v>2574</v>
      </c>
    </row>
    <row r="13" spans="1:28" x14ac:dyDescent="0.25">
      <c r="A13">
        <v>6280</v>
      </c>
      <c r="B13">
        <v>24170</v>
      </c>
      <c r="C13" s="8">
        <v>42592</v>
      </c>
      <c r="G13">
        <v>13.8</v>
      </c>
      <c r="H13">
        <v>11.1</v>
      </c>
      <c r="I13">
        <v>17.3</v>
      </c>
      <c r="M13">
        <v>0</v>
      </c>
      <c r="N13">
        <v>2.8</v>
      </c>
      <c r="O13">
        <f t="shared" si="0"/>
        <v>-2.8</v>
      </c>
      <c r="P13">
        <v>0</v>
      </c>
      <c r="W13">
        <v>1484.6</v>
      </c>
    </row>
    <row r="14" spans="1:28" x14ac:dyDescent="0.25">
      <c r="A14">
        <v>6280</v>
      </c>
      <c r="B14">
        <v>24170</v>
      </c>
      <c r="C14" s="8">
        <v>42593</v>
      </c>
      <c r="G14">
        <v>15.9</v>
      </c>
      <c r="H14">
        <v>9.6</v>
      </c>
      <c r="I14">
        <v>21.5</v>
      </c>
      <c r="M14">
        <v>0</v>
      </c>
      <c r="N14">
        <v>2.2999999999999998</v>
      </c>
      <c r="O14">
        <f t="shared" si="0"/>
        <v>-2.2999999999999998</v>
      </c>
      <c r="P14">
        <v>0</v>
      </c>
      <c r="W14">
        <v>1080.0999999999999</v>
      </c>
    </row>
    <row r="15" spans="1:28" x14ac:dyDescent="0.25">
      <c r="A15">
        <v>6280</v>
      </c>
      <c r="B15">
        <v>24170</v>
      </c>
      <c r="C15" s="8">
        <v>42594</v>
      </c>
      <c r="G15">
        <v>20</v>
      </c>
      <c r="H15">
        <v>14.5</v>
      </c>
      <c r="I15">
        <v>25.9</v>
      </c>
      <c r="M15">
        <v>0</v>
      </c>
      <c r="N15">
        <v>3.8</v>
      </c>
      <c r="O15">
        <f t="shared" si="0"/>
        <v>-3.8</v>
      </c>
      <c r="P15">
        <v>0</v>
      </c>
      <c r="W15">
        <v>1777.4</v>
      </c>
    </row>
    <row r="16" spans="1:28" x14ac:dyDescent="0.25">
      <c r="A16">
        <v>6280</v>
      </c>
      <c r="B16">
        <v>24170</v>
      </c>
      <c r="C16" s="8">
        <v>42595</v>
      </c>
      <c r="G16">
        <v>20.9</v>
      </c>
      <c r="H16">
        <v>15.4</v>
      </c>
      <c r="I16">
        <v>26.4</v>
      </c>
      <c r="M16">
        <v>0</v>
      </c>
      <c r="N16">
        <v>4.8</v>
      </c>
      <c r="O16">
        <f t="shared" si="0"/>
        <v>-4.8</v>
      </c>
      <c r="P16">
        <v>0</v>
      </c>
      <c r="W16">
        <v>2241.8000000000002</v>
      </c>
    </row>
    <row r="17" spans="1:28" x14ac:dyDescent="0.25">
      <c r="A17">
        <v>6280</v>
      </c>
      <c r="B17">
        <v>24170</v>
      </c>
      <c r="C17" s="8">
        <v>42596</v>
      </c>
      <c r="G17">
        <v>19.899999999999999</v>
      </c>
      <c r="H17">
        <v>14.1</v>
      </c>
      <c r="I17">
        <v>25.4</v>
      </c>
      <c r="M17">
        <v>0</v>
      </c>
      <c r="N17">
        <v>4.3</v>
      </c>
      <c r="O17">
        <f t="shared" si="0"/>
        <v>-4.3</v>
      </c>
      <c r="P17">
        <v>0</v>
      </c>
      <c r="W17">
        <v>2050.9</v>
      </c>
    </row>
    <row r="18" spans="1:28" x14ac:dyDescent="0.25">
      <c r="A18">
        <v>6280</v>
      </c>
      <c r="B18">
        <v>24170</v>
      </c>
      <c r="C18" s="8">
        <v>42597</v>
      </c>
      <c r="G18">
        <v>20.5</v>
      </c>
      <c r="H18">
        <v>14</v>
      </c>
      <c r="I18">
        <v>26.1</v>
      </c>
      <c r="M18">
        <v>0</v>
      </c>
      <c r="N18">
        <v>5.2</v>
      </c>
      <c r="O18">
        <f t="shared" si="0"/>
        <v>-5.2</v>
      </c>
      <c r="P18">
        <v>0</v>
      </c>
      <c r="W18">
        <v>2481.4</v>
      </c>
    </row>
    <row r="19" spans="1:28" x14ac:dyDescent="0.25">
      <c r="A19">
        <v>6280</v>
      </c>
      <c r="B19">
        <v>24170</v>
      </c>
      <c r="C19" s="8">
        <v>42598</v>
      </c>
      <c r="G19">
        <v>22.2</v>
      </c>
      <c r="H19">
        <v>14.8</v>
      </c>
      <c r="I19">
        <v>27.7</v>
      </c>
      <c r="M19">
        <v>0</v>
      </c>
      <c r="N19">
        <v>4.8</v>
      </c>
      <c r="O19">
        <f t="shared" si="0"/>
        <v>-4.8</v>
      </c>
      <c r="P19">
        <v>0</v>
      </c>
      <c r="W19">
        <v>2304.9</v>
      </c>
    </row>
    <row r="20" spans="1:28" x14ac:dyDescent="0.25">
      <c r="A20">
        <v>6280</v>
      </c>
      <c r="B20">
        <v>24170</v>
      </c>
      <c r="C20" s="8">
        <v>42599</v>
      </c>
      <c r="G20">
        <v>22.7</v>
      </c>
      <c r="H20">
        <v>17.3</v>
      </c>
      <c r="I20">
        <v>27.5</v>
      </c>
      <c r="M20">
        <v>2.9</v>
      </c>
      <c r="N20">
        <v>4.9000000000000004</v>
      </c>
      <c r="O20">
        <f t="shared" si="0"/>
        <v>-2.0000000000000004</v>
      </c>
      <c r="P20">
        <v>0</v>
      </c>
      <c r="W20">
        <v>2263</v>
      </c>
    </row>
    <row r="21" spans="1:28" x14ac:dyDescent="0.25">
      <c r="A21">
        <v>6280</v>
      </c>
      <c r="B21">
        <v>24170</v>
      </c>
      <c r="C21" s="8">
        <v>42600</v>
      </c>
      <c r="G21">
        <v>19.2</v>
      </c>
      <c r="H21">
        <v>17.600000000000001</v>
      </c>
      <c r="I21">
        <v>20.8</v>
      </c>
      <c r="M21">
        <v>1.1000000000000001</v>
      </c>
      <c r="N21">
        <v>1.5</v>
      </c>
      <c r="O21">
        <f t="shared" si="0"/>
        <v>-0.39999999999999991</v>
      </c>
      <c r="P21">
        <v>0</v>
      </c>
      <c r="W21">
        <v>663</v>
      </c>
    </row>
    <row r="22" spans="1:28" x14ac:dyDescent="0.25">
      <c r="A22">
        <v>6280</v>
      </c>
      <c r="B22">
        <v>24170</v>
      </c>
      <c r="C22" s="8">
        <v>42601</v>
      </c>
      <c r="G22">
        <v>18.899999999999999</v>
      </c>
      <c r="H22">
        <v>16.7</v>
      </c>
      <c r="I22">
        <v>22.7</v>
      </c>
      <c r="M22">
        <v>0.8</v>
      </c>
      <c r="N22">
        <v>2.7</v>
      </c>
      <c r="O22">
        <f t="shared" si="0"/>
        <v>-1.9000000000000001</v>
      </c>
      <c r="P22">
        <v>0</v>
      </c>
      <c r="W22">
        <v>1160.8</v>
      </c>
    </row>
    <row r="23" spans="1:28" x14ac:dyDescent="0.25">
      <c r="A23">
        <v>6280</v>
      </c>
      <c r="B23">
        <v>24170</v>
      </c>
      <c r="C23" s="8">
        <v>42602</v>
      </c>
      <c r="G23">
        <v>18.8</v>
      </c>
      <c r="H23">
        <v>14.6</v>
      </c>
      <c r="I23">
        <v>22.7</v>
      </c>
      <c r="M23">
        <v>0</v>
      </c>
      <c r="N23">
        <v>4.4000000000000004</v>
      </c>
      <c r="O23">
        <f t="shared" si="0"/>
        <v>-4.4000000000000004</v>
      </c>
      <c r="P23">
        <v>0</v>
      </c>
      <c r="W23">
        <v>1967.8</v>
      </c>
    </row>
    <row r="24" spans="1:28" x14ac:dyDescent="0.25">
      <c r="A24">
        <v>6280</v>
      </c>
      <c r="B24">
        <v>24170</v>
      </c>
      <c r="C24" s="8">
        <v>42603</v>
      </c>
      <c r="G24">
        <v>16.899999999999999</v>
      </c>
      <c r="H24">
        <v>14.3</v>
      </c>
      <c r="I24">
        <v>20</v>
      </c>
      <c r="M24">
        <v>0.2</v>
      </c>
      <c r="N24">
        <v>2.2999999999999998</v>
      </c>
      <c r="O24">
        <f t="shared" si="0"/>
        <v>-2.0999999999999996</v>
      </c>
      <c r="P24">
        <v>0</v>
      </c>
      <c r="W24">
        <v>1055.9000000000001</v>
      </c>
    </row>
    <row r="25" spans="1:28" x14ac:dyDescent="0.25">
      <c r="A25">
        <v>6280</v>
      </c>
      <c r="B25">
        <v>24170</v>
      </c>
      <c r="C25" s="8">
        <v>42604</v>
      </c>
      <c r="G25">
        <v>21.1</v>
      </c>
      <c r="H25">
        <v>15.3</v>
      </c>
      <c r="I25">
        <v>26.1</v>
      </c>
      <c r="M25">
        <v>0</v>
      </c>
      <c r="N25">
        <v>4.0999999999999996</v>
      </c>
      <c r="O25">
        <f t="shared" si="0"/>
        <v>-4.0999999999999996</v>
      </c>
      <c r="P25">
        <v>0</v>
      </c>
      <c r="W25">
        <v>1893</v>
      </c>
    </row>
    <row r="26" spans="1:28" x14ac:dyDescent="0.25">
      <c r="A26">
        <v>6280</v>
      </c>
      <c r="B26">
        <v>24170</v>
      </c>
      <c r="C26" s="8">
        <v>42605</v>
      </c>
      <c r="G26">
        <v>23.8</v>
      </c>
      <c r="H26">
        <v>18</v>
      </c>
      <c r="I26">
        <v>29.3</v>
      </c>
      <c r="M26">
        <v>0</v>
      </c>
      <c r="N26">
        <v>6.3</v>
      </c>
      <c r="O26">
        <f t="shared" si="0"/>
        <v>-6.3</v>
      </c>
      <c r="P26">
        <v>0</v>
      </c>
      <c r="W26">
        <v>2506.9</v>
      </c>
    </row>
    <row r="27" spans="1:28" x14ac:dyDescent="0.25">
      <c r="A27">
        <v>6280</v>
      </c>
      <c r="B27">
        <v>24170</v>
      </c>
      <c r="C27" s="8">
        <v>42606</v>
      </c>
      <c r="G27">
        <v>26.1</v>
      </c>
      <c r="H27">
        <v>18.899999999999999</v>
      </c>
      <c r="I27">
        <v>32.9</v>
      </c>
      <c r="M27">
        <v>0</v>
      </c>
      <c r="N27">
        <v>6.5</v>
      </c>
      <c r="O27">
        <f t="shared" si="0"/>
        <v>-6.5</v>
      </c>
      <c r="P27">
        <v>0</v>
      </c>
      <c r="W27">
        <v>2491.6999999999998</v>
      </c>
    </row>
    <row r="28" spans="1:28" x14ac:dyDescent="0.25">
      <c r="A28">
        <v>6280</v>
      </c>
      <c r="B28">
        <v>24170</v>
      </c>
      <c r="C28" s="8">
        <v>42607</v>
      </c>
      <c r="G28">
        <v>26.9</v>
      </c>
      <c r="H28">
        <v>20</v>
      </c>
      <c r="I28">
        <v>34.5</v>
      </c>
      <c r="M28">
        <v>0</v>
      </c>
      <c r="N28">
        <v>5.6</v>
      </c>
      <c r="O28">
        <f t="shared" si="0"/>
        <v>-5.6</v>
      </c>
      <c r="P28">
        <v>0</v>
      </c>
      <c r="W28">
        <v>2135.5</v>
      </c>
    </row>
    <row r="29" spans="1:28" x14ac:dyDescent="0.25">
      <c r="A29">
        <v>6280</v>
      </c>
      <c r="B29">
        <v>24170</v>
      </c>
      <c r="C29" s="8">
        <v>42608</v>
      </c>
      <c r="G29">
        <v>26</v>
      </c>
      <c r="H29">
        <v>19.8</v>
      </c>
      <c r="I29">
        <v>32.299999999999997</v>
      </c>
      <c r="M29">
        <v>0</v>
      </c>
      <c r="N29">
        <v>5</v>
      </c>
      <c r="O29">
        <f t="shared" si="0"/>
        <v>-5</v>
      </c>
      <c r="P29">
        <v>0</v>
      </c>
      <c r="W29">
        <v>2109.8000000000002</v>
      </c>
    </row>
    <row r="30" spans="1:28" x14ac:dyDescent="0.25">
      <c r="A30">
        <v>6280</v>
      </c>
      <c r="B30">
        <v>24170</v>
      </c>
      <c r="C30" s="8">
        <v>42609</v>
      </c>
      <c r="G30">
        <v>26.2</v>
      </c>
      <c r="H30">
        <v>19.8</v>
      </c>
      <c r="I30">
        <v>32.1</v>
      </c>
      <c r="M30">
        <v>0</v>
      </c>
      <c r="N30">
        <v>3.8</v>
      </c>
      <c r="O30">
        <f t="shared" si="0"/>
        <v>-3.8</v>
      </c>
      <c r="P30">
        <v>0</v>
      </c>
      <c r="W30">
        <v>1469.1</v>
      </c>
    </row>
    <row r="31" spans="1:28" x14ac:dyDescent="0.25">
      <c r="A31">
        <v>6280</v>
      </c>
      <c r="B31">
        <v>24170</v>
      </c>
      <c r="C31" s="8">
        <v>42610</v>
      </c>
      <c r="G31">
        <v>22.6</v>
      </c>
      <c r="H31">
        <v>20</v>
      </c>
      <c r="I31">
        <v>25.5</v>
      </c>
      <c r="M31">
        <v>0</v>
      </c>
      <c r="N31">
        <v>4.0999999999999996</v>
      </c>
      <c r="O31">
        <f t="shared" si="0"/>
        <v>-4.0999999999999996</v>
      </c>
      <c r="P31">
        <v>0</v>
      </c>
      <c r="W31">
        <v>1603.1</v>
      </c>
    </row>
    <row r="32" spans="1:28" x14ac:dyDescent="0.25">
      <c r="A32">
        <v>6280</v>
      </c>
      <c r="B32">
        <v>24170</v>
      </c>
      <c r="C32" s="8">
        <v>42611</v>
      </c>
      <c r="G32">
        <v>18.7</v>
      </c>
      <c r="H32">
        <v>18</v>
      </c>
      <c r="I32">
        <v>19.7</v>
      </c>
      <c r="M32">
        <v>1.1000000000000001</v>
      </c>
      <c r="N32">
        <v>2.4</v>
      </c>
      <c r="O32">
        <f t="shared" si="0"/>
        <v>-1.2999999999999998</v>
      </c>
      <c r="P32">
        <v>0</v>
      </c>
      <c r="W32">
        <v>1447.4</v>
      </c>
      <c r="AB32">
        <v>197.4</v>
      </c>
    </row>
    <row r="33" spans="1:28" x14ac:dyDescent="0.25">
      <c r="A33">
        <v>6280</v>
      </c>
      <c r="B33">
        <v>24170</v>
      </c>
      <c r="C33" s="8">
        <v>42612</v>
      </c>
      <c r="G33">
        <v>19.600000000000001</v>
      </c>
      <c r="H33">
        <v>13.9</v>
      </c>
      <c r="I33">
        <v>24.6</v>
      </c>
      <c r="M33">
        <v>0</v>
      </c>
      <c r="N33">
        <v>4.3</v>
      </c>
      <c r="O33">
        <f t="shared" si="0"/>
        <v>-4.3</v>
      </c>
      <c r="P33">
        <v>0</v>
      </c>
      <c r="W33">
        <v>2121.6999999999998</v>
      </c>
    </row>
    <row r="34" spans="1:28" s="10" customFormat="1" x14ac:dyDescent="0.25">
      <c r="A34" s="44" t="s">
        <v>32</v>
      </c>
      <c r="B34" s="44"/>
      <c r="C34" s="44"/>
      <c r="D34" s="44"/>
      <c r="E34" s="44"/>
      <c r="F34" s="44"/>
    </row>
    <row r="35" spans="1:28" x14ac:dyDescent="0.25">
      <c r="A35">
        <v>6280</v>
      </c>
      <c r="B35">
        <v>24170</v>
      </c>
      <c r="C35" s="8">
        <v>42613</v>
      </c>
      <c r="F35" s="46" t="s">
        <v>46</v>
      </c>
      <c r="G35">
        <v>20.3</v>
      </c>
      <c r="H35">
        <v>14.4</v>
      </c>
      <c r="I35">
        <v>26.8</v>
      </c>
      <c r="J35">
        <f>G35</f>
        <v>20.3</v>
      </c>
      <c r="L35" s="11" t="s">
        <v>39</v>
      </c>
      <c r="M35">
        <v>0</v>
      </c>
      <c r="N35">
        <v>4.8</v>
      </c>
      <c r="O35">
        <f>M35-N35</f>
        <v>-4.8</v>
      </c>
      <c r="P35">
        <v>0</v>
      </c>
      <c r="Q35">
        <v>1</v>
      </c>
      <c r="R35">
        <v>0.35</v>
      </c>
      <c r="S35" s="23">
        <f>R35*N35</f>
        <v>1.68</v>
      </c>
      <c r="T35" s="23">
        <f>M35-S35</f>
        <v>-1.68</v>
      </c>
      <c r="U35">
        <v>0</v>
      </c>
      <c r="V35" s="24" t="s">
        <v>53</v>
      </c>
      <c r="W35">
        <v>2098.1999999999998</v>
      </c>
      <c r="Y35">
        <f>W35</f>
        <v>2098.1999999999998</v>
      </c>
      <c r="AA35">
        <v>13.244473850309104</v>
      </c>
      <c r="AB35" s="24" t="s">
        <v>58</v>
      </c>
    </row>
    <row r="36" spans="1:28" x14ac:dyDescent="0.25">
      <c r="A36">
        <v>6280</v>
      </c>
      <c r="B36">
        <v>24170</v>
      </c>
      <c r="C36" s="8">
        <v>42614</v>
      </c>
      <c r="F36" s="46"/>
      <c r="G36">
        <v>19</v>
      </c>
      <c r="H36">
        <v>13.4</v>
      </c>
      <c r="I36">
        <v>24.8</v>
      </c>
      <c r="J36">
        <f>J35+G36</f>
        <v>39.299999999999997</v>
      </c>
      <c r="L36" s="12">
        <v>1079.5999999999999</v>
      </c>
      <c r="M36">
        <v>0</v>
      </c>
      <c r="N36">
        <v>2.9</v>
      </c>
      <c r="O36">
        <f t="shared" ref="O36:O99" si="2">M36-N36</f>
        <v>-2.9</v>
      </c>
      <c r="P36" s="22">
        <v>0</v>
      </c>
      <c r="Q36" s="22">
        <v>2</v>
      </c>
      <c r="R36">
        <v>0.35</v>
      </c>
      <c r="S36" s="23">
        <f t="shared" ref="S36:S99" si="3">R36*N36</f>
        <v>1.0149999999999999</v>
      </c>
      <c r="T36" s="23">
        <f t="shared" ref="T36:T99" si="4">M36-S36</f>
        <v>-1.0149999999999999</v>
      </c>
      <c r="U36">
        <v>0</v>
      </c>
      <c r="V36">
        <v>6</v>
      </c>
      <c r="W36">
        <v>1507.4</v>
      </c>
      <c r="Y36">
        <f>Y35+W36</f>
        <v>3605.6</v>
      </c>
      <c r="AA36">
        <v>13.18490611695678</v>
      </c>
      <c r="AB36">
        <v>66885.100000000006</v>
      </c>
    </row>
    <row r="37" spans="1:28" x14ac:dyDescent="0.25">
      <c r="A37">
        <v>6280</v>
      </c>
      <c r="B37">
        <v>24170</v>
      </c>
      <c r="C37" s="8">
        <v>42615</v>
      </c>
      <c r="F37" s="46"/>
      <c r="G37">
        <v>20.399999999999999</v>
      </c>
      <c r="H37">
        <v>13.7</v>
      </c>
      <c r="I37">
        <v>27.6</v>
      </c>
      <c r="J37">
        <f t="shared" ref="J37:J100" si="5">J36+G37</f>
        <v>59.699999999999996</v>
      </c>
      <c r="L37" s="11" t="s">
        <v>40</v>
      </c>
      <c r="M37">
        <v>0</v>
      </c>
      <c r="N37">
        <v>2.7</v>
      </c>
      <c r="O37">
        <f t="shared" si="2"/>
        <v>-2.7</v>
      </c>
      <c r="P37" s="22">
        <v>0</v>
      </c>
      <c r="Q37">
        <v>3</v>
      </c>
      <c r="R37">
        <v>0.35</v>
      </c>
      <c r="S37" s="23">
        <f t="shared" si="3"/>
        <v>0.94499999999999995</v>
      </c>
      <c r="T37" s="23">
        <f t="shared" si="4"/>
        <v>-0.94499999999999995</v>
      </c>
      <c r="U37">
        <v>0</v>
      </c>
      <c r="V37" s="24" t="s">
        <v>54</v>
      </c>
      <c r="W37">
        <v>1279.2</v>
      </c>
      <c r="Y37">
        <f t="shared" ref="Y37:Y100" si="6">Y36+W37</f>
        <v>4884.8</v>
      </c>
      <c r="AA37">
        <v>13.125160577386858</v>
      </c>
      <c r="AB37" s="24" t="s">
        <v>59</v>
      </c>
    </row>
    <row r="38" spans="1:28" x14ac:dyDescent="0.25">
      <c r="A38">
        <v>6280</v>
      </c>
      <c r="B38">
        <v>24170</v>
      </c>
      <c r="C38" s="8">
        <v>42616</v>
      </c>
      <c r="F38" s="46"/>
      <c r="G38">
        <v>20.100000000000001</v>
      </c>
      <c r="H38">
        <v>13.8</v>
      </c>
      <c r="I38">
        <v>24.7</v>
      </c>
      <c r="J38">
        <f t="shared" si="5"/>
        <v>79.8</v>
      </c>
      <c r="L38" s="12">
        <f>AVERAGE(G35:G123)</f>
        <v>12.130337078651689</v>
      </c>
      <c r="M38">
        <v>0.2</v>
      </c>
      <c r="N38">
        <v>3</v>
      </c>
      <c r="O38">
        <f t="shared" si="2"/>
        <v>-2.8</v>
      </c>
      <c r="P38" s="22">
        <v>0</v>
      </c>
      <c r="Q38" s="22">
        <v>4</v>
      </c>
      <c r="R38">
        <v>0.35</v>
      </c>
      <c r="S38" s="23">
        <f t="shared" si="3"/>
        <v>1.0499999999999998</v>
      </c>
      <c r="T38" s="23">
        <f t="shared" si="4"/>
        <v>-0.84999999999999987</v>
      </c>
      <c r="U38">
        <v>0</v>
      </c>
      <c r="V38">
        <v>82</v>
      </c>
      <c r="W38">
        <v>1626</v>
      </c>
      <c r="Y38">
        <f t="shared" si="6"/>
        <v>6510.8</v>
      </c>
      <c r="AA38">
        <v>13.065248148333348</v>
      </c>
      <c r="AB38">
        <f>(AB36/100)/L36</f>
        <v>0.61953593923675454</v>
      </c>
    </row>
    <row r="39" spans="1:28" x14ac:dyDescent="0.25">
      <c r="A39">
        <v>6280</v>
      </c>
      <c r="B39">
        <v>24170</v>
      </c>
      <c r="C39" s="8">
        <v>42617</v>
      </c>
      <c r="F39" s="46"/>
      <c r="G39">
        <v>18.899999999999999</v>
      </c>
      <c r="H39">
        <v>17</v>
      </c>
      <c r="I39">
        <v>21.7</v>
      </c>
      <c r="J39">
        <f t="shared" si="5"/>
        <v>98.699999999999989</v>
      </c>
      <c r="L39" s="11" t="s">
        <v>41</v>
      </c>
      <c r="M39">
        <v>2.7</v>
      </c>
      <c r="N39">
        <v>1.2</v>
      </c>
      <c r="O39">
        <f t="shared" si="2"/>
        <v>1.5000000000000002</v>
      </c>
      <c r="P39">
        <f>O39</f>
        <v>1.5000000000000002</v>
      </c>
      <c r="Q39">
        <v>5</v>
      </c>
      <c r="R39">
        <v>0.35</v>
      </c>
      <c r="S39" s="23">
        <f t="shared" si="3"/>
        <v>0.42</v>
      </c>
      <c r="T39" s="23">
        <f t="shared" si="4"/>
        <v>2.2800000000000002</v>
      </c>
      <c r="U39" s="23">
        <f>T39</f>
        <v>2.2800000000000002</v>
      </c>
      <c r="V39" s="24" t="s">
        <v>55</v>
      </c>
      <c r="W39">
        <v>525.5</v>
      </c>
      <c r="Y39">
        <f t="shared" si="6"/>
        <v>7036.3</v>
      </c>
      <c r="AA39">
        <v>13.005179467109548</v>
      </c>
      <c r="AB39" s="24" t="s">
        <v>60</v>
      </c>
    </row>
    <row r="40" spans="1:28" x14ac:dyDescent="0.25">
      <c r="A40">
        <v>6280</v>
      </c>
      <c r="B40">
        <v>24170</v>
      </c>
      <c r="C40" s="8">
        <v>42618</v>
      </c>
      <c r="F40" s="46"/>
      <c r="G40">
        <v>17</v>
      </c>
      <c r="H40">
        <v>15.1</v>
      </c>
      <c r="I40">
        <v>18.5</v>
      </c>
      <c r="J40">
        <f t="shared" si="5"/>
        <v>115.69999999999999</v>
      </c>
      <c r="L40" s="13">
        <f>MIN(H35:H123)</f>
        <v>-1.9</v>
      </c>
      <c r="M40">
        <v>4.7</v>
      </c>
      <c r="N40">
        <v>1</v>
      </c>
      <c r="O40">
        <f t="shared" si="2"/>
        <v>3.7</v>
      </c>
      <c r="P40">
        <f>P39+O40</f>
        <v>5.2</v>
      </c>
      <c r="Q40" s="22">
        <v>6</v>
      </c>
      <c r="R40">
        <v>0.35</v>
      </c>
      <c r="S40" s="23">
        <f t="shared" si="3"/>
        <v>0.35</v>
      </c>
      <c r="T40" s="23">
        <f t="shared" si="4"/>
        <v>4.3500000000000005</v>
      </c>
      <c r="U40" s="23">
        <f>MIN(U39+T40,197.4)</f>
        <v>6.6300000000000008</v>
      </c>
      <c r="V40">
        <v>0</v>
      </c>
      <c r="W40">
        <v>450.2</v>
      </c>
      <c r="Y40">
        <f t="shared" si="6"/>
        <v>7486.5</v>
      </c>
      <c r="AA40">
        <v>12.944964905383465</v>
      </c>
      <c r="AB40">
        <v>57</v>
      </c>
    </row>
    <row r="41" spans="1:28" x14ac:dyDescent="0.25">
      <c r="A41">
        <v>6280</v>
      </c>
      <c r="B41">
        <v>24170</v>
      </c>
      <c r="C41" s="8">
        <v>42619</v>
      </c>
      <c r="F41" s="46"/>
      <c r="G41">
        <v>19.7</v>
      </c>
      <c r="H41">
        <v>18.3</v>
      </c>
      <c r="I41">
        <v>22.2</v>
      </c>
      <c r="J41">
        <f t="shared" si="5"/>
        <v>135.39999999999998</v>
      </c>
      <c r="L41" s="11" t="s">
        <v>42</v>
      </c>
      <c r="M41">
        <v>0.2</v>
      </c>
      <c r="N41">
        <v>1.4</v>
      </c>
      <c r="O41">
        <f t="shared" si="2"/>
        <v>-1.2</v>
      </c>
      <c r="P41">
        <f t="shared" ref="P41:P104" si="7">P40+O41</f>
        <v>4</v>
      </c>
      <c r="Q41">
        <v>7</v>
      </c>
      <c r="R41">
        <v>0.35</v>
      </c>
      <c r="S41" s="23">
        <f t="shared" si="3"/>
        <v>0.48999999999999994</v>
      </c>
      <c r="T41" s="23">
        <f t="shared" si="4"/>
        <v>-0.28999999999999992</v>
      </c>
      <c r="U41" s="23">
        <f t="shared" ref="U41:U104" si="8">MIN(U40+T41,197.4)</f>
        <v>6.3400000000000007</v>
      </c>
      <c r="V41" s="24" t="s">
        <v>56</v>
      </c>
      <c r="W41">
        <v>510.3</v>
      </c>
      <c r="Y41">
        <f t="shared" si="6"/>
        <v>7996.8</v>
      </c>
      <c r="AA41">
        <v>12.884614583213251</v>
      </c>
    </row>
    <row r="42" spans="1:28" x14ac:dyDescent="0.25">
      <c r="A42">
        <v>6280</v>
      </c>
      <c r="B42">
        <v>24170</v>
      </c>
      <c r="C42" s="8">
        <v>42620</v>
      </c>
      <c r="F42" s="46"/>
      <c r="G42">
        <v>19.7</v>
      </c>
      <c r="H42">
        <v>13.5</v>
      </c>
      <c r="I42">
        <v>26.2</v>
      </c>
      <c r="J42">
        <f t="shared" si="5"/>
        <v>155.09999999999997</v>
      </c>
      <c r="L42" s="12">
        <f>MAX(I35:I123)</f>
        <v>29.8</v>
      </c>
      <c r="M42">
        <v>0</v>
      </c>
      <c r="N42">
        <v>4.5999999999999996</v>
      </c>
      <c r="O42">
        <f t="shared" si="2"/>
        <v>-4.5999999999999996</v>
      </c>
      <c r="P42">
        <v>0</v>
      </c>
      <c r="Q42" s="22">
        <v>8</v>
      </c>
      <c r="R42">
        <v>0.35</v>
      </c>
      <c r="S42" s="23">
        <f t="shared" si="3"/>
        <v>1.6099999999999999</v>
      </c>
      <c r="T42" s="23">
        <f t="shared" si="4"/>
        <v>-1.6099999999999999</v>
      </c>
      <c r="U42" s="23">
        <f t="shared" si="8"/>
        <v>4.7300000000000004</v>
      </c>
      <c r="V42" s="23">
        <f>MAX(U35:U123)</f>
        <v>65.811666666666653</v>
      </c>
      <c r="W42">
        <v>1998</v>
      </c>
      <c r="Y42">
        <f t="shared" si="6"/>
        <v>9994.7999999999993</v>
      </c>
      <c r="AA42">
        <v>12.824138383316749</v>
      </c>
    </row>
    <row r="43" spans="1:28" x14ac:dyDescent="0.25">
      <c r="A43">
        <v>6280</v>
      </c>
      <c r="B43">
        <v>24170</v>
      </c>
      <c r="C43" s="8">
        <v>42621</v>
      </c>
      <c r="F43" s="46"/>
      <c r="G43">
        <v>18.2</v>
      </c>
      <c r="H43">
        <v>14.2</v>
      </c>
      <c r="I43">
        <v>24.4</v>
      </c>
      <c r="J43">
        <f t="shared" si="5"/>
        <v>173.29999999999995</v>
      </c>
      <c r="L43" s="11" t="s">
        <v>43</v>
      </c>
      <c r="M43">
        <v>0</v>
      </c>
      <c r="N43">
        <v>4</v>
      </c>
      <c r="O43">
        <f t="shared" si="2"/>
        <v>-4</v>
      </c>
      <c r="P43">
        <v>0</v>
      </c>
      <c r="Q43">
        <v>9</v>
      </c>
      <c r="R43">
        <v>0.35</v>
      </c>
      <c r="S43" s="23">
        <f t="shared" si="3"/>
        <v>1.4</v>
      </c>
      <c r="T43" s="23">
        <f t="shared" si="4"/>
        <v>-1.4</v>
      </c>
      <c r="U43" s="23">
        <f t="shared" si="8"/>
        <v>3.3300000000000005</v>
      </c>
      <c r="V43" s="24" t="s">
        <v>57</v>
      </c>
      <c r="W43">
        <v>1770.9</v>
      </c>
      <c r="Y43">
        <f t="shared" si="6"/>
        <v>11765.699999999999</v>
      </c>
      <c r="AA43">
        <v>12.76354596555124</v>
      </c>
    </row>
    <row r="44" spans="1:28" x14ac:dyDescent="0.25">
      <c r="A44">
        <v>6280</v>
      </c>
      <c r="B44">
        <v>24170</v>
      </c>
      <c r="C44" s="8">
        <v>42622</v>
      </c>
      <c r="F44" s="46"/>
      <c r="G44">
        <v>17.600000000000001</v>
      </c>
      <c r="H44">
        <v>11</v>
      </c>
      <c r="I44">
        <v>24.5</v>
      </c>
      <c r="J44">
        <f t="shared" si="5"/>
        <v>190.89999999999995</v>
      </c>
      <c r="L44" s="12">
        <v>7</v>
      </c>
      <c r="M44">
        <v>0</v>
      </c>
      <c r="N44">
        <v>4.0999999999999996</v>
      </c>
      <c r="O44">
        <f t="shared" si="2"/>
        <v>-4.0999999999999996</v>
      </c>
      <c r="P44">
        <v>0</v>
      </c>
      <c r="Q44" s="22">
        <v>10</v>
      </c>
      <c r="R44">
        <v>0.35</v>
      </c>
      <c r="S44" s="23">
        <f t="shared" si="3"/>
        <v>1.4349999999999998</v>
      </c>
      <c r="T44" s="23">
        <f t="shared" si="4"/>
        <v>-1.4349999999999998</v>
      </c>
      <c r="U44" s="23">
        <f t="shared" si="8"/>
        <v>1.8950000000000007</v>
      </c>
      <c r="V44" s="23">
        <f>AVERAGE(U35:U123)</f>
        <v>21.676788389513106</v>
      </c>
      <c r="W44">
        <v>1933</v>
      </c>
      <c r="Y44">
        <f t="shared" si="6"/>
        <v>13698.699999999999</v>
      </c>
      <c r="AA44">
        <v>12.702846781581259</v>
      </c>
    </row>
    <row r="45" spans="1:28" x14ac:dyDescent="0.25">
      <c r="A45">
        <v>6280</v>
      </c>
      <c r="B45">
        <v>24170</v>
      </c>
      <c r="C45" s="8">
        <v>42623</v>
      </c>
      <c r="D45" t="s">
        <v>33</v>
      </c>
      <c r="F45" s="46"/>
      <c r="G45">
        <v>19</v>
      </c>
      <c r="H45">
        <v>11.6</v>
      </c>
      <c r="I45">
        <v>25.9</v>
      </c>
      <c r="J45">
        <f t="shared" si="5"/>
        <v>209.89999999999995</v>
      </c>
      <c r="L45" s="11" t="s">
        <v>44</v>
      </c>
      <c r="M45">
        <v>0</v>
      </c>
      <c r="N45">
        <v>3</v>
      </c>
      <c r="O45">
        <f t="shared" si="2"/>
        <v>-3</v>
      </c>
      <c r="P45">
        <v>0</v>
      </c>
      <c r="Q45">
        <v>11</v>
      </c>
      <c r="R45">
        <v>0.35</v>
      </c>
      <c r="S45" s="23">
        <f t="shared" si="3"/>
        <v>1.0499999999999998</v>
      </c>
      <c r="T45" s="23">
        <f t="shared" si="4"/>
        <v>-1.0499999999999998</v>
      </c>
      <c r="U45" s="23">
        <f t="shared" si="8"/>
        <v>0.84500000000000086</v>
      </c>
      <c r="W45">
        <v>1389.7</v>
      </c>
      <c r="Y45">
        <f t="shared" si="6"/>
        <v>15088.4</v>
      </c>
      <c r="AA45">
        <v>12.642050089714084</v>
      </c>
    </row>
    <row r="46" spans="1:28" x14ac:dyDescent="0.25">
      <c r="A46">
        <v>6280</v>
      </c>
      <c r="B46">
        <v>24170</v>
      </c>
      <c r="C46" s="8">
        <v>42624</v>
      </c>
      <c r="F46" s="46"/>
      <c r="G46">
        <v>20</v>
      </c>
      <c r="H46">
        <v>17.8</v>
      </c>
      <c r="I46">
        <v>22.7</v>
      </c>
      <c r="J46">
        <f t="shared" si="5"/>
        <v>229.89999999999995</v>
      </c>
      <c r="L46" s="12">
        <v>15</v>
      </c>
      <c r="M46">
        <v>0</v>
      </c>
      <c r="N46">
        <v>1.3</v>
      </c>
      <c r="O46">
        <f t="shared" si="2"/>
        <v>-1.3</v>
      </c>
      <c r="P46">
        <v>0</v>
      </c>
      <c r="Q46" s="22">
        <v>12</v>
      </c>
      <c r="R46">
        <f>0.35+((Q46-11)/78)*(1-0.35)</f>
        <v>0.35833333333333334</v>
      </c>
      <c r="S46" s="23">
        <f t="shared" si="3"/>
        <v>0.46583333333333338</v>
      </c>
      <c r="T46" s="23">
        <f t="shared" si="4"/>
        <v>-0.46583333333333338</v>
      </c>
      <c r="U46" s="23">
        <f t="shared" si="8"/>
        <v>0.37916666666666748</v>
      </c>
      <c r="V46">
        <f>(V44*100)/197.4</f>
        <v>10.981149133491948</v>
      </c>
      <c r="W46">
        <v>689</v>
      </c>
      <c r="Y46">
        <f t="shared" si="6"/>
        <v>15777.4</v>
      </c>
      <c r="AA46">
        <v>12.581164969884062</v>
      </c>
    </row>
    <row r="47" spans="1:28" x14ac:dyDescent="0.25">
      <c r="A47">
        <v>6280</v>
      </c>
      <c r="B47">
        <v>24170</v>
      </c>
      <c r="C47" s="8">
        <v>42625</v>
      </c>
      <c r="F47" s="46"/>
      <c r="G47">
        <v>22.8</v>
      </c>
      <c r="H47">
        <v>15.3</v>
      </c>
      <c r="I47">
        <v>29.8</v>
      </c>
      <c r="J47">
        <f t="shared" si="5"/>
        <v>252.69999999999996</v>
      </c>
      <c r="L47" s="11" t="s">
        <v>45</v>
      </c>
      <c r="M47">
        <v>0</v>
      </c>
      <c r="N47">
        <v>3.3</v>
      </c>
      <c r="O47">
        <f t="shared" si="2"/>
        <v>-3.3</v>
      </c>
      <c r="P47">
        <v>0</v>
      </c>
      <c r="Q47">
        <v>13</v>
      </c>
      <c r="R47">
        <f t="shared" ref="R47:R110" si="9">0.35+((Q47-11)/78)*(1-0.35)</f>
        <v>0.36666666666666664</v>
      </c>
      <c r="S47" s="23">
        <f t="shared" si="3"/>
        <v>1.2099999999999997</v>
      </c>
      <c r="T47" s="23">
        <f t="shared" si="4"/>
        <v>-1.2099999999999997</v>
      </c>
      <c r="U47" s="23">
        <v>0</v>
      </c>
      <c r="W47">
        <v>1363.9</v>
      </c>
      <c r="Y47">
        <f t="shared" si="6"/>
        <v>17141.3</v>
      </c>
      <c r="AA47">
        <v>12.520200338768458</v>
      </c>
    </row>
    <row r="48" spans="1:28" x14ac:dyDescent="0.25">
      <c r="A48">
        <v>6280</v>
      </c>
      <c r="B48">
        <v>24170</v>
      </c>
      <c r="C48" s="8">
        <v>42626</v>
      </c>
      <c r="F48" s="46"/>
      <c r="G48">
        <v>25.2</v>
      </c>
      <c r="H48">
        <v>21.4</v>
      </c>
      <c r="I48">
        <v>29.8</v>
      </c>
      <c r="J48">
        <f t="shared" si="5"/>
        <v>277.89999999999998</v>
      </c>
      <c r="L48" s="12">
        <v>2</v>
      </c>
      <c r="M48">
        <v>0</v>
      </c>
      <c r="N48">
        <v>3</v>
      </c>
      <c r="O48">
        <f t="shared" si="2"/>
        <v>-3</v>
      </c>
      <c r="P48">
        <v>0</v>
      </c>
      <c r="Q48" s="22">
        <v>14</v>
      </c>
      <c r="R48">
        <f t="shared" si="9"/>
        <v>0.375</v>
      </c>
      <c r="S48" s="23">
        <f t="shared" si="3"/>
        <v>1.125</v>
      </c>
      <c r="T48" s="23">
        <f t="shared" si="4"/>
        <v>-1.125</v>
      </c>
      <c r="U48" s="23">
        <v>0</v>
      </c>
      <c r="W48">
        <v>904.5</v>
      </c>
      <c r="Y48">
        <f t="shared" si="6"/>
        <v>18045.8</v>
      </c>
      <c r="AA48">
        <v>12.459164965018829</v>
      </c>
    </row>
    <row r="49" spans="1:27" x14ac:dyDescent="0.25">
      <c r="A49">
        <v>6280</v>
      </c>
      <c r="B49">
        <v>24170</v>
      </c>
      <c r="C49" s="8">
        <v>42627</v>
      </c>
      <c r="F49" s="46"/>
      <c r="G49">
        <v>22.1</v>
      </c>
      <c r="H49">
        <v>17.899999999999999</v>
      </c>
      <c r="I49">
        <v>26.4</v>
      </c>
      <c r="J49">
        <f t="shared" si="5"/>
        <v>300</v>
      </c>
      <c r="M49">
        <v>8.1999999999999993</v>
      </c>
      <c r="N49">
        <v>3</v>
      </c>
      <c r="O49">
        <f t="shared" si="2"/>
        <v>5.1999999999999993</v>
      </c>
      <c r="P49">
        <f t="shared" si="7"/>
        <v>5.1999999999999993</v>
      </c>
      <c r="Q49">
        <v>15</v>
      </c>
      <c r="R49">
        <f t="shared" si="9"/>
        <v>0.3833333333333333</v>
      </c>
      <c r="S49" s="23">
        <f t="shared" si="3"/>
        <v>1.1499999999999999</v>
      </c>
      <c r="T49" s="23">
        <f t="shared" si="4"/>
        <v>7.0499999999999989</v>
      </c>
      <c r="U49" s="23">
        <f t="shared" si="8"/>
        <v>7.0499999999999989</v>
      </c>
      <c r="W49">
        <v>1485.2</v>
      </c>
      <c r="Y49">
        <f t="shared" si="6"/>
        <v>19531</v>
      </c>
      <c r="AA49">
        <v>12.398067484593184</v>
      </c>
    </row>
    <row r="50" spans="1:27" x14ac:dyDescent="0.25">
      <c r="A50">
        <v>6280</v>
      </c>
      <c r="B50">
        <v>24170</v>
      </c>
      <c r="C50" s="8">
        <v>42628</v>
      </c>
      <c r="F50" s="46"/>
      <c r="G50">
        <v>17.3</v>
      </c>
      <c r="H50">
        <v>16.7</v>
      </c>
      <c r="I50">
        <v>18.600000000000001</v>
      </c>
      <c r="J50">
        <f t="shared" si="5"/>
        <v>317.3</v>
      </c>
      <c r="M50">
        <v>3.6</v>
      </c>
      <c r="N50">
        <v>1.3</v>
      </c>
      <c r="O50">
        <f t="shared" si="2"/>
        <v>2.2999999999999998</v>
      </c>
      <c r="P50">
        <f t="shared" si="7"/>
        <v>7.4999999999999991</v>
      </c>
      <c r="Q50" s="22">
        <v>16</v>
      </c>
      <c r="R50">
        <f t="shared" si="9"/>
        <v>0.39166666666666666</v>
      </c>
      <c r="S50" s="23">
        <f t="shared" si="3"/>
        <v>0.50916666666666666</v>
      </c>
      <c r="T50" s="23">
        <f t="shared" si="4"/>
        <v>3.0908333333333333</v>
      </c>
      <c r="U50" s="23">
        <f t="shared" si="8"/>
        <v>10.140833333333333</v>
      </c>
      <c r="W50">
        <v>549.5</v>
      </c>
      <c r="Y50">
        <f t="shared" si="6"/>
        <v>20080.5</v>
      </c>
      <c r="AA50">
        <v>12.33691641617532</v>
      </c>
    </row>
    <row r="51" spans="1:27" x14ac:dyDescent="0.25">
      <c r="A51">
        <v>6280</v>
      </c>
      <c r="B51">
        <v>24170</v>
      </c>
      <c r="C51" s="8">
        <v>42629</v>
      </c>
      <c r="F51" s="46"/>
      <c r="G51">
        <v>16</v>
      </c>
      <c r="H51">
        <v>13.2</v>
      </c>
      <c r="I51">
        <v>21</v>
      </c>
      <c r="J51">
        <f t="shared" si="5"/>
        <v>333.3</v>
      </c>
      <c r="M51">
        <v>9.5</v>
      </c>
      <c r="N51">
        <v>2.4</v>
      </c>
      <c r="O51">
        <f t="shared" si="2"/>
        <v>7.1</v>
      </c>
      <c r="P51">
        <f t="shared" si="7"/>
        <v>14.599999999999998</v>
      </c>
      <c r="Q51">
        <v>17</v>
      </c>
      <c r="R51">
        <f t="shared" si="9"/>
        <v>0.39999999999999997</v>
      </c>
      <c r="S51" s="23">
        <f t="shared" si="3"/>
        <v>0.95999999999999985</v>
      </c>
      <c r="T51" s="23">
        <f t="shared" si="4"/>
        <v>8.5400000000000009</v>
      </c>
      <c r="U51" s="23">
        <f t="shared" si="8"/>
        <v>18.680833333333332</v>
      </c>
      <c r="W51">
        <v>916.7</v>
      </c>
      <c r="Y51">
        <f t="shared" si="6"/>
        <v>20997.200000000001</v>
      </c>
      <c r="AA51">
        <v>12.27572017666871</v>
      </c>
    </row>
    <row r="52" spans="1:27" x14ac:dyDescent="0.25">
      <c r="A52">
        <v>6280</v>
      </c>
      <c r="B52">
        <v>24170</v>
      </c>
      <c r="C52" s="8">
        <v>42630</v>
      </c>
      <c r="F52" s="46"/>
      <c r="G52">
        <v>13.9</v>
      </c>
      <c r="H52">
        <v>13.1</v>
      </c>
      <c r="I52">
        <v>15.6</v>
      </c>
      <c r="J52">
        <f t="shared" si="5"/>
        <v>347.2</v>
      </c>
      <c r="M52">
        <v>0</v>
      </c>
      <c r="N52">
        <v>1</v>
      </c>
      <c r="O52">
        <f t="shared" si="2"/>
        <v>-1</v>
      </c>
      <c r="P52">
        <f t="shared" si="7"/>
        <v>13.599999999999998</v>
      </c>
      <c r="Q52" s="22">
        <v>18</v>
      </c>
      <c r="R52">
        <f t="shared" si="9"/>
        <v>0.40833333333333333</v>
      </c>
      <c r="S52" s="23">
        <f t="shared" si="3"/>
        <v>0.40833333333333333</v>
      </c>
      <c r="T52" s="23">
        <f t="shared" si="4"/>
        <v>-0.40833333333333333</v>
      </c>
      <c r="U52" s="23">
        <f t="shared" si="8"/>
        <v>18.272499999999997</v>
      </c>
      <c r="W52">
        <v>487.9</v>
      </c>
      <c r="Y52">
        <f t="shared" si="6"/>
        <v>21485.100000000002</v>
      </c>
      <c r="AA52">
        <v>12.214487096753224</v>
      </c>
    </row>
    <row r="53" spans="1:27" x14ac:dyDescent="0.25">
      <c r="A53">
        <v>6280</v>
      </c>
      <c r="B53">
        <v>24170</v>
      </c>
      <c r="C53" s="8">
        <v>42631</v>
      </c>
      <c r="F53" s="46"/>
      <c r="G53">
        <v>16</v>
      </c>
      <c r="H53">
        <v>10.9</v>
      </c>
      <c r="I53">
        <v>19.3</v>
      </c>
      <c r="J53">
        <f t="shared" si="5"/>
        <v>363.2</v>
      </c>
      <c r="M53">
        <v>0.2</v>
      </c>
      <c r="N53">
        <v>1.2</v>
      </c>
      <c r="O53">
        <f t="shared" si="2"/>
        <v>-1</v>
      </c>
      <c r="P53">
        <f t="shared" si="7"/>
        <v>12.599999999999998</v>
      </c>
      <c r="Q53">
        <v>19</v>
      </c>
      <c r="R53">
        <f t="shared" si="9"/>
        <v>0.41666666666666663</v>
      </c>
      <c r="S53" s="23">
        <f t="shared" si="3"/>
        <v>0.49999999999999994</v>
      </c>
      <c r="T53" s="23">
        <f t="shared" si="4"/>
        <v>-0.29999999999999993</v>
      </c>
      <c r="U53" s="23">
        <f t="shared" si="8"/>
        <v>17.972499999999997</v>
      </c>
      <c r="W53">
        <v>893.4</v>
      </c>
      <c r="Y53">
        <f t="shared" si="6"/>
        <v>22378.500000000004</v>
      </c>
      <c r="AA53">
        <v>12.153225436493724</v>
      </c>
    </row>
    <row r="54" spans="1:27" x14ac:dyDescent="0.25">
      <c r="A54">
        <v>6280</v>
      </c>
      <c r="B54">
        <v>24170</v>
      </c>
      <c r="C54" s="8">
        <v>42632</v>
      </c>
      <c r="F54" s="46"/>
      <c r="G54">
        <v>16.3</v>
      </c>
      <c r="H54">
        <v>14.7</v>
      </c>
      <c r="I54">
        <v>18.899999999999999</v>
      </c>
      <c r="J54">
        <f t="shared" si="5"/>
        <v>379.5</v>
      </c>
      <c r="M54">
        <v>0.3</v>
      </c>
      <c r="N54">
        <v>1.6</v>
      </c>
      <c r="O54">
        <f t="shared" si="2"/>
        <v>-1.3</v>
      </c>
      <c r="P54">
        <f t="shared" si="7"/>
        <v>11.299999999999997</v>
      </c>
      <c r="Q54" s="22">
        <v>20</v>
      </c>
      <c r="R54">
        <f t="shared" si="9"/>
        <v>0.42499999999999999</v>
      </c>
      <c r="S54" s="23">
        <f t="shared" si="3"/>
        <v>0.68</v>
      </c>
      <c r="T54" s="23">
        <f t="shared" si="4"/>
        <v>-0.38000000000000006</v>
      </c>
      <c r="U54" s="23">
        <f t="shared" si="8"/>
        <v>17.592499999999998</v>
      </c>
      <c r="W54">
        <v>921.1</v>
      </c>
      <c r="Y54">
        <f t="shared" si="6"/>
        <v>23299.600000000002</v>
      </c>
      <c r="AA54">
        <v>12.091943400990182</v>
      </c>
    </row>
    <row r="55" spans="1:27" x14ac:dyDescent="0.25">
      <c r="A55">
        <v>6280</v>
      </c>
      <c r="B55">
        <v>24170</v>
      </c>
      <c r="C55" s="8">
        <v>42633</v>
      </c>
      <c r="F55" s="46"/>
      <c r="G55">
        <v>15.8</v>
      </c>
      <c r="H55">
        <v>14.2</v>
      </c>
      <c r="I55">
        <v>19.5</v>
      </c>
      <c r="J55">
        <f t="shared" si="5"/>
        <v>395.3</v>
      </c>
      <c r="M55">
        <v>0</v>
      </c>
      <c r="N55">
        <v>2</v>
      </c>
      <c r="O55">
        <f t="shared" si="2"/>
        <v>-2</v>
      </c>
      <c r="P55">
        <f t="shared" si="7"/>
        <v>9.2999999999999972</v>
      </c>
      <c r="Q55">
        <v>21</v>
      </c>
      <c r="R55">
        <f t="shared" si="9"/>
        <v>0.43333333333333329</v>
      </c>
      <c r="S55" s="23">
        <f t="shared" si="3"/>
        <v>0.86666666666666659</v>
      </c>
      <c r="T55" s="23">
        <f t="shared" si="4"/>
        <v>-0.86666666666666659</v>
      </c>
      <c r="U55" s="23">
        <f t="shared" si="8"/>
        <v>16.72583333333333</v>
      </c>
      <c r="W55">
        <v>1021.5</v>
      </c>
      <c r="Y55">
        <f t="shared" si="6"/>
        <v>24321.100000000002</v>
      </c>
      <c r="AA55">
        <v>12.030649156059615</v>
      </c>
    </row>
    <row r="56" spans="1:27" x14ac:dyDescent="0.25">
      <c r="A56">
        <v>6280</v>
      </c>
      <c r="B56">
        <v>24170</v>
      </c>
      <c r="C56" s="8">
        <v>42634</v>
      </c>
      <c r="F56" s="46"/>
      <c r="G56">
        <v>14.6</v>
      </c>
      <c r="H56">
        <v>9</v>
      </c>
      <c r="I56">
        <v>21.2</v>
      </c>
      <c r="J56">
        <f t="shared" si="5"/>
        <v>409.90000000000003</v>
      </c>
      <c r="M56">
        <v>0</v>
      </c>
      <c r="N56">
        <v>2.6</v>
      </c>
      <c r="O56">
        <f t="shared" si="2"/>
        <v>-2.6</v>
      </c>
      <c r="P56">
        <f t="shared" si="7"/>
        <v>6.6999999999999975</v>
      </c>
      <c r="Q56" s="22">
        <v>22</v>
      </c>
      <c r="R56">
        <f t="shared" si="9"/>
        <v>0.44166666666666665</v>
      </c>
      <c r="S56" s="23">
        <f t="shared" si="3"/>
        <v>1.1483333333333334</v>
      </c>
      <c r="T56" s="23">
        <f t="shared" si="4"/>
        <v>-1.1483333333333334</v>
      </c>
      <c r="U56" s="23">
        <f t="shared" si="8"/>
        <v>15.577499999999997</v>
      </c>
      <c r="W56">
        <v>1441.1</v>
      </c>
      <c r="Y56">
        <f t="shared" si="6"/>
        <v>25762.2</v>
      </c>
      <c r="AA56">
        <v>11.969350843940385</v>
      </c>
    </row>
    <row r="57" spans="1:27" x14ac:dyDescent="0.25">
      <c r="A57">
        <v>6280</v>
      </c>
      <c r="B57">
        <v>24170</v>
      </c>
      <c r="C57" s="8">
        <v>42635</v>
      </c>
      <c r="F57" s="46"/>
      <c r="G57">
        <v>16.3</v>
      </c>
      <c r="H57">
        <v>10.199999999999999</v>
      </c>
      <c r="I57">
        <v>23.2</v>
      </c>
      <c r="J57">
        <f t="shared" si="5"/>
        <v>426.20000000000005</v>
      </c>
      <c r="M57">
        <v>0</v>
      </c>
      <c r="N57">
        <v>1.9</v>
      </c>
      <c r="O57">
        <f t="shared" si="2"/>
        <v>-1.9</v>
      </c>
      <c r="P57">
        <f t="shared" si="7"/>
        <v>4.7999999999999972</v>
      </c>
      <c r="Q57">
        <v>23</v>
      </c>
      <c r="R57">
        <f t="shared" si="9"/>
        <v>0.44999999999999996</v>
      </c>
      <c r="S57" s="23">
        <f t="shared" si="3"/>
        <v>0.85499999999999987</v>
      </c>
      <c r="T57" s="23">
        <f t="shared" si="4"/>
        <v>-0.85499999999999987</v>
      </c>
      <c r="U57" s="23">
        <f t="shared" si="8"/>
        <v>14.722499999999997</v>
      </c>
      <c r="W57">
        <v>982.6</v>
      </c>
      <c r="Y57">
        <f t="shared" si="6"/>
        <v>26744.799999999999</v>
      </c>
      <c r="AA57">
        <v>11.908056599009816</v>
      </c>
    </row>
    <row r="58" spans="1:27" x14ac:dyDescent="0.25">
      <c r="A58">
        <v>6280</v>
      </c>
      <c r="B58">
        <v>24170</v>
      </c>
      <c r="C58" s="8">
        <v>42636</v>
      </c>
      <c r="F58" s="46"/>
      <c r="G58">
        <v>15.9</v>
      </c>
      <c r="H58">
        <v>11.5</v>
      </c>
      <c r="I58">
        <v>21.3</v>
      </c>
      <c r="J58">
        <f t="shared" si="5"/>
        <v>442.1</v>
      </c>
      <c r="M58">
        <v>0.1</v>
      </c>
      <c r="N58">
        <v>2.7</v>
      </c>
      <c r="O58">
        <f t="shared" si="2"/>
        <v>-2.6</v>
      </c>
      <c r="P58">
        <f t="shared" si="7"/>
        <v>2.1999999999999971</v>
      </c>
      <c r="Q58" s="22">
        <v>24</v>
      </c>
      <c r="R58">
        <f t="shared" si="9"/>
        <v>0.45833333333333331</v>
      </c>
      <c r="S58" s="23">
        <f t="shared" si="3"/>
        <v>1.2375</v>
      </c>
      <c r="T58" s="23">
        <f t="shared" si="4"/>
        <v>-1.1375</v>
      </c>
      <c r="U58" s="23">
        <f t="shared" si="8"/>
        <v>13.584999999999997</v>
      </c>
      <c r="W58">
        <v>1419.6</v>
      </c>
      <c r="Y58">
        <f t="shared" si="6"/>
        <v>28164.399999999998</v>
      </c>
      <c r="AA58">
        <v>11.846774563506276</v>
      </c>
    </row>
    <row r="59" spans="1:27" x14ac:dyDescent="0.25">
      <c r="A59">
        <v>6280</v>
      </c>
      <c r="B59">
        <v>24170</v>
      </c>
      <c r="C59" s="8">
        <v>42637</v>
      </c>
      <c r="F59" s="46"/>
      <c r="G59">
        <v>16.5</v>
      </c>
      <c r="H59">
        <v>10.1</v>
      </c>
      <c r="I59">
        <v>23.4</v>
      </c>
      <c r="J59">
        <f t="shared" si="5"/>
        <v>458.6</v>
      </c>
      <c r="M59">
        <v>0</v>
      </c>
      <c r="N59">
        <v>3.4</v>
      </c>
      <c r="O59">
        <f t="shared" si="2"/>
        <v>-3.4</v>
      </c>
      <c r="P59">
        <v>0</v>
      </c>
      <c r="Q59">
        <v>25</v>
      </c>
      <c r="R59">
        <f t="shared" si="9"/>
        <v>0.46666666666666667</v>
      </c>
      <c r="S59" s="23">
        <f t="shared" si="3"/>
        <v>1.5866666666666667</v>
      </c>
      <c r="T59" s="23">
        <f t="shared" si="4"/>
        <v>-1.5866666666666667</v>
      </c>
      <c r="U59" s="23">
        <f t="shared" si="8"/>
        <v>11.998333333333331</v>
      </c>
      <c r="W59">
        <v>1532.4</v>
      </c>
      <c r="Y59">
        <f t="shared" si="6"/>
        <v>29696.799999999999</v>
      </c>
      <c r="AA59">
        <v>11.785512903246772</v>
      </c>
    </row>
    <row r="60" spans="1:27" x14ac:dyDescent="0.25">
      <c r="A60">
        <v>6280</v>
      </c>
      <c r="B60">
        <v>24170</v>
      </c>
      <c r="C60" s="8">
        <v>42638</v>
      </c>
      <c r="F60" s="46"/>
      <c r="G60">
        <v>14.4</v>
      </c>
      <c r="H60">
        <v>13.8</v>
      </c>
      <c r="I60">
        <v>16.100000000000001</v>
      </c>
      <c r="J60">
        <f t="shared" si="5"/>
        <v>473</v>
      </c>
      <c r="M60">
        <v>3.8</v>
      </c>
      <c r="N60">
        <v>1.2</v>
      </c>
      <c r="O60">
        <f t="shared" si="2"/>
        <v>2.5999999999999996</v>
      </c>
      <c r="P60">
        <f t="shared" si="7"/>
        <v>2.5999999999999996</v>
      </c>
      <c r="Q60" s="22">
        <v>26</v>
      </c>
      <c r="R60">
        <f t="shared" si="9"/>
        <v>0.47499999999999998</v>
      </c>
      <c r="S60" s="23">
        <f t="shared" si="3"/>
        <v>0.56999999999999995</v>
      </c>
      <c r="T60" s="23">
        <f t="shared" si="4"/>
        <v>3.23</v>
      </c>
      <c r="U60" s="23">
        <f t="shared" si="8"/>
        <v>15.228333333333332</v>
      </c>
      <c r="W60">
        <v>544.1</v>
      </c>
      <c r="Y60">
        <f t="shared" si="6"/>
        <v>30240.899999999998</v>
      </c>
      <c r="AA60">
        <v>11.724279823331289</v>
      </c>
    </row>
    <row r="61" spans="1:27" x14ac:dyDescent="0.25">
      <c r="A61">
        <v>6280</v>
      </c>
      <c r="B61">
        <v>24170</v>
      </c>
      <c r="C61" s="8">
        <v>42639</v>
      </c>
      <c r="F61" s="46"/>
      <c r="G61">
        <v>13.5</v>
      </c>
      <c r="H61">
        <v>9.1</v>
      </c>
      <c r="I61">
        <v>18.7</v>
      </c>
      <c r="J61">
        <f t="shared" si="5"/>
        <v>486.5</v>
      </c>
      <c r="M61">
        <v>0</v>
      </c>
      <c r="N61">
        <v>1.3</v>
      </c>
      <c r="O61">
        <f t="shared" si="2"/>
        <v>-1.3</v>
      </c>
      <c r="P61">
        <f t="shared" si="7"/>
        <v>1.2999999999999996</v>
      </c>
      <c r="Q61">
        <v>27</v>
      </c>
      <c r="R61">
        <f t="shared" si="9"/>
        <v>0.48333333333333328</v>
      </c>
      <c r="S61" s="23">
        <f t="shared" si="3"/>
        <v>0.6283333333333333</v>
      </c>
      <c r="T61" s="23">
        <f t="shared" si="4"/>
        <v>-0.6283333333333333</v>
      </c>
      <c r="U61" s="23">
        <f t="shared" si="8"/>
        <v>14.599999999999998</v>
      </c>
      <c r="W61">
        <v>633.4</v>
      </c>
      <c r="Y61">
        <f t="shared" si="6"/>
        <v>30874.3</v>
      </c>
      <c r="AA61">
        <v>11.663083583824678</v>
      </c>
    </row>
    <row r="62" spans="1:27" x14ac:dyDescent="0.25">
      <c r="A62">
        <v>6280</v>
      </c>
      <c r="B62">
        <v>24170</v>
      </c>
      <c r="C62" s="8">
        <v>42640</v>
      </c>
      <c r="F62" s="46"/>
      <c r="G62">
        <v>15.1</v>
      </c>
      <c r="H62">
        <v>9.1999999999999993</v>
      </c>
      <c r="I62">
        <v>21</v>
      </c>
      <c r="J62">
        <f t="shared" si="5"/>
        <v>501.6</v>
      </c>
      <c r="M62">
        <v>0</v>
      </c>
      <c r="N62">
        <v>2.5</v>
      </c>
      <c r="O62">
        <f t="shared" si="2"/>
        <v>-2.5</v>
      </c>
      <c r="P62">
        <v>0</v>
      </c>
      <c r="Q62" s="22">
        <v>28</v>
      </c>
      <c r="R62">
        <f t="shared" si="9"/>
        <v>0.49166666666666664</v>
      </c>
      <c r="S62" s="23">
        <f t="shared" si="3"/>
        <v>1.2291666666666665</v>
      </c>
      <c r="T62" s="23">
        <f t="shared" si="4"/>
        <v>-1.2291666666666665</v>
      </c>
      <c r="U62" s="23">
        <f t="shared" si="8"/>
        <v>13.370833333333332</v>
      </c>
      <c r="W62">
        <v>1214.4000000000001</v>
      </c>
      <c r="Y62">
        <f t="shared" si="6"/>
        <v>32088.7</v>
      </c>
      <c r="AA62">
        <v>11.601932515406816</v>
      </c>
    </row>
    <row r="63" spans="1:27" x14ac:dyDescent="0.25">
      <c r="A63">
        <v>6280</v>
      </c>
      <c r="B63">
        <v>24170</v>
      </c>
      <c r="C63" s="8">
        <v>42641</v>
      </c>
      <c r="F63" s="46"/>
      <c r="G63">
        <v>17.3</v>
      </c>
      <c r="H63">
        <v>13.6</v>
      </c>
      <c r="I63">
        <v>21.3</v>
      </c>
      <c r="J63">
        <f t="shared" si="5"/>
        <v>518.9</v>
      </c>
      <c r="M63">
        <v>0</v>
      </c>
      <c r="N63">
        <v>1.6</v>
      </c>
      <c r="O63">
        <f t="shared" si="2"/>
        <v>-1.6</v>
      </c>
      <c r="P63">
        <v>0</v>
      </c>
      <c r="Q63">
        <v>29</v>
      </c>
      <c r="R63">
        <f t="shared" si="9"/>
        <v>0.5</v>
      </c>
      <c r="S63" s="23">
        <f t="shared" si="3"/>
        <v>0.8</v>
      </c>
      <c r="T63" s="23">
        <f t="shared" si="4"/>
        <v>-0.8</v>
      </c>
      <c r="U63" s="23">
        <f t="shared" si="8"/>
        <v>12.570833333333331</v>
      </c>
      <c r="W63">
        <v>656.9</v>
      </c>
      <c r="Y63">
        <f t="shared" si="6"/>
        <v>32745.600000000002</v>
      </c>
      <c r="AA63">
        <v>11.540835034981169</v>
      </c>
    </row>
    <row r="64" spans="1:27" x14ac:dyDescent="0.25">
      <c r="A64">
        <v>6280</v>
      </c>
      <c r="B64">
        <v>24170</v>
      </c>
      <c r="C64" s="8">
        <v>42642</v>
      </c>
      <c r="F64" s="46"/>
      <c r="G64">
        <v>16.3</v>
      </c>
      <c r="H64">
        <v>12.8</v>
      </c>
      <c r="I64">
        <v>19.100000000000001</v>
      </c>
      <c r="J64">
        <f t="shared" si="5"/>
        <v>535.19999999999993</v>
      </c>
      <c r="M64">
        <v>0</v>
      </c>
      <c r="N64">
        <v>1.6</v>
      </c>
      <c r="O64">
        <f t="shared" si="2"/>
        <v>-1.6</v>
      </c>
      <c r="P64">
        <v>0</v>
      </c>
      <c r="Q64" s="22">
        <v>30</v>
      </c>
      <c r="R64">
        <f t="shared" si="9"/>
        <v>0.5083333333333333</v>
      </c>
      <c r="S64" s="23">
        <f t="shared" si="3"/>
        <v>0.81333333333333335</v>
      </c>
      <c r="T64" s="23">
        <f t="shared" si="4"/>
        <v>-0.81333333333333335</v>
      </c>
      <c r="U64" s="23">
        <f t="shared" si="8"/>
        <v>11.757499999999999</v>
      </c>
      <c r="W64">
        <v>741.9</v>
      </c>
      <c r="Y64">
        <f t="shared" si="6"/>
        <v>33487.5</v>
      </c>
      <c r="AA64">
        <v>11.47979966123154</v>
      </c>
    </row>
    <row r="65" spans="1:27" x14ac:dyDescent="0.25">
      <c r="A65">
        <v>6280</v>
      </c>
      <c r="B65">
        <v>24170</v>
      </c>
      <c r="C65" s="8">
        <v>42643</v>
      </c>
      <c r="F65" s="46"/>
      <c r="G65">
        <v>14.4</v>
      </c>
      <c r="H65">
        <v>13.1</v>
      </c>
      <c r="I65">
        <v>17.5</v>
      </c>
      <c r="J65">
        <f t="shared" si="5"/>
        <v>549.59999999999991</v>
      </c>
      <c r="M65">
        <v>3.4</v>
      </c>
      <c r="N65">
        <v>1</v>
      </c>
      <c r="O65">
        <f t="shared" si="2"/>
        <v>2.4</v>
      </c>
      <c r="P65">
        <f t="shared" si="7"/>
        <v>2.4</v>
      </c>
      <c r="Q65">
        <v>31</v>
      </c>
      <c r="R65">
        <f t="shared" si="9"/>
        <v>0.51666666666666661</v>
      </c>
      <c r="S65" s="23">
        <f t="shared" si="3"/>
        <v>0.51666666666666661</v>
      </c>
      <c r="T65" s="23">
        <f t="shared" si="4"/>
        <v>2.8833333333333333</v>
      </c>
      <c r="U65" s="23">
        <f t="shared" si="8"/>
        <v>14.640833333333331</v>
      </c>
      <c r="W65">
        <v>465.9</v>
      </c>
      <c r="Y65">
        <f t="shared" si="6"/>
        <v>33953.4</v>
      </c>
      <c r="AA65">
        <v>11.418835030115938</v>
      </c>
    </row>
    <row r="66" spans="1:27" x14ac:dyDescent="0.25">
      <c r="A66">
        <v>6280</v>
      </c>
      <c r="B66">
        <v>24170</v>
      </c>
      <c r="C66" s="8">
        <v>42644</v>
      </c>
      <c r="F66" s="46"/>
      <c r="G66">
        <v>13.4</v>
      </c>
      <c r="H66">
        <v>11.9</v>
      </c>
      <c r="I66">
        <v>15.9</v>
      </c>
      <c r="J66">
        <f t="shared" si="5"/>
        <v>562.99999999999989</v>
      </c>
      <c r="M66">
        <v>0.6</v>
      </c>
      <c r="N66">
        <v>2</v>
      </c>
      <c r="O66">
        <f t="shared" si="2"/>
        <v>-1.4</v>
      </c>
      <c r="P66">
        <f t="shared" si="7"/>
        <v>1</v>
      </c>
      <c r="Q66" s="22">
        <v>32</v>
      </c>
      <c r="R66">
        <f t="shared" si="9"/>
        <v>0.52499999999999991</v>
      </c>
      <c r="S66" s="23">
        <f t="shared" si="3"/>
        <v>1.0499999999999998</v>
      </c>
      <c r="T66" s="23">
        <f t="shared" si="4"/>
        <v>-0.44999999999999984</v>
      </c>
      <c r="U66" s="23">
        <f t="shared" si="8"/>
        <v>14.190833333333332</v>
      </c>
      <c r="W66">
        <v>1102.2</v>
      </c>
      <c r="Y66">
        <f t="shared" si="6"/>
        <v>35055.599999999999</v>
      </c>
      <c r="AA66">
        <v>11.357949910285916</v>
      </c>
    </row>
    <row r="67" spans="1:27" x14ac:dyDescent="0.25">
      <c r="A67">
        <v>6280</v>
      </c>
      <c r="B67">
        <v>24170</v>
      </c>
      <c r="C67" s="8">
        <v>42645</v>
      </c>
      <c r="F67" s="46"/>
      <c r="G67">
        <v>11.5</v>
      </c>
      <c r="H67">
        <v>9</v>
      </c>
      <c r="I67">
        <v>15.8</v>
      </c>
      <c r="J67">
        <f t="shared" si="5"/>
        <v>574.49999999999989</v>
      </c>
      <c r="M67">
        <v>0</v>
      </c>
      <c r="N67">
        <v>2.1</v>
      </c>
      <c r="O67">
        <f t="shared" si="2"/>
        <v>-2.1</v>
      </c>
      <c r="P67">
        <v>0</v>
      </c>
      <c r="Q67">
        <v>33</v>
      </c>
      <c r="R67">
        <f t="shared" si="9"/>
        <v>0.53333333333333333</v>
      </c>
      <c r="S67" s="23">
        <f t="shared" si="3"/>
        <v>1.1200000000000001</v>
      </c>
      <c r="T67" s="23">
        <f t="shared" si="4"/>
        <v>-1.1200000000000001</v>
      </c>
      <c r="U67" s="23">
        <f t="shared" si="8"/>
        <v>13.070833333333333</v>
      </c>
      <c r="W67">
        <v>1179.5999999999999</v>
      </c>
      <c r="Y67">
        <f t="shared" si="6"/>
        <v>36235.199999999997</v>
      </c>
      <c r="AA67">
        <v>11.297153218418739</v>
      </c>
    </row>
    <row r="68" spans="1:27" x14ac:dyDescent="0.25">
      <c r="A68">
        <v>6280</v>
      </c>
      <c r="B68">
        <v>24170</v>
      </c>
      <c r="C68" s="8">
        <v>42646</v>
      </c>
      <c r="F68" s="46"/>
      <c r="G68">
        <v>10.6</v>
      </c>
      <c r="H68">
        <v>5.3</v>
      </c>
      <c r="I68">
        <v>17.5</v>
      </c>
      <c r="J68">
        <f t="shared" si="5"/>
        <v>585.09999999999991</v>
      </c>
      <c r="M68">
        <v>0</v>
      </c>
      <c r="N68">
        <v>2.2999999999999998</v>
      </c>
      <c r="O68">
        <f t="shared" si="2"/>
        <v>-2.2999999999999998</v>
      </c>
      <c r="P68">
        <v>0</v>
      </c>
      <c r="Q68" s="22">
        <v>34</v>
      </c>
      <c r="R68">
        <f t="shared" si="9"/>
        <v>0.54166666666666663</v>
      </c>
      <c r="S68" s="23">
        <f t="shared" si="3"/>
        <v>1.2458333333333331</v>
      </c>
      <c r="T68" s="23">
        <f t="shared" si="4"/>
        <v>-1.2458333333333331</v>
      </c>
      <c r="U68" s="23">
        <f t="shared" si="8"/>
        <v>11.824999999999999</v>
      </c>
      <c r="W68">
        <v>1293.5</v>
      </c>
      <c r="Y68">
        <f t="shared" si="6"/>
        <v>37528.699999999997</v>
      </c>
      <c r="AA68">
        <v>11.236454034448759</v>
      </c>
    </row>
    <row r="69" spans="1:27" x14ac:dyDescent="0.25">
      <c r="A69">
        <v>6280</v>
      </c>
      <c r="B69">
        <v>24170</v>
      </c>
      <c r="C69" s="8">
        <v>42647</v>
      </c>
      <c r="F69" s="46"/>
      <c r="G69">
        <v>13</v>
      </c>
      <c r="H69">
        <v>8.3000000000000007</v>
      </c>
      <c r="I69">
        <v>18.2</v>
      </c>
      <c r="J69">
        <f t="shared" si="5"/>
        <v>598.09999999999991</v>
      </c>
      <c r="M69">
        <v>0</v>
      </c>
      <c r="N69">
        <v>2.9</v>
      </c>
      <c r="O69">
        <f t="shared" si="2"/>
        <v>-2.9</v>
      </c>
      <c r="P69">
        <v>0</v>
      </c>
      <c r="Q69">
        <v>35</v>
      </c>
      <c r="R69">
        <f t="shared" si="9"/>
        <v>0.55000000000000004</v>
      </c>
      <c r="S69" s="23">
        <f t="shared" si="3"/>
        <v>1.595</v>
      </c>
      <c r="T69" s="23">
        <f t="shared" si="4"/>
        <v>-1.595</v>
      </c>
      <c r="U69" s="23">
        <f t="shared" si="8"/>
        <v>10.229999999999999</v>
      </c>
      <c r="W69">
        <v>1351.4</v>
      </c>
      <c r="Y69">
        <f t="shared" si="6"/>
        <v>38880.1</v>
      </c>
      <c r="AA69">
        <v>11.175861616683253</v>
      </c>
    </row>
    <row r="70" spans="1:27" x14ac:dyDescent="0.25">
      <c r="A70">
        <v>6280</v>
      </c>
      <c r="B70">
        <v>24170</v>
      </c>
      <c r="C70" s="8">
        <v>42648</v>
      </c>
      <c r="F70" s="46"/>
      <c r="G70">
        <v>11.7</v>
      </c>
      <c r="H70">
        <v>8.8000000000000007</v>
      </c>
      <c r="I70">
        <v>16</v>
      </c>
      <c r="J70">
        <f t="shared" si="5"/>
        <v>609.79999999999995</v>
      </c>
      <c r="M70">
        <v>0</v>
      </c>
      <c r="N70">
        <v>3</v>
      </c>
      <c r="O70">
        <f t="shared" si="2"/>
        <v>-3</v>
      </c>
      <c r="P70">
        <v>0</v>
      </c>
      <c r="Q70" s="22">
        <v>36</v>
      </c>
      <c r="R70">
        <f t="shared" si="9"/>
        <v>0.55833333333333335</v>
      </c>
      <c r="S70" s="23">
        <f t="shared" si="3"/>
        <v>1.675</v>
      </c>
      <c r="T70" s="23">
        <f t="shared" si="4"/>
        <v>-1.675</v>
      </c>
      <c r="U70" s="23">
        <f t="shared" si="8"/>
        <v>8.5549999999999979</v>
      </c>
      <c r="W70">
        <v>1459.7</v>
      </c>
      <c r="Y70">
        <f t="shared" si="6"/>
        <v>40339.799999999996</v>
      </c>
      <c r="AA70">
        <v>11.115385416786749</v>
      </c>
    </row>
    <row r="71" spans="1:27" x14ac:dyDescent="0.25">
      <c r="A71">
        <v>6280</v>
      </c>
      <c r="B71">
        <v>24170</v>
      </c>
      <c r="C71" s="8">
        <v>42649</v>
      </c>
      <c r="F71" s="46"/>
      <c r="G71">
        <v>9.8000000000000007</v>
      </c>
      <c r="H71">
        <v>5.7</v>
      </c>
      <c r="I71">
        <v>13.9</v>
      </c>
      <c r="J71">
        <f t="shared" si="5"/>
        <v>619.59999999999991</v>
      </c>
      <c r="M71">
        <v>0</v>
      </c>
      <c r="N71">
        <v>2.2999999999999998</v>
      </c>
      <c r="O71">
        <f t="shared" si="2"/>
        <v>-2.2999999999999998</v>
      </c>
      <c r="P71">
        <v>0</v>
      </c>
      <c r="Q71">
        <v>37</v>
      </c>
      <c r="R71">
        <f t="shared" si="9"/>
        <v>0.56666666666666665</v>
      </c>
      <c r="S71" s="23">
        <f t="shared" si="3"/>
        <v>1.3033333333333332</v>
      </c>
      <c r="T71" s="23">
        <f t="shared" si="4"/>
        <v>-1.3033333333333332</v>
      </c>
      <c r="U71" s="23">
        <f t="shared" si="8"/>
        <v>7.2516666666666652</v>
      </c>
      <c r="W71">
        <v>1315.5</v>
      </c>
      <c r="Y71">
        <f t="shared" si="6"/>
        <v>41655.299999999996</v>
      </c>
      <c r="AA71">
        <v>11.055035094616533</v>
      </c>
    </row>
    <row r="72" spans="1:27" x14ac:dyDescent="0.25">
      <c r="A72">
        <v>6280</v>
      </c>
      <c r="B72">
        <v>24170</v>
      </c>
      <c r="C72" s="8">
        <v>42650</v>
      </c>
      <c r="F72" s="46"/>
      <c r="G72">
        <v>11.5</v>
      </c>
      <c r="H72">
        <v>8</v>
      </c>
      <c r="I72">
        <v>13.8</v>
      </c>
      <c r="J72">
        <f t="shared" si="5"/>
        <v>631.09999999999991</v>
      </c>
      <c r="M72">
        <v>0</v>
      </c>
      <c r="N72">
        <v>1.2</v>
      </c>
      <c r="O72">
        <f t="shared" si="2"/>
        <v>-1.2</v>
      </c>
      <c r="P72">
        <v>0</v>
      </c>
      <c r="Q72" s="22">
        <v>38</v>
      </c>
      <c r="R72">
        <f t="shared" si="9"/>
        <v>0.57499999999999996</v>
      </c>
      <c r="S72" s="23">
        <f t="shared" si="3"/>
        <v>0.69</v>
      </c>
      <c r="T72" s="23">
        <f t="shared" si="4"/>
        <v>-0.69</v>
      </c>
      <c r="U72" s="23">
        <f t="shared" si="8"/>
        <v>6.5616666666666656</v>
      </c>
      <c r="W72">
        <v>243</v>
      </c>
      <c r="Y72">
        <f t="shared" si="6"/>
        <v>41898.299999999996</v>
      </c>
      <c r="AA72">
        <v>10.994820532890451</v>
      </c>
    </row>
    <row r="73" spans="1:27" x14ac:dyDescent="0.25">
      <c r="A73">
        <v>6280</v>
      </c>
      <c r="B73">
        <v>24170</v>
      </c>
      <c r="C73" s="8">
        <v>42651</v>
      </c>
      <c r="F73" s="46"/>
      <c r="G73">
        <v>11.1</v>
      </c>
      <c r="H73">
        <v>9.3000000000000007</v>
      </c>
      <c r="I73">
        <v>15.9</v>
      </c>
      <c r="J73">
        <f t="shared" si="5"/>
        <v>642.19999999999993</v>
      </c>
      <c r="M73">
        <v>0</v>
      </c>
      <c r="N73">
        <v>1.9</v>
      </c>
      <c r="O73">
        <f t="shared" si="2"/>
        <v>-1.9</v>
      </c>
      <c r="P73">
        <v>0</v>
      </c>
      <c r="Q73">
        <v>39</v>
      </c>
      <c r="R73">
        <f t="shared" si="9"/>
        <v>0.58333333333333326</v>
      </c>
      <c r="S73" s="23">
        <f t="shared" si="3"/>
        <v>1.1083333333333332</v>
      </c>
      <c r="T73" s="23">
        <f t="shared" si="4"/>
        <v>-1.1083333333333332</v>
      </c>
      <c r="U73" s="23">
        <f t="shared" si="8"/>
        <v>5.4533333333333323</v>
      </c>
      <c r="W73">
        <v>998</v>
      </c>
      <c r="Y73">
        <f t="shared" si="6"/>
        <v>42896.299999999996</v>
      </c>
      <c r="AA73">
        <v>10.934751851666652</v>
      </c>
    </row>
    <row r="74" spans="1:27" x14ac:dyDescent="0.25">
      <c r="A74">
        <v>6280</v>
      </c>
      <c r="B74">
        <v>24170</v>
      </c>
      <c r="C74" s="8">
        <v>42652</v>
      </c>
      <c r="F74" s="46"/>
      <c r="G74">
        <v>8.6999999999999993</v>
      </c>
      <c r="H74">
        <v>3.8</v>
      </c>
      <c r="I74">
        <v>14.6</v>
      </c>
      <c r="J74">
        <f t="shared" si="5"/>
        <v>650.9</v>
      </c>
      <c r="M74">
        <v>0</v>
      </c>
      <c r="N74">
        <v>2.1</v>
      </c>
      <c r="O74">
        <f t="shared" si="2"/>
        <v>-2.1</v>
      </c>
      <c r="P74">
        <v>0</v>
      </c>
      <c r="Q74" s="22">
        <v>40</v>
      </c>
      <c r="R74">
        <f t="shared" si="9"/>
        <v>0.59166666666666667</v>
      </c>
      <c r="S74" s="23">
        <f t="shared" si="3"/>
        <v>1.2425000000000002</v>
      </c>
      <c r="T74" s="23">
        <f t="shared" si="4"/>
        <v>-1.2425000000000002</v>
      </c>
      <c r="U74" s="23">
        <f t="shared" si="8"/>
        <v>4.2108333333333317</v>
      </c>
      <c r="W74">
        <v>1295.5999999999999</v>
      </c>
      <c r="Y74">
        <f t="shared" si="6"/>
        <v>44191.899999999994</v>
      </c>
      <c r="AA74">
        <v>10.874839422613142</v>
      </c>
    </row>
    <row r="75" spans="1:27" x14ac:dyDescent="0.25">
      <c r="A75">
        <v>6280</v>
      </c>
      <c r="B75">
        <v>24170</v>
      </c>
      <c r="C75" s="8">
        <v>42653</v>
      </c>
      <c r="F75" s="46"/>
      <c r="G75">
        <v>7.5</v>
      </c>
      <c r="H75">
        <v>2.1</v>
      </c>
      <c r="I75">
        <v>13</v>
      </c>
      <c r="J75">
        <f t="shared" si="5"/>
        <v>658.4</v>
      </c>
      <c r="M75">
        <v>0.5</v>
      </c>
      <c r="N75">
        <v>1.4</v>
      </c>
      <c r="O75">
        <f t="shared" si="2"/>
        <v>-0.89999999999999991</v>
      </c>
      <c r="P75">
        <v>0</v>
      </c>
      <c r="Q75">
        <v>41</v>
      </c>
      <c r="R75">
        <f t="shared" si="9"/>
        <v>0.6</v>
      </c>
      <c r="S75" s="23">
        <f t="shared" si="3"/>
        <v>0.84</v>
      </c>
      <c r="T75" s="23">
        <f t="shared" si="4"/>
        <v>-0.33999999999999997</v>
      </c>
      <c r="U75" s="23">
        <f t="shared" si="8"/>
        <v>3.8708333333333318</v>
      </c>
      <c r="W75">
        <v>950.5</v>
      </c>
      <c r="Y75">
        <f t="shared" si="6"/>
        <v>45142.399999999994</v>
      </c>
      <c r="AA75">
        <v>10.815093883043218</v>
      </c>
    </row>
    <row r="76" spans="1:27" x14ac:dyDescent="0.25">
      <c r="A76">
        <v>6280</v>
      </c>
      <c r="B76">
        <v>24170</v>
      </c>
      <c r="C76" s="8">
        <v>42654</v>
      </c>
      <c r="F76" s="46"/>
      <c r="G76">
        <v>7.5</v>
      </c>
      <c r="H76">
        <v>4.5</v>
      </c>
      <c r="I76">
        <v>12</v>
      </c>
      <c r="J76">
        <f t="shared" si="5"/>
        <v>665.9</v>
      </c>
      <c r="M76">
        <v>0</v>
      </c>
      <c r="N76">
        <v>1.7</v>
      </c>
      <c r="O76">
        <f t="shared" si="2"/>
        <v>-1.7</v>
      </c>
      <c r="P76">
        <v>0</v>
      </c>
      <c r="Q76" s="22">
        <v>42</v>
      </c>
      <c r="R76">
        <f t="shared" si="9"/>
        <v>0.60833333333333328</v>
      </c>
      <c r="S76" s="23">
        <f t="shared" si="3"/>
        <v>1.0341666666666665</v>
      </c>
      <c r="T76" s="23">
        <f t="shared" si="4"/>
        <v>-1.0341666666666665</v>
      </c>
      <c r="U76" s="23">
        <f t="shared" si="8"/>
        <v>2.8366666666666651</v>
      </c>
      <c r="W76">
        <v>1212.5</v>
      </c>
      <c r="Y76">
        <f t="shared" si="6"/>
        <v>46354.899999999994</v>
      </c>
      <c r="AA76">
        <v>10.755526149690896</v>
      </c>
    </row>
    <row r="77" spans="1:27" x14ac:dyDescent="0.25">
      <c r="A77">
        <v>6280</v>
      </c>
      <c r="B77">
        <v>24170</v>
      </c>
      <c r="C77" s="8">
        <v>42655</v>
      </c>
      <c r="F77" s="46"/>
      <c r="G77">
        <v>7.7</v>
      </c>
      <c r="H77">
        <v>1.5</v>
      </c>
      <c r="I77">
        <v>13.6</v>
      </c>
      <c r="J77">
        <f t="shared" si="5"/>
        <v>673.6</v>
      </c>
      <c r="M77">
        <v>0.1</v>
      </c>
      <c r="N77">
        <v>1.6</v>
      </c>
      <c r="O77">
        <f t="shared" si="2"/>
        <v>-1.5</v>
      </c>
      <c r="P77">
        <v>0</v>
      </c>
      <c r="Q77">
        <v>43</v>
      </c>
      <c r="R77">
        <f t="shared" si="9"/>
        <v>0.6166666666666667</v>
      </c>
      <c r="S77" s="23">
        <f t="shared" si="3"/>
        <v>0.9866666666666668</v>
      </c>
      <c r="T77" s="23">
        <f t="shared" si="4"/>
        <v>-0.88666666666666683</v>
      </c>
      <c r="U77" s="23">
        <f t="shared" si="8"/>
        <v>1.9499999999999984</v>
      </c>
      <c r="W77">
        <v>1094.3</v>
      </c>
      <c r="Y77">
        <f t="shared" si="6"/>
        <v>47449.2</v>
      </c>
      <c r="AA77">
        <v>10.696147432198439</v>
      </c>
    </row>
    <row r="78" spans="1:27" x14ac:dyDescent="0.25">
      <c r="A78">
        <v>6280</v>
      </c>
      <c r="B78">
        <v>24170</v>
      </c>
      <c r="C78" s="8">
        <v>42656</v>
      </c>
      <c r="F78" s="46"/>
      <c r="G78">
        <v>8.3000000000000007</v>
      </c>
      <c r="H78">
        <v>4.8</v>
      </c>
      <c r="I78">
        <v>10.5</v>
      </c>
      <c r="J78">
        <f t="shared" si="5"/>
        <v>681.9</v>
      </c>
      <c r="M78">
        <v>0.4</v>
      </c>
      <c r="N78">
        <v>0.8</v>
      </c>
      <c r="O78">
        <f t="shared" si="2"/>
        <v>-0.4</v>
      </c>
      <c r="P78">
        <v>0</v>
      </c>
      <c r="Q78" s="22">
        <v>44</v>
      </c>
      <c r="R78">
        <f t="shared" si="9"/>
        <v>0.625</v>
      </c>
      <c r="S78" s="23">
        <f t="shared" si="3"/>
        <v>0.5</v>
      </c>
      <c r="T78" s="23">
        <f t="shared" si="4"/>
        <v>-9.9999999999999978E-2</v>
      </c>
      <c r="U78" s="23">
        <f t="shared" si="8"/>
        <v>1.8499999999999983</v>
      </c>
      <c r="W78">
        <v>428.4</v>
      </c>
      <c r="Y78">
        <f t="shared" si="6"/>
        <v>47877.599999999999</v>
      </c>
      <c r="AA78">
        <v>10.636969246285936</v>
      </c>
    </row>
    <row r="79" spans="1:27" x14ac:dyDescent="0.25">
      <c r="A79">
        <v>6280</v>
      </c>
      <c r="B79">
        <v>24170</v>
      </c>
      <c r="C79" s="8">
        <v>42657</v>
      </c>
      <c r="F79" s="46"/>
      <c r="G79">
        <v>10.7</v>
      </c>
      <c r="H79">
        <v>9.3000000000000007</v>
      </c>
      <c r="I79">
        <v>12.4</v>
      </c>
      <c r="J79">
        <f t="shared" si="5"/>
        <v>692.6</v>
      </c>
      <c r="M79">
        <v>7.7</v>
      </c>
      <c r="N79">
        <v>0.8</v>
      </c>
      <c r="O79">
        <f t="shared" si="2"/>
        <v>6.9</v>
      </c>
      <c r="P79">
        <f t="shared" si="7"/>
        <v>6.9</v>
      </c>
      <c r="Q79">
        <v>45</v>
      </c>
      <c r="R79">
        <f t="shared" si="9"/>
        <v>0.6333333333333333</v>
      </c>
      <c r="S79" s="23">
        <f t="shared" si="3"/>
        <v>0.50666666666666671</v>
      </c>
      <c r="T79" s="23">
        <f t="shared" si="4"/>
        <v>7.1933333333333334</v>
      </c>
      <c r="U79" s="23">
        <f t="shared" si="8"/>
        <v>9.0433333333333312</v>
      </c>
      <c r="W79">
        <v>279.10000000000002</v>
      </c>
      <c r="Y79">
        <f t="shared" si="6"/>
        <v>48156.7</v>
      </c>
      <c r="AA79">
        <v>10.578003426570682</v>
      </c>
    </row>
    <row r="80" spans="1:27" x14ac:dyDescent="0.25">
      <c r="A80">
        <v>6280</v>
      </c>
      <c r="B80">
        <v>24170</v>
      </c>
      <c r="C80" s="8">
        <v>42658</v>
      </c>
      <c r="F80" s="46"/>
      <c r="G80">
        <v>11.9</v>
      </c>
      <c r="H80">
        <v>8</v>
      </c>
      <c r="I80">
        <v>15.2</v>
      </c>
      <c r="J80">
        <f t="shared" si="5"/>
        <v>704.5</v>
      </c>
      <c r="M80">
        <v>0</v>
      </c>
      <c r="N80">
        <v>1.4</v>
      </c>
      <c r="O80">
        <f t="shared" si="2"/>
        <v>-1.4</v>
      </c>
      <c r="P80">
        <f t="shared" si="7"/>
        <v>5.5</v>
      </c>
      <c r="Q80" s="22">
        <v>46</v>
      </c>
      <c r="R80">
        <f t="shared" si="9"/>
        <v>0.64166666666666661</v>
      </c>
      <c r="S80" s="23">
        <f t="shared" si="3"/>
        <v>0.89833333333333321</v>
      </c>
      <c r="T80" s="23">
        <f t="shared" si="4"/>
        <v>-0.89833333333333321</v>
      </c>
      <c r="U80" s="23">
        <f t="shared" si="8"/>
        <v>8.1449999999999978</v>
      </c>
      <c r="W80">
        <v>945.7</v>
      </c>
      <c r="Y80">
        <f t="shared" si="6"/>
        <v>49102.399999999994</v>
      </c>
      <c r="AA80">
        <v>10.519262139001635</v>
      </c>
    </row>
    <row r="81" spans="1:27" x14ac:dyDescent="0.25">
      <c r="A81">
        <v>6280</v>
      </c>
      <c r="B81">
        <v>24170</v>
      </c>
      <c r="C81" s="8">
        <v>42659</v>
      </c>
      <c r="F81" s="46"/>
      <c r="G81">
        <v>13.9</v>
      </c>
      <c r="H81">
        <v>9.1999999999999993</v>
      </c>
      <c r="I81">
        <v>20.100000000000001</v>
      </c>
      <c r="J81">
        <f t="shared" si="5"/>
        <v>718.4</v>
      </c>
      <c r="M81">
        <v>0.6</v>
      </c>
      <c r="N81">
        <v>2.1</v>
      </c>
      <c r="O81">
        <f t="shared" si="2"/>
        <v>-1.5</v>
      </c>
      <c r="P81">
        <f t="shared" si="7"/>
        <v>4</v>
      </c>
      <c r="Q81">
        <v>47</v>
      </c>
      <c r="R81">
        <f t="shared" si="9"/>
        <v>0.65</v>
      </c>
      <c r="S81" s="23">
        <f t="shared" si="3"/>
        <v>1.3650000000000002</v>
      </c>
      <c r="T81" s="23">
        <f t="shared" si="4"/>
        <v>-0.76500000000000024</v>
      </c>
      <c r="U81" s="23">
        <f t="shared" si="8"/>
        <v>7.3799999999999972</v>
      </c>
      <c r="W81">
        <v>966.9</v>
      </c>
      <c r="Y81">
        <f t="shared" si="6"/>
        <v>50069.299999999996</v>
      </c>
      <c r="AA81">
        <v>10.460757892872039</v>
      </c>
    </row>
    <row r="82" spans="1:27" x14ac:dyDescent="0.25">
      <c r="A82">
        <v>6280</v>
      </c>
      <c r="B82">
        <v>24170</v>
      </c>
      <c r="C82" s="8">
        <v>42660</v>
      </c>
      <c r="F82" s="46"/>
      <c r="G82">
        <v>13</v>
      </c>
      <c r="H82">
        <v>11.3</v>
      </c>
      <c r="I82">
        <v>17</v>
      </c>
      <c r="J82">
        <f t="shared" si="5"/>
        <v>731.4</v>
      </c>
      <c r="M82">
        <v>0.7</v>
      </c>
      <c r="N82">
        <v>1.3</v>
      </c>
      <c r="O82">
        <f t="shared" si="2"/>
        <v>-0.60000000000000009</v>
      </c>
      <c r="P82">
        <f t="shared" si="7"/>
        <v>3.4</v>
      </c>
      <c r="Q82" s="22">
        <v>48</v>
      </c>
      <c r="R82">
        <f t="shared" si="9"/>
        <v>0.65833333333333333</v>
      </c>
      <c r="S82" s="23">
        <f t="shared" si="3"/>
        <v>0.85583333333333333</v>
      </c>
      <c r="T82" s="23">
        <f t="shared" si="4"/>
        <v>-0.15583333333333338</v>
      </c>
      <c r="U82" s="23">
        <f t="shared" si="8"/>
        <v>7.2241666666666635</v>
      </c>
      <c r="W82">
        <v>670.7</v>
      </c>
      <c r="Y82">
        <f t="shared" si="6"/>
        <v>50739.999999999993</v>
      </c>
      <c r="AA82">
        <v>10.402503552370584</v>
      </c>
    </row>
    <row r="83" spans="1:27" x14ac:dyDescent="0.25">
      <c r="A83">
        <v>6280</v>
      </c>
      <c r="B83">
        <v>24170</v>
      </c>
      <c r="C83" s="8">
        <v>42661</v>
      </c>
      <c r="F83" s="46"/>
      <c r="G83">
        <v>10.4</v>
      </c>
      <c r="H83">
        <v>6.5</v>
      </c>
      <c r="I83">
        <v>15.9</v>
      </c>
      <c r="J83">
        <f t="shared" si="5"/>
        <v>741.8</v>
      </c>
      <c r="M83">
        <v>2.9</v>
      </c>
      <c r="N83">
        <v>1.5</v>
      </c>
      <c r="O83">
        <f t="shared" si="2"/>
        <v>1.4</v>
      </c>
      <c r="P83">
        <f t="shared" si="7"/>
        <v>4.8</v>
      </c>
      <c r="Q83">
        <v>49</v>
      </c>
      <c r="R83">
        <f t="shared" si="9"/>
        <v>0.66666666666666663</v>
      </c>
      <c r="S83" s="23">
        <f t="shared" si="3"/>
        <v>1</v>
      </c>
      <c r="T83" s="23">
        <f t="shared" si="4"/>
        <v>1.9</v>
      </c>
      <c r="U83" s="23">
        <f t="shared" si="8"/>
        <v>9.1241666666666639</v>
      </c>
      <c r="W83">
        <v>832.2</v>
      </c>
      <c r="Y83">
        <f t="shared" si="6"/>
        <v>51572.19999999999</v>
      </c>
      <c r="AA83">
        <v>10.344512347629061</v>
      </c>
    </row>
    <row r="84" spans="1:27" x14ac:dyDescent="0.25">
      <c r="A84">
        <v>6280</v>
      </c>
      <c r="B84">
        <v>24170</v>
      </c>
      <c r="C84" s="8">
        <v>42662</v>
      </c>
      <c r="F84" s="46"/>
      <c r="G84">
        <v>9.3000000000000007</v>
      </c>
      <c r="H84">
        <v>6.4</v>
      </c>
      <c r="I84">
        <v>12.7</v>
      </c>
      <c r="J84">
        <f t="shared" si="5"/>
        <v>751.09999999999991</v>
      </c>
      <c r="M84">
        <v>1.9</v>
      </c>
      <c r="N84">
        <v>1.2</v>
      </c>
      <c r="O84">
        <f t="shared" si="2"/>
        <v>0.7</v>
      </c>
      <c r="P84">
        <f t="shared" si="7"/>
        <v>5.5</v>
      </c>
      <c r="Q84" s="22">
        <v>50</v>
      </c>
      <c r="R84">
        <f t="shared" si="9"/>
        <v>0.67500000000000004</v>
      </c>
      <c r="S84" s="23">
        <f t="shared" si="3"/>
        <v>0.81</v>
      </c>
      <c r="T84" s="23">
        <f t="shared" si="4"/>
        <v>1.0899999999999999</v>
      </c>
      <c r="U84" s="23">
        <f t="shared" si="8"/>
        <v>10.214166666666664</v>
      </c>
      <c r="W84">
        <v>745.4</v>
      </c>
      <c r="Y84">
        <f t="shared" si="6"/>
        <v>52317.599999999991</v>
      </c>
      <c r="AA84">
        <v>10.286797885221745</v>
      </c>
    </row>
    <row r="85" spans="1:27" x14ac:dyDescent="0.25">
      <c r="A85">
        <v>6280</v>
      </c>
      <c r="B85">
        <v>24170</v>
      </c>
      <c r="C85" s="8">
        <v>42663</v>
      </c>
      <c r="F85" s="46"/>
      <c r="G85">
        <v>10.6</v>
      </c>
      <c r="H85">
        <v>8.9</v>
      </c>
      <c r="I85">
        <v>12.9</v>
      </c>
      <c r="J85">
        <f t="shared" si="5"/>
        <v>761.69999999999993</v>
      </c>
      <c r="M85">
        <v>0.9</v>
      </c>
      <c r="N85">
        <v>0.8</v>
      </c>
      <c r="O85">
        <f t="shared" si="2"/>
        <v>9.9999999999999978E-2</v>
      </c>
      <c r="P85">
        <f t="shared" si="7"/>
        <v>5.6</v>
      </c>
      <c r="Q85">
        <v>51</v>
      </c>
      <c r="R85">
        <f t="shared" si="9"/>
        <v>0.68333333333333335</v>
      </c>
      <c r="S85" s="23">
        <f t="shared" si="3"/>
        <v>0.54666666666666675</v>
      </c>
      <c r="T85" s="23">
        <f t="shared" si="4"/>
        <v>0.35333333333333328</v>
      </c>
      <c r="U85" s="23">
        <f t="shared" si="8"/>
        <v>10.567499999999997</v>
      </c>
      <c r="W85">
        <v>345.5</v>
      </c>
      <c r="Y85">
        <f t="shared" si="6"/>
        <v>52663.099999999991</v>
      </c>
      <c r="AA85">
        <v>10.229374158069168</v>
      </c>
    </row>
    <row r="86" spans="1:27" x14ac:dyDescent="0.25">
      <c r="A86">
        <v>6280</v>
      </c>
      <c r="B86">
        <v>24170</v>
      </c>
      <c r="C86" s="8">
        <v>42664</v>
      </c>
      <c r="F86" s="46"/>
      <c r="G86">
        <v>9.6</v>
      </c>
      <c r="H86">
        <v>8.4</v>
      </c>
      <c r="I86">
        <v>12.4</v>
      </c>
      <c r="J86">
        <f t="shared" si="5"/>
        <v>771.3</v>
      </c>
      <c r="M86">
        <v>0.1</v>
      </c>
      <c r="N86">
        <v>1</v>
      </c>
      <c r="O86">
        <f t="shared" si="2"/>
        <v>-0.9</v>
      </c>
      <c r="P86">
        <f t="shared" si="7"/>
        <v>4.6999999999999993</v>
      </c>
      <c r="Q86" s="22">
        <v>52</v>
      </c>
      <c r="R86">
        <f t="shared" si="9"/>
        <v>0.69166666666666665</v>
      </c>
      <c r="S86" s="23">
        <f t="shared" si="3"/>
        <v>0.69166666666666665</v>
      </c>
      <c r="T86" s="23">
        <f t="shared" si="4"/>
        <v>-0.59166666666666667</v>
      </c>
      <c r="U86" s="23">
        <f t="shared" si="8"/>
        <v>9.9758333333333304</v>
      </c>
      <c r="W86">
        <v>584</v>
      </c>
      <c r="Y86">
        <f t="shared" si="6"/>
        <v>53247.099999999991</v>
      </c>
      <c r="AA86">
        <v>10.172255554696203</v>
      </c>
    </row>
    <row r="87" spans="1:27" x14ac:dyDescent="0.25">
      <c r="A87">
        <v>6280</v>
      </c>
      <c r="B87">
        <v>24170</v>
      </c>
      <c r="C87" s="8">
        <v>42665</v>
      </c>
      <c r="F87" s="46"/>
      <c r="G87">
        <v>7.8</v>
      </c>
      <c r="H87">
        <v>6.6</v>
      </c>
      <c r="I87">
        <v>10.1</v>
      </c>
      <c r="J87">
        <f t="shared" si="5"/>
        <v>779.09999999999991</v>
      </c>
      <c r="M87">
        <v>0.2</v>
      </c>
      <c r="N87">
        <v>1</v>
      </c>
      <c r="O87">
        <f t="shared" si="2"/>
        <v>-0.8</v>
      </c>
      <c r="P87">
        <f t="shared" si="7"/>
        <v>3.8999999999999995</v>
      </c>
      <c r="Q87">
        <v>53</v>
      </c>
      <c r="R87">
        <f t="shared" si="9"/>
        <v>0.7</v>
      </c>
      <c r="S87" s="23">
        <f t="shared" si="3"/>
        <v>0.7</v>
      </c>
      <c r="T87" s="23">
        <f t="shared" si="4"/>
        <v>-0.49999999999999994</v>
      </c>
      <c r="U87" s="23">
        <f t="shared" si="8"/>
        <v>9.4758333333333304</v>
      </c>
      <c r="W87">
        <v>644.1</v>
      </c>
      <c r="Y87">
        <f t="shared" si="6"/>
        <v>53891.19999999999</v>
      </c>
      <c r="AA87">
        <v>10.115456867791687</v>
      </c>
    </row>
    <row r="88" spans="1:27" x14ac:dyDescent="0.25">
      <c r="A88">
        <v>6280</v>
      </c>
      <c r="B88">
        <v>24170</v>
      </c>
      <c r="C88" s="8">
        <v>42666</v>
      </c>
      <c r="F88" s="46"/>
      <c r="G88">
        <v>9.1999999999999993</v>
      </c>
      <c r="H88">
        <v>5.3</v>
      </c>
      <c r="I88">
        <v>12.3</v>
      </c>
      <c r="J88">
        <f t="shared" si="5"/>
        <v>788.3</v>
      </c>
      <c r="M88">
        <v>10.6</v>
      </c>
      <c r="N88">
        <v>1.1000000000000001</v>
      </c>
      <c r="O88">
        <f t="shared" si="2"/>
        <v>9.5</v>
      </c>
      <c r="P88">
        <f t="shared" si="7"/>
        <v>13.399999999999999</v>
      </c>
      <c r="Q88" s="22">
        <v>54</v>
      </c>
      <c r="R88">
        <f t="shared" si="9"/>
        <v>0.70833333333333337</v>
      </c>
      <c r="S88" s="23">
        <f t="shared" si="3"/>
        <v>0.77916666666666679</v>
      </c>
      <c r="T88" s="23">
        <f t="shared" si="4"/>
        <v>9.8208333333333329</v>
      </c>
      <c r="U88" s="23">
        <f t="shared" si="8"/>
        <v>19.296666666666663</v>
      </c>
      <c r="W88">
        <v>680.5</v>
      </c>
      <c r="Y88">
        <f t="shared" si="6"/>
        <v>54571.69999999999</v>
      </c>
      <c r="AA88">
        <v>10.058993302014095</v>
      </c>
    </row>
    <row r="89" spans="1:27" x14ac:dyDescent="0.25">
      <c r="A89">
        <v>6280</v>
      </c>
      <c r="B89">
        <v>24170</v>
      </c>
      <c r="C89" s="8">
        <v>42667</v>
      </c>
      <c r="F89" s="46"/>
      <c r="G89">
        <v>11.7</v>
      </c>
      <c r="H89">
        <v>10.199999999999999</v>
      </c>
      <c r="I89">
        <v>13.2</v>
      </c>
      <c r="J89">
        <f t="shared" si="5"/>
        <v>800</v>
      </c>
      <c r="M89">
        <v>2.4</v>
      </c>
      <c r="N89">
        <v>0.2</v>
      </c>
      <c r="O89">
        <f t="shared" si="2"/>
        <v>2.1999999999999997</v>
      </c>
      <c r="P89">
        <f t="shared" si="7"/>
        <v>15.599999999999998</v>
      </c>
      <c r="Q89">
        <v>55</v>
      </c>
      <c r="R89">
        <f t="shared" si="9"/>
        <v>0.71666666666666667</v>
      </c>
      <c r="S89" s="23">
        <f t="shared" si="3"/>
        <v>0.14333333333333334</v>
      </c>
      <c r="T89" s="23">
        <f t="shared" si="4"/>
        <v>2.2566666666666664</v>
      </c>
      <c r="U89" s="23">
        <f t="shared" si="8"/>
        <v>21.553333333333331</v>
      </c>
      <c r="W89">
        <v>107.1</v>
      </c>
      <c r="Y89">
        <f t="shared" si="6"/>
        <v>54678.799999999988</v>
      </c>
      <c r="AA89">
        <v>10.002880480985208</v>
      </c>
    </row>
    <row r="90" spans="1:27" x14ac:dyDescent="0.25">
      <c r="A90">
        <v>6280</v>
      </c>
      <c r="B90">
        <v>24170</v>
      </c>
      <c r="C90" s="8">
        <v>42668</v>
      </c>
      <c r="F90" s="46"/>
      <c r="G90">
        <v>12.1</v>
      </c>
      <c r="H90">
        <v>11</v>
      </c>
      <c r="I90">
        <v>13.6</v>
      </c>
      <c r="J90">
        <f t="shared" si="5"/>
        <v>812.1</v>
      </c>
      <c r="M90">
        <v>0</v>
      </c>
      <c r="N90">
        <v>0.5</v>
      </c>
      <c r="O90">
        <f t="shared" si="2"/>
        <v>-0.5</v>
      </c>
      <c r="P90">
        <f t="shared" si="7"/>
        <v>15.099999999999998</v>
      </c>
      <c r="Q90" s="22">
        <v>56</v>
      </c>
      <c r="R90">
        <f t="shared" si="9"/>
        <v>0.72499999999999998</v>
      </c>
      <c r="S90" s="23">
        <f t="shared" si="3"/>
        <v>0.36249999999999999</v>
      </c>
      <c r="T90" s="23">
        <f t="shared" si="4"/>
        <v>-0.36249999999999999</v>
      </c>
      <c r="U90" s="23">
        <f t="shared" si="8"/>
        <v>21.19083333333333</v>
      </c>
      <c r="W90">
        <v>269.7</v>
      </c>
      <c r="Y90">
        <f t="shared" si="6"/>
        <v>54948.499999999985</v>
      </c>
      <c r="AA90">
        <v>9.9471344534110102</v>
      </c>
    </row>
    <row r="91" spans="1:27" x14ac:dyDescent="0.25">
      <c r="A91">
        <v>6280</v>
      </c>
      <c r="B91">
        <v>24170</v>
      </c>
      <c r="C91" s="8">
        <v>42669</v>
      </c>
      <c r="F91" s="46"/>
      <c r="G91">
        <v>9.9</v>
      </c>
      <c r="H91">
        <v>8.6999999999999993</v>
      </c>
      <c r="I91">
        <v>11.2</v>
      </c>
      <c r="J91">
        <f t="shared" si="5"/>
        <v>822</v>
      </c>
      <c r="M91">
        <v>0</v>
      </c>
      <c r="N91">
        <v>0.6</v>
      </c>
      <c r="O91">
        <f t="shared" si="2"/>
        <v>-0.6</v>
      </c>
      <c r="P91">
        <f t="shared" si="7"/>
        <v>14.499999999999998</v>
      </c>
      <c r="Q91">
        <v>57</v>
      </c>
      <c r="R91">
        <f t="shared" si="9"/>
        <v>0.73333333333333339</v>
      </c>
      <c r="S91" s="23">
        <f t="shared" si="3"/>
        <v>0.44</v>
      </c>
      <c r="T91" s="23">
        <f t="shared" si="4"/>
        <v>-0.44</v>
      </c>
      <c r="U91" s="23">
        <f t="shared" si="8"/>
        <v>20.750833333333329</v>
      </c>
      <c r="W91">
        <v>253.8</v>
      </c>
      <c r="Y91">
        <f t="shared" si="6"/>
        <v>55202.299999999988</v>
      </c>
      <c r="AA91">
        <v>9.8917716982665507</v>
      </c>
    </row>
    <row r="92" spans="1:27" x14ac:dyDescent="0.25">
      <c r="A92">
        <v>6280</v>
      </c>
      <c r="B92">
        <v>24170</v>
      </c>
      <c r="C92" s="8">
        <v>42670</v>
      </c>
      <c r="F92" s="46"/>
      <c r="G92">
        <v>9.8000000000000007</v>
      </c>
      <c r="H92">
        <v>8.3000000000000007</v>
      </c>
      <c r="I92">
        <v>12.3</v>
      </c>
      <c r="J92">
        <f t="shared" si="5"/>
        <v>831.8</v>
      </c>
      <c r="M92">
        <v>0</v>
      </c>
      <c r="N92">
        <v>1.4</v>
      </c>
      <c r="O92">
        <f t="shared" si="2"/>
        <v>-1.4</v>
      </c>
      <c r="P92">
        <f t="shared" si="7"/>
        <v>13.099999999999998</v>
      </c>
      <c r="Q92" s="22">
        <v>58</v>
      </c>
      <c r="R92">
        <f t="shared" si="9"/>
        <v>0.7416666666666667</v>
      </c>
      <c r="S92" s="23">
        <f t="shared" si="3"/>
        <v>1.0383333333333333</v>
      </c>
      <c r="T92" s="23">
        <f t="shared" si="4"/>
        <v>-1.0383333333333333</v>
      </c>
      <c r="U92" s="23">
        <f t="shared" si="8"/>
        <v>19.712499999999995</v>
      </c>
      <c r="W92">
        <v>813.3</v>
      </c>
      <c r="Y92">
        <f t="shared" si="6"/>
        <v>56015.599999999991</v>
      </c>
      <c r="AA92">
        <v>9.8368091289791959</v>
      </c>
    </row>
    <row r="93" spans="1:27" x14ac:dyDescent="0.25">
      <c r="A93">
        <v>6280</v>
      </c>
      <c r="B93">
        <v>24170</v>
      </c>
      <c r="C93" s="8">
        <v>42671</v>
      </c>
      <c r="F93" s="46"/>
      <c r="G93">
        <v>10.1</v>
      </c>
      <c r="H93">
        <v>5.8</v>
      </c>
      <c r="I93">
        <v>12.6</v>
      </c>
      <c r="J93">
        <f t="shared" si="5"/>
        <v>841.9</v>
      </c>
      <c r="M93">
        <v>0</v>
      </c>
      <c r="N93">
        <v>0.7</v>
      </c>
      <c r="O93">
        <f t="shared" si="2"/>
        <v>-0.7</v>
      </c>
      <c r="P93">
        <f t="shared" si="7"/>
        <v>12.399999999999999</v>
      </c>
      <c r="Q93">
        <v>59</v>
      </c>
      <c r="R93">
        <f t="shared" si="9"/>
        <v>0.75</v>
      </c>
      <c r="S93" s="23">
        <f t="shared" si="3"/>
        <v>0.52499999999999991</v>
      </c>
      <c r="T93" s="23">
        <f t="shared" si="4"/>
        <v>-0.52499999999999991</v>
      </c>
      <c r="U93" s="23">
        <f t="shared" si="8"/>
        <v>19.187499999999996</v>
      </c>
      <c r="W93">
        <v>248.5</v>
      </c>
      <c r="Y93">
        <f t="shared" si="6"/>
        <v>56264.099999999991</v>
      </c>
      <c r="AA93">
        <v>9.7822640965422742</v>
      </c>
    </row>
    <row r="94" spans="1:27" x14ac:dyDescent="0.25">
      <c r="A94">
        <v>6280</v>
      </c>
      <c r="B94">
        <v>24170</v>
      </c>
      <c r="C94" s="8">
        <v>42672</v>
      </c>
      <c r="F94" s="46"/>
      <c r="G94">
        <v>11</v>
      </c>
      <c r="H94">
        <v>10.199999999999999</v>
      </c>
      <c r="I94">
        <v>13.1</v>
      </c>
      <c r="J94">
        <f t="shared" si="5"/>
        <v>852.9</v>
      </c>
      <c r="M94">
        <v>0</v>
      </c>
      <c r="N94">
        <v>0.9</v>
      </c>
      <c r="O94">
        <f t="shared" si="2"/>
        <v>-0.9</v>
      </c>
      <c r="P94">
        <f t="shared" si="7"/>
        <v>11.499999999999998</v>
      </c>
      <c r="Q94" s="22">
        <v>60</v>
      </c>
      <c r="R94">
        <f t="shared" si="9"/>
        <v>0.7583333333333333</v>
      </c>
      <c r="S94" s="23">
        <f t="shared" si="3"/>
        <v>0.6825</v>
      </c>
      <c r="T94" s="23">
        <f t="shared" si="4"/>
        <v>-0.6825</v>
      </c>
      <c r="U94" s="23">
        <f t="shared" si="8"/>
        <v>18.504999999999995</v>
      </c>
      <c r="W94">
        <v>212.5</v>
      </c>
      <c r="Y94">
        <f t="shared" si="6"/>
        <v>56476.599999999991</v>
      </c>
      <c r="AA94">
        <v>9.7281543914891877</v>
      </c>
    </row>
    <row r="95" spans="1:27" x14ac:dyDescent="0.25">
      <c r="A95">
        <v>6280</v>
      </c>
      <c r="B95">
        <v>24170</v>
      </c>
      <c r="C95" s="8">
        <v>42673</v>
      </c>
      <c r="F95" s="46"/>
      <c r="G95">
        <v>10.6</v>
      </c>
      <c r="H95">
        <v>6.7</v>
      </c>
      <c r="I95">
        <v>15.7</v>
      </c>
      <c r="J95">
        <f t="shared" si="5"/>
        <v>863.5</v>
      </c>
      <c r="M95">
        <v>0.1</v>
      </c>
      <c r="N95">
        <v>1.6</v>
      </c>
      <c r="O95">
        <f t="shared" si="2"/>
        <v>-1.5</v>
      </c>
      <c r="P95">
        <f t="shared" si="7"/>
        <v>9.9999999999999982</v>
      </c>
      <c r="Q95">
        <v>61</v>
      </c>
      <c r="R95">
        <f t="shared" si="9"/>
        <v>0.76666666666666672</v>
      </c>
      <c r="S95" s="23">
        <f t="shared" si="3"/>
        <v>1.2266666666666668</v>
      </c>
      <c r="T95" s="23">
        <f t="shared" si="4"/>
        <v>-1.1266666666666667</v>
      </c>
      <c r="U95" s="23">
        <f t="shared" si="8"/>
        <v>17.37833333333333</v>
      </c>
      <c r="W95">
        <v>840</v>
      </c>
      <c r="Y95">
        <f t="shared" si="6"/>
        <v>57316.599999999991</v>
      </c>
      <c r="AA95">
        <v>9.6744982446561298</v>
      </c>
    </row>
    <row r="96" spans="1:27" x14ac:dyDescent="0.25">
      <c r="A96">
        <v>6280</v>
      </c>
      <c r="B96">
        <v>24170</v>
      </c>
      <c r="C96" s="8">
        <v>42674</v>
      </c>
      <c r="F96" s="46"/>
      <c r="G96">
        <v>10.4</v>
      </c>
      <c r="H96">
        <v>6</v>
      </c>
      <c r="I96">
        <v>16.2</v>
      </c>
      <c r="J96">
        <f t="shared" si="5"/>
        <v>873.9</v>
      </c>
      <c r="M96">
        <v>0</v>
      </c>
      <c r="N96">
        <v>1.5</v>
      </c>
      <c r="O96">
        <f t="shared" si="2"/>
        <v>-1.5</v>
      </c>
      <c r="P96">
        <f t="shared" si="7"/>
        <v>8.4999999999999982</v>
      </c>
      <c r="Q96" s="22">
        <v>62</v>
      </c>
      <c r="R96">
        <f t="shared" si="9"/>
        <v>0.77500000000000002</v>
      </c>
      <c r="S96" s="23">
        <f t="shared" si="3"/>
        <v>1.1625000000000001</v>
      </c>
      <c r="T96" s="23">
        <f t="shared" si="4"/>
        <v>-1.1625000000000001</v>
      </c>
      <c r="U96" s="23">
        <f t="shared" si="8"/>
        <v>16.215833333333329</v>
      </c>
      <c r="W96">
        <v>820.3</v>
      </c>
      <c r="Y96">
        <f t="shared" si="6"/>
        <v>58136.899999999994</v>
      </c>
      <c r="AA96">
        <v>9.6213143266599523</v>
      </c>
    </row>
    <row r="97" spans="1:27" x14ac:dyDescent="0.25">
      <c r="A97">
        <v>6280</v>
      </c>
      <c r="B97">
        <v>24170</v>
      </c>
      <c r="C97" s="8">
        <v>42675</v>
      </c>
      <c r="F97" s="46"/>
      <c r="G97">
        <v>7.5</v>
      </c>
      <c r="H97">
        <v>2.9</v>
      </c>
      <c r="I97">
        <v>11.7</v>
      </c>
      <c r="J97">
        <f t="shared" si="5"/>
        <v>881.4</v>
      </c>
      <c r="M97">
        <v>0.1</v>
      </c>
      <c r="N97">
        <v>1</v>
      </c>
      <c r="O97">
        <f t="shared" si="2"/>
        <v>-0.9</v>
      </c>
      <c r="P97">
        <f t="shared" si="7"/>
        <v>7.5999999999999979</v>
      </c>
      <c r="Q97">
        <v>63</v>
      </c>
      <c r="R97">
        <f t="shared" si="9"/>
        <v>0.78333333333333333</v>
      </c>
      <c r="S97" s="23">
        <f t="shared" si="3"/>
        <v>0.78333333333333333</v>
      </c>
      <c r="T97" s="23">
        <f t="shared" si="4"/>
        <v>-0.68333333333333335</v>
      </c>
      <c r="U97" s="23">
        <f t="shared" si="8"/>
        <v>15.532499999999995</v>
      </c>
      <c r="W97">
        <v>617.70000000000005</v>
      </c>
      <c r="Y97">
        <f t="shared" si="6"/>
        <v>58754.599999999991</v>
      </c>
      <c r="AA97">
        <v>9.5686217460165253</v>
      </c>
    </row>
    <row r="98" spans="1:27" x14ac:dyDescent="0.25">
      <c r="A98">
        <v>6280</v>
      </c>
      <c r="B98">
        <v>24170</v>
      </c>
      <c r="C98" s="8">
        <v>42676</v>
      </c>
      <c r="F98" s="46"/>
      <c r="G98">
        <v>7.7</v>
      </c>
      <c r="H98">
        <v>5.7</v>
      </c>
      <c r="I98">
        <v>11.5</v>
      </c>
      <c r="J98">
        <f t="shared" si="5"/>
        <v>889.1</v>
      </c>
      <c r="M98">
        <v>0</v>
      </c>
      <c r="N98">
        <v>1</v>
      </c>
      <c r="O98">
        <f t="shared" si="2"/>
        <v>-1</v>
      </c>
      <c r="P98">
        <f t="shared" si="7"/>
        <v>6.5999999999999979</v>
      </c>
      <c r="Q98" s="22">
        <v>64</v>
      </c>
      <c r="R98">
        <f t="shared" si="9"/>
        <v>0.79166666666666674</v>
      </c>
      <c r="S98" s="23">
        <f t="shared" si="3"/>
        <v>0.79166666666666674</v>
      </c>
      <c r="T98" s="23">
        <f t="shared" si="4"/>
        <v>-0.79166666666666674</v>
      </c>
      <c r="U98" s="23">
        <f t="shared" si="8"/>
        <v>14.740833333333329</v>
      </c>
      <c r="W98">
        <v>703.3</v>
      </c>
      <c r="Y98">
        <f t="shared" si="6"/>
        <v>59457.899999999994</v>
      </c>
      <c r="AA98">
        <v>9.5164400458238969</v>
      </c>
    </row>
    <row r="99" spans="1:27" x14ac:dyDescent="0.25">
      <c r="A99">
        <v>6280</v>
      </c>
      <c r="B99">
        <v>24170</v>
      </c>
      <c r="C99" s="8">
        <v>42677</v>
      </c>
      <c r="F99" s="46"/>
      <c r="G99">
        <v>4.7</v>
      </c>
      <c r="H99">
        <v>-0.4</v>
      </c>
      <c r="I99">
        <v>10.5</v>
      </c>
      <c r="J99">
        <f t="shared" si="5"/>
        <v>893.80000000000007</v>
      </c>
      <c r="M99">
        <v>0.1</v>
      </c>
      <c r="N99">
        <v>1</v>
      </c>
      <c r="O99">
        <f t="shared" si="2"/>
        <v>-0.9</v>
      </c>
      <c r="P99">
        <f t="shared" si="7"/>
        <v>5.6999999999999975</v>
      </c>
      <c r="Q99">
        <v>65</v>
      </c>
      <c r="R99">
        <f t="shared" si="9"/>
        <v>0.8</v>
      </c>
      <c r="S99" s="23">
        <f t="shared" si="3"/>
        <v>0.8</v>
      </c>
      <c r="T99" s="23">
        <f t="shared" si="4"/>
        <v>-0.70000000000000007</v>
      </c>
      <c r="U99" s="23">
        <f t="shared" si="8"/>
        <v>14.04083333333333</v>
      </c>
      <c r="W99">
        <v>652.29999999999995</v>
      </c>
      <c r="Y99">
        <f t="shared" si="6"/>
        <v>60110.2</v>
      </c>
      <c r="AA99">
        <v>9.4647891989341879</v>
      </c>
    </row>
    <row r="100" spans="1:27" x14ac:dyDescent="0.25">
      <c r="A100">
        <v>6280</v>
      </c>
      <c r="B100">
        <v>24170</v>
      </c>
      <c r="C100" s="8">
        <v>42678</v>
      </c>
      <c r="F100" s="46"/>
      <c r="G100">
        <v>5.6</v>
      </c>
      <c r="H100">
        <v>3.4</v>
      </c>
      <c r="I100">
        <v>7.5</v>
      </c>
      <c r="J100">
        <f t="shared" si="5"/>
        <v>899.40000000000009</v>
      </c>
      <c r="M100">
        <v>11.9</v>
      </c>
      <c r="N100">
        <v>0.2</v>
      </c>
      <c r="O100">
        <f t="shared" ref="O100:O163" si="10">M100-N100</f>
        <v>11.700000000000001</v>
      </c>
      <c r="P100">
        <f t="shared" si="7"/>
        <v>17.399999999999999</v>
      </c>
      <c r="Q100" s="22">
        <v>66</v>
      </c>
      <c r="R100">
        <f t="shared" si="9"/>
        <v>0.80833333333333335</v>
      </c>
      <c r="S100" s="23">
        <f t="shared" ref="S100:S163" si="11">R100*N100</f>
        <v>0.16166666666666668</v>
      </c>
      <c r="T100" s="23">
        <f t="shared" ref="T100:T163" si="12">M100-S100</f>
        <v>11.738333333333333</v>
      </c>
      <c r="U100" s="23">
        <f t="shared" si="8"/>
        <v>25.779166666666661</v>
      </c>
      <c r="W100">
        <v>86.1</v>
      </c>
      <c r="Y100">
        <f t="shared" si="6"/>
        <v>60196.299999999996</v>
      </c>
      <c r="AA100">
        <v>9.4136896015379623</v>
      </c>
    </row>
    <row r="101" spans="1:27" x14ac:dyDescent="0.25">
      <c r="A101">
        <v>6280</v>
      </c>
      <c r="B101">
        <v>24170</v>
      </c>
      <c r="C101" s="8">
        <v>42679</v>
      </c>
      <c r="F101" s="46"/>
      <c r="G101">
        <v>7.8</v>
      </c>
      <c r="H101">
        <v>6.8</v>
      </c>
      <c r="I101">
        <v>9.3000000000000007</v>
      </c>
      <c r="J101">
        <f t="shared" ref="J101:J162" si="13">J100+G101</f>
        <v>907.2</v>
      </c>
      <c r="M101">
        <v>0.4</v>
      </c>
      <c r="N101">
        <v>0.5</v>
      </c>
      <c r="O101">
        <f t="shared" si="10"/>
        <v>-9.9999999999999978E-2</v>
      </c>
      <c r="P101">
        <f t="shared" si="7"/>
        <v>17.299999999999997</v>
      </c>
      <c r="Q101">
        <v>67</v>
      </c>
      <c r="R101">
        <f t="shared" si="9"/>
        <v>0.81666666666666665</v>
      </c>
      <c r="S101" s="23">
        <f t="shared" si="11"/>
        <v>0.40833333333333333</v>
      </c>
      <c r="T101" s="23">
        <f t="shared" si="12"/>
        <v>-8.3333333333333037E-3</v>
      </c>
      <c r="U101" s="23">
        <f t="shared" si="8"/>
        <v>25.770833333333329</v>
      </c>
      <c r="W101">
        <v>347.2</v>
      </c>
      <c r="Y101">
        <f t="shared" ref="Y101:Y164" si="14">Y100+W101</f>
        <v>60543.499999999993</v>
      </c>
      <c r="AA101">
        <v>9.3631620650854828</v>
      </c>
    </row>
    <row r="102" spans="1:27" x14ac:dyDescent="0.25">
      <c r="A102">
        <v>6280</v>
      </c>
      <c r="B102">
        <v>24170</v>
      </c>
      <c r="C102" s="8">
        <v>42680</v>
      </c>
      <c r="F102" s="46"/>
      <c r="G102">
        <v>5.4</v>
      </c>
      <c r="H102">
        <v>4.3</v>
      </c>
      <c r="I102">
        <v>7.8</v>
      </c>
      <c r="J102">
        <f t="shared" si="13"/>
        <v>912.6</v>
      </c>
      <c r="M102">
        <v>1.3</v>
      </c>
      <c r="N102">
        <v>1</v>
      </c>
      <c r="O102">
        <f t="shared" si="10"/>
        <v>0.30000000000000004</v>
      </c>
      <c r="P102">
        <f t="shared" si="7"/>
        <v>17.599999999999998</v>
      </c>
      <c r="Q102" s="22">
        <v>68</v>
      </c>
      <c r="R102">
        <f t="shared" si="9"/>
        <v>0.82499999999999996</v>
      </c>
      <c r="S102" s="23">
        <f t="shared" si="11"/>
        <v>0.82499999999999996</v>
      </c>
      <c r="T102" s="23">
        <f t="shared" si="12"/>
        <v>0.47500000000000009</v>
      </c>
      <c r="U102" s="23">
        <f t="shared" si="8"/>
        <v>26.24583333333333</v>
      </c>
      <c r="W102">
        <v>826.7</v>
      </c>
      <c r="Y102">
        <f t="shared" si="14"/>
        <v>61370.19999999999</v>
      </c>
      <c r="AA102">
        <v>9.3132278064701204</v>
      </c>
    </row>
    <row r="103" spans="1:27" x14ac:dyDescent="0.25">
      <c r="A103">
        <v>6280</v>
      </c>
      <c r="B103">
        <v>24170</v>
      </c>
      <c r="C103" s="8">
        <v>42681</v>
      </c>
      <c r="F103" s="46"/>
      <c r="G103">
        <v>2.7</v>
      </c>
      <c r="H103">
        <v>1.8</v>
      </c>
      <c r="I103">
        <v>3.7</v>
      </c>
      <c r="J103">
        <f t="shared" si="13"/>
        <v>915.30000000000007</v>
      </c>
      <c r="M103">
        <v>3.1</v>
      </c>
      <c r="N103">
        <v>0.4</v>
      </c>
      <c r="O103">
        <f t="shared" si="10"/>
        <v>2.7</v>
      </c>
      <c r="P103">
        <f t="shared" si="7"/>
        <v>20.299999999999997</v>
      </c>
      <c r="Q103">
        <v>69</v>
      </c>
      <c r="R103">
        <f t="shared" si="9"/>
        <v>0.83333333333333326</v>
      </c>
      <c r="S103" s="23">
        <f t="shared" si="11"/>
        <v>0.33333333333333331</v>
      </c>
      <c r="T103" s="23">
        <f t="shared" si="12"/>
        <v>2.7666666666666666</v>
      </c>
      <c r="U103" s="23">
        <f t="shared" si="8"/>
        <v>29.012499999999996</v>
      </c>
      <c r="W103">
        <v>185.2</v>
      </c>
      <c r="Y103">
        <f t="shared" si="14"/>
        <v>61555.399999999987</v>
      </c>
      <c r="AA103">
        <v>9.2639084364010795</v>
      </c>
    </row>
    <row r="104" spans="1:27" x14ac:dyDescent="0.25">
      <c r="A104">
        <v>6280</v>
      </c>
      <c r="B104">
        <v>24170</v>
      </c>
      <c r="C104" s="8">
        <v>42682</v>
      </c>
      <c r="F104" s="46"/>
      <c r="G104">
        <v>4.5999999999999996</v>
      </c>
      <c r="H104">
        <v>2.5</v>
      </c>
      <c r="I104">
        <v>6.2</v>
      </c>
      <c r="J104">
        <f t="shared" si="13"/>
        <v>919.90000000000009</v>
      </c>
      <c r="M104">
        <v>5</v>
      </c>
      <c r="N104">
        <v>0.6</v>
      </c>
      <c r="O104">
        <f t="shared" si="10"/>
        <v>4.4000000000000004</v>
      </c>
      <c r="P104">
        <f t="shared" si="7"/>
        <v>24.699999999999996</v>
      </c>
      <c r="Q104" s="22">
        <v>70</v>
      </c>
      <c r="R104">
        <f t="shared" si="9"/>
        <v>0.84166666666666667</v>
      </c>
      <c r="S104" s="23">
        <f t="shared" si="11"/>
        <v>0.505</v>
      </c>
      <c r="T104" s="23">
        <f t="shared" si="12"/>
        <v>4.4950000000000001</v>
      </c>
      <c r="U104" s="23">
        <f t="shared" si="8"/>
        <v>33.507499999999993</v>
      </c>
      <c r="W104">
        <v>549.9</v>
      </c>
      <c r="Y104">
        <f t="shared" si="14"/>
        <v>62105.299999999988</v>
      </c>
      <c r="AA104">
        <v>9.2152259458948578</v>
      </c>
    </row>
    <row r="105" spans="1:27" x14ac:dyDescent="0.25">
      <c r="A105">
        <v>6280</v>
      </c>
      <c r="B105">
        <v>24170</v>
      </c>
      <c r="C105" s="8">
        <v>42683</v>
      </c>
      <c r="F105" s="46"/>
      <c r="G105">
        <v>6.7</v>
      </c>
      <c r="H105">
        <v>4.5</v>
      </c>
      <c r="I105">
        <v>8.1</v>
      </c>
      <c r="J105">
        <f t="shared" si="13"/>
        <v>926.60000000000014</v>
      </c>
      <c r="M105">
        <v>12</v>
      </c>
      <c r="N105">
        <v>0.3</v>
      </c>
      <c r="O105">
        <f t="shared" si="10"/>
        <v>11.7</v>
      </c>
      <c r="P105">
        <f t="shared" ref="P105:P168" si="15">P104+O105</f>
        <v>36.399999999999991</v>
      </c>
      <c r="Q105">
        <v>71</v>
      </c>
      <c r="R105">
        <f t="shared" si="9"/>
        <v>0.85</v>
      </c>
      <c r="S105" s="23">
        <f t="shared" si="11"/>
        <v>0.255</v>
      </c>
      <c r="T105" s="23">
        <f t="shared" si="12"/>
        <v>11.744999999999999</v>
      </c>
      <c r="U105" s="23">
        <f t="shared" ref="U105:U168" si="16">MIN(U104+T105,197.4)</f>
        <v>45.252499999999991</v>
      </c>
      <c r="W105">
        <v>121.7</v>
      </c>
      <c r="Y105">
        <f t="shared" si="14"/>
        <v>62226.999999999985</v>
      </c>
      <c r="AA105">
        <v>9.1672026908181508</v>
      </c>
    </row>
    <row r="106" spans="1:27" x14ac:dyDescent="0.25">
      <c r="A106">
        <v>6280</v>
      </c>
      <c r="B106">
        <v>24170</v>
      </c>
      <c r="C106" s="8">
        <v>42684</v>
      </c>
      <c r="F106" s="46"/>
      <c r="G106">
        <v>8.1999999999999993</v>
      </c>
      <c r="H106">
        <v>6.5</v>
      </c>
      <c r="I106">
        <v>9.6999999999999993</v>
      </c>
      <c r="J106">
        <f t="shared" si="13"/>
        <v>934.80000000000018</v>
      </c>
      <c r="M106">
        <v>7.8</v>
      </c>
      <c r="N106">
        <v>0.7</v>
      </c>
      <c r="O106">
        <f t="shared" si="10"/>
        <v>7.1</v>
      </c>
      <c r="P106">
        <f t="shared" si="15"/>
        <v>43.499999999999993</v>
      </c>
      <c r="Q106" s="22">
        <v>72</v>
      </c>
      <c r="R106">
        <f t="shared" si="9"/>
        <v>0.85833333333333328</v>
      </c>
      <c r="S106" s="23">
        <f t="shared" si="11"/>
        <v>0.60083333333333322</v>
      </c>
      <c r="T106" s="23">
        <f t="shared" si="12"/>
        <v>7.1991666666666667</v>
      </c>
      <c r="U106" s="23">
        <f t="shared" si="16"/>
        <v>52.451666666666654</v>
      </c>
      <c r="W106">
        <v>416</v>
      </c>
      <c r="Y106">
        <f t="shared" si="14"/>
        <v>62642.999999999985</v>
      </c>
      <c r="AA106">
        <v>9.1198613744188091</v>
      </c>
    </row>
    <row r="107" spans="1:27" x14ac:dyDescent="0.25">
      <c r="A107">
        <v>6280</v>
      </c>
      <c r="B107">
        <v>24170</v>
      </c>
      <c r="C107" s="8">
        <v>42685</v>
      </c>
      <c r="F107" s="46"/>
      <c r="G107">
        <v>4.7</v>
      </c>
      <c r="H107">
        <v>3.1</v>
      </c>
      <c r="I107">
        <v>8.8000000000000007</v>
      </c>
      <c r="J107">
        <f t="shared" si="13"/>
        <v>939.50000000000023</v>
      </c>
      <c r="M107">
        <v>0</v>
      </c>
      <c r="N107">
        <v>1</v>
      </c>
      <c r="O107">
        <f t="shared" si="10"/>
        <v>-1</v>
      </c>
      <c r="P107">
        <f t="shared" si="15"/>
        <v>42.499999999999993</v>
      </c>
      <c r="Q107">
        <v>73</v>
      </c>
      <c r="R107">
        <f t="shared" si="9"/>
        <v>0.86666666666666659</v>
      </c>
      <c r="S107" s="23">
        <f t="shared" si="11"/>
        <v>0.86666666666666659</v>
      </c>
      <c r="T107" s="23">
        <f t="shared" si="12"/>
        <v>-0.86666666666666659</v>
      </c>
      <c r="U107" s="23">
        <f t="shared" si="16"/>
        <v>51.584999999999987</v>
      </c>
      <c r="W107">
        <v>538</v>
      </c>
      <c r="Y107">
        <f t="shared" si="14"/>
        <v>63180.999999999985</v>
      </c>
      <c r="AA107">
        <v>9.0732250277864139</v>
      </c>
    </row>
    <row r="108" spans="1:27" x14ac:dyDescent="0.25">
      <c r="A108">
        <v>6280</v>
      </c>
      <c r="B108">
        <v>24170</v>
      </c>
      <c r="C108" s="8">
        <v>42686</v>
      </c>
      <c r="F108" s="46"/>
      <c r="G108">
        <v>2</v>
      </c>
      <c r="H108">
        <v>-1.9</v>
      </c>
      <c r="I108">
        <v>5.4</v>
      </c>
      <c r="J108">
        <f t="shared" si="13"/>
        <v>941.50000000000023</v>
      </c>
      <c r="M108">
        <v>4.9000000000000004</v>
      </c>
      <c r="N108">
        <v>0.4</v>
      </c>
      <c r="O108">
        <f t="shared" si="10"/>
        <v>4.5</v>
      </c>
      <c r="P108">
        <f t="shared" si="15"/>
        <v>46.999999999999993</v>
      </c>
      <c r="Q108" s="22">
        <v>74</v>
      </c>
      <c r="R108">
        <f t="shared" si="9"/>
        <v>0.875</v>
      </c>
      <c r="S108" s="23">
        <f t="shared" si="11"/>
        <v>0.35000000000000003</v>
      </c>
      <c r="T108" s="23">
        <f t="shared" si="12"/>
        <v>4.5500000000000007</v>
      </c>
      <c r="U108" s="23">
        <f t="shared" si="16"/>
        <v>56.134999999999991</v>
      </c>
      <c r="W108">
        <v>261.60000000000002</v>
      </c>
      <c r="Y108">
        <f t="shared" si="14"/>
        <v>63442.599999999984</v>
      </c>
      <c r="AA108">
        <v>9.027316988189737</v>
      </c>
    </row>
    <row r="109" spans="1:27" x14ac:dyDescent="0.25">
      <c r="A109">
        <v>6280</v>
      </c>
      <c r="B109">
        <v>24170</v>
      </c>
      <c r="C109" s="8">
        <v>42687</v>
      </c>
      <c r="E109" t="s">
        <v>61</v>
      </c>
      <c r="F109" s="46"/>
      <c r="G109">
        <v>6.7</v>
      </c>
      <c r="H109">
        <v>4.0999999999999996</v>
      </c>
      <c r="I109">
        <v>8.4</v>
      </c>
      <c r="J109">
        <f t="shared" si="13"/>
        <v>948.20000000000027</v>
      </c>
      <c r="M109">
        <v>1</v>
      </c>
      <c r="N109">
        <v>0.2</v>
      </c>
      <c r="O109">
        <f t="shared" si="10"/>
        <v>0.8</v>
      </c>
      <c r="P109">
        <f t="shared" si="15"/>
        <v>47.79999999999999</v>
      </c>
      <c r="Q109">
        <v>75</v>
      </c>
      <c r="R109">
        <f t="shared" si="9"/>
        <v>0.8833333333333333</v>
      </c>
      <c r="S109" s="23">
        <f t="shared" si="11"/>
        <v>0.17666666666666667</v>
      </c>
      <c r="T109" s="23">
        <f t="shared" si="12"/>
        <v>0.82333333333333336</v>
      </c>
      <c r="U109" s="23">
        <f t="shared" si="16"/>
        <v>56.958333333333321</v>
      </c>
      <c r="W109">
        <v>131.19999999999999</v>
      </c>
      <c r="Y109">
        <f t="shared" si="14"/>
        <v>63573.799999999981</v>
      </c>
      <c r="AA109" s="35">
        <v>8.9821608752453006</v>
      </c>
    </row>
    <row r="110" spans="1:27" x14ac:dyDescent="0.25">
      <c r="A110">
        <v>6280</v>
      </c>
      <c r="B110">
        <v>24170</v>
      </c>
      <c r="C110" s="8">
        <v>42688</v>
      </c>
      <c r="F110" s="46"/>
      <c r="G110">
        <v>6.6</v>
      </c>
      <c r="H110">
        <v>5.5</v>
      </c>
      <c r="I110">
        <v>7.7</v>
      </c>
      <c r="J110">
        <f t="shared" si="13"/>
        <v>954.8000000000003</v>
      </c>
      <c r="M110">
        <v>0.9</v>
      </c>
      <c r="N110">
        <v>0.5</v>
      </c>
      <c r="O110">
        <f t="shared" si="10"/>
        <v>0.4</v>
      </c>
      <c r="P110">
        <f t="shared" si="15"/>
        <v>48.199999999999989</v>
      </c>
      <c r="Q110" s="22">
        <v>76</v>
      </c>
      <c r="R110">
        <f t="shared" si="9"/>
        <v>0.89166666666666672</v>
      </c>
      <c r="S110" s="23">
        <f t="shared" si="11"/>
        <v>0.44583333333333336</v>
      </c>
      <c r="T110" s="23">
        <f t="shared" si="12"/>
        <v>0.45416666666666666</v>
      </c>
      <c r="U110" s="23">
        <f t="shared" si="16"/>
        <v>57.412499999999987</v>
      </c>
      <c r="W110">
        <v>219.8</v>
      </c>
      <c r="Y110">
        <f t="shared" si="14"/>
        <v>63793.599999999984</v>
      </c>
      <c r="AA110" s="35">
        <v>8.9377805648789082</v>
      </c>
    </row>
    <row r="111" spans="1:27" x14ac:dyDescent="0.25">
      <c r="A111">
        <v>6280</v>
      </c>
      <c r="B111">
        <v>24170</v>
      </c>
      <c r="C111" s="8">
        <v>42689</v>
      </c>
      <c r="F111" s="46"/>
      <c r="G111">
        <v>9.9</v>
      </c>
      <c r="H111">
        <v>6.9</v>
      </c>
      <c r="I111">
        <v>11.7</v>
      </c>
      <c r="J111">
        <f t="shared" si="13"/>
        <v>964.70000000000027</v>
      </c>
      <c r="M111">
        <v>0.9</v>
      </c>
      <c r="N111">
        <v>0.2</v>
      </c>
      <c r="O111">
        <f t="shared" si="10"/>
        <v>0.7</v>
      </c>
      <c r="P111">
        <f t="shared" si="15"/>
        <v>48.899999999999991</v>
      </c>
      <c r="Q111">
        <v>77</v>
      </c>
      <c r="R111">
        <f t="shared" ref="R111:R123" si="17">0.35+((Q111-11)/78)*(1-0.35)</f>
        <v>0.9</v>
      </c>
      <c r="S111" s="23">
        <f t="shared" si="11"/>
        <v>0.18000000000000002</v>
      </c>
      <c r="T111" s="23">
        <f t="shared" si="12"/>
        <v>0.72</v>
      </c>
      <c r="U111" s="23">
        <f t="shared" si="16"/>
        <v>58.132499999999986</v>
      </c>
      <c r="W111">
        <v>103.3</v>
      </c>
      <c r="Y111">
        <f t="shared" si="14"/>
        <v>63896.899999999987</v>
      </c>
      <c r="AA111" s="35">
        <v>8.894200161051014</v>
      </c>
    </row>
    <row r="112" spans="1:27" x14ac:dyDescent="0.25">
      <c r="A112">
        <v>6280</v>
      </c>
      <c r="B112">
        <v>24170</v>
      </c>
      <c r="C112" s="8">
        <v>42690</v>
      </c>
      <c r="F112" s="46"/>
      <c r="G112">
        <v>11.4</v>
      </c>
      <c r="H112">
        <v>11.3</v>
      </c>
      <c r="I112">
        <v>11.5</v>
      </c>
      <c r="J112">
        <f t="shared" si="13"/>
        <v>976.10000000000025</v>
      </c>
      <c r="M112">
        <v>0.2</v>
      </c>
      <c r="N112">
        <v>0.4</v>
      </c>
      <c r="O112">
        <f t="shared" si="10"/>
        <v>-0.2</v>
      </c>
      <c r="P112">
        <f t="shared" si="15"/>
        <v>48.699999999999989</v>
      </c>
      <c r="Q112" s="22">
        <v>78</v>
      </c>
      <c r="R112">
        <f t="shared" si="17"/>
        <v>0.90833333333333333</v>
      </c>
      <c r="S112" s="23">
        <f t="shared" si="11"/>
        <v>0.36333333333333334</v>
      </c>
      <c r="T112" s="23">
        <f t="shared" si="12"/>
        <v>-0.16333333333333333</v>
      </c>
      <c r="U112" s="23">
        <f t="shared" si="16"/>
        <v>57.969166666666652</v>
      </c>
      <c r="W112">
        <v>74.400000000000006</v>
      </c>
      <c r="Y112">
        <f t="shared" si="14"/>
        <v>63971.299999999988</v>
      </c>
      <c r="AA112" s="35">
        <v>8.851443965226732</v>
      </c>
    </row>
    <row r="113" spans="1:28" x14ac:dyDescent="0.25">
      <c r="A113">
        <v>6280</v>
      </c>
      <c r="B113">
        <v>24170</v>
      </c>
      <c r="C113" s="8">
        <v>42691</v>
      </c>
      <c r="F113" s="46"/>
      <c r="G113">
        <v>11.6</v>
      </c>
      <c r="H113">
        <v>10.6</v>
      </c>
      <c r="I113">
        <v>12.6</v>
      </c>
      <c r="J113">
        <f t="shared" si="13"/>
        <v>987.70000000000027</v>
      </c>
      <c r="M113">
        <v>3.5</v>
      </c>
      <c r="N113">
        <v>1.1000000000000001</v>
      </c>
      <c r="O113">
        <f t="shared" si="10"/>
        <v>2.4</v>
      </c>
      <c r="P113">
        <f t="shared" si="15"/>
        <v>51.099999999999987</v>
      </c>
      <c r="Q113">
        <v>79</v>
      </c>
      <c r="R113">
        <f t="shared" si="17"/>
        <v>0.91666666666666663</v>
      </c>
      <c r="S113" s="23">
        <f t="shared" si="11"/>
        <v>1.0083333333333333</v>
      </c>
      <c r="T113" s="23">
        <f t="shared" si="12"/>
        <v>2.4916666666666667</v>
      </c>
      <c r="U113" s="23">
        <f t="shared" si="16"/>
        <v>60.460833333333319</v>
      </c>
      <c r="W113">
        <v>290.2</v>
      </c>
      <c r="Y113">
        <f t="shared" si="14"/>
        <v>64261.499999999985</v>
      </c>
      <c r="AA113" s="35">
        <v>8.8095364435824077</v>
      </c>
    </row>
    <row r="114" spans="1:28" x14ac:dyDescent="0.25">
      <c r="A114">
        <v>6280</v>
      </c>
      <c r="B114">
        <v>24170</v>
      </c>
      <c r="C114" s="8">
        <v>42692</v>
      </c>
      <c r="F114" s="46"/>
      <c r="G114">
        <v>8.3000000000000007</v>
      </c>
      <c r="H114">
        <v>7.3</v>
      </c>
      <c r="I114">
        <v>9.8000000000000007</v>
      </c>
      <c r="J114">
        <f t="shared" si="13"/>
        <v>996.00000000000023</v>
      </c>
      <c r="M114">
        <v>0</v>
      </c>
      <c r="N114">
        <v>1.3</v>
      </c>
      <c r="O114">
        <f t="shared" si="10"/>
        <v>-1.3</v>
      </c>
      <c r="P114">
        <f t="shared" si="15"/>
        <v>49.79999999999999</v>
      </c>
      <c r="Q114" s="22">
        <v>80</v>
      </c>
      <c r="R114">
        <f t="shared" si="17"/>
        <v>0.92499999999999993</v>
      </c>
      <c r="S114" s="23">
        <f t="shared" si="11"/>
        <v>1.2024999999999999</v>
      </c>
      <c r="T114" s="23">
        <f t="shared" si="12"/>
        <v>-1.2024999999999999</v>
      </c>
      <c r="U114" s="23">
        <f t="shared" si="16"/>
        <v>59.258333333333319</v>
      </c>
      <c r="W114">
        <v>488.5</v>
      </c>
      <c r="Y114">
        <f t="shared" si="14"/>
        <v>64749.999999999985</v>
      </c>
      <c r="AA114" s="35">
        <v>8.7685021919528374</v>
      </c>
    </row>
    <row r="115" spans="1:28" x14ac:dyDescent="0.25">
      <c r="A115">
        <v>6280</v>
      </c>
      <c r="B115">
        <v>24170</v>
      </c>
      <c r="C115" s="8">
        <v>42693</v>
      </c>
      <c r="F115" s="46"/>
      <c r="G115">
        <v>6.5</v>
      </c>
      <c r="H115">
        <v>3.8</v>
      </c>
      <c r="I115">
        <v>10.5</v>
      </c>
      <c r="J115">
        <f t="shared" si="13"/>
        <v>1002.5000000000002</v>
      </c>
      <c r="M115">
        <v>1.3</v>
      </c>
      <c r="N115">
        <v>1.3</v>
      </c>
      <c r="O115">
        <f t="shared" si="10"/>
        <v>0</v>
      </c>
      <c r="P115">
        <f t="shared" si="15"/>
        <v>49.79999999999999</v>
      </c>
      <c r="Q115">
        <v>81</v>
      </c>
      <c r="R115">
        <f t="shared" si="17"/>
        <v>0.93333333333333335</v>
      </c>
      <c r="S115" s="23">
        <f t="shared" si="11"/>
        <v>1.2133333333333334</v>
      </c>
      <c r="T115" s="23">
        <f t="shared" si="12"/>
        <v>8.666666666666667E-2</v>
      </c>
      <c r="U115" s="23">
        <f t="shared" si="16"/>
        <v>59.344999999999985</v>
      </c>
      <c r="W115">
        <v>421.5</v>
      </c>
      <c r="Y115">
        <f t="shared" si="14"/>
        <v>65171.499999999985</v>
      </c>
      <c r="AA115" s="35">
        <v>8.7283658985364827</v>
      </c>
    </row>
    <row r="116" spans="1:28" x14ac:dyDescent="0.25">
      <c r="A116">
        <v>6280</v>
      </c>
      <c r="B116">
        <v>24170</v>
      </c>
      <c r="C116" s="8">
        <v>42694</v>
      </c>
      <c r="F116" s="46"/>
      <c r="G116">
        <v>10.9</v>
      </c>
      <c r="H116">
        <v>7.4</v>
      </c>
      <c r="I116">
        <v>11.7</v>
      </c>
      <c r="J116">
        <f t="shared" si="13"/>
        <v>1013.4000000000002</v>
      </c>
      <c r="M116">
        <v>4.5</v>
      </c>
      <c r="N116">
        <v>0.6</v>
      </c>
      <c r="O116">
        <f t="shared" si="10"/>
        <v>3.9</v>
      </c>
      <c r="P116">
        <f t="shared" si="15"/>
        <v>53.699999999999989</v>
      </c>
      <c r="Q116" s="22">
        <v>82</v>
      </c>
      <c r="R116">
        <f t="shared" si="17"/>
        <v>0.94166666666666665</v>
      </c>
      <c r="S116" s="23">
        <f t="shared" si="11"/>
        <v>0.56499999999999995</v>
      </c>
      <c r="T116" s="23">
        <f t="shared" si="12"/>
        <v>3.9350000000000001</v>
      </c>
      <c r="U116" s="23">
        <f t="shared" si="16"/>
        <v>63.279999999999987</v>
      </c>
      <c r="W116">
        <v>99.8</v>
      </c>
      <c r="Y116">
        <f t="shared" si="14"/>
        <v>65271.299999999988</v>
      </c>
      <c r="AA116" s="35">
        <v>8.6891523043905785</v>
      </c>
    </row>
    <row r="117" spans="1:28" x14ac:dyDescent="0.25">
      <c r="A117">
        <v>6280</v>
      </c>
      <c r="B117">
        <v>24170</v>
      </c>
      <c r="C117" s="8">
        <v>42695</v>
      </c>
      <c r="F117" s="46"/>
      <c r="G117">
        <v>12.6</v>
      </c>
      <c r="H117">
        <v>11.5</v>
      </c>
      <c r="I117">
        <v>16.2</v>
      </c>
      <c r="J117">
        <f t="shared" si="13"/>
        <v>1026.0000000000002</v>
      </c>
      <c r="M117">
        <v>0.8</v>
      </c>
      <c r="N117">
        <v>1.8</v>
      </c>
      <c r="O117">
        <f t="shared" si="10"/>
        <v>-1</v>
      </c>
      <c r="P117">
        <f t="shared" si="15"/>
        <v>52.699999999999989</v>
      </c>
      <c r="Q117">
        <v>83</v>
      </c>
      <c r="R117">
        <f t="shared" si="17"/>
        <v>0.95000000000000007</v>
      </c>
      <c r="S117" s="23">
        <f t="shared" si="11"/>
        <v>1.7100000000000002</v>
      </c>
      <c r="T117" s="23">
        <f t="shared" si="12"/>
        <v>-0.91000000000000014</v>
      </c>
      <c r="U117" s="23">
        <f t="shared" si="16"/>
        <v>62.36999999999999</v>
      </c>
      <c r="W117">
        <v>137.5</v>
      </c>
      <c r="Y117">
        <f t="shared" si="14"/>
        <v>65408.799999999988</v>
      </c>
      <c r="AA117" s="35">
        <v>8.6508861617631254</v>
      </c>
    </row>
    <row r="118" spans="1:28" x14ac:dyDescent="0.25">
      <c r="A118">
        <v>6280</v>
      </c>
      <c r="B118">
        <v>24170</v>
      </c>
      <c r="C118" s="8">
        <v>42696</v>
      </c>
      <c r="F118" s="46"/>
      <c r="G118">
        <v>9.9</v>
      </c>
      <c r="H118">
        <v>9</v>
      </c>
      <c r="I118">
        <v>11.1</v>
      </c>
      <c r="J118">
        <f t="shared" si="13"/>
        <v>1035.9000000000003</v>
      </c>
      <c r="M118">
        <v>4.4000000000000004</v>
      </c>
      <c r="N118">
        <v>1</v>
      </c>
      <c r="O118">
        <f t="shared" si="10"/>
        <v>3.4000000000000004</v>
      </c>
      <c r="P118">
        <f t="shared" si="15"/>
        <v>56.099999999999987</v>
      </c>
      <c r="Q118" s="22">
        <v>84</v>
      </c>
      <c r="R118">
        <f t="shared" si="17"/>
        <v>0.95833333333333337</v>
      </c>
      <c r="S118" s="23">
        <f t="shared" si="11"/>
        <v>0.95833333333333337</v>
      </c>
      <c r="T118" s="23">
        <f t="shared" si="12"/>
        <v>3.4416666666666669</v>
      </c>
      <c r="U118" s="23">
        <f t="shared" si="16"/>
        <v>65.811666666666653</v>
      </c>
      <c r="W118">
        <v>379.3</v>
      </c>
      <c r="Y118">
        <f t="shared" si="14"/>
        <v>65788.099999999991</v>
      </c>
      <c r="AA118" s="35">
        <v>8.613592190325452</v>
      </c>
    </row>
    <row r="119" spans="1:28" x14ac:dyDescent="0.25">
      <c r="A119">
        <v>6280</v>
      </c>
      <c r="B119">
        <v>24170</v>
      </c>
      <c r="C119" s="8">
        <v>42697</v>
      </c>
      <c r="F119" s="46"/>
      <c r="G119">
        <v>11.7</v>
      </c>
      <c r="H119">
        <v>8.5</v>
      </c>
      <c r="I119">
        <v>14</v>
      </c>
      <c r="J119">
        <f t="shared" si="13"/>
        <v>1047.6000000000004</v>
      </c>
      <c r="M119">
        <v>0</v>
      </c>
      <c r="N119">
        <v>0.4</v>
      </c>
      <c r="O119">
        <f t="shared" si="10"/>
        <v>-0.4</v>
      </c>
      <c r="P119">
        <f t="shared" si="15"/>
        <v>55.699999999999989</v>
      </c>
      <c r="Q119">
        <v>85</v>
      </c>
      <c r="R119">
        <f t="shared" si="17"/>
        <v>0.96666666666666667</v>
      </c>
      <c r="S119" s="23">
        <f t="shared" si="11"/>
        <v>0.38666666666666671</v>
      </c>
      <c r="T119" s="23">
        <f t="shared" si="12"/>
        <v>-0.38666666666666671</v>
      </c>
      <c r="U119" s="23">
        <f t="shared" si="16"/>
        <v>65.424999999999983</v>
      </c>
      <c r="W119">
        <v>243.2</v>
      </c>
      <c r="Y119">
        <f t="shared" si="14"/>
        <v>66031.299999999988</v>
      </c>
      <c r="AA119" s="35">
        <v>8.5772950313859724</v>
      </c>
    </row>
    <row r="120" spans="1:28" x14ac:dyDescent="0.25">
      <c r="A120">
        <v>6280</v>
      </c>
      <c r="B120">
        <v>24170</v>
      </c>
      <c r="C120" s="8">
        <v>42698</v>
      </c>
      <c r="F120" s="46"/>
      <c r="G120">
        <v>10.1</v>
      </c>
      <c r="H120">
        <v>9.4</v>
      </c>
      <c r="I120">
        <v>12.4</v>
      </c>
      <c r="J120">
        <f t="shared" si="13"/>
        <v>1057.7000000000003</v>
      </c>
      <c r="M120">
        <v>0</v>
      </c>
      <c r="N120">
        <v>1</v>
      </c>
      <c r="O120">
        <f t="shared" si="10"/>
        <v>-1</v>
      </c>
      <c r="P120">
        <f t="shared" si="15"/>
        <v>54.699999999999989</v>
      </c>
      <c r="Q120" s="22">
        <v>86</v>
      </c>
      <c r="R120">
        <f t="shared" si="17"/>
        <v>0.97499999999999998</v>
      </c>
      <c r="S120" s="23">
        <f t="shared" si="11"/>
        <v>0.97499999999999998</v>
      </c>
      <c r="T120" s="23">
        <f t="shared" si="12"/>
        <v>-0.97499999999999998</v>
      </c>
      <c r="U120" s="23">
        <f t="shared" si="16"/>
        <v>64.449999999999989</v>
      </c>
      <c r="W120">
        <v>240.7</v>
      </c>
      <c r="Y120">
        <f t="shared" si="14"/>
        <v>66271.999999999985</v>
      </c>
      <c r="AA120" s="35">
        <v>8.5420192001839439</v>
      </c>
    </row>
    <row r="121" spans="1:28" x14ac:dyDescent="0.25">
      <c r="A121">
        <v>6280</v>
      </c>
      <c r="B121">
        <v>24170</v>
      </c>
      <c r="C121" s="8">
        <v>42699</v>
      </c>
      <c r="F121" s="46"/>
      <c r="G121">
        <v>7.9</v>
      </c>
      <c r="H121">
        <v>7.5</v>
      </c>
      <c r="I121">
        <v>8.6</v>
      </c>
      <c r="J121">
        <f t="shared" si="13"/>
        <v>1065.6000000000004</v>
      </c>
      <c r="M121">
        <v>0.3</v>
      </c>
      <c r="N121">
        <v>0.7</v>
      </c>
      <c r="O121">
        <f t="shared" si="10"/>
        <v>-0.39999999999999997</v>
      </c>
      <c r="P121">
        <f t="shared" si="15"/>
        <v>54.29999999999999</v>
      </c>
      <c r="Q121">
        <v>87</v>
      </c>
      <c r="R121">
        <f t="shared" si="17"/>
        <v>0.98333333333333328</v>
      </c>
      <c r="S121" s="23">
        <f t="shared" si="11"/>
        <v>0.68833333333333324</v>
      </c>
      <c r="T121" s="23">
        <f t="shared" si="12"/>
        <v>-0.38833333333333325</v>
      </c>
      <c r="U121" s="23">
        <f t="shared" si="16"/>
        <v>64.061666666666653</v>
      </c>
      <c r="W121">
        <v>104.6</v>
      </c>
      <c r="Y121">
        <f t="shared" si="14"/>
        <v>66376.599999999991</v>
      </c>
      <c r="AA121" s="35">
        <v>8.5077890363805952</v>
      </c>
    </row>
    <row r="122" spans="1:28" x14ac:dyDescent="0.25">
      <c r="A122">
        <v>6280</v>
      </c>
      <c r="B122">
        <v>24170</v>
      </c>
      <c r="C122" s="8">
        <v>42700</v>
      </c>
      <c r="F122" s="46"/>
      <c r="G122">
        <v>7.9</v>
      </c>
      <c r="H122">
        <v>7</v>
      </c>
      <c r="I122">
        <v>9</v>
      </c>
      <c r="J122">
        <f t="shared" si="13"/>
        <v>1073.5000000000005</v>
      </c>
      <c r="M122">
        <v>0</v>
      </c>
      <c r="N122">
        <v>0.5</v>
      </c>
      <c r="O122">
        <f t="shared" si="10"/>
        <v>-0.5</v>
      </c>
      <c r="P122">
        <f t="shared" si="15"/>
        <v>53.79999999999999</v>
      </c>
      <c r="Q122" s="22">
        <v>88</v>
      </c>
      <c r="R122">
        <f t="shared" si="17"/>
        <v>0.9916666666666667</v>
      </c>
      <c r="S122" s="23">
        <f t="shared" si="11"/>
        <v>0.49583333333333335</v>
      </c>
      <c r="T122" s="23">
        <f t="shared" si="12"/>
        <v>-0.49583333333333335</v>
      </c>
      <c r="U122" s="23">
        <f t="shared" si="16"/>
        <v>63.565833333333323</v>
      </c>
      <c r="W122">
        <v>107.7</v>
      </c>
      <c r="Y122">
        <f t="shared" si="14"/>
        <v>66484.299999999988</v>
      </c>
      <c r="AA122" s="35">
        <v>8.4746286528840358</v>
      </c>
    </row>
    <row r="123" spans="1:28" s="31" customFormat="1" ht="15.75" thickBot="1" x14ac:dyDescent="0.3">
      <c r="A123" s="31">
        <v>6280</v>
      </c>
      <c r="B123" s="31">
        <v>24170</v>
      </c>
      <c r="C123" s="32">
        <v>42701</v>
      </c>
      <c r="F123" s="46"/>
      <c r="G123" s="31">
        <v>6.1</v>
      </c>
      <c r="H123" s="31">
        <v>3.3</v>
      </c>
      <c r="I123" s="31">
        <v>7.8</v>
      </c>
      <c r="J123" s="31">
        <f t="shared" si="13"/>
        <v>1079.6000000000004</v>
      </c>
      <c r="M123" s="31">
        <v>0</v>
      </c>
      <c r="N123" s="31">
        <v>0.6</v>
      </c>
      <c r="O123" s="31">
        <f t="shared" si="10"/>
        <v>-0.6</v>
      </c>
      <c r="P123" s="31">
        <f t="shared" si="15"/>
        <v>53.199999999999989</v>
      </c>
      <c r="Q123" s="31">
        <v>89</v>
      </c>
      <c r="R123" s="31">
        <f t="shared" si="17"/>
        <v>1</v>
      </c>
      <c r="S123" s="33">
        <f t="shared" si="11"/>
        <v>0.6</v>
      </c>
      <c r="T123" s="33">
        <f t="shared" si="12"/>
        <v>-0.6</v>
      </c>
      <c r="U123" s="23">
        <f t="shared" si="16"/>
        <v>62.965833333333322</v>
      </c>
      <c r="W123" s="31">
        <v>400.8</v>
      </c>
      <c r="Y123" s="31">
        <f t="shared" si="14"/>
        <v>66885.099999999991</v>
      </c>
      <c r="AA123" s="36">
        <v>8.442561883163842</v>
      </c>
    </row>
    <row r="124" spans="1:28" x14ac:dyDescent="0.25">
      <c r="A124">
        <v>6280</v>
      </c>
      <c r="B124">
        <v>24170</v>
      </c>
      <c r="C124" s="8">
        <v>42702</v>
      </c>
      <c r="D124" t="s">
        <v>37</v>
      </c>
      <c r="E124" s="35">
        <v>1</v>
      </c>
      <c r="F124" s="47" t="s">
        <v>47</v>
      </c>
      <c r="G124">
        <v>3.3</v>
      </c>
      <c r="H124">
        <v>2.4</v>
      </c>
      <c r="I124">
        <v>5.7</v>
      </c>
      <c r="J124">
        <f t="shared" si="13"/>
        <v>1082.9000000000003</v>
      </c>
      <c r="K124">
        <f>G124</f>
        <v>3.3</v>
      </c>
      <c r="L124" s="14" t="s">
        <v>39</v>
      </c>
      <c r="M124">
        <v>0</v>
      </c>
      <c r="N124">
        <v>1.5</v>
      </c>
      <c r="O124">
        <f t="shared" si="10"/>
        <v>-1.5</v>
      </c>
      <c r="P124">
        <f t="shared" si="15"/>
        <v>51.699999999999989</v>
      </c>
      <c r="Q124" s="22">
        <v>90</v>
      </c>
      <c r="R124" s="22">
        <v>1</v>
      </c>
      <c r="S124" s="23">
        <f t="shared" si="11"/>
        <v>1.5</v>
      </c>
      <c r="T124" s="23">
        <f t="shared" si="12"/>
        <v>-1.5</v>
      </c>
      <c r="U124" s="23">
        <f t="shared" si="16"/>
        <v>61.465833333333322</v>
      </c>
      <c r="V124" s="25" t="s">
        <v>53</v>
      </c>
      <c r="W124">
        <v>712.6</v>
      </c>
      <c r="Y124">
        <f t="shared" si="14"/>
        <v>67597.7</v>
      </c>
      <c r="Z124">
        <f>W124</f>
        <v>712.6</v>
      </c>
      <c r="AA124" s="35">
        <v>8.4116122272306146</v>
      </c>
      <c r="AB124" s="25" t="s">
        <v>58</v>
      </c>
    </row>
    <row r="125" spans="1:28" x14ac:dyDescent="0.25">
      <c r="A125">
        <v>6280</v>
      </c>
      <c r="B125">
        <v>24170</v>
      </c>
      <c r="C125" s="8">
        <v>42703</v>
      </c>
      <c r="E125" s="35">
        <v>2</v>
      </c>
      <c r="F125" s="47"/>
      <c r="G125">
        <v>-0.1</v>
      </c>
      <c r="H125">
        <v>-2.1</v>
      </c>
      <c r="I125">
        <v>3.4</v>
      </c>
      <c r="J125">
        <v>1082.9000000000001</v>
      </c>
      <c r="K125">
        <v>3.3</v>
      </c>
      <c r="L125" s="12">
        <v>161.9</v>
      </c>
      <c r="M125">
        <v>0</v>
      </c>
      <c r="N125">
        <v>1</v>
      </c>
      <c r="O125">
        <f t="shared" si="10"/>
        <v>-1</v>
      </c>
      <c r="P125">
        <f t="shared" si="15"/>
        <v>50.699999999999989</v>
      </c>
      <c r="Q125">
        <v>91</v>
      </c>
      <c r="R125" s="22">
        <v>1</v>
      </c>
      <c r="S125" s="23">
        <f t="shared" si="11"/>
        <v>1</v>
      </c>
      <c r="T125" s="23">
        <f t="shared" si="12"/>
        <v>-1</v>
      </c>
      <c r="U125" s="23">
        <f t="shared" si="16"/>
        <v>60.465833333333322</v>
      </c>
      <c r="V125">
        <v>0</v>
      </c>
      <c r="W125">
        <v>732.7</v>
      </c>
      <c r="Y125">
        <f t="shared" si="14"/>
        <v>68330.399999999994</v>
      </c>
      <c r="Z125">
        <f>Z124+W125</f>
        <v>1445.3000000000002</v>
      </c>
      <c r="AA125" s="35">
        <v>8.381802796475208</v>
      </c>
      <c r="AB125">
        <v>21646</v>
      </c>
    </row>
    <row r="126" spans="1:28" x14ac:dyDescent="0.25">
      <c r="A126">
        <v>6280</v>
      </c>
      <c r="B126">
        <v>24170</v>
      </c>
      <c r="C126" s="8">
        <v>42704</v>
      </c>
      <c r="E126" s="35">
        <v>3</v>
      </c>
      <c r="F126" s="47"/>
      <c r="G126">
        <v>-0.9</v>
      </c>
      <c r="H126">
        <v>-4.3</v>
      </c>
      <c r="I126">
        <v>3.7</v>
      </c>
      <c r="J126">
        <v>1082.9000000000001</v>
      </c>
      <c r="K126">
        <v>3.3</v>
      </c>
      <c r="L126" s="14" t="s">
        <v>40</v>
      </c>
      <c r="M126">
        <v>0</v>
      </c>
      <c r="N126">
        <v>0.8</v>
      </c>
      <c r="O126">
        <f t="shared" si="10"/>
        <v>-0.8</v>
      </c>
      <c r="P126">
        <f t="shared" si="15"/>
        <v>49.899999999999991</v>
      </c>
      <c r="Q126" s="22">
        <v>92</v>
      </c>
      <c r="R126" s="22">
        <v>1</v>
      </c>
      <c r="S126" s="23">
        <f t="shared" si="11"/>
        <v>0.8</v>
      </c>
      <c r="T126" s="23">
        <f t="shared" si="12"/>
        <v>-0.8</v>
      </c>
      <c r="U126" s="23">
        <f t="shared" si="16"/>
        <v>59.665833333333325</v>
      </c>
      <c r="V126" s="25" t="s">
        <v>54</v>
      </c>
      <c r="W126">
        <v>676.4</v>
      </c>
      <c r="Y126">
        <f t="shared" si="14"/>
        <v>69006.799999999988</v>
      </c>
      <c r="Z126">
        <f t="shared" ref="Z126:Z189" si="18">Z125+W126</f>
        <v>2121.7000000000003</v>
      </c>
      <c r="AA126" s="35">
        <v>8.3531562575812561</v>
      </c>
      <c r="AB126" s="25" t="s">
        <v>59</v>
      </c>
    </row>
    <row r="127" spans="1:28" x14ac:dyDescent="0.25">
      <c r="A127">
        <v>6280</v>
      </c>
      <c r="B127">
        <v>24170</v>
      </c>
      <c r="C127" s="8">
        <v>42705</v>
      </c>
      <c r="E127" s="35">
        <v>4</v>
      </c>
      <c r="F127" s="47"/>
      <c r="G127">
        <v>0</v>
      </c>
      <c r="H127">
        <v>-3.7</v>
      </c>
      <c r="I127">
        <v>4.7</v>
      </c>
      <c r="J127">
        <f t="shared" si="13"/>
        <v>1082.9000000000001</v>
      </c>
      <c r="K127">
        <f t="shared" ref="K127:K190" si="19">K126+G127</f>
        <v>3.3</v>
      </c>
      <c r="L127" s="12">
        <f>AVERAGE(G124:G184)</f>
        <v>1.9475409836065578</v>
      </c>
      <c r="M127">
        <v>0.1</v>
      </c>
      <c r="N127">
        <v>0.8</v>
      </c>
      <c r="O127">
        <f t="shared" si="10"/>
        <v>-0.70000000000000007</v>
      </c>
      <c r="P127">
        <f t="shared" si="15"/>
        <v>49.199999999999989</v>
      </c>
      <c r="Q127">
        <v>93</v>
      </c>
      <c r="R127" s="22">
        <v>1</v>
      </c>
      <c r="S127" s="23">
        <f t="shared" si="11"/>
        <v>0.8</v>
      </c>
      <c r="T127" s="23">
        <f t="shared" si="12"/>
        <v>-0.70000000000000007</v>
      </c>
      <c r="U127" s="23">
        <f t="shared" si="16"/>
        <v>58.965833333333322</v>
      </c>
      <c r="V127">
        <v>42</v>
      </c>
      <c r="W127">
        <v>589.6</v>
      </c>
      <c r="Y127">
        <f t="shared" si="14"/>
        <v>69596.399999999994</v>
      </c>
      <c r="Z127">
        <f t="shared" si="18"/>
        <v>2711.3</v>
      </c>
      <c r="AA127" s="35">
        <v>8.3256947757429725</v>
      </c>
      <c r="AB127">
        <f>(AB125/100)/L125</f>
        <v>1.3369981470043237</v>
      </c>
    </row>
    <row r="128" spans="1:28" x14ac:dyDescent="0.25">
      <c r="A128">
        <v>6280</v>
      </c>
      <c r="B128">
        <v>24170</v>
      </c>
      <c r="C128" s="8">
        <v>42706</v>
      </c>
      <c r="E128" s="35">
        <v>5</v>
      </c>
      <c r="F128" s="47"/>
      <c r="G128">
        <v>3</v>
      </c>
      <c r="H128">
        <v>-0.7</v>
      </c>
      <c r="I128">
        <v>5</v>
      </c>
      <c r="J128">
        <f t="shared" si="13"/>
        <v>1085.9000000000001</v>
      </c>
      <c r="K128">
        <f t="shared" si="19"/>
        <v>6.3</v>
      </c>
      <c r="L128" s="14" t="s">
        <v>41</v>
      </c>
      <c r="M128">
        <v>0</v>
      </c>
      <c r="N128">
        <v>0.6</v>
      </c>
      <c r="O128">
        <f t="shared" si="10"/>
        <v>-0.6</v>
      </c>
      <c r="P128">
        <f t="shared" si="15"/>
        <v>48.599999999999987</v>
      </c>
      <c r="Q128" s="22">
        <v>94</v>
      </c>
      <c r="R128" s="22">
        <v>1</v>
      </c>
      <c r="S128" s="23">
        <f t="shared" si="11"/>
        <v>0.6</v>
      </c>
      <c r="T128" s="23">
        <f t="shared" si="12"/>
        <v>-0.6</v>
      </c>
      <c r="U128" s="23">
        <f t="shared" si="16"/>
        <v>58.36583333333332</v>
      </c>
      <c r="V128" s="25" t="s">
        <v>55</v>
      </c>
      <c r="W128">
        <v>521.4</v>
      </c>
      <c r="Y128">
        <f t="shared" si="14"/>
        <v>70117.799999999988</v>
      </c>
      <c r="Z128">
        <f t="shared" si="18"/>
        <v>3232.7000000000003</v>
      </c>
      <c r="AA128" s="35">
        <v>8.2994399574375635</v>
      </c>
      <c r="AB128" s="25" t="s">
        <v>60</v>
      </c>
    </row>
    <row r="129" spans="1:28" x14ac:dyDescent="0.25">
      <c r="A129">
        <v>6280</v>
      </c>
      <c r="B129">
        <v>24170</v>
      </c>
      <c r="C129" s="8">
        <v>42707</v>
      </c>
      <c r="E129" s="35">
        <v>6</v>
      </c>
      <c r="F129" s="47"/>
      <c r="G129">
        <v>2.7</v>
      </c>
      <c r="H129">
        <v>0.3</v>
      </c>
      <c r="I129">
        <v>5.0999999999999996</v>
      </c>
      <c r="J129">
        <f t="shared" si="13"/>
        <v>1088.6000000000001</v>
      </c>
      <c r="K129">
        <f t="shared" si="19"/>
        <v>9</v>
      </c>
      <c r="L129" s="13">
        <f>MIN(H124:H184)</f>
        <v>-7.6</v>
      </c>
      <c r="M129">
        <v>0</v>
      </c>
      <c r="N129">
        <v>0.6</v>
      </c>
      <c r="O129">
        <f t="shared" si="10"/>
        <v>-0.6</v>
      </c>
      <c r="P129">
        <f t="shared" si="15"/>
        <v>47.999999999999986</v>
      </c>
      <c r="Q129">
        <v>95</v>
      </c>
      <c r="R129" s="22">
        <v>1</v>
      </c>
      <c r="S129" s="23">
        <f t="shared" si="11"/>
        <v>0.6</v>
      </c>
      <c r="T129" s="23">
        <f t="shared" si="12"/>
        <v>-0.6</v>
      </c>
      <c r="U129" s="23">
        <f t="shared" si="16"/>
        <v>57.765833333333319</v>
      </c>
      <c r="V129" s="23">
        <f>MIN(U124:U184)</f>
        <v>50.36583333333332</v>
      </c>
      <c r="W129">
        <v>628.6</v>
      </c>
      <c r="Y129">
        <f t="shared" si="14"/>
        <v>70746.399999999994</v>
      </c>
      <c r="Z129">
        <f t="shared" si="18"/>
        <v>3861.3</v>
      </c>
      <c r="AA129" s="35">
        <v>8.2744127930178983</v>
      </c>
      <c r="AB129">
        <v>61</v>
      </c>
    </row>
    <row r="130" spans="1:28" x14ac:dyDescent="0.25">
      <c r="A130">
        <v>6280</v>
      </c>
      <c r="B130">
        <v>24170</v>
      </c>
      <c r="C130" s="8">
        <v>42708</v>
      </c>
      <c r="E130" s="35">
        <v>7</v>
      </c>
      <c r="F130" s="47"/>
      <c r="G130">
        <v>-0.5</v>
      </c>
      <c r="H130">
        <v>-4.2</v>
      </c>
      <c r="I130">
        <v>3.1</v>
      </c>
      <c r="J130">
        <v>1088.5999999999999</v>
      </c>
      <c r="K130">
        <v>9</v>
      </c>
      <c r="L130" s="14" t="s">
        <v>42</v>
      </c>
      <c r="M130">
        <v>0</v>
      </c>
      <c r="N130">
        <v>0.7</v>
      </c>
      <c r="O130">
        <f t="shared" si="10"/>
        <v>-0.7</v>
      </c>
      <c r="P130">
        <f t="shared" si="15"/>
        <v>47.299999999999983</v>
      </c>
      <c r="Q130" s="22">
        <v>96</v>
      </c>
      <c r="R130" s="22">
        <v>1</v>
      </c>
      <c r="S130" s="23">
        <f t="shared" si="11"/>
        <v>0.7</v>
      </c>
      <c r="T130" s="23">
        <f t="shared" si="12"/>
        <v>-0.7</v>
      </c>
      <c r="U130" s="23">
        <f t="shared" si="16"/>
        <v>57.065833333333316</v>
      </c>
      <c r="V130" s="25" t="s">
        <v>56</v>
      </c>
      <c r="W130">
        <v>679.2</v>
      </c>
      <c r="Y130">
        <f t="shared" si="14"/>
        <v>71425.599999999991</v>
      </c>
      <c r="Z130">
        <f t="shared" si="18"/>
        <v>4540.5</v>
      </c>
      <c r="AA130" s="35">
        <v>8.2506335994056847</v>
      </c>
      <c r="AB130" t="s">
        <v>62</v>
      </c>
    </row>
    <row r="131" spans="1:28" x14ac:dyDescent="0.25">
      <c r="A131">
        <v>6280</v>
      </c>
      <c r="B131">
        <v>24170</v>
      </c>
      <c r="C131" s="8">
        <v>42709</v>
      </c>
      <c r="E131" s="35">
        <v>8</v>
      </c>
      <c r="F131" s="47"/>
      <c r="G131">
        <v>2.4</v>
      </c>
      <c r="H131">
        <v>-1.3</v>
      </c>
      <c r="I131">
        <v>7</v>
      </c>
      <c r="J131">
        <f t="shared" si="13"/>
        <v>1091</v>
      </c>
      <c r="K131">
        <f t="shared" si="19"/>
        <v>11.4</v>
      </c>
      <c r="L131" s="12">
        <f>MAX(I124:I184)</f>
        <v>10.199999999999999</v>
      </c>
      <c r="M131">
        <v>0</v>
      </c>
      <c r="N131">
        <v>0.8</v>
      </c>
      <c r="O131">
        <f t="shared" si="10"/>
        <v>-0.8</v>
      </c>
      <c r="P131">
        <f t="shared" si="15"/>
        <v>46.499999999999986</v>
      </c>
      <c r="Q131">
        <v>97</v>
      </c>
      <c r="R131" s="22">
        <v>1</v>
      </c>
      <c r="S131" s="23">
        <f t="shared" si="11"/>
        <v>0.8</v>
      </c>
      <c r="T131" s="23">
        <f t="shared" si="12"/>
        <v>-0.8</v>
      </c>
      <c r="U131" s="23">
        <f t="shared" si="16"/>
        <v>56.265833333333319</v>
      </c>
      <c r="V131" s="23">
        <f>MAX(U124:U184)</f>
        <v>74.965833333333308</v>
      </c>
      <c r="W131">
        <v>508.1</v>
      </c>
      <c r="Y131">
        <f t="shared" si="14"/>
        <v>71933.7</v>
      </c>
      <c r="Z131">
        <f t="shared" si="18"/>
        <v>5048.6000000000004</v>
      </c>
      <c r="AA131" s="35">
        <v>8.2281219631784062</v>
      </c>
      <c r="AB131">
        <v>51</v>
      </c>
    </row>
    <row r="132" spans="1:28" x14ac:dyDescent="0.25">
      <c r="A132">
        <v>6280</v>
      </c>
      <c r="B132">
        <v>24170</v>
      </c>
      <c r="C132" s="8">
        <v>42710</v>
      </c>
      <c r="E132" s="35">
        <v>9</v>
      </c>
      <c r="F132" s="47"/>
      <c r="G132">
        <v>3.6</v>
      </c>
      <c r="H132">
        <v>0</v>
      </c>
      <c r="I132">
        <v>8.9</v>
      </c>
      <c r="J132">
        <f t="shared" si="13"/>
        <v>1094.5999999999999</v>
      </c>
      <c r="K132">
        <f t="shared" si="19"/>
        <v>15</v>
      </c>
      <c r="L132" s="14" t="s">
        <v>43</v>
      </c>
      <c r="M132">
        <v>0.1</v>
      </c>
      <c r="N132">
        <v>0.6</v>
      </c>
      <c r="O132">
        <f t="shared" si="10"/>
        <v>-0.5</v>
      </c>
      <c r="P132">
        <f t="shared" si="15"/>
        <v>45.999999999999986</v>
      </c>
      <c r="Q132" s="22">
        <v>98</v>
      </c>
      <c r="R132" s="22">
        <v>1</v>
      </c>
      <c r="S132" s="23">
        <f t="shared" si="11"/>
        <v>0.6</v>
      </c>
      <c r="T132" s="23">
        <f t="shared" si="12"/>
        <v>-0.5</v>
      </c>
      <c r="U132" s="23">
        <f t="shared" si="16"/>
        <v>55.765833333333319</v>
      </c>
      <c r="V132" s="25" t="s">
        <v>57</v>
      </c>
      <c r="W132">
        <v>370.6</v>
      </c>
      <c r="Y132">
        <f t="shared" si="14"/>
        <v>72304.3</v>
      </c>
      <c r="Z132">
        <f t="shared" si="18"/>
        <v>5419.2000000000007</v>
      </c>
      <c r="AA132" s="35">
        <v>8.2068966843541062</v>
      </c>
    </row>
    <row r="133" spans="1:28" x14ac:dyDescent="0.25">
      <c r="A133">
        <v>6280</v>
      </c>
      <c r="B133">
        <v>24170</v>
      </c>
      <c r="C133" s="8">
        <v>42711</v>
      </c>
      <c r="E133" s="35">
        <v>10</v>
      </c>
      <c r="F133" s="47"/>
      <c r="G133">
        <v>4.5999999999999996</v>
      </c>
      <c r="H133">
        <v>1.2</v>
      </c>
      <c r="I133">
        <v>9.3000000000000007</v>
      </c>
      <c r="J133">
        <f t="shared" si="13"/>
        <v>1099.1999999999998</v>
      </c>
      <c r="K133">
        <f t="shared" si="19"/>
        <v>19.600000000000001</v>
      </c>
      <c r="L133" s="12">
        <v>0</v>
      </c>
      <c r="M133">
        <v>0</v>
      </c>
      <c r="N133">
        <v>0.7</v>
      </c>
      <c r="O133">
        <f t="shared" si="10"/>
        <v>-0.7</v>
      </c>
      <c r="P133">
        <f t="shared" si="15"/>
        <v>45.299999999999983</v>
      </c>
      <c r="Q133">
        <v>99</v>
      </c>
      <c r="R133" s="22">
        <v>1</v>
      </c>
      <c r="S133" s="23">
        <f t="shared" si="11"/>
        <v>0.7</v>
      </c>
      <c r="T133" s="23">
        <f t="shared" si="12"/>
        <v>-0.7</v>
      </c>
      <c r="U133" s="23">
        <f t="shared" si="16"/>
        <v>55.065833333333316</v>
      </c>
      <c r="V133" s="23">
        <f>AVERAGE(U124:U184)</f>
        <v>62.55271857923492</v>
      </c>
      <c r="W133">
        <v>342.8</v>
      </c>
      <c r="Y133">
        <f t="shared" si="14"/>
        <v>72647.100000000006</v>
      </c>
      <c r="Z133">
        <f t="shared" si="18"/>
        <v>5762.0000000000009</v>
      </c>
      <c r="AA133" s="35">
        <v>8.1869757211866041</v>
      </c>
    </row>
    <row r="134" spans="1:28" x14ac:dyDescent="0.25">
      <c r="A134">
        <v>6280</v>
      </c>
      <c r="B134">
        <v>24170</v>
      </c>
      <c r="C134" s="8">
        <v>42712</v>
      </c>
      <c r="E134" s="35">
        <v>11</v>
      </c>
      <c r="F134" s="47"/>
      <c r="G134">
        <v>3.4</v>
      </c>
      <c r="H134">
        <v>0.3</v>
      </c>
      <c r="I134">
        <v>7.5</v>
      </c>
      <c r="J134">
        <f t="shared" si="13"/>
        <v>1102.5999999999999</v>
      </c>
      <c r="K134">
        <f t="shared" si="19"/>
        <v>23</v>
      </c>
      <c r="L134" s="14" t="s">
        <v>44</v>
      </c>
      <c r="M134">
        <v>0.1</v>
      </c>
      <c r="N134">
        <v>0.6</v>
      </c>
      <c r="O134">
        <f t="shared" si="10"/>
        <v>-0.5</v>
      </c>
      <c r="P134">
        <f t="shared" si="15"/>
        <v>44.799999999999983</v>
      </c>
      <c r="Q134" s="22">
        <v>100</v>
      </c>
      <c r="R134" s="22">
        <v>1</v>
      </c>
      <c r="S134" s="23">
        <f t="shared" si="11"/>
        <v>0.6</v>
      </c>
      <c r="T134" s="23">
        <f t="shared" si="12"/>
        <v>-0.5</v>
      </c>
      <c r="U134" s="23">
        <f t="shared" si="16"/>
        <v>54.565833333333316</v>
      </c>
      <c r="W134">
        <v>355.7</v>
      </c>
      <c r="Y134">
        <f t="shared" si="14"/>
        <v>73002.8</v>
      </c>
      <c r="Z134">
        <f t="shared" si="18"/>
        <v>6117.7000000000007</v>
      </c>
      <c r="AA134" s="35">
        <v>8.1683761362897229</v>
      </c>
    </row>
    <row r="135" spans="1:28" x14ac:dyDescent="0.25">
      <c r="A135">
        <v>6280</v>
      </c>
      <c r="B135">
        <v>24170</v>
      </c>
      <c r="C135" s="8">
        <v>42713</v>
      </c>
      <c r="E135" s="35">
        <v>12</v>
      </c>
      <c r="F135" s="47"/>
      <c r="G135">
        <v>4.5</v>
      </c>
      <c r="H135">
        <v>0.9</v>
      </c>
      <c r="I135">
        <v>9</v>
      </c>
      <c r="J135">
        <f t="shared" si="13"/>
        <v>1107.0999999999999</v>
      </c>
      <c r="K135">
        <f t="shared" si="19"/>
        <v>27.5</v>
      </c>
      <c r="L135" s="12">
        <v>25</v>
      </c>
      <c r="M135">
        <v>0.1</v>
      </c>
      <c r="N135">
        <v>0.4</v>
      </c>
      <c r="O135">
        <f t="shared" si="10"/>
        <v>-0.30000000000000004</v>
      </c>
      <c r="P135">
        <f t="shared" si="15"/>
        <v>44.499999999999986</v>
      </c>
      <c r="Q135">
        <v>101</v>
      </c>
      <c r="R135" s="22">
        <v>1</v>
      </c>
      <c r="S135" s="23">
        <f t="shared" si="11"/>
        <v>0.4</v>
      </c>
      <c r="T135" s="23">
        <f t="shared" si="12"/>
        <v>-0.30000000000000004</v>
      </c>
      <c r="U135" s="23">
        <f t="shared" si="16"/>
        <v>54.265833333333319</v>
      </c>
      <c r="V135">
        <f>(V133*100)/197.4</f>
        <v>31.688307284313534</v>
      </c>
      <c r="W135">
        <v>132.1</v>
      </c>
      <c r="Y135">
        <f t="shared" si="14"/>
        <v>73134.900000000009</v>
      </c>
      <c r="Z135">
        <f t="shared" si="18"/>
        <v>6249.8000000000011</v>
      </c>
      <c r="AA135" s="35">
        <v>8.1511140444121164</v>
      </c>
    </row>
    <row r="136" spans="1:28" x14ac:dyDescent="0.25">
      <c r="A136">
        <v>6280</v>
      </c>
      <c r="B136">
        <v>24170</v>
      </c>
      <c r="C136" s="8">
        <v>42714</v>
      </c>
      <c r="E136" s="35">
        <v>13</v>
      </c>
      <c r="F136" s="47"/>
      <c r="G136">
        <v>2.9</v>
      </c>
      <c r="H136">
        <v>0.3</v>
      </c>
      <c r="I136">
        <v>4.8</v>
      </c>
      <c r="J136">
        <f t="shared" si="13"/>
        <v>1110</v>
      </c>
      <c r="K136">
        <f t="shared" si="19"/>
        <v>30.4</v>
      </c>
      <c r="L136" s="14" t="s">
        <v>45</v>
      </c>
      <c r="M136">
        <v>0.3</v>
      </c>
      <c r="N136">
        <v>0.3</v>
      </c>
      <c r="O136">
        <f t="shared" si="10"/>
        <v>0</v>
      </c>
      <c r="P136">
        <f t="shared" si="15"/>
        <v>44.499999999999986</v>
      </c>
      <c r="Q136" s="22">
        <v>102</v>
      </c>
      <c r="R136" s="22">
        <v>1</v>
      </c>
      <c r="S136" s="23">
        <f t="shared" si="11"/>
        <v>0.3</v>
      </c>
      <c r="T136" s="23">
        <f t="shared" si="12"/>
        <v>0</v>
      </c>
      <c r="U136" s="23">
        <f t="shared" si="16"/>
        <v>54.265833333333319</v>
      </c>
      <c r="W136">
        <v>230.6</v>
      </c>
      <c r="Y136">
        <f t="shared" si="14"/>
        <v>73365.500000000015</v>
      </c>
      <c r="Z136">
        <f t="shared" si="18"/>
        <v>6480.4000000000015</v>
      </c>
      <c r="AA136" s="35">
        <v>8.1352045621844038</v>
      </c>
    </row>
    <row r="137" spans="1:28" x14ac:dyDescent="0.25">
      <c r="A137">
        <v>6280</v>
      </c>
      <c r="B137">
        <v>24170</v>
      </c>
      <c r="C137" s="8">
        <v>42715</v>
      </c>
      <c r="F137" s="47"/>
      <c r="G137">
        <v>6</v>
      </c>
      <c r="H137">
        <v>4</v>
      </c>
      <c r="I137">
        <v>9.8000000000000007</v>
      </c>
      <c r="J137">
        <f t="shared" si="13"/>
        <v>1116</v>
      </c>
      <c r="K137">
        <f t="shared" si="19"/>
        <v>36.4</v>
      </c>
      <c r="L137" s="12">
        <v>30</v>
      </c>
      <c r="M137">
        <v>0.1</v>
      </c>
      <c r="N137">
        <v>0.7</v>
      </c>
      <c r="O137">
        <f t="shared" si="10"/>
        <v>-0.6</v>
      </c>
      <c r="P137">
        <f t="shared" si="15"/>
        <v>43.899999999999984</v>
      </c>
      <c r="Q137">
        <v>103</v>
      </c>
      <c r="R137" s="22">
        <v>1</v>
      </c>
      <c r="S137" s="23">
        <f t="shared" si="11"/>
        <v>0.7</v>
      </c>
      <c r="T137" s="23">
        <f t="shared" si="12"/>
        <v>-0.6</v>
      </c>
      <c r="U137" s="23">
        <f t="shared" si="16"/>
        <v>53.665833333333318</v>
      </c>
      <c r="W137">
        <v>364.9</v>
      </c>
      <c r="Y137">
        <f t="shared" si="14"/>
        <v>73730.400000000009</v>
      </c>
      <c r="Z137">
        <f t="shared" si="18"/>
        <v>6845.3000000000011</v>
      </c>
      <c r="AA137" s="35">
        <v>8.1206617601572137</v>
      </c>
    </row>
    <row r="138" spans="1:28" x14ac:dyDescent="0.25">
      <c r="A138">
        <v>6280</v>
      </c>
      <c r="B138">
        <v>24170</v>
      </c>
      <c r="C138" s="8">
        <v>42716</v>
      </c>
      <c r="E138" s="35">
        <v>14</v>
      </c>
      <c r="F138" s="47"/>
      <c r="G138">
        <v>4.5</v>
      </c>
      <c r="H138">
        <v>3.6</v>
      </c>
      <c r="I138">
        <v>5</v>
      </c>
      <c r="J138">
        <f t="shared" si="13"/>
        <v>1120.5</v>
      </c>
      <c r="K138">
        <f t="shared" si="19"/>
        <v>40.9</v>
      </c>
      <c r="M138">
        <v>1</v>
      </c>
      <c r="N138">
        <v>0.5</v>
      </c>
      <c r="O138">
        <f t="shared" si="10"/>
        <v>0.5</v>
      </c>
      <c r="P138">
        <f t="shared" si="15"/>
        <v>44.399999999999984</v>
      </c>
      <c r="Q138" s="22">
        <v>104</v>
      </c>
      <c r="R138" s="22">
        <v>1</v>
      </c>
      <c r="S138" s="23">
        <f t="shared" si="11"/>
        <v>0.5</v>
      </c>
      <c r="T138" s="23">
        <f t="shared" si="12"/>
        <v>0.5</v>
      </c>
      <c r="U138" s="23">
        <f t="shared" si="16"/>
        <v>54.165833333333318</v>
      </c>
      <c r="W138">
        <v>201.1</v>
      </c>
      <c r="Y138">
        <f t="shared" si="14"/>
        <v>73931.500000000015</v>
      </c>
      <c r="Z138">
        <f t="shared" si="18"/>
        <v>7046.4000000000015</v>
      </c>
      <c r="AA138" s="35">
        <v>8.1074986174422818</v>
      </c>
    </row>
    <row r="139" spans="1:28" x14ac:dyDescent="0.25">
      <c r="A139">
        <v>6280</v>
      </c>
      <c r="B139">
        <v>24170</v>
      </c>
      <c r="C139" s="8">
        <v>42717</v>
      </c>
      <c r="F139" s="47"/>
      <c r="G139">
        <v>5.9</v>
      </c>
      <c r="H139">
        <v>4.4000000000000004</v>
      </c>
      <c r="I139">
        <v>7.5</v>
      </c>
      <c r="J139">
        <f t="shared" si="13"/>
        <v>1126.4000000000001</v>
      </c>
      <c r="K139">
        <f t="shared" si="19"/>
        <v>46.8</v>
      </c>
      <c r="M139">
        <v>0.1</v>
      </c>
      <c r="N139">
        <v>0.5</v>
      </c>
      <c r="O139">
        <f t="shared" si="10"/>
        <v>-0.4</v>
      </c>
      <c r="P139">
        <f t="shared" si="15"/>
        <v>43.999999999999986</v>
      </c>
      <c r="Q139">
        <v>105</v>
      </c>
      <c r="R139" s="22">
        <v>1</v>
      </c>
      <c r="S139" s="23">
        <f t="shared" si="11"/>
        <v>0.5</v>
      </c>
      <c r="T139" s="23">
        <f t="shared" si="12"/>
        <v>-0.4</v>
      </c>
      <c r="U139" s="23">
        <f t="shared" si="16"/>
        <v>53.765833333333319</v>
      </c>
      <c r="W139">
        <v>105.6</v>
      </c>
      <c r="Y139">
        <f t="shared" si="14"/>
        <v>74037.10000000002</v>
      </c>
      <c r="Z139">
        <f t="shared" si="18"/>
        <v>7152.0000000000018</v>
      </c>
      <c r="AA139" s="35">
        <v>8.0957269792590232</v>
      </c>
    </row>
    <row r="140" spans="1:28" x14ac:dyDescent="0.25">
      <c r="A140">
        <v>6280</v>
      </c>
      <c r="B140">
        <v>24170</v>
      </c>
      <c r="C140" s="8">
        <v>42718</v>
      </c>
      <c r="E140" s="35">
        <v>15</v>
      </c>
      <c r="F140" s="47"/>
      <c r="G140">
        <v>3.9</v>
      </c>
      <c r="H140">
        <v>1.2</v>
      </c>
      <c r="I140">
        <v>8.4</v>
      </c>
      <c r="J140">
        <f t="shared" si="13"/>
        <v>1130.3000000000002</v>
      </c>
      <c r="K140">
        <f t="shared" si="19"/>
        <v>50.699999999999996</v>
      </c>
      <c r="M140">
        <v>0</v>
      </c>
      <c r="N140">
        <v>0.7</v>
      </c>
      <c r="O140">
        <f t="shared" si="10"/>
        <v>-0.7</v>
      </c>
      <c r="P140">
        <f t="shared" si="15"/>
        <v>43.299999999999983</v>
      </c>
      <c r="Q140" s="22">
        <v>106</v>
      </c>
      <c r="R140" s="22">
        <v>1</v>
      </c>
      <c r="S140" s="23">
        <f t="shared" si="11"/>
        <v>0.7</v>
      </c>
      <c r="T140" s="23">
        <f t="shared" si="12"/>
        <v>-0.7</v>
      </c>
      <c r="U140" s="23">
        <f t="shared" si="16"/>
        <v>53.065833333333316</v>
      </c>
      <c r="W140">
        <v>425.1</v>
      </c>
      <c r="Y140">
        <f t="shared" si="14"/>
        <v>74462.200000000026</v>
      </c>
      <c r="Z140">
        <f t="shared" si="18"/>
        <v>7577.1000000000022</v>
      </c>
      <c r="AA140" s="35">
        <v>8.0853575176758063</v>
      </c>
    </row>
    <row r="141" spans="1:28" x14ac:dyDescent="0.25">
      <c r="A141">
        <v>6280</v>
      </c>
      <c r="B141">
        <v>24170</v>
      </c>
      <c r="C141" s="8">
        <v>42719</v>
      </c>
      <c r="E141" s="35">
        <v>16</v>
      </c>
      <c r="F141" s="47"/>
      <c r="G141">
        <v>3.7</v>
      </c>
      <c r="H141">
        <v>-0.9</v>
      </c>
      <c r="I141">
        <v>7.1</v>
      </c>
      <c r="J141">
        <f t="shared" si="13"/>
        <v>1134.0000000000002</v>
      </c>
      <c r="K141">
        <f t="shared" si="19"/>
        <v>54.4</v>
      </c>
      <c r="M141">
        <v>0.1</v>
      </c>
      <c r="N141">
        <v>0.4</v>
      </c>
      <c r="O141">
        <f t="shared" si="10"/>
        <v>-0.30000000000000004</v>
      </c>
      <c r="P141">
        <f t="shared" si="15"/>
        <v>42.999999999999986</v>
      </c>
      <c r="Q141">
        <v>107</v>
      </c>
      <c r="R141" s="22">
        <v>1</v>
      </c>
      <c r="S141" s="23">
        <f t="shared" si="11"/>
        <v>0.4</v>
      </c>
      <c r="T141" s="23">
        <f t="shared" si="12"/>
        <v>-0.30000000000000004</v>
      </c>
      <c r="U141" s="23">
        <f t="shared" si="16"/>
        <v>52.765833333333319</v>
      </c>
      <c r="W141">
        <v>377.5</v>
      </c>
      <c r="Y141">
        <f t="shared" si="14"/>
        <v>74839.700000000026</v>
      </c>
      <c r="Z141">
        <f t="shared" si="18"/>
        <v>7954.6000000000022</v>
      </c>
      <c r="AA141" s="35">
        <v>8.0763996958186581</v>
      </c>
    </row>
    <row r="142" spans="1:28" x14ac:dyDescent="0.25">
      <c r="A142">
        <v>6280</v>
      </c>
      <c r="B142">
        <v>24170</v>
      </c>
      <c r="C142" s="8">
        <v>42720</v>
      </c>
      <c r="F142" s="47"/>
      <c r="G142">
        <v>6.4</v>
      </c>
      <c r="H142">
        <v>5.4</v>
      </c>
      <c r="I142">
        <v>10</v>
      </c>
      <c r="J142">
        <f t="shared" si="13"/>
        <v>1140.4000000000003</v>
      </c>
      <c r="K142">
        <f t="shared" si="19"/>
        <v>60.8</v>
      </c>
      <c r="M142">
        <v>0</v>
      </c>
      <c r="N142">
        <v>0.9</v>
      </c>
      <c r="O142">
        <f t="shared" si="10"/>
        <v>-0.9</v>
      </c>
      <c r="P142">
        <f t="shared" si="15"/>
        <v>42.099999999999987</v>
      </c>
      <c r="Q142" s="22">
        <v>108</v>
      </c>
      <c r="R142" s="22">
        <v>1</v>
      </c>
      <c r="S142" s="23">
        <f t="shared" si="11"/>
        <v>0.9</v>
      </c>
      <c r="T142" s="23">
        <f t="shared" si="12"/>
        <v>-0.9</v>
      </c>
      <c r="U142" s="23">
        <f t="shared" si="16"/>
        <v>51.86583333333332</v>
      </c>
      <c r="W142">
        <v>321.3</v>
      </c>
      <c r="Y142">
        <f t="shared" si="14"/>
        <v>75161.000000000029</v>
      </c>
      <c r="Z142">
        <f t="shared" si="18"/>
        <v>8275.9000000000015</v>
      </c>
      <c r="AA142" s="35">
        <v>8.068861735800418</v>
      </c>
    </row>
    <row r="143" spans="1:28" x14ac:dyDescent="0.25">
      <c r="A143">
        <v>6280</v>
      </c>
      <c r="B143">
        <v>24170</v>
      </c>
      <c r="C143" s="8">
        <v>42721</v>
      </c>
      <c r="E143" s="35">
        <v>17</v>
      </c>
      <c r="F143" s="47"/>
      <c r="G143">
        <v>3.6</v>
      </c>
      <c r="H143">
        <v>0.3</v>
      </c>
      <c r="I143">
        <v>6.8</v>
      </c>
      <c r="J143">
        <f t="shared" si="13"/>
        <v>1144.0000000000002</v>
      </c>
      <c r="K143">
        <f t="shared" si="19"/>
        <v>64.399999999999991</v>
      </c>
      <c r="M143">
        <v>0</v>
      </c>
      <c r="N143">
        <v>0.7</v>
      </c>
      <c r="O143">
        <f t="shared" si="10"/>
        <v>-0.7</v>
      </c>
      <c r="P143">
        <f t="shared" si="15"/>
        <v>41.399999999999984</v>
      </c>
      <c r="Q143">
        <v>109</v>
      </c>
      <c r="R143" s="22">
        <v>1</v>
      </c>
      <c r="S143" s="23">
        <f t="shared" si="11"/>
        <v>0.7</v>
      </c>
      <c r="T143" s="23">
        <f t="shared" si="12"/>
        <v>-0.7</v>
      </c>
      <c r="U143" s="23">
        <f t="shared" si="16"/>
        <v>51.165833333333318</v>
      </c>
      <c r="W143">
        <v>539.79999999999995</v>
      </c>
      <c r="Y143">
        <f t="shared" si="14"/>
        <v>75700.800000000032</v>
      </c>
      <c r="Z143">
        <f t="shared" si="18"/>
        <v>8815.7000000000007</v>
      </c>
      <c r="AA143" s="35">
        <v>8.0627505906005581</v>
      </c>
    </row>
    <row r="144" spans="1:28" x14ac:dyDescent="0.25">
      <c r="A144">
        <v>6280</v>
      </c>
      <c r="B144">
        <v>24170</v>
      </c>
      <c r="C144" s="8">
        <v>42722</v>
      </c>
      <c r="E144" s="35">
        <v>18</v>
      </c>
      <c r="F144" s="47"/>
      <c r="G144">
        <v>2.6</v>
      </c>
      <c r="H144">
        <v>2.4</v>
      </c>
      <c r="I144">
        <v>3.4</v>
      </c>
      <c r="J144">
        <f t="shared" si="13"/>
        <v>1146.6000000000001</v>
      </c>
      <c r="K144">
        <f t="shared" si="19"/>
        <v>66.999999999999986</v>
      </c>
      <c r="M144">
        <v>0.4</v>
      </c>
      <c r="N144">
        <v>0.2</v>
      </c>
      <c r="O144">
        <f t="shared" si="10"/>
        <v>0.2</v>
      </c>
      <c r="P144">
        <f t="shared" si="15"/>
        <v>41.599999999999987</v>
      </c>
      <c r="Q144" s="22">
        <v>110</v>
      </c>
      <c r="R144" s="22">
        <v>1</v>
      </c>
      <c r="S144" s="23">
        <f t="shared" si="11"/>
        <v>0.2</v>
      </c>
      <c r="T144" s="23">
        <f t="shared" si="12"/>
        <v>0.2</v>
      </c>
      <c r="U144" s="23">
        <f t="shared" si="16"/>
        <v>51.36583333333332</v>
      </c>
      <c r="W144">
        <v>99.2</v>
      </c>
      <c r="Y144">
        <f t="shared" si="14"/>
        <v>75800.000000000029</v>
      </c>
      <c r="Z144">
        <f t="shared" si="18"/>
        <v>8914.9000000000015</v>
      </c>
      <c r="AA144" s="35">
        <v>8.0580719201001543</v>
      </c>
    </row>
    <row r="145" spans="1:27" x14ac:dyDescent="0.25">
      <c r="A145">
        <v>6280</v>
      </c>
      <c r="B145">
        <v>24170</v>
      </c>
      <c r="C145" s="8">
        <v>42723</v>
      </c>
      <c r="E145" s="35">
        <v>19</v>
      </c>
      <c r="F145" s="47"/>
      <c r="G145">
        <v>4.0999999999999996</v>
      </c>
      <c r="H145">
        <v>2.4</v>
      </c>
      <c r="I145">
        <v>5.5</v>
      </c>
      <c r="J145">
        <f t="shared" si="13"/>
        <v>1150.7</v>
      </c>
      <c r="K145">
        <f t="shared" si="19"/>
        <v>71.09999999999998</v>
      </c>
      <c r="M145">
        <v>0</v>
      </c>
      <c r="N145">
        <v>0.4</v>
      </c>
      <c r="O145">
        <f t="shared" si="10"/>
        <v>-0.4</v>
      </c>
      <c r="P145">
        <f t="shared" si="15"/>
        <v>41.199999999999989</v>
      </c>
      <c r="Q145">
        <v>111</v>
      </c>
      <c r="R145" s="22">
        <v>1</v>
      </c>
      <c r="S145" s="23">
        <f t="shared" si="11"/>
        <v>0.4</v>
      </c>
      <c r="T145" s="23">
        <f t="shared" si="12"/>
        <v>-0.4</v>
      </c>
      <c r="U145" s="23">
        <f t="shared" si="16"/>
        <v>50.965833333333322</v>
      </c>
      <c r="W145">
        <v>256.2</v>
      </c>
      <c r="Y145">
        <f t="shared" si="14"/>
        <v>76056.200000000026</v>
      </c>
      <c r="Z145">
        <f t="shared" si="18"/>
        <v>9171.1000000000022</v>
      </c>
      <c r="AA145" s="35">
        <v>8.054830071448329</v>
      </c>
    </row>
    <row r="146" spans="1:27" x14ac:dyDescent="0.25">
      <c r="A146">
        <v>6280</v>
      </c>
      <c r="B146">
        <v>24170</v>
      </c>
      <c r="C146" s="8">
        <v>42724</v>
      </c>
      <c r="E146" s="35">
        <v>20</v>
      </c>
      <c r="F146" s="47"/>
      <c r="G146">
        <v>3.5</v>
      </c>
      <c r="H146">
        <v>1.8</v>
      </c>
      <c r="I146">
        <v>5.5</v>
      </c>
      <c r="J146">
        <f t="shared" si="13"/>
        <v>1154.2</v>
      </c>
      <c r="K146">
        <f t="shared" si="19"/>
        <v>74.59999999999998</v>
      </c>
      <c r="M146">
        <v>0</v>
      </c>
      <c r="N146">
        <v>0.6</v>
      </c>
      <c r="O146">
        <f t="shared" si="10"/>
        <v>-0.6</v>
      </c>
      <c r="P146">
        <f t="shared" si="15"/>
        <v>40.599999999999987</v>
      </c>
      <c r="Q146" s="22">
        <v>112</v>
      </c>
      <c r="R146" s="22">
        <v>1</v>
      </c>
      <c r="S146" s="23">
        <f t="shared" si="11"/>
        <v>0.6</v>
      </c>
      <c r="T146" s="23">
        <f t="shared" si="12"/>
        <v>-0.6</v>
      </c>
      <c r="U146" s="23">
        <f t="shared" si="16"/>
        <v>50.36583333333332</v>
      </c>
      <c r="W146">
        <v>289.5</v>
      </c>
      <c r="Y146">
        <f t="shared" si="14"/>
        <v>76345.700000000026</v>
      </c>
      <c r="Z146">
        <f t="shared" si="18"/>
        <v>9460.6000000000022</v>
      </c>
      <c r="AA146" s="35">
        <v>8.0530280639058915</v>
      </c>
    </row>
    <row r="147" spans="1:27" x14ac:dyDescent="0.25">
      <c r="A147">
        <v>6280</v>
      </c>
      <c r="B147">
        <v>24170</v>
      </c>
      <c r="C147" s="8">
        <v>42725</v>
      </c>
      <c r="E147" s="35">
        <v>21</v>
      </c>
      <c r="F147" s="47"/>
      <c r="G147">
        <v>4.3</v>
      </c>
      <c r="H147">
        <v>1.2</v>
      </c>
      <c r="I147">
        <v>6.7</v>
      </c>
      <c r="J147">
        <f t="shared" si="13"/>
        <v>1158.5</v>
      </c>
      <c r="K147">
        <f t="shared" si="19"/>
        <v>78.899999999999977</v>
      </c>
      <c r="M147">
        <v>12.8</v>
      </c>
      <c r="N147">
        <v>0.6</v>
      </c>
      <c r="O147">
        <f t="shared" si="10"/>
        <v>12.200000000000001</v>
      </c>
      <c r="P147">
        <f t="shared" si="15"/>
        <v>52.79999999999999</v>
      </c>
      <c r="Q147">
        <v>113</v>
      </c>
      <c r="R147" s="22">
        <v>1</v>
      </c>
      <c r="S147" s="23">
        <f t="shared" si="11"/>
        <v>0.6</v>
      </c>
      <c r="T147" s="23">
        <f t="shared" si="12"/>
        <v>12.200000000000001</v>
      </c>
      <c r="U147" s="23">
        <f t="shared" si="16"/>
        <v>62.565833333333323</v>
      </c>
      <c r="W147">
        <v>371.7</v>
      </c>
      <c r="Y147">
        <f t="shared" si="14"/>
        <v>76717.400000000023</v>
      </c>
      <c r="Z147">
        <f t="shared" si="18"/>
        <v>9832.3000000000029</v>
      </c>
      <c r="AA147" s="35">
        <v>8.0526675782795305</v>
      </c>
    </row>
    <row r="148" spans="1:27" x14ac:dyDescent="0.25">
      <c r="A148">
        <v>6280</v>
      </c>
      <c r="B148">
        <v>24170</v>
      </c>
      <c r="C148" s="8">
        <v>42726</v>
      </c>
      <c r="F148" s="47"/>
      <c r="G148">
        <v>6.7</v>
      </c>
      <c r="H148">
        <v>5.5</v>
      </c>
      <c r="I148">
        <v>8</v>
      </c>
      <c r="J148">
        <f t="shared" si="13"/>
        <v>1165.2</v>
      </c>
      <c r="K148">
        <f t="shared" si="19"/>
        <v>85.59999999999998</v>
      </c>
      <c r="M148">
        <v>2</v>
      </c>
      <c r="N148">
        <v>0.3</v>
      </c>
      <c r="O148">
        <f t="shared" si="10"/>
        <v>1.7</v>
      </c>
      <c r="P148">
        <f t="shared" si="15"/>
        <v>54.499999999999993</v>
      </c>
      <c r="Q148" s="22">
        <v>114</v>
      </c>
      <c r="R148" s="22">
        <v>1</v>
      </c>
      <c r="S148" s="23">
        <f t="shared" si="11"/>
        <v>0.3</v>
      </c>
      <c r="T148" s="23">
        <f t="shared" si="12"/>
        <v>1.7</v>
      </c>
      <c r="U148" s="23">
        <f t="shared" si="16"/>
        <v>64.265833333333319</v>
      </c>
      <c r="W148">
        <v>65.099999999999994</v>
      </c>
      <c r="Y148">
        <f t="shared" si="14"/>
        <v>76782.500000000029</v>
      </c>
      <c r="Z148">
        <f t="shared" si="18"/>
        <v>9897.4000000000033</v>
      </c>
      <c r="AA148" s="35">
        <v>8.053748951025959</v>
      </c>
    </row>
    <row r="149" spans="1:27" x14ac:dyDescent="0.25">
      <c r="A149">
        <v>6280</v>
      </c>
      <c r="B149">
        <v>24170</v>
      </c>
      <c r="C149" s="8">
        <v>42727</v>
      </c>
      <c r="E149" s="35">
        <v>22</v>
      </c>
      <c r="F149" s="47"/>
      <c r="G149">
        <v>4.5999999999999996</v>
      </c>
      <c r="H149">
        <v>2.2000000000000002</v>
      </c>
      <c r="I149">
        <v>7.7</v>
      </c>
      <c r="J149">
        <f t="shared" si="13"/>
        <v>1169.8</v>
      </c>
      <c r="K149">
        <f t="shared" si="19"/>
        <v>90.199999999999974</v>
      </c>
      <c r="M149">
        <v>1.4</v>
      </c>
      <c r="N149">
        <v>0.3</v>
      </c>
      <c r="O149">
        <f t="shared" si="10"/>
        <v>1.0999999999999999</v>
      </c>
      <c r="P149">
        <f t="shared" si="15"/>
        <v>55.599999999999994</v>
      </c>
      <c r="Q149">
        <v>115</v>
      </c>
      <c r="R149" s="22">
        <v>1</v>
      </c>
      <c r="S149" s="23">
        <f t="shared" si="11"/>
        <v>0.3</v>
      </c>
      <c r="T149" s="23">
        <f t="shared" si="12"/>
        <v>1.0999999999999999</v>
      </c>
      <c r="U149" s="23">
        <f t="shared" si="16"/>
        <v>65.365833333333313</v>
      </c>
      <c r="W149">
        <v>82.7</v>
      </c>
      <c r="Y149">
        <f t="shared" si="14"/>
        <v>76865.200000000026</v>
      </c>
      <c r="Z149">
        <f t="shared" si="18"/>
        <v>9980.100000000004</v>
      </c>
      <c r="AA149" s="35">
        <v>8.0562711730705203</v>
      </c>
    </row>
    <row r="150" spans="1:27" x14ac:dyDescent="0.25">
      <c r="A150">
        <v>6280</v>
      </c>
      <c r="B150">
        <v>24170</v>
      </c>
      <c r="C150" s="8">
        <v>42728</v>
      </c>
      <c r="F150" s="47"/>
      <c r="G150">
        <v>7.8</v>
      </c>
      <c r="H150">
        <v>5.8</v>
      </c>
      <c r="I150">
        <v>9.1999999999999993</v>
      </c>
      <c r="J150">
        <f t="shared" si="13"/>
        <v>1177.5999999999999</v>
      </c>
      <c r="K150">
        <f t="shared" si="19"/>
        <v>97.999999999999972</v>
      </c>
      <c r="M150">
        <v>0</v>
      </c>
      <c r="N150">
        <v>0.4</v>
      </c>
      <c r="O150">
        <f t="shared" si="10"/>
        <v>-0.4</v>
      </c>
      <c r="P150">
        <f t="shared" si="15"/>
        <v>55.199999999999996</v>
      </c>
      <c r="Q150" s="22">
        <v>116</v>
      </c>
      <c r="R150" s="22">
        <v>1</v>
      </c>
      <c r="S150" s="23">
        <f t="shared" si="11"/>
        <v>0.4</v>
      </c>
      <c r="T150" s="23">
        <f t="shared" si="12"/>
        <v>-0.4</v>
      </c>
      <c r="U150" s="23">
        <f t="shared" si="16"/>
        <v>64.965833333333308</v>
      </c>
      <c r="W150">
        <v>264.89999999999998</v>
      </c>
      <c r="Y150">
        <f t="shared" si="14"/>
        <v>77130.10000000002</v>
      </c>
      <c r="Z150">
        <f t="shared" si="18"/>
        <v>10245.000000000004</v>
      </c>
      <c r="AA150" s="35">
        <v>8.0602318933491635</v>
      </c>
    </row>
    <row r="151" spans="1:27" x14ac:dyDescent="0.25">
      <c r="A151">
        <v>6280</v>
      </c>
      <c r="B151">
        <v>24170</v>
      </c>
      <c r="C151" s="8">
        <v>42729</v>
      </c>
      <c r="F151" s="47"/>
      <c r="G151">
        <v>9.1</v>
      </c>
      <c r="H151">
        <v>7.4</v>
      </c>
      <c r="I151">
        <v>10.199999999999999</v>
      </c>
      <c r="J151">
        <f t="shared" si="13"/>
        <v>1186.6999999999998</v>
      </c>
      <c r="K151">
        <f t="shared" si="19"/>
        <v>107.09999999999997</v>
      </c>
      <c r="M151">
        <v>0.4</v>
      </c>
      <c r="N151">
        <v>0.7</v>
      </c>
      <c r="O151">
        <f t="shared" si="10"/>
        <v>-0.29999999999999993</v>
      </c>
      <c r="P151">
        <f t="shared" si="15"/>
        <v>54.9</v>
      </c>
      <c r="Q151">
        <v>117</v>
      </c>
      <c r="R151" s="22">
        <v>1</v>
      </c>
      <c r="S151" s="23">
        <f t="shared" si="11"/>
        <v>0.7</v>
      </c>
      <c r="T151" s="23">
        <f t="shared" si="12"/>
        <v>-0.29999999999999993</v>
      </c>
      <c r="U151" s="23">
        <f t="shared" si="16"/>
        <v>64.66583333333331</v>
      </c>
      <c r="W151">
        <v>107.6</v>
      </c>
      <c r="Y151">
        <f t="shared" si="14"/>
        <v>77237.700000000026</v>
      </c>
      <c r="Z151">
        <f t="shared" si="18"/>
        <v>10352.600000000004</v>
      </c>
      <c r="AA151" s="35">
        <v>8.0656274270470103</v>
      </c>
    </row>
    <row r="152" spans="1:27" x14ac:dyDescent="0.25">
      <c r="A152">
        <v>6280</v>
      </c>
      <c r="B152">
        <v>24170</v>
      </c>
      <c r="C152" s="8">
        <v>42730</v>
      </c>
      <c r="F152" s="47"/>
      <c r="G152">
        <v>7.5</v>
      </c>
      <c r="H152">
        <v>6</v>
      </c>
      <c r="I152">
        <v>9.6999999999999993</v>
      </c>
      <c r="J152">
        <f t="shared" si="13"/>
        <v>1194.1999999999998</v>
      </c>
      <c r="K152">
        <f t="shared" si="19"/>
        <v>114.59999999999997</v>
      </c>
      <c r="M152">
        <v>0.2</v>
      </c>
      <c r="N152">
        <v>0.6</v>
      </c>
      <c r="O152">
        <f t="shared" si="10"/>
        <v>-0.39999999999999997</v>
      </c>
      <c r="P152">
        <f t="shared" si="15"/>
        <v>54.5</v>
      </c>
      <c r="Q152" s="22">
        <v>118</v>
      </c>
      <c r="R152" s="22">
        <v>1</v>
      </c>
      <c r="S152" s="23">
        <f t="shared" si="11"/>
        <v>0.6</v>
      </c>
      <c r="T152" s="23">
        <f t="shared" si="12"/>
        <v>-0.39999999999999997</v>
      </c>
      <c r="U152" s="23">
        <f t="shared" si="16"/>
        <v>64.265833333333305</v>
      </c>
      <c r="W152">
        <v>332.5</v>
      </c>
      <c r="Y152">
        <f t="shared" si="14"/>
        <v>77570.200000000026</v>
      </c>
      <c r="Z152">
        <f t="shared" si="18"/>
        <v>10685.100000000004</v>
      </c>
      <c r="AA152" s="35">
        <v>8.0724527684715515</v>
      </c>
    </row>
    <row r="153" spans="1:27" x14ac:dyDescent="0.25">
      <c r="A153">
        <v>6280</v>
      </c>
      <c r="B153">
        <v>24170</v>
      </c>
      <c r="C153" s="8">
        <v>42731</v>
      </c>
      <c r="E153" s="35">
        <v>23</v>
      </c>
      <c r="F153" s="47"/>
      <c r="G153">
        <v>1.9</v>
      </c>
      <c r="H153">
        <v>-1</v>
      </c>
      <c r="I153">
        <v>6.6</v>
      </c>
      <c r="J153">
        <f t="shared" si="13"/>
        <v>1196.0999999999999</v>
      </c>
      <c r="K153">
        <f t="shared" si="19"/>
        <v>116.49999999999997</v>
      </c>
      <c r="M153">
        <v>0.1</v>
      </c>
      <c r="N153">
        <v>0.7</v>
      </c>
      <c r="O153">
        <f t="shared" si="10"/>
        <v>-0.6</v>
      </c>
      <c r="P153">
        <f t="shared" si="15"/>
        <v>53.9</v>
      </c>
      <c r="Q153">
        <v>119</v>
      </c>
      <c r="R153" s="22">
        <v>1</v>
      </c>
      <c r="S153" s="23">
        <f t="shared" si="11"/>
        <v>0.7</v>
      </c>
      <c r="T153" s="23">
        <f t="shared" si="12"/>
        <v>-0.6</v>
      </c>
      <c r="U153" s="23">
        <f t="shared" si="16"/>
        <v>63.665833333333303</v>
      </c>
      <c r="W153">
        <v>507.1</v>
      </c>
      <c r="Y153">
        <f t="shared" si="14"/>
        <v>78077.300000000032</v>
      </c>
      <c r="Z153">
        <f t="shared" si="18"/>
        <v>11192.200000000004</v>
      </c>
      <c r="AA153" s="35">
        <v>8.0807016084638228</v>
      </c>
    </row>
    <row r="154" spans="1:27" x14ac:dyDescent="0.25">
      <c r="A154">
        <v>6280</v>
      </c>
      <c r="B154">
        <v>24170</v>
      </c>
      <c r="C154" s="8">
        <v>42732</v>
      </c>
      <c r="E154" s="35">
        <v>24</v>
      </c>
      <c r="F154" s="47"/>
      <c r="G154">
        <v>2</v>
      </c>
      <c r="H154">
        <v>-0.5</v>
      </c>
      <c r="I154">
        <v>6.1</v>
      </c>
      <c r="J154">
        <f t="shared" si="13"/>
        <v>1198.0999999999999</v>
      </c>
      <c r="K154">
        <f t="shared" si="19"/>
        <v>118.49999999999997</v>
      </c>
      <c r="M154">
        <v>0.1</v>
      </c>
      <c r="N154">
        <v>0.8</v>
      </c>
      <c r="O154">
        <f t="shared" si="10"/>
        <v>-0.70000000000000007</v>
      </c>
      <c r="P154">
        <f t="shared" si="15"/>
        <v>53.199999999999996</v>
      </c>
      <c r="Q154" s="22">
        <v>120</v>
      </c>
      <c r="R154" s="22">
        <v>1</v>
      </c>
      <c r="S154" s="23">
        <f t="shared" si="11"/>
        <v>0.8</v>
      </c>
      <c r="T154" s="23">
        <f t="shared" si="12"/>
        <v>-0.70000000000000007</v>
      </c>
      <c r="U154" s="23">
        <f t="shared" si="16"/>
        <v>62.9658333333333</v>
      </c>
      <c r="W154">
        <v>479.7</v>
      </c>
      <c r="Y154">
        <f t="shared" si="14"/>
        <v>78557.000000000029</v>
      </c>
      <c r="Z154">
        <f t="shared" si="18"/>
        <v>11671.900000000005</v>
      </c>
      <c r="AA154" s="35">
        <v>8.0903663562178636</v>
      </c>
    </row>
    <row r="155" spans="1:27" x14ac:dyDescent="0.25">
      <c r="A155">
        <v>6280</v>
      </c>
      <c r="B155">
        <v>24170</v>
      </c>
      <c r="C155" s="8">
        <v>42733</v>
      </c>
      <c r="E155" s="35">
        <v>25</v>
      </c>
      <c r="F155" s="47"/>
      <c r="G155">
        <v>-0.6</v>
      </c>
      <c r="H155">
        <v>-0.7</v>
      </c>
      <c r="I155">
        <v>0.3</v>
      </c>
      <c r="J155">
        <v>1198.0999999999999</v>
      </c>
      <c r="K155">
        <v>118.5</v>
      </c>
      <c r="M155">
        <v>0</v>
      </c>
      <c r="N155">
        <v>0.5</v>
      </c>
      <c r="O155">
        <f t="shared" si="10"/>
        <v>-0.5</v>
      </c>
      <c r="P155">
        <f t="shared" si="15"/>
        <v>52.699999999999996</v>
      </c>
      <c r="Q155">
        <v>121</v>
      </c>
      <c r="R155" s="22">
        <v>1</v>
      </c>
      <c r="S155" s="23">
        <f t="shared" si="11"/>
        <v>0.5</v>
      </c>
      <c r="T155" s="23">
        <f t="shared" si="12"/>
        <v>-0.5</v>
      </c>
      <c r="U155" s="23">
        <f t="shared" si="16"/>
        <v>62.4658333333333</v>
      </c>
      <c r="W155">
        <v>368.3</v>
      </c>
      <c r="Y155">
        <f t="shared" si="14"/>
        <v>78925.300000000032</v>
      </c>
      <c r="Z155">
        <f t="shared" si="18"/>
        <v>12040.200000000004</v>
      </c>
      <c r="AA155" s="35">
        <v>8.1014381653471901</v>
      </c>
    </row>
    <row r="156" spans="1:27" x14ac:dyDescent="0.25">
      <c r="A156">
        <v>6280</v>
      </c>
      <c r="B156">
        <v>24170</v>
      </c>
      <c r="C156" s="8">
        <v>42734</v>
      </c>
      <c r="E156" s="35">
        <v>26</v>
      </c>
      <c r="F156" s="47"/>
      <c r="G156">
        <v>-3.3</v>
      </c>
      <c r="H156">
        <v>-3.5</v>
      </c>
      <c r="I156">
        <v>-2.7</v>
      </c>
      <c r="J156">
        <v>1198.0999999999999</v>
      </c>
      <c r="K156">
        <v>118.5</v>
      </c>
      <c r="M156">
        <v>0</v>
      </c>
      <c r="N156">
        <v>0.3</v>
      </c>
      <c r="O156">
        <f t="shared" si="10"/>
        <v>-0.3</v>
      </c>
      <c r="P156">
        <f t="shared" si="15"/>
        <v>52.4</v>
      </c>
      <c r="Q156" s="22">
        <v>122</v>
      </c>
      <c r="R156" s="22">
        <v>1</v>
      </c>
      <c r="S156" s="23">
        <f t="shared" si="11"/>
        <v>0.3</v>
      </c>
      <c r="T156" s="23">
        <f t="shared" si="12"/>
        <v>-0.3</v>
      </c>
      <c r="U156" s="23">
        <f t="shared" si="16"/>
        <v>62.165833333333303</v>
      </c>
      <c r="W156">
        <v>203.9</v>
      </c>
      <c r="Y156">
        <f t="shared" si="14"/>
        <v>79129.200000000026</v>
      </c>
      <c r="Z156">
        <f t="shared" si="18"/>
        <v>12244.100000000004</v>
      </c>
      <c r="AA156" s="35">
        <v>8.1139069640075512</v>
      </c>
    </row>
    <row r="157" spans="1:27" x14ac:dyDescent="0.25">
      <c r="A157">
        <v>6280</v>
      </c>
      <c r="B157">
        <v>24170</v>
      </c>
      <c r="C157" s="8">
        <v>42735</v>
      </c>
      <c r="E157" s="35">
        <v>27</v>
      </c>
      <c r="F157" s="47"/>
      <c r="G157">
        <v>-3.8</v>
      </c>
      <c r="H157">
        <v>-4.4000000000000004</v>
      </c>
      <c r="I157">
        <v>-2.9</v>
      </c>
      <c r="J157">
        <v>1198.0999999999999</v>
      </c>
      <c r="K157">
        <v>118.5</v>
      </c>
      <c r="M157">
        <v>0</v>
      </c>
      <c r="N157">
        <v>0.2</v>
      </c>
      <c r="O157">
        <f t="shared" si="10"/>
        <v>-0.2</v>
      </c>
      <c r="P157">
        <f t="shared" si="15"/>
        <v>52.199999999999996</v>
      </c>
      <c r="Q157">
        <v>123</v>
      </c>
      <c r="R157" s="22">
        <v>1</v>
      </c>
      <c r="S157" s="23">
        <f t="shared" si="11"/>
        <v>0.2</v>
      </c>
      <c r="T157" s="23">
        <f t="shared" si="12"/>
        <v>-0.2</v>
      </c>
      <c r="U157" s="23">
        <f t="shared" si="16"/>
        <v>61.9658333333333</v>
      </c>
      <c r="W157">
        <v>97.9</v>
      </c>
      <c r="Y157">
        <f t="shared" si="14"/>
        <v>79227.10000000002</v>
      </c>
      <c r="Z157">
        <f t="shared" si="18"/>
        <v>12342.000000000004</v>
      </c>
      <c r="AA157" s="35">
        <v>8.1277614888582495</v>
      </c>
    </row>
    <row r="158" spans="1:27" x14ac:dyDescent="0.25">
      <c r="A158">
        <v>6280</v>
      </c>
      <c r="B158">
        <v>24170</v>
      </c>
      <c r="C158" s="8">
        <v>42736</v>
      </c>
      <c r="E158" s="35">
        <v>28</v>
      </c>
      <c r="F158" s="47"/>
      <c r="G158">
        <v>-3.6</v>
      </c>
      <c r="H158">
        <v>-6.4</v>
      </c>
      <c r="I158">
        <v>0</v>
      </c>
      <c r="J158">
        <v>1198.0999999999999</v>
      </c>
      <c r="K158">
        <v>118.5</v>
      </c>
      <c r="M158">
        <v>0.3</v>
      </c>
      <c r="N158">
        <v>0.2</v>
      </c>
      <c r="O158">
        <f t="shared" si="10"/>
        <v>9.9999999999999978E-2</v>
      </c>
      <c r="P158">
        <f t="shared" si="15"/>
        <v>52.3</v>
      </c>
      <c r="Q158" s="22">
        <v>124</v>
      </c>
      <c r="R158" s="22">
        <v>1</v>
      </c>
      <c r="S158" s="23">
        <f t="shared" si="11"/>
        <v>0.2</v>
      </c>
      <c r="T158" s="23">
        <f t="shared" si="12"/>
        <v>9.9999999999999978E-2</v>
      </c>
      <c r="U158" s="23">
        <f t="shared" si="16"/>
        <v>62.065833333333302</v>
      </c>
      <c r="W158">
        <v>94.1</v>
      </c>
      <c r="Y158">
        <f t="shared" si="14"/>
        <v>79321.200000000026</v>
      </c>
      <c r="Z158">
        <f t="shared" si="18"/>
        <v>12436.100000000004</v>
      </c>
      <c r="AA158" s="35">
        <v>8.1429893226200978</v>
      </c>
    </row>
    <row r="159" spans="1:27" x14ac:dyDescent="0.25">
      <c r="A159">
        <v>6280</v>
      </c>
      <c r="B159">
        <v>24170</v>
      </c>
      <c r="C159" s="8">
        <v>42737</v>
      </c>
      <c r="E159" s="35">
        <v>29</v>
      </c>
      <c r="F159" s="47"/>
      <c r="G159">
        <v>0.1</v>
      </c>
      <c r="H159">
        <v>-2.2000000000000002</v>
      </c>
      <c r="I159">
        <v>0.5</v>
      </c>
      <c r="J159">
        <f t="shared" si="13"/>
        <v>1198.1999999999998</v>
      </c>
      <c r="K159">
        <f t="shared" si="19"/>
        <v>118.6</v>
      </c>
      <c r="M159">
        <v>0.1</v>
      </c>
      <c r="N159">
        <v>0.1</v>
      </c>
      <c r="O159">
        <f t="shared" si="10"/>
        <v>0</v>
      </c>
      <c r="P159">
        <f t="shared" si="15"/>
        <v>52.3</v>
      </c>
      <c r="Q159">
        <v>125</v>
      </c>
      <c r="R159" s="22">
        <v>1</v>
      </c>
      <c r="S159" s="23">
        <f t="shared" si="11"/>
        <v>0.1</v>
      </c>
      <c r="T159" s="23">
        <f t="shared" si="12"/>
        <v>0</v>
      </c>
      <c r="U159" s="23">
        <f t="shared" si="16"/>
        <v>62.065833333333302</v>
      </c>
      <c r="W159">
        <v>51.4</v>
      </c>
      <c r="Y159">
        <f t="shared" si="14"/>
        <v>79372.60000000002</v>
      </c>
      <c r="Z159">
        <f t="shared" si="18"/>
        <v>12487.500000000004</v>
      </c>
      <c r="AA159" s="35">
        <v>8.1595769349666938</v>
      </c>
    </row>
    <row r="160" spans="1:27" x14ac:dyDescent="0.25">
      <c r="A160">
        <v>6280</v>
      </c>
      <c r="B160">
        <v>24170</v>
      </c>
      <c r="C160" s="8">
        <v>42738</v>
      </c>
      <c r="E160" s="35">
        <v>30</v>
      </c>
      <c r="F160" s="47"/>
      <c r="G160">
        <v>0.3</v>
      </c>
      <c r="H160">
        <v>-0.7</v>
      </c>
      <c r="I160">
        <v>1.2</v>
      </c>
      <c r="J160">
        <f t="shared" si="13"/>
        <v>1198.4999999999998</v>
      </c>
      <c r="K160">
        <f t="shared" si="19"/>
        <v>118.89999999999999</v>
      </c>
      <c r="M160">
        <v>0</v>
      </c>
      <c r="N160">
        <v>0.2</v>
      </c>
      <c r="O160">
        <f t="shared" si="10"/>
        <v>-0.2</v>
      </c>
      <c r="P160">
        <f t="shared" si="15"/>
        <v>52.099999999999994</v>
      </c>
      <c r="Q160" s="22">
        <v>126</v>
      </c>
      <c r="R160" s="22">
        <v>1</v>
      </c>
      <c r="S160" s="23">
        <f t="shared" si="11"/>
        <v>0.2</v>
      </c>
      <c r="T160" s="23">
        <f t="shared" si="12"/>
        <v>-0.2</v>
      </c>
      <c r="U160" s="23">
        <f t="shared" si="16"/>
        <v>61.865833333333299</v>
      </c>
      <c r="W160">
        <v>199.2</v>
      </c>
      <c r="Y160">
        <f t="shared" si="14"/>
        <v>79571.800000000017</v>
      </c>
      <c r="Z160">
        <f t="shared" si="18"/>
        <v>12686.700000000004</v>
      </c>
      <c r="AA160" s="35">
        <v>8.1775097264676422</v>
      </c>
    </row>
    <row r="161" spans="1:27" x14ac:dyDescent="0.25">
      <c r="A161">
        <v>6280</v>
      </c>
      <c r="B161">
        <v>24170</v>
      </c>
      <c r="C161" s="8">
        <v>42739</v>
      </c>
      <c r="E161" s="35">
        <v>31</v>
      </c>
      <c r="F161" s="47"/>
      <c r="G161">
        <v>2.7</v>
      </c>
      <c r="H161">
        <v>-0.2</v>
      </c>
      <c r="I161">
        <v>4.9000000000000004</v>
      </c>
      <c r="J161">
        <f t="shared" si="13"/>
        <v>1201.1999999999998</v>
      </c>
      <c r="K161">
        <f t="shared" si="19"/>
        <v>121.6</v>
      </c>
      <c r="M161">
        <v>0.3</v>
      </c>
      <c r="N161">
        <v>0.3</v>
      </c>
      <c r="O161">
        <f t="shared" si="10"/>
        <v>0</v>
      </c>
      <c r="P161">
        <f t="shared" si="15"/>
        <v>52.099999999999994</v>
      </c>
      <c r="Q161">
        <v>127</v>
      </c>
      <c r="R161" s="22">
        <v>1</v>
      </c>
      <c r="S161" s="23">
        <f t="shared" si="11"/>
        <v>0.3</v>
      </c>
      <c r="T161" s="23">
        <f t="shared" si="12"/>
        <v>0</v>
      </c>
      <c r="U161" s="23">
        <f t="shared" si="16"/>
        <v>61.865833333333299</v>
      </c>
      <c r="W161">
        <v>81.2</v>
      </c>
      <c r="Y161">
        <f t="shared" si="14"/>
        <v>79653.000000000015</v>
      </c>
      <c r="Z161">
        <f t="shared" si="18"/>
        <v>12767.900000000005</v>
      </c>
      <c r="AA161" s="35">
        <v>8.196772075287468</v>
      </c>
    </row>
    <row r="162" spans="1:27" x14ac:dyDescent="0.25">
      <c r="A162">
        <v>6280</v>
      </c>
      <c r="B162">
        <v>24170</v>
      </c>
      <c r="C162" s="8">
        <v>42740</v>
      </c>
      <c r="E162" s="35">
        <v>32</v>
      </c>
      <c r="F162" s="47"/>
      <c r="G162">
        <v>1.7</v>
      </c>
      <c r="H162">
        <v>0.5</v>
      </c>
      <c r="I162">
        <v>4.9000000000000004</v>
      </c>
      <c r="J162">
        <f t="shared" si="13"/>
        <v>1202.8999999999999</v>
      </c>
      <c r="K162">
        <f t="shared" si="19"/>
        <v>123.3</v>
      </c>
      <c r="M162">
        <v>0.1</v>
      </c>
      <c r="N162">
        <v>0.5</v>
      </c>
      <c r="O162">
        <f t="shared" si="10"/>
        <v>-0.4</v>
      </c>
      <c r="P162">
        <f t="shared" si="15"/>
        <v>51.699999999999996</v>
      </c>
      <c r="Q162" s="22">
        <v>128</v>
      </c>
      <c r="R162" s="22">
        <v>1</v>
      </c>
      <c r="S162" s="23">
        <f t="shared" si="11"/>
        <v>0.5</v>
      </c>
      <c r="T162" s="23">
        <f t="shared" si="12"/>
        <v>-0.4</v>
      </c>
      <c r="U162" s="23">
        <f t="shared" si="16"/>
        <v>61.4658333333333</v>
      </c>
      <c r="W162">
        <v>373.9</v>
      </c>
      <c r="Y162">
        <f t="shared" si="14"/>
        <v>80026.900000000009</v>
      </c>
      <c r="Z162">
        <f t="shared" si="18"/>
        <v>13141.800000000005</v>
      </c>
      <c r="AA162" s="35">
        <v>8.2173473863325412</v>
      </c>
    </row>
    <row r="163" spans="1:27" x14ac:dyDescent="0.25">
      <c r="A163">
        <v>6280</v>
      </c>
      <c r="B163">
        <v>24170</v>
      </c>
      <c r="C163" s="8">
        <v>42741</v>
      </c>
      <c r="E163" s="35">
        <v>33</v>
      </c>
      <c r="F163" s="47"/>
      <c r="G163">
        <v>-2.7</v>
      </c>
      <c r="H163">
        <v>-4.4000000000000004</v>
      </c>
      <c r="I163">
        <v>0.7</v>
      </c>
      <c r="J163">
        <v>1202.9000000000001</v>
      </c>
      <c r="K163">
        <v>123.3</v>
      </c>
      <c r="M163">
        <v>0</v>
      </c>
      <c r="N163">
        <v>0.5</v>
      </c>
      <c r="O163">
        <f t="shared" si="10"/>
        <v>-0.5</v>
      </c>
      <c r="P163">
        <f t="shared" si="15"/>
        <v>51.199999999999996</v>
      </c>
      <c r="Q163">
        <v>129</v>
      </c>
      <c r="R163" s="22">
        <v>1</v>
      </c>
      <c r="S163" s="23">
        <f t="shared" si="11"/>
        <v>0.5</v>
      </c>
      <c r="T163" s="23">
        <f t="shared" si="12"/>
        <v>-0.5</v>
      </c>
      <c r="U163" s="23">
        <f t="shared" si="16"/>
        <v>60.9658333333333</v>
      </c>
      <c r="W163">
        <v>518.1</v>
      </c>
      <c r="Y163">
        <f t="shared" si="14"/>
        <v>80545.000000000015</v>
      </c>
      <c r="Z163">
        <f t="shared" si="18"/>
        <v>13659.900000000005</v>
      </c>
      <c r="AA163" s="35">
        <v>8.2392181425301754</v>
      </c>
    </row>
    <row r="164" spans="1:27" x14ac:dyDescent="0.25">
      <c r="A164">
        <v>6280</v>
      </c>
      <c r="B164">
        <v>24170</v>
      </c>
      <c r="C164" s="8">
        <v>42742</v>
      </c>
      <c r="E164" s="35">
        <v>34</v>
      </c>
      <c r="F164" s="47"/>
      <c r="G164">
        <v>-1.9</v>
      </c>
      <c r="H164">
        <v>-5.8</v>
      </c>
      <c r="I164">
        <v>2</v>
      </c>
      <c r="J164">
        <v>1202.9000000000001</v>
      </c>
      <c r="K164">
        <v>123.3</v>
      </c>
      <c r="M164">
        <v>0.1</v>
      </c>
      <c r="N164">
        <v>0.5</v>
      </c>
      <c r="O164">
        <f t="shared" ref="O164:O227" si="20">M164-N164</f>
        <v>-0.4</v>
      </c>
      <c r="P164">
        <f t="shared" si="15"/>
        <v>50.8</v>
      </c>
      <c r="Q164" s="22">
        <v>130</v>
      </c>
      <c r="R164" s="22">
        <v>1</v>
      </c>
      <c r="S164" s="23">
        <f t="shared" ref="S164:S227" si="21">R164*N164</f>
        <v>0.5</v>
      </c>
      <c r="T164" s="23">
        <f t="shared" ref="T164:T227" si="22">M164-S164</f>
        <v>-0.4</v>
      </c>
      <c r="U164" s="23">
        <f t="shared" si="16"/>
        <v>60.565833333333302</v>
      </c>
      <c r="W164">
        <v>95</v>
      </c>
      <c r="Y164">
        <f t="shared" si="14"/>
        <v>80640.000000000015</v>
      </c>
      <c r="Z164">
        <f t="shared" si="18"/>
        <v>13754.900000000005</v>
      </c>
      <c r="AA164" s="35">
        <v>8.2623659579193873</v>
      </c>
    </row>
    <row r="165" spans="1:27" x14ac:dyDescent="0.25">
      <c r="A165">
        <v>6280</v>
      </c>
      <c r="B165">
        <v>24170</v>
      </c>
      <c r="C165" s="8">
        <v>42743</v>
      </c>
      <c r="E165" s="35">
        <v>35</v>
      </c>
      <c r="F165" s="47"/>
      <c r="G165">
        <v>4.0999999999999996</v>
      </c>
      <c r="H165">
        <v>0</v>
      </c>
      <c r="I165">
        <v>6.9</v>
      </c>
      <c r="J165">
        <f t="shared" ref="J165:J228" si="23">J164+G165</f>
        <v>1207</v>
      </c>
      <c r="K165">
        <f t="shared" si="19"/>
        <v>127.39999999999999</v>
      </c>
      <c r="M165">
        <v>0.5</v>
      </c>
      <c r="N165">
        <v>0.3</v>
      </c>
      <c r="O165">
        <f t="shared" si="20"/>
        <v>0.2</v>
      </c>
      <c r="P165">
        <f t="shared" si="15"/>
        <v>51</v>
      </c>
      <c r="Q165">
        <v>131</v>
      </c>
      <c r="R165" s="22">
        <v>1</v>
      </c>
      <c r="S165" s="23">
        <f t="shared" si="21"/>
        <v>0.3</v>
      </c>
      <c r="T165" s="23">
        <f t="shared" si="22"/>
        <v>0.2</v>
      </c>
      <c r="U165" s="23">
        <f t="shared" si="16"/>
        <v>60.765833333333305</v>
      </c>
      <c r="W165">
        <v>331.4</v>
      </c>
      <c r="Y165">
        <f t="shared" ref="Y165:Y228" si="24">Y164+W165</f>
        <v>80971.400000000009</v>
      </c>
      <c r="Z165">
        <f t="shared" si="18"/>
        <v>14086.300000000005</v>
      </c>
      <c r="AA165" s="35">
        <v>8.2867716322312592</v>
      </c>
    </row>
    <row r="166" spans="1:27" x14ac:dyDescent="0.25">
      <c r="A166">
        <v>6280</v>
      </c>
      <c r="B166">
        <v>24170</v>
      </c>
      <c r="C166" s="8">
        <v>42744</v>
      </c>
      <c r="F166" s="47"/>
      <c r="G166">
        <v>5.6</v>
      </c>
      <c r="H166">
        <v>3.7</v>
      </c>
      <c r="I166">
        <v>7.1</v>
      </c>
      <c r="J166">
        <f t="shared" si="23"/>
        <v>1212.5999999999999</v>
      </c>
      <c r="K166">
        <f t="shared" si="19"/>
        <v>133</v>
      </c>
      <c r="M166">
        <v>7.4</v>
      </c>
      <c r="N166">
        <v>0.3</v>
      </c>
      <c r="O166">
        <f t="shared" si="20"/>
        <v>7.1000000000000005</v>
      </c>
      <c r="P166">
        <f t="shared" si="15"/>
        <v>58.1</v>
      </c>
      <c r="Q166" s="22">
        <v>132</v>
      </c>
      <c r="R166" s="22">
        <v>1</v>
      </c>
      <c r="S166" s="23">
        <f t="shared" si="21"/>
        <v>0.3</v>
      </c>
      <c r="T166" s="23">
        <f t="shared" si="22"/>
        <v>7.1000000000000005</v>
      </c>
      <c r="U166" s="23">
        <f t="shared" si="16"/>
        <v>67.865833333333299</v>
      </c>
      <c r="W166">
        <v>107.4</v>
      </c>
      <c r="Y166">
        <f t="shared" si="24"/>
        <v>81078.8</v>
      </c>
      <c r="Z166">
        <f t="shared" si="18"/>
        <v>14193.700000000004</v>
      </c>
      <c r="AA166" s="35">
        <v>8.3124152066384323</v>
      </c>
    </row>
    <row r="167" spans="1:27" x14ac:dyDescent="0.25">
      <c r="A167">
        <v>6280</v>
      </c>
      <c r="B167">
        <v>24170</v>
      </c>
      <c r="C167" s="8">
        <v>42745</v>
      </c>
      <c r="E167" s="35">
        <v>36</v>
      </c>
      <c r="F167" s="47"/>
      <c r="G167">
        <v>4.9000000000000004</v>
      </c>
      <c r="H167">
        <v>2.5</v>
      </c>
      <c r="I167">
        <v>6.4</v>
      </c>
      <c r="J167">
        <f t="shared" si="23"/>
        <v>1217.5</v>
      </c>
      <c r="K167">
        <f t="shared" si="19"/>
        <v>137.9</v>
      </c>
      <c r="M167">
        <v>0.3</v>
      </c>
      <c r="N167">
        <v>0.2</v>
      </c>
      <c r="O167">
        <f t="shared" si="20"/>
        <v>9.9999999999999978E-2</v>
      </c>
      <c r="P167">
        <f t="shared" si="15"/>
        <v>58.2</v>
      </c>
      <c r="Q167">
        <v>133</v>
      </c>
      <c r="R167" s="22">
        <v>1</v>
      </c>
      <c r="S167" s="23">
        <f t="shared" si="21"/>
        <v>0.2</v>
      </c>
      <c r="T167" s="23">
        <f t="shared" si="22"/>
        <v>9.9999999999999978E-2</v>
      </c>
      <c r="U167" s="23">
        <f t="shared" si="16"/>
        <v>67.965833333333293</v>
      </c>
      <c r="W167">
        <v>165.1</v>
      </c>
      <c r="Y167">
        <f t="shared" si="24"/>
        <v>81243.900000000009</v>
      </c>
      <c r="Z167">
        <f t="shared" si="18"/>
        <v>14358.800000000005</v>
      </c>
      <c r="AA167" s="35">
        <v>8.3392760203578682</v>
      </c>
    </row>
    <row r="168" spans="1:27" x14ac:dyDescent="0.25">
      <c r="A168">
        <v>6280</v>
      </c>
      <c r="B168">
        <v>24170</v>
      </c>
      <c r="C168" s="8">
        <v>42746</v>
      </c>
      <c r="F168" s="47"/>
      <c r="G168">
        <v>6.9</v>
      </c>
      <c r="H168">
        <v>4.5999999999999996</v>
      </c>
      <c r="I168">
        <v>9.1</v>
      </c>
      <c r="J168">
        <f t="shared" si="23"/>
        <v>1224.4000000000001</v>
      </c>
      <c r="K168">
        <f t="shared" si="19"/>
        <v>144.80000000000001</v>
      </c>
      <c r="M168">
        <v>0.9</v>
      </c>
      <c r="N168">
        <v>0.5</v>
      </c>
      <c r="O168">
        <f t="shared" si="20"/>
        <v>0.4</v>
      </c>
      <c r="P168">
        <f t="shared" si="15"/>
        <v>58.6</v>
      </c>
      <c r="Q168" s="22">
        <v>134</v>
      </c>
      <c r="R168" s="22">
        <v>1</v>
      </c>
      <c r="S168" s="23">
        <f t="shared" si="21"/>
        <v>0.5</v>
      </c>
      <c r="T168" s="23">
        <f t="shared" si="22"/>
        <v>0.4</v>
      </c>
      <c r="U168" s="23">
        <f t="shared" si="16"/>
        <v>68.365833333333299</v>
      </c>
      <c r="W168">
        <v>161.6</v>
      </c>
      <c r="Y168">
        <f t="shared" si="24"/>
        <v>81405.500000000015</v>
      </c>
      <c r="Z168">
        <f t="shared" si="18"/>
        <v>14520.400000000005</v>
      </c>
      <c r="AA168" s="35">
        <v>8.3673327677981604</v>
      </c>
    </row>
    <row r="169" spans="1:27" x14ac:dyDescent="0.25">
      <c r="A169">
        <v>6280</v>
      </c>
      <c r="B169">
        <v>24170</v>
      </c>
      <c r="C169" s="8">
        <v>42747</v>
      </c>
      <c r="F169" s="47"/>
      <c r="G169">
        <v>5.9</v>
      </c>
      <c r="H169">
        <v>5.8</v>
      </c>
      <c r="I169">
        <v>6.8</v>
      </c>
      <c r="J169">
        <f t="shared" si="23"/>
        <v>1230.3000000000002</v>
      </c>
      <c r="K169">
        <f t="shared" si="19"/>
        <v>150.70000000000002</v>
      </c>
      <c r="M169">
        <v>5.0999999999999996</v>
      </c>
      <c r="N169">
        <v>0.9</v>
      </c>
      <c r="O169">
        <f t="shared" si="20"/>
        <v>4.1999999999999993</v>
      </c>
      <c r="P169">
        <f t="shared" ref="P169:P232" si="25">P168+O169</f>
        <v>62.8</v>
      </c>
      <c r="Q169">
        <v>135</v>
      </c>
      <c r="R169" s="22">
        <v>1</v>
      </c>
      <c r="S169" s="23">
        <f t="shared" si="21"/>
        <v>0.9</v>
      </c>
      <c r="T169" s="23">
        <f t="shared" si="22"/>
        <v>4.1999999999999993</v>
      </c>
      <c r="U169" s="23">
        <f t="shared" ref="U169:U232" si="26">MIN(U168+T169,197.4)</f>
        <v>72.565833333333302</v>
      </c>
      <c r="W169">
        <v>113.6</v>
      </c>
      <c r="Y169">
        <f t="shared" si="24"/>
        <v>81519.10000000002</v>
      </c>
      <c r="Z169">
        <f t="shared" si="18"/>
        <v>14634.000000000005</v>
      </c>
      <c r="AA169" s="35">
        <v>8.3965635559525147</v>
      </c>
    </row>
    <row r="170" spans="1:27" x14ac:dyDescent="0.25">
      <c r="A170">
        <v>6280</v>
      </c>
      <c r="B170">
        <v>24170</v>
      </c>
      <c r="C170" s="8">
        <v>42748</v>
      </c>
      <c r="E170" s="35">
        <v>37</v>
      </c>
      <c r="F170" s="47"/>
      <c r="G170">
        <v>3.1</v>
      </c>
      <c r="H170">
        <v>1.8</v>
      </c>
      <c r="I170">
        <v>4.0999999999999996</v>
      </c>
      <c r="J170">
        <f t="shared" si="23"/>
        <v>1233.4000000000001</v>
      </c>
      <c r="K170">
        <f t="shared" si="19"/>
        <v>153.80000000000001</v>
      </c>
      <c r="M170">
        <v>2.2000000000000002</v>
      </c>
      <c r="N170">
        <v>0.8</v>
      </c>
      <c r="O170">
        <f t="shared" si="20"/>
        <v>1.4000000000000001</v>
      </c>
      <c r="P170">
        <f t="shared" si="25"/>
        <v>64.2</v>
      </c>
      <c r="Q170" s="22">
        <v>136</v>
      </c>
      <c r="R170" s="22">
        <v>1</v>
      </c>
      <c r="S170" s="23">
        <f t="shared" si="21"/>
        <v>0.8</v>
      </c>
      <c r="T170" s="23">
        <f t="shared" si="22"/>
        <v>1.4000000000000001</v>
      </c>
      <c r="U170" s="23">
        <f t="shared" si="26"/>
        <v>73.965833333333308</v>
      </c>
      <c r="W170">
        <v>339.7</v>
      </c>
      <c r="Y170">
        <f t="shared" si="24"/>
        <v>81858.800000000017</v>
      </c>
      <c r="Z170">
        <f t="shared" si="18"/>
        <v>14973.700000000006</v>
      </c>
      <c r="AA170" s="35">
        <v>8.4269459617503557</v>
      </c>
    </row>
    <row r="171" spans="1:27" x14ac:dyDescent="0.25">
      <c r="A171">
        <v>6280</v>
      </c>
      <c r="B171">
        <v>24170</v>
      </c>
      <c r="C171" s="8">
        <v>42749</v>
      </c>
      <c r="E171" s="35">
        <v>38</v>
      </c>
      <c r="F171" s="47"/>
      <c r="G171">
        <v>2</v>
      </c>
      <c r="H171">
        <v>0.1</v>
      </c>
      <c r="I171">
        <v>3.6</v>
      </c>
      <c r="J171">
        <f t="shared" si="23"/>
        <v>1235.4000000000001</v>
      </c>
      <c r="K171">
        <f t="shared" si="19"/>
        <v>155.80000000000001</v>
      </c>
      <c r="M171">
        <v>0.4</v>
      </c>
      <c r="N171">
        <v>0.5</v>
      </c>
      <c r="O171">
        <f t="shared" si="20"/>
        <v>-9.9999999999999978E-2</v>
      </c>
      <c r="P171">
        <f t="shared" si="25"/>
        <v>64.100000000000009</v>
      </c>
      <c r="Q171">
        <v>137</v>
      </c>
      <c r="R171" s="22">
        <v>1</v>
      </c>
      <c r="S171" s="23">
        <f t="shared" si="21"/>
        <v>0.5</v>
      </c>
      <c r="T171" s="23">
        <f t="shared" si="22"/>
        <v>-9.9999999999999978E-2</v>
      </c>
      <c r="U171" s="23">
        <f t="shared" si="26"/>
        <v>73.865833333333313</v>
      </c>
      <c r="W171">
        <v>142.4</v>
      </c>
      <c r="Y171">
        <f t="shared" si="24"/>
        <v>82001.200000000012</v>
      </c>
      <c r="Z171">
        <f t="shared" si="18"/>
        <v>15116.100000000006</v>
      </c>
      <c r="AA171" s="35">
        <v>8.4584570890944395</v>
      </c>
    </row>
    <row r="172" spans="1:27" x14ac:dyDescent="0.25">
      <c r="A172">
        <v>6280</v>
      </c>
      <c r="B172">
        <v>24170</v>
      </c>
      <c r="C172" s="8">
        <v>42750</v>
      </c>
      <c r="E172" s="35">
        <v>39</v>
      </c>
      <c r="F172" s="47"/>
      <c r="G172">
        <v>0.3</v>
      </c>
      <c r="H172">
        <v>-1.2</v>
      </c>
      <c r="I172">
        <v>2.2000000000000002</v>
      </c>
      <c r="J172">
        <f t="shared" si="23"/>
        <v>1235.7</v>
      </c>
      <c r="K172">
        <f t="shared" si="19"/>
        <v>156.10000000000002</v>
      </c>
      <c r="M172">
        <v>1.4</v>
      </c>
      <c r="N172">
        <v>0.3</v>
      </c>
      <c r="O172">
        <f t="shared" si="20"/>
        <v>1.0999999999999999</v>
      </c>
      <c r="P172">
        <f t="shared" si="25"/>
        <v>65.2</v>
      </c>
      <c r="Q172" s="22">
        <v>138</v>
      </c>
      <c r="R172" s="22">
        <v>1</v>
      </c>
      <c r="S172" s="23">
        <f t="shared" si="21"/>
        <v>0.3</v>
      </c>
      <c r="T172" s="23">
        <f t="shared" si="22"/>
        <v>1.0999999999999999</v>
      </c>
      <c r="U172" s="23">
        <f t="shared" si="26"/>
        <v>74.965833333333308</v>
      </c>
      <c r="W172">
        <v>183</v>
      </c>
      <c r="Y172">
        <f t="shared" si="24"/>
        <v>82184.200000000012</v>
      </c>
      <c r="Z172">
        <f t="shared" si="18"/>
        <v>15299.100000000006</v>
      </c>
      <c r="AA172" s="35">
        <v>8.4910736253257895</v>
      </c>
    </row>
    <row r="173" spans="1:27" x14ac:dyDescent="0.25">
      <c r="A173">
        <v>6280</v>
      </c>
      <c r="B173">
        <v>24170</v>
      </c>
      <c r="C173" s="8">
        <v>42751</v>
      </c>
      <c r="E173" s="35">
        <v>40</v>
      </c>
      <c r="F173" s="47"/>
      <c r="G173">
        <v>0.9</v>
      </c>
      <c r="H173">
        <v>0.1</v>
      </c>
      <c r="I173">
        <v>2</v>
      </c>
      <c r="J173">
        <f t="shared" si="23"/>
        <v>1236.6000000000001</v>
      </c>
      <c r="K173">
        <f t="shared" si="19"/>
        <v>157.00000000000003</v>
      </c>
      <c r="M173">
        <v>0</v>
      </c>
      <c r="N173">
        <v>0.2</v>
      </c>
      <c r="O173">
        <f t="shared" si="20"/>
        <v>-0.2</v>
      </c>
      <c r="P173">
        <f t="shared" si="25"/>
        <v>65</v>
      </c>
      <c r="Q173">
        <v>139</v>
      </c>
      <c r="R173" s="22">
        <v>1</v>
      </c>
      <c r="S173" s="23">
        <f t="shared" si="21"/>
        <v>0.2</v>
      </c>
      <c r="T173" s="23">
        <f t="shared" si="22"/>
        <v>-0.2</v>
      </c>
      <c r="U173" s="23">
        <f t="shared" si="26"/>
        <v>74.765833333333305</v>
      </c>
      <c r="W173">
        <v>161.19999999999999</v>
      </c>
      <c r="Y173">
        <f t="shared" si="24"/>
        <v>82345.400000000009</v>
      </c>
      <c r="Z173">
        <f t="shared" si="18"/>
        <v>15460.300000000007</v>
      </c>
      <c r="AA173" s="35">
        <v>8.5247718968757109</v>
      </c>
    </row>
    <row r="174" spans="1:27" x14ac:dyDescent="0.25">
      <c r="A174">
        <v>6280</v>
      </c>
      <c r="B174">
        <v>24170</v>
      </c>
      <c r="C174" s="8">
        <v>42752</v>
      </c>
      <c r="E174" s="35">
        <v>41</v>
      </c>
      <c r="F174" s="47"/>
      <c r="G174">
        <v>-2.4</v>
      </c>
      <c r="H174">
        <v>-3.3</v>
      </c>
      <c r="I174">
        <v>-1.3</v>
      </c>
      <c r="J174">
        <v>1236.5999999999999</v>
      </c>
      <c r="K174">
        <v>157</v>
      </c>
      <c r="M174">
        <v>0</v>
      </c>
      <c r="N174">
        <v>0.4</v>
      </c>
      <c r="O174">
        <f t="shared" si="20"/>
        <v>-0.4</v>
      </c>
      <c r="P174">
        <f t="shared" si="25"/>
        <v>64.599999999999994</v>
      </c>
      <c r="Q174" s="22">
        <v>140</v>
      </c>
      <c r="R174" s="22">
        <v>1</v>
      </c>
      <c r="S174" s="23">
        <f t="shared" si="21"/>
        <v>0.4</v>
      </c>
      <c r="T174" s="23">
        <f t="shared" si="22"/>
        <v>-0.4</v>
      </c>
      <c r="U174" s="23">
        <f t="shared" si="26"/>
        <v>74.365833333333299</v>
      </c>
      <c r="W174">
        <v>493.2</v>
      </c>
      <c r="Y174">
        <f t="shared" si="24"/>
        <v>82838.600000000006</v>
      </c>
      <c r="Z174">
        <f t="shared" si="18"/>
        <v>15953.500000000007</v>
      </c>
      <c r="AA174" s="35">
        <v>8.5595279238819089</v>
      </c>
    </row>
    <row r="175" spans="1:27" x14ac:dyDescent="0.25">
      <c r="A175">
        <v>6280</v>
      </c>
      <c r="B175">
        <v>24170</v>
      </c>
      <c r="C175" s="8">
        <v>42753</v>
      </c>
      <c r="E175" s="35">
        <v>42</v>
      </c>
      <c r="F175" s="47"/>
      <c r="G175">
        <v>-2.5</v>
      </c>
      <c r="H175">
        <v>-4.4000000000000004</v>
      </c>
      <c r="I175">
        <v>-1</v>
      </c>
      <c r="J175">
        <v>1236.5999999999999</v>
      </c>
      <c r="K175">
        <v>157</v>
      </c>
      <c r="M175">
        <v>0</v>
      </c>
      <c r="N175">
        <v>0.8</v>
      </c>
      <c r="O175">
        <f t="shared" si="20"/>
        <v>-0.8</v>
      </c>
      <c r="P175">
        <f t="shared" si="25"/>
        <v>63.8</v>
      </c>
      <c r="Q175">
        <v>141</v>
      </c>
      <c r="R175" s="22">
        <v>1</v>
      </c>
      <c r="S175" s="23">
        <f t="shared" si="21"/>
        <v>0.8</v>
      </c>
      <c r="T175" s="23">
        <f t="shared" si="22"/>
        <v>-0.8</v>
      </c>
      <c r="U175" s="23">
        <f t="shared" si="26"/>
        <v>73.565833333333302</v>
      </c>
      <c r="W175">
        <v>780.6</v>
      </c>
      <c r="Y175">
        <f t="shared" si="24"/>
        <v>83619.200000000012</v>
      </c>
      <c r="Z175">
        <f t="shared" si="18"/>
        <v>16734.100000000006</v>
      </c>
      <c r="AA175" s="35">
        <v>8.5953174735645472</v>
      </c>
    </row>
    <row r="176" spans="1:27" x14ac:dyDescent="0.25">
      <c r="A176">
        <v>6280</v>
      </c>
      <c r="B176">
        <v>24170</v>
      </c>
      <c r="C176" s="8">
        <v>42754</v>
      </c>
      <c r="E176" s="35">
        <v>43</v>
      </c>
      <c r="F176" s="47"/>
      <c r="G176">
        <v>-3.2</v>
      </c>
      <c r="H176">
        <v>-4.8</v>
      </c>
      <c r="I176">
        <v>-1.1000000000000001</v>
      </c>
      <c r="J176">
        <v>1236.5999999999999</v>
      </c>
      <c r="K176">
        <v>157</v>
      </c>
      <c r="M176">
        <v>0</v>
      </c>
      <c r="N176">
        <v>0.7</v>
      </c>
      <c r="O176">
        <f t="shared" si="20"/>
        <v>-0.7</v>
      </c>
      <c r="P176">
        <f t="shared" si="25"/>
        <v>63.099999999999994</v>
      </c>
      <c r="Q176" s="22">
        <v>142</v>
      </c>
      <c r="R176" s="22">
        <v>1</v>
      </c>
      <c r="S176" s="23">
        <f t="shared" si="21"/>
        <v>0.7</v>
      </c>
      <c r="T176" s="23">
        <f t="shared" si="22"/>
        <v>-0.7</v>
      </c>
      <c r="U176" s="23">
        <f t="shared" si="26"/>
        <v>72.865833333333299</v>
      </c>
      <c r="W176">
        <v>811.6</v>
      </c>
      <c r="Y176">
        <f t="shared" si="24"/>
        <v>84430.800000000017</v>
      </c>
      <c r="Z176">
        <f t="shared" si="18"/>
        <v>17545.700000000004</v>
      </c>
      <c r="AA176" s="35">
        <v>8.6321161121772132</v>
      </c>
    </row>
    <row r="177" spans="1:28" x14ac:dyDescent="0.25">
      <c r="A177">
        <v>6280</v>
      </c>
      <c r="B177">
        <v>24170</v>
      </c>
      <c r="C177" s="8">
        <v>42755</v>
      </c>
      <c r="E177" s="35">
        <v>44</v>
      </c>
      <c r="F177" s="47"/>
      <c r="G177">
        <v>-3.6</v>
      </c>
      <c r="H177">
        <v>-5.8</v>
      </c>
      <c r="I177">
        <v>-0.6</v>
      </c>
      <c r="J177">
        <v>1236.5999999999999</v>
      </c>
      <c r="K177">
        <v>157</v>
      </c>
      <c r="M177">
        <v>0</v>
      </c>
      <c r="N177">
        <v>0.7</v>
      </c>
      <c r="O177">
        <f t="shared" si="20"/>
        <v>-0.7</v>
      </c>
      <c r="P177">
        <f t="shared" si="25"/>
        <v>62.399999999999991</v>
      </c>
      <c r="Q177">
        <v>143</v>
      </c>
      <c r="R177" s="22">
        <v>1</v>
      </c>
      <c r="S177" s="23">
        <f t="shared" si="21"/>
        <v>0.7</v>
      </c>
      <c r="T177" s="23">
        <f t="shared" si="22"/>
        <v>-0.7</v>
      </c>
      <c r="U177" s="23">
        <f t="shared" si="26"/>
        <v>72.165833333333296</v>
      </c>
      <c r="W177">
        <v>800.8</v>
      </c>
      <c r="Y177">
        <f t="shared" si="24"/>
        <v>85231.60000000002</v>
      </c>
      <c r="Z177">
        <f t="shared" si="18"/>
        <v>18346.500000000004</v>
      </c>
      <c r="AA177" s="35">
        <v>8.6698992553671506</v>
      </c>
    </row>
    <row r="178" spans="1:28" x14ac:dyDescent="0.25">
      <c r="A178">
        <v>6280</v>
      </c>
      <c r="B178">
        <v>24170</v>
      </c>
      <c r="C178" s="8">
        <v>42756</v>
      </c>
      <c r="E178" s="35">
        <v>45</v>
      </c>
      <c r="F178" s="47"/>
      <c r="G178">
        <v>-3.1</v>
      </c>
      <c r="H178">
        <v>-7.1</v>
      </c>
      <c r="I178">
        <v>0.6</v>
      </c>
      <c r="J178">
        <v>1236.5999999999999</v>
      </c>
      <c r="K178">
        <v>157</v>
      </c>
      <c r="M178">
        <v>0</v>
      </c>
      <c r="N178">
        <v>0.6</v>
      </c>
      <c r="O178">
        <f t="shared" si="20"/>
        <v>-0.6</v>
      </c>
      <c r="P178">
        <f t="shared" si="25"/>
        <v>61.79999999999999</v>
      </c>
      <c r="Q178" s="22">
        <v>144</v>
      </c>
      <c r="R178" s="22">
        <v>1</v>
      </c>
      <c r="S178" s="23">
        <f t="shared" si="21"/>
        <v>0.6</v>
      </c>
      <c r="T178" s="23">
        <f t="shared" si="22"/>
        <v>-0.6</v>
      </c>
      <c r="U178" s="23">
        <f t="shared" si="26"/>
        <v>71.565833333333302</v>
      </c>
      <c r="W178">
        <v>722.5</v>
      </c>
      <c r="Y178">
        <f t="shared" si="24"/>
        <v>85954.10000000002</v>
      </c>
      <c r="Z178">
        <f t="shared" si="18"/>
        <v>19069.000000000004</v>
      </c>
      <c r="AA178" s="35">
        <v>8.7086422167986814</v>
      </c>
    </row>
    <row r="179" spans="1:28" x14ac:dyDescent="0.25">
      <c r="A179">
        <v>6280</v>
      </c>
      <c r="B179">
        <v>24170</v>
      </c>
      <c r="C179" s="8">
        <v>42757</v>
      </c>
      <c r="E179" s="35">
        <v>46</v>
      </c>
      <c r="F179" s="47"/>
      <c r="G179">
        <v>-2.1</v>
      </c>
      <c r="H179">
        <v>-6.3</v>
      </c>
      <c r="I179">
        <v>2.2000000000000002</v>
      </c>
      <c r="J179">
        <v>1236.5999999999999</v>
      </c>
      <c r="K179">
        <v>157</v>
      </c>
      <c r="M179">
        <v>0</v>
      </c>
      <c r="N179">
        <v>0.6</v>
      </c>
      <c r="O179">
        <f t="shared" si="20"/>
        <v>-0.6</v>
      </c>
      <c r="P179">
        <f t="shared" si="25"/>
        <v>61.199999999999989</v>
      </c>
      <c r="Q179">
        <v>145</v>
      </c>
      <c r="R179" s="22">
        <v>1</v>
      </c>
      <c r="S179" s="23">
        <f t="shared" si="21"/>
        <v>0.6</v>
      </c>
      <c r="T179" s="23">
        <f t="shared" si="22"/>
        <v>-0.6</v>
      </c>
      <c r="U179" s="23">
        <f t="shared" si="26"/>
        <v>70.965833333333308</v>
      </c>
      <c r="W179">
        <v>649</v>
      </c>
      <c r="Y179">
        <f t="shared" si="24"/>
        <v>86603.10000000002</v>
      </c>
      <c r="Z179">
        <f t="shared" si="18"/>
        <v>19718.000000000004</v>
      </c>
      <c r="AA179" s="35">
        <v>8.7483202549129331</v>
      </c>
    </row>
    <row r="180" spans="1:28" x14ac:dyDescent="0.25">
      <c r="A180">
        <v>6280</v>
      </c>
      <c r="B180">
        <v>24170</v>
      </c>
      <c r="C180" s="8">
        <v>42758</v>
      </c>
      <c r="E180" s="35">
        <v>47</v>
      </c>
      <c r="F180" s="47"/>
      <c r="G180">
        <v>-2.7</v>
      </c>
      <c r="H180">
        <v>-4.2</v>
      </c>
      <c r="I180">
        <v>-1.3</v>
      </c>
      <c r="J180">
        <v>1236.5999999999999</v>
      </c>
      <c r="K180">
        <v>157</v>
      </c>
      <c r="M180">
        <v>0</v>
      </c>
      <c r="N180">
        <v>0.4</v>
      </c>
      <c r="O180">
        <f t="shared" si="20"/>
        <v>-0.4</v>
      </c>
      <c r="P180">
        <f t="shared" si="25"/>
        <v>60.79999999999999</v>
      </c>
      <c r="Q180" s="22">
        <v>146</v>
      </c>
      <c r="R180" s="22">
        <v>1</v>
      </c>
      <c r="S180" s="23">
        <f t="shared" si="21"/>
        <v>0.4</v>
      </c>
      <c r="T180" s="23">
        <f t="shared" si="22"/>
        <v>-0.4</v>
      </c>
      <c r="U180" s="23">
        <f t="shared" si="26"/>
        <v>70.565833333333302</v>
      </c>
      <c r="W180">
        <v>436.5</v>
      </c>
      <c r="Y180">
        <f t="shared" si="24"/>
        <v>87039.60000000002</v>
      </c>
      <c r="Z180">
        <f t="shared" si="18"/>
        <v>20154.500000000004</v>
      </c>
      <c r="AA180" s="35">
        <v>8.7889086177158919</v>
      </c>
    </row>
    <row r="181" spans="1:28" x14ac:dyDescent="0.25">
      <c r="A181">
        <v>6280</v>
      </c>
      <c r="B181">
        <v>24170</v>
      </c>
      <c r="C181" s="8">
        <v>42759</v>
      </c>
      <c r="E181" s="35">
        <v>48</v>
      </c>
      <c r="F181" s="47"/>
      <c r="G181">
        <v>-1.2</v>
      </c>
      <c r="H181">
        <v>-2.8</v>
      </c>
      <c r="I181">
        <v>-0.1</v>
      </c>
      <c r="J181">
        <v>1236.5999999999999</v>
      </c>
      <c r="K181">
        <v>157</v>
      </c>
      <c r="M181">
        <v>0</v>
      </c>
      <c r="N181">
        <v>0.2</v>
      </c>
      <c r="O181">
        <f t="shared" si="20"/>
        <v>-0.2</v>
      </c>
      <c r="P181">
        <f t="shared" si="25"/>
        <v>60.599999999999987</v>
      </c>
      <c r="Q181">
        <v>147</v>
      </c>
      <c r="R181" s="22">
        <v>1</v>
      </c>
      <c r="S181" s="23">
        <f t="shared" si="21"/>
        <v>0.2</v>
      </c>
      <c r="T181" s="23">
        <f t="shared" si="22"/>
        <v>-0.2</v>
      </c>
      <c r="U181" s="23">
        <f t="shared" si="26"/>
        <v>70.365833333333299</v>
      </c>
      <c r="W181">
        <v>123.6</v>
      </c>
      <c r="Y181">
        <f t="shared" si="24"/>
        <v>87163.200000000026</v>
      </c>
      <c r="Z181">
        <f t="shared" si="18"/>
        <v>20278.100000000002</v>
      </c>
      <c r="AA181" s="35">
        <v>8.8303825855051077</v>
      </c>
    </row>
    <row r="182" spans="1:28" x14ac:dyDescent="0.25">
      <c r="A182">
        <v>6280</v>
      </c>
      <c r="B182">
        <v>24170</v>
      </c>
      <c r="C182" s="8">
        <v>42760</v>
      </c>
      <c r="E182" s="35">
        <v>49</v>
      </c>
      <c r="F182" s="47"/>
      <c r="G182">
        <v>-1.8</v>
      </c>
      <c r="H182">
        <v>-2.2000000000000002</v>
      </c>
      <c r="I182">
        <v>-0.8</v>
      </c>
      <c r="J182">
        <v>1236.5999999999999</v>
      </c>
      <c r="K182">
        <v>157</v>
      </c>
      <c r="M182">
        <v>0</v>
      </c>
      <c r="N182">
        <v>0.6</v>
      </c>
      <c r="O182">
        <f t="shared" si="20"/>
        <v>-0.6</v>
      </c>
      <c r="P182">
        <f t="shared" si="25"/>
        <v>59.999999999999986</v>
      </c>
      <c r="Q182" s="22">
        <v>148</v>
      </c>
      <c r="R182" s="22">
        <v>1</v>
      </c>
      <c r="S182" s="23">
        <f t="shared" si="21"/>
        <v>0.6</v>
      </c>
      <c r="T182" s="23">
        <f t="shared" si="22"/>
        <v>-0.6</v>
      </c>
      <c r="U182" s="23">
        <f t="shared" si="26"/>
        <v>69.765833333333305</v>
      </c>
      <c r="W182">
        <v>139.9</v>
      </c>
      <c r="Y182">
        <f t="shared" si="24"/>
        <v>87303.10000000002</v>
      </c>
      <c r="Z182">
        <f t="shared" si="18"/>
        <v>20418.000000000004</v>
      </c>
      <c r="AA182" s="35">
        <v>8.8727175114630477</v>
      </c>
    </row>
    <row r="183" spans="1:28" x14ac:dyDescent="0.25">
      <c r="A183">
        <v>6280</v>
      </c>
      <c r="B183">
        <v>24170</v>
      </c>
      <c r="C183" s="8">
        <v>42761</v>
      </c>
      <c r="E183" s="35">
        <v>50</v>
      </c>
      <c r="F183" s="47"/>
      <c r="G183">
        <v>-3.1</v>
      </c>
      <c r="H183">
        <v>-7.6</v>
      </c>
      <c r="I183">
        <v>0.8</v>
      </c>
      <c r="J183">
        <v>1236.5999999999999</v>
      </c>
      <c r="K183">
        <v>157</v>
      </c>
      <c r="M183">
        <v>0</v>
      </c>
      <c r="N183">
        <v>0.9</v>
      </c>
      <c r="O183">
        <f t="shared" si="20"/>
        <v>-0.9</v>
      </c>
      <c r="P183">
        <f t="shared" si="25"/>
        <v>59.099999999999987</v>
      </c>
      <c r="Q183">
        <v>149</v>
      </c>
      <c r="R183" s="22">
        <v>1</v>
      </c>
      <c r="S183" s="23">
        <f t="shared" si="21"/>
        <v>0.9</v>
      </c>
      <c r="T183" s="23">
        <f t="shared" si="22"/>
        <v>-0.9</v>
      </c>
      <c r="U183" s="23">
        <f t="shared" si="26"/>
        <v>68.865833333333299</v>
      </c>
      <c r="W183">
        <v>841.1</v>
      </c>
      <c r="Y183">
        <f t="shared" si="24"/>
        <v>88144.200000000026</v>
      </c>
      <c r="Z183">
        <f t="shared" si="18"/>
        <v>21259.100000000002</v>
      </c>
      <c r="AA183" s="35">
        <v>8.9158888600618518</v>
      </c>
    </row>
    <row r="184" spans="1:28" s="31" customFormat="1" ht="15.75" thickBot="1" x14ac:dyDescent="0.3">
      <c r="A184" s="31">
        <v>6280</v>
      </c>
      <c r="B184" s="31">
        <v>24170</v>
      </c>
      <c r="C184" s="32">
        <v>42762</v>
      </c>
      <c r="D184" s="31" t="s">
        <v>38</v>
      </c>
      <c r="E184" s="35">
        <v>51</v>
      </c>
      <c r="F184" s="47"/>
      <c r="G184" s="31">
        <v>4.9000000000000004</v>
      </c>
      <c r="H184" s="31">
        <v>-1.4</v>
      </c>
      <c r="I184" s="31">
        <v>8.5</v>
      </c>
      <c r="J184" s="31">
        <f t="shared" si="23"/>
        <v>1241.5</v>
      </c>
      <c r="K184" s="31">
        <f t="shared" si="19"/>
        <v>161.9</v>
      </c>
      <c r="M184" s="31">
        <v>0.2</v>
      </c>
      <c r="N184" s="31">
        <v>0.8</v>
      </c>
      <c r="O184" s="31">
        <f t="shared" si="20"/>
        <v>-0.60000000000000009</v>
      </c>
      <c r="P184" s="31">
        <f t="shared" si="25"/>
        <v>58.499999999999986</v>
      </c>
      <c r="Q184" s="34">
        <v>150</v>
      </c>
      <c r="R184" s="34">
        <v>1</v>
      </c>
      <c r="S184" s="33">
        <f t="shared" si="21"/>
        <v>0.8</v>
      </c>
      <c r="T184" s="33">
        <f t="shared" si="22"/>
        <v>-0.60000000000000009</v>
      </c>
      <c r="U184" s="23">
        <f t="shared" si="26"/>
        <v>68.265833333333305</v>
      </c>
      <c r="W184" s="31">
        <v>386.9</v>
      </c>
      <c r="Y184" s="31">
        <f t="shared" si="24"/>
        <v>88531.10000000002</v>
      </c>
      <c r="Z184" s="31">
        <f t="shared" si="18"/>
        <v>21646.000000000004</v>
      </c>
      <c r="AA184" s="36">
        <v>8.9598722432401559</v>
      </c>
    </row>
    <row r="185" spans="1:28" ht="15" customHeight="1" x14ac:dyDescent="0.25">
      <c r="A185">
        <v>6280</v>
      </c>
      <c r="B185">
        <v>24170</v>
      </c>
      <c r="C185" s="8">
        <v>42763</v>
      </c>
      <c r="F185" s="48" t="s">
        <v>48</v>
      </c>
      <c r="G185">
        <v>6.9</v>
      </c>
      <c r="H185">
        <v>5.5</v>
      </c>
      <c r="I185">
        <v>9.6</v>
      </c>
      <c r="J185">
        <f t="shared" si="23"/>
        <v>1248.4000000000001</v>
      </c>
      <c r="K185">
        <f>G185</f>
        <v>6.9</v>
      </c>
      <c r="L185" s="15" t="s">
        <v>39</v>
      </c>
      <c r="M185">
        <v>0.1</v>
      </c>
      <c r="N185">
        <v>1.1000000000000001</v>
      </c>
      <c r="O185">
        <f t="shared" si="20"/>
        <v>-1</v>
      </c>
      <c r="P185">
        <f t="shared" si="25"/>
        <v>57.499999999999986</v>
      </c>
      <c r="Q185">
        <v>151</v>
      </c>
      <c r="R185">
        <f>1+((Q185-150)/62)*(1.15-1)</f>
        <v>1.0024193548387097</v>
      </c>
      <c r="S185" s="23">
        <f t="shared" si="21"/>
        <v>1.1026612903225808</v>
      </c>
      <c r="T185" s="23">
        <f t="shared" si="22"/>
        <v>-1.0026612903225807</v>
      </c>
      <c r="U185" s="23">
        <f t="shared" si="26"/>
        <v>67.263172043010726</v>
      </c>
      <c r="V185" s="26" t="s">
        <v>53</v>
      </c>
      <c r="W185">
        <v>295.60000000000002</v>
      </c>
      <c r="Y185">
        <f t="shared" si="24"/>
        <v>88826.700000000026</v>
      </c>
      <c r="Z185">
        <f>W185</f>
        <v>295.60000000000002</v>
      </c>
      <c r="AA185">
        <v>9.0046434543275087</v>
      </c>
      <c r="AB185" s="26" t="s">
        <v>58</v>
      </c>
    </row>
    <row r="186" spans="1:28" x14ac:dyDescent="0.25">
      <c r="A186">
        <v>6280</v>
      </c>
      <c r="B186">
        <v>24170</v>
      </c>
      <c r="C186" s="8">
        <v>42764</v>
      </c>
      <c r="F186" s="48"/>
      <c r="G186">
        <v>4.2</v>
      </c>
      <c r="H186">
        <v>2.1</v>
      </c>
      <c r="I186">
        <v>7.8</v>
      </c>
      <c r="J186">
        <f t="shared" si="23"/>
        <v>1252.6000000000001</v>
      </c>
      <c r="K186">
        <f t="shared" si="19"/>
        <v>11.100000000000001</v>
      </c>
      <c r="L186" s="12">
        <v>502.6</v>
      </c>
      <c r="M186">
        <v>2.9</v>
      </c>
      <c r="N186">
        <v>0.6</v>
      </c>
      <c r="O186">
        <f t="shared" si="20"/>
        <v>2.2999999999999998</v>
      </c>
      <c r="P186">
        <f t="shared" si="25"/>
        <v>59.799999999999983</v>
      </c>
      <c r="Q186" s="22">
        <v>152</v>
      </c>
      <c r="R186">
        <f t="shared" ref="R186:R246" si="27">1+((Q186-150)/62)*(1.15-1)</f>
        <v>1.0048387096774194</v>
      </c>
      <c r="S186" s="23">
        <f t="shared" si="21"/>
        <v>0.60290322580645161</v>
      </c>
      <c r="T186" s="23">
        <f t="shared" si="22"/>
        <v>2.2970967741935482</v>
      </c>
      <c r="U186" s="23">
        <f t="shared" si="26"/>
        <v>69.560268817204275</v>
      </c>
      <c r="V186">
        <v>0</v>
      </c>
      <c r="W186">
        <v>90.5</v>
      </c>
      <c r="Y186">
        <f t="shared" si="24"/>
        <v>88917.200000000026</v>
      </c>
      <c r="Z186">
        <f t="shared" si="18"/>
        <v>386.1</v>
      </c>
      <c r="AA186">
        <v>9.0501784997058206</v>
      </c>
      <c r="AB186">
        <v>35495.1</v>
      </c>
    </row>
    <row r="187" spans="1:28" x14ac:dyDescent="0.25">
      <c r="A187">
        <v>6280</v>
      </c>
      <c r="B187">
        <v>24170</v>
      </c>
      <c r="C187" s="8">
        <v>42765</v>
      </c>
      <c r="F187" s="48"/>
      <c r="G187">
        <v>8.9</v>
      </c>
      <c r="H187">
        <v>5</v>
      </c>
      <c r="I187">
        <v>10</v>
      </c>
      <c r="J187">
        <f t="shared" si="23"/>
        <v>1261.5000000000002</v>
      </c>
      <c r="K187">
        <f t="shared" si="19"/>
        <v>20</v>
      </c>
      <c r="L187" s="15" t="s">
        <v>40</v>
      </c>
      <c r="M187">
        <v>3</v>
      </c>
      <c r="N187">
        <v>0.1</v>
      </c>
      <c r="O187">
        <f t="shared" si="20"/>
        <v>2.9</v>
      </c>
      <c r="P187">
        <f t="shared" si="25"/>
        <v>62.699999999999982</v>
      </c>
      <c r="Q187">
        <v>153</v>
      </c>
      <c r="R187">
        <f t="shared" si="27"/>
        <v>1.0072580645161291</v>
      </c>
      <c r="S187" s="23">
        <f t="shared" si="21"/>
        <v>0.10072580645161291</v>
      </c>
      <c r="T187" s="23">
        <f t="shared" si="22"/>
        <v>2.8992741935483872</v>
      </c>
      <c r="U187" s="23">
        <f t="shared" si="26"/>
        <v>72.459543010752668</v>
      </c>
      <c r="V187" s="26" t="s">
        <v>54</v>
      </c>
      <c r="W187">
        <v>133.4</v>
      </c>
      <c r="Y187">
        <f t="shared" si="24"/>
        <v>89050.60000000002</v>
      </c>
      <c r="Z187">
        <f t="shared" si="18"/>
        <v>519.5</v>
      </c>
      <c r="AA187">
        <v>9.0964536282099377</v>
      </c>
      <c r="AB187" s="26" t="s">
        <v>59</v>
      </c>
    </row>
    <row r="188" spans="1:28" x14ac:dyDescent="0.25">
      <c r="A188">
        <v>6280</v>
      </c>
      <c r="B188">
        <v>24170</v>
      </c>
      <c r="C188" s="8">
        <v>42766</v>
      </c>
      <c r="F188" s="48"/>
      <c r="G188">
        <v>9.9</v>
      </c>
      <c r="H188">
        <v>8.9</v>
      </c>
      <c r="I188">
        <v>10.9</v>
      </c>
      <c r="J188">
        <f t="shared" si="23"/>
        <v>1271.4000000000003</v>
      </c>
      <c r="K188">
        <f t="shared" si="19"/>
        <v>29.9</v>
      </c>
      <c r="L188" s="12">
        <f>AVERAGE(G185:G246)</f>
        <v>8.1000000000000014</v>
      </c>
      <c r="M188">
        <v>0.4</v>
      </c>
      <c r="N188">
        <v>0.3</v>
      </c>
      <c r="O188">
        <f t="shared" si="20"/>
        <v>0.10000000000000003</v>
      </c>
      <c r="P188">
        <f t="shared" si="25"/>
        <v>62.799999999999983</v>
      </c>
      <c r="Q188" s="22">
        <v>154</v>
      </c>
      <c r="R188">
        <f t="shared" si="27"/>
        <v>1.0096774193548388</v>
      </c>
      <c r="S188" s="23">
        <f t="shared" si="21"/>
        <v>0.30290322580645163</v>
      </c>
      <c r="T188" s="23">
        <f t="shared" si="22"/>
        <v>9.7096774193548396E-2</v>
      </c>
      <c r="U188" s="23">
        <f t="shared" si="26"/>
        <v>72.556639784946213</v>
      </c>
      <c r="V188">
        <v>0</v>
      </c>
      <c r="W188">
        <v>102.8</v>
      </c>
      <c r="Y188">
        <f t="shared" si="24"/>
        <v>89153.400000000023</v>
      </c>
      <c r="Z188">
        <f t="shared" si="18"/>
        <v>622.29999999999995</v>
      </c>
      <c r="AA188">
        <v>9.1434453582811308</v>
      </c>
      <c r="AB188">
        <f>(AB186/100)/L186</f>
        <v>0.70622960604854745</v>
      </c>
    </row>
    <row r="189" spans="1:28" x14ac:dyDescent="0.25">
      <c r="A189">
        <v>6280</v>
      </c>
      <c r="B189">
        <v>24170</v>
      </c>
      <c r="C189" s="8">
        <v>42767</v>
      </c>
      <c r="F189" s="48"/>
      <c r="G189">
        <v>10.199999999999999</v>
      </c>
      <c r="H189">
        <v>8.9</v>
      </c>
      <c r="I189">
        <v>11.6</v>
      </c>
      <c r="J189">
        <f t="shared" si="23"/>
        <v>1281.6000000000004</v>
      </c>
      <c r="K189">
        <f t="shared" si="19"/>
        <v>40.099999999999994</v>
      </c>
      <c r="L189" s="15" t="s">
        <v>41</v>
      </c>
      <c r="M189">
        <v>0</v>
      </c>
      <c r="N189">
        <v>0.5</v>
      </c>
      <c r="O189">
        <f t="shared" si="20"/>
        <v>-0.5</v>
      </c>
      <c r="P189">
        <f t="shared" si="25"/>
        <v>62.299999999999983</v>
      </c>
      <c r="Q189">
        <v>155</v>
      </c>
      <c r="R189">
        <f t="shared" si="27"/>
        <v>1.0120967741935485</v>
      </c>
      <c r="S189" s="23">
        <f t="shared" si="21"/>
        <v>0.50604838709677424</v>
      </c>
      <c r="T189" s="23">
        <f t="shared" si="22"/>
        <v>-0.50604838709677424</v>
      </c>
      <c r="U189" s="23">
        <f t="shared" si="26"/>
        <v>72.050591397849445</v>
      </c>
      <c r="V189" s="26" t="s">
        <v>55</v>
      </c>
      <c r="W189">
        <v>295.10000000000002</v>
      </c>
      <c r="Y189">
        <f t="shared" si="24"/>
        <v>89448.500000000029</v>
      </c>
      <c r="Z189">
        <f t="shared" si="18"/>
        <v>917.4</v>
      </c>
      <c r="AA189">
        <v>9.1911305028978365</v>
      </c>
      <c r="AB189" s="26" t="s">
        <v>60</v>
      </c>
    </row>
    <row r="190" spans="1:28" x14ac:dyDescent="0.25">
      <c r="A190">
        <v>6280</v>
      </c>
      <c r="B190">
        <v>24170</v>
      </c>
      <c r="C190" s="8">
        <v>42768</v>
      </c>
      <c r="F190" s="48"/>
      <c r="G190">
        <v>10.6</v>
      </c>
      <c r="H190">
        <v>8.6</v>
      </c>
      <c r="I190">
        <v>12.6</v>
      </c>
      <c r="J190">
        <f t="shared" si="23"/>
        <v>1292.2000000000003</v>
      </c>
      <c r="K190">
        <f t="shared" si="19"/>
        <v>50.699999999999996</v>
      </c>
      <c r="L190" s="13">
        <f>MIN(H185:H246)</f>
        <v>-1.4</v>
      </c>
      <c r="M190">
        <v>1.2</v>
      </c>
      <c r="N190">
        <v>1.2</v>
      </c>
      <c r="O190">
        <f t="shared" si="20"/>
        <v>0</v>
      </c>
      <c r="P190">
        <f t="shared" si="25"/>
        <v>62.299999999999983</v>
      </c>
      <c r="Q190" s="22">
        <v>156</v>
      </c>
      <c r="R190">
        <f t="shared" si="27"/>
        <v>1.014516129032258</v>
      </c>
      <c r="S190" s="23">
        <f t="shared" si="21"/>
        <v>1.2174193548387096</v>
      </c>
      <c r="T190" s="23">
        <f t="shared" si="22"/>
        <v>-1.74193548387096E-2</v>
      </c>
      <c r="U190" s="23">
        <f t="shared" si="26"/>
        <v>72.033172043010737</v>
      </c>
      <c r="V190" s="23">
        <f>MIN(U185:U246)</f>
        <v>67.263172043010726</v>
      </c>
      <c r="W190">
        <v>247</v>
      </c>
      <c r="Y190">
        <f t="shared" si="24"/>
        <v>89695.500000000029</v>
      </c>
      <c r="Z190">
        <f t="shared" ref="Z190:Z253" si="28">Z189+W190</f>
        <v>1164.4000000000001</v>
      </c>
      <c r="AA190">
        <v>9.239486192317381</v>
      </c>
      <c r="AB190">
        <v>47</v>
      </c>
    </row>
    <row r="191" spans="1:28" x14ac:dyDescent="0.25">
      <c r="A191">
        <v>6280</v>
      </c>
      <c r="B191">
        <v>24170</v>
      </c>
      <c r="C191" s="8">
        <v>42769</v>
      </c>
      <c r="F191" s="48"/>
      <c r="G191">
        <v>8.5</v>
      </c>
      <c r="H191">
        <v>7.4</v>
      </c>
      <c r="I191">
        <v>11.1</v>
      </c>
      <c r="J191">
        <f t="shared" si="23"/>
        <v>1300.7000000000003</v>
      </c>
      <c r="K191">
        <f t="shared" ref="K191:K246" si="29">K190+G191</f>
        <v>59.199999999999996</v>
      </c>
      <c r="L191" s="15" t="s">
        <v>42</v>
      </c>
      <c r="M191">
        <v>6.3</v>
      </c>
      <c r="N191">
        <v>1.6</v>
      </c>
      <c r="O191">
        <f t="shared" si="20"/>
        <v>4.6999999999999993</v>
      </c>
      <c r="P191">
        <f t="shared" si="25"/>
        <v>66.999999999999986</v>
      </c>
      <c r="Q191">
        <v>157</v>
      </c>
      <c r="R191">
        <f t="shared" si="27"/>
        <v>1.0169354838709677</v>
      </c>
      <c r="S191" s="23">
        <f t="shared" si="21"/>
        <v>1.6270967741935483</v>
      </c>
      <c r="T191" s="23">
        <f t="shared" si="22"/>
        <v>4.6729032258064516</v>
      </c>
      <c r="U191" s="23">
        <f t="shared" si="26"/>
        <v>76.706075268817187</v>
      </c>
      <c r="V191" s="26" t="s">
        <v>56</v>
      </c>
      <c r="W191">
        <v>757.5</v>
      </c>
      <c r="Y191">
        <f t="shared" si="24"/>
        <v>90453.000000000029</v>
      </c>
      <c r="Z191">
        <f t="shared" si="28"/>
        <v>1921.9</v>
      </c>
      <c r="AA191">
        <v>9.2884898946707679</v>
      </c>
    </row>
    <row r="192" spans="1:28" x14ac:dyDescent="0.25">
      <c r="A192">
        <v>6280</v>
      </c>
      <c r="B192">
        <v>24170</v>
      </c>
      <c r="C192" s="8">
        <v>42770</v>
      </c>
      <c r="F192" s="48"/>
      <c r="G192">
        <v>6.1</v>
      </c>
      <c r="H192">
        <v>5.3</v>
      </c>
      <c r="I192">
        <v>7.4</v>
      </c>
      <c r="J192">
        <f t="shared" si="23"/>
        <v>1306.8000000000002</v>
      </c>
      <c r="K192">
        <f t="shared" si="29"/>
        <v>65.3</v>
      </c>
      <c r="L192" s="12">
        <f>MAX(I185:I246)</f>
        <v>20.8</v>
      </c>
      <c r="M192">
        <v>4.3</v>
      </c>
      <c r="N192">
        <v>0.5</v>
      </c>
      <c r="O192">
        <f t="shared" si="20"/>
        <v>3.8</v>
      </c>
      <c r="P192">
        <f t="shared" si="25"/>
        <v>70.799999999999983</v>
      </c>
      <c r="Q192" s="22">
        <v>158</v>
      </c>
      <c r="R192">
        <f t="shared" si="27"/>
        <v>1.0193548387096774</v>
      </c>
      <c r="S192" s="23">
        <f t="shared" si="21"/>
        <v>0.50967741935483868</v>
      </c>
      <c r="T192" s="23">
        <f t="shared" si="22"/>
        <v>3.790322580645161</v>
      </c>
      <c r="U192" s="23">
        <f t="shared" si="26"/>
        <v>80.496397849462355</v>
      </c>
      <c r="V192" s="23">
        <f>MAX(U185:U246)</f>
        <v>130.77462365591393</v>
      </c>
      <c r="W192">
        <v>134.5</v>
      </c>
      <c r="Y192">
        <f t="shared" si="24"/>
        <v>90587.500000000029</v>
      </c>
      <c r="Z192">
        <f t="shared" si="28"/>
        <v>2056.4</v>
      </c>
      <c r="AA192">
        <v>9.3381194344599461</v>
      </c>
    </row>
    <row r="193" spans="1:27" x14ac:dyDescent="0.25">
      <c r="A193">
        <v>6280</v>
      </c>
      <c r="B193">
        <v>24170</v>
      </c>
      <c r="C193" s="8">
        <v>42771</v>
      </c>
      <c r="F193" s="48"/>
      <c r="G193">
        <v>6.3</v>
      </c>
      <c r="H193">
        <v>5.2</v>
      </c>
      <c r="I193">
        <v>8.5</v>
      </c>
      <c r="J193">
        <f t="shared" si="23"/>
        <v>1313.1000000000001</v>
      </c>
      <c r="K193">
        <f t="shared" si="29"/>
        <v>71.599999999999994</v>
      </c>
      <c r="L193" s="15" t="s">
        <v>43</v>
      </c>
      <c r="M193">
        <v>1.2</v>
      </c>
      <c r="N193">
        <v>0.6</v>
      </c>
      <c r="O193">
        <f t="shared" si="20"/>
        <v>0.6</v>
      </c>
      <c r="P193">
        <f t="shared" si="25"/>
        <v>71.399999999999977</v>
      </c>
      <c r="Q193">
        <v>159</v>
      </c>
      <c r="R193">
        <f t="shared" si="27"/>
        <v>1.0217741935483871</v>
      </c>
      <c r="S193" s="23">
        <f t="shared" si="21"/>
        <v>0.61306451612903223</v>
      </c>
      <c r="T193" s="23">
        <f t="shared" si="22"/>
        <v>0.58693548387096772</v>
      </c>
      <c r="U193" s="23">
        <f t="shared" si="26"/>
        <v>81.083333333333329</v>
      </c>
      <c r="V193" s="26" t="s">
        <v>57</v>
      </c>
      <c r="W193">
        <v>204.2</v>
      </c>
      <c r="Y193">
        <f t="shared" si="24"/>
        <v>90791.700000000026</v>
      </c>
      <c r="Z193">
        <f t="shared" si="28"/>
        <v>2260.6</v>
      </c>
      <c r="AA193">
        <v>9.3883530090132492</v>
      </c>
    </row>
    <row r="194" spans="1:27" x14ac:dyDescent="0.25">
      <c r="A194">
        <v>6280</v>
      </c>
      <c r="B194">
        <v>24170</v>
      </c>
      <c r="C194" s="8">
        <v>42772</v>
      </c>
      <c r="F194" s="48"/>
      <c r="G194">
        <v>5.7</v>
      </c>
      <c r="H194">
        <v>4.5</v>
      </c>
      <c r="I194">
        <v>7.1</v>
      </c>
      <c r="J194">
        <f t="shared" si="23"/>
        <v>1318.8000000000002</v>
      </c>
      <c r="K194">
        <f t="shared" si="29"/>
        <v>77.3</v>
      </c>
      <c r="L194" s="12">
        <v>0</v>
      </c>
      <c r="M194">
        <v>7.3</v>
      </c>
      <c r="N194">
        <v>0.7</v>
      </c>
      <c r="O194">
        <f t="shared" si="20"/>
        <v>6.6</v>
      </c>
      <c r="P194">
        <f t="shared" si="25"/>
        <v>77.999999999999972</v>
      </c>
      <c r="Q194" s="22">
        <v>160</v>
      </c>
      <c r="R194">
        <f t="shared" si="27"/>
        <v>1.0241935483870968</v>
      </c>
      <c r="S194" s="23">
        <f t="shared" si="21"/>
        <v>0.71693548387096773</v>
      </c>
      <c r="T194" s="23">
        <f t="shared" si="22"/>
        <v>6.5830645161290322</v>
      </c>
      <c r="U194" s="23">
        <f t="shared" si="26"/>
        <v>87.666397849462356</v>
      </c>
      <c r="V194" s="23">
        <f>AVERAGE(U185:U246)</f>
        <v>99.08351283385359</v>
      </c>
      <c r="W194">
        <v>494.4</v>
      </c>
      <c r="Y194">
        <f t="shared" si="24"/>
        <v>91286.10000000002</v>
      </c>
      <c r="Z194">
        <f t="shared" si="28"/>
        <v>2755</v>
      </c>
      <c r="AA194">
        <v>9.4391692029600254</v>
      </c>
    </row>
    <row r="195" spans="1:27" x14ac:dyDescent="0.25">
      <c r="A195">
        <v>6280</v>
      </c>
      <c r="B195">
        <v>24170</v>
      </c>
      <c r="C195" s="8">
        <v>42773</v>
      </c>
      <c r="F195" s="48"/>
      <c r="G195">
        <v>5.9</v>
      </c>
      <c r="H195">
        <v>4.5999999999999996</v>
      </c>
      <c r="I195">
        <v>7.5</v>
      </c>
      <c r="J195">
        <f t="shared" si="23"/>
        <v>1324.7000000000003</v>
      </c>
      <c r="K195">
        <f t="shared" si="29"/>
        <v>83.2</v>
      </c>
      <c r="L195" s="15" t="s">
        <v>44</v>
      </c>
      <c r="M195">
        <v>1.1000000000000001</v>
      </c>
      <c r="N195">
        <v>0.4</v>
      </c>
      <c r="O195">
        <f t="shared" si="20"/>
        <v>0.70000000000000007</v>
      </c>
      <c r="P195">
        <f t="shared" si="25"/>
        <v>78.699999999999974</v>
      </c>
      <c r="Q195">
        <v>161</v>
      </c>
      <c r="R195">
        <f t="shared" si="27"/>
        <v>1.0266129032258065</v>
      </c>
      <c r="S195" s="23">
        <f t="shared" si="21"/>
        <v>0.41064516129032258</v>
      </c>
      <c r="T195" s="23">
        <f t="shared" si="22"/>
        <v>0.68935483870967751</v>
      </c>
      <c r="U195" s="23">
        <f t="shared" si="26"/>
        <v>88.355752688172032</v>
      </c>
      <c r="W195">
        <v>121.4</v>
      </c>
      <c r="Y195">
        <f t="shared" si="24"/>
        <v>91407.500000000015</v>
      </c>
      <c r="Z195">
        <f t="shared" si="28"/>
        <v>2876.4</v>
      </c>
      <c r="AA195">
        <v>9.4905470007898938</v>
      </c>
    </row>
    <row r="196" spans="1:27" x14ac:dyDescent="0.25">
      <c r="A196">
        <v>6280</v>
      </c>
      <c r="B196">
        <v>24170</v>
      </c>
      <c r="C196" s="8">
        <v>42774</v>
      </c>
      <c r="F196" s="48"/>
      <c r="G196">
        <v>4.4000000000000004</v>
      </c>
      <c r="H196">
        <v>2.6</v>
      </c>
      <c r="I196">
        <v>6.5</v>
      </c>
      <c r="J196">
        <f t="shared" si="23"/>
        <v>1329.1000000000004</v>
      </c>
      <c r="K196">
        <f t="shared" si="29"/>
        <v>87.600000000000009</v>
      </c>
      <c r="L196" s="12">
        <v>22</v>
      </c>
      <c r="M196">
        <v>0</v>
      </c>
      <c r="N196">
        <v>0.4</v>
      </c>
      <c r="O196">
        <f t="shared" si="20"/>
        <v>-0.4</v>
      </c>
      <c r="P196">
        <f t="shared" si="25"/>
        <v>78.299999999999969</v>
      </c>
      <c r="Q196" s="22">
        <v>162</v>
      </c>
      <c r="R196">
        <f t="shared" si="27"/>
        <v>1.0290322580645161</v>
      </c>
      <c r="S196" s="23">
        <f t="shared" si="21"/>
        <v>0.41161290322580646</v>
      </c>
      <c r="T196" s="23">
        <f t="shared" si="22"/>
        <v>-0.41161290322580646</v>
      </c>
      <c r="U196" s="23">
        <f t="shared" si="26"/>
        <v>87.944139784946231</v>
      </c>
      <c r="V196" s="42">
        <f>(V194*100)/197.4</f>
        <v>50.194282084019036</v>
      </c>
      <c r="W196">
        <v>253.2</v>
      </c>
      <c r="Y196">
        <f t="shared" si="24"/>
        <v>91660.700000000012</v>
      </c>
      <c r="Z196">
        <f t="shared" si="28"/>
        <v>3129.6</v>
      </c>
      <c r="AA196">
        <v>9.5424657975657183</v>
      </c>
    </row>
    <row r="197" spans="1:27" x14ac:dyDescent="0.25">
      <c r="A197">
        <v>6280</v>
      </c>
      <c r="B197">
        <v>24170</v>
      </c>
      <c r="C197" s="8">
        <v>42775</v>
      </c>
      <c r="F197" s="48"/>
      <c r="G197">
        <v>2.8</v>
      </c>
      <c r="H197">
        <v>2.4</v>
      </c>
      <c r="I197">
        <v>4.2</v>
      </c>
      <c r="J197">
        <f t="shared" si="23"/>
        <v>1331.9000000000003</v>
      </c>
      <c r="K197">
        <f t="shared" si="29"/>
        <v>90.4</v>
      </c>
      <c r="L197" s="15" t="s">
        <v>45</v>
      </c>
      <c r="M197">
        <v>0</v>
      </c>
      <c r="N197">
        <v>0.6</v>
      </c>
      <c r="O197">
        <f t="shared" si="20"/>
        <v>-0.6</v>
      </c>
      <c r="P197">
        <f t="shared" si="25"/>
        <v>77.699999999999974</v>
      </c>
      <c r="Q197">
        <v>163</v>
      </c>
      <c r="R197">
        <f t="shared" si="27"/>
        <v>1.0314516129032258</v>
      </c>
      <c r="S197" s="23">
        <f t="shared" si="21"/>
        <v>0.61887096774193551</v>
      </c>
      <c r="T197" s="23">
        <f t="shared" si="22"/>
        <v>-0.61887096774193551</v>
      </c>
      <c r="U197" s="23">
        <f t="shared" si="26"/>
        <v>87.325268817204289</v>
      </c>
      <c r="W197">
        <v>369.2</v>
      </c>
      <c r="Y197">
        <f t="shared" si="24"/>
        <v>92029.900000000009</v>
      </c>
      <c r="Z197">
        <f t="shared" si="28"/>
        <v>3498.7999999999997</v>
      </c>
      <c r="AA197">
        <v>9.5949054078620239</v>
      </c>
    </row>
    <row r="198" spans="1:27" x14ac:dyDescent="0.25">
      <c r="A198">
        <v>6280</v>
      </c>
      <c r="B198">
        <v>24170</v>
      </c>
      <c r="C198" s="8">
        <v>42776</v>
      </c>
      <c r="F198" s="48"/>
      <c r="G198">
        <v>0.5</v>
      </c>
      <c r="H198">
        <v>-0.8</v>
      </c>
      <c r="I198">
        <v>2.1</v>
      </c>
      <c r="J198">
        <f t="shared" si="23"/>
        <v>1332.4000000000003</v>
      </c>
      <c r="K198">
        <f t="shared" si="29"/>
        <v>90.9</v>
      </c>
      <c r="L198" s="12">
        <v>6</v>
      </c>
      <c r="M198">
        <v>0</v>
      </c>
      <c r="N198">
        <v>0.6</v>
      </c>
      <c r="O198">
        <f t="shared" si="20"/>
        <v>-0.6</v>
      </c>
      <c r="P198">
        <f t="shared" si="25"/>
        <v>77.09999999999998</v>
      </c>
      <c r="Q198" s="22">
        <v>164</v>
      </c>
      <c r="R198">
        <f t="shared" si="27"/>
        <v>1.0338709677419355</v>
      </c>
      <c r="S198" s="23">
        <f t="shared" si="21"/>
        <v>0.62032258064516133</v>
      </c>
      <c r="T198" s="23">
        <f t="shared" si="22"/>
        <v>-0.62032258064516133</v>
      </c>
      <c r="U198" s="23">
        <f t="shared" si="26"/>
        <v>86.704946236559124</v>
      </c>
      <c r="W198">
        <v>222.6</v>
      </c>
      <c r="Y198">
        <f t="shared" si="24"/>
        <v>92252.500000000015</v>
      </c>
      <c r="Z198">
        <f t="shared" si="28"/>
        <v>3721.3999999999996</v>
      </c>
      <c r="AA198">
        <v>9.6478460730027713</v>
      </c>
    </row>
    <row r="199" spans="1:27" x14ac:dyDescent="0.25">
      <c r="A199">
        <v>6280</v>
      </c>
      <c r="B199">
        <v>24170</v>
      </c>
      <c r="C199" s="8">
        <v>42777</v>
      </c>
      <c r="F199" s="48"/>
      <c r="G199">
        <v>-0.4</v>
      </c>
      <c r="H199">
        <v>-1.2</v>
      </c>
      <c r="I199">
        <v>0.1</v>
      </c>
      <c r="J199">
        <v>1332.4</v>
      </c>
      <c r="K199">
        <v>90.9</v>
      </c>
      <c r="M199">
        <v>0</v>
      </c>
      <c r="N199">
        <v>0.3</v>
      </c>
      <c r="O199">
        <f t="shared" si="20"/>
        <v>-0.3</v>
      </c>
      <c r="P199">
        <f t="shared" si="25"/>
        <v>76.799999999999983</v>
      </c>
      <c r="Q199">
        <v>165</v>
      </c>
      <c r="R199">
        <f t="shared" si="27"/>
        <v>1.0362903225806452</v>
      </c>
      <c r="S199" s="23">
        <f t="shared" si="21"/>
        <v>0.31088709677419357</v>
      </c>
      <c r="T199" s="23">
        <f t="shared" si="22"/>
        <v>-0.31088709677419357</v>
      </c>
      <c r="U199" s="23">
        <f t="shared" si="26"/>
        <v>86.394059139784929</v>
      </c>
      <c r="W199">
        <v>202.7</v>
      </c>
      <c r="Y199">
        <f t="shared" si="24"/>
        <v>92455.200000000012</v>
      </c>
      <c r="Z199">
        <f t="shared" si="28"/>
        <v>3924.0999999999995</v>
      </c>
      <c r="AA199">
        <v>9.7012684666737332</v>
      </c>
    </row>
    <row r="200" spans="1:27" x14ac:dyDescent="0.25">
      <c r="A200">
        <v>6280</v>
      </c>
      <c r="B200">
        <v>24170</v>
      </c>
      <c r="C200" s="8">
        <v>42778</v>
      </c>
      <c r="F200" s="48"/>
      <c r="G200">
        <v>2.9</v>
      </c>
      <c r="H200">
        <v>-0.8</v>
      </c>
      <c r="I200">
        <v>7.3</v>
      </c>
      <c r="J200">
        <f t="shared" si="23"/>
        <v>1335.3000000000002</v>
      </c>
      <c r="K200">
        <f t="shared" si="29"/>
        <v>93.800000000000011</v>
      </c>
      <c r="M200">
        <v>0.2</v>
      </c>
      <c r="N200">
        <v>0.5</v>
      </c>
      <c r="O200">
        <f t="shared" si="20"/>
        <v>-0.3</v>
      </c>
      <c r="P200">
        <f t="shared" si="25"/>
        <v>76.499999999999986</v>
      </c>
      <c r="Q200" s="22">
        <v>166</v>
      </c>
      <c r="R200">
        <f t="shared" si="27"/>
        <v>1.0387096774193547</v>
      </c>
      <c r="S200" s="23">
        <f t="shared" si="21"/>
        <v>0.51935483870967736</v>
      </c>
      <c r="T200" s="23">
        <f t="shared" si="22"/>
        <v>-0.31935483870967735</v>
      </c>
      <c r="U200" s="23">
        <f t="shared" si="26"/>
        <v>86.074704301075258</v>
      </c>
      <c r="W200">
        <v>180.3</v>
      </c>
      <c r="Y200">
        <f t="shared" si="24"/>
        <v>92635.500000000015</v>
      </c>
      <c r="Z200">
        <f t="shared" si="28"/>
        <v>4104.3999999999996</v>
      </c>
      <c r="AA200">
        <v>9.7551536989854224</v>
      </c>
    </row>
    <row r="201" spans="1:27" x14ac:dyDescent="0.25">
      <c r="A201">
        <v>6280</v>
      </c>
      <c r="B201">
        <v>24170</v>
      </c>
      <c r="C201" s="8">
        <v>42779</v>
      </c>
      <c r="F201" s="48"/>
      <c r="G201">
        <v>4.2</v>
      </c>
      <c r="H201">
        <v>1.2</v>
      </c>
      <c r="I201">
        <v>6.7</v>
      </c>
      <c r="J201">
        <f t="shared" si="23"/>
        <v>1339.5000000000002</v>
      </c>
      <c r="K201">
        <f t="shared" si="29"/>
        <v>98.000000000000014</v>
      </c>
      <c r="M201">
        <v>0</v>
      </c>
      <c r="N201">
        <v>1.3</v>
      </c>
      <c r="O201">
        <f t="shared" si="20"/>
        <v>-1.3</v>
      </c>
      <c r="P201">
        <f t="shared" si="25"/>
        <v>75.199999999999989</v>
      </c>
      <c r="Q201">
        <v>167</v>
      </c>
      <c r="R201">
        <f t="shared" si="27"/>
        <v>1.0411290322580644</v>
      </c>
      <c r="S201" s="23">
        <f t="shared" si="21"/>
        <v>1.3534677419354837</v>
      </c>
      <c r="T201" s="23">
        <f t="shared" si="22"/>
        <v>-1.3534677419354837</v>
      </c>
      <c r="U201" s="23">
        <f t="shared" si="26"/>
        <v>84.721236559139768</v>
      </c>
      <c r="W201">
        <v>985.1</v>
      </c>
      <c r="Y201">
        <f t="shared" si="24"/>
        <v>93620.60000000002</v>
      </c>
      <c r="Z201">
        <f t="shared" si="28"/>
        <v>5089.5</v>
      </c>
      <c r="AA201">
        <v>9.8094833190628457</v>
      </c>
    </row>
    <row r="202" spans="1:27" x14ac:dyDescent="0.25">
      <c r="A202">
        <v>6280</v>
      </c>
      <c r="B202">
        <v>24170</v>
      </c>
      <c r="C202" s="8">
        <v>42780</v>
      </c>
      <c r="F202" s="48"/>
      <c r="G202">
        <v>7.7</v>
      </c>
      <c r="H202">
        <v>2.7</v>
      </c>
      <c r="I202">
        <v>10.7</v>
      </c>
      <c r="J202">
        <f t="shared" si="23"/>
        <v>1347.2000000000003</v>
      </c>
      <c r="K202">
        <f t="shared" si="29"/>
        <v>105.70000000000002</v>
      </c>
      <c r="M202">
        <v>0.2</v>
      </c>
      <c r="N202">
        <v>1</v>
      </c>
      <c r="O202">
        <f t="shared" si="20"/>
        <v>-0.8</v>
      </c>
      <c r="P202">
        <f t="shared" si="25"/>
        <v>74.399999999999991</v>
      </c>
      <c r="Q202" s="22">
        <v>168</v>
      </c>
      <c r="R202">
        <f t="shared" si="27"/>
        <v>1.0435483870967741</v>
      </c>
      <c r="S202" s="23">
        <f t="shared" si="21"/>
        <v>1.0435483870967741</v>
      </c>
      <c r="T202" s="23">
        <f t="shared" si="22"/>
        <v>-0.84354838709677415</v>
      </c>
      <c r="U202" s="23">
        <f t="shared" si="26"/>
        <v>83.877688172042994</v>
      </c>
      <c r="W202">
        <v>213.7</v>
      </c>
      <c r="Y202">
        <f t="shared" si="24"/>
        <v>93834.300000000017</v>
      </c>
      <c r="Z202">
        <f t="shared" si="28"/>
        <v>5303.2</v>
      </c>
      <c r="AA202">
        <v>9.8642393162379776</v>
      </c>
    </row>
    <row r="203" spans="1:27" x14ac:dyDescent="0.25">
      <c r="A203">
        <v>6280</v>
      </c>
      <c r="B203">
        <v>24170</v>
      </c>
      <c r="C203" s="8">
        <v>42781</v>
      </c>
      <c r="F203" s="48"/>
      <c r="G203">
        <v>10.9</v>
      </c>
      <c r="H203">
        <v>7.4</v>
      </c>
      <c r="I203">
        <v>15.2</v>
      </c>
      <c r="J203">
        <f t="shared" si="23"/>
        <v>1358.1000000000004</v>
      </c>
      <c r="K203">
        <f t="shared" si="29"/>
        <v>116.60000000000002</v>
      </c>
      <c r="M203">
        <v>1.2</v>
      </c>
      <c r="N203">
        <v>1.7</v>
      </c>
      <c r="O203">
        <f t="shared" si="20"/>
        <v>-0.5</v>
      </c>
      <c r="P203">
        <f t="shared" si="25"/>
        <v>73.899999999999991</v>
      </c>
      <c r="Q203">
        <v>169</v>
      </c>
      <c r="R203">
        <f t="shared" si="27"/>
        <v>1.0459677419354838</v>
      </c>
      <c r="S203" s="23">
        <f t="shared" si="21"/>
        <v>1.7781451612903225</v>
      </c>
      <c r="T203" s="23">
        <f t="shared" si="22"/>
        <v>-0.57814516129032256</v>
      </c>
      <c r="U203" s="23">
        <f t="shared" si="26"/>
        <v>83.299543010752672</v>
      </c>
      <c r="W203">
        <v>1057.8</v>
      </c>
      <c r="Y203">
        <f t="shared" si="24"/>
        <v>94892.10000000002</v>
      </c>
      <c r="Z203">
        <f t="shared" si="28"/>
        <v>6361</v>
      </c>
      <c r="AA203">
        <v>9.919404119920209</v>
      </c>
    </row>
    <row r="204" spans="1:27" x14ac:dyDescent="0.25">
      <c r="A204">
        <v>6280</v>
      </c>
      <c r="B204">
        <v>24170</v>
      </c>
      <c r="C204" s="8">
        <v>42782</v>
      </c>
      <c r="F204" s="48"/>
      <c r="G204">
        <v>8.3000000000000007</v>
      </c>
      <c r="H204">
        <v>6.5</v>
      </c>
      <c r="I204">
        <v>10.3</v>
      </c>
      <c r="J204">
        <f t="shared" si="23"/>
        <v>1366.4000000000003</v>
      </c>
      <c r="K204">
        <f t="shared" si="29"/>
        <v>124.90000000000002</v>
      </c>
      <c r="M204">
        <v>5.5</v>
      </c>
      <c r="N204">
        <v>0.7</v>
      </c>
      <c r="O204">
        <f t="shared" si="20"/>
        <v>4.8</v>
      </c>
      <c r="P204">
        <f t="shared" si="25"/>
        <v>78.699999999999989</v>
      </c>
      <c r="Q204" s="22">
        <v>170</v>
      </c>
      <c r="R204">
        <f t="shared" si="27"/>
        <v>1.0483870967741935</v>
      </c>
      <c r="S204" s="23">
        <f t="shared" si="21"/>
        <v>0.73387096774193539</v>
      </c>
      <c r="T204" s="23">
        <f t="shared" si="22"/>
        <v>4.7661290322580649</v>
      </c>
      <c r="U204" s="23">
        <f t="shared" si="26"/>
        <v>88.065672043010736</v>
      </c>
      <c r="W204">
        <v>371.4</v>
      </c>
      <c r="Y204">
        <f t="shared" si="24"/>
        <v>95263.500000000015</v>
      </c>
      <c r="Z204">
        <f t="shared" si="28"/>
        <v>6732.4</v>
      </c>
      <c r="AA204">
        <v>9.9749605982188427</v>
      </c>
    </row>
    <row r="205" spans="1:27" x14ac:dyDescent="0.25">
      <c r="A205">
        <v>6280</v>
      </c>
      <c r="B205">
        <v>24170</v>
      </c>
      <c r="C205" s="8">
        <v>42783</v>
      </c>
      <c r="F205" s="48"/>
      <c r="G205">
        <v>5.5</v>
      </c>
      <c r="H205">
        <v>4.8</v>
      </c>
      <c r="I205">
        <v>7.9</v>
      </c>
      <c r="J205">
        <f t="shared" si="23"/>
        <v>1371.9000000000003</v>
      </c>
      <c r="K205">
        <f t="shared" si="29"/>
        <v>130.40000000000003</v>
      </c>
      <c r="M205">
        <v>0.1</v>
      </c>
      <c r="N205">
        <v>1.1000000000000001</v>
      </c>
      <c r="O205">
        <f t="shared" si="20"/>
        <v>-1</v>
      </c>
      <c r="P205">
        <f t="shared" si="25"/>
        <v>77.699999999999989</v>
      </c>
      <c r="Q205">
        <v>171</v>
      </c>
      <c r="R205">
        <f t="shared" si="27"/>
        <v>1.0508064516129032</v>
      </c>
      <c r="S205" s="23">
        <f t="shared" si="21"/>
        <v>1.1558870967741937</v>
      </c>
      <c r="T205" s="23">
        <f t="shared" si="22"/>
        <v>-1.0558870967741936</v>
      </c>
      <c r="U205" s="23">
        <f t="shared" si="26"/>
        <v>87.009784946236536</v>
      </c>
      <c r="W205">
        <v>761</v>
      </c>
      <c r="Y205">
        <f t="shared" si="24"/>
        <v>96024.500000000015</v>
      </c>
      <c r="Z205">
        <f t="shared" si="28"/>
        <v>7493.4</v>
      </c>
      <c r="AA205">
        <v>10.030892055390337</v>
      </c>
    </row>
    <row r="206" spans="1:27" x14ac:dyDescent="0.25">
      <c r="A206">
        <v>6280</v>
      </c>
      <c r="B206">
        <v>24170</v>
      </c>
      <c r="C206" s="8">
        <v>42784</v>
      </c>
      <c r="F206" s="48"/>
      <c r="G206">
        <v>4.2</v>
      </c>
      <c r="H206">
        <v>-0.6</v>
      </c>
      <c r="I206">
        <v>8.6999999999999993</v>
      </c>
      <c r="J206">
        <f t="shared" si="23"/>
        <v>1376.1000000000004</v>
      </c>
      <c r="K206">
        <f t="shared" si="29"/>
        <v>134.60000000000002</v>
      </c>
      <c r="M206">
        <v>0</v>
      </c>
      <c r="N206">
        <v>0.9</v>
      </c>
      <c r="O206">
        <f t="shared" si="20"/>
        <v>-0.9</v>
      </c>
      <c r="P206">
        <f t="shared" si="25"/>
        <v>76.799999999999983</v>
      </c>
      <c r="Q206" s="22">
        <v>172</v>
      </c>
      <c r="R206">
        <f t="shared" si="27"/>
        <v>1.0532258064516129</v>
      </c>
      <c r="S206" s="23">
        <f t="shared" si="21"/>
        <v>0.94790322580645159</v>
      </c>
      <c r="T206" s="23">
        <f t="shared" si="22"/>
        <v>-0.94790322580645159</v>
      </c>
      <c r="U206" s="23">
        <f t="shared" si="26"/>
        <v>86.06188172043008</v>
      </c>
      <c r="W206">
        <v>647.29999999999995</v>
      </c>
      <c r="Y206">
        <f t="shared" si="24"/>
        <v>96671.800000000017</v>
      </c>
      <c r="Z206">
        <f t="shared" si="28"/>
        <v>8140.7</v>
      </c>
      <c r="AA206">
        <v>10.087182228181257</v>
      </c>
    </row>
    <row r="207" spans="1:27" x14ac:dyDescent="0.25">
      <c r="A207">
        <v>6280</v>
      </c>
      <c r="B207">
        <v>24170</v>
      </c>
      <c r="C207" s="8">
        <v>42785</v>
      </c>
      <c r="F207" s="48"/>
      <c r="G207">
        <v>4.5999999999999996</v>
      </c>
      <c r="H207">
        <v>-1.4</v>
      </c>
      <c r="I207">
        <v>9.3000000000000007</v>
      </c>
      <c r="J207">
        <f t="shared" si="23"/>
        <v>1380.7000000000003</v>
      </c>
      <c r="K207">
        <f t="shared" si="29"/>
        <v>139.20000000000002</v>
      </c>
      <c r="M207">
        <v>0.6</v>
      </c>
      <c r="N207">
        <v>0.6</v>
      </c>
      <c r="O207">
        <f t="shared" si="20"/>
        <v>0</v>
      </c>
      <c r="P207">
        <f t="shared" si="25"/>
        <v>76.799999999999983</v>
      </c>
      <c r="Q207">
        <v>173</v>
      </c>
      <c r="R207">
        <f t="shared" si="27"/>
        <v>1.0556451612903226</v>
      </c>
      <c r="S207" s="23">
        <f t="shared" si="21"/>
        <v>0.63338709677419358</v>
      </c>
      <c r="T207" s="23">
        <f t="shared" si="22"/>
        <v>-3.3387096774193603E-2</v>
      </c>
      <c r="U207" s="23">
        <f t="shared" si="26"/>
        <v>86.028494623655888</v>
      </c>
      <c r="W207">
        <v>530</v>
      </c>
      <c r="Y207">
        <f t="shared" si="24"/>
        <v>97201.800000000017</v>
      </c>
      <c r="Z207">
        <f t="shared" si="28"/>
        <v>8670.7000000000007</v>
      </c>
      <c r="AA207">
        <v>10.14381528113584</v>
      </c>
    </row>
    <row r="208" spans="1:27" x14ac:dyDescent="0.25">
      <c r="A208">
        <v>6280</v>
      </c>
      <c r="B208">
        <v>24170</v>
      </c>
      <c r="C208" s="8">
        <v>42786</v>
      </c>
      <c r="F208" s="48"/>
      <c r="G208">
        <v>8.8000000000000007</v>
      </c>
      <c r="H208">
        <v>6.6</v>
      </c>
      <c r="I208">
        <v>10.9</v>
      </c>
      <c r="J208">
        <f t="shared" si="23"/>
        <v>1389.5000000000002</v>
      </c>
      <c r="K208">
        <f t="shared" si="29"/>
        <v>148.00000000000003</v>
      </c>
      <c r="M208">
        <v>0.2</v>
      </c>
      <c r="N208">
        <v>0.6</v>
      </c>
      <c r="O208">
        <f t="shared" si="20"/>
        <v>-0.39999999999999997</v>
      </c>
      <c r="P208">
        <f t="shared" si="25"/>
        <v>76.399999999999977</v>
      </c>
      <c r="Q208" s="22">
        <v>174</v>
      </c>
      <c r="R208">
        <f t="shared" si="27"/>
        <v>1.0580645161290323</v>
      </c>
      <c r="S208" s="23">
        <f t="shared" si="21"/>
        <v>0.6348387096774194</v>
      </c>
      <c r="T208" s="23">
        <f t="shared" si="22"/>
        <v>-0.43483870967741939</v>
      </c>
      <c r="U208" s="23">
        <f t="shared" si="26"/>
        <v>85.593655913978466</v>
      </c>
      <c r="W208">
        <v>192.6</v>
      </c>
      <c r="Y208">
        <f t="shared" si="24"/>
        <v>97394.400000000023</v>
      </c>
      <c r="Z208">
        <f t="shared" si="28"/>
        <v>8863.3000000000011</v>
      </c>
      <c r="AA208">
        <v>10.200775800935068</v>
      </c>
    </row>
    <row r="209" spans="1:30" x14ac:dyDescent="0.25">
      <c r="A209">
        <v>6280</v>
      </c>
      <c r="B209">
        <v>24170</v>
      </c>
      <c r="C209" s="8">
        <v>42787</v>
      </c>
      <c r="F209" s="48"/>
      <c r="G209">
        <v>10.7</v>
      </c>
      <c r="H209">
        <v>10</v>
      </c>
      <c r="I209">
        <v>11.2</v>
      </c>
      <c r="J209">
        <f t="shared" si="23"/>
        <v>1400.2000000000003</v>
      </c>
      <c r="K209">
        <f t="shared" si="29"/>
        <v>158.70000000000002</v>
      </c>
      <c r="M209" s="55">
        <v>0</v>
      </c>
      <c r="N209">
        <v>0.7</v>
      </c>
      <c r="O209">
        <f t="shared" si="20"/>
        <v>-0.7</v>
      </c>
      <c r="P209">
        <f t="shared" si="25"/>
        <v>75.699999999999974</v>
      </c>
      <c r="Q209">
        <v>175</v>
      </c>
      <c r="R209">
        <f t="shared" si="27"/>
        <v>1.060483870967742</v>
      </c>
      <c r="S209" s="23">
        <f t="shared" si="21"/>
        <v>0.74233870967741933</v>
      </c>
      <c r="T209" s="23">
        <f t="shared" si="22"/>
        <v>-0.74233870967741933</v>
      </c>
      <c r="U209" s="23">
        <f t="shared" si="26"/>
        <v>84.85131720430104</v>
      </c>
      <c r="W209">
        <v>189.8</v>
      </c>
      <c r="Y209">
        <f t="shared" si="24"/>
        <v>97584.200000000026</v>
      </c>
      <c r="Z209">
        <f t="shared" si="28"/>
        <v>9053.1</v>
      </c>
      <c r="AA209">
        <v>10.258048789831637</v>
      </c>
      <c r="AB209" s="2" t="s">
        <v>65</v>
      </c>
    </row>
    <row r="210" spans="1:30" x14ac:dyDescent="0.25">
      <c r="A210">
        <v>6280</v>
      </c>
      <c r="B210">
        <v>24170</v>
      </c>
      <c r="C210" s="8">
        <v>42788</v>
      </c>
      <c r="F210" s="48"/>
      <c r="G210">
        <v>10.3</v>
      </c>
      <c r="H210">
        <v>9.8000000000000007</v>
      </c>
      <c r="I210">
        <v>10.8</v>
      </c>
      <c r="J210">
        <f t="shared" si="23"/>
        <v>1410.5000000000002</v>
      </c>
      <c r="K210">
        <f t="shared" si="29"/>
        <v>169.00000000000003</v>
      </c>
      <c r="M210" s="55">
        <v>0</v>
      </c>
      <c r="N210">
        <v>1.4</v>
      </c>
      <c r="O210">
        <f t="shared" si="20"/>
        <v>-1.4</v>
      </c>
      <c r="P210">
        <f t="shared" si="25"/>
        <v>74.299999999999969</v>
      </c>
      <c r="Q210" s="22">
        <v>176</v>
      </c>
      <c r="R210">
        <f t="shared" si="27"/>
        <v>1.0629032258064517</v>
      </c>
      <c r="S210" s="23">
        <f t="shared" si="21"/>
        <v>1.4880645161290322</v>
      </c>
      <c r="T210" s="23">
        <f t="shared" si="22"/>
        <v>-1.4880645161290322</v>
      </c>
      <c r="U210" s="23">
        <f t="shared" si="26"/>
        <v>83.363252688172011</v>
      </c>
      <c r="W210">
        <v>264.39999999999998</v>
      </c>
      <c r="Y210">
        <f t="shared" si="24"/>
        <v>97848.60000000002</v>
      </c>
      <c r="Z210">
        <f t="shared" si="28"/>
        <v>9317.5</v>
      </c>
      <c r="AA210">
        <v>10.315619658242856</v>
      </c>
      <c r="AB210" s="23">
        <f>AVERAGE(U216:U229)</f>
        <v>117.3953091397849</v>
      </c>
    </row>
    <row r="211" spans="1:30" x14ac:dyDescent="0.25">
      <c r="A211">
        <v>6280</v>
      </c>
      <c r="B211">
        <v>24170</v>
      </c>
      <c r="C211" s="8">
        <v>42789</v>
      </c>
      <c r="F211" s="48"/>
      <c r="G211">
        <v>9.3000000000000007</v>
      </c>
      <c r="H211">
        <v>8.8000000000000007</v>
      </c>
      <c r="I211">
        <v>10.199999999999999</v>
      </c>
      <c r="J211">
        <f t="shared" si="23"/>
        <v>1419.8000000000002</v>
      </c>
      <c r="K211">
        <f t="shared" si="29"/>
        <v>178.30000000000004</v>
      </c>
      <c r="M211" s="55">
        <v>0.6</v>
      </c>
      <c r="N211">
        <v>1.7</v>
      </c>
      <c r="O211">
        <f t="shared" si="20"/>
        <v>-1.1000000000000001</v>
      </c>
      <c r="P211">
        <f t="shared" si="25"/>
        <v>73.199999999999974</v>
      </c>
      <c r="Q211">
        <v>177</v>
      </c>
      <c r="R211">
        <f t="shared" si="27"/>
        <v>1.0653225806451612</v>
      </c>
      <c r="S211" s="23">
        <f t="shared" si="21"/>
        <v>1.811048387096774</v>
      </c>
      <c r="T211" s="23">
        <f t="shared" si="22"/>
        <v>-1.2110483870967741</v>
      </c>
      <c r="U211" s="23">
        <f t="shared" si="26"/>
        <v>82.152204301075244</v>
      </c>
      <c r="W211">
        <v>251.6</v>
      </c>
      <c r="Y211">
        <f t="shared" si="24"/>
        <v>98100.200000000026</v>
      </c>
      <c r="Z211">
        <f t="shared" si="28"/>
        <v>9569.1</v>
      </c>
      <c r="AA211">
        <v>10.373474216560899</v>
      </c>
      <c r="AB211" s="2" t="s">
        <v>66</v>
      </c>
    </row>
    <row r="212" spans="1:30" x14ac:dyDescent="0.25">
      <c r="A212">
        <v>6280</v>
      </c>
      <c r="B212">
        <v>24170</v>
      </c>
      <c r="C212" s="8">
        <v>42790</v>
      </c>
      <c r="F212" s="48"/>
      <c r="G212">
        <v>5.8</v>
      </c>
      <c r="H212">
        <v>4.8</v>
      </c>
      <c r="I212">
        <v>8.6999999999999993</v>
      </c>
      <c r="J212">
        <f t="shared" si="23"/>
        <v>1425.6000000000001</v>
      </c>
      <c r="K212">
        <f t="shared" si="29"/>
        <v>184.10000000000005</v>
      </c>
      <c r="M212" s="55">
        <v>0</v>
      </c>
      <c r="N212">
        <v>1.2</v>
      </c>
      <c r="O212">
        <f t="shared" si="20"/>
        <v>-1.2</v>
      </c>
      <c r="P212">
        <f t="shared" si="25"/>
        <v>71.999999999999972</v>
      </c>
      <c r="Q212" s="22">
        <v>178</v>
      </c>
      <c r="R212">
        <f t="shared" si="27"/>
        <v>1.0677419354838709</v>
      </c>
      <c r="S212" s="23">
        <f t="shared" si="21"/>
        <v>1.2812903225806449</v>
      </c>
      <c r="T212" s="23">
        <f t="shared" si="22"/>
        <v>-1.2812903225806449</v>
      </c>
      <c r="U212" s="23">
        <f t="shared" si="26"/>
        <v>80.870913978494599</v>
      </c>
      <c r="W212">
        <v>652</v>
      </c>
      <c r="Y212">
        <f t="shared" si="24"/>
        <v>98752.200000000026</v>
      </c>
      <c r="Z212">
        <f t="shared" si="28"/>
        <v>10221.1</v>
      </c>
      <c r="AA212">
        <v>10.431598666237178</v>
      </c>
      <c r="AB212">
        <v>3</v>
      </c>
    </row>
    <row r="213" spans="1:30" x14ac:dyDescent="0.25">
      <c r="A213">
        <v>6280</v>
      </c>
      <c r="B213">
        <v>24170</v>
      </c>
      <c r="C213" s="8">
        <v>42791</v>
      </c>
      <c r="F213" s="48"/>
      <c r="G213">
        <v>5.0999999999999996</v>
      </c>
      <c r="H213">
        <v>-0.9</v>
      </c>
      <c r="I213">
        <v>9.6</v>
      </c>
      <c r="J213">
        <f t="shared" si="23"/>
        <v>1430.7</v>
      </c>
      <c r="K213">
        <f t="shared" si="29"/>
        <v>189.20000000000005</v>
      </c>
      <c r="M213" s="55">
        <v>0</v>
      </c>
      <c r="N213">
        <v>1.5</v>
      </c>
      <c r="O213">
        <f t="shared" si="20"/>
        <v>-1.5</v>
      </c>
      <c r="P213">
        <f t="shared" si="25"/>
        <v>70.499999999999972</v>
      </c>
      <c r="Q213">
        <v>179</v>
      </c>
      <c r="R213">
        <f t="shared" si="27"/>
        <v>1.0701612903225806</v>
      </c>
      <c r="S213" s="23">
        <f t="shared" si="21"/>
        <v>1.6052419354838707</v>
      </c>
      <c r="T213" s="23">
        <f t="shared" si="22"/>
        <v>-1.6052419354838707</v>
      </c>
      <c r="U213" s="23">
        <f t="shared" si="26"/>
        <v>79.265672043010724</v>
      </c>
      <c r="W213">
        <v>929</v>
      </c>
      <c r="Y213">
        <f t="shared" si="24"/>
        <v>99681.200000000026</v>
      </c>
      <c r="Z213">
        <f t="shared" si="28"/>
        <v>11150.1</v>
      </c>
      <c r="AA213">
        <v>10.489979590195002</v>
      </c>
      <c r="AB213" s="2" t="s">
        <v>67</v>
      </c>
    </row>
    <row r="214" spans="1:30" x14ac:dyDescent="0.25">
      <c r="A214">
        <v>6280</v>
      </c>
      <c r="B214">
        <v>24170</v>
      </c>
      <c r="C214" s="8">
        <v>42792</v>
      </c>
      <c r="F214" s="48"/>
      <c r="G214">
        <v>8.6999999999999993</v>
      </c>
      <c r="H214">
        <v>5.0999999999999996</v>
      </c>
      <c r="I214">
        <v>10.7</v>
      </c>
      <c r="J214">
        <f t="shared" si="23"/>
        <v>1439.4</v>
      </c>
      <c r="K214">
        <f t="shared" si="29"/>
        <v>197.90000000000003</v>
      </c>
      <c r="M214" s="55">
        <v>0</v>
      </c>
      <c r="N214">
        <v>1.3</v>
      </c>
      <c r="O214">
        <f t="shared" si="20"/>
        <v>-1.3</v>
      </c>
      <c r="P214">
        <f t="shared" si="25"/>
        <v>69.199999999999974</v>
      </c>
      <c r="Q214" s="22">
        <v>180</v>
      </c>
      <c r="R214">
        <f t="shared" si="27"/>
        <v>1.0725806451612903</v>
      </c>
      <c r="S214" s="23">
        <f t="shared" si="21"/>
        <v>1.3943548387096774</v>
      </c>
      <c r="T214" s="23">
        <f t="shared" si="22"/>
        <v>-1.3943548387096774</v>
      </c>
      <c r="U214" s="23">
        <f t="shared" si="26"/>
        <v>77.87131720430105</v>
      </c>
      <c r="W214">
        <v>404.1</v>
      </c>
      <c r="Y214">
        <f t="shared" si="24"/>
        <v>100085.30000000003</v>
      </c>
      <c r="Z214">
        <f t="shared" si="28"/>
        <v>11554.2</v>
      </c>
      <c r="AA214">
        <v>10.548603942621904</v>
      </c>
      <c r="AB214">
        <v>5</v>
      </c>
    </row>
    <row r="215" spans="1:30" x14ac:dyDescent="0.25">
      <c r="A215">
        <v>6280</v>
      </c>
      <c r="B215">
        <v>24170</v>
      </c>
      <c r="C215" s="8">
        <v>42793</v>
      </c>
      <c r="F215" s="48"/>
      <c r="G215">
        <v>8.9</v>
      </c>
      <c r="H215">
        <v>7.9</v>
      </c>
      <c r="I215">
        <v>10.9</v>
      </c>
      <c r="J215">
        <f t="shared" si="23"/>
        <v>1448.3000000000002</v>
      </c>
      <c r="K215">
        <f t="shared" si="29"/>
        <v>206.80000000000004</v>
      </c>
      <c r="M215" s="55">
        <v>9.6</v>
      </c>
      <c r="N215">
        <v>1.5</v>
      </c>
      <c r="O215">
        <f t="shared" si="20"/>
        <v>8.1</v>
      </c>
      <c r="P215">
        <f t="shared" si="25"/>
        <v>77.299999999999969</v>
      </c>
      <c r="Q215">
        <v>181</v>
      </c>
      <c r="R215">
        <f t="shared" si="27"/>
        <v>1.075</v>
      </c>
      <c r="S215" s="23">
        <f t="shared" si="21"/>
        <v>1.6124999999999998</v>
      </c>
      <c r="T215" s="23">
        <f t="shared" si="22"/>
        <v>7.9874999999999998</v>
      </c>
      <c r="U215" s="23">
        <f t="shared" si="26"/>
        <v>85.858817204301047</v>
      </c>
      <c r="W215">
        <v>263.10000000000002</v>
      </c>
      <c r="Y215">
        <f t="shared" si="24"/>
        <v>100348.40000000004</v>
      </c>
      <c r="Z215">
        <f t="shared" si="28"/>
        <v>11817.300000000001</v>
      </c>
      <c r="AA215">
        <v>10.607459038190354</v>
      </c>
      <c r="AB215" s="2" t="s">
        <v>68</v>
      </c>
    </row>
    <row r="216" spans="1:30" x14ac:dyDescent="0.25">
      <c r="A216">
        <v>6280</v>
      </c>
      <c r="B216">
        <v>24170</v>
      </c>
      <c r="C216" s="8">
        <v>42794</v>
      </c>
      <c r="F216" s="48"/>
      <c r="G216">
        <v>5.7</v>
      </c>
      <c r="H216">
        <v>4.5</v>
      </c>
      <c r="I216">
        <v>6.6</v>
      </c>
      <c r="J216">
        <f t="shared" si="23"/>
        <v>1454.0000000000002</v>
      </c>
      <c r="K216">
        <f t="shared" si="29"/>
        <v>212.50000000000003</v>
      </c>
      <c r="M216" s="55">
        <v>4</v>
      </c>
      <c r="N216">
        <v>0.9</v>
      </c>
      <c r="O216">
        <f t="shared" si="20"/>
        <v>3.1</v>
      </c>
      <c r="P216">
        <f t="shared" si="25"/>
        <v>80.399999999999963</v>
      </c>
      <c r="Q216" s="22">
        <v>182</v>
      </c>
      <c r="R216">
        <f t="shared" si="27"/>
        <v>1.0774193548387097</v>
      </c>
      <c r="S216" s="23">
        <f t="shared" si="21"/>
        <v>0.96967741935483875</v>
      </c>
      <c r="T216" s="23">
        <f t="shared" si="22"/>
        <v>3.0303225806451612</v>
      </c>
      <c r="U216" s="56">
        <f t="shared" si="26"/>
        <v>88.889139784946209</v>
      </c>
      <c r="W216">
        <v>263.10000000000002</v>
      </c>
      <c r="Y216">
        <f t="shared" si="24"/>
        <v>100611.50000000004</v>
      </c>
      <c r="Z216">
        <f t="shared" si="28"/>
        <v>12080.400000000001</v>
      </c>
      <c r="AA216">
        <v>10.666532540752948</v>
      </c>
      <c r="AB216">
        <v>0</v>
      </c>
    </row>
    <row r="217" spans="1:30" x14ac:dyDescent="0.25">
      <c r="A217">
        <v>6280</v>
      </c>
      <c r="B217">
        <v>24170</v>
      </c>
      <c r="C217" s="8">
        <v>42795</v>
      </c>
      <c r="F217" s="48"/>
      <c r="G217">
        <v>7.9</v>
      </c>
      <c r="H217">
        <v>6</v>
      </c>
      <c r="I217">
        <v>10.9</v>
      </c>
      <c r="J217">
        <f t="shared" si="23"/>
        <v>1461.9000000000003</v>
      </c>
      <c r="K217">
        <f t="shared" si="29"/>
        <v>220.40000000000003</v>
      </c>
      <c r="M217" s="55">
        <v>11</v>
      </c>
      <c r="N217">
        <v>1</v>
      </c>
      <c r="O217">
        <f t="shared" si="20"/>
        <v>10</v>
      </c>
      <c r="P217">
        <f t="shared" si="25"/>
        <v>90.399999999999963</v>
      </c>
      <c r="Q217">
        <v>183</v>
      </c>
      <c r="R217">
        <f t="shared" si="27"/>
        <v>1.0798387096774194</v>
      </c>
      <c r="S217" s="23">
        <f t="shared" si="21"/>
        <v>1.0798387096774194</v>
      </c>
      <c r="T217" s="23">
        <f t="shared" si="22"/>
        <v>9.9201612903225804</v>
      </c>
      <c r="U217" s="56">
        <f t="shared" si="26"/>
        <v>98.809301075268792</v>
      </c>
      <c r="W217">
        <v>292.39999999999998</v>
      </c>
      <c r="Y217">
        <f t="shared" si="24"/>
        <v>100903.90000000004</v>
      </c>
      <c r="Z217">
        <f t="shared" si="28"/>
        <v>12372.800000000001</v>
      </c>
      <c r="AA217">
        <v>10.725812451555395</v>
      </c>
      <c r="AB217" s="2" t="s">
        <v>69</v>
      </c>
    </row>
    <row r="218" spans="1:30" x14ac:dyDescent="0.25">
      <c r="A218">
        <v>6280</v>
      </c>
      <c r="B218">
        <v>24170</v>
      </c>
      <c r="C218" s="8">
        <v>42796</v>
      </c>
      <c r="F218" s="48"/>
      <c r="G218">
        <v>8.1999999999999993</v>
      </c>
      <c r="H218">
        <v>5.5</v>
      </c>
      <c r="I218">
        <v>11.8</v>
      </c>
      <c r="J218">
        <f t="shared" si="23"/>
        <v>1470.1000000000004</v>
      </c>
      <c r="K218">
        <f t="shared" si="29"/>
        <v>228.60000000000002</v>
      </c>
      <c r="M218" s="55">
        <v>0</v>
      </c>
      <c r="N218">
        <v>1.7</v>
      </c>
      <c r="O218">
        <f t="shared" si="20"/>
        <v>-1.7</v>
      </c>
      <c r="P218">
        <f t="shared" si="25"/>
        <v>88.69999999999996</v>
      </c>
      <c r="Q218" s="22">
        <v>184</v>
      </c>
      <c r="R218">
        <f t="shared" si="27"/>
        <v>1.082258064516129</v>
      </c>
      <c r="S218" s="23">
        <f t="shared" si="21"/>
        <v>1.8398387096774194</v>
      </c>
      <c r="T218" s="23">
        <f t="shared" si="22"/>
        <v>-1.8398387096774194</v>
      </c>
      <c r="U218" s="56">
        <f t="shared" si="26"/>
        <v>96.969462365591369</v>
      </c>
      <c r="W218">
        <v>732.3</v>
      </c>
      <c r="Y218">
        <f t="shared" si="24"/>
        <v>101636.20000000004</v>
      </c>
      <c r="Z218">
        <f t="shared" si="28"/>
        <v>13105.1</v>
      </c>
      <c r="AA218">
        <v>10.785287097008213</v>
      </c>
      <c r="AB218">
        <f>SUM(M220:M229)</f>
        <v>35.700000000000003</v>
      </c>
    </row>
    <row r="219" spans="1:30" s="57" customFormat="1" x14ac:dyDescent="0.25">
      <c r="A219" s="57">
        <v>6280</v>
      </c>
      <c r="B219" s="57">
        <v>24170</v>
      </c>
      <c r="C219" s="58">
        <v>42797</v>
      </c>
      <c r="D219" s="57" t="s">
        <v>63</v>
      </c>
      <c r="F219" s="48"/>
      <c r="G219" s="57">
        <v>10.3</v>
      </c>
      <c r="H219" s="57">
        <v>5.3</v>
      </c>
      <c r="I219" s="57">
        <v>12.6</v>
      </c>
      <c r="J219" s="57">
        <f t="shared" si="23"/>
        <v>1480.4000000000003</v>
      </c>
      <c r="K219" s="57">
        <f t="shared" si="29"/>
        <v>238.90000000000003</v>
      </c>
      <c r="M219" s="57">
        <v>2.9</v>
      </c>
      <c r="N219" s="57">
        <v>1.3</v>
      </c>
      <c r="O219" s="57">
        <f t="shared" si="20"/>
        <v>1.5999999999999999</v>
      </c>
      <c r="P219" s="57">
        <f t="shared" si="25"/>
        <v>90.299999999999955</v>
      </c>
      <c r="Q219" s="57">
        <v>185</v>
      </c>
      <c r="R219" s="57">
        <f t="shared" si="27"/>
        <v>1.0846774193548387</v>
      </c>
      <c r="S219" s="59">
        <f t="shared" si="21"/>
        <v>1.4100806451612904</v>
      </c>
      <c r="T219" s="59">
        <f t="shared" si="22"/>
        <v>1.4899193548387095</v>
      </c>
      <c r="U219" s="59">
        <f t="shared" si="26"/>
        <v>98.459381720430073</v>
      </c>
      <c r="W219" s="57">
        <v>518.5</v>
      </c>
      <c r="Y219" s="57">
        <f t="shared" si="24"/>
        <v>102154.70000000004</v>
      </c>
      <c r="Z219" s="57">
        <f t="shared" si="28"/>
        <v>13623.6</v>
      </c>
      <c r="AA219" s="57">
        <v>10.844945116055314</v>
      </c>
    </row>
    <row r="220" spans="1:30" x14ac:dyDescent="0.25">
      <c r="A220">
        <v>6280</v>
      </c>
      <c r="B220">
        <v>24170</v>
      </c>
      <c r="C220" s="8">
        <v>42798</v>
      </c>
      <c r="F220" s="48"/>
      <c r="G220">
        <v>8.1</v>
      </c>
      <c r="H220">
        <v>6.7</v>
      </c>
      <c r="I220">
        <v>8.6</v>
      </c>
      <c r="J220">
        <f t="shared" si="23"/>
        <v>1488.5000000000002</v>
      </c>
      <c r="K220">
        <f t="shared" si="29"/>
        <v>247.00000000000003</v>
      </c>
      <c r="M220" s="55">
        <v>13.9</v>
      </c>
      <c r="N220">
        <v>0.5</v>
      </c>
      <c r="O220">
        <f t="shared" si="20"/>
        <v>13.4</v>
      </c>
      <c r="P220">
        <f t="shared" si="25"/>
        <v>103.69999999999996</v>
      </c>
      <c r="Q220" s="22">
        <v>186</v>
      </c>
      <c r="R220">
        <f t="shared" si="27"/>
        <v>1.0870967741935484</v>
      </c>
      <c r="S220" s="23">
        <f t="shared" si="21"/>
        <v>0.54354838709677422</v>
      </c>
      <c r="T220" s="23">
        <f t="shared" si="22"/>
        <v>13.356451612903227</v>
      </c>
      <c r="U220" s="56">
        <f t="shared" si="26"/>
        <v>111.8158333333333</v>
      </c>
      <c r="W220">
        <v>246.2</v>
      </c>
      <c r="Y220">
        <f t="shared" si="24"/>
        <v>102400.90000000004</v>
      </c>
      <c r="Z220">
        <f t="shared" si="28"/>
        <v>13869.800000000001</v>
      </c>
      <c r="AA220">
        <v>10.904775447175357</v>
      </c>
    </row>
    <row r="221" spans="1:30" x14ac:dyDescent="0.25">
      <c r="A221">
        <v>6280</v>
      </c>
      <c r="B221">
        <v>24170</v>
      </c>
      <c r="C221" s="8">
        <v>42799</v>
      </c>
      <c r="F221" s="48"/>
      <c r="G221">
        <v>6.1</v>
      </c>
      <c r="H221">
        <v>4.2</v>
      </c>
      <c r="I221">
        <v>7.4</v>
      </c>
      <c r="J221">
        <f t="shared" si="23"/>
        <v>1494.6000000000001</v>
      </c>
      <c r="K221">
        <f t="shared" si="29"/>
        <v>253.10000000000002</v>
      </c>
      <c r="M221" s="55">
        <v>11.3</v>
      </c>
      <c r="N221">
        <v>0.7</v>
      </c>
      <c r="O221">
        <f t="shared" si="20"/>
        <v>10.600000000000001</v>
      </c>
      <c r="P221">
        <f t="shared" si="25"/>
        <v>114.29999999999995</v>
      </c>
      <c r="Q221">
        <v>187</v>
      </c>
      <c r="R221">
        <f t="shared" si="27"/>
        <v>1.0895161290322579</v>
      </c>
      <c r="S221" s="23">
        <f t="shared" si="21"/>
        <v>0.76266129032258045</v>
      </c>
      <c r="T221" s="23">
        <f t="shared" si="22"/>
        <v>10.537338709677421</v>
      </c>
      <c r="U221" s="56">
        <f t="shared" si="26"/>
        <v>122.35317204301072</v>
      </c>
      <c r="W221">
        <v>266.89999999999998</v>
      </c>
      <c r="Y221">
        <f t="shared" si="24"/>
        <v>102667.80000000003</v>
      </c>
      <c r="Z221">
        <f t="shared" si="28"/>
        <v>14136.7</v>
      </c>
      <c r="AA221">
        <v>10.964767315049304</v>
      </c>
    </row>
    <row r="222" spans="1:30" x14ac:dyDescent="0.25">
      <c r="A222">
        <v>6280</v>
      </c>
      <c r="B222">
        <v>24170</v>
      </c>
      <c r="C222" s="8">
        <v>42800</v>
      </c>
      <c r="F222" s="48"/>
      <c r="G222">
        <v>5.8</v>
      </c>
      <c r="H222">
        <v>4.2</v>
      </c>
      <c r="I222">
        <v>7</v>
      </c>
      <c r="J222">
        <f t="shared" si="23"/>
        <v>1500.4</v>
      </c>
      <c r="K222">
        <f t="shared" si="29"/>
        <v>258.90000000000003</v>
      </c>
      <c r="M222" s="55">
        <v>8.5</v>
      </c>
      <c r="N222">
        <v>0.6</v>
      </c>
      <c r="O222">
        <f t="shared" si="20"/>
        <v>7.9</v>
      </c>
      <c r="P222">
        <f t="shared" si="25"/>
        <v>122.19999999999996</v>
      </c>
      <c r="Q222" s="22">
        <v>188</v>
      </c>
      <c r="R222">
        <f t="shared" si="27"/>
        <v>1.0919354838709676</v>
      </c>
      <c r="S222" s="23">
        <f t="shared" si="21"/>
        <v>0.65516129032258053</v>
      </c>
      <c r="T222" s="23">
        <f t="shared" si="22"/>
        <v>7.8448387096774193</v>
      </c>
      <c r="U222" s="56">
        <f t="shared" si="26"/>
        <v>130.19801075268813</v>
      </c>
      <c r="W222">
        <v>348.5</v>
      </c>
      <c r="Y222">
        <f t="shared" si="24"/>
        <v>103016.30000000003</v>
      </c>
      <c r="Z222">
        <f t="shared" si="28"/>
        <v>14485.2</v>
      </c>
      <c r="AA222">
        <v>11.02491021692531</v>
      </c>
      <c r="AB222" s="2" t="s">
        <v>65</v>
      </c>
      <c r="AD222" s="2" t="s">
        <v>65</v>
      </c>
    </row>
    <row r="223" spans="1:30" x14ac:dyDescent="0.25">
      <c r="A223">
        <v>6280</v>
      </c>
      <c r="B223">
        <v>24170</v>
      </c>
      <c r="C223" s="8">
        <v>42801</v>
      </c>
      <c r="F223" s="48"/>
      <c r="G223">
        <v>6.9</v>
      </c>
      <c r="H223">
        <v>5.8</v>
      </c>
      <c r="I223">
        <v>8.9</v>
      </c>
      <c r="J223">
        <f t="shared" si="23"/>
        <v>1507.3000000000002</v>
      </c>
      <c r="K223">
        <f t="shared" si="29"/>
        <v>265.8</v>
      </c>
      <c r="M223" s="55">
        <v>1.6</v>
      </c>
      <c r="N223">
        <v>1</v>
      </c>
      <c r="O223">
        <f t="shared" si="20"/>
        <v>0.60000000000000009</v>
      </c>
      <c r="P223">
        <f t="shared" si="25"/>
        <v>122.79999999999995</v>
      </c>
      <c r="Q223">
        <v>189</v>
      </c>
      <c r="R223">
        <f t="shared" si="27"/>
        <v>1.0943548387096773</v>
      </c>
      <c r="S223" s="23">
        <f t="shared" si="21"/>
        <v>1.0943548387096773</v>
      </c>
      <c r="T223" s="23">
        <f t="shared" si="22"/>
        <v>0.50564516129032278</v>
      </c>
      <c r="U223" s="56">
        <f t="shared" si="26"/>
        <v>130.70365591397845</v>
      </c>
      <c r="W223">
        <v>304.8</v>
      </c>
      <c r="Y223">
        <f t="shared" si="24"/>
        <v>103321.10000000003</v>
      </c>
      <c r="Z223">
        <f t="shared" si="28"/>
        <v>14790</v>
      </c>
      <c r="AA223">
        <v>11.08519390870994</v>
      </c>
      <c r="AB223" s="23">
        <f>AVERAGE(U229:U242)</f>
        <v>117.72687019969268</v>
      </c>
      <c r="AD223" s="23">
        <f>(AB210*(50/120))+(AB223*(70/120))</f>
        <v>117.58871975806444</v>
      </c>
    </row>
    <row r="224" spans="1:30" x14ac:dyDescent="0.25">
      <c r="A224">
        <v>6280</v>
      </c>
      <c r="B224">
        <v>24170</v>
      </c>
      <c r="C224" s="8">
        <v>42802</v>
      </c>
      <c r="F224" s="48"/>
      <c r="G224">
        <v>9.6</v>
      </c>
      <c r="H224">
        <v>4.9000000000000004</v>
      </c>
      <c r="I224">
        <v>12.2</v>
      </c>
      <c r="J224">
        <f t="shared" si="23"/>
        <v>1516.9</v>
      </c>
      <c r="K224">
        <f t="shared" si="29"/>
        <v>275.40000000000003</v>
      </c>
      <c r="M224" s="55">
        <v>0.4</v>
      </c>
      <c r="N224">
        <v>0.3</v>
      </c>
      <c r="O224">
        <f t="shared" si="20"/>
        <v>0.10000000000000003</v>
      </c>
      <c r="P224">
        <f t="shared" si="25"/>
        <v>122.89999999999995</v>
      </c>
      <c r="Q224" s="22">
        <v>190</v>
      </c>
      <c r="R224">
        <f t="shared" si="27"/>
        <v>1.096774193548387</v>
      </c>
      <c r="S224" s="23">
        <f t="shared" si="21"/>
        <v>0.32903225806451608</v>
      </c>
      <c r="T224" s="23">
        <f t="shared" si="22"/>
        <v>7.0967741935483941E-2</v>
      </c>
      <c r="U224" s="56">
        <f t="shared" si="26"/>
        <v>130.77462365591393</v>
      </c>
      <c r="W224">
        <v>264.10000000000002</v>
      </c>
      <c r="Y224">
        <f t="shared" si="24"/>
        <v>103585.20000000004</v>
      </c>
      <c r="Z224">
        <f t="shared" si="28"/>
        <v>15054.1</v>
      </c>
      <c r="AA224">
        <v>11.145608390812566</v>
      </c>
      <c r="AB224" s="2" t="s">
        <v>66</v>
      </c>
      <c r="AD224" s="2" t="s">
        <v>66</v>
      </c>
    </row>
    <row r="225" spans="1:30" x14ac:dyDescent="0.25">
      <c r="A225">
        <v>6280</v>
      </c>
      <c r="B225">
        <v>24170</v>
      </c>
      <c r="C225" s="8">
        <v>42803</v>
      </c>
      <c r="F225" s="48"/>
      <c r="G225">
        <v>11.6</v>
      </c>
      <c r="H225">
        <v>10.9</v>
      </c>
      <c r="I225">
        <v>13.2</v>
      </c>
      <c r="J225">
        <f t="shared" si="23"/>
        <v>1528.5</v>
      </c>
      <c r="K225">
        <f t="shared" si="29"/>
        <v>287.00000000000006</v>
      </c>
      <c r="M225" s="55">
        <v>0</v>
      </c>
      <c r="N225">
        <v>0.7</v>
      </c>
      <c r="O225">
        <f t="shared" si="20"/>
        <v>-0.7</v>
      </c>
      <c r="P225">
        <f t="shared" si="25"/>
        <v>122.19999999999995</v>
      </c>
      <c r="Q225">
        <v>191</v>
      </c>
      <c r="R225">
        <f t="shared" si="27"/>
        <v>1.0991935483870967</v>
      </c>
      <c r="S225" s="23">
        <f t="shared" si="21"/>
        <v>0.76943548387096761</v>
      </c>
      <c r="T225" s="23">
        <f t="shared" si="22"/>
        <v>-0.76943548387096761</v>
      </c>
      <c r="U225" s="56">
        <f t="shared" si="26"/>
        <v>130.00518817204295</v>
      </c>
      <c r="W225">
        <v>302.89999999999998</v>
      </c>
      <c r="Y225">
        <f t="shared" si="24"/>
        <v>103888.10000000003</v>
      </c>
      <c r="Z225">
        <f t="shared" si="28"/>
        <v>15357</v>
      </c>
      <c r="AA225">
        <v>11.206143893767848</v>
      </c>
      <c r="AB225">
        <v>7</v>
      </c>
      <c r="AD225" s="42">
        <f>(AB212*(50/120))+(AB225*(70/120))</f>
        <v>5.3333333333333339</v>
      </c>
    </row>
    <row r="226" spans="1:30" x14ac:dyDescent="0.25">
      <c r="A226">
        <v>6280</v>
      </c>
      <c r="B226">
        <v>24170</v>
      </c>
      <c r="C226" s="8">
        <v>42804</v>
      </c>
      <c r="F226" s="48"/>
      <c r="G226">
        <v>7.7</v>
      </c>
      <c r="H226">
        <v>7.1</v>
      </c>
      <c r="I226">
        <v>9.6</v>
      </c>
      <c r="J226">
        <f t="shared" si="23"/>
        <v>1536.2</v>
      </c>
      <c r="K226">
        <f t="shared" si="29"/>
        <v>294.70000000000005</v>
      </c>
      <c r="M226" s="55">
        <v>0</v>
      </c>
      <c r="N226">
        <v>0.9</v>
      </c>
      <c r="O226">
        <f t="shared" si="20"/>
        <v>-0.9</v>
      </c>
      <c r="P226">
        <f t="shared" si="25"/>
        <v>121.29999999999994</v>
      </c>
      <c r="Q226" s="22">
        <v>192</v>
      </c>
      <c r="R226">
        <f t="shared" si="27"/>
        <v>1.1016129032258064</v>
      </c>
      <c r="S226" s="23">
        <f t="shared" si="21"/>
        <v>0.99145161290322581</v>
      </c>
      <c r="T226" s="23">
        <f t="shared" si="22"/>
        <v>-0.99145161290322581</v>
      </c>
      <c r="U226" s="56">
        <f t="shared" si="26"/>
        <v>129.01373655913972</v>
      </c>
      <c r="W226">
        <v>527.20000000000005</v>
      </c>
      <c r="Y226">
        <f t="shared" si="24"/>
        <v>104415.30000000003</v>
      </c>
      <c r="Z226">
        <f t="shared" si="28"/>
        <v>15884.2</v>
      </c>
      <c r="AA226">
        <v>11.26679086365929</v>
      </c>
      <c r="AB226" s="2" t="s">
        <v>67</v>
      </c>
      <c r="AD226" s="2" t="s">
        <v>67</v>
      </c>
    </row>
    <row r="227" spans="1:30" x14ac:dyDescent="0.25">
      <c r="A227">
        <v>6280</v>
      </c>
      <c r="B227">
        <v>24170</v>
      </c>
      <c r="C227" s="8">
        <v>42805</v>
      </c>
      <c r="F227" s="48"/>
      <c r="G227">
        <v>8.3000000000000007</v>
      </c>
      <c r="H227">
        <v>1.5</v>
      </c>
      <c r="I227">
        <v>14.2</v>
      </c>
      <c r="J227">
        <f t="shared" si="23"/>
        <v>1544.5</v>
      </c>
      <c r="K227">
        <f t="shared" si="29"/>
        <v>303.00000000000006</v>
      </c>
      <c r="M227" s="55">
        <v>0</v>
      </c>
      <c r="N227">
        <v>1.7</v>
      </c>
      <c r="O227">
        <f t="shared" si="20"/>
        <v>-1.7</v>
      </c>
      <c r="P227">
        <f t="shared" si="25"/>
        <v>119.59999999999994</v>
      </c>
      <c r="Q227">
        <v>193</v>
      </c>
      <c r="R227">
        <f t="shared" si="27"/>
        <v>1.1040322580645161</v>
      </c>
      <c r="S227" s="23">
        <f t="shared" si="21"/>
        <v>1.8768548387096773</v>
      </c>
      <c r="T227" s="23">
        <f t="shared" si="22"/>
        <v>-1.8768548387096773</v>
      </c>
      <c r="U227" s="56">
        <f t="shared" si="26"/>
        <v>127.13688172043004</v>
      </c>
      <c r="W227">
        <v>1027.9000000000001</v>
      </c>
      <c r="Y227">
        <f t="shared" si="24"/>
        <v>105443.20000000003</v>
      </c>
      <c r="Z227">
        <f t="shared" si="28"/>
        <v>16912.100000000002</v>
      </c>
      <c r="AA227">
        <v>11.327539947365151</v>
      </c>
      <c r="AB227">
        <v>4</v>
      </c>
      <c r="AD227" s="42">
        <f>(AB214*(50/120))+(AB227*(70/120))</f>
        <v>4.416666666666667</v>
      </c>
    </row>
    <row r="228" spans="1:30" x14ac:dyDescent="0.25">
      <c r="A228">
        <v>6280</v>
      </c>
      <c r="B228">
        <v>24170</v>
      </c>
      <c r="C228" s="8">
        <v>42806</v>
      </c>
      <c r="F228" s="48"/>
      <c r="G228">
        <v>10.199999999999999</v>
      </c>
      <c r="H228">
        <v>4.9000000000000004</v>
      </c>
      <c r="I228">
        <v>15.7</v>
      </c>
      <c r="J228">
        <f t="shared" si="23"/>
        <v>1554.7</v>
      </c>
      <c r="K228">
        <f t="shared" si="29"/>
        <v>313.20000000000005</v>
      </c>
      <c r="M228" s="55">
        <v>0</v>
      </c>
      <c r="N228">
        <v>1.9</v>
      </c>
      <c r="O228">
        <f t="shared" ref="O228:O291" si="30">M228-N228</f>
        <v>-1.9</v>
      </c>
      <c r="P228">
        <f t="shared" si="25"/>
        <v>117.69999999999993</v>
      </c>
      <c r="Q228" s="22">
        <v>194</v>
      </c>
      <c r="R228">
        <f t="shared" si="27"/>
        <v>1.1064516129032258</v>
      </c>
      <c r="S228" s="23">
        <f t="shared" ref="S228:S291" si="31">R228*N228</f>
        <v>2.1022580645161288</v>
      </c>
      <c r="T228" s="23">
        <f t="shared" ref="T228:T291" si="32">M228-S228</f>
        <v>-2.1022580645161288</v>
      </c>
      <c r="U228" s="56">
        <f t="shared" si="26"/>
        <v>125.0346236559139</v>
      </c>
      <c r="W228">
        <v>1138.5</v>
      </c>
      <c r="Y228">
        <f t="shared" si="24"/>
        <v>106581.70000000003</v>
      </c>
      <c r="Z228">
        <f t="shared" si="28"/>
        <v>18050.600000000002</v>
      </c>
      <c r="AA228">
        <v>11.38838197764627</v>
      </c>
      <c r="AB228" s="2" t="s">
        <v>68</v>
      </c>
      <c r="AD228" s="2" t="s">
        <v>68</v>
      </c>
    </row>
    <row r="229" spans="1:30" x14ac:dyDescent="0.25">
      <c r="A229">
        <v>6280</v>
      </c>
      <c r="B229">
        <v>24170</v>
      </c>
      <c r="C229" s="8">
        <v>42807</v>
      </c>
      <c r="F229" s="48"/>
      <c r="G229">
        <v>9.1999999999999993</v>
      </c>
      <c r="H229">
        <v>3.9</v>
      </c>
      <c r="I229">
        <v>13.4</v>
      </c>
      <c r="J229">
        <f t="shared" ref="J229:J292" si="33">J228+G229</f>
        <v>1563.9</v>
      </c>
      <c r="K229">
        <f t="shared" si="29"/>
        <v>322.40000000000003</v>
      </c>
      <c r="M229" s="55">
        <v>0</v>
      </c>
      <c r="N229">
        <v>1.5</v>
      </c>
      <c r="O229">
        <f t="shared" si="30"/>
        <v>-1.5</v>
      </c>
      <c r="P229">
        <f t="shared" si="25"/>
        <v>116.19999999999993</v>
      </c>
      <c r="Q229">
        <v>195</v>
      </c>
      <c r="R229">
        <f t="shared" si="27"/>
        <v>1.1088709677419355</v>
      </c>
      <c r="S229" s="23">
        <f t="shared" si="31"/>
        <v>1.6633064516129032</v>
      </c>
      <c r="T229" s="23">
        <f t="shared" si="32"/>
        <v>-1.6633064516129032</v>
      </c>
      <c r="U229" s="56">
        <f t="shared" si="26"/>
        <v>123.37131720430101</v>
      </c>
      <c r="W229">
        <v>1115.0999999999999</v>
      </c>
      <c r="Y229">
        <f t="shared" ref="Y229:Y292" si="34">Y228+W229</f>
        <v>107696.80000000003</v>
      </c>
      <c r="Z229">
        <f t="shared" si="28"/>
        <v>19165.7</v>
      </c>
      <c r="AA229">
        <v>11.449307958093899</v>
      </c>
      <c r="AB229">
        <v>0</v>
      </c>
      <c r="AD229">
        <f>(AB216*(50/120))+(AB229*(70/120))</f>
        <v>0</v>
      </c>
    </row>
    <row r="230" spans="1:30" x14ac:dyDescent="0.25">
      <c r="A230">
        <v>6280</v>
      </c>
      <c r="B230">
        <v>24170</v>
      </c>
      <c r="C230" s="8">
        <v>42808</v>
      </c>
      <c r="F230" s="48"/>
      <c r="G230">
        <v>9.1</v>
      </c>
      <c r="H230">
        <v>2.6</v>
      </c>
      <c r="I230">
        <v>14</v>
      </c>
      <c r="J230">
        <f t="shared" si="33"/>
        <v>1573</v>
      </c>
      <c r="K230">
        <f t="shared" si="29"/>
        <v>331.50000000000006</v>
      </c>
      <c r="M230" s="62">
        <v>0</v>
      </c>
      <c r="N230">
        <v>1.7</v>
      </c>
      <c r="O230">
        <f t="shared" si="30"/>
        <v>-1.7</v>
      </c>
      <c r="P230">
        <f t="shared" si="25"/>
        <v>114.49999999999993</v>
      </c>
      <c r="Q230" s="22">
        <v>196</v>
      </c>
      <c r="R230">
        <f t="shared" si="27"/>
        <v>1.1112903225806452</v>
      </c>
      <c r="S230" s="23">
        <f t="shared" si="31"/>
        <v>1.8891935483870967</v>
      </c>
      <c r="T230" s="23">
        <f t="shared" si="32"/>
        <v>-1.8891935483870967</v>
      </c>
      <c r="U230" s="61">
        <f t="shared" si="26"/>
        <v>121.48212365591391</v>
      </c>
      <c r="W230">
        <v>1251.3</v>
      </c>
      <c r="Y230">
        <f t="shared" si="34"/>
        <v>108948.10000000003</v>
      </c>
      <c r="Z230">
        <f t="shared" si="28"/>
        <v>20417</v>
      </c>
      <c r="AA230">
        <v>11.510309047954181</v>
      </c>
      <c r="AB230" s="2" t="s">
        <v>69</v>
      </c>
      <c r="AD230" s="2" t="s">
        <v>69</v>
      </c>
    </row>
    <row r="231" spans="1:30" x14ac:dyDescent="0.25">
      <c r="A231">
        <v>6280</v>
      </c>
      <c r="B231">
        <v>24170</v>
      </c>
      <c r="C231" s="8">
        <v>42809</v>
      </c>
      <c r="F231" s="48"/>
      <c r="G231">
        <v>10.6</v>
      </c>
      <c r="H231">
        <v>8.6</v>
      </c>
      <c r="I231">
        <v>13.4</v>
      </c>
      <c r="J231">
        <f t="shared" si="33"/>
        <v>1583.6</v>
      </c>
      <c r="K231">
        <f t="shared" si="29"/>
        <v>342.10000000000008</v>
      </c>
      <c r="M231" s="62">
        <v>0</v>
      </c>
      <c r="N231">
        <v>1.2</v>
      </c>
      <c r="O231">
        <f t="shared" si="30"/>
        <v>-1.2</v>
      </c>
      <c r="P231">
        <f t="shared" si="25"/>
        <v>113.29999999999993</v>
      </c>
      <c r="Q231">
        <v>197</v>
      </c>
      <c r="R231">
        <f t="shared" si="27"/>
        <v>1.1137096774193547</v>
      </c>
      <c r="S231" s="23">
        <f t="shared" si="31"/>
        <v>1.3364516129032256</v>
      </c>
      <c r="T231" s="23">
        <f t="shared" si="32"/>
        <v>-1.3364516129032256</v>
      </c>
      <c r="U231" s="61">
        <f t="shared" si="26"/>
        <v>120.14567204301068</v>
      </c>
      <c r="W231">
        <v>859.4</v>
      </c>
      <c r="Y231">
        <f t="shared" si="34"/>
        <v>109807.50000000003</v>
      </c>
      <c r="Z231">
        <f t="shared" si="28"/>
        <v>21276.400000000001</v>
      </c>
      <c r="AA231">
        <v>11.571376546844606</v>
      </c>
      <c r="AB231">
        <f>SUM(M233:M242)</f>
        <v>15.500000000000002</v>
      </c>
      <c r="AD231" s="42">
        <f>(AB218*(50/120))+(AB231*(70/120))</f>
        <v>23.916666666666671</v>
      </c>
    </row>
    <row r="232" spans="1:30" s="57" customFormat="1" x14ac:dyDescent="0.25">
      <c r="A232" s="57">
        <v>6280</v>
      </c>
      <c r="B232" s="57">
        <v>24170</v>
      </c>
      <c r="C232" s="58">
        <v>42810</v>
      </c>
      <c r="D232" s="57" t="s">
        <v>64</v>
      </c>
      <c r="F232" s="48"/>
      <c r="G232" s="57">
        <v>11</v>
      </c>
      <c r="H232" s="57">
        <v>3.4</v>
      </c>
      <c r="I232" s="57">
        <v>17.7</v>
      </c>
      <c r="J232" s="57">
        <f t="shared" si="33"/>
        <v>1594.6</v>
      </c>
      <c r="K232" s="57">
        <f t="shared" si="29"/>
        <v>353.10000000000008</v>
      </c>
      <c r="M232" s="57">
        <v>0</v>
      </c>
      <c r="N232" s="57">
        <v>2.7</v>
      </c>
      <c r="O232" s="57">
        <f t="shared" si="30"/>
        <v>-2.7</v>
      </c>
      <c r="P232" s="57">
        <f t="shared" si="25"/>
        <v>110.59999999999992</v>
      </c>
      <c r="Q232" s="60">
        <v>198</v>
      </c>
      <c r="R232" s="57">
        <f t="shared" si="27"/>
        <v>1.1161290322580644</v>
      </c>
      <c r="S232" s="59">
        <f t="shared" si="31"/>
        <v>3.0135483870967739</v>
      </c>
      <c r="T232" s="59">
        <f t="shared" si="32"/>
        <v>-3.0135483870967739</v>
      </c>
      <c r="U232" s="59">
        <f t="shared" si="26"/>
        <v>117.1321236559139</v>
      </c>
      <c r="W232" s="57">
        <v>1671.2</v>
      </c>
      <c r="Y232" s="57">
        <f t="shared" si="34"/>
        <v>111478.70000000003</v>
      </c>
      <c r="Z232" s="57">
        <f t="shared" si="28"/>
        <v>22947.600000000002</v>
      </c>
      <c r="AA232" s="57">
        <v>11.632501879376637</v>
      </c>
    </row>
    <row r="233" spans="1:30" x14ac:dyDescent="0.25">
      <c r="A233">
        <v>6280</v>
      </c>
      <c r="B233">
        <v>24170</v>
      </c>
      <c r="C233" s="8">
        <v>42811</v>
      </c>
      <c r="F233" s="48"/>
      <c r="G233">
        <v>9.3000000000000007</v>
      </c>
      <c r="H233">
        <v>7.1</v>
      </c>
      <c r="I233">
        <v>11.8</v>
      </c>
      <c r="J233">
        <f t="shared" si="33"/>
        <v>1603.8999999999999</v>
      </c>
      <c r="K233">
        <f t="shared" si="29"/>
        <v>362.40000000000009</v>
      </c>
      <c r="M233" s="55">
        <v>0.3</v>
      </c>
      <c r="N233">
        <v>1.1000000000000001</v>
      </c>
      <c r="O233">
        <f t="shared" si="30"/>
        <v>-0.8</v>
      </c>
      <c r="P233">
        <f t="shared" ref="P233:P296" si="35">P232+O233</f>
        <v>109.79999999999993</v>
      </c>
      <c r="Q233">
        <v>199</v>
      </c>
      <c r="R233">
        <f t="shared" si="27"/>
        <v>1.1185483870967741</v>
      </c>
      <c r="S233" s="23">
        <f t="shared" si="31"/>
        <v>1.2304032258064517</v>
      </c>
      <c r="T233" s="23">
        <f t="shared" si="32"/>
        <v>-0.93040322580645163</v>
      </c>
      <c r="U233" s="61">
        <f t="shared" ref="U233:U296" si="36">MIN(U232+T233,197.4)</f>
        <v>116.20172043010744</v>
      </c>
      <c r="W233">
        <v>419.1</v>
      </c>
      <c r="Y233">
        <f t="shared" si="34"/>
        <v>111897.80000000003</v>
      </c>
      <c r="Z233">
        <f t="shared" si="28"/>
        <v>23366.7</v>
      </c>
      <c r="AA233">
        <v>11.693676579697561</v>
      </c>
    </row>
    <row r="234" spans="1:30" x14ac:dyDescent="0.25">
      <c r="A234">
        <v>6280</v>
      </c>
      <c r="B234">
        <v>24170</v>
      </c>
      <c r="C234" s="8">
        <v>42812</v>
      </c>
      <c r="F234" s="48"/>
      <c r="G234">
        <v>10.1</v>
      </c>
      <c r="H234">
        <v>7.2</v>
      </c>
      <c r="I234">
        <v>12</v>
      </c>
      <c r="J234">
        <f t="shared" si="33"/>
        <v>1613.9999999999998</v>
      </c>
      <c r="K234">
        <f t="shared" si="29"/>
        <v>372.50000000000011</v>
      </c>
      <c r="M234" s="55">
        <v>0.3</v>
      </c>
      <c r="N234">
        <v>0.7</v>
      </c>
      <c r="O234">
        <f t="shared" si="30"/>
        <v>-0.39999999999999997</v>
      </c>
      <c r="P234">
        <f t="shared" si="35"/>
        <v>109.39999999999992</v>
      </c>
      <c r="Q234" s="22">
        <v>200</v>
      </c>
      <c r="R234">
        <f t="shared" si="27"/>
        <v>1.1209677419354838</v>
      </c>
      <c r="S234" s="23">
        <f t="shared" si="31"/>
        <v>0.78467741935483859</v>
      </c>
      <c r="T234" s="23">
        <f t="shared" si="32"/>
        <v>-0.4846774193548386</v>
      </c>
      <c r="U234" s="61">
        <f t="shared" si="36"/>
        <v>115.7170430107526</v>
      </c>
      <c r="W234">
        <v>339.6</v>
      </c>
      <c r="Y234">
        <f t="shared" si="34"/>
        <v>112237.40000000004</v>
      </c>
      <c r="Z234">
        <f t="shared" si="28"/>
        <v>23706.3</v>
      </c>
      <c r="AA234">
        <v>11.754892275963792</v>
      </c>
    </row>
    <row r="235" spans="1:30" x14ac:dyDescent="0.25">
      <c r="A235">
        <v>6280</v>
      </c>
      <c r="B235">
        <v>24170</v>
      </c>
      <c r="C235" s="8">
        <v>42813</v>
      </c>
      <c r="F235" s="48"/>
      <c r="G235">
        <v>11.6</v>
      </c>
      <c r="H235">
        <v>10.4</v>
      </c>
      <c r="I235">
        <v>12.4</v>
      </c>
      <c r="J235">
        <f t="shared" si="33"/>
        <v>1625.5999999999997</v>
      </c>
      <c r="K235">
        <f t="shared" si="29"/>
        <v>384.10000000000014</v>
      </c>
      <c r="M235" s="55">
        <v>0</v>
      </c>
      <c r="N235">
        <v>1</v>
      </c>
      <c r="O235">
        <f t="shared" si="30"/>
        <v>-1</v>
      </c>
      <c r="P235">
        <f t="shared" si="35"/>
        <v>108.39999999999992</v>
      </c>
      <c r="Q235">
        <v>201</v>
      </c>
      <c r="R235">
        <f t="shared" si="27"/>
        <v>1.1233870967741935</v>
      </c>
      <c r="S235" s="23">
        <f t="shared" si="31"/>
        <v>1.1233870967741935</v>
      </c>
      <c r="T235" s="23">
        <f t="shared" si="32"/>
        <v>-1.1233870967741935</v>
      </c>
      <c r="U235" s="61">
        <f t="shared" si="36"/>
        <v>114.59365591397841</v>
      </c>
      <c r="W235">
        <v>258.5</v>
      </c>
      <c r="Y235">
        <f t="shared" si="34"/>
        <v>112495.90000000004</v>
      </c>
      <c r="Z235">
        <f t="shared" si="28"/>
        <v>23964.799999999999</v>
      </c>
      <c r="AA235">
        <v>11.816140674756868</v>
      </c>
    </row>
    <row r="236" spans="1:30" x14ac:dyDescent="0.25">
      <c r="A236">
        <v>6280</v>
      </c>
      <c r="B236">
        <v>24170</v>
      </c>
      <c r="C236" s="8">
        <v>42814</v>
      </c>
      <c r="F236" s="48"/>
      <c r="G236">
        <v>10.3</v>
      </c>
      <c r="H236">
        <v>9.1999999999999993</v>
      </c>
      <c r="I236">
        <v>10.9</v>
      </c>
      <c r="J236">
        <f t="shared" si="33"/>
        <v>1635.8999999999996</v>
      </c>
      <c r="K236">
        <f t="shared" si="29"/>
        <v>394.40000000000015</v>
      </c>
      <c r="M236" s="55">
        <v>0.1</v>
      </c>
      <c r="N236">
        <v>1.2</v>
      </c>
      <c r="O236">
        <f t="shared" si="30"/>
        <v>-1.0999999999999999</v>
      </c>
      <c r="P236">
        <f t="shared" si="35"/>
        <v>107.29999999999993</v>
      </c>
      <c r="Q236" s="22">
        <v>202</v>
      </c>
      <c r="R236">
        <f t="shared" si="27"/>
        <v>1.1258064516129032</v>
      </c>
      <c r="S236" s="23">
        <f t="shared" si="31"/>
        <v>1.3509677419354837</v>
      </c>
      <c r="T236" s="23">
        <f t="shared" si="32"/>
        <v>-1.2509677419354837</v>
      </c>
      <c r="U236" s="61">
        <f t="shared" si="36"/>
        <v>113.34268817204293</v>
      </c>
      <c r="W236">
        <v>215</v>
      </c>
      <c r="Y236">
        <f t="shared" si="34"/>
        <v>112710.90000000004</v>
      </c>
      <c r="Z236">
        <f t="shared" si="28"/>
        <v>24179.8</v>
      </c>
      <c r="AA236">
        <v>11.877413545452852</v>
      </c>
    </row>
    <row r="237" spans="1:30" x14ac:dyDescent="0.25">
      <c r="A237">
        <v>6280</v>
      </c>
      <c r="B237">
        <v>24170</v>
      </c>
      <c r="C237" s="8">
        <v>42815</v>
      </c>
      <c r="F237" s="48"/>
      <c r="G237">
        <v>8.3000000000000007</v>
      </c>
      <c r="H237">
        <v>8.4</v>
      </c>
      <c r="I237">
        <v>8.8000000000000007</v>
      </c>
      <c r="J237">
        <f t="shared" si="33"/>
        <v>1644.1999999999996</v>
      </c>
      <c r="K237">
        <f t="shared" si="29"/>
        <v>402.70000000000016</v>
      </c>
      <c r="M237" s="55">
        <v>0.7</v>
      </c>
      <c r="N237">
        <v>0.9</v>
      </c>
      <c r="O237">
        <f t="shared" si="30"/>
        <v>-0.20000000000000007</v>
      </c>
      <c r="P237">
        <f t="shared" si="35"/>
        <v>107.09999999999992</v>
      </c>
      <c r="Q237">
        <v>203</v>
      </c>
      <c r="R237">
        <f t="shared" si="27"/>
        <v>1.1282258064516129</v>
      </c>
      <c r="S237" s="23">
        <f t="shared" si="31"/>
        <v>1.0154032258064516</v>
      </c>
      <c r="T237" s="23">
        <f t="shared" si="32"/>
        <v>-0.31540322580645164</v>
      </c>
      <c r="U237" s="61">
        <f t="shared" si="36"/>
        <v>113.02728494623648</v>
      </c>
      <c r="W237">
        <v>571.1</v>
      </c>
      <c r="Y237">
        <f t="shared" si="34"/>
        <v>113282.00000000004</v>
      </c>
      <c r="Z237">
        <f t="shared" si="28"/>
        <v>24750.899999999998</v>
      </c>
      <c r="AA237">
        <v>11.938702704555096</v>
      </c>
    </row>
    <row r="238" spans="1:30" x14ac:dyDescent="0.25">
      <c r="A238">
        <v>6280</v>
      </c>
      <c r="B238">
        <v>24170</v>
      </c>
      <c r="C238" s="8">
        <v>42816</v>
      </c>
      <c r="F238" s="48"/>
      <c r="G238">
        <v>8</v>
      </c>
      <c r="H238">
        <v>3.8</v>
      </c>
      <c r="I238">
        <v>10.6</v>
      </c>
      <c r="J238">
        <f t="shared" si="33"/>
        <v>1652.1999999999996</v>
      </c>
      <c r="K238">
        <f t="shared" si="29"/>
        <v>410.70000000000016</v>
      </c>
      <c r="M238" s="55">
        <v>0</v>
      </c>
      <c r="N238">
        <v>1.4</v>
      </c>
      <c r="O238">
        <f t="shared" si="30"/>
        <v>-1.4</v>
      </c>
      <c r="P238">
        <f t="shared" si="35"/>
        <v>105.69999999999992</v>
      </c>
      <c r="Q238" s="22">
        <v>204</v>
      </c>
      <c r="R238">
        <f t="shared" si="27"/>
        <v>1.1306451612903226</v>
      </c>
      <c r="S238" s="23">
        <f t="shared" si="31"/>
        <v>1.5829032258064515</v>
      </c>
      <c r="T238" s="23">
        <f t="shared" si="32"/>
        <v>-1.5829032258064515</v>
      </c>
      <c r="U238" s="61">
        <f t="shared" si="36"/>
        <v>111.44438172043003</v>
      </c>
      <c r="W238">
        <v>952.1</v>
      </c>
      <c r="Y238">
        <f t="shared" si="34"/>
        <v>114234.10000000005</v>
      </c>
      <c r="Z238">
        <f t="shared" si="28"/>
        <v>25702.999999999996</v>
      </c>
      <c r="AA238">
        <v>12</v>
      </c>
    </row>
    <row r="239" spans="1:30" x14ac:dyDescent="0.25">
      <c r="A239">
        <v>6280</v>
      </c>
      <c r="B239">
        <v>24170</v>
      </c>
      <c r="C239" s="8">
        <v>42817</v>
      </c>
      <c r="F239" s="48"/>
      <c r="G239">
        <v>9.4</v>
      </c>
      <c r="H239">
        <v>5.7</v>
      </c>
      <c r="I239">
        <v>13.1</v>
      </c>
      <c r="J239">
        <f t="shared" si="33"/>
        <v>1661.5999999999997</v>
      </c>
      <c r="K239">
        <f t="shared" si="29"/>
        <v>420.10000000000014</v>
      </c>
      <c r="M239" s="55">
        <v>13.3</v>
      </c>
      <c r="N239">
        <v>1.2</v>
      </c>
      <c r="O239">
        <f t="shared" si="30"/>
        <v>12.100000000000001</v>
      </c>
      <c r="P239">
        <f t="shared" si="35"/>
        <v>117.79999999999993</v>
      </c>
      <c r="Q239">
        <v>205</v>
      </c>
      <c r="R239">
        <f t="shared" si="27"/>
        <v>1.1330645161290323</v>
      </c>
      <c r="S239" s="23">
        <f t="shared" si="31"/>
        <v>1.3596774193548387</v>
      </c>
      <c r="T239" s="23">
        <f t="shared" si="32"/>
        <v>11.940322580645162</v>
      </c>
      <c r="U239" s="61">
        <f t="shared" si="36"/>
        <v>123.38470430107519</v>
      </c>
      <c r="W239">
        <v>705.1</v>
      </c>
      <c r="Y239">
        <f t="shared" si="34"/>
        <v>114939.20000000006</v>
      </c>
      <c r="Z239">
        <f t="shared" si="28"/>
        <v>26408.099999999995</v>
      </c>
      <c r="AA239">
        <v>12.061297295444902</v>
      </c>
    </row>
    <row r="240" spans="1:30" x14ac:dyDescent="0.25">
      <c r="A240">
        <v>6280</v>
      </c>
      <c r="B240">
        <v>24170</v>
      </c>
      <c r="C240" s="8">
        <v>42818</v>
      </c>
      <c r="F240" s="48"/>
      <c r="G240">
        <v>9.6</v>
      </c>
      <c r="H240">
        <v>7.7</v>
      </c>
      <c r="I240">
        <v>12</v>
      </c>
      <c r="J240">
        <f t="shared" si="33"/>
        <v>1671.1999999999996</v>
      </c>
      <c r="K240">
        <f t="shared" si="29"/>
        <v>429.70000000000016</v>
      </c>
      <c r="M240" s="55">
        <v>0.8</v>
      </c>
      <c r="N240">
        <v>1.2</v>
      </c>
      <c r="O240">
        <f t="shared" si="30"/>
        <v>-0.39999999999999991</v>
      </c>
      <c r="P240">
        <f t="shared" si="35"/>
        <v>117.39999999999992</v>
      </c>
      <c r="Q240" s="22">
        <v>206</v>
      </c>
      <c r="R240">
        <f t="shared" si="27"/>
        <v>1.1354838709677419</v>
      </c>
      <c r="S240" s="23">
        <f t="shared" si="31"/>
        <v>1.3625806451612903</v>
      </c>
      <c r="T240" s="23">
        <f t="shared" si="32"/>
        <v>-0.56258064516129025</v>
      </c>
      <c r="U240" s="61">
        <f t="shared" si="36"/>
        <v>122.8221236559139</v>
      </c>
      <c r="W240">
        <v>889.8</v>
      </c>
      <c r="Y240">
        <f t="shared" si="34"/>
        <v>115829.00000000006</v>
      </c>
      <c r="Z240">
        <f t="shared" si="28"/>
        <v>27297.899999999994</v>
      </c>
      <c r="AA240">
        <v>12.122586454547147</v>
      </c>
    </row>
    <row r="241" spans="1:28" x14ac:dyDescent="0.25">
      <c r="A241">
        <v>6280</v>
      </c>
      <c r="B241">
        <v>24170</v>
      </c>
      <c r="C241" s="8">
        <v>42819</v>
      </c>
      <c r="F241" s="48"/>
      <c r="G241">
        <v>10.9</v>
      </c>
      <c r="H241">
        <v>5.6</v>
      </c>
      <c r="I241">
        <v>15.4</v>
      </c>
      <c r="J241">
        <f t="shared" si="33"/>
        <v>1682.0999999999997</v>
      </c>
      <c r="K241">
        <f t="shared" si="29"/>
        <v>440.60000000000014</v>
      </c>
      <c r="M241" s="55">
        <v>0</v>
      </c>
      <c r="N241">
        <v>3.3</v>
      </c>
      <c r="O241">
        <f t="shared" si="30"/>
        <v>-3.3</v>
      </c>
      <c r="P241">
        <f t="shared" si="35"/>
        <v>114.09999999999992</v>
      </c>
      <c r="Q241">
        <v>207</v>
      </c>
      <c r="R241">
        <f t="shared" si="27"/>
        <v>1.1379032258064514</v>
      </c>
      <c r="S241" s="23">
        <f t="shared" si="31"/>
        <v>3.7550806451612897</v>
      </c>
      <c r="T241" s="23">
        <f t="shared" si="32"/>
        <v>-3.7550806451612897</v>
      </c>
      <c r="U241" s="61">
        <f t="shared" si="36"/>
        <v>119.06704301075261</v>
      </c>
      <c r="W241">
        <v>1701.7</v>
      </c>
      <c r="Y241">
        <f t="shared" si="34"/>
        <v>117530.70000000006</v>
      </c>
      <c r="Z241">
        <f t="shared" si="28"/>
        <v>28999.599999999995</v>
      </c>
      <c r="AA241">
        <v>12.18385932524313</v>
      </c>
    </row>
    <row r="242" spans="1:28" x14ac:dyDescent="0.25">
      <c r="A242">
        <v>6280</v>
      </c>
      <c r="B242">
        <v>24170</v>
      </c>
      <c r="C242" s="8">
        <v>42820</v>
      </c>
      <c r="F242" s="48"/>
      <c r="G242">
        <v>10.8</v>
      </c>
      <c r="H242">
        <v>4.5</v>
      </c>
      <c r="I242">
        <v>15.9</v>
      </c>
      <c r="J242">
        <f t="shared" si="33"/>
        <v>1692.8999999999996</v>
      </c>
      <c r="K242">
        <f t="shared" si="29"/>
        <v>451.40000000000015</v>
      </c>
      <c r="M242" s="55">
        <v>0</v>
      </c>
      <c r="N242">
        <v>2.2999999999999998</v>
      </c>
      <c r="O242">
        <f t="shared" si="30"/>
        <v>-2.2999999999999998</v>
      </c>
      <c r="P242">
        <f t="shared" si="35"/>
        <v>111.79999999999993</v>
      </c>
      <c r="Q242" s="22">
        <v>208</v>
      </c>
      <c r="R242">
        <f t="shared" si="27"/>
        <v>1.1403225806451611</v>
      </c>
      <c r="S242" s="23">
        <f t="shared" si="31"/>
        <v>2.6227419354838704</v>
      </c>
      <c r="T242" s="23">
        <f t="shared" si="32"/>
        <v>-2.6227419354838704</v>
      </c>
      <c r="U242" s="61">
        <f t="shared" si="36"/>
        <v>116.44430107526874</v>
      </c>
      <c r="W242">
        <v>1574.3</v>
      </c>
      <c r="Y242">
        <f t="shared" si="34"/>
        <v>119105.00000000006</v>
      </c>
      <c r="Z242">
        <f t="shared" si="28"/>
        <v>30573.899999999994</v>
      </c>
      <c r="AA242">
        <v>12.245107724036208</v>
      </c>
    </row>
    <row r="243" spans="1:28" x14ac:dyDescent="0.25">
      <c r="A243">
        <v>6280</v>
      </c>
      <c r="B243">
        <v>24170</v>
      </c>
      <c r="C243" s="8">
        <v>42821</v>
      </c>
      <c r="F243" s="48"/>
      <c r="G243">
        <v>11.2</v>
      </c>
      <c r="H243">
        <v>4.3</v>
      </c>
      <c r="I243">
        <v>17</v>
      </c>
      <c r="J243">
        <f t="shared" si="33"/>
        <v>1704.0999999999997</v>
      </c>
      <c r="K243">
        <f t="shared" si="29"/>
        <v>462.60000000000014</v>
      </c>
      <c r="M243">
        <v>0</v>
      </c>
      <c r="N243">
        <v>2.5</v>
      </c>
      <c r="O243">
        <f t="shared" si="30"/>
        <v>-2.5</v>
      </c>
      <c r="P243">
        <f t="shared" si="35"/>
        <v>109.29999999999993</v>
      </c>
      <c r="Q243">
        <v>209</v>
      </c>
      <c r="R243">
        <f t="shared" si="27"/>
        <v>1.1427419354838708</v>
      </c>
      <c r="S243" s="23">
        <f t="shared" si="31"/>
        <v>2.856854838709677</v>
      </c>
      <c r="T243" s="23">
        <f t="shared" si="32"/>
        <v>-2.856854838709677</v>
      </c>
      <c r="U243" s="23">
        <f t="shared" si="36"/>
        <v>113.58744623655906</v>
      </c>
      <c r="W243">
        <v>1452.9</v>
      </c>
      <c r="Y243">
        <f t="shared" si="34"/>
        <v>120557.90000000005</v>
      </c>
      <c r="Z243">
        <f t="shared" si="28"/>
        <v>32026.799999999996</v>
      </c>
      <c r="AA243">
        <v>12.306323420302437</v>
      </c>
    </row>
    <row r="244" spans="1:28" x14ac:dyDescent="0.25">
      <c r="A244">
        <v>6280</v>
      </c>
      <c r="B244">
        <v>24170</v>
      </c>
      <c r="C244" s="8">
        <v>42822</v>
      </c>
      <c r="F244" s="48"/>
      <c r="G244">
        <v>11.7</v>
      </c>
      <c r="H244">
        <v>5.6</v>
      </c>
      <c r="I244">
        <v>16.899999999999999</v>
      </c>
      <c r="J244">
        <f t="shared" si="33"/>
        <v>1715.7999999999997</v>
      </c>
      <c r="K244">
        <f t="shared" si="29"/>
        <v>474.30000000000013</v>
      </c>
      <c r="M244">
        <v>0</v>
      </c>
      <c r="N244">
        <v>1.7</v>
      </c>
      <c r="O244">
        <f t="shared" si="30"/>
        <v>-1.7</v>
      </c>
      <c r="P244">
        <f t="shared" si="35"/>
        <v>107.59999999999992</v>
      </c>
      <c r="Q244" s="22">
        <v>210</v>
      </c>
      <c r="R244">
        <f t="shared" si="27"/>
        <v>1.1451612903225805</v>
      </c>
      <c r="S244" s="23">
        <f t="shared" si="31"/>
        <v>1.9467741935483869</v>
      </c>
      <c r="T244" s="23">
        <f t="shared" si="32"/>
        <v>-1.9467741935483869</v>
      </c>
      <c r="U244" s="23">
        <f t="shared" si="36"/>
        <v>111.64067204301067</v>
      </c>
      <c r="W244">
        <v>904.8</v>
      </c>
      <c r="Y244">
        <f t="shared" si="34"/>
        <v>121462.70000000006</v>
      </c>
      <c r="Z244">
        <f t="shared" si="28"/>
        <v>32931.599999999999</v>
      </c>
      <c r="AA244">
        <v>12.367498120623363</v>
      </c>
    </row>
    <row r="245" spans="1:28" x14ac:dyDescent="0.25">
      <c r="A245">
        <v>6280</v>
      </c>
      <c r="B245">
        <v>24170</v>
      </c>
      <c r="C245" s="8">
        <v>42823</v>
      </c>
      <c r="F245" s="48"/>
      <c r="G245">
        <v>13</v>
      </c>
      <c r="H245">
        <v>6.5</v>
      </c>
      <c r="I245">
        <v>17.7</v>
      </c>
      <c r="J245">
        <f t="shared" si="33"/>
        <v>1728.7999999999997</v>
      </c>
      <c r="K245">
        <f t="shared" si="29"/>
        <v>487.30000000000013</v>
      </c>
      <c r="M245">
        <v>0</v>
      </c>
      <c r="N245">
        <v>1.7</v>
      </c>
      <c r="O245">
        <f t="shared" si="30"/>
        <v>-1.7</v>
      </c>
      <c r="P245">
        <f t="shared" si="35"/>
        <v>105.89999999999992</v>
      </c>
      <c r="Q245">
        <v>211</v>
      </c>
      <c r="R245">
        <f t="shared" si="27"/>
        <v>1.1475806451612902</v>
      </c>
      <c r="S245" s="23">
        <f t="shared" si="31"/>
        <v>1.9508870967741934</v>
      </c>
      <c r="T245" s="23">
        <f t="shared" si="32"/>
        <v>-1.9508870967741934</v>
      </c>
      <c r="U245" s="23">
        <f t="shared" si="36"/>
        <v>109.68978494623647</v>
      </c>
      <c r="W245">
        <v>1041.2</v>
      </c>
      <c r="Y245">
        <f t="shared" si="34"/>
        <v>122503.90000000005</v>
      </c>
      <c r="Z245">
        <f t="shared" si="28"/>
        <v>33972.799999999996</v>
      </c>
      <c r="AA245">
        <v>12.428623453155392</v>
      </c>
    </row>
    <row r="246" spans="1:28" s="31" customFormat="1" ht="15.75" thickBot="1" x14ac:dyDescent="0.3">
      <c r="A246" s="31">
        <v>6280</v>
      </c>
      <c r="B246" s="31">
        <v>24170</v>
      </c>
      <c r="C246" s="32">
        <v>42824</v>
      </c>
      <c r="F246" s="53"/>
      <c r="G246" s="31">
        <v>15.3</v>
      </c>
      <c r="H246" s="31">
        <v>7.9</v>
      </c>
      <c r="I246" s="31">
        <v>20.8</v>
      </c>
      <c r="J246" s="31">
        <f t="shared" si="33"/>
        <v>1744.0999999999997</v>
      </c>
      <c r="K246" s="31">
        <f t="shared" si="29"/>
        <v>502.60000000000014</v>
      </c>
      <c r="M246" s="31">
        <v>0</v>
      </c>
      <c r="N246" s="31">
        <v>2.9</v>
      </c>
      <c r="O246" s="31">
        <f t="shared" si="30"/>
        <v>-2.9</v>
      </c>
      <c r="P246" s="31">
        <f t="shared" si="35"/>
        <v>102.99999999999991</v>
      </c>
      <c r="Q246" s="34">
        <v>212</v>
      </c>
      <c r="R246">
        <f t="shared" si="27"/>
        <v>1.1499999999999999</v>
      </c>
      <c r="S246" s="33">
        <f t="shared" si="31"/>
        <v>3.3349999999999995</v>
      </c>
      <c r="T246" s="33">
        <f t="shared" si="32"/>
        <v>-3.3349999999999995</v>
      </c>
      <c r="U246" s="23">
        <f t="shared" si="36"/>
        <v>106.35478494623648</v>
      </c>
      <c r="W246" s="31">
        <v>1522.3</v>
      </c>
      <c r="Y246" s="31">
        <f t="shared" si="34"/>
        <v>124026.20000000006</v>
      </c>
      <c r="Z246" s="31">
        <f t="shared" si="28"/>
        <v>35495.1</v>
      </c>
      <c r="AA246" s="31">
        <v>12.489690952045818</v>
      </c>
    </row>
    <row r="247" spans="1:28" x14ac:dyDescent="0.25">
      <c r="A247">
        <v>6280</v>
      </c>
      <c r="B247">
        <v>24170</v>
      </c>
      <c r="C247" s="8">
        <v>42825</v>
      </c>
      <c r="D247" t="s">
        <v>34</v>
      </c>
      <c r="F247" s="54" t="s">
        <v>49</v>
      </c>
      <c r="G247">
        <v>14.3</v>
      </c>
      <c r="H247">
        <v>12.9</v>
      </c>
      <c r="I247">
        <v>16.399999999999999</v>
      </c>
      <c r="J247">
        <f t="shared" si="33"/>
        <v>1758.3999999999996</v>
      </c>
      <c r="K247">
        <f>G247</f>
        <v>14.3</v>
      </c>
      <c r="L247" s="16" t="s">
        <v>39</v>
      </c>
      <c r="M247">
        <v>0.4</v>
      </c>
      <c r="N247">
        <v>2</v>
      </c>
      <c r="O247">
        <f t="shared" si="30"/>
        <v>-1.6</v>
      </c>
      <c r="P247">
        <f t="shared" si="35"/>
        <v>101.39999999999992</v>
      </c>
      <c r="Q247">
        <v>213</v>
      </c>
      <c r="R247">
        <v>1.1499999999999999</v>
      </c>
      <c r="S247" s="23">
        <f t="shared" si="31"/>
        <v>2.2999999999999998</v>
      </c>
      <c r="T247" s="23">
        <f t="shared" si="32"/>
        <v>-1.9</v>
      </c>
      <c r="U247" s="23">
        <f t="shared" si="36"/>
        <v>104.45478494623647</v>
      </c>
      <c r="V247" s="27" t="s">
        <v>53</v>
      </c>
      <c r="W247">
        <v>545.29999999999995</v>
      </c>
      <c r="Y247">
        <f t="shared" si="34"/>
        <v>124571.50000000006</v>
      </c>
      <c r="Z247">
        <f>W247</f>
        <v>545.29999999999995</v>
      </c>
      <c r="AA247">
        <v>12.550692041906101</v>
      </c>
      <c r="AB247" s="27" t="s">
        <v>58</v>
      </c>
    </row>
    <row r="248" spans="1:28" s="38" customFormat="1" x14ac:dyDescent="0.25">
      <c r="A248" s="38">
        <v>6280</v>
      </c>
      <c r="B248" s="38">
        <v>24170</v>
      </c>
      <c r="C248" s="39">
        <v>42826</v>
      </c>
      <c r="F248" s="49"/>
      <c r="G248" s="38">
        <v>11.7</v>
      </c>
      <c r="H248" s="38">
        <v>9.1999999999999993</v>
      </c>
      <c r="I248" s="38">
        <v>14.2</v>
      </c>
      <c r="J248" s="38">
        <f t="shared" si="33"/>
        <v>1770.0999999999997</v>
      </c>
      <c r="K248" s="38">
        <f>K247+G248</f>
        <v>26</v>
      </c>
      <c r="L248" s="12">
        <v>221.4</v>
      </c>
      <c r="M248" s="38">
        <v>0</v>
      </c>
      <c r="N248" s="38">
        <v>1.4</v>
      </c>
      <c r="O248" s="38">
        <f t="shared" si="30"/>
        <v>-1.4</v>
      </c>
      <c r="P248" s="38">
        <f t="shared" si="35"/>
        <v>99.999999999999915</v>
      </c>
      <c r="Q248" s="40">
        <v>214</v>
      </c>
      <c r="R248" s="38">
        <f t="shared" ref="R248" si="37">1+((Q248-150)/64)*(1.15-1)</f>
        <v>1.1499999999999999</v>
      </c>
      <c r="S248" s="41">
        <f t="shared" si="31"/>
        <v>1.6099999999999999</v>
      </c>
      <c r="T248" s="41">
        <f t="shared" si="32"/>
        <v>-1.6099999999999999</v>
      </c>
      <c r="U248" s="23">
        <f t="shared" si="36"/>
        <v>102.84478494623647</v>
      </c>
      <c r="V248">
        <v>0</v>
      </c>
      <c r="W248" s="38">
        <v>990.1</v>
      </c>
      <c r="Y248" s="38">
        <f t="shared" si="34"/>
        <v>125561.60000000006</v>
      </c>
      <c r="Z248" s="38">
        <f t="shared" si="28"/>
        <v>1535.4</v>
      </c>
      <c r="AA248" s="38">
        <v>12.611618022353728</v>
      </c>
      <c r="AB248">
        <v>27382.5</v>
      </c>
    </row>
    <row r="249" spans="1:28" ht="15" customHeight="1" x14ac:dyDescent="0.25">
      <c r="A249">
        <v>6280</v>
      </c>
      <c r="B249">
        <v>24170</v>
      </c>
      <c r="C249" s="8">
        <v>42827</v>
      </c>
      <c r="F249" s="49"/>
      <c r="G249">
        <v>12</v>
      </c>
      <c r="H249">
        <v>6.6</v>
      </c>
      <c r="I249">
        <v>17</v>
      </c>
      <c r="J249">
        <f t="shared" si="33"/>
        <v>1782.0999999999997</v>
      </c>
      <c r="K249" s="38">
        <f t="shared" ref="K249:K312" si="38">K248+G249</f>
        <v>38</v>
      </c>
      <c r="L249" s="16" t="s">
        <v>40</v>
      </c>
      <c r="M249">
        <v>0</v>
      </c>
      <c r="N249">
        <v>2</v>
      </c>
      <c r="O249">
        <f t="shared" si="30"/>
        <v>-2</v>
      </c>
      <c r="P249">
        <f t="shared" si="35"/>
        <v>97.999999999999915</v>
      </c>
      <c r="Q249">
        <v>215</v>
      </c>
      <c r="R249">
        <v>1.1499999999999999</v>
      </c>
      <c r="S249" s="23">
        <f t="shared" si="31"/>
        <v>2.2999999999999998</v>
      </c>
      <c r="T249" s="23">
        <f t="shared" si="32"/>
        <v>-2.2999999999999998</v>
      </c>
      <c r="U249" s="23">
        <f t="shared" si="36"/>
        <v>100.54478494623648</v>
      </c>
      <c r="V249" s="27" t="s">
        <v>54</v>
      </c>
      <c r="W249">
        <v>1254.2</v>
      </c>
      <c r="Y249">
        <f t="shared" si="34"/>
        <v>126815.80000000006</v>
      </c>
      <c r="Z249" s="38">
        <f t="shared" si="28"/>
        <v>2789.6000000000004</v>
      </c>
      <c r="AA249">
        <v>12.672460052634847</v>
      </c>
      <c r="AB249" s="27" t="s">
        <v>59</v>
      </c>
    </row>
    <row r="250" spans="1:28" x14ac:dyDescent="0.25">
      <c r="A250">
        <v>6280</v>
      </c>
      <c r="B250">
        <v>24170</v>
      </c>
      <c r="C250" s="8">
        <v>42828</v>
      </c>
      <c r="F250" s="49"/>
      <c r="G250">
        <v>12.2</v>
      </c>
      <c r="H250">
        <v>6</v>
      </c>
      <c r="I250">
        <v>18.2</v>
      </c>
      <c r="J250">
        <f t="shared" si="33"/>
        <v>1794.2999999999997</v>
      </c>
      <c r="K250" s="38">
        <f t="shared" si="38"/>
        <v>50.2</v>
      </c>
      <c r="L250" s="17">
        <f>AVERAGE(G247:G267)</f>
        <v>10.542857142857144</v>
      </c>
      <c r="M250">
        <v>0</v>
      </c>
      <c r="N250">
        <v>2.7</v>
      </c>
      <c r="O250">
        <f t="shared" si="30"/>
        <v>-2.7</v>
      </c>
      <c r="P250">
        <f t="shared" si="35"/>
        <v>95.299999999999912</v>
      </c>
      <c r="Q250" s="22">
        <v>216</v>
      </c>
      <c r="R250">
        <v>1.1499999999999999</v>
      </c>
      <c r="S250" s="23">
        <f t="shared" si="31"/>
        <v>3.105</v>
      </c>
      <c r="T250" s="23">
        <f t="shared" si="32"/>
        <v>-3.105</v>
      </c>
      <c r="U250" s="23">
        <f t="shared" si="36"/>
        <v>97.439784946236472</v>
      </c>
      <c r="V250">
        <v>5</v>
      </c>
      <c r="W250">
        <v>1524.9</v>
      </c>
      <c r="Y250">
        <f t="shared" si="34"/>
        <v>128340.70000000006</v>
      </c>
      <c r="Z250" s="38">
        <f t="shared" si="28"/>
        <v>4314.5</v>
      </c>
      <c r="AA250">
        <v>12.733209136340708</v>
      </c>
      <c r="AB250" s="23">
        <f>(AB248/100)/L248</f>
        <v>1.2367886178861789</v>
      </c>
    </row>
    <row r="251" spans="1:28" x14ac:dyDescent="0.25">
      <c r="A251">
        <v>6280</v>
      </c>
      <c r="B251">
        <v>24170</v>
      </c>
      <c r="C251" s="8">
        <v>42829</v>
      </c>
      <c r="F251" s="49"/>
      <c r="G251">
        <v>12</v>
      </c>
      <c r="H251">
        <v>7.1</v>
      </c>
      <c r="I251">
        <v>17.100000000000001</v>
      </c>
      <c r="J251">
        <f t="shared" si="33"/>
        <v>1806.2999999999997</v>
      </c>
      <c r="K251" s="38">
        <f t="shared" si="38"/>
        <v>62.2</v>
      </c>
      <c r="L251" s="16" t="s">
        <v>41</v>
      </c>
      <c r="M251">
        <v>0</v>
      </c>
      <c r="N251">
        <v>1.7</v>
      </c>
      <c r="O251">
        <f t="shared" si="30"/>
        <v>-1.7</v>
      </c>
      <c r="P251">
        <f t="shared" si="35"/>
        <v>93.599999999999909</v>
      </c>
      <c r="Q251">
        <v>217</v>
      </c>
      <c r="R251">
        <v>1.1499999999999999</v>
      </c>
      <c r="S251" s="23">
        <f t="shared" si="31"/>
        <v>1.9549999999999998</v>
      </c>
      <c r="T251" s="23">
        <f t="shared" si="32"/>
        <v>-1.9549999999999998</v>
      </c>
      <c r="U251" s="23">
        <f t="shared" si="36"/>
        <v>95.484784946236474</v>
      </c>
      <c r="V251" s="27" t="s">
        <v>55</v>
      </c>
      <c r="W251">
        <v>795.8</v>
      </c>
      <c r="Y251">
        <f t="shared" si="34"/>
        <v>129136.50000000006</v>
      </c>
      <c r="Z251" s="38">
        <f t="shared" si="28"/>
        <v>5110.3</v>
      </c>
      <c r="AA251">
        <v>12.793856106232152</v>
      </c>
      <c r="AB251" s="27" t="s">
        <v>60</v>
      </c>
    </row>
    <row r="252" spans="1:28" x14ac:dyDescent="0.25">
      <c r="A252">
        <v>6280</v>
      </c>
      <c r="B252">
        <v>24170</v>
      </c>
      <c r="C252" s="8">
        <v>42830</v>
      </c>
      <c r="F252" s="49"/>
      <c r="G252">
        <v>10.3</v>
      </c>
      <c r="H252">
        <v>6.6</v>
      </c>
      <c r="I252">
        <v>13.1</v>
      </c>
      <c r="J252">
        <f t="shared" si="33"/>
        <v>1816.5999999999997</v>
      </c>
      <c r="K252" s="38">
        <f t="shared" si="38"/>
        <v>72.5</v>
      </c>
      <c r="L252" s="13">
        <f>MIN(H247:H267)</f>
        <v>1.2</v>
      </c>
      <c r="M252">
        <v>0</v>
      </c>
      <c r="N252">
        <v>1.2</v>
      </c>
      <c r="O252">
        <f t="shared" si="30"/>
        <v>-1.2</v>
      </c>
      <c r="P252">
        <f t="shared" si="35"/>
        <v>92.399999999999906</v>
      </c>
      <c r="Q252" s="22">
        <v>218</v>
      </c>
      <c r="R252">
        <v>1.1499999999999999</v>
      </c>
      <c r="S252" s="23">
        <f t="shared" si="31"/>
        <v>1.38</v>
      </c>
      <c r="T252" s="23">
        <f t="shared" si="32"/>
        <v>-1.38</v>
      </c>
      <c r="U252" s="23">
        <f t="shared" si="36"/>
        <v>94.104784946236478</v>
      </c>
      <c r="V252" s="23">
        <f>MIN(U247:U267)</f>
        <v>55.599784946236475</v>
      </c>
      <c r="W252">
        <v>867</v>
      </c>
      <c r="Y252">
        <f t="shared" si="34"/>
        <v>130003.50000000006</v>
      </c>
      <c r="Z252" s="38">
        <f t="shared" si="28"/>
        <v>5977.3</v>
      </c>
      <c r="AA252">
        <v>12.854391609187434</v>
      </c>
      <c r="AB252">
        <v>8</v>
      </c>
    </row>
    <row r="253" spans="1:28" x14ac:dyDescent="0.25">
      <c r="A253">
        <v>6280</v>
      </c>
      <c r="B253">
        <v>24170</v>
      </c>
      <c r="C253" s="8">
        <v>42831</v>
      </c>
      <c r="F253" s="49"/>
      <c r="G253">
        <v>8.1</v>
      </c>
      <c r="H253">
        <v>4.3</v>
      </c>
      <c r="I253">
        <v>11.4</v>
      </c>
      <c r="J253">
        <f t="shared" si="33"/>
        <v>1824.6999999999996</v>
      </c>
      <c r="K253" s="38">
        <f t="shared" si="38"/>
        <v>80.599999999999994</v>
      </c>
      <c r="L253" s="16" t="s">
        <v>42</v>
      </c>
      <c r="M253">
        <v>0</v>
      </c>
      <c r="N253">
        <v>2</v>
      </c>
      <c r="O253">
        <f t="shared" si="30"/>
        <v>-2</v>
      </c>
      <c r="P253">
        <f t="shared" si="35"/>
        <v>90.399999999999906</v>
      </c>
      <c r="Q253">
        <v>219</v>
      </c>
      <c r="R253">
        <v>1.1499999999999999</v>
      </c>
      <c r="S253" s="23">
        <f t="shared" si="31"/>
        <v>2.2999999999999998</v>
      </c>
      <c r="T253" s="23">
        <f t="shared" si="32"/>
        <v>-2.2999999999999998</v>
      </c>
      <c r="U253" s="23">
        <f t="shared" si="36"/>
        <v>91.804784946236481</v>
      </c>
      <c r="V253" s="27" t="s">
        <v>56</v>
      </c>
      <c r="W253">
        <v>1264.4000000000001</v>
      </c>
      <c r="Y253">
        <f t="shared" si="34"/>
        <v>131267.90000000005</v>
      </c>
      <c r="Z253" s="38">
        <f t="shared" si="28"/>
        <v>7241.7000000000007</v>
      </c>
      <c r="AA253">
        <v>12.91480609129006</v>
      </c>
    </row>
    <row r="254" spans="1:28" x14ac:dyDescent="0.25">
      <c r="A254">
        <v>6280</v>
      </c>
      <c r="B254">
        <v>24170</v>
      </c>
      <c r="C254" s="8">
        <v>42832</v>
      </c>
      <c r="F254" s="49"/>
      <c r="G254">
        <v>10.1</v>
      </c>
      <c r="H254">
        <v>3</v>
      </c>
      <c r="I254">
        <v>15.9</v>
      </c>
      <c r="J254">
        <f t="shared" si="33"/>
        <v>1834.7999999999995</v>
      </c>
      <c r="K254" s="38">
        <f t="shared" si="38"/>
        <v>90.699999999999989</v>
      </c>
      <c r="L254" s="12">
        <f>MAX(I247:I267)</f>
        <v>22.5</v>
      </c>
      <c r="M254">
        <v>0</v>
      </c>
      <c r="N254">
        <v>2.9</v>
      </c>
      <c r="O254">
        <f t="shared" si="30"/>
        <v>-2.9</v>
      </c>
      <c r="P254">
        <f t="shared" si="35"/>
        <v>87.499999999999901</v>
      </c>
      <c r="Q254" s="22">
        <v>220</v>
      </c>
      <c r="R254">
        <v>1.1499999999999999</v>
      </c>
      <c r="S254" s="23">
        <f t="shared" si="31"/>
        <v>3.3349999999999995</v>
      </c>
      <c r="T254" s="23">
        <f t="shared" si="32"/>
        <v>-3.3349999999999995</v>
      </c>
      <c r="U254" s="23">
        <f t="shared" si="36"/>
        <v>88.469784946236487</v>
      </c>
      <c r="V254" s="23">
        <f>MAX(U247:U267)</f>
        <v>104.45478494623647</v>
      </c>
      <c r="W254">
        <v>1959.7</v>
      </c>
      <c r="Y254">
        <f t="shared" si="34"/>
        <v>133227.60000000006</v>
      </c>
      <c r="Z254" s="38">
        <f t="shared" ref="Z254:Z317" si="39">Z253+W254</f>
        <v>9201.4000000000015</v>
      </c>
      <c r="AA254">
        <v>12.97508978307469</v>
      </c>
    </row>
    <row r="255" spans="1:28" x14ac:dyDescent="0.25">
      <c r="A255">
        <v>6280</v>
      </c>
      <c r="B255">
        <v>24170</v>
      </c>
      <c r="C255" s="8">
        <v>42833</v>
      </c>
      <c r="F255" s="49"/>
      <c r="G255">
        <v>11.9</v>
      </c>
      <c r="H255">
        <v>4.7</v>
      </c>
      <c r="I255">
        <v>17.899999999999999</v>
      </c>
      <c r="J255">
        <f t="shared" si="33"/>
        <v>1846.6999999999996</v>
      </c>
      <c r="K255" s="38">
        <f t="shared" si="38"/>
        <v>102.6</v>
      </c>
      <c r="L255" s="16" t="s">
        <v>43</v>
      </c>
      <c r="M255">
        <v>0</v>
      </c>
      <c r="N255">
        <v>3.5</v>
      </c>
      <c r="O255">
        <f t="shared" si="30"/>
        <v>-3.5</v>
      </c>
      <c r="P255">
        <f t="shared" si="35"/>
        <v>83.999999999999901</v>
      </c>
      <c r="Q255">
        <v>221</v>
      </c>
      <c r="R255">
        <v>1.1499999999999999</v>
      </c>
      <c r="S255" s="23">
        <f t="shared" si="31"/>
        <v>4.0249999999999995</v>
      </c>
      <c r="T255" s="23">
        <f t="shared" si="32"/>
        <v>-4.0249999999999995</v>
      </c>
      <c r="U255" s="23">
        <f t="shared" si="36"/>
        <v>84.444784946236481</v>
      </c>
      <c r="V255" s="27" t="s">
        <v>57</v>
      </c>
      <c r="W255">
        <v>2183.9</v>
      </c>
      <c r="Y255">
        <f t="shared" si="34"/>
        <v>135411.50000000006</v>
      </c>
      <c r="Z255" s="38">
        <f t="shared" si="39"/>
        <v>11385.300000000001</v>
      </c>
      <c r="AA255">
        <v>13.035232684950696</v>
      </c>
    </row>
    <row r="256" spans="1:28" x14ac:dyDescent="0.25">
      <c r="A256">
        <v>6280</v>
      </c>
      <c r="B256">
        <v>24170</v>
      </c>
      <c r="C256" s="8">
        <v>42834</v>
      </c>
      <c r="F256" s="49"/>
      <c r="G256">
        <v>14.8</v>
      </c>
      <c r="H256">
        <v>5.4</v>
      </c>
      <c r="I256">
        <v>22.5</v>
      </c>
      <c r="J256">
        <f t="shared" si="33"/>
        <v>1861.4999999999995</v>
      </c>
      <c r="K256" s="38">
        <f t="shared" si="38"/>
        <v>117.39999999999999</v>
      </c>
      <c r="L256" s="12">
        <v>0</v>
      </c>
      <c r="M256">
        <v>0</v>
      </c>
      <c r="N256">
        <v>4.0999999999999996</v>
      </c>
      <c r="O256">
        <f t="shared" si="30"/>
        <v>-4.0999999999999996</v>
      </c>
      <c r="P256">
        <f t="shared" si="35"/>
        <v>79.899999999999906</v>
      </c>
      <c r="Q256" s="22">
        <v>222</v>
      </c>
      <c r="R256">
        <v>1.1499999999999999</v>
      </c>
      <c r="S256" s="23">
        <f t="shared" si="31"/>
        <v>4.714999999999999</v>
      </c>
      <c r="T256" s="23">
        <f t="shared" si="32"/>
        <v>-4.714999999999999</v>
      </c>
      <c r="U256" s="23">
        <f t="shared" si="36"/>
        <v>79.729784946236478</v>
      </c>
      <c r="V256" s="23">
        <f>AVERAGE(U247:U267)</f>
        <v>79.661689708141225</v>
      </c>
      <c r="W256">
        <v>2223.4</v>
      </c>
      <c r="Y256">
        <f t="shared" si="34"/>
        <v>137634.90000000005</v>
      </c>
      <c r="Z256" s="38">
        <f t="shared" si="39"/>
        <v>13608.7</v>
      </c>
      <c r="AA256">
        <v>13.095224552824643</v>
      </c>
    </row>
    <row r="257" spans="1:28" x14ac:dyDescent="0.25">
      <c r="A257">
        <v>6280</v>
      </c>
      <c r="B257">
        <v>24170</v>
      </c>
      <c r="C257" s="8">
        <v>42835</v>
      </c>
      <c r="F257" s="49"/>
      <c r="G257">
        <v>11.3</v>
      </c>
      <c r="H257">
        <v>9.6999999999999993</v>
      </c>
      <c r="I257">
        <v>14.1</v>
      </c>
      <c r="J257">
        <f t="shared" si="33"/>
        <v>1872.7999999999995</v>
      </c>
      <c r="K257" s="38">
        <f t="shared" si="38"/>
        <v>128.69999999999999</v>
      </c>
      <c r="L257" s="16" t="s">
        <v>44</v>
      </c>
      <c r="M257">
        <v>0</v>
      </c>
      <c r="N257">
        <v>1.7</v>
      </c>
      <c r="O257">
        <f t="shared" si="30"/>
        <v>-1.7</v>
      </c>
      <c r="P257">
        <f t="shared" si="35"/>
        <v>78.199999999999903</v>
      </c>
      <c r="Q257">
        <v>223</v>
      </c>
      <c r="R257">
        <v>1.1499999999999999</v>
      </c>
      <c r="S257" s="23">
        <f t="shared" si="31"/>
        <v>1.9549999999999998</v>
      </c>
      <c r="T257" s="23">
        <f t="shared" si="32"/>
        <v>-1.9549999999999998</v>
      </c>
      <c r="U257" s="23">
        <f t="shared" si="36"/>
        <v>77.77478494623648</v>
      </c>
      <c r="W257">
        <v>743.8</v>
      </c>
      <c r="Y257">
        <f t="shared" si="34"/>
        <v>138378.70000000004</v>
      </c>
      <c r="Z257" s="38">
        <f t="shared" si="39"/>
        <v>14352.5</v>
      </c>
      <c r="AA257">
        <v>13.155054883944684</v>
      </c>
    </row>
    <row r="258" spans="1:28" x14ac:dyDescent="0.25">
      <c r="A258">
        <v>6280</v>
      </c>
      <c r="B258">
        <v>24170</v>
      </c>
      <c r="C258" s="8">
        <v>42836</v>
      </c>
      <c r="F258" s="49"/>
      <c r="G258">
        <v>9.9</v>
      </c>
      <c r="H258">
        <v>5.3</v>
      </c>
      <c r="I258">
        <v>14.1</v>
      </c>
      <c r="J258">
        <f t="shared" si="33"/>
        <v>1882.6999999999996</v>
      </c>
      <c r="K258" s="38">
        <f t="shared" si="38"/>
        <v>138.6</v>
      </c>
      <c r="L258" s="12">
        <v>7</v>
      </c>
      <c r="M258">
        <v>0</v>
      </c>
      <c r="N258">
        <v>2.7</v>
      </c>
      <c r="O258">
        <f t="shared" si="30"/>
        <v>-2.7</v>
      </c>
      <c r="P258">
        <f t="shared" si="35"/>
        <v>75.499999999999901</v>
      </c>
      <c r="Q258" s="22">
        <v>224</v>
      </c>
      <c r="R258">
        <v>1.1499999999999999</v>
      </c>
      <c r="S258" s="23">
        <f t="shared" si="31"/>
        <v>3.105</v>
      </c>
      <c r="T258" s="23">
        <f t="shared" si="32"/>
        <v>-3.105</v>
      </c>
      <c r="U258" s="23">
        <f t="shared" si="36"/>
        <v>74.669784946236476</v>
      </c>
      <c r="V258" s="42">
        <f>(V256*100)/197.4</f>
        <v>40.355465910912471</v>
      </c>
      <c r="W258">
        <v>1746.5</v>
      </c>
      <c r="Y258">
        <f t="shared" si="34"/>
        <v>140125.20000000004</v>
      </c>
      <c r="Z258" s="38">
        <f t="shared" si="39"/>
        <v>16099</v>
      </c>
      <c r="AA258">
        <v>13.214712902991787</v>
      </c>
    </row>
    <row r="259" spans="1:28" x14ac:dyDescent="0.25">
      <c r="A259">
        <v>6280</v>
      </c>
      <c r="B259">
        <v>24170</v>
      </c>
      <c r="C259" s="8">
        <v>42837</v>
      </c>
      <c r="F259" s="49"/>
      <c r="G259">
        <v>11.1</v>
      </c>
      <c r="H259">
        <v>4.2</v>
      </c>
      <c r="I259">
        <v>16.600000000000001</v>
      </c>
      <c r="J259">
        <f t="shared" si="33"/>
        <v>1893.7999999999995</v>
      </c>
      <c r="K259" s="38">
        <f t="shared" si="38"/>
        <v>149.69999999999999</v>
      </c>
      <c r="L259" s="16" t="s">
        <v>45</v>
      </c>
      <c r="M259">
        <v>0</v>
      </c>
      <c r="N259">
        <v>2.9</v>
      </c>
      <c r="O259">
        <f t="shared" si="30"/>
        <v>-2.9</v>
      </c>
      <c r="P259">
        <f t="shared" si="35"/>
        <v>72.599999999999895</v>
      </c>
      <c r="Q259">
        <v>225</v>
      </c>
      <c r="R259">
        <v>1.1499999999999999</v>
      </c>
      <c r="S259" s="23">
        <f t="shared" si="31"/>
        <v>3.3349999999999995</v>
      </c>
      <c r="T259" s="23">
        <f t="shared" si="32"/>
        <v>-3.3349999999999995</v>
      </c>
      <c r="U259" s="23">
        <f t="shared" si="36"/>
        <v>71.334784946236482</v>
      </c>
      <c r="W259">
        <v>1896.5</v>
      </c>
      <c r="Y259">
        <f t="shared" si="34"/>
        <v>142021.70000000004</v>
      </c>
      <c r="Z259" s="38">
        <f t="shared" si="39"/>
        <v>17995.5</v>
      </c>
      <c r="AA259">
        <v>13.274187548444603</v>
      </c>
    </row>
    <row r="260" spans="1:28" x14ac:dyDescent="0.25">
      <c r="A260">
        <v>6280</v>
      </c>
      <c r="B260">
        <v>24170</v>
      </c>
      <c r="C260" s="8">
        <v>42838</v>
      </c>
      <c r="F260" s="49"/>
      <c r="G260">
        <v>11</v>
      </c>
      <c r="H260">
        <v>7</v>
      </c>
      <c r="I260">
        <v>14.3</v>
      </c>
      <c r="J260">
        <f t="shared" si="33"/>
        <v>1904.7999999999995</v>
      </c>
      <c r="K260" s="38">
        <f t="shared" si="38"/>
        <v>160.69999999999999</v>
      </c>
      <c r="L260" s="18">
        <v>0</v>
      </c>
      <c r="M260">
        <v>0</v>
      </c>
      <c r="N260">
        <v>1.1000000000000001</v>
      </c>
      <c r="O260">
        <f t="shared" si="30"/>
        <v>-1.1000000000000001</v>
      </c>
      <c r="P260">
        <f t="shared" si="35"/>
        <v>71.499999999999901</v>
      </c>
      <c r="Q260" s="22">
        <v>226</v>
      </c>
      <c r="R260">
        <v>1.1499999999999999</v>
      </c>
      <c r="S260" s="23">
        <f t="shared" si="31"/>
        <v>1.2649999999999999</v>
      </c>
      <c r="T260" s="23">
        <f t="shared" si="32"/>
        <v>-1.2649999999999999</v>
      </c>
      <c r="U260" s="23">
        <f t="shared" si="36"/>
        <v>70.069784946236481</v>
      </c>
      <c r="W260">
        <v>665.8</v>
      </c>
      <c r="Y260">
        <f t="shared" si="34"/>
        <v>142687.50000000003</v>
      </c>
      <c r="Z260" s="38">
        <f t="shared" si="39"/>
        <v>18661.3</v>
      </c>
      <c r="AA260">
        <v>13.333467459247052</v>
      </c>
    </row>
    <row r="261" spans="1:28" x14ac:dyDescent="0.25">
      <c r="A261">
        <v>6280</v>
      </c>
      <c r="B261">
        <v>24170</v>
      </c>
      <c r="C261" s="8">
        <v>42839</v>
      </c>
      <c r="F261" s="49"/>
      <c r="G261">
        <v>11.9</v>
      </c>
      <c r="H261">
        <v>9</v>
      </c>
      <c r="I261">
        <v>15.5</v>
      </c>
      <c r="J261">
        <f t="shared" si="33"/>
        <v>1916.6999999999996</v>
      </c>
      <c r="K261" s="38">
        <f t="shared" si="38"/>
        <v>172.6</v>
      </c>
      <c r="M261">
        <v>0</v>
      </c>
      <c r="N261">
        <v>2.1</v>
      </c>
      <c r="O261">
        <f t="shared" si="30"/>
        <v>-2.1</v>
      </c>
      <c r="P261">
        <f t="shared" si="35"/>
        <v>69.399999999999906</v>
      </c>
      <c r="Q261">
        <v>227</v>
      </c>
      <c r="R261">
        <v>1.1499999999999999</v>
      </c>
      <c r="S261" s="23">
        <f t="shared" si="31"/>
        <v>2.415</v>
      </c>
      <c r="T261" s="23">
        <f t="shared" si="32"/>
        <v>-2.415</v>
      </c>
      <c r="U261" s="23">
        <f t="shared" si="36"/>
        <v>67.654784946236475</v>
      </c>
      <c r="W261">
        <v>1181.5</v>
      </c>
      <c r="Y261">
        <f t="shared" si="34"/>
        <v>143869.00000000003</v>
      </c>
      <c r="Z261" s="38">
        <f t="shared" si="39"/>
        <v>19842.8</v>
      </c>
      <c r="AA261">
        <v>13.392540961809644</v>
      </c>
    </row>
    <row r="262" spans="1:28" x14ac:dyDescent="0.25">
      <c r="A262">
        <v>6280</v>
      </c>
      <c r="B262">
        <v>24170</v>
      </c>
      <c r="C262" s="8">
        <v>42840</v>
      </c>
      <c r="F262" s="49"/>
      <c r="G262">
        <v>10.3</v>
      </c>
      <c r="H262">
        <v>7.6</v>
      </c>
      <c r="I262">
        <v>13.4</v>
      </c>
      <c r="J262">
        <f t="shared" si="33"/>
        <v>1926.9999999999995</v>
      </c>
      <c r="K262" s="38">
        <f t="shared" si="38"/>
        <v>182.9</v>
      </c>
      <c r="M262">
        <v>0.3</v>
      </c>
      <c r="N262">
        <v>1</v>
      </c>
      <c r="O262">
        <f t="shared" si="30"/>
        <v>-0.7</v>
      </c>
      <c r="P262">
        <f t="shared" si="35"/>
        <v>68.699999999999903</v>
      </c>
      <c r="Q262" s="22">
        <v>228</v>
      </c>
      <c r="R262">
        <v>1.1499999999999999</v>
      </c>
      <c r="S262" s="23">
        <f t="shared" si="31"/>
        <v>1.1499999999999999</v>
      </c>
      <c r="T262" s="23">
        <f t="shared" si="32"/>
        <v>-0.84999999999999987</v>
      </c>
      <c r="U262" s="23">
        <f t="shared" si="36"/>
        <v>66.804784946236481</v>
      </c>
      <c r="W262">
        <v>339.4</v>
      </c>
      <c r="Y262">
        <f t="shared" si="34"/>
        <v>144208.40000000002</v>
      </c>
      <c r="Z262" s="38">
        <f t="shared" si="39"/>
        <v>20182.2</v>
      </c>
      <c r="AA262">
        <v>13.451396057378094</v>
      </c>
    </row>
    <row r="263" spans="1:28" x14ac:dyDescent="0.25">
      <c r="A263">
        <v>6280</v>
      </c>
      <c r="B263">
        <v>24170</v>
      </c>
      <c r="C263" s="8">
        <v>42841</v>
      </c>
      <c r="F263" s="49"/>
      <c r="G263">
        <v>10.4</v>
      </c>
      <c r="H263">
        <v>7.3</v>
      </c>
      <c r="I263">
        <v>12.9</v>
      </c>
      <c r="J263">
        <f t="shared" si="33"/>
        <v>1937.3999999999996</v>
      </c>
      <c r="K263" s="38">
        <f t="shared" si="38"/>
        <v>193.3</v>
      </c>
      <c r="M263">
        <v>0</v>
      </c>
      <c r="N263">
        <v>1.6</v>
      </c>
      <c r="O263">
        <f t="shared" si="30"/>
        <v>-1.6</v>
      </c>
      <c r="P263">
        <f t="shared" si="35"/>
        <v>67.099999999999909</v>
      </c>
      <c r="Q263">
        <v>229</v>
      </c>
      <c r="R263">
        <v>1.1499999999999999</v>
      </c>
      <c r="S263" s="23">
        <f t="shared" si="31"/>
        <v>1.8399999999999999</v>
      </c>
      <c r="T263" s="23">
        <f t="shared" si="32"/>
        <v>-1.8399999999999999</v>
      </c>
      <c r="U263" s="23">
        <f t="shared" si="36"/>
        <v>64.964784946236477</v>
      </c>
      <c r="W263">
        <v>844.1</v>
      </c>
      <c r="Y263">
        <f t="shared" si="34"/>
        <v>145052.50000000003</v>
      </c>
      <c r="Z263" s="38">
        <f t="shared" si="39"/>
        <v>21026.3</v>
      </c>
      <c r="AA263">
        <v>13.510020409804996</v>
      </c>
    </row>
    <row r="264" spans="1:28" x14ac:dyDescent="0.25">
      <c r="A264">
        <v>6280</v>
      </c>
      <c r="B264">
        <v>24170</v>
      </c>
      <c r="C264" s="8">
        <v>42842</v>
      </c>
      <c r="F264" s="49"/>
      <c r="G264">
        <v>9.6999999999999993</v>
      </c>
      <c r="H264">
        <v>8.3000000000000007</v>
      </c>
      <c r="I264">
        <v>13.4</v>
      </c>
      <c r="J264">
        <f t="shared" si="33"/>
        <v>1947.0999999999997</v>
      </c>
      <c r="K264" s="38">
        <f t="shared" si="38"/>
        <v>203</v>
      </c>
      <c r="M264">
        <v>0.6</v>
      </c>
      <c r="N264">
        <v>1.6</v>
      </c>
      <c r="O264">
        <f t="shared" si="30"/>
        <v>-1</v>
      </c>
      <c r="P264">
        <f t="shared" si="35"/>
        <v>66.099999999999909</v>
      </c>
      <c r="Q264" s="22">
        <v>230</v>
      </c>
      <c r="R264">
        <v>1.1499999999999999</v>
      </c>
      <c r="S264" s="23">
        <f t="shared" si="31"/>
        <v>1.8399999999999999</v>
      </c>
      <c r="T264" s="23">
        <f t="shared" si="32"/>
        <v>-1.2399999999999998</v>
      </c>
      <c r="U264" s="23">
        <f t="shared" si="36"/>
        <v>63.724784946236475</v>
      </c>
      <c r="W264">
        <v>889.7</v>
      </c>
      <c r="Y264">
        <f t="shared" si="34"/>
        <v>145942.20000000004</v>
      </c>
      <c r="Z264" s="38">
        <f t="shared" si="39"/>
        <v>21916</v>
      </c>
      <c r="AA264">
        <v>13.568401333762822</v>
      </c>
    </row>
    <row r="265" spans="1:28" x14ac:dyDescent="0.25">
      <c r="A265">
        <v>6280</v>
      </c>
      <c r="B265">
        <v>24170</v>
      </c>
      <c r="C265" s="8">
        <v>42843</v>
      </c>
      <c r="F265" s="49"/>
      <c r="G265">
        <v>6.3</v>
      </c>
      <c r="H265">
        <v>3</v>
      </c>
      <c r="I265">
        <v>10</v>
      </c>
      <c r="J265">
        <f t="shared" si="33"/>
        <v>1953.3999999999996</v>
      </c>
      <c r="K265" s="38">
        <f t="shared" si="38"/>
        <v>209.3</v>
      </c>
      <c r="M265">
        <v>0.5</v>
      </c>
      <c r="N265">
        <v>1.8</v>
      </c>
      <c r="O265">
        <f t="shared" si="30"/>
        <v>-1.3</v>
      </c>
      <c r="P265">
        <f t="shared" si="35"/>
        <v>64.799999999999912</v>
      </c>
      <c r="Q265">
        <v>231</v>
      </c>
      <c r="R265">
        <v>1.1499999999999999</v>
      </c>
      <c r="S265" s="23">
        <f t="shared" si="31"/>
        <v>2.0699999999999998</v>
      </c>
      <c r="T265" s="23">
        <f t="shared" si="32"/>
        <v>-1.5699999999999998</v>
      </c>
      <c r="U265" s="23">
        <f t="shared" si="36"/>
        <v>62.154784946236475</v>
      </c>
      <c r="W265">
        <v>1306.9000000000001</v>
      </c>
      <c r="Y265">
        <f t="shared" si="34"/>
        <v>147249.10000000003</v>
      </c>
      <c r="Z265" s="38">
        <f t="shared" si="39"/>
        <v>23222.9</v>
      </c>
      <c r="AA265">
        <v>13.626525783439101</v>
      </c>
    </row>
    <row r="266" spans="1:28" x14ac:dyDescent="0.25">
      <c r="A266">
        <v>6280</v>
      </c>
      <c r="B266">
        <v>24170</v>
      </c>
      <c r="C266" s="8">
        <v>42844</v>
      </c>
      <c r="F266" s="49"/>
      <c r="G266">
        <v>5.8</v>
      </c>
      <c r="H266">
        <v>2.4</v>
      </c>
      <c r="I266">
        <v>9.3000000000000007</v>
      </c>
      <c r="J266">
        <f t="shared" si="33"/>
        <v>1959.1999999999996</v>
      </c>
      <c r="K266" s="38">
        <f t="shared" si="38"/>
        <v>215.10000000000002</v>
      </c>
      <c r="M266">
        <v>0</v>
      </c>
      <c r="N266">
        <v>2.9</v>
      </c>
      <c r="O266">
        <f t="shared" si="30"/>
        <v>-2.9</v>
      </c>
      <c r="P266">
        <f t="shared" si="35"/>
        <v>61.899999999999913</v>
      </c>
      <c r="Q266" s="22">
        <v>232</v>
      </c>
      <c r="R266">
        <v>1.1499999999999999</v>
      </c>
      <c r="S266" s="23">
        <f t="shared" si="31"/>
        <v>3.3349999999999995</v>
      </c>
      <c r="T266" s="23">
        <f t="shared" si="32"/>
        <v>-3.3349999999999995</v>
      </c>
      <c r="U266" s="23">
        <f t="shared" si="36"/>
        <v>58.819784946236474</v>
      </c>
      <c r="W266">
        <v>2029.7</v>
      </c>
      <c r="Y266">
        <f t="shared" si="34"/>
        <v>149278.80000000005</v>
      </c>
      <c r="Z266" s="38">
        <f t="shared" si="39"/>
        <v>25252.600000000002</v>
      </c>
      <c r="AA266">
        <v>13.684380341757143</v>
      </c>
    </row>
    <row r="267" spans="1:28" s="31" customFormat="1" ht="15.75" thickBot="1" x14ac:dyDescent="0.3">
      <c r="A267" s="31">
        <v>6280</v>
      </c>
      <c r="B267" s="31">
        <v>24170</v>
      </c>
      <c r="C267" s="32">
        <v>42845</v>
      </c>
      <c r="D267" s="31" t="s">
        <v>35</v>
      </c>
      <c r="F267" s="49"/>
      <c r="G267" s="31">
        <v>6.3</v>
      </c>
      <c r="H267" s="31">
        <v>1.2</v>
      </c>
      <c r="I267" s="31">
        <v>11.1</v>
      </c>
      <c r="J267" s="31">
        <f t="shared" si="33"/>
        <v>1965.4999999999995</v>
      </c>
      <c r="K267" s="31">
        <f t="shared" si="38"/>
        <v>221.40000000000003</v>
      </c>
      <c r="M267" s="31">
        <v>0</v>
      </c>
      <c r="N267" s="31">
        <v>2.8</v>
      </c>
      <c r="O267" s="31">
        <f t="shared" si="30"/>
        <v>-2.8</v>
      </c>
      <c r="P267" s="31">
        <f t="shared" si="35"/>
        <v>59.099999999999916</v>
      </c>
      <c r="Q267" s="31">
        <v>233</v>
      </c>
      <c r="R267" s="31">
        <v>1.1499999999999999</v>
      </c>
      <c r="S267" s="33">
        <f t="shared" si="31"/>
        <v>3.2199999999999998</v>
      </c>
      <c r="T267" s="33">
        <f t="shared" si="32"/>
        <v>-3.2199999999999998</v>
      </c>
      <c r="U267" s="23">
        <f t="shared" si="36"/>
        <v>55.599784946236475</v>
      </c>
      <c r="W267" s="31">
        <v>2129.9</v>
      </c>
      <c r="Y267" s="31">
        <f t="shared" si="34"/>
        <v>151408.70000000004</v>
      </c>
      <c r="Z267" s="31">
        <f t="shared" si="39"/>
        <v>27382.500000000004</v>
      </c>
      <c r="AA267" s="31">
        <v>13.741951210168363</v>
      </c>
    </row>
    <row r="268" spans="1:28" x14ac:dyDescent="0.25">
      <c r="A268">
        <v>6280</v>
      </c>
      <c r="B268">
        <v>24170</v>
      </c>
      <c r="C268" s="8">
        <v>42846</v>
      </c>
      <c r="F268" s="50" t="s">
        <v>50</v>
      </c>
      <c r="G268">
        <v>10</v>
      </c>
      <c r="H268">
        <v>2.6</v>
      </c>
      <c r="I268">
        <v>15.4</v>
      </c>
      <c r="J268">
        <f t="shared" si="33"/>
        <v>1975.4999999999995</v>
      </c>
      <c r="K268" s="38">
        <f>G268</f>
        <v>10</v>
      </c>
      <c r="L268" s="19" t="s">
        <v>39</v>
      </c>
      <c r="M268">
        <v>0</v>
      </c>
      <c r="N268">
        <v>3.7</v>
      </c>
      <c r="O268">
        <f t="shared" si="30"/>
        <v>-3.7</v>
      </c>
      <c r="P268">
        <f t="shared" si="35"/>
        <v>55.399999999999913</v>
      </c>
      <c r="Q268" s="22">
        <v>234</v>
      </c>
      <c r="R268">
        <v>1.1499999999999999</v>
      </c>
      <c r="S268" s="23">
        <f t="shared" si="31"/>
        <v>4.2549999999999999</v>
      </c>
      <c r="T268" s="23">
        <f t="shared" si="32"/>
        <v>-4.2549999999999999</v>
      </c>
      <c r="U268" s="23">
        <f t="shared" si="36"/>
        <v>51.344784946236473</v>
      </c>
      <c r="V268" s="28" t="s">
        <v>53</v>
      </c>
      <c r="W268">
        <v>2540.4</v>
      </c>
      <c r="Y268">
        <f t="shared" si="34"/>
        <v>153949.10000000003</v>
      </c>
      <c r="Z268" s="38">
        <f>W268</f>
        <v>2540.4</v>
      </c>
      <c r="AA268">
        <v>13.79922419906493</v>
      </c>
      <c r="AB268" s="28" t="s">
        <v>58</v>
      </c>
    </row>
    <row r="269" spans="1:28" s="38" customFormat="1" x14ac:dyDescent="0.25">
      <c r="A269" s="38">
        <v>6280</v>
      </c>
      <c r="B269" s="38">
        <v>24170</v>
      </c>
      <c r="C269" s="39">
        <v>42847</v>
      </c>
      <c r="F269" s="50"/>
      <c r="G269" s="38">
        <v>10.5</v>
      </c>
      <c r="H269" s="38">
        <v>9.1</v>
      </c>
      <c r="I269" s="38">
        <v>14.3</v>
      </c>
      <c r="J269" s="38">
        <f t="shared" si="33"/>
        <v>1985.9999999999995</v>
      </c>
      <c r="K269" s="38">
        <f t="shared" si="38"/>
        <v>20.5</v>
      </c>
      <c r="L269" s="12">
        <v>314.2</v>
      </c>
      <c r="M269" s="38">
        <v>0</v>
      </c>
      <c r="N269" s="38">
        <v>2.2999999999999998</v>
      </c>
      <c r="O269" s="38">
        <f t="shared" si="30"/>
        <v>-2.2999999999999998</v>
      </c>
      <c r="P269" s="38">
        <f t="shared" si="35"/>
        <v>53.099999999999916</v>
      </c>
      <c r="Q269" s="38">
        <v>235</v>
      </c>
      <c r="R269" s="38">
        <v>1.1499999999999999</v>
      </c>
      <c r="S269" s="41">
        <f t="shared" si="31"/>
        <v>2.6449999999999996</v>
      </c>
      <c r="T269" s="41">
        <f t="shared" si="32"/>
        <v>-2.6449999999999996</v>
      </c>
      <c r="U269" s="23">
        <f t="shared" si="36"/>
        <v>48.699784946236477</v>
      </c>
      <c r="V269">
        <v>0</v>
      </c>
      <c r="W269" s="38">
        <v>1331.8</v>
      </c>
      <c r="Y269" s="38">
        <f t="shared" si="34"/>
        <v>155280.90000000002</v>
      </c>
      <c r="Z269" s="38">
        <f t="shared" si="39"/>
        <v>3872.2</v>
      </c>
      <c r="AA269" s="38">
        <v>13.85618471886416</v>
      </c>
      <c r="AB269">
        <v>35315.699999999997</v>
      </c>
    </row>
    <row r="270" spans="1:28" ht="15" customHeight="1" x14ac:dyDescent="0.25">
      <c r="A270">
        <v>6280</v>
      </c>
      <c r="B270">
        <v>24170</v>
      </c>
      <c r="C270" s="8">
        <v>42848</v>
      </c>
      <c r="F270" s="50"/>
      <c r="G270">
        <v>8.4</v>
      </c>
      <c r="H270">
        <v>3.7</v>
      </c>
      <c r="I270">
        <v>12.8</v>
      </c>
      <c r="J270">
        <f t="shared" si="33"/>
        <v>1994.3999999999996</v>
      </c>
      <c r="K270" s="38">
        <f t="shared" si="38"/>
        <v>28.9</v>
      </c>
      <c r="L270" s="19" t="s">
        <v>40</v>
      </c>
      <c r="M270">
        <v>0</v>
      </c>
      <c r="N270">
        <v>3</v>
      </c>
      <c r="O270">
        <f t="shared" si="30"/>
        <v>-3</v>
      </c>
      <c r="P270">
        <f t="shared" si="35"/>
        <v>50.099999999999916</v>
      </c>
      <c r="Q270" s="22">
        <v>236</v>
      </c>
      <c r="R270">
        <v>1.1499999999999999</v>
      </c>
      <c r="S270" s="23">
        <f t="shared" si="31"/>
        <v>3.4499999999999997</v>
      </c>
      <c r="T270" s="23">
        <f t="shared" si="32"/>
        <v>-3.4499999999999997</v>
      </c>
      <c r="U270" s="23">
        <f t="shared" si="36"/>
        <v>45.249784946236474</v>
      </c>
      <c r="V270" s="28" t="s">
        <v>54</v>
      </c>
      <c r="W270">
        <v>1971.4</v>
      </c>
      <c r="Y270">
        <f t="shared" si="34"/>
        <v>157252.30000000002</v>
      </c>
      <c r="Z270" s="38">
        <f t="shared" si="39"/>
        <v>5843.6</v>
      </c>
      <c r="AA270">
        <v>13.912817771818741</v>
      </c>
      <c r="AB270" s="28" t="s">
        <v>59</v>
      </c>
    </row>
    <row r="271" spans="1:28" x14ac:dyDescent="0.25">
      <c r="A271">
        <v>6280</v>
      </c>
      <c r="B271">
        <v>24170</v>
      </c>
      <c r="C271" s="8">
        <v>42849</v>
      </c>
      <c r="F271" s="50"/>
      <c r="G271">
        <v>9.6</v>
      </c>
      <c r="H271">
        <v>3.6</v>
      </c>
      <c r="I271">
        <v>14.9</v>
      </c>
      <c r="J271">
        <f t="shared" si="33"/>
        <v>2003.9999999999995</v>
      </c>
      <c r="K271" s="38">
        <f t="shared" si="38"/>
        <v>38.5</v>
      </c>
      <c r="L271" s="17">
        <f>AVERAGE(G268:G294)</f>
        <v>11.637037037037036</v>
      </c>
      <c r="M271">
        <v>0</v>
      </c>
      <c r="N271">
        <v>2.6</v>
      </c>
      <c r="O271">
        <f t="shared" si="30"/>
        <v>-2.6</v>
      </c>
      <c r="P271">
        <f t="shared" si="35"/>
        <v>47.499999999999915</v>
      </c>
      <c r="Q271">
        <v>237</v>
      </c>
      <c r="R271">
        <v>1.1499999999999999</v>
      </c>
      <c r="S271" s="23">
        <f t="shared" si="31"/>
        <v>2.9899999999999998</v>
      </c>
      <c r="T271" s="23">
        <f t="shared" si="32"/>
        <v>-2.9899999999999998</v>
      </c>
      <c r="U271" s="23">
        <f t="shared" si="36"/>
        <v>42.259784946236472</v>
      </c>
      <c r="V271">
        <v>27</v>
      </c>
      <c r="W271">
        <v>1812.6</v>
      </c>
      <c r="Y271">
        <f t="shared" si="34"/>
        <v>159064.90000000002</v>
      </c>
      <c r="Z271" s="38">
        <f t="shared" si="39"/>
        <v>7656.2000000000007</v>
      </c>
      <c r="AA271">
        <v>13.969107944609663</v>
      </c>
      <c r="AB271">
        <f>(AB269/100)/L269</f>
        <v>1.1239879057924889</v>
      </c>
    </row>
    <row r="272" spans="1:28" x14ac:dyDescent="0.25">
      <c r="A272">
        <v>6280</v>
      </c>
      <c r="B272">
        <v>24170</v>
      </c>
      <c r="C272" s="8">
        <v>42850</v>
      </c>
      <c r="F272" s="50"/>
      <c r="G272">
        <v>7</v>
      </c>
      <c r="H272">
        <v>5.4</v>
      </c>
      <c r="I272">
        <v>8.6999999999999993</v>
      </c>
      <c r="J272">
        <f t="shared" si="33"/>
        <v>2010.9999999999995</v>
      </c>
      <c r="K272" s="38">
        <f t="shared" si="38"/>
        <v>45.5</v>
      </c>
      <c r="L272" s="19" t="s">
        <v>41</v>
      </c>
      <c r="M272">
        <v>0</v>
      </c>
      <c r="N272">
        <v>1.6</v>
      </c>
      <c r="O272">
        <f t="shared" si="30"/>
        <v>-1.6</v>
      </c>
      <c r="P272">
        <f t="shared" si="35"/>
        <v>45.899999999999913</v>
      </c>
      <c r="Q272" s="22">
        <v>238</v>
      </c>
      <c r="R272">
        <v>1.1499999999999999</v>
      </c>
      <c r="S272" s="23">
        <f t="shared" si="31"/>
        <v>1.8399999999999999</v>
      </c>
      <c r="T272" s="23">
        <f t="shared" si="32"/>
        <v>-1.8399999999999999</v>
      </c>
      <c r="U272" s="23">
        <f t="shared" si="36"/>
        <v>40.419784946236476</v>
      </c>
      <c r="V272" s="28" t="s">
        <v>55</v>
      </c>
      <c r="W272">
        <v>687.4</v>
      </c>
      <c r="Y272">
        <f t="shared" si="34"/>
        <v>159752.30000000002</v>
      </c>
      <c r="Z272" s="38">
        <f t="shared" si="39"/>
        <v>8343.6</v>
      </c>
      <c r="AA272">
        <v>14.025039401781157</v>
      </c>
      <c r="AB272" s="28" t="s">
        <v>60</v>
      </c>
    </row>
    <row r="273" spans="1:28" x14ac:dyDescent="0.25">
      <c r="A273">
        <v>6280</v>
      </c>
      <c r="B273">
        <v>24170</v>
      </c>
      <c r="C273" s="8">
        <v>42851</v>
      </c>
      <c r="F273" s="50"/>
      <c r="G273">
        <v>5.0999999999999996</v>
      </c>
      <c r="H273">
        <v>2.8</v>
      </c>
      <c r="I273">
        <v>8.6999999999999993</v>
      </c>
      <c r="J273">
        <f t="shared" si="33"/>
        <v>2016.0999999999995</v>
      </c>
      <c r="K273" s="38">
        <f t="shared" si="38"/>
        <v>50.6</v>
      </c>
      <c r="L273" s="13">
        <f>MIN(H268:H294)</f>
        <v>1.5</v>
      </c>
      <c r="M273">
        <v>3.8</v>
      </c>
      <c r="N273">
        <v>2.1</v>
      </c>
      <c r="O273">
        <f t="shared" si="30"/>
        <v>1.6999999999999997</v>
      </c>
      <c r="P273">
        <f t="shared" si="35"/>
        <v>47.599999999999916</v>
      </c>
      <c r="Q273">
        <v>239</v>
      </c>
      <c r="R273">
        <v>1.1499999999999999</v>
      </c>
      <c r="S273" s="23">
        <f t="shared" si="31"/>
        <v>2.415</v>
      </c>
      <c r="T273" s="23">
        <f t="shared" si="32"/>
        <v>1.3849999999999998</v>
      </c>
      <c r="U273" s="23">
        <f t="shared" si="36"/>
        <v>41.804784946236474</v>
      </c>
      <c r="V273" s="23">
        <f>MIN(U268:U294)</f>
        <v>37.684784946236476</v>
      </c>
      <c r="W273">
        <v>1511.8</v>
      </c>
      <c r="Y273">
        <f t="shared" si="34"/>
        <v>161264.1</v>
      </c>
      <c r="Z273" s="38">
        <f t="shared" si="39"/>
        <v>9855.4</v>
      </c>
      <c r="AA273">
        <v>14.080595880079791</v>
      </c>
      <c r="AB273">
        <v>9</v>
      </c>
    </row>
    <row r="274" spans="1:28" x14ac:dyDescent="0.25">
      <c r="A274">
        <v>6280</v>
      </c>
      <c r="B274">
        <v>24170</v>
      </c>
      <c r="C274" s="8">
        <v>42852</v>
      </c>
      <c r="F274" s="50"/>
      <c r="G274">
        <v>5.9</v>
      </c>
      <c r="H274">
        <v>2.2000000000000002</v>
      </c>
      <c r="I274">
        <v>10.199999999999999</v>
      </c>
      <c r="J274">
        <f t="shared" si="33"/>
        <v>2021.9999999999995</v>
      </c>
      <c r="K274" s="38">
        <f t="shared" si="38"/>
        <v>56.5</v>
      </c>
      <c r="L274" s="19" t="s">
        <v>42</v>
      </c>
      <c r="M274">
        <v>0.9</v>
      </c>
      <c r="N274">
        <v>2.2999999999999998</v>
      </c>
      <c r="O274">
        <f t="shared" si="30"/>
        <v>-1.4</v>
      </c>
      <c r="P274">
        <f t="shared" si="35"/>
        <v>46.199999999999918</v>
      </c>
      <c r="Q274" s="22">
        <v>240</v>
      </c>
      <c r="R274">
        <v>1.1499999999999999</v>
      </c>
      <c r="S274" s="23">
        <f t="shared" si="31"/>
        <v>2.6449999999999996</v>
      </c>
      <c r="T274" s="23">
        <f t="shared" si="32"/>
        <v>-1.7449999999999997</v>
      </c>
      <c r="U274" s="23">
        <f t="shared" si="36"/>
        <v>40.059784946236476</v>
      </c>
      <c r="V274" s="28" t="s">
        <v>56</v>
      </c>
      <c r="W274">
        <v>1718.1</v>
      </c>
      <c r="Y274">
        <f t="shared" si="34"/>
        <v>162982.20000000001</v>
      </c>
      <c r="Z274" s="38">
        <f t="shared" si="39"/>
        <v>11573.5</v>
      </c>
      <c r="AA274">
        <v>14.135760683762022</v>
      </c>
    </row>
    <row r="275" spans="1:28" x14ac:dyDescent="0.25">
      <c r="A275">
        <v>6280</v>
      </c>
      <c r="B275">
        <v>24170</v>
      </c>
      <c r="C275" s="8">
        <v>42853</v>
      </c>
      <c r="F275" s="50"/>
      <c r="G275">
        <v>7.8</v>
      </c>
      <c r="H275">
        <v>1.5</v>
      </c>
      <c r="I275">
        <v>13</v>
      </c>
      <c r="J275">
        <f t="shared" si="33"/>
        <v>2029.7999999999995</v>
      </c>
      <c r="K275" s="38">
        <f t="shared" si="38"/>
        <v>64.3</v>
      </c>
      <c r="L275" s="12">
        <f>MAX(I268:I294)</f>
        <v>27</v>
      </c>
      <c r="M275">
        <v>2.8</v>
      </c>
      <c r="N275">
        <v>1.5</v>
      </c>
      <c r="O275">
        <f t="shared" si="30"/>
        <v>1.2999999999999998</v>
      </c>
      <c r="P275">
        <f t="shared" si="35"/>
        <v>47.499999999999915</v>
      </c>
      <c r="Q275">
        <v>241</v>
      </c>
      <c r="R275">
        <v>1.1499999999999999</v>
      </c>
      <c r="S275" s="23">
        <f t="shared" si="31"/>
        <v>1.7249999999999999</v>
      </c>
      <c r="T275" s="23">
        <f t="shared" si="32"/>
        <v>1.075</v>
      </c>
      <c r="U275" s="23">
        <f t="shared" si="36"/>
        <v>41.134784946236479</v>
      </c>
      <c r="V275" s="23">
        <f>MAX(U268:U294)</f>
        <v>55.674784946236464</v>
      </c>
      <c r="W275">
        <v>1106.3</v>
      </c>
      <c r="Y275">
        <f t="shared" si="34"/>
        <v>164088.5</v>
      </c>
      <c r="Z275" s="38">
        <f t="shared" si="39"/>
        <v>12679.8</v>
      </c>
      <c r="AA275">
        <v>14.190516680937154</v>
      </c>
    </row>
    <row r="276" spans="1:28" x14ac:dyDescent="0.25">
      <c r="A276">
        <v>6280</v>
      </c>
      <c r="B276">
        <v>24170</v>
      </c>
      <c r="C276" s="8">
        <v>42854</v>
      </c>
      <c r="F276" s="50"/>
      <c r="G276">
        <v>10</v>
      </c>
      <c r="H276">
        <v>4.5</v>
      </c>
      <c r="I276">
        <v>14.1</v>
      </c>
      <c r="J276">
        <f t="shared" si="33"/>
        <v>2039.7999999999995</v>
      </c>
      <c r="K276" s="38">
        <f t="shared" si="38"/>
        <v>74.3</v>
      </c>
      <c r="L276" s="19" t="s">
        <v>43</v>
      </c>
      <c r="M276">
        <v>0</v>
      </c>
      <c r="N276">
        <v>3</v>
      </c>
      <c r="O276">
        <f t="shared" si="30"/>
        <v>-3</v>
      </c>
      <c r="P276">
        <f t="shared" si="35"/>
        <v>44.499999999999915</v>
      </c>
      <c r="Q276" s="22">
        <v>242</v>
      </c>
      <c r="R276">
        <v>1.1499999999999999</v>
      </c>
      <c r="S276" s="23">
        <f t="shared" si="31"/>
        <v>3.4499999999999997</v>
      </c>
      <c r="T276" s="23">
        <f t="shared" si="32"/>
        <v>-3.4499999999999997</v>
      </c>
      <c r="U276" s="23">
        <f t="shared" si="36"/>
        <v>37.684784946236476</v>
      </c>
      <c r="V276" s="28" t="s">
        <v>57</v>
      </c>
      <c r="W276">
        <v>2018.4</v>
      </c>
      <c r="Y276">
        <f t="shared" si="34"/>
        <v>166106.9</v>
      </c>
      <c r="Z276" s="38">
        <f t="shared" si="39"/>
        <v>14698.199999999999</v>
      </c>
      <c r="AA276">
        <v>14.244846301014576</v>
      </c>
    </row>
    <row r="277" spans="1:28" x14ac:dyDescent="0.25">
      <c r="A277">
        <v>6280</v>
      </c>
      <c r="B277">
        <v>24170</v>
      </c>
      <c r="C277" s="8">
        <v>42855</v>
      </c>
      <c r="F277" s="50"/>
      <c r="G277">
        <v>11.3</v>
      </c>
      <c r="H277">
        <v>8.4</v>
      </c>
      <c r="I277">
        <v>17.8</v>
      </c>
      <c r="J277">
        <f t="shared" si="33"/>
        <v>2051.0999999999995</v>
      </c>
      <c r="K277" s="38">
        <f t="shared" si="38"/>
        <v>85.6</v>
      </c>
      <c r="L277" s="12">
        <v>1</v>
      </c>
      <c r="M277">
        <v>10.199999999999999</v>
      </c>
      <c r="N277">
        <v>2.8</v>
      </c>
      <c r="O277">
        <f t="shared" si="30"/>
        <v>7.3999999999999995</v>
      </c>
      <c r="P277">
        <f t="shared" si="35"/>
        <v>51.899999999999913</v>
      </c>
      <c r="Q277">
        <v>243</v>
      </c>
      <c r="R277">
        <v>1.1499999999999999</v>
      </c>
      <c r="S277" s="23">
        <f t="shared" si="31"/>
        <v>3.2199999999999998</v>
      </c>
      <c r="T277" s="23">
        <f t="shared" si="32"/>
        <v>6.9799999999999995</v>
      </c>
      <c r="U277" s="23">
        <f t="shared" si="36"/>
        <v>44.664784946236473</v>
      </c>
      <c r="V277" s="23">
        <f>AVERAGE(U268:U294)</f>
        <v>46.663118279569801</v>
      </c>
      <c r="W277">
        <v>787.6</v>
      </c>
      <c r="Y277">
        <f t="shared" si="34"/>
        <v>166894.5</v>
      </c>
      <c r="Z277" s="38">
        <f t="shared" si="39"/>
        <v>15485.8</v>
      </c>
      <c r="AA277">
        <v>14.298731533326267</v>
      </c>
    </row>
    <row r="278" spans="1:28" x14ac:dyDescent="0.25">
      <c r="A278">
        <v>6280</v>
      </c>
      <c r="B278">
        <v>24170</v>
      </c>
      <c r="C278" s="8">
        <v>42856</v>
      </c>
      <c r="F278" s="50"/>
      <c r="G278">
        <v>10.5</v>
      </c>
      <c r="H278">
        <v>7.6</v>
      </c>
      <c r="I278">
        <v>13.6</v>
      </c>
      <c r="J278">
        <f t="shared" si="33"/>
        <v>2061.5999999999995</v>
      </c>
      <c r="K278" s="38">
        <f t="shared" si="38"/>
        <v>96.1</v>
      </c>
      <c r="L278" s="19" t="s">
        <v>44</v>
      </c>
      <c r="M278">
        <v>0.2</v>
      </c>
      <c r="N278">
        <v>2.6</v>
      </c>
      <c r="O278">
        <f t="shared" si="30"/>
        <v>-2.4</v>
      </c>
      <c r="P278">
        <f t="shared" si="35"/>
        <v>49.499999999999915</v>
      </c>
      <c r="Q278" s="22">
        <v>244</v>
      </c>
      <c r="R278">
        <v>1.1499999999999999</v>
      </c>
      <c r="S278" s="23">
        <f t="shared" si="31"/>
        <v>2.9899999999999998</v>
      </c>
      <c r="T278" s="23">
        <f t="shared" si="32"/>
        <v>-2.7899999999999996</v>
      </c>
      <c r="U278" s="23">
        <f t="shared" si="36"/>
        <v>41.874784946236474</v>
      </c>
      <c r="W278">
        <v>1382.3</v>
      </c>
      <c r="Y278">
        <f t="shared" si="34"/>
        <v>168276.8</v>
      </c>
      <c r="Z278" s="38">
        <f t="shared" si="39"/>
        <v>16868.099999999999</v>
      </c>
      <c r="AA278">
        <v>14.352153926997229</v>
      </c>
    </row>
    <row r="279" spans="1:28" x14ac:dyDescent="0.25">
      <c r="A279">
        <v>6280</v>
      </c>
      <c r="B279">
        <v>24170</v>
      </c>
      <c r="C279" s="8">
        <v>42857</v>
      </c>
      <c r="F279" s="50"/>
      <c r="G279">
        <v>11.5</v>
      </c>
      <c r="H279">
        <v>7</v>
      </c>
      <c r="I279">
        <v>15.1</v>
      </c>
      <c r="J279">
        <f t="shared" si="33"/>
        <v>2073.0999999999995</v>
      </c>
      <c r="K279" s="38">
        <f t="shared" si="38"/>
        <v>107.6</v>
      </c>
      <c r="L279" s="12">
        <v>7</v>
      </c>
      <c r="M279">
        <v>0.4</v>
      </c>
      <c r="N279">
        <v>2.2000000000000002</v>
      </c>
      <c r="O279">
        <f t="shared" si="30"/>
        <v>-1.8000000000000003</v>
      </c>
      <c r="P279">
        <f t="shared" si="35"/>
        <v>47.699999999999918</v>
      </c>
      <c r="Q279">
        <v>245</v>
      </c>
      <c r="R279">
        <v>1.1499999999999999</v>
      </c>
      <c r="S279" s="23">
        <f t="shared" si="31"/>
        <v>2.5299999999999998</v>
      </c>
      <c r="T279" s="23">
        <f t="shared" si="32"/>
        <v>-2.13</v>
      </c>
      <c r="U279" s="23">
        <f t="shared" si="36"/>
        <v>39.744784946236472</v>
      </c>
      <c r="V279" s="42">
        <f>(V277*100)/197.4</f>
        <v>23.638864376681763</v>
      </c>
      <c r="W279">
        <v>1398</v>
      </c>
      <c r="Y279">
        <f t="shared" si="34"/>
        <v>169674.8</v>
      </c>
      <c r="Z279" s="38">
        <f t="shared" si="39"/>
        <v>18266.099999999999</v>
      </c>
      <c r="AA279">
        <v>14.405094592137976</v>
      </c>
    </row>
    <row r="280" spans="1:28" x14ac:dyDescent="0.25">
      <c r="A280">
        <v>6280</v>
      </c>
      <c r="B280">
        <v>24170</v>
      </c>
      <c r="C280" s="8">
        <v>42858</v>
      </c>
      <c r="F280" s="50"/>
      <c r="G280">
        <v>9.8000000000000007</v>
      </c>
      <c r="H280">
        <v>9.4</v>
      </c>
      <c r="I280">
        <v>11.5</v>
      </c>
      <c r="J280">
        <f t="shared" si="33"/>
        <v>2082.8999999999996</v>
      </c>
      <c r="K280" s="38">
        <f t="shared" si="38"/>
        <v>117.39999999999999</v>
      </c>
      <c r="L280" s="19" t="s">
        <v>45</v>
      </c>
      <c r="M280">
        <v>9.9</v>
      </c>
      <c r="N280">
        <v>0.8</v>
      </c>
      <c r="O280">
        <f t="shared" si="30"/>
        <v>9.1</v>
      </c>
      <c r="P280">
        <f t="shared" si="35"/>
        <v>56.799999999999919</v>
      </c>
      <c r="Q280" s="22">
        <v>246</v>
      </c>
      <c r="R280">
        <v>1.1499999999999999</v>
      </c>
      <c r="S280" s="23">
        <f t="shared" si="31"/>
        <v>0.91999999999999993</v>
      </c>
      <c r="T280" s="23">
        <f t="shared" si="32"/>
        <v>8.98</v>
      </c>
      <c r="U280" s="23">
        <f t="shared" si="36"/>
        <v>48.724784946236468</v>
      </c>
      <c r="W280">
        <v>462.1</v>
      </c>
      <c r="Y280">
        <f t="shared" si="34"/>
        <v>170136.9</v>
      </c>
      <c r="Z280" s="38">
        <f t="shared" si="39"/>
        <v>18728.199999999997</v>
      </c>
      <c r="AA280">
        <v>14.457534202434282</v>
      </c>
    </row>
    <row r="281" spans="1:28" x14ac:dyDescent="0.25">
      <c r="A281">
        <v>6280</v>
      </c>
      <c r="B281">
        <v>24170</v>
      </c>
      <c r="C281" s="8">
        <v>42859</v>
      </c>
      <c r="F281" s="50"/>
      <c r="G281">
        <v>10.4</v>
      </c>
      <c r="H281">
        <v>7</v>
      </c>
      <c r="I281">
        <v>14.7</v>
      </c>
      <c r="J281">
        <f t="shared" si="33"/>
        <v>2093.2999999999997</v>
      </c>
      <c r="K281" s="38">
        <f t="shared" si="38"/>
        <v>127.8</v>
      </c>
      <c r="L281" s="18">
        <v>0</v>
      </c>
      <c r="M281">
        <v>2.9</v>
      </c>
      <c r="N281">
        <v>1</v>
      </c>
      <c r="O281">
        <f t="shared" si="30"/>
        <v>1.9</v>
      </c>
      <c r="P281">
        <f t="shared" si="35"/>
        <v>58.699999999999918</v>
      </c>
      <c r="Q281">
        <v>247</v>
      </c>
      <c r="R281">
        <v>1.1499999999999999</v>
      </c>
      <c r="S281" s="23">
        <f t="shared" si="31"/>
        <v>1.1499999999999999</v>
      </c>
      <c r="T281" s="23">
        <f t="shared" si="32"/>
        <v>1.75</v>
      </c>
      <c r="U281" s="23">
        <f t="shared" si="36"/>
        <v>50.474784946236468</v>
      </c>
      <c r="W281">
        <v>663.4</v>
      </c>
      <c r="Y281">
        <f t="shared" si="34"/>
        <v>170800.3</v>
      </c>
      <c r="Z281" s="38">
        <f t="shared" si="39"/>
        <v>19391.599999999999</v>
      </c>
      <c r="AA281">
        <v>14.509452999210106</v>
      </c>
    </row>
    <row r="282" spans="1:28" x14ac:dyDescent="0.25">
      <c r="A282">
        <v>6280</v>
      </c>
      <c r="B282">
        <v>24170</v>
      </c>
      <c r="C282" s="8">
        <v>42860</v>
      </c>
      <c r="F282" s="50"/>
      <c r="G282">
        <v>12.4</v>
      </c>
      <c r="H282">
        <v>7.2</v>
      </c>
      <c r="I282">
        <v>16.899999999999999</v>
      </c>
      <c r="J282">
        <f t="shared" si="33"/>
        <v>2105.6999999999998</v>
      </c>
      <c r="K282" s="38">
        <f t="shared" si="38"/>
        <v>140.19999999999999</v>
      </c>
      <c r="M282">
        <v>0.2</v>
      </c>
      <c r="N282">
        <v>1.8</v>
      </c>
      <c r="O282">
        <f t="shared" si="30"/>
        <v>-1.6</v>
      </c>
      <c r="P282">
        <f t="shared" si="35"/>
        <v>57.099999999999916</v>
      </c>
      <c r="Q282" s="22">
        <v>248</v>
      </c>
      <c r="R282">
        <v>1.1499999999999999</v>
      </c>
      <c r="S282" s="23">
        <f t="shared" si="31"/>
        <v>2.0699999999999998</v>
      </c>
      <c r="T282" s="23">
        <f t="shared" si="32"/>
        <v>-1.8699999999999999</v>
      </c>
      <c r="U282" s="23">
        <f t="shared" si="36"/>
        <v>48.604784946236471</v>
      </c>
      <c r="W282">
        <v>1115.3</v>
      </c>
      <c r="Y282">
        <f t="shared" si="34"/>
        <v>171915.59999999998</v>
      </c>
      <c r="Z282" s="38">
        <f t="shared" si="39"/>
        <v>20506.899999999998</v>
      </c>
      <c r="AA282">
        <v>14.560830797039975</v>
      </c>
    </row>
    <row r="283" spans="1:28" x14ac:dyDescent="0.25">
      <c r="A283">
        <v>6280</v>
      </c>
      <c r="B283">
        <v>24170</v>
      </c>
      <c r="C283" s="8">
        <v>42861</v>
      </c>
      <c r="F283" s="50"/>
      <c r="G283">
        <v>11.9</v>
      </c>
      <c r="H283">
        <v>11.6</v>
      </c>
      <c r="I283">
        <v>12.5</v>
      </c>
      <c r="J283">
        <f t="shared" si="33"/>
        <v>2117.6</v>
      </c>
      <c r="K283" s="38">
        <f t="shared" si="38"/>
        <v>152.1</v>
      </c>
      <c r="M283">
        <v>6.6</v>
      </c>
      <c r="N283">
        <v>1</v>
      </c>
      <c r="O283">
        <f t="shared" si="30"/>
        <v>5.6</v>
      </c>
      <c r="P283">
        <f t="shared" si="35"/>
        <v>62.699999999999918</v>
      </c>
      <c r="Q283">
        <v>249</v>
      </c>
      <c r="R283">
        <v>1.1499999999999999</v>
      </c>
      <c r="S283" s="23">
        <f t="shared" si="31"/>
        <v>1.1499999999999999</v>
      </c>
      <c r="T283" s="23">
        <f t="shared" si="32"/>
        <v>5.4499999999999993</v>
      </c>
      <c r="U283" s="23">
        <f t="shared" si="36"/>
        <v>54.054784946236467</v>
      </c>
      <c r="W283">
        <v>574.79999999999995</v>
      </c>
      <c r="Y283">
        <f t="shared" si="34"/>
        <v>172490.39999999997</v>
      </c>
      <c r="Z283" s="38">
        <f t="shared" si="39"/>
        <v>21081.699999999997</v>
      </c>
      <c r="AA283">
        <v>14.611646990986749</v>
      </c>
    </row>
    <row r="284" spans="1:28" x14ac:dyDescent="0.25">
      <c r="A284">
        <v>6280</v>
      </c>
      <c r="B284">
        <v>24170</v>
      </c>
      <c r="C284" s="8">
        <v>42862</v>
      </c>
      <c r="F284" s="50"/>
      <c r="G284">
        <v>10.6</v>
      </c>
      <c r="H284">
        <v>9.8000000000000007</v>
      </c>
      <c r="I284">
        <v>12</v>
      </c>
      <c r="J284">
        <f t="shared" si="33"/>
        <v>2128.1999999999998</v>
      </c>
      <c r="K284" s="38">
        <f t="shared" si="38"/>
        <v>162.69999999999999</v>
      </c>
      <c r="M284">
        <v>3</v>
      </c>
      <c r="N284">
        <v>1.2</v>
      </c>
      <c r="O284">
        <f t="shared" si="30"/>
        <v>1.8</v>
      </c>
      <c r="P284">
        <f t="shared" si="35"/>
        <v>64.499999999999915</v>
      </c>
      <c r="Q284" s="22">
        <v>250</v>
      </c>
      <c r="R284">
        <v>1.1499999999999999</v>
      </c>
      <c r="S284" s="23">
        <f t="shared" si="31"/>
        <v>1.38</v>
      </c>
      <c r="T284" s="23">
        <f t="shared" si="32"/>
        <v>1.62</v>
      </c>
      <c r="U284" s="23">
        <f t="shared" si="36"/>
        <v>55.674784946236464</v>
      </c>
      <c r="W284">
        <v>726.5</v>
      </c>
      <c r="Y284">
        <f t="shared" si="34"/>
        <v>173216.89999999997</v>
      </c>
      <c r="Z284" s="38">
        <f t="shared" si="39"/>
        <v>21808.199999999997</v>
      </c>
      <c r="AA284">
        <v>14.661880565540054</v>
      </c>
    </row>
    <row r="285" spans="1:28" x14ac:dyDescent="0.25">
      <c r="A285">
        <v>6280</v>
      </c>
      <c r="B285">
        <v>24170</v>
      </c>
      <c r="C285" s="8">
        <v>42863</v>
      </c>
      <c r="F285" s="50"/>
      <c r="G285">
        <v>9.3000000000000007</v>
      </c>
      <c r="H285">
        <v>8</v>
      </c>
      <c r="I285">
        <v>10.199999999999999</v>
      </c>
      <c r="J285">
        <f t="shared" si="33"/>
        <v>2137.5</v>
      </c>
      <c r="K285" s="38">
        <f t="shared" si="38"/>
        <v>172</v>
      </c>
      <c r="M285">
        <v>0.2</v>
      </c>
      <c r="N285">
        <v>1.1000000000000001</v>
      </c>
      <c r="O285">
        <f t="shared" si="30"/>
        <v>-0.90000000000000013</v>
      </c>
      <c r="P285">
        <f t="shared" si="35"/>
        <v>63.599999999999916</v>
      </c>
      <c r="Q285">
        <v>251</v>
      </c>
      <c r="R285">
        <v>1.1499999999999999</v>
      </c>
      <c r="S285" s="23">
        <f t="shared" si="31"/>
        <v>1.2649999999999999</v>
      </c>
      <c r="T285" s="23">
        <f t="shared" si="32"/>
        <v>-1.0649999999999999</v>
      </c>
      <c r="U285" s="23">
        <f t="shared" si="36"/>
        <v>54.609784946236466</v>
      </c>
      <c r="W285">
        <v>505.8</v>
      </c>
      <c r="Y285">
        <f t="shared" si="34"/>
        <v>173722.69999999995</v>
      </c>
      <c r="Z285" s="38">
        <f t="shared" si="39"/>
        <v>22313.999999999996</v>
      </c>
      <c r="AA285">
        <v>14.711510105329232</v>
      </c>
    </row>
    <row r="286" spans="1:28" x14ac:dyDescent="0.25">
      <c r="A286">
        <v>6280</v>
      </c>
      <c r="B286">
        <v>24170</v>
      </c>
      <c r="C286" s="8">
        <v>42864</v>
      </c>
      <c r="F286" s="50"/>
      <c r="G286">
        <v>10.6</v>
      </c>
      <c r="H286">
        <v>5.7</v>
      </c>
      <c r="I286">
        <v>14.7</v>
      </c>
      <c r="J286">
        <f t="shared" si="33"/>
        <v>2148.1</v>
      </c>
      <c r="K286" s="38">
        <f t="shared" si="38"/>
        <v>182.6</v>
      </c>
      <c r="M286">
        <v>0</v>
      </c>
      <c r="N286">
        <v>3.4</v>
      </c>
      <c r="O286">
        <f t="shared" si="30"/>
        <v>-3.4</v>
      </c>
      <c r="P286">
        <f t="shared" si="35"/>
        <v>60.199999999999918</v>
      </c>
      <c r="Q286" s="22">
        <v>252</v>
      </c>
      <c r="R286">
        <v>1.1499999999999999</v>
      </c>
      <c r="S286" s="23">
        <f t="shared" si="31"/>
        <v>3.9099999999999997</v>
      </c>
      <c r="T286" s="23">
        <f t="shared" si="32"/>
        <v>-3.9099999999999997</v>
      </c>
      <c r="U286" s="23">
        <f t="shared" si="36"/>
        <v>50.69978494623647</v>
      </c>
      <c r="W286">
        <v>2202.8000000000002</v>
      </c>
      <c r="Y286">
        <f t="shared" si="34"/>
        <v>175925.49999999994</v>
      </c>
      <c r="Z286" s="38">
        <f t="shared" si="39"/>
        <v>24516.799999999996</v>
      </c>
      <c r="AA286">
        <v>14.760513807682617</v>
      </c>
    </row>
    <row r="287" spans="1:28" x14ac:dyDescent="0.25">
      <c r="A287">
        <v>6280</v>
      </c>
      <c r="B287">
        <v>24170</v>
      </c>
      <c r="C287" s="8">
        <v>42865</v>
      </c>
      <c r="F287" s="50"/>
      <c r="G287">
        <v>13.7</v>
      </c>
      <c r="H287">
        <v>7</v>
      </c>
      <c r="I287">
        <v>18.600000000000001</v>
      </c>
      <c r="J287">
        <f t="shared" si="33"/>
        <v>2161.7999999999997</v>
      </c>
      <c r="K287" s="38">
        <f t="shared" si="38"/>
        <v>196.29999999999998</v>
      </c>
      <c r="M287">
        <v>0</v>
      </c>
      <c r="N287">
        <v>3.9</v>
      </c>
      <c r="O287">
        <f t="shared" si="30"/>
        <v>-3.9</v>
      </c>
      <c r="P287">
        <f t="shared" si="35"/>
        <v>56.299999999999919</v>
      </c>
      <c r="Q287">
        <v>253</v>
      </c>
      <c r="R287">
        <v>1.1499999999999999</v>
      </c>
      <c r="S287" s="23">
        <f t="shared" si="31"/>
        <v>4.4849999999999994</v>
      </c>
      <c r="T287" s="23">
        <f t="shared" si="32"/>
        <v>-4.4849999999999994</v>
      </c>
      <c r="U287" s="23">
        <f t="shared" si="36"/>
        <v>46.21478494623647</v>
      </c>
      <c r="W287">
        <v>2392.5</v>
      </c>
      <c r="Y287">
        <f t="shared" si="34"/>
        <v>178317.99999999994</v>
      </c>
      <c r="Z287" s="38">
        <f t="shared" si="39"/>
        <v>26909.299999999996</v>
      </c>
      <c r="AA287">
        <v>14.808869497102163</v>
      </c>
    </row>
    <row r="288" spans="1:28" x14ac:dyDescent="0.25">
      <c r="A288">
        <v>6280</v>
      </c>
      <c r="B288">
        <v>24170</v>
      </c>
      <c r="C288" s="8">
        <v>42866</v>
      </c>
      <c r="F288" s="50"/>
      <c r="G288">
        <v>15</v>
      </c>
      <c r="H288">
        <v>13.1</v>
      </c>
      <c r="I288">
        <v>18.100000000000001</v>
      </c>
      <c r="J288">
        <f t="shared" si="33"/>
        <v>2176.7999999999997</v>
      </c>
      <c r="K288" s="38">
        <f t="shared" si="38"/>
        <v>211.29999999999998</v>
      </c>
      <c r="M288">
        <v>0.3</v>
      </c>
      <c r="N288">
        <v>2.2000000000000002</v>
      </c>
      <c r="O288">
        <f t="shared" si="30"/>
        <v>-1.9000000000000001</v>
      </c>
      <c r="P288">
        <f t="shared" si="35"/>
        <v>54.39999999999992</v>
      </c>
      <c r="Q288" s="22">
        <v>254</v>
      </c>
      <c r="R288">
        <v>1.1499999999999999</v>
      </c>
      <c r="S288" s="23">
        <f t="shared" si="31"/>
        <v>2.5299999999999998</v>
      </c>
      <c r="T288" s="23">
        <f t="shared" si="32"/>
        <v>-2.23</v>
      </c>
      <c r="U288" s="23">
        <f t="shared" si="36"/>
        <v>43.984784946236474</v>
      </c>
      <c r="W288">
        <v>1060.4000000000001</v>
      </c>
      <c r="Y288">
        <f t="shared" si="34"/>
        <v>179378.39999999994</v>
      </c>
      <c r="Z288" s="38">
        <f t="shared" si="39"/>
        <v>27969.699999999997</v>
      </c>
      <c r="AA288">
        <v>14.856554641718869</v>
      </c>
    </row>
    <row r="289" spans="1:28" x14ac:dyDescent="0.25">
      <c r="A289">
        <v>6280</v>
      </c>
      <c r="B289">
        <v>24170</v>
      </c>
      <c r="C289" s="8">
        <v>42867</v>
      </c>
      <c r="F289" s="50"/>
      <c r="G289">
        <v>14.4</v>
      </c>
      <c r="H289">
        <v>12.9</v>
      </c>
      <c r="I289">
        <v>18.899999999999999</v>
      </c>
      <c r="J289">
        <f t="shared" si="33"/>
        <v>2191.1999999999998</v>
      </c>
      <c r="K289" s="38">
        <f t="shared" si="38"/>
        <v>225.7</v>
      </c>
      <c r="M289">
        <v>9.8000000000000007</v>
      </c>
      <c r="N289">
        <v>1.9</v>
      </c>
      <c r="O289">
        <f t="shared" si="30"/>
        <v>7.9</v>
      </c>
      <c r="P289">
        <f t="shared" si="35"/>
        <v>62.299999999999919</v>
      </c>
      <c r="Q289">
        <v>255</v>
      </c>
      <c r="R289">
        <v>1.1499999999999999</v>
      </c>
      <c r="S289" s="23">
        <f t="shared" si="31"/>
        <v>2.1849999999999996</v>
      </c>
      <c r="T289" s="23">
        <f t="shared" si="32"/>
        <v>7.6150000000000011</v>
      </c>
      <c r="U289" s="23">
        <f t="shared" si="36"/>
        <v>51.599784946236475</v>
      </c>
      <c r="W289">
        <v>770.5</v>
      </c>
      <c r="Y289">
        <f t="shared" si="34"/>
        <v>180148.89999999994</v>
      </c>
      <c r="Z289" s="38">
        <f t="shared" si="39"/>
        <v>28740.199999999997</v>
      </c>
      <c r="AA289">
        <v>14.90354637179006</v>
      </c>
    </row>
    <row r="290" spans="1:28" x14ac:dyDescent="0.25">
      <c r="A290">
        <v>6280</v>
      </c>
      <c r="B290">
        <v>24170</v>
      </c>
      <c r="C290" s="8">
        <v>42868</v>
      </c>
      <c r="F290" s="50"/>
      <c r="G290">
        <v>15.4</v>
      </c>
      <c r="H290">
        <v>11.9</v>
      </c>
      <c r="I290">
        <v>18.5</v>
      </c>
      <c r="J290">
        <f t="shared" si="33"/>
        <v>2206.6</v>
      </c>
      <c r="K290" s="38">
        <f t="shared" si="38"/>
        <v>241.1</v>
      </c>
      <c r="M290">
        <v>0</v>
      </c>
      <c r="N290">
        <v>2.8</v>
      </c>
      <c r="O290">
        <f t="shared" si="30"/>
        <v>-2.8</v>
      </c>
      <c r="P290">
        <f t="shared" si="35"/>
        <v>59.499999999999922</v>
      </c>
      <c r="Q290" s="22">
        <v>256</v>
      </c>
      <c r="R290">
        <v>1.1499999999999999</v>
      </c>
      <c r="S290" s="23">
        <f t="shared" si="31"/>
        <v>3.2199999999999998</v>
      </c>
      <c r="T290" s="23">
        <f t="shared" si="32"/>
        <v>-3.2199999999999998</v>
      </c>
      <c r="U290" s="23">
        <f t="shared" si="36"/>
        <v>48.379784946236477</v>
      </c>
      <c r="W290">
        <v>1531.5</v>
      </c>
      <c r="Y290">
        <f t="shared" si="34"/>
        <v>181680.39999999994</v>
      </c>
      <c r="Z290" s="38">
        <f t="shared" si="39"/>
        <v>30271.699999999997</v>
      </c>
      <c r="AA290">
        <v>14.949821500294176</v>
      </c>
    </row>
    <row r="291" spans="1:28" x14ac:dyDescent="0.25">
      <c r="A291">
        <v>6280</v>
      </c>
      <c r="B291">
        <v>24170</v>
      </c>
      <c r="C291" s="8">
        <v>42869</v>
      </c>
      <c r="F291" s="50"/>
      <c r="G291">
        <v>14.2</v>
      </c>
      <c r="H291">
        <v>12.3</v>
      </c>
      <c r="I291">
        <v>17.5</v>
      </c>
      <c r="J291">
        <f t="shared" si="33"/>
        <v>2220.7999999999997</v>
      </c>
      <c r="K291" s="38">
        <f t="shared" si="38"/>
        <v>255.29999999999998</v>
      </c>
      <c r="M291">
        <v>4.0999999999999996</v>
      </c>
      <c r="N291">
        <v>1.3</v>
      </c>
      <c r="O291">
        <f t="shared" si="30"/>
        <v>2.8</v>
      </c>
      <c r="P291">
        <f t="shared" si="35"/>
        <v>62.299999999999919</v>
      </c>
      <c r="Q291">
        <v>257</v>
      </c>
      <c r="R291">
        <v>1.1499999999999999</v>
      </c>
      <c r="S291" s="23">
        <f t="shared" si="31"/>
        <v>1.4949999999999999</v>
      </c>
      <c r="T291" s="23">
        <f t="shared" si="32"/>
        <v>2.6049999999999995</v>
      </c>
      <c r="U291" s="23">
        <f t="shared" si="36"/>
        <v>50.984784946236474</v>
      </c>
      <c r="W291">
        <v>642.79999999999995</v>
      </c>
      <c r="Y291">
        <f t="shared" si="34"/>
        <v>182323.19999999992</v>
      </c>
      <c r="Z291" s="38">
        <f t="shared" si="39"/>
        <v>30914.499999999996</v>
      </c>
      <c r="AA291">
        <v>14.995356545672491</v>
      </c>
    </row>
    <row r="292" spans="1:28" x14ac:dyDescent="0.25">
      <c r="A292">
        <v>6280</v>
      </c>
      <c r="B292">
        <v>24170</v>
      </c>
      <c r="C292" s="8">
        <v>42870</v>
      </c>
      <c r="F292" s="50"/>
      <c r="G292">
        <v>17.2</v>
      </c>
      <c r="H292">
        <v>9.6</v>
      </c>
      <c r="I292">
        <v>22.6</v>
      </c>
      <c r="J292">
        <f t="shared" si="33"/>
        <v>2237.9999999999995</v>
      </c>
      <c r="K292" s="38">
        <f t="shared" si="38"/>
        <v>272.5</v>
      </c>
      <c r="M292">
        <v>0</v>
      </c>
      <c r="N292">
        <v>2.5</v>
      </c>
      <c r="O292">
        <f t="shared" ref="O292:O355" si="40">M292-N292</f>
        <v>-2.5</v>
      </c>
      <c r="P292">
        <f t="shared" si="35"/>
        <v>59.799999999999919</v>
      </c>
      <c r="Q292" s="22">
        <v>258</v>
      </c>
      <c r="R292">
        <v>1.1499999999999999</v>
      </c>
      <c r="S292" s="23">
        <f t="shared" ref="S292:S355" si="41">R292*N292</f>
        <v>2.875</v>
      </c>
      <c r="T292" s="23">
        <f t="shared" ref="T292:T355" si="42">M292-S292</f>
        <v>-2.875</v>
      </c>
      <c r="U292" s="23">
        <f t="shared" si="36"/>
        <v>48.109784946236474</v>
      </c>
      <c r="W292">
        <v>1394.6</v>
      </c>
      <c r="Y292">
        <f t="shared" si="34"/>
        <v>183717.79999999993</v>
      </c>
      <c r="Z292" s="38">
        <f t="shared" si="39"/>
        <v>32309.099999999995</v>
      </c>
      <c r="AA292">
        <v>15.040127756759844</v>
      </c>
    </row>
    <row r="293" spans="1:28" x14ac:dyDescent="0.25">
      <c r="A293">
        <v>6280</v>
      </c>
      <c r="B293">
        <v>24170</v>
      </c>
      <c r="C293" s="8">
        <v>42871</v>
      </c>
      <c r="F293" s="50"/>
      <c r="G293">
        <v>20.5</v>
      </c>
      <c r="H293">
        <v>13.9</v>
      </c>
      <c r="I293">
        <v>24.9</v>
      </c>
      <c r="J293">
        <f t="shared" ref="J293:J356" si="43">J292+G293</f>
        <v>2258.4999999999995</v>
      </c>
      <c r="K293" s="38">
        <f t="shared" si="38"/>
        <v>293</v>
      </c>
      <c r="M293">
        <v>0</v>
      </c>
      <c r="N293">
        <v>2</v>
      </c>
      <c r="O293">
        <f t="shared" si="40"/>
        <v>-2</v>
      </c>
      <c r="P293">
        <f t="shared" si="35"/>
        <v>57.799999999999919</v>
      </c>
      <c r="Q293">
        <v>259</v>
      </c>
      <c r="R293">
        <v>1.1499999999999999</v>
      </c>
      <c r="S293" s="23">
        <f t="shared" si="41"/>
        <v>2.2999999999999998</v>
      </c>
      <c r="T293" s="23">
        <f t="shared" si="42"/>
        <v>-2.2999999999999998</v>
      </c>
      <c r="U293" s="23">
        <f t="shared" si="36"/>
        <v>45.809784946236476</v>
      </c>
      <c r="W293">
        <v>1029.5999999999999</v>
      </c>
      <c r="Y293">
        <f t="shared" ref="Y293:Y356" si="44">Y292+W293</f>
        <v>184747.39999999994</v>
      </c>
      <c r="Z293" s="38">
        <f t="shared" si="39"/>
        <v>33338.699999999997</v>
      </c>
      <c r="AA293">
        <v>15.084111139938146</v>
      </c>
    </row>
    <row r="294" spans="1:28" s="31" customFormat="1" ht="15.75" thickBot="1" x14ac:dyDescent="0.3">
      <c r="A294" s="31">
        <v>6280</v>
      </c>
      <c r="B294" s="31">
        <v>24170</v>
      </c>
      <c r="C294" s="32">
        <v>42872</v>
      </c>
      <c r="F294" s="50"/>
      <c r="G294" s="31">
        <v>21.2</v>
      </c>
      <c r="H294" s="31">
        <v>17.100000000000001</v>
      </c>
      <c r="I294" s="31">
        <v>27</v>
      </c>
      <c r="J294" s="31">
        <f t="shared" si="43"/>
        <v>2279.6999999999994</v>
      </c>
      <c r="K294" s="31">
        <f t="shared" si="38"/>
        <v>314.2</v>
      </c>
      <c r="M294" s="31">
        <v>6.4</v>
      </c>
      <c r="N294" s="31">
        <v>4.5</v>
      </c>
      <c r="O294" s="31">
        <f t="shared" si="40"/>
        <v>1.9000000000000004</v>
      </c>
      <c r="P294" s="31">
        <f t="shared" si="35"/>
        <v>59.699999999999918</v>
      </c>
      <c r="Q294" s="34">
        <v>260</v>
      </c>
      <c r="R294" s="31">
        <v>1.1499999999999999</v>
      </c>
      <c r="S294" s="33">
        <f t="shared" si="41"/>
        <v>5.1749999999999998</v>
      </c>
      <c r="T294" s="33">
        <f t="shared" si="42"/>
        <v>1.2250000000000005</v>
      </c>
      <c r="U294" s="23">
        <f t="shared" si="36"/>
        <v>47.034784946236478</v>
      </c>
      <c r="W294" s="31">
        <v>1977</v>
      </c>
      <c r="Y294" s="31">
        <f t="shared" si="44"/>
        <v>186724.39999999994</v>
      </c>
      <c r="Z294" s="31">
        <f t="shared" si="39"/>
        <v>35315.699999999997</v>
      </c>
      <c r="AA294" s="31">
        <v>15.127282488536952</v>
      </c>
    </row>
    <row r="295" spans="1:28" s="38" customFormat="1" x14ac:dyDescent="0.25">
      <c r="A295" s="38">
        <v>6280</v>
      </c>
      <c r="B295" s="38">
        <v>24170</v>
      </c>
      <c r="C295" s="39">
        <v>42873</v>
      </c>
      <c r="D295" s="38">
        <v>300</v>
      </c>
      <c r="F295" s="51" t="s">
        <v>51</v>
      </c>
      <c r="G295" s="38">
        <v>14.9</v>
      </c>
      <c r="H295" s="38">
        <v>12.1</v>
      </c>
      <c r="I295" s="38">
        <v>19.100000000000001</v>
      </c>
      <c r="J295" s="38">
        <f t="shared" si="43"/>
        <v>2294.5999999999995</v>
      </c>
      <c r="K295" s="38">
        <f>G295</f>
        <v>14.9</v>
      </c>
      <c r="L295" s="20" t="s">
        <v>39</v>
      </c>
      <c r="M295" s="38">
        <v>12.7</v>
      </c>
      <c r="N295" s="38">
        <v>2.1</v>
      </c>
      <c r="O295" s="38">
        <f t="shared" si="40"/>
        <v>10.6</v>
      </c>
      <c r="P295" s="38">
        <f t="shared" si="35"/>
        <v>70.299999999999912</v>
      </c>
      <c r="Q295" s="38">
        <v>261</v>
      </c>
      <c r="R295">
        <f>1.15+((Q295-260)/63)*(0.35-1.15)</f>
        <v>1.1373015873015873</v>
      </c>
      <c r="S295" s="41">
        <f t="shared" si="41"/>
        <v>2.3883333333333332</v>
      </c>
      <c r="T295" s="41">
        <f t="shared" si="42"/>
        <v>10.311666666666666</v>
      </c>
      <c r="U295" s="23">
        <f t="shared" si="36"/>
        <v>57.346451612903145</v>
      </c>
      <c r="V295" s="29" t="s">
        <v>53</v>
      </c>
      <c r="W295" s="38">
        <v>1047.5999999999999</v>
      </c>
      <c r="Y295" s="38">
        <f t="shared" si="44"/>
        <v>187771.99999999994</v>
      </c>
      <c r="Z295" s="38">
        <f>W295</f>
        <v>1047.5999999999999</v>
      </c>
      <c r="AA295" s="38">
        <v>15.169617414494891</v>
      </c>
      <c r="AB295" s="29" t="s">
        <v>58</v>
      </c>
    </row>
    <row r="296" spans="1:28" ht="15" customHeight="1" x14ac:dyDescent="0.25">
      <c r="A296">
        <v>6280</v>
      </c>
      <c r="B296">
        <v>24170</v>
      </c>
      <c r="C296" s="8">
        <v>42874</v>
      </c>
      <c r="F296" s="51"/>
      <c r="G296">
        <v>11.8</v>
      </c>
      <c r="H296">
        <v>9.6</v>
      </c>
      <c r="I296">
        <v>14.3</v>
      </c>
      <c r="J296">
        <f t="shared" si="43"/>
        <v>2306.3999999999996</v>
      </c>
      <c r="K296" s="38">
        <f t="shared" si="38"/>
        <v>26.700000000000003</v>
      </c>
      <c r="L296" s="12">
        <v>300</v>
      </c>
      <c r="M296">
        <v>0.7</v>
      </c>
      <c r="N296">
        <v>1.7</v>
      </c>
      <c r="O296">
        <f t="shared" si="40"/>
        <v>-1</v>
      </c>
      <c r="P296">
        <f t="shared" si="35"/>
        <v>69.299999999999912</v>
      </c>
      <c r="Q296" s="22">
        <v>262</v>
      </c>
      <c r="R296">
        <f t="shared" ref="R296:R357" si="45">1.15+((Q296-260)/63)*(0.35-1.15)</f>
        <v>1.1246031746031746</v>
      </c>
      <c r="S296" s="23">
        <f t="shared" si="41"/>
        <v>1.9118253968253969</v>
      </c>
      <c r="T296" s="23">
        <f t="shared" si="42"/>
        <v>-1.2118253968253969</v>
      </c>
      <c r="U296" s="23">
        <f t="shared" si="36"/>
        <v>56.134626216077748</v>
      </c>
      <c r="V296">
        <v>0</v>
      </c>
      <c r="W296">
        <v>1056.3</v>
      </c>
      <c r="Y296">
        <f t="shared" si="44"/>
        <v>188828.29999999993</v>
      </c>
      <c r="Z296" s="38">
        <f t="shared" si="39"/>
        <v>2103.8999999999996</v>
      </c>
      <c r="AA296">
        <v>15.211091382284106</v>
      </c>
      <c r="AB296">
        <v>30126.799999999999</v>
      </c>
    </row>
    <row r="297" spans="1:28" x14ac:dyDescent="0.25">
      <c r="A297">
        <v>6280</v>
      </c>
      <c r="B297">
        <v>24170</v>
      </c>
      <c r="C297" s="8">
        <v>42875</v>
      </c>
      <c r="F297" s="51"/>
      <c r="G297">
        <v>12.1</v>
      </c>
      <c r="H297">
        <v>8.6</v>
      </c>
      <c r="I297">
        <v>15.4</v>
      </c>
      <c r="J297">
        <f t="shared" si="43"/>
        <v>2318.4999999999995</v>
      </c>
      <c r="K297" s="38">
        <f t="shared" si="38"/>
        <v>38.800000000000004</v>
      </c>
      <c r="L297" s="20" t="s">
        <v>40</v>
      </c>
      <c r="M297">
        <v>0</v>
      </c>
      <c r="N297">
        <v>3.1</v>
      </c>
      <c r="O297">
        <f t="shared" si="40"/>
        <v>-3.1</v>
      </c>
      <c r="P297">
        <f t="shared" ref="P297:P352" si="46">P296+O297</f>
        <v>66.199999999999918</v>
      </c>
      <c r="Q297">
        <v>263</v>
      </c>
      <c r="R297">
        <f t="shared" si="45"/>
        <v>1.1119047619047617</v>
      </c>
      <c r="S297" s="23">
        <f t="shared" si="41"/>
        <v>3.4469047619047615</v>
      </c>
      <c r="T297" s="23">
        <f t="shared" si="42"/>
        <v>-3.4469047619047615</v>
      </c>
      <c r="U297" s="23">
        <f t="shared" ref="U297:U357" si="47">MIN(U296+T297,197.4)</f>
        <v>52.687721454172987</v>
      </c>
      <c r="V297" s="29" t="s">
        <v>54</v>
      </c>
      <c r="W297">
        <v>2022.8</v>
      </c>
      <c r="Y297">
        <f t="shared" si="44"/>
        <v>190851.09999999992</v>
      </c>
      <c r="Z297" s="38">
        <f t="shared" si="39"/>
        <v>4126.7</v>
      </c>
      <c r="AA297">
        <v>15.251679745087065</v>
      </c>
      <c r="AB297" s="29" t="s">
        <v>59</v>
      </c>
    </row>
    <row r="298" spans="1:28" x14ac:dyDescent="0.25">
      <c r="A298">
        <v>6280</v>
      </c>
      <c r="B298">
        <v>24170</v>
      </c>
      <c r="C298" s="8">
        <v>42876</v>
      </c>
      <c r="F298" s="51"/>
      <c r="G298">
        <v>15.1</v>
      </c>
      <c r="H298">
        <v>8.9</v>
      </c>
      <c r="I298">
        <v>19.899999999999999</v>
      </c>
      <c r="J298">
        <f t="shared" si="43"/>
        <v>2333.5999999999995</v>
      </c>
      <c r="K298" s="38">
        <f t="shared" si="38"/>
        <v>53.900000000000006</v>
      </c>
      <c r="L298" s="17">
        <f>AVERAGE(G295:G310)</f>
        <v>18.75</v>
      </c>
      <c r="M298">
        <v>0</v>
      </c>
      <c r="N298">
        <v>3.3</v>
      </c>
      <c r="O298">
        <f t="shared" si="40"/>
        <v>-3.3</v>
      </c>
      <c r="P298">
        <f t="shared" si="46"/>
        <v>62.89999999999992</v>
      </c>
      <c r="Q298" s="22">
        <v>264</v>
      </c>
      <c r="R298">
        <f t="shared" si="45"/>
        <v>1.0992063492063491</v>
      </c>
      <c r="S298" s="23">
        <f t="shared" si="41"/>
        <v>3.6273809523809519</v>
      </c>
      <c r="T298" s="23">
        <f t="shared" si="42"/>
        <v>-3.6273809523809519</v>
      </c>
      <c r="U298" s="23">
        <f t="shared" si="47"/>
        <v>49.060340501792034</v>
      </c>
      <c r="V298">
        <v>16</v>
      </c>
      <c r="W298">
        <v>1984</v>
      </c>
      <c r="Y298">
        <f t="shared" si="44"/>
        <v>192835.09999999992</v>
      </c>
      <c r="Z298" s="38">
        <f t="shared" si="39"/>
        <v>6110.7</v>
      </c>
      <c r="AA298">
        <v>15.291357783201317</v>
      </c>
      <c r="AB298">
        <f>(AB296/100)/L296</f>
        <v>1.0042266666666666</v>
      </c>
    </row>
    <row r="299" spans="1:28" x14ac:dyDescent="0.25">
      <c r="A299">
        <v>6280</v>
      </c>
      <c r="B299">
        <v>24170</v>
      </c>
      <c r="C299" s="8">
        <v>42877</v>
      </c>
      <c r="F299" s="51"/>
      <c r="G299">
        <v>18.399999999999999</v>
      </c>
      <c r="H299">
        <v>10.3</v>
      </c>
      <c r="I299">
        <v>24.1</v>
      </c>
      <c r="J299">
        <f t="shared" si="43"/>
        <v>2351.9999999999995</v>
      </c>
      <c r="K299" s="38">
        <f t="shared" si="38"/>
        <v>72.300000000000011</v>
      </c>
      <c r="L299" s="20" t="s">
        <v>41</v>
      </c>
      <c r="M299">
        <v>0</v>
      </c>
      <c r="N299">
        <v>4.2</v>
      </c>
      <c r="O299">
        <f t="shared" si="40"/>
        <v>-4.2</v>
      </c>
      <c r="P299">
        <f t="shared" si="46"/>
        <v>58.699999999999918</v>
      </c>
      <c r="Q299">
        <v>265</v>
      </c>
      <c r="R299">
        <f t="shared" si="45"/>
        <v>1.0865079365079364</v>
      </c>
      <c r="S299" s="23">
        <f t="shared" si="41"/>
        <v>4.5633333333333335</v>
      </c>
      <c r="T299" s="23">
        <f t="shared" si="42"/>
        <v>-4.5633333333333335</v>
      </c>
      <c r="U299" s="23">
        <f t="shared" si="47"/>
        <v>44.497007168458701</v>
      </c>
      <c r="V299" s="29" t="s">
        <v>55</v>
      </c>
      <c r="W299">
        <v>2308.3000000000002</v>
      </c>
      <c r="Y299">
        <f t="shared" si="44"/>
        <v>195143.39999999991</v>
      </c>
      <c r="Z299" s="38">
        <f t="shared" si="39"/>
        <v>8419</v>
      </c>
      <c r="AA299">
        <v>15.330100744632848</v>
      </c>
      <c r="AB299" s="29" t="s">
        <v>60</v>
      </c>
    </row>
    <row r="300" spans="1:28" x14ac:dyDescent="0.25">
      <c r="A300">
        <v>6280</v>
      </c>
      <c r="B300">
        <v>24170</v>
      </c>
      <c r="C300" s="8">
        <v>42878</v>
      </c>
      <c r="F300" s="51"/>
      <c r="G300">
        <v>18.100000000000001</v>
      </c>
      <c r="H300">
        <v>14.1</v>
      </c>
      <c r="I300">
        <v>22.3</v>
      </c>
      <c r="J300">
        <f t="shared" si="43"/>
        <v>2370.0999999999995</v>
      </c>
      <c r="K300" s="38">
        <f t="shared" si="38"/>
        <v>90.4</v>
      </c>
      <c r="L300" s="13">
        <f>MIN(H295:H310)</f>
        <v>8.6</v>
      </c>
      <c r="M300">
        <v>0</v>
      </c>
      <c r="N300">
        <v>3.9</v>
      </c>
      <c r="O300">
        <f t="shared" si="40"/>
        <v>-3.9</v>
      </c>
      <c r="P300">
        <f t="shared" si="46"/>
        <v>54.799999999999919</v>
      </c>
      <c r="Q300" s="22">
        <v>266</v>
      </c>
      <c r="R300">
        <f t="shared" si="45"/>
        <v>1.0738095238095238</v>
      </c>
      <c r="S300" s="23">
        <f t="shared" si="41"/>
        <v>4.1878571428571423</v>
      </c>
      <c r="T300" s="23">
        <f t="shared" si="42"/>
        <v>-4.1878571428571423</v>
      </c>
      <c r="U300" s="23">
        <f t="shared" si="47"/>
        <v>40.309150025601561</v>
      </c>
      <c r="V300" s="23">
        <f>MIN(U295:U310)</f>
        <v>2.5186738351253757</v>
      </c>
      <c r="W300">
        <v>1977.9</v>
      </c>
      <c r="Y300">
        <f t="shared" si="44"/>
        <v>197121.2999999999</v>
      </c>
      <c r="Z300" s="38">
        <f t="shared" si="39"/>
        <v>10396.9</v>
      </c>
      <c r="AA300">
        <v>15.367883887822787</v>
      </c>
      <c r="AB300">
        <v>0</v>
      </c>
    </row>
    <row r="301" spans="1:28" x14ac:dyDescent="0.25">
      <c r="A301">
        <v>6280</v>
      </c>
      <c r="B301">
        <v>24170</v>
      </c>
      <c r="C301" s="8">
        <v>42879</v>
      </c>
      <c r="F301" s="51"/>
      <c r="G301">
        <v>18.100000000000001</v>
      </c>
      <c r="H301">
        <v>14.3</v>
      </c>
      <c r="I301">
        <v>21.6</v>
      </c>
      <c r="J301">
        <f t="shared" si="43"/>
        <v>2388.1999999999994</v>
      </c>
      <c r="K301" s="38">
        <f t="shared" si="38"/>
        <v>108.5</v>
      </c>
      <c r="L301" s="20" t="s">
        <v>42</v>
      </c>
      <c r="M301">
        <v>0</v>
      </c>
      <c r="N301">
        <v>2.5</v>
      </c>
      <c r="O301">
        <f t="shared" si="40"/>
        <v>-2.5</v>
      </c>
      <c r="P301">
        <f t="shared" si="46"/>
        <v>52.299999999999919</v>
      </c>
      <c r="Q301">
        <v>267</v>
      </c>
      <c r="R301">
        <f t="shared" si="45"/>
        <v>1.0611111111111111</v>
      </c>
      <c r="S301" s="23">
        <f t="shared" si="41"/>
        <v>2.6527777777777777</v>
      </c>
      <c r="T301" s="23">
        <f t="shared" si="42"/>
        <v>-2.6527777777777777</v>
      </c>
      <c r="U301" s="23">
        <f t="shared" si="47"/>
        <v>37.656372247823782</v>
      </c>
      <c r="V301" s="29" t="s">
        <v>56</v>
      </c>
      <c r="W301">
        <v>1310.4000000000001</v>
      </c>
      <c r="Y301">
        <f t="shared" si="44"/>
        <v>198431.6999999999</v>
      </c>
      <c r="Z301" s="38">
        <f t="shared" si="39"/>
        <v>11707.3</v>
      </c>
      <c r="AA301">
        <v>15.404682526435451</v>
      </c>
    </row>
    <row r="302" spans="1:28" x14ac:dyDescent="0.25">
      <c r="A302">
        <v>6280</v>
      </c>
      <c r="B302">
        <v>24170</v>
      </c>
      <c r="C302" s="8">
        <v>42880</v>
      </c>
      <c r="F302" s="51"/>
      <c r="G302">
        <v>19.7</v>
      </c>
      <c r="H302">
        <v>14.4</v>
      </c>
      <c r="I302">
        <v>24.5</v>
      </c>
      <c r="J302">
        <f t="shared" si="43"/>
        <v>2407.8999999999992</v>
      </c>
      <c r="K302" s="38">
        <f t="shared" si="38"/>
        <v>128.19999999999999</v>
      </c>
      <c r="L302" s="12">
        <f>MAX(I295:I310)</f>
        <v>29.4</v>
      </c>
      <c r="M302">
        <v>0</v>
      </c>
      <c r="N302">
        <v>6.1</v>
      </c>
      <c r="O302">
        <f t="shared" si="40"/>
        <v>-6.1</v>
      </c>
      <c r="P302">
        <f t="shared" si="46"/>
        <v>46.199999999999918</v>
      </c>
      <c r="Q302" s="22">
        <v>268</v>
      </c>
      <c r="R302">
        <f t="shared" si="45"/>
        <v>1.0484126984126982</v>
      </c>
      <c r="S302" s="23">
        <f t="shared" si="41"/>
        <v>6.3953174603174592</v>
      </c>
      <c r="T302" s="23">
        <f t="shared" si="42"/>
        <v>-6.3953174603174592</v>
      </c>
      <c r="U302" s="23">
        <f t="shared" si="47"/>
        <v>31.261054787506325</v>
      </c>
      <c r="V302" s="23">
        <f>MAX(U295:U310)</f>
        <v>57.346451612903145</v>
      </c>
      <c r="W302">
        <v>3037.8</v>
      </c>
      <c r="Y302">
        <f t="shared" si="44"/>
        <v>201469.49999999988</v>
      </c>
      <c r="Z302" s="38">
        <f t="shared" si="39"/>
        <v>14745.099999999999</v>
      </c>
      <c r="AA302">
        <v>15.440472076118089</v>
      </c>
    </row>
    <row r="303" spans="1:28" x14ac:dyDescent="0.25">
      <c r="A303">
        <v>6280</v>
      </c>
      <c r="B303">
        <v>24170</v>
      </c>
      <c r="C303" s="8">
        <v>42881</v>
      </c>
      <c r="F303" s="51"/>
      <c r="G303">
        <v>21.4</v>
      </c>
      <c r="H303">
        <v>15.7</v>
      </c>
      <c r="I303">
        <v>26.2</v>
      </c>
      <c r="J303">
        <f t="shared" si="43"/>
        <v>2429.2999999999993</v>
      </c>
      <c r="K303" s="38">
        <f t="shared" si="38"/>
        <v>149.6</v>
      </c>
      <c r="L303" s="20" t="s">
        <v>43</v>
      </c>
      <c r="M303">
        <v>0</v>
      </c>
      <c r="N303">
        <v>6.9</v>
      </c>
      <c r="O303">
        <f t="shared" si="40"/>
        <v>-6.9</v>
      </c>
      <c r="P303">
        <f t="shared" si="46"/>
        <v>39.299999999999919</v>
      </c>
      <c r="Q303">
        <v>269</v>
      </c>
      <c r="R303">
        <f t="shared" si="45"/>
        <v>1.0357142857142856</v>
      </c>
      <c r="S303" s="23">
        <f t="shared" si="41"/>
        <v>7.1464285714285714</v>
      </c>
      <c r="T303" s="23">
        <f t="shared" si="42"/>
        <v>-7.1464285714285714</v>
      </c>
      <c r="U303" s="23">
        <f t="shared" si="47"/>
        <v>24.114626216077752</v>
      </c>
      <c r="V303" s="29" t="s">
        <v>57</v>
      </c>
      <c r="W303">
        <v>3181.2</v>
      </c>
      <c r="Y303">
        <f t="shared" si="44"/>
        <v>204650.6999999999</v>
      </c>
      <c r="Z303" s="38">
        <f t="shared" si="39"/>
        <v>17926.3</v>
      </c>
      <c r="AA303">
        <v>15.475228103124287</v>
      </c>
    </row>
    <row r="304" spans="1:28" x14ac:dyDescent="0.25">
      <c r="A304">
        <v>6280</v>
      </c>
      <c r="B304">
        <v>24170</v>
      </c>
      <c r="C304" s="8">
        <v>42882</v>
      </c>
      <c r="F304" s="51"/>
      <c r="G304">
        <v>23.4</v>
      </c>
      <c r="H304">
        <v>18.5</v>
      </c>
      <c r="I304">
        <v>29</v>
      </c>
      <c r="J304">
        <f t="shared" si="43"/>
        <v>2452.6999999999994</v>
      </c>
      <c r="K304" s="38">
        <f t="shared" si="38"/>
        <v>173</v>
      </c>
      <c r="L304" s="12">
        <v>6</v>
      </c>
      <c r="M304">
        <v>1.5</v>
      </c>
      <c r="N304">
        <v>5.2</v>
      </c>
      <c r="O304">
        <f t="shared" si="40"/>
        <v>-3.7</v>
      </c>
      <c r="P304">
        <f t="shared" si="46"/>
        <v>35.599999999999916</v>
      </c>
      <c r="Q304" s="22">
        <v>270</v>
      </c>
      <c r="R304">
        <f t="shared" si="45"/>
        <v>1.0230158730158729</v>
      </c>
      <c r="S304" s="23">
        <f t="shared" si="41"/>
        <v>5.3196825396825398</v>
      </c>
      <c r="T304" s="23">
        <f t="shared" si="42"/>
        <v>-3.8196825396825398</v>
      </c>
      <c r="U304" s="23">
        <f t="shared" si="47"/>
        <v>20.294943676395214</v>
      </c>
      <c r="V304" s="23">
        <f>AVERAGE(U295:U310)</f>
        <v>29.230057763696802</v>
      </c>
      <c r="W304">
        <v>2469.6999999999998</v>
      </c>
      <c r="Y304">
        <f t="shared" si="44"/>
        <v>207120.39999999991</v>
      </c>
      <c r="Z304" s="38">
        <f t="shared" si="39"/>
        <v>20396</v>
      </c>
      <c r="AA304">
        <v>15.508926374674209</v>
      </c>
    </row>
    <row r="305" spans="1:28" x14ac:dyDescent="0.25">
      <c r="A305">
        <v>6280</v>
      </c>
      <c r="B305">
        <v>24170</v>
      </c>
      <c r="C305" s="8">
        <v>42883</v>
      </c>
      <c r="F305" s="51"/>
      <c r="G305">
        <v>23.9</v>
      </c>
      <c r="H305">
        <v>16.600000000000001</v>
      </c>
      <c r="I305">
        <v>29.4</v>
      </c>
      <c r="J305">
        <f t="shared" si="43"/>
        <v>2476.5999999999995</v>
      </c>
      <c r="K305" s="38">
        <f t="shared" si="38"/>
        <v>196.9</v>
      </c>
      <c r="L305" s="20" t="s">
        <v>44</v>
      </c>
      <c r="M305">
        <v>0</v>
      </c>
      <c r="N305">
        <v>3.2</v>
      </c>
      <c r="O305">
        <f t="shared" si="40"/>
        <v>-3.2</v>
      </c>
      <c r="P305">
        <f t="shared" si="46"/>
        <v>32.399999999999913</v>
      </c>
      <c r="Q305">
        <v>271</v>
      </c>
      <c r="R305">
        <f t="shared" si="45"/>
        <v>1.0103174603174603</v>
      </c>
      <c r="S305" s="23">
        <f t="shared" si="41"/>
        <v>3.2330158730158729</v>
      </c>
      <c r="T305" s="23">
        <f t="shared" si="42"/>
        <v>-3.2330158730158729</v>
      </c>
      <c r="U305" s="23">
        <f t="shared" si="47"/>
        <v>17.061927803379341</v>
      </c>
      <c r="W305">
        <v>1672</v>
      </c>
      <c r="Y305">
        <f t="shared" si="44"/>
        <v>208792.39999999991</v>
      </c>
      <c r="Z305" s="38">
        <f t="shared" si="39"/>
        <v>22068</v>
      </c>
      <c r="AA305">
        <v>15.541542910905559</v>
      </c>
    </row>
    <row r="306" spans="1:28" x14ac:dyDescent="0.25">
      <c r="A306">
        <v>6280</v>
      </c>
      <c r="B306">
        <v>24170</v>
      </c>
      <c r="C306" s="8">
        <v>42884</v>
      </c>
      <c r="F306" s="51"/>
      <c r="G306">
        <v>23.6</v>
      </c>
      <c r="H306">
        <v>21.8</v>
      </c>
      <c r="I306">
        <v>27.4</v>
      </c>
      <c r="J306">
        <f t="shared" si="43"/>
        <v>2500.1999999999994</v>
      </c>
      <c r="K306" s="38">
        <f t="shared" si="38"/>
        <v>220.5</v>
      </c>
      <c r="L306" s="12">
        <v>0</v>
      </c>
      <c r="M306">
        <v>0</v>
      </c>
      <c r="N306">
        <v>3.3</v>
      </c>
      <c r="O306">
        <f t="shared" si="40"/>
        <v>-3.3</v>
      </c>
      <c r="P306">
        <f t="shared" si="46"/>
        <v>29.099999999999913</v>
      </c>
      <c r="Q306" s="22">
        <v>272</v>
      </c>
      <c r="R306">
        <f t="shared" si="45"/>
        <v>0.99761904761904752</v>
      </c>
      <c r="S306" s="23">
        <f t="shared" si="41"/>
        <v>3.2921428571428568</v>
      </c>
      <c r="T306" s="23">
        <f t="shared" si="42"/>
        <v>-3.2921428571428568</v>
      </c>
      <c r="U306" s="23">
        <f t="shared" si="47"/>
        <v>13.769784946236484</v>
      </c>
      <c r="V306" s="42">
        <f>(V304*100)/197.4</f>
        <v>14.807526729329686</v>
      </c>
      <c r="W306">
        <v>1444.2</v>
      </c>
      <c r="Y306">
        <f t="shared" si="44"/>
        <v>210236.59999999992</v>
      </c>
      <c r="Z306" s="38">
        <f t="shared" si="39"/>
        <v>23512.2</v>
      </c>
      <c r="AA306">
        <v>15.573054038249644</v>
      </c>
    </row>
    <row r="307" spans="1:28" x14ac:dyDescent="0.25">
      <c r="A307">
        <v>6280</v>
      </c>
      <c r="B307">
        <v>24170</v>
      </c>
      <c r="C307" s="8">
        <v>42885</v>
      </c>
      <c r="F307" s="51"/>
      <c r="G307">
        <v>19.3</v>
      </c>
      <c r="H307">
        <v>19.100000000000001</v>
      </c>
      <c r="I307">
        <v>21.6</v>
      </c>
      <c r="J307">
        <f t="shared" si="43"/>
        <v>2519.4999999999995</v>
      </c>
      <c r="K307" s="38">
        <f t="shared" si="38"/>
        <v>239.8</v>
      </c>
      <c r="L307" s="20" t="s">
        <v>45</v>
      </c>
      <c r="M307">
        <v>0</v>
      </c>
      <c r="N307">
        <v>3</v>
      </c>
      <c r="O307">
        <f t="shared" si="40"/>
        <v>-3</v>
      </c>
      <c r="P307">
        <f t="shared" si="46"/>
        <v>26.099999999999913</v>
      </c>
      <c r="Q307">
        <v>273</v>
      </c>
      <c r="R307">
        <f t="shared" si="45"/>
        <v>0.98492063492063486</v>
      </c>
      <c r="S307" s="23">
        <f t="shared" si="41"/>
        <v>2.9547619047619045</v>
      </c>
      <c r="T307" s="23">
        <f t="shared" si="42"/>
        <v>-2.9547619047619045</v>
      </c>
      <c r="U307" s="23">
        <f t="shared" si="47"/>
        <v>10.81502304147458</v>
      </c>
      <c r="W307">
        <v>1185.5</v>
      </c>
      <c r="Y307">
        <f t="shared" si="44"/>
        <v>211422.09999999992</v>
      </c>
      <c r="Z307" s="38">
        <f t="shared" si="39"/>
        <v>24697.7</v>
      </c>
      <c r="AA307">
        <v>15.603436444047484</v>
      </c>
    </row>
    <row r="308" spans="1:28" x14ac:dyDescent="0.25">
      <c r="A308">
        <v>6280</v>
      </c>
      <c r="B308">
        <v>24170</v>
      </c>
      <c r="C308" s="8">
        <v>42886</v>
      </c>
      <c r="F308" s="51"/>
      <c r="G308">
        <v>18.7</v>
      </c>
      <c r="H308">
        <v>13.2</v>
      </c>
      <c r="I308">
        <v>22.6</v>
      </c>
      <c r="J308">
        <f t="shared" si="43"/>
        <v>2538.1999999999994</v>
      </c>
      <c r="K308" s="38">
        <f t="shared" si="38"/>
        <v>258.5</v>
      </c>
      <c r="L308" s="18">
        <v>0</v>
      </c>
      <c r="M308">
        <v>0</v>
      </c>
      <c r="N308">
        <v>3.5</v>
      </c>
      <c r="O308">
        <f t="shared" si="40"/>
        <v>-3.5</v>
      </c>
      <c r="P308">
        <f t="shared" si="46"/>
        <v>22.599999999999913</v>
      </c>
      <c r="Q308" s="22">
        <v>274</v>
      </c>
      <c r="R308">
        <f t="shared" si="45"/>
        <v>0.9722222222222221</v>
      </c>
      <c r="S308" s="23">
        <f t="shared" si="41"/>
        <v>3.4027777777777772</v>
      </c>
      <c r="T308" s="23">
        <f t="shared" si="42"/>
        <v>-3.4027777777777772</v>
      </c>
      <c r="U308" s="23">
        <f t="shared" si="47"/>
        <v>7.4122452636968035</v>
      </c>
      <c r="W308">
        <v>1901.3</v>
      </c>
      <c r="Y308">
        <f t="shared" si="44"/>
        <v>213323.39999999991</v>
      </c>
      <c r="Z308" s="38">
        <f t="shared" si="39"/>
        <v>26599</v>
      </c>
      <c r="AA308">
        <v>15.632667232201838</v>
      </c>
    </row>
    <row r="309" spans="1:28" x14ac:dyDescent="0.25">
      <c r="A309">
        <v>6280</v>
      </c>
      <c r="B309">
        <v>24170</v>
      </c>
      <c r="C309" s="8">
        <v>42887</v>
      </c>
      <c r="F309" s="51"/>
      <c r="G309">
        <v>21</v>
      </c>
      <c r="H309">
        <v>15.6</v>
      </c>
      <c r="I309">
        <v>25.6</v>
      </c>
      <c r="J309">
        <f t="shared" si="43"/>
        <v>2559.1999999999994</v>
      </c>
      <c r="K309" s="38">
        <f t="shared" si="38"/>
        <v>279.5</v>
      </c>
      <c r="M309">
        <v>0</v>
      </c>
      <c r="N309">
        <v>5.0999999999999996</v>
      </c>
      <c r="O309">
        <f t="shared" si="40"/>
        <v>-5.0999999999999996</v>
      </c>
      <c r="P309">
        <f t="shared" si="46"/>
        <v>17.499999999999915</v>
      </c>
      <c r="Q309">
        <v>275</v>
      </c>
      <c r="R309">
        <f t="shared" si="45"/>
        <v>0.95952380952380945</v>
      </c>
      <c r="S309" s="23">
        <f t="shared" si="41"/>
        <v>4.8935714285714278</v>
      </c>
      <c r="T309" s="23">
        <f t="shared" si="42"/>
        <v>-4.8935714285714278</v>
      </c>
      <c r="U309" s="23">
        <f t="shared" si="47"/>
        <v>2.5186738351253757</v>
      </c>
      <c r="W309">
        <v>2548</v>
      </c>
      <c r="Y309">
        <f t="shared" si="44"/>
        <v>215871.39999999991</v>
      </c>
      <c r="Z309" s="38">
        <f t="shared" si="39"/>
        <v>29147</v>
      </c>
      <c r="AA309">
        <v>15.660723979642132</v>
      </c>
    </row>
    <row r="310" spans="1:28" s="31" customFormat="1" ht="15.75" thickBot="1" x14ac:dyDescent="0.3">
      <c r="A310" s="31">
        <v>6280</v>
      </c>
      <c r="B310" s="31">
        <v>24170</v>
      </c>
      <c r="C310" s="32">
        <v>42888</v>
      </c>
      <c r="F310" s="51"/>
      <c r="G310" s="31">
        <v>20.5</v>
      </c>
      <c r="H310" s="31">
        <v>17.399999999999999</v>
      </c>
      <c r="I310" s="31">
        <v>26.8</v>
      </c>
      <c r="J310" s="31">
        <f t="shared" si="43"/>
        <v>2579.6999999999994</v>
      </c>
      <c r="K310" s="31">
        <f t="shared" si="38"/>
        <v>300</v>
      </c>
      <c r="M310" s="31">
        <v>2.4</v>
      </c>
      <c r="N310" s="31">
        <v>2.2999999999999998</v>
      </c>
      <c r="O310" s="31">
        <f t="shared" si="40"/>
        <v>0.10000000000000009</v>
      </c>
      <c r="P310" s="31">
        <f t="shared" si="46"/>
        <v>17.599999999999916</v>
      </c>
      <c r="Q310" s="34">
        <v>276</v>
      </c>
      <c r="R310">
        <f t="shared" si="45"/>
        <v>0.94682539682539679</v>
      </c>
      <c r="S310" s="33">
        <f t="shared" si="41"/>
        <v>2.1776984126984122</v>
      </c>
      <c r="T310" s="33">
        <f t="shared" si="42"/>
        <v>0.22230158730158767</v>
      </c>
      <c r="U310" s="23">
        <f t="shared" si="47"/>
        <v>2.7409754224269633</v>
      </c>
      <c r="W310" s="31">
        <v>979.8</v>
      </c>
      <c r="Y310" s="31">
        <f t="shared" si="44"/>
        <v>216851.1999999999</v>
      </c>
      <c r="Z310" s="31">
        <f t="shared" si="39"/>
        <v>30126.799999999999</v>
      </c>
      <c r="AA310" s="31">
        <v>15.687584793361568</v>
      </c>
    </row>
    <row r="311" spans="1:28" s="38" customFormat="1" x14ac:dyDescent="0.25">
      <c r="A311" s="38">
        <v>6280</v>
      </c>
      <c r="B311" s="38">
        <v>24170</v>
      </c>
      <c r="C311" s="39">
        <v>42889</v>
      </c>
      <c r="D311" s="38">
        <v>600</v>
      </c>
      <c r="F311" s="52" t="s">
        <v>52</v>
      </c>
      <c r="G311" s="38">
        <v>16.100000000000001</v>
      </c>
      <c r="H311" s="38">
        <v>14.6</v>
      </c>
      <c r="I311" s="38">
        <v>20.6</v>
      </c>
      <c r="J311" s="38">
        <f t="shared" si="43"/>
        <v>2595.7999999999993</v>
      </c>
      <c r="K311" s="38">
        <f>G311</f>
        <v>16.100000000000001</v>
      </c>
      <c r="L311" s="21" t="s">
        <v>39</v>
      </c>
      <c r="M311" s="38">
        <v>3.4</v>
      </c>
      <c r="N311" s="38">
        <v>2</v>
      </c>
      <c r="O311" s="38">
        <f t="shared" si="40"/>
        <v>1.4</v>
      </c>
      <c r="P311" s="38">
        <f t="shared" si="46"/>
        <v>18.999999999999915</v>
      </c>
      <c r="Q311" s="38">
        <v>277</v>
      </c>
      <c r="R311">
        <f t="shared" si="45"/>
        <v>0.93412698412698403</v>
      </c>
      <c r="S311" s="41">
        <f t="shared" si="41"/>
        <v>1.8682539682539681</v>
      </c>
      <c r="T311" s="41">
        <f t="shared" si="42"/>
        <v>1.5317460317460319</v>
      </c>
      <c r="U311" s="23">
        <f t="shared" si="47"/>
        <v>4.272721454172995</v>
      </c>
      <c r="V311" s="30" t="s">
        <v>53</v>
      </c>
      <c r="W311" s="38">
        <v>929.2</v>
      </c>
      <c r="Y311" s="38">
        <f t="shared" si="44"/>
        <v>217780.39999999991</v>
      </c>
      <c r="Z311" s="38">
        <f>W311</f>
        <v>929.2</v>
      </c>
      <c r="AA311" s="38">
        <v>15.713228367768739</v>
      </c>
      <c r="AB311" s="30" t="s">
        <v>58</v>
      </c>
    </row>
    <row r="312" spans="1:28" ht="15" customHeight="1" x14ac:dyDescent="0.25">
      <c r="A312">
        <v>6280</v>
      </c>
      <c r="B312">
        <v>24170</v>
      </c>
      <c r="C312" s="8">
        <v>42890</v>
      </c>
      <c r="F312" s="52"/>
      <c r="G312">
        <v>15.4</v>
      </c>
      <c r="H312">
        <v>10.199999999999999</v>
      </c>
      <c r="I312">
        <v>19.5</v>
      </c>
      <c r="J312">
        <f t="shared" si="43"/>
        <v>2611.1999999999994</v>
      </c>
      <c r="K312" s="38">
        <f t="shared" si="38"/>
        <v>31.5</v>
      </c>
      <c r="L312" s="12">
        <v>404.9</v>
      </c>
      <c r="M312">
        <v>0</v>
      </c>
      <c r="N312">
        <v>3.4</v>
      </c>
      <c r="O312">
        <f t="shared" si="40"/>
        <v>-3.4</v>
      </c>
      <c r="P312">
        <f t="shared" si="46"/>
        <v>15.599999999999914</v>
      </c>
      <c r="Q312" s="22">
        <v>278</v>
      </c>
      <c r="R312">
        <f t="shared" si="45"/>
        <v>0.92142857142857137</v>
      </c>
      <c r="S312" s="23">
        <f t="shared" si="41"/>
        <v>3.1328571428571426</v>
      </c>
      <c r="T312" s="23">
        <f t="shared" si="42"/>
        <v>-3.1328571428571426</v>
      </c>
      <c r="U312" s="23">
        <f t="shared" si="47"/>
        <v>1.1398643113158524</v>
      </c>
      <c r="V312">
        <v>11</v>
      </c>
      <c r="W312">
        <v>2071.1999999999998</v>
      </c>
      <c r="Y312">
        <f t="shared" si="44"/>
        <v>219851.59999999992</v>
      </c>
      <c r="Z312" s="38">
        <f t="shared" si="39"/>
        <v>3000.3999999999996</v>
      </c>
      <c r="AA312">
        <v>15.737634042080611</v>
      </c>
      <c r="AB312">
        <v>42764.9</v>
      </c>
    </row>
    <row r="313" spans="1:28" x14ac:dyDescent="0.25">
      <c r="A313">
        <v>6280</v>
      </c>
      <c r="B313">
        <v>24170</v>
      </c>
      <c r="C313" s="8">
        <v>42891</v>
      </c>
      <c r="F313" s="52"/>
      <c r="G313">
        <v>17.2</v>
      </c>
      <c r="H313">
        <v>11.2</v>
      </c>
      <c r="I313">
        <v>20.9</v>
      </c>
      <c r="J313">
        <f t="shared" si="43"/>
        <v>2628.3999999999992</v>
      </c>
      <c r="K313" s="38">
        <f t="shared" ref="K313:K357" si="48">K312+G313</f>
        <v>48.7</v>
      </c>
      <c r="L313" s="21" t="s">
        <v>40</v>
      </c>
      <c r="M313">
        <v>8.3000000000000007</v>
      </c>
      <c r="N313">
        <v>3.3</v>
      </c>
      <c r="O313">
        <f t="shared" si="40"/>
        <v>5.0000000000000009</v>
      </c>
      <c r="P313">
        <f t="shared" si="46"/>
        <v>20.599999999999916</v>
      </c>
      <c r="Q313">
        <v>279</v>
      </c>
      <c r="R313">
        <f t="shared" si="45"/>
        <v>0.90873015873015861</v>
      </c>
      <c r="S313" s="23">
        <f t="shared" si="41"/>
        <v>2.9988095238095234</v>
      </c>
      <c r="T313" s="23">
        <f t="shared" si="42"/>
        <v>5.3011904761904773</v>
      </c>
      <c r="U313" s="23">
        <f t="shared" si="47"/>
        <v>6.4410547875063298</v>
      </c>
      <c r="V313" s="30" t="s">
        <v>54</v>
      </c>
      <c r="W313">
        <v>1613.8</v>
      </c>
      <c r="Y313">
        <f t="shared" si="44"/>
        <v>221465.39999999991</v>
      </c>
      <c r="Z313" s="38">
        <f t="shared" si="39"/>
        <v>4614.2</v>
      </c>
      <c r="AA313">
        <v>15.760781857469823</v>
      </c>
      <c r="AB313" s="30" t="s">
        <v>59</v>
      </c>
    </row>
    <row r="314" spans="1:28" x14ac:dyDescent="0.25">
      <c r="A314">
        <v>6280</v>
      </c>
      <c r="B314">
        <v>24170</v>
      </c>
      <c r="C314" s="8">
        <v>42892</v>
      </c>
      <c r="F314" s="52"/>
      <c r="G314">
        <v>12.9</v>
      </c>
      <c r="H314">
        <v>12.2</v>
      </c>
      <c r="I314">
        <v>13.9</v>
      </c>
      <c r="J314">
        <f t="shared" si="43"/>
        <v>2641.2999999999993</v>
      </c>
      <c r="K314" s="38">
        <f t="shared" si="48"/>
        <v>61.6</v>
      </c>
      <c r="L314" s="12">
        <f>AVERAGE(G311:G330)</f>
        <v>20.245000000000005</v>
      </c>
      <c r="M314">
        <v>5.7</v>
      </c>
      <c r="N314">
        <v>2.6</v>
      </c>
      <c r="O314">
        <f t="shared" si="40"/>
        <v>3.1</v>
      </c>
      <c r="P314">
        <f t="shared" si="46"/>
        <v>23.699999999999918</v>
      </c>
      <c r="Q314" s="22">
        <v>280</v>
      </c>
      <c r="R314">
        <f t="shared" si="45"/>
        <v>0.89603174603174596</v>
      </c>
      <c r="S314" s="23">
        <f t="shared" si="41"/>
        <v>2.3296825396825396</v>
      </c>
      <c r="T314" s="23">
        <f t="shared" si="42"/>
        <v>3.3703174603174606</v>
      </c>
      <c r="U314" s="23">
        <f t="shared" si="47"/>
        <v>9.8113722478237904</v>
      </c>
      <c r="V314">
        <v>9</v>
      </c>
      <c r="W314">
        <v>1441</v>
      </c>
      <c r="Y314">
        <f t="shared" si="44"/>
        <v>222906.39999999991</v>
      </c>
      <c r="Z314" s="38">
        <f t="shared" si="39"/>
        <v>6055.2</v>
      </c>
      <c r="AA314">
        <v>15.782652613667457</v>
      </c>
      <c r="AB314">
        <f>(AB312/100)/L312</f>
        <v>1.0561842430229686</v>
      </c>
    </row>
    <row r="315" spans="1:28" x14ac:dyDescent="0.25">
      <c r="A315">
        <v>6280</v>
      </c>
      <c r="B315">
        <v>24170</v>
      </c>
      <c r="C315" s="8">
        <v>42893</v>
      </c>
      <c r="F315" s="52"/>
      <c r="G315">
        <v>14.8</v>
      </c>
      <c r="H315">
        <v>10.7</v>
      </c>
      <c r="I315">
        <v>18.5</v>
      </c>
      <c r="J315">
        <f t="shared" si="43"/>
        <v>2656.0999999999995</v>
      </c>
      <c r="K315" s="38">
        <f t="shared" si="48"/>
        <v>76.400000000000006</v>
      </c>
      <c r="L315" s="21" t="s">
        <v>41</v>
      </c>
      <c r="M315">
        <v>0</v>
      </c>
      <c r="N315">
        <v>3.9</v>
      </c>
      <c r="O315">
        <f t="shared" si="40"/>
        <v>-3.9</v>
      </c>
      <c r="P315">
        <f t="shared" si="46"/>
        <v>19.799999999999919</v>
      </c>
      <c r="Q315">
        <v>281</v>
      </c>
      <c r="R315">
        <f t="shared" si="45"/>
        <v>0.8833333333333333</v>
      </c>
      <c r="S315" s="23">
        <f t="shared" si="41"/>
        <v>3.4449999999999998</v>
      </c>
      <c r="T315" s="23">
        <f t="shared" si="42"/>
        <v>-3.4449999999999998</v>
      </c>
      <c r="U315" s="23">
        <f t="shared" si="47"/>
        <v>6.3663722478237901</v>
      </c>
      <c r="V315" s="30" t="s">
        <v>55</v>
      </c>
      <c r="W315">
        <v>2080.6</v>
      </c>
      <c r="Y315">
        <f t="shared" si="44"/>
        <v>224986.99999999991</v>
      </c>
      <c r="Z315" s="38">
        <f t="shared" si="39"/>
        <v>8135.7999999999993</v>
      </c>
      <c r="AA315">
        <v>15.80322792471253</v>
      </c>
      <c r="AB315" s="30" t="s">
        <v>60</v>
      </c>
    </row>
    <row r="316" spans="1:28" x14ac:dyDescent="0.25">
      <c r="A316">
        <v>6280</v>
      </c>
      <c r="B316">
        <v>24170</v>
      </c>
      <c r="C316" s="8">
        <v>42894</v>
      </c>
      <c r="F316" s="52"/>
      <c r="G316">
        <v>19.3</v>
      </c>
      <c r="H316">
        <v>12.3</v>
      </c>
      <c r="I316">
        <v>24.8</v>
      </c>
      <c r="J316">
        <f t="shared" si="43"/>
        <v>2675.3999999999996</v>
      </c>
      <c r="K316" s="38">
        <f t="shared" si="48"/>
        <v>95.7</v>
      </c>
      <c r="L316" s="12">
        <f>MIN(H311:H330)</f>
        <v>10.199999999999999</v>
      </c>
      <c r="M316">
        <v>10.199999999999999</v>
      </c>
      <c r="N316">
        <v>3.6</v>
      </c>
      <c r="O316">
        <f t="shared" si="40"/>
        <v>6.6</v>
      </c>
      <c r="P316">
        <f t="shared" si="46"/>
        <v>26.39999999999992</v>
      </c>
      <c r="Q316" s="22">
        <v>282</v>
      </c>
      <c r="R316">
        <f t="shared" si="45"/>
        <v>0.87063492063492065</v>
      </c>
      <c r="S316" s="23">
        <f t="shared" si="41"/>
        <v>3.1342857142857143</v>
      </c>
      <c r="T316" s="23">
        <f t="shared" si="42"/>
        <v>7.0657142857142849</v>
      </c>
      <c r="U316" s="23">
        <f t="shared" si="47"/>
        <v>13.432086533538076</v>
      </c>
      <c r="V316">
        <v>0</v>
      </c>
      <c r="W316">
        <v>1815.1</v>
      </c>
      <c r="Y316">
        <f t="shared" si="44"/>
        <v>226802.09999999992</v>
      </c>
      <c r="Z316" s="38">
        <f t="shared" si="39"/>
        <v>9950.9</v>
      </c>
      <c r="AA316">
        <v>15.822490273532356</v>
      </c>
      <c r="AB316">
        <v>0</v>
      </c>
    </row>
    <row r="317" spans="1:28" x14ac:dyDescent="0.25">
      <c r="A317">
        <v>6280</v>
      </c>
      <c r="B317">
        <v>24170</v>
      </c>
      <c r="C317" s="8">
        <v>42895</v>
      </c>
      <c r="F317" s="52"/>
      <c r="G317">
        <v>18.600000000000001</v>
      </c>
      <c r="H317">
        <v>15.5</v>
      </c>
      <c r="I317">
        <v>21.3</v>
      </c>
      <c r="J317">
        <f t="shared" si="43"/>
        <v>2693.9999999999995</v>
      </c>
      <c r="K317" s="38">
        <f t="shared" si="48"/>
        <v>114.30000000000001</v>
      </c>
      <c r="L317" s="21" t="s">
        <v>42</v>
      </c>
      <c r="M317">
        <v>0</v>
      </c>
      <c r="N317">
        <v>3.2</v>
      </c>
      <c r="O317">
        <f t="shared" si="40"/>
        <v>-3.2</v>
      </c>
      <c r="P317">
        <f t="shared" si="46"/>
        <v>23.199999999999921</v>
      </c>
      <c r="Q317">
        <v>283</v>
      </c>
      <c r="R317">
        <f t="shared" si="45"/>
        <v>0.85793650793650789</v>
      </c>
      <c r="S317" s="23">
        <f t="shared" si="41"/>
        <v>2.7453968253968255</v>
      </c>
      <c r="T317" s="23">
        <f t="shared" si="42"/>
        <v>-2.7453968253968255</v>
      </c>
      <c r="U317" s="23">
        <f t="shared" si="47"/>
        <v>10.68668970814125</v>
      </c>
      <c r="V317" s="30" t="s">
        <v>56</v>
      </c>
      <c r="W317">
        <v>1461.2</v>
      </c>
      <c r="Y317">
        <f t="shared" si="44"/>
        <v>228263.29999999993</v>
      </c>
      <c r="Z317" s="38">
        <f t="shared" si="39"/>
        <v>11412.1</v>
      </c>
      <c r="AA317">
        <v>15.840423065033304</v>
      </c>
    </row>
    <row r="318" spans="1:28" x14ac:dyDescent="0.25">
      <c r="A318">
        <v>6280</v>
      </c>
      <c r="B318">
        <v>24170</v>
      </c>
      <c r="C318" s="8">
        <v>42896</v>
      </c>
      <c r="F318" s="52"/>
      <c r="G318">
        <v>20.6</v>
      </c>
      <c r="H318">
        <v>14.7</v>
      </c>
      <c r="I318">
        <v>25.9</v>
      </c>
      <c r="J318">
        <f t="shared" si="43"/>
        <v>2714.5999999999995</v>
      </c>
      <c r="K318" s="38">
        <f t="shared" si="48"/>
        <v>134.9</v>
      </c>
      <c r="L318" s="12">
        <f>MAX(I311:I330)</f>
        <v>34.200000000000003</v>
      </c>
      <c r="M318">
        <v>0</v>
      </c>
      <c r="N318">
        <v>5.2</v>
      </c>
      <c r="O318">
        <f t="shared" si="40"/>
        <v>-5.2</v>
      </c>
      <c r="P318">
        <f t="shared" si="46"/>
        <v>17.999999999999922</v>
      </c>
      <c r="Q318" s="22">
        <v>284</v>
      </c>
      <c r="R318">
        <f t="shared" si="45"/>
        <v>0.84523809523809512</v>
      </c>
      <c r="S318" s="23">
        <f t="shared" si="41"/>
        <v>4.3952380952380947</v>
      </c>
      <c r="T318" s="23">
        <f t="shared" si="42"/>
        <v>-4.3952380952380947</v>
      </c>
      <c r="U318" s="23">
        <f t="shared" si="47"/>
        <v>6.2914516129031552</v>
      </c>
      <c r="V318" s="23">
        <f>MAX(U311:U330)</f>
        <v>13.432086533538076</v>
      </c>
      <c r="W318">
        <v>2476.6</v>
      </c>
      <c r="Y318">
        <f t="shared" si="44"/>
        <v>230739.89999999994</v>
      </c>
      <c r="Z318" s="38">
        <f t="shared" ref="Z318:Z357" si="49">Z317+W318</f>
        <v>13888.7</v>
      </c>
      <c r="AA318">
        <v>15.857010677379902</v>
      </c>
    </row>
    <row r="319" spans="1:28" x14ac:dyDescent="0.25">
      <c r="A319">
        <v>6280</v>
      </c>
      <c r="B319">
        <v>24170</v>
      </c>
      <c r="C319" s="8">
        <v>42897</v>
      </c>
      <c r="F319" s="52"/>
      <c r="G319">
        <v>22.7</v>
      </c>
      <c r="H319">
        <v>15.3</v>
      </c>
      <c r="I319">
        <v>28.4</v>
      </c>
      <c r="J319">
        <f t="shared" si="43"/>
        <v>2737.2999999999993</v>
      </c>
      <c r="K319" s="38">
        <f t="shared" si="48"/>
        <v>157.6</v>
      </c>
      <c r="L319" s="21" t="s">
        <v>43</v>
      </c>
      <c r="M319">
        <v>0</v>
      </c>
      <c r="N319">
        <v>4.4000000000000004</v>
      </c>
      <c r="O319">
        <f t="shared" si="40"/>
        <v>-4.4000000000000004</v>
      </c>
      <c r="P319">
        <f t="shared" si="46"/>
        <v>13.599999999999921</v>
      </c>
      <c r="Q319">
        <v>285</v>
      </c>
      <c r="R319">
        <f t="shared" si="45"/>
        <v>0.83253968253968247</v>
      </c>
      <c r="S319" s="23">
        <f t="shared" si="41"/>
        <v>3.6631746031746033</v>
      </c>
      <c r="T319" s="23">
        <f t="shared" si="42"/>
        <v>-3.6631746031746033</v>
      </c>
      <c r="U319" s="23">
        <f t="shared" si="47"/>
        <v>2.6282770097285519</v>
      </c>
      <c r="V319" s="30" t="s">
        <v>57</v>
      </c>
      <c r="W319">
        <v>1658</v>
      </c>
      <c r="Y319">
        <f t="shared" si="44"/>
        <v>232397.89999999994</v>
      </c>
      <c r="Z319" s="38">
        <f t="shared" si="49"/>
        <v>15546.7</v>
      </c>
      <c r="AA319">
        <v>15.872238511141747</v>
      </c>
    </row>
    <row r="320" spans="1:28" x14ac:dyDescent="0.25">
      <c r="A320">
        <v>6280</v>
      </c>
      <c r="B320">
        <v>24170</v>
      </c>
      <c r="C320" s="8">
        <v>42898</v>
      </c>
      <c r="F320" s="52"/>
      <c r="G320">
        <v>17.3</v>
      </c>
      <c r="H320">
        <v>15.2</v>
      </c>
      <c r="I320">
        <v>20.399999999999999</v>
      </c>
      <c r="J320">
        <f t="shared" si="43"/>
        <v>2754.5999999999995</v>
      </c>
      <c r="K320" s="38">
        <f t="shared" si="48"/>
        <v>174.9</v>
      </c>
      <c r="L320" s="12">
        <v>10</v>
      </c>
      <c r="M320">
        <v>0</v>
      </c>
      <c r="N320">
        <v>5.3</v>
      </c>
      <c r="O320">
        <f t="shared" si="40"/>
        <v>-5.3</v>
      </c>
      <c r="P320">
        <f t="shared" si="46"/>
        <v>8.2999999999999226</v>
      </c>
      <c r="Q320" s="22">
        <v>286</v>
      </c>
      <c r="R320">
        <f t="shared" si="45"/>
        <v>0.81984126984126982</v>
      </c>
      <c r="S320" s="23">
        <f t="shared" si="41"/>
        <v>4.3451587301587296</v>
      </c>
      <c r="T320" s="23">
        <f t="shared" si="42"/>
        <v>-4.3451587301587296</v>
      </c>
      <c r="U320" s="23">
        <v>0</v>
      </c>
      <c r="V320" s="23">
        <f>AVERAGE(U311:U330)</f>
        <v>3.0534944956476893</v>
      </c>
      <c r="W320">
        <v>2636.3</v>
      </c>
      <c r="Y320">
        <f t="shared" si="44"/>
        <v>235034.19999999992</v>
      </c>
      <c r="Z320" s="38">
        <f t="shared" si="49"/>
        <v>18183</v>
      </c>
      <c r="AA320">
        <v>15.886093035992447</v>
      </c>
    </row>
    <row r="321" spans="1:27" x14ac:dyDescent="0.25">
      <c r="A321">
        <v>6280</v>
      </c>
      <c r="B321">
        <v>24170</v>
      </c>
      <c r="C321" s="8">
        <v>42899</v>
      </c>
      <c r="F321" s="52"/>
      <c r="G321">
        <v>17.899999999999999</v>
      </c>
      <c r="H321">
        <v>11.4</v>
      </c>
      <c r="I321">
        <v>21.9</v>
      </c>
      <c r="J321">
        <f t="shared" si="43"/>
        <v>2772.4999999999995</v>
      </c>
      <c r="K321" s="38">
        <f t="shared" si="48"/>
        <v>192.8</v>
      </c>
      <c r="L321" s="21" t="s">
        <v>44</v>
      </c>
      <c r="M321">
        <v>0</v>
      </c>
      <c r="N321">
        <v>4.2</v>
      </c>
      <c r="O321">
        <f t="shared" si="40"/>
        <v>-4.2</v>
      </c>
      <c r="P321">
        <f t="shared" si="46"/>
        <v>4.0999999999999224</v>
      </c>
      <c r="Q321">
        <v>287</v>
      </c>
      <c r="R321">
        <f t="shared" si="45"/>
        <v>0.80714285714285716</v>
      </c>
      <c r="S321" s="23">
        <f t="shared" si="41"/>
        <v>3.39</v>
      </c>
      <c r="T321" s="23">
        <f t="shared" si="42"/>
        <v>-3.39</v>
      </c>
      <c r="U321" s="23">
        <v>0</v>
      </c>
      <c r="W321">
        <v>2356.3000000000002</v>
      </c>
      <c r="Y321">
        <f t="shared" si="44"/>
        <v>237390.49999999991</v>
      </c>
      <c r="Z321" s="38">
        <f t="shared" si="49"/>
        <v>20539.3</v>
      </c>
      <c r="AA321">
        <v>15.898561834652808</v>
      </c>
    </row>
    <row r="322" spans="1:27" x14ac:dyDescent="0.25">
      <c r="A322">
        <v>6280</v>
      </c>
      <c r="B322">
        <v>24170</v>
      </c>
      <c r="C322" s="8">
        <v>42900</v>
      </c>
      <c r="F322" s="52"/>
      <c r="G322">
        <v>21.9</v>
      </c>
      <c r="H322">
        <v>16.600000000000001</v>
      </c>
      <c r="I322">
        <v>27.3</v>
      </c>
      <c r="J322">
        <f t="shared" si="43"/>
        <v>2794.3999999999996</v>
      </c>
      <c r="K322" s="38">
        <f t="shared" si="48"/>
        <v>214.70000000000002</v>
      </c>
      <c r="L322" s="12">
        <v>0</v>
      </c>
      <c r="M322">
        <v>0</v>
      </c>
      <c r="N322">
        <v>5.3</v>
      </c>
      <c r="O322">
        <f t="shared" si="40"/>
        <v>-5.3</v>
      </c>
      <c r="P322">
        <v>0</v>
      </c>
      <c r="Q322" s="22">
        <v>288</v>
      </c>
      <c r="R322">
        <f t="shared" si="45"/>
        <v>0.7944444444444444</v>
      </c>
      <c r="S322" s="23">
        <f t="shared" si="41"/>
        <v>4.2105555555555556</v>
      </c>
      <c r="T322" s="23">
        <f t="shared" si="42"/>
        <v>-4.2105555555555556</v>
      </c>
      <c r="U322" s="23">
        <v>0</v>
      </c>
      <c r="V322" s="42">
        <f>(V320*100)/197.4</f>
        <v>1.5468563807739053</v>
      </c>
      <c r="W322">
        <v>2403.6</v>
      </c>
      <c r="Y322">
        <f t="shared" si="44"/>
        <v>239794.09999999992</v>
      </c>
      <c r="Z322" s="38">
        <f t="shared" si="49"/>
        <v>22942.899999999998</v>
      </c>
      <c r="AA322">
        <v>15.909633643782135</v>
      </c>
    </row>
    <row r="323" spans="1:27" x14ac:dyDescent="0.25">
      <c r="A323">
        <v>6280</v>
      </c>
      <c r="B323">
        <v>24170</v>
      </c>
      <c r="C323" s="8">
        <v>42901</v>
      </c>
      <c r="F323" s="52"/>
      <c r="G323">
        <v>22.9</v>
      </c>
      <c r="H323">
        <v>18.2</v>
      </c>
      <c r="I323">
        <v>28.2</v>
      </c>
      <c r="J323">
        <f t="shared" si="43"/>
        <v>2817.2999999999997</v>
      </c>
      <c r="K323" s="38">
        <f t="shared" si="48"/>
        <v>237.60000000000002</v>
      </c>
      <c r="L323" s="21" t="s">
        <v>45</v>
      </c>
      <c r="M323">
        <v>0</v>
      </c>
      <c r="N323">
        <v>4.9000000000000004</v>
      </c>
      <c r="O323">
        <f t="shared" si="40"/>
        <v>-4.9000000000000004</v>
      </c>
      <c r="P323">
        <v>0</v>
      </c>
      <c r="Q323">
        <v>289</v>
      </c>
      <c r="R323">
        <f t="shared" si="45"/>
        <v>0.78174603174603163</v>
      </c>
      <c r="S323" s="23">
        <f t="shared" si="41"/>
        <v>3.8305555555555553</v>
      </c>
      <c r="T323" s="23">
        <f t="shared" si="42"/>
        <v>-3.8305555555555553</v>
      </c>
      <c r="U323" s="23">
        <v>0</v>
      </c>
      <c r="W323">
        <v>2247.8000000000002</v>
      </c>
      <c r="Y323">
        <f t="shared" si="44"/>
        <v>242041.89999999991</v>
      </c>
      <c r="Z323" s="38">
        <f t="shared" si="49"/>
        <v>25190.699999999997</v>
      </c>
      <c r="AA323">
        <v>15.919298391536177</v>
      </c>
    </row>
    <row r="324" spans="1:27" x14ac:dyDescent="0.25">
      <c r="A324">
        <v>6280</v>
      </c>
      <c r="B324">
        <v>24170</v>
      </c>
      <c r="C324" s="8">
        <v>42902</v>
      </c>
      <c r="F324" s="52"/>
      <c r="G324">
        <v>18</v>
      </c>
      <c r="H324">
        <v>14.3</v>
      </c>
      <c r="I324">
        <v>22</v>
      </c>
      <c r="J324">
        <f t="shared" si="43"/>
        <v>2835.2999999999997</v>
      </c>
      <c r="K324" s="38">
        <f t="shared" si="48"/>
        <v>255.60000000000002</v>
      </c>
      <c r="L324" s="12">
        <v>0</v>
      </c>
      <c r="M324">
        <v>0</v>
      </c>
      <c r="N324">
        <v>4.7</v>
      </c>
      <c r="O324">
        <f t="shared" si="40"/>
        <v>-4.7</v>
      </c>
      <c r="P324">
        <v>0</v>
      </c>
      <c r="Q324" s="22">
        <v>290</v>
      </c>
      <c r="R324">
        <f t="shared" si="45"/>
        <v>0.76904761904761898</v>
      </c>
      <c r="S324" s="23">
        <f t="shared" si="41"/>
        <v>3.6145238095238095</v>
      </c>
      <c r="T324" s="23">
        <f t="shared" si="42"/>
        <v>-3.6145238095238095</v>
      </c>
      <c r="U324" s="23">
        <v>0</v>
      </c>
      <c r="W324">
        <v>2334.5</v>
      </c>
      <c r="Y324">
        <f t="shared" si="44"/>
        <v>244376.39999999991</v>
      </c>
      <c r="Z324" s="38">
        <f t="shared" si="49"/>
        <v>27525.199999999997</v>
      </c>
      <c r="AA324">
        <v>15.927547231528447</v>
      </c>
    </row>
    <row r="325" spans="1:27" x14ac:dyDescent="0.25">
      <c r="A325">
        <v>6280</v>
      </c>
      <c r="B325">
        <v>24170</v>
      </c>
      <c r="C325" s="8">
        <v>42903</v>
      </c>
      <c r="F325" s="52"/>
      <c r="G325">
        <v>20.6</v>
      </c>
      <c r="H325">
        <v>14.2</v>
      </c>
      <c r="I325">
        <v>25.5</v>
      </c>
      <c r="J325">
        <f t="shared" si="43"/>
        <v>2855.8999999999996</v>
      </c>
      <c r="K325" s="38">
        <f t="shared" si="48"/>
        <v>276.20000000000005</v>
      </c>
      <c r="M325">
        <v>0</v>
      </c>
      <c r="N325">
        <v>4.2</v>
      </c>
      <c r="O325">
        <f t="shared" si="40"/>
        <v>-4.2</v>
      </c>
      <c r="P325">
        <v>0</v>
      </c>
      <c r="Q325">
        <v>291</v>
      </c>
      <c r="R325">
        <f t="shared" si="45"/>
        <v>0.75634920634920633</v>
      </c>
      <c r="S325" s="23">
        <f t="shared" si="41"/>
        <v>3.1766666666666667</v>
      </c>
      <c r="T325" s="23">
        <f t="shared" si="42"/>
        <v>-3.1766666666666667</v>
      </c>
      <c r="U325" s="23">
        <v>0</v>
      </c>
      <c r="W325">
        <v>2015.3</v>
      </c>
      <c r="Y325">
        <f t="shared" si="44"/>
        <v>246391.6999999999</v>
      </c>
      <c r="Z325" s="38">
        <f t="shared" si="49"/>
        <v>29540.499999999996</v>
      </c>
      <c r="AA325">
        <v>15.934372572952988</v>
      </c>
    </row>
    <row r="326" spans="1:27" x14ac:dyDescent="0.25">
      <c r="A326">
        <v>6280</v>
      </c>
      <c r="B326">
        <v>24170</v>
      </c>
      <c r="C326" s="8">
        <v>42904</v>
      </c>
      <c r="F326" s="52"/>
      <c r="G326">
        <v>22.8</v>
      </c>
      <c r="H326">
        <v>17.8</v>
      </c>
      <c r="I326">
        <v>27.9</v>
      </c>
      <c r="J326">
        <f t="shared" si="43"/>
        <v>2878.7</v>
      </c>
      <c r="K326" s="38">
        <f t="shared" si="48"/>
        <v>299.00000000000006</v>
      </c>
      <c r="M326">
        <v>0</v>
      </c>
      <c r="N326">
        <v>6.3</v>
      </c>
      <c r="O326">
        <f t="shared" si="40"/>
        <v>-6.3</v>
      </c>
      <c r="P326">
        <v>0</v>
      </c>
      <c r="Q326" s="22">
        <v>292</v>
      </c>
      <c r="R326">
        <f t="shared" si="45"/>
        <v>0.74365079365079367</v>
      </c>
      <c r="S326" s="23">
        <f t="shared" si="41"/>
        <v>4.6849999999999996</v>
      </c>
      <c r="T326" s="23">
        <f t="shared" si="42"/>
        <v>-4.6849999999999996</v>
      </c>
      <c r="U326" s="23">
        <v>0</v>
      </c>
      <c r="W326">
        <v>2764.8</v>
      </c>
      <c r="Y326">
        <f t="shared" si="44"/>
        <v>249156.49999999988</v>
      </c>
      <c r="Z326" s="38">
        <f t="shared" si="49"/>
        <v>32305.299999999996</v>
      </c>
      <c r="AA326">
        <v>15.939768106650835</v>
      </c>
    </row>
    <row r="327" spans="1:27" x14ac:dyDescent="0.25">
      <c r="A327">
        <v>6280</v>
      </c>
      <c r="B327">
        <v>24170</v>
      </c>
      <c r="C327" s="8">
        <v>42905</v>
      </c>
      <c r="F327" s="52"/>
      <c r="G327">
        <v>24.8</v>
      </c>
      <c r="H327">
        <v>17.600000000000001</v>
      </c>
      <c r="I327">
        <v>31.1</v>
      </c>
      <c r="J327">
        <f t="shared" si="43"/>
        <v>2903.5</v>
      </c>
      <c r="K327" s="38">
        <f t="shared" si="48"/>
        <v>323.80000000000007</v>
      </c>
      <c r="M327">
        <v>0</v>
      </c>
      <c r="N327">
        <v>7.2</v>
      </c>
      <c r="O327">
        <f t="shared" si="40"/>
        <v>-7.2</v>
      </c>
      <c r="P327">
        <v>0</v>
      </c>
      <c r="Q327">
        <v>293</v>
      </c>
      <c r="R327">
        <f t="shared" si="45"/>
        <v>0.7309523809523808</v>
      </c>
      <c r="S327" s="23">
        <f t="shared" si="41"/>
        <v>5.2628571428571416</v>
      </c>
      <c r="T327" s="23">
        <f t="shared" si="42"/>
        <v>-5.2628571428571416</v>
      </c>
      <c r="U327" s="23">
        <v>0</v>
      </c>
      <c r="W327">
        <v>3082</v>
      </c>
      <c r="Y327">
        <f t="shared" si="44"/>
        <v>252238.49999999988</v>
      </c>
      <c r="Z327" s="38">
        <f t="shared" si="49"/>
        <v>35387.299999999996</v>
      </c>
      <c r="AA327">
        <v>15.943728826929478</v>
      </c>
    </row>
    <row r="328" spans="1:27" x14ac:dyDescent="0.25">
      <c r="A328">
        <v>6280</v>
      </c>
      <c r="B328">
        <v>24170</v>
      </c>
      <c r="C328" s="8">
        <v>42906</v>
      </c>
      <c r="F328" s="52"/>
      <c r="G328">
        <v>26.3</v>
      </c>
      <c r="H328">
        <v>18.399999999999999</v>
      </c>
      <c r="I328">
        <v>33</v>
      </c>
      <c r="J328">
        <f t="shared" si="43"/>
        <v>2929.8</v>
      </c>
      <c r="K328" s="38">
        <f t="shared" si="48"/>
        <v>350.10000000000008</v>
      </c>
      <c r="M328">
        <v>0</v>
      </c>
      <c r="N328">
        <v>5.7</v>
      </c>
      <c r="O328">
        <f t="shared" si="40"/>
        <v>-5.7</v>
      </c>
      <c r="P328">
        <v>0</v>
      </c>
      <c r="Q328" s="22">
        <v>294</v>
      </c>
      <c r="R328">
        <f t="shared" si="45"/>
        <v>0.71825396825396814</v>
      </c>
      <c r="S328" s="23">
        <f t="shared" si="41"/>
        <v>4.0940476190476183</v>
      </c>
      <c r="T328" s="23">
        <f t="shared" si="42"/>
        <v>-4.0940476190476183</v>
      </c>
      <c r="U328" s="23">
        <v>0</v>
      </c>
      <c r="W328">
        <v>2381.9</v>
      </c>
      <c r="Y328">
        <f t="shared" si="44"/>
        <v>254620.39999999988</v>
      </c>
      <c r="Z328" s="38">
        <f t="shared" si="49"/>
        <v>37769.199999999997</v>
      </c>
      <c r="AA328">
        <v>15.946251048974041</v>
      </c>
    </row>
    <row r="329" spans="1:27" x14ac:dyDescent="0.25">
      <c r="A329">
        <v>6280</v>
      </c>
      <c r="B329">
        <v>24170</v>
      </c>
      <c r="C329" s="8">
        <v>42907</v>
      </c>
      <c r="F329" s="52"/>
      <c r="G329">
        <v>28.3</v>
      </c>
      <c r="H329">
        <v>20.2</v>
      </c>
      <c r="I329">
        <v>34.200000000000003</v>
      </c>
      <c r="J329">
        <f t="shared" si="43"/>
        <v>2958.1000000000004</v>
      </c>
      <c r="K329" s="38">
        <f t="shared" si="48"/>
        <v>378.40000000000009</v>
      </c>
      <c r="M329">
        <v>0</v>
      </c>
      <c r="N329">
        <v>6</v>
      </c>
      <c r="O329">
        <f t="shared" si="40"/>
        <v>-6</v>
      </c>
      <c r="P329">
        <v>0</v>
      </c>
      <c r="Q329">
        <v>295</v>
      </c>
      <c r="R329">
        <f t="shared" si="45"/>
        <v>0.70555555555555549</v>
      </c>
      <c r="S329" s="23">
        <f t="shared" si="41"/>
        <v>4.2333333333333325</v>
      </c>
      <c r="T329" s="23">
        <f t="shared" si="42"/>
        <v>-4.2333333333333325</v>
      </c>
      <c r="U329" s="23">
        <v>0</v>
      </c>
      <c r="W329">
        <v>2564.5</v>
      </c>
      <c r="Y329">
        <f t="shared" si="44"/>
        <v>257184.89999999988</v>
      </c>
      <c r="Z329" s="38">
        <f t="shared" si="49"/>
        <v>40333.699999999997</v>
      </c>
      <c r="AA329">
        <v>15.947332421720469</v>
      </c>
    </row>
    <row r="330" spans="1:27" s="31" customFormat="1" ht="15.75" thickBot="1" x14ac:dyDescent="0.3">
      <c r="A330" s="31">
        <v>6280</v>
      </c>
      <c r="B330" s="31">
        <v>24170</v>
      </c>
      <c r="C330" s="32">
        <v>42908</v>
      </c>
      <c r="F330" s="52"/>
      <c r="G330" s="31">
        <v>26.5</v>
      </c>
      <c r="H330" s="31">
        <v>24.6</v>
      </c>
      <c r="I330" s="31">
        <v>33.299999999999997</v>
      </c>
      <c r="J330" s="31">
        <f t="shared" si="43"/>
        <v>2984.6000000000004</v>
      </c>
      <c r="K330" s="31">
        <f t="shared" si="48"/>
        <v>404.90000000000009</v>
      </c>
      <c r="M330" s="31">
        <v>0</v>
      </c>
      <c r="N330" s="31">
        <v>6.6</v>
      </c>
      <c r="O330" s="31">
        <f t="shared" si="40"/>
        <v>-6.6</v>
      </c>
      <c r="P330" s="31">
        <v>0</v>
      </c>
      <c r="Q330" s="34">
        <v>296</v>
      </c>
      <c r="R330">
        <f t="shared" si="45"/>
        <v>0.69285714285714284</v>
      </c>
      <c r="S330" s="33">
        <f t="shared" si="41"/>
        <v>4.5728571428571421</v>
      </c>
      <c r="T330" s="33">
        <f t="shared" si="42"/>
        <v>-4.5728571428571421</v>
      </c>
      <c r="U330" s="23">
        <v>0</v>
      </c>
      <c r="W330" s="31">
        <v>2431.1999999999998</v>
      </c>
      <c r="Y330" s="31">
        <f t="shared" si="44"/>
        <v>259616.09999999989</v>
      </c>
      <c r="Z330" s="31">
        <f t="shared" si="49"/>
        <v>42764.899999999994</v>
      </c>
      <c r="AA330" s="31">
        <v>15.946971936094108</v>
      </c>
    </row>
    <row r="331" spans="1:27" s="38" customFormat="1" x14ac:dyDescent="0.25">
      <c r="A331" s="38">
        <v>6280</v>
      </c>
      <c r="B331" s="38">
        <v>24170</v>
      </c>
      <c r="C331" s="39">
        <v>42909</v>
      </c>
      <c r="D331" s="38">
        <v>1000</v>
      </c>
      <c r="G331" s="38">
        <v>19.2</v>
      </c>
      <c r="H331" s="38">
        <v>16.8</v>
      </c>
      <c r="I331" s="38">
        <v>22.5</v>
      </c>
      <c r="J331" s="38">
        <f t="shared" si="43"/>
        <v>3003.8</v>
      </c>
      <c r="K331" s="38">
        <f t="shared" si="48"/>
        <v>424.10000000000008</v>
      </c>
      <c r="M331" s="38">
        <v>0</v>
      </c>
      <c r="N331" s="38">
        <v>4.3</v>
      </c>
      <c r="O331" s="38">
        <f t="shared" si="40"/>
        <v>-4.3</v>
      </c>
      <c r="P331" s="38">
        <v>0</v>
      </c>
      <c r="Q331" s="38">
        <v>297</v>
      </c>
      <c r="R331">
        <f t="shared" si="45"/>
        <v>0.68015873015873007</v>
      </c>
      <c r="S331" s="41">
        <f t="shared" si="41"/>
        <v>2.9246825396825393</v>
      </c>
      <c r="T331" s="41">
        <f t="shared" si="42"/>
        <v>-2.9246825396825393</v>
      </c>
      <c r="U331" s="23">
        <v>0</v>
      </c>
      <c r="W331" s="38">
        <v>1720.6</v>
      </c>
      <c r="Y331" s="38">
        <f t="shared" si="44"/>
        <v>261336.6999999999</v>
      </c>
      <c r="Z331" s="38">
        <f t="shared" si="49"/>
        <v>44485.499999999993</v>
      </c>
      <c r="AA331" s="38">
        <v>15.945169928551671</v>
      </c>
    </row>
    <row r="332" spans="1:27" x14ac:dyDescent="0.25">
      <c r="A332">
        <v>6280</v>
      </c>
      <c r="B332">
        <v>24170</v>
      </c>
      <c r="C332" s="8">
        <v>42910</v>
      </c>
      <c r="G332">
        <v>20.100000000000001</v>
      </c>
      <c r="H332">
        <v>14</v>
      </c>
      <c r="I332">
        <v>24.2</v>
      </c>
      <c r="J332">
        <f t="shared" si="43"/>
        <v>3023.9</v>
      </c>
      <c r="K332" s="38">
        <f t="shared" si="48"/>
        <v>444.2000000000001</v>
      </c>
      <c r="M332">
        <v>0</v>
      </c>
      <c r="N332">
        <v>4.4000000000000004</v>
      </c>
      <c r="O332">
        <f t="shared" si="40"/>
        <v>-4.4000000000000004</v>
      </c>
      <c r="P332">
        <v>0</v>
      </c>
      <c r="Q332" s="22">
        <v>298</v>
      </c>
      <c r="R332">
        <f t="shared" si="45"/>
        <v>0.66746031746031742</v>
      </c>
      <c r="S332" s="23">
        <f t="shared" si="41"/>
        <v>2.9368253968253968</v>
      </c>
      <c r="T332" s="23">
        <f t="shared" si="42"/>
        <v>-2.9368253968253968</v>
      </c>
      <c r="U332" s="23">
        <v>0</v>
      </c>
      <c r="W332">
        <v>2159.1</v>
      </c>
      <c r="Y332">
        <f t="shared" si="44"/>
        <v>263495.79999999987</v>
      </c>
      <c r="Z332" s="38">
        <f t="shared" si="49"/>
        <v>46644.599999999991</v>
      </c>
      <c r="AA332">
        <v>15.941928079899844</v>
      </c>
    </row>
    <row r="333" spans="1:27" x14ac:dyDescent="0.25">
      <c r="A333">
        <v>6280</v>
      </c>
      <c r="B333">
        <v>24170</v>
      </c>
      <c r="C333" s="8">
        <v>42911</v>
      </c>
      <c r="G333">
        <v>21.8</v>
      </c>
      <c r="H333">
        <v>18.5</v>
      </c>
      <c r="I333">
        <v>25.8</v>
      </c>
      <c r="J333">
        <f t="shared" si="43"/>
        <v>3045.7000000000003</v>
      </c>
      <c r="K333" s="38">
        <f t="shared" si="48"/>
        <v>466.00000000000011</v>
      </c>
      <c r="M333">
        <v>0</v>
      </c>
      <c r="N333">
        <v>4.5</v>
      </c>
      <c r="O333">
        <f t="shared" si="40"/>
        <v>-4.5</v>
      </c>
      <c r="P333">
        <v>0</v>
      </c>
      <c r="Q333">
        <v>299</v>
      </c>
      <c r="R333">
        <f t="shared" si="45"/>
        <v>0.65476190476190466</v>
      </c>
      <c r="S333" s="23">
        <f t="shared" si="41"/>
        <v>2.9464285714285712</v>
      </c>
      <c r="T333" s="23">
        <f t="shared" si="42"/>
        <v>-2.9464285714285712</v>
      </c>
      <c r="U333" s="23">
        <v>0</v>
      </c>
      <c r="W333">
        <v>1739.8</v>
      </c>
      <c r="Y333">
        <f t="shared" si="44"/>
        <v>265235.59999999986</v>
      </c>
      <c r="Z333" s="38">
        <f t="shared" si="49"/>
        <v>48384.399999999994</v>
      </c>
      <c r="AA333">
        <v>15.93724940939944</v>
      </c>
    </row>
    <row r="334" spans="1:27" x14ac:dyDescent="0.25">
      <c r="A334">
        <v>6280</v>
      </c>
      <c r="B334">
        <v>24170</v>
      </c>
      <c r="C334" s="8">
        <v>42912</v>
      </c>
      <c r="G334">
        <v>21.9</v>
      </c>
      <c r="H334">
        <v>17.2</v>
      </c>
      <c r="I334">
        <v>26.1</v>
      </c>
      <c r="J334">
        <f t="shared" si="43"/>
        <v>3067.6000000000004</v>
      </c>
      <c r="K334" s="38">
        <f t="shared" si="48"/>
        <v>487.90000000000009</v>
      </c>
      <c r="M334">
        <v>0.6</v>
      </c>
      <c r="N334">
        <v>5</v>
      </c>
      <c r="O334">
        <f t="shared" si="40"/>
        <v>-4.4000000000000004</v>
      </c>
      <c r="P334">
        <v>0</v>
      </c>
      <c r="Q334" s="22">
        <v>300</v>
      </c>
      <c r="R334">
        <f t="shared" si="45"/>
        <v>0.642063492063492</v>
      </c>
      <c r="S334" s="23">
        <f t="shared" si="41"/>
        <v>3.21031746031746</v>
      </c>
      <c r="T334" s="23">
        <f t="shared" si="42"/>
        <v>-2.6103174603174599</v>
      </c>
      <c r="U334" s="23">
        <v>0</v>
      </c>
      <c r="W334">
        <v>2389.5</v>
      </c>
      <c r="Y334">
        <f t="shared" si="44"/>
        <v>267625.09999999986</v>
      </c>
      <c r="Z334" s="38">
        <f t="shared" si="49"/>
        <v>50773.899999999994</v>
      </c>
      <c r="AA334">
        <v>15.931138264199582</v>
      </c>
    </row>
    <row r="335" spans="1:27" x14ac:dyDescent="0.25">
      <c r="A335">
        <v>6280</v>
      </c>
      <c r="B335">
        <v>24170</v>
      </c>
      <c r="C335" s="8">
        <v>42913</v>
      </c>
      <c r="G335">
        <v>20.6</v>
      </c>
      <c r="H335">
        <v>18.8</v>
      </c>
      <c r="I335">
        <v>23.5</v>
      </c>
      <c r="J335">
        <f t="shared" si="43"/>
        <v>3088.2000000000003</v>
      </c>
      <c r="K335" s="38">
        <f t="shared" si="48"/>
        <v>508.50000000000011</v>
      </c>
      <c r="M335">
        <v>3</v>
      </c>
      <c r="N335">
        <v>1.8</v>
      </c>
      <c r="O335">
        <f t="shared" si="40"/>
        <v>1.2</v>
      </c>
      <c r="P335">
        <f t="shared" si="46"/>
        <v>1.2</v>
      </c>
      <c r="Q335">
        <v>301</v>
      </c>
      <c r="R335">
        <f t="shared" si="45"/>
        <v>0.62936507936507935</v>
      </c>
      <c r="S335" s="23">
        <f t="shared" si="41"/>
        <v>1.1328571428571428</v>
      </c>
      <c r="T335" s="23">
        <f t="shared" si="42"/>
        <v>1.8671428571428572</v>
      </c>
      <c r="U335" s="23">
        <f t="shared" si="47"/>
        <v>1.8671428571428572</v>
      </c>
      <c r="W335">
        <v>823.2</v>
      </c>
      <c r="Y335">
        <f t="shared" si="44"/>
        <v>268448.29999999987</v>
      </c>
      <c r="Z335" s="38">
        <f t="shared" si="49"/>
        <v>51597.099999999991</v>
      </c>
      <c r="AA335">
        <v>15.923600304181342</v>
      </c>
    </row>
    <row r="336" spans="1:27" x14ac:dyDescent="0.25">
      <c r="A336">
        <v>6280</v>
      </c>
      <c r="B336">
        <v>24170</v>
      </c>
      <c r="C336" s="8">
        <v>42914</v>
      </c>
      <c r="G336">
        <v>18.399999999999999</v>
      </c>
      <c r="H336">
        <v>17.2</v>
      </c>
      <c r="I336">
        <v>22.1</v>
      </c>
      <c r="J336">
        <f t="shared" si="43"/>
        <v>3106.6000000000004</v>
      </c>
      <c r="K336" s="38">
        <f t="shared" si="48"/>
        <v>526.90000000000009</v>
      </c>
      <c r="M336">
        <v>9.8000000000000007</v>
      </c>
      <c r="N336">
        <v>3.2</v>
      </c>
      <c r="O336">
        <f t="shared" si="40"/>
        <v>6.6000000000000005</v>
      </c>
      <c r="P336">
        <f t="shared" si="46"/>
        <v>7.8000000000000007</v>
      </c>
      <c r="Q336" s="22">
        <v>302</v>
      </c>
      <c r="R336">
        <f t="shared" si="45"/>
        <v>0.6166666666666667</v>
      </c>
      <c r="S336" s="23">
        <f t="shared" si="41"/>
        <v>1.9733333333333336</v>
      </c>
      <c r="T336" s="23">
        <f t="shared" si="42"/>
        <v>7.8266666666666671</v>
      </c>
      <c r="U336" s="23">
        <f t="shared" si="47"/>
        <v>9.6938095238095237</v>
      </c>
      <c r="W336">
        <v>1357</v>
      </c>
      <c r="Y336">
        <f t="shared" si="44"/>
        <v>269805.29999999987</v>
      </c>
      <c r="Z336" s="38">
        <f t="shared" si="49"/>
        <v>52954.099999999991</v>
      </c>
      <c r="AA336">
        <v>15.914642482324194</v>
      </c>
    </row>
    <row r="337" spans="1:27" x14ac:dyDescent="0.25">
      <c r="A337">
        <v>6280</v>
      </c>
      <c r="B337">
        <v>24170</v>
      </c>
      <c r="C337" s="8">
        <v>42915</v>
      </c>
      <c r="G337">
        <v>16.5</v>
      </c>
      <c r="H337">
        <v>15</v>
      </c>
      <c r="I337">
        <v>19.3</v>
      </c>
      <c r="J337">
        <f t="shared" si="43"/>
        <v>3123.1000000000004</v>
      </c>
      <c r="K337" s="38">
        <f t="shared" si="48"/>
        <v>543.40000000000009</v>
      </c>
      <c r="M337">
        <v>0.4</v>
      </c>
      <c r="N337">
        <v>3.5</v>
      </c>
      <c r="O337">
        <f t="shared" si="40"/>
        <v>-3.1</v>
      </c>
      <c r="P337">
        <f t="shared" si="46"/>
        <v>4.7000000000000011</v>
      </c>
      <c r="Q337">
        <v>303</v>
      </c>
      <c r="R337">
        <f t="shared" si="45"/>
        <v>0.60396825396825393</v>
      </c>
      <c r="S337" s="23">
        <f t="shared" si="41"/>
        <v>2.1138888888888889</v>
      </c>
      <c r="T337" s="23">
        <f t="shared" si="42"/>
        <v>-1.713888888888889</v>
      </c>
      <c r="U337" s="23">
        <f t="shared" si="47"/>
        <v>7.9799206349206351</v>
      </c>
      <c r="W337">
        <v>1496.9</v>
      </c>
      <c r="Y337">
        <f t="shared" si="44"/>
        <v>271302.1999999999</v>
      </c>
      <c r="Z337" s="38">
        <f t="shared" si="49"/>
        <v>54450.999999999993</v>
      </c>
      <c r="AA337">
        <v>15.904273020740975</v>
      </c>
    </row>
    <row r="338" spans="1:27" x14ac:dyDescent="0.25">
      <c r="A338">
        <v>6280</v>
      </c>
      <c r="B338">
        <v>24170</v>
      </c>
      <c r="C338" s="8">
        <v>42916</v>
      </c>
      <c r="G338">
        <v>15.6</v>
      </c>
      <c r="H338">
        <v>14</v>
      </c>
      <c r="I338">
        <v>17.3</v>
      </c>
      <c r="J338">
        <f t="shared" si="43"/>
        <v>3138.7000000000003</v>
      </c>
      <c r="K338" s="38">
        <f t="shared" si="48"/>
        <v>559.00000000000011</v>
      </c>
      <c r="M338">
        <v>7.9</v>
      </c>
      <c r="N338">
        <v>1.5</v>
      </c>
      <c r="O338">
        <f t="shared" si="40"/>
        <v>6.4</v>
      </c>
      <c r="P338">
        <f t="shared" si="46"/>
        <v>11.100000000000001</v>
      </c>
      <c r="Q338" s="22">
        <v>304</v>
      </c>
      <c r="R338">
        <f t="shared" si="45"/>
        <v>0.59126984126984128</v>
      </c>
      <c r="S338" s="23">
        <f t="shared" si="41"/>
        <v>0.88690476190476186</v>
      </c>
      <c r="T338" s="23">
        <f t="shared" si="42"/>
        <v>7.0130952380952385</v>
      </c>
      <c r="U338" s="23">
        <f t="shared" si="47"/>
        <v>14.993015873015874</v>
      </c>
      <c r="W338">
        <v>659.6</v>
      </c>
      <c r="Y338">
        <f t="shared" si="44"/>
        <v>271961.79999999987</v>
      </c>
      <c r="Z338" s="38">
        <f t="shared" si="49"/>
        <v>55110.599999999991</v>
      </c>
      <c r="AA338">
        <v>15.89250138255772</v>
      </c>
    </row>
    <row r="339" spans="1:27" x14ac:dyDescent="0.25">
      <c r="A339">
        <v>6280</v>
      </c>
      <c r="B339">
        <v>24170</v>
      </c>
      <c r="C339" s="8">
        <v>42917</v>
      </c>
      <c r="G339">
        <v>16</v>
      </c>
      <c r="H339">
        <v>14.6</v>
      </c>
      <c r="I339">
        <v>19.2</v>
      </c>
      <c r="J339">
        <f t="shared" si="43"/>
        <v>3154.7000000000003</v>
      </c>
      <c r="K339" s="38">
        <f t="shared" si="48"/>
        <v>575.00000000000011</v>
      </c>
      <c r="M339">
        <v>8.4</v>
      </c>
      <c r="N339">
        <v>1.8</v>
      </c>
      <c r="O339">
        <f t="shared" si="40"/>
        <v>6.6000000000000005</v>
      </c>
      <c r="P339">
        <f t="shared" si="46"/>
        <v>17.700000000000003</v>
      </c>
      <c r="Q339">
        <v>305</v>
      </c>
      <c r="R339">
        <f t="shared" si="45"/>
        <v>0.57857142857142851</v>
      </c>
      <c r="S339" s="23">
        <f t="shared" si="41"/>
        <v>1.0414285714285714</v>
      </c>
      <c r="T339" s="23">
        <f t="shared" si="42"/>
        <v>7.3585714285714285</v>
      </c>
      <c r="U339" s="23">
        <f t="shared" si="47"/>
        <v>22.351587301587301</v>
      </c>
      <c r="W339">
        <v>728.8</v>
      </c>
      <c r="Y339">
        <f t="shared" si="44"/>
        <v>272690.59999999986</v>
      </c>
      <c r="Z339" s="38">
        <f t="shared" si="49"/>
        <v>55839.399999999994</v>
      </c>
      <c r="AA339">
        <v>15.879338239842786</v>
      </c>
    </row>
    <row r="340" spans="1:27" x14ac:dyDescent="0.25">
      <c r="A340">
        <v>6280</v>
      </c>
      <c r="B340">
        <v>24170</v>
      </c>
      <c r="C340" s="8">
        <v>42918</v>
      </c>
      <c r="G340">
        <v>16.399999999999999</v>
      </c>
      <c r="H340">
        <v>13.5</v>
      </c>
      <c r="I340">
        <v>21.7</v>
      </c>
      <c r="J340">
        <f t="shared" si="43"/>
        <v>3171.1000000000004</v>
      </c>
      <c r="K340" s="38">
        <f t="shared" si="48"/>
        <v>591.40000000000009</v>
      </c>
      <c r="M340">
        <v>0.2</v>
      </c>
      <c r="N340">
        <v>1.8</v>
      </c>
      <c r="O340">
        <f t="shared" si="40"/>
        <v>-1.6</v>
      </c>
      <c r="P340">
        <f t="shared" si="46"/>
        <v>16.100000000000001</v>
      </c>
      <c r="Q340" s="22">
        <v>306</v>
      </c>
      <c r="R340">
        <f t="shared" si="45"/>
        <v>0.56587301587301586</v>
      </c>
      <c r="S340" s="23">
        <f t="shared" si="41"/>
        <v>1.0185714285714287</v>
      </c>
      <c r="T340" s="23">
        <f t="shared" si="42"/>
        <v>-0.81857142857142873</v>
      </c>
      <c r="U340" s="23">
        <f t="shared" si="47"/>
        <v>21.533015873015874</v>
      </c>
      <c r="W340">
        <v>787.4</v>
      </c>
      <c r="Y340">
        <f t="shared" si="44"/>
        <v>273477.99999999988</v>
      </c>
      <c r="Z340" s="38">
        <f t="shared" si="49"/>
        <v>56626.799999999996</v>
      </c>
      <c r="AA340">
        <v>15.864795437815596</v>
      </c>
    </row>
    <row r="341" spans="1:27" x14ac:dyDescent="0.25">
      <c r="A341">
        <v>6280</v>
      </c>
      <c r="B341">
        <v>24170</v>
      </c>
      <c r="C341" s="8">
        <v>42919</v>
      </c>
      <c r="G341">
        <v>18.600000000000001</v>
      </c>
      <c r="H341">
        <v>14.4</v>
      </c>
      <c r="I341">
        <v>22.7</v>
      </c>
      <c r="J341">
        <f t="shared" si="43"/>
        <v>3189.7000000000003</v>
      </c>
      <c r="K341" s="38">
        <f t="shared" si="48"/>
        <v>610.00000000000011</v>
      </c>
      <c r="M341">
        <v>0</v>
      </c>
      <c r="N341">
        <v>3.6</v>
      </c>
      <c r="O341">
        <f t="shared" si="40"/>
        <v>-3.6</v>
      </c>
      <c r="P341">
        <f t="shared" si="46"/>
        <v>12.500000000000002</v>
      </c>
      <c r="Q341">
        <v>307</v>
      </c>
      <c r="R341">
        <f t="shared" si="45"/>
        <v>0.5531746031746031</v>
      </c>
      <c r="S341" s="23">
        <f t="shared" si="41"/>
        <v>1.9914285714285711</v>
      </c>
      <c r="T341" s="23">
        <f t="shared" si="42"/>
        <v>-1.9914285714285711</v>
      </c>
      <c r="U341" s="23">
        <f t="shared" si="47"/>
        <v>19.541587301587303</v>
      </c>
      <c r="W341">
        <v>1838.1</v>
      </c>
      <c r="Y341">
        <f t="shared" si="44"/>
        <v>275316.09999999986</v>
      </c>
      <c r="Z341" s="38">
        <f t="shared" si="49"/>
        <v>58464.899999999994</v>
      </c>
      <c r="AA341">
        <v>15.848885955587884</v>
      </c>
    </row>
    <row r="342" spans="1:27" x14ac:dyDescent="0.25">
      <c r="A342">
        <v>6280</v>
      </c>
      <c r="B342">
        <v>24170</v>
      </c>
      <c r="C342" s="8">
        <v>42920</v>
      </c>
      <c r="G342">
        <v>20.9</v>
      </c>
      <c r="H342">
        <v>14</v>
      </c>
      <c r="I342">
        <v>26.7</v>
      </c>
      <c r="J342">
        <f t="shared" si="43"/>
        <v>3210.6000000000004</v>
      </c>
      <c r="K342" s="38">
        <f t="shared" si="48"/>
        <v>630.90000000000009</v>
      </c>
      <c r="M342">
        <v>0</v>
      </c>
      <c r="N342">
        <v>5.6</v>
      </c>
      <c r="O342">
        <f t="shared" si="40"/>
        <v>-5.6</v>
      </c>
      <c r="P342">
        <f t="shared" si="46"/>
        <v>6.9000000000000021</v>
      </c>
      <c r="Q342" s="22">
        <v>308</v>
      </c>
      <c r="R342">
        <f t="shared" si="45"/>
        <v>0.54047619047619044</v>
      </c>
      <c r="S342" s="23">
        <f t="shared" si="41"/>
        <v>3.0266666666666664</v>
      </c>
      <c r="T342" s="23">
        <f t="shared" si="42"/>
        <v>-3.0266666666666664</v>
      </c>
      <c r="U342" s="23">
        <f t="shared" si="47"/>
        <v>16.514920634920635</v>
      </c>
      <c r="W342">
        <v>2871.1</v>
      </c>
      <c r="Y342">
        <f t="shared" si="44"/>
        <v>278187.19999999984</v>
      </c>
      <c r="Z342" s="38">
        <f t="shared" si="49"/>
        <v>61335.999999999993</v>
      </c>
      <c r="AA342">
        <v>15.831623863710275</v>
      </c>
    </row>
    <row r="343" spans="1:27" x14ac:dyDescent="0.25">
      <c r="A343">
        <v>6280</v>
      </c>
      <c r="B343">
        <v>24170</v>
      </c>
      <c r="C343" s="8">
        <v>42921</v>
      </c>
      <c r="G343">
        <v>24.4</v>
      </c>
      <c r="H343">
        <v>16.899999999999999</v>
      </c>
      <c r="I343">
        <v>30.3</v>
      </c>
      <c r="J343">
        <f t="shared" si="43"/>
        <v>3235.0000000000005</v>
      </c>
      <c r="K343" s="38">
        <f t="shared" si="48"/>
        <v>655.30000000000007</v>
      </c>
      <c r="M343">
        <v>0</v>
      </c>
      <c r="N343">
        <v>5.5</v>
      </c>
      <c r="O343">
        <f t="shared" si="40"/>
        <v>-5.5</v>
      </c>
      <c r="P343">
        <f t="shared" si="46"/>
        <v>1.4000000000000021</v>
      </c>
      <c r="Q343">
        <v>309</v>
      </c>
      <c r="R343">
        <f t="shared" si="45"/>
        <v>0.52777777777777768</v>
      </c>
      <c r="S343" s="23">
        <f t="shared" si="41"/>
        <v>2.9027777777777772</v>
      </c>
      <c r="T343" s="23">
        <f t="shared" si="42"/>
        <v>-2.9027777777777772</v>
      </c>
      <c r="U343" s="23">
        <f t="shared" si="47"/>
        <v>13.612142857142858</v>
      </c>
      <c r="W343">
        <v>2487.6</v>
      </c>
      <c r="Y343">
        <f t="shared" si="44"/>
        <v>280674.79999999981</v>
      </c>
      <c r="Z343" s="38">
        <f t="shared" si="49"/>
        <v>63823.599999999991</v>
      </c>
      <c r="AA343">
        <v>15.813024278813396</v>
      </c>
    </row>
    <row r="344" spans="1:27" x14ac:dyDescent="0.25">
      <c r="A344">
        <v>6280</v>
      </c>
      <c r="B344">
        <v>24170</v>
      </c>
      <c r="C344" s="8">
        <v>42922</v>
      </c>
      <c r="G344">
        <v>26.6</v>
      </c>
      <c r="H344">
        <v>21</v>
      </c>
      <c r="I344">
        <v>34.200000000000003</v>
      </c>
      <c r="J344">
        <f t="shared" si="43"/>
        <v>3261.6000000000004</v>
      </c>
      <c r="K344" s="38">
        <f t="shared" si="48"/>
        <v>681.90000000000009</v>
      </c>
      <c r="M344">
        <v>1.8</v>
      </c>
      <c r="N344">
        <v>3.1</v>
      </c>
      <c r="O344">
        <f t="shared" si="40"/>
        <v>-1.3</v>
      </c>
      <c r="P344">
        <f t="shared" si="46"/>
        <v>0.10000000000000209</v>
      </c>
      <c r="Q344" s="22">
        <v>310</v>
      </c>
      <c r="R344">
        <f t="shared" si="45"/>
        <v>0.51507936507936503</v>
      </c>
      <c r="S344" s="23">
        <f t="shared" si="41"/>
        <v>1.5967460317460316</v>
      </c>
      <c r="T344" s="23">
        <f t="shared" si="42"/>
        <v>0.20325396825396846</v>
      </c>
      <c r="U344" s="23">
        <f t="shared" si="47"/>
        <v>13.815396825396826</v>
      </c>
      <c r="W344">
        <v>1135.7</v>
      </c>
      <c r="Y344">
        <f t="shared" si="44"/>
        <v>281810.49999999983</v>
      </c>
      <c r="Z344" s="38">
        <f t="shared" si="49"/>
        <v>64959.299999999988</v>
      </c>
      <c r="AA344">
        <v>15.793103315645896</v>
      </c>
    </row>
    <row r="345" spans="1:27" x14ac:dyDescent="0.25">
      <c r="A345">
        <v>6280</v>
      </c>
      <c r="B345">
        <v>24170</v>
      </c>
      <c r="C345" s="8">
        <v>42923</v>
      </c>
      <c r="G345">
        <v>25.9</v>
      </c>
      <c r="H345">
        <v>21</v>
      </c>
      <c r="I345">
        <v>30.9</v>
      </c>
      <c r="J345">
        <f t="shared" si="43"/>
        <v>3287.5000000000005</v>
      </c>
      <c r="K345" s="38">
        <f t="shared" si="48"/>
        <v>707.80000000000007</v>
      </c>
      <c r="M345">
        <v>0</v>
      </c>
      <c r="N345">
        <v>5.7</v>
      </c>
      <c r="O345">
        <f t="shared" si="40"/>
        <v>-5.7</v>
      </c>
      <c r="P345">
        <v>0</v>
      </c>
      <c r="Q345">
        <v>311</v>
      </c>
      <c r="R345">
        <f t="shared" si="45"/>
        <v>0.50238095238095237</v>
      </c>
      <c r="S345" s="23">
        <f t="shared" si="41"/>
        <v>2.8635714285714284</v>
      </c>
      <c r="T345" s="23">
        <f t="shared" si="42"/>
        <v>-2.8635714285714284</v>
      </c>
      <c r="U345" s="23">
        <f t="shared" si="47"/>
        <v>10.951825396825399</v>
      </c>
      <c r="W345">
        <v>2301.8000000000002</v>
      </c>
      <c r="Y345">
        <f t="shared" si="44"/>
        <v>284112.29999999981</v>
      </c>
      <c r="Z345" s="38">
        <f t="shared" si="49"/>
        <v>67261.099999999991</v>
      </c>
      <c r="AA345">
        <v>15.771878036821594</v>
      </c>
    </row>
    <row r="346" spans="1:27" x14ac:dyDescent="0.25">
      <c r="A346">
        <v>6280</v>
      </c>
      <c r="B346">
        <v>24170</v>
      </c>
      <c r="C346" s="8">
        <v>42924</v>
      </c>
      <c r="G346">
        <v>23.8</v>
      </c>
      <c r="H346">
        <v>18.7</v>
      </c>
      <c r="I346">
        <v>29</v>
      </c>
      <c r="J346">
        <f t="shared" si="43"/>
        <v>3311.3000000000006</v>
      </c>
      <c r="K346" s="38">
        <f t="shared" si="48"/>
        <v>731.6</v>
      </c>
      <c r="M346">
        <v>0</v>
      </c>
      <c r="N346">
        <v>6.2</v>
      </c>
      <c r="O346">
        <f t="shared" si="40"/>
        <v>-6.2</v>
      </c>
      <c r="P346">
        <v>0</v>
      </c>
      <c r="Q346" s="22">
        <v>312</v>
      </c>
      <c r="R346">
        <f t="shared" si="45"/>
        <v>0.48968253968253972</v>
      </c>
      <c r="S346" s="23">
        <f t="shared" si="41"/>
        <v>3.0360317460317465</v>
      </c>
      <c r="T346" s="23">
        <f t="shared" si="42"/>
        <v>-3.0360317460317465</v>
      </c>
      <c r="U346" s="23">
        <f t="shared" si="47"/>
        <v>7.9157936507936526</v>
      </c>
      <c r="W346">
        <v>2661.4</v>
      </c>
      <c r="Y346">
        <f t="shared" si="44"/>
        <v>286773.69999999984</v>
      </c>
      <c r="Z346" s="38">
        <f t="shared" si="49"/>
        <v>69922.499999999985</v>
      </c>
      <c r="AA346">
        <v>15.749366400594317</v>
      </c>
    </row>
    <row r="347" spans="1:27" x14ac:dyDescent="0.25">
      <c r="A347">
        <v>6280</v>
      </c>
      <c r="B347">
        <v>24170</v>
      </c>
      <c r="C347" s="8">
        <v>42925</v>
      </c>
      <c r="G347">
        <v>22.4</v>
      </c>
      <c r="H347">
        <v>19.5</v>
      </c>
      <c r="I347">
        <v>27.4</v>
      </c>
      <c r="J347">
        <f t="shared" si="43"/>
        <v>3333.7000000000007</v>
      </c>
      <c r="K347" s="38">
        <f t="shared" si="48"/>
        <v>754</v>
      </c>
      <c r="M347">
        <v>8.1</v>
      </c>
      <c r="N347">
        <v>2.4</v>
      </c>
      <c r="O347">
        <f t="shared" si="40"/>
        <v>5.6999999999999993</v>
      </c>
      <c r="P347">
        <f t="shared" si="46"/>
        <v>5.6999999999999993</v>
      </c>
      <c r="Q347">
        <v>313</v>
      </c>
      <c r="R347">
        <f t="shared" si="45"/>
        <v>0.47698412698412695</v>
      </c>
      <c r="S347" s="23">
        <f t="shared" si="41"/>
        <v>1.1447619047619046</v>
      </c>
      <c r="T347" s="23">
        <f t="shared" si="42"/>
        <v>6.9552380952380952</v>
      </c>
      <c r="U347" s="23">
        <f t="shared" si="47"/>
        <v>14.871031746031747</v>
      </c>
      <c r="W347">
        <v>927.8</v>
      </c>
      <c r="Y347">
        <f t="shared" si="44"/>
        <v>287701.49999999983</v>
      </c>
      <c r="Z347" s="38">
        <f t="shared" si="49"/>
        <v>70850.299999999988</v>
      </c>
      <c r="AA347">
        <v>15.725587206982102</v>
      </c>
    </row>
    <row r="348" spans="1:27" x14ac:dyDescent="0.25">
      <c r="A348">
        <v>6280</v>
      </c>
      <c r="B348">
        <v>24170</v>
      </c>
      <c r="C348" s="8">
        <v>42926</v>
      </c>
      <c r="G348">
        <v>19.2</v>
      </c>
      <c r="H348">
        <v>18.2</v>
      </c>
      <c r="I348">
        <v>21</v>
      </c>
      <c r="J348">
        <f t="shared" si="43"/>
        <v>3352.9000000000005</v>
      </c>
      <c r="K348" s="38">
        <f t="shared" si="48"/>
        <v>773.2</v>
      </c>
      <c r="M348">
        <v>5</v>
      </c>
      <c r="N348">
        <v>2.8</v>
      </c>
      <c r="O348">
        <f t="shared" si="40"/>
        <v>2.2000000000000002</v>
      </c>
      <c r="P348">
        <f t="shared" si="46"/>
        <v>7.8999999999999995</v>
      </c>
      <c r="Q348" s="22">
        <v>314</v>
      </c>
      <c r="R348">
        <f t="shared" si="45"/>
        <v>0.4642857142857143</v>
      </c>
      <c r="S348" s="23">
        <f t="shared" si="41"/>
        <v>1.3</v>
      </c>
      <c r="T348" s="23">
        <f t="shared" si="42"/>
        <v>3.7</v>
      </c>
      <c r="U348" s="23">
        <f t="shared" si="47"/>
        <v>18.571031746031746</v>
      </c>
      <c r="W348">
        <v>1360.5</v>
      </c>
      <c r="Y348">
        <f t="shared" si="44"/>
        <v>289061.99999999983</v>
      </c>
      <c r="Z348" s="38">
        <f t="shared" si="49"/>
        <v>72210.799999999988</v>
      </c>
      <c r="AA348">
        <v>15.700560042562437</v>
      </c>
    </row>
    <row r="349" spans="1:27" x14ac:dyDescent="0.25">
      <c r="A349">
        <v>6280</v>
      </c>
      <c r="B349">
        <v>24170</v>
      </c>
      <c r="C349" s="8">
        <v>42927</v>
      </c>
      <c r="G349">
        <v>18.399999999999999</v>
      </c>
      <c r="H349">
        <v>15.3</v>
      </c>
      <c r="I349">
        <v>22.2</v>
      </c>
      <c r="J349">
        <f t="shared" si="43"/>
        <v>3371.3000000000006</v>
      </c>
      <c r="K349" s="38">
        <f t="shared" si="48"/>
        <v>791.6</v>
      </c>
      <c r="M349">
        <v>3.7</v>
      </c>
      <c r="N349">
        <v>2.6</v>
      </c>
      <c r="O349">
        <f t="shared" si="40"/>
        <v>1.1000000000000001</v>
      </c>
      <c r="P349">
        <f t="shared" si="46"/>
        <v>9</v>
      </c>
      <c r="Q349">
        <v>315</v>
      </c>
      <c r="R349">
        <f t="shared" si="45"/>
        <v>0.45158730158730154</v>
      </c>
      <c r="S349" s="23">
        <f t="shared" si="41"/>
        <v>1.1741269841269841</v>
      </c>
      <c r="T349" s="23">
        <f t="shared" si="42"/>
        <v>2.525873015873016</v>
      </c>
      <c r="U349" s="23">
        <f t="shared" si="47"/>
        <v>21.096904761904764</v>
      </c>
      <c r="W349">
        <v>1147.9000000000001</v>
      </c>
      <c r="Y349">
        <f t="shared" si="44"/>
        <v>290209.89999999985</v>
      </c>
      <c r="Z349" s="38">
        <f t="shared" si="49"/>
        <v>73358.699999999983</v>
      </c>
      <c r="AA349">
        <v>15.674305224257024</v>
      </c>
    </row>
    <row r="350" spans="1:27" x14ac:dyDescent="0.25">
      <c r="A350">
        <v>6280</v>
      </c>
      <c r="B350">
        <v>24170</v>
      </c>
      <c r="C350" s="8">
        <v>42928</v>
      </c>
      <c r="G350">
        <v>18.8</v>
      </c>
      <c r="H350">
        <v>16</v>
      </c>
      <c r="I350">
        <v>21.7</v>
      </c>
      <c r="J350">
        <f t="shared" si="43"/>
        <v>3390.1000000000008</v>
      </c>
      <c r="K350" s="38">
        <f t="shared" si="48"/>
        <v>810.4</v>
      </c>
      <c r="M350">
        <v>0.6</v>
      </c>
      <c r="N350">
        <v>2.1</v>
      </c>
      <c r="O350">
        <f t="shared" si="40"/>
        <v>-1.5</v>
      </c>
      <c r="P350">
        <f t="shared" si="46"/>
        <v>7.5</v>
      </c>
      <c r="Q350" s="22">
        <v>316</v>
      </c>
      <c r="R350">
        <f t="shared" si="45"/>
        <v>0.43888888888888888</v>
      </c>
      <c r="S350" s="23">
        <f t="shared" si="41"/>
        <v>0.92166666666666675</v>
      </c>
      <c r="T350" s="23">
        <f t="shared" si="42"/>
        <v>-0.32166666666666677</v>
      </c>
      <c r="U350" s="23">
        <f t="shared" si="47"/>
        <v>20.775238095238098</v>
      </c>
      <c r="W350">
        <v>724.5</v>
      </c>
      <c r="Y350">
        <f t="shared" si="44"/>
        <v>290934.39999999985</v>
      </c>
      <c r="Z350" s="38">
        <f t="shared" si="49"/>
        <v>74083.199999999983</v>
      </c>
      <c r="AA350">
        <v>15.646843742418742</v>
      </c>
    </row>
    <row r="351" spans="1:27" x14ac:dyDescent="0.25">
      <c r="A351">
        <v>6280</v>
      </c>
      <c r="B351">
        <v>24170</v>
      </c>
      <c r="C351" s="8">
        <v>42929</v>
      </c>
      <c r="G351">
        <v>18.7</v>
      </c>
      <c r="H351">
        <v>14.4</v>
      </c>
      <c r="I351">
        <v>22.4</v>
      </c>
      <c r="J351">
        <f t="shared" si="43"/>
        <v>3408.8000000000006</v>
      </c>
      <c r="K351" s="38">
        <f t="shared" si="48"/>
        <v>829.1</v>
      </c>
      <c r="M351">
        <v>0.1</v>
      </c>
      <c r="N351">
        <v>3.1</v>
      </c>
      <c r="O351">
        <f t="shared" si="40"/>
        <v>-3</v>
      </c>
      <c r="P351">
        <f t="shared" si="46"/>
        <v>4.5</v>
      </c>
      <c r="Q351">
        <v>317</v>
      </c>
      <c r="R351">
        <f t="shared" si="45"/>
        <v>0.42619047619047612</v>
      </c>
      <c r="S351" s="23">
        <f t="shared" si="41"/>
        <v>1.321190476190476</v>
      </c>
      <c r="T351" s="23">
        <f t="shared" si="42"/>
        <v>-1.2211904761904759</v>
      </c>
      <c r="U351" s="23">
        <f t="shared" si="47"/>
        <v>19.554047619047623</v>
      </c>
      <c r="W351">
        <v>1495.3</v>
      </c>
      <c r="Y351">
        <f t="shared" si="44"/>
        <v>292429.69999999984</v>
      </c>
      <c r="Z351" s="38">
        <f t="shared" si="49"/>
        <v>75578.499999999985</v>
      </c>
      <c r="AA351">
        <v>15.618197203524792</v>
      </c>
    </row>
    <row r="352" spans="1:27" x14ac:dyDescent="0.25">
      <c r="A352">
        <v>6280</v>
      </c>
      <c r="B352">
        <v>24170</v>
      </c>
      <c r="C352" s="8">
        <v>42930</v>
      </c>
      <c r="G352">
        <v>18.2</v>
      </c>
      <c r="H352">
        <v>15.1</v>
      </c>
      <c r="I352">
        <v>21.7</v>
      </c>
      <c r="J352">
        <f t="shared" si="43"/>
        <v>3427.0000000000005</v>
      </c>
      <c r="K352" s="38">
        <f t="shared" si="48"/>
        <v>847.30000000000007</v>
      </c>
      <c r="M352">
        <v>0</v>
      </c>
      <c r="N352">
        <v>4.2</v>
      </c>
      <c r="O352">
        <f t="shared" si="40"/>
        <v>-4.2</v>
      </c>
      <c r="P352">
        <f t="shared" si="46"/>
        <v>0.29999999999999982</v>
      </c>
      <c r="Q352" s="22">
        <v>318</v>
      </c>
      <c r="R352">
        <f t="shared" si="45"/>
        <v>0.41349206349206347</v>
      </c>
      <c r="S352" s="23">
        <f t="shared" si="41"/>
        <v>1.7366666666666666</v>
      </c>
      <c r="T352" s="23">
        <f t="shared" si="42"/>
        <v>-1.7366666666666666</v>
      </c>
      <c r="U352" s="23">
        <f t="shared" si="47"/>
        <v>17.817380952380955</v>
      </c>
      <c r="W352">
        <v>2127.1</v>
      </c>
      <c r="Y352">
        <f t="shared" si="44"/>
        <v>294556.79999999981</v>
      </c>
      <c r="Z352" s="38">
        <f t="shared" si="49"/>
        <v>77705.599999999991</v>
      </c>
      <c r="AA352">
        <v>15.588387772769385</v>
      </c>
    </row>
    <row r="353" spans="1:27" x14ac:dyDescent="0.25">
      <c r="A353">
        <v>6280</v>
      </c>
      <c r="B353">
        <v>24170</v>
      </c>
      <c r="C353" s="8">
        <v>42931</v>
      </c>
      <c r="G353">
        <v>18.899999999999999</v>
      </c>
      <c r="H353">
        <v>12.7</v>
      </c>
      <c r="I353">
        <v>24.7</v>
      </c>
      <c r="J353">
        <f t="shared" si="43"/>
        <v>3445.9000000000005</v>
      </c>
      <c r="K353" s="38">
        <f t="shared" si="48"/>
        <v>866.2</v>
      </c>
      <c r="M353">
        <v>0</v>
      </c>
      <c r="N353">
        <v>3.8</v>
      </c>
      <c r="O353">
        <f t="shared" si="40"/>
        <v>-3.8</v>
      </c>
      <c r="P353">
        <v>0</v>
      </c>
      <c r="Q353">
        <v>319</v>
      </c>
      <c r="R353">
        <f t="shared" si="45"/>
        <v>0.40079365079365081</v>
      </c>
      <c r="S353" s="23">
        <f t="shared" si="41"/>
        <v>1.5230158730158729</v>
      </c>
      <c r="T353" s="23">
        <f t="shared" si="42"/>
        <v>-1.5230158730158729</v>
      </c>
      <c r="U353" s="23">
        <f t="shared" si="47"/>
        <v>16.294365079365082</v>
      </c>
      <c r="W353">
        <v>1741.3</v>
      </c>
      <c r="Y353">
        <f t="shared" si="44"/>
        <v>296298.0999999998</v>
      </c>
      <c r="Z353" s="38">
        <f t="shared" si="49"/>
        <v>79446.899999999994</v>
      </c>
      <c r="AA353">
        <v>15.557438116836156</v>
      </c>
    </row>
    <row r="354" spans="1:27" x14ac:dyDescent="0.25">
      <c r="A354">
        <v>6280</v>
      </c>
      <c r="B354">
        <v>24170</v>
      </c>
      <c r="C354" s="8">
        <v>42932</v>
      </c>
      <c r="G354">
        <v>22.8</v>
      </c>
      <c r="H354">
        <v>18.3</v>
      </c>
      <c r="I354">
        <v>28.6</v>
      </c>
      <c r="J354">
        <f t="shared" si="43"/>
        <v>3468.7000000000007</v>
      </c>
      <c r="K354" s="38">
        <f t="shared" si="48"/>
        <v>889</v>
      </c>
      <c r="M354">
        <v>0</v>
      </c>
      <c r="N354">
        <v>5.3</v>
      </c>
      <c r="O354">
        <f t="shared" si="40"/>
        <v>-5.3</v>
      </c>
      <c r="P354">
        <v>0</v>
      </c>
      <c r="Q354" s="22">
        <v>320</v>
      </c>
      <c r="R354">
        <f t="shared" si="45"/>
        <v>0.38809523809523816</v>
      </c>
      <c r="S354" s="23">
        <f t="shared" si="41"/>
        <v>2.0569047619047622</v>
      </c>
      <c r="T354" s="23">
        <f t="shared" si="42"/>
        <v>-2.0569047619047622</v>
      </c>
      <c r="U354" s="23">
        <f t="shared" si="47"/>
        <v>14.23746031746032</v>
      </c>
      <c r="W354">
        <v>2270.6999999999998</v>
      </c>
      <c r="Y354">
        <f t="shared" si="44"/>
        <v>298568.79999999981</v>
      </c>
      <c r="Z354" s="38">
        <f t="shared" si="49"/>
        <v>81717.599999999991</v>
      </c>
      <c r="AA354">
        <v>15.525371347115962</v>
      </c>
    </row>
    <row r="355" spans="1:27" x14ac:dyDescent="0.25">
      <c r="A355">
        <v>6280</v>
      </c>
      <c r="B355">
        <v>24170</v>
      </c>
      <c r="C355" s="8">
        <v>42933</v>
      </c>
      <c r="G355">
        <v>23.2</v>
      </c>
      <c r="H355">
        <v>17</v>
      </c>
      <c r="I355">
        <v>28.1</v>
      </c>
      <c r="J355">
        <f t="shared" si="43"/>
        <v>3491.9000000000005</v>
      </c>
      <c r="K355" s="38">
        <f t="shared" si="48"/>
        <v>912.2</v>
      </c>
      <c r="M355">
        <v>0</v>
      </c>
      <c r="N355">
        <v>3.8</v>
      </c>
      <c r="O355">
        <f t="shared" si="40"/>
        <v>-3.8</v>
      </c>
      <c r="P355">
        <v>0</v>
      </c>
      <c r="Q355">
        <v>321</v>
      </c>
      <c r="R355">
        <f t="shared" si="45"/>
        <v>0.3753968253968254</v>
      </c>
      <c r="S355" s="23">
        <f t="shared" si="41"/>
        <v>1.4265079365079365</v>
      </c>
      <c r="T355" s="23">
        <f t="shared" si="42"/>
        <v>-1.4265079365079365</v>
      </c>
      <c r="U355" s="23">
        <f t="shared" si="47"/>
        <v>12.810952380952383</v>
      </c>
      <c r="W355">
        <v>1823.2</v>
      </c>
      <c r="Y355">
        <f t="shared" si="44"/>
        <v>300391.99999999983</v>
      </c>
      <c r="Z355" s="38">
        <f t="shared" si="49"/>
        <v>83540.799999999988</v>
      </c>
      <c r="AA355">
        <v>15.492210963619405</v>
      </c>
    </row>
    <row r="356" spans="1:27" x14ac:dyDescent="0.25">
      <c r="A356">
        <v>6280</v>
      </c>
      <c r="B356">
        <v>24170</v>
      </c>
      <c r="C356" s="8">
        <v>42934</v>
      </c>
      <c r="G356">
        <v>26</v>
      </c>
      <c r="H356">
        <v>19.5</v>
      </c>
      <c r="I356">
        <v>31.1</v>
      </c>
      <c r="J356">
        <f t="shared" si="43"/>
        <v>3517.9000000000005</v>
      </c>
      <c r="K356" s="38">
        <f t="shared" si="48"/>
        <v>938.2</v>
      </c>
      <c r="M356">
        <v>0</v>
      </c>
      <c r="N356">
        <v>6.3</v>
      </c>
      <c r="O356">
        <f t="shared" ref="O356:O357" si="50">M356-N356</f>
        <v>-6.3</v>
      </c>
      <c r="P356">
        <v>0</v>
      </c>
      <c r="Q356" s="22">
        <v>322</v>
      </c>
      <c r="R356">
        <f t="shared" si="45"/>
        <v>0.36269841269841274</v>
      </c>
      <c r="S356" s="23">
        <f t="shared" ref="S356:S357" si="51">R356*N356</f>
        <v>2.2850000000000001</v>
      </c>
      <c r="T356" s="23">
        <f t="shared" ref="T356:T357" si="52">M356-S356</f>
        <v>-2.2850000000000001</v>
      </c>
      <c r="U356" s="23">
        <f t="shared" si="47"/>
        <v>10.525952380952383</v>
      </c>
      <c r="W356">
        <v>2426.8000000000002</v>
      </c>
      <c r="Y356">
        <f t="shared" si="44"/>
        <v>302818.79999999981</v>
      </c>
      <c r="Z356" s="38">
        <f t="shared" si="49"/>
        <v>85967.599999999991</v>
      </c>
      <c r="AA356">
        <v>15.457980799816054</v>
      </c>
    </row>
    <row r="357" spans="1:27" x14ac:dyDescent="0.25">
      <c r="A357">
        <v>6280</v>
      </c>
      <c r="B357">
        <v>24170</v>
      </c>
      <c r="C357" s="8">
        <v>42935</v>
      </c>
      <c r="G357">
        <v>24.8</v>
      </c>
      <c r="H357">
        <v>23.6</v>
      </c>
      <c r="I357">
        <v>27.9</v>
      </c>
      <c r="J357">
        <f t="shared" ref="J357" si="53">J356+G357</f>
        <v>3542.7000000000007</v>
      </c>
      <c r="K357" s="38">
        <f t="shared" si="48"/>
        <v>963</v>
      </c>
      <c r="M357">
        <v>0</v>
      </c>
      <c r="N357">
        <v>4.4000000000000004</v>
      </c>
      <c r="O357">
        <f t="shared" si="50"/>
        <v>-4.4000000000000004</v>
      </c>
      <c r="P357">
        <v>0</v>
      </c>
      <c r="Q357">
        <v>323</v>
      </c>
      <c r="R357">
        <f t="shared" si="45"/>
        <v>0.35</v>
      </c>
      <c r="S357" s="23">
        <f t="shared" si="51"/>
        <v>1.54</v>
      </c>
      <c r="T357" s="23">
        <f t="shared" si="52"/>
        <v>-1.54</v>
      </c>
      <c r="U357" s="23">
        <f t="shared" si="47"/>
        <v>8.9859523809523836</v>
      </c>
      <c r="W357">
        <v>1027.3</v>
      </c>
      <c r="Y357">
        <f t="shared" ref="Y357" si="54">Y356+W357</f>
        <v>303846.0999999998</v>
      </c>
      <c r="Z357" s="38">
        <f t="shared" si="49"/>
        <v>86994.9</v>
      </c>
      <c r="AA357">
        <v>15.422704968614029</v>
      </c>
    </row>
    <row r="358" spans="1:27" s="9" customFormat="1" x14ac:dyDescent="0.25">
      <c r="A358" s="45" t="s">
        <v>36</v>
      </c>
      <c r="B358" s="45"/>
      <c r="C358" s="45"/>
      <c r="D358" s="45"/>
      <c r="E358" s="45"/>
      <c r="F358" s="45"/>
    </row>
    <row r="359" spans="1:27" x14ac:dyDescent="0.25">
      <c r="A359">
        <v>6280</v>
      </c>
      <c r="B359">
        <v>24170</v>
      </c>
      <c r="C359" s="8">
        <v>42936</v>
      </c>
      <c r="G359">
        <v>18.8</v>
      </c>
      <c r="H359">
        <v>18.5</v>
      </c>
      <c r="I359">
        <v>21.3</v>
      </c>
      <c r="M359">
        <v>0</v>
      </c>
      <c r="N359">
        <v>3.5</v>
      </c>
      <c r="W359">
        <v>1358.8</v>
      </c>
    </row>
    <row r="360" spans="1:27" x14ac:dyDescent="0.25">
      <c r="A360">
        <v>6280</v>
      </c>
      <c r="B360">
        <v>24170</v>
      </c>
      <c r="C360" s="8">
        <v>42937</v>
      </c>
      <c r="G360">
        <v>19.399999999999999</v>
      </c>
      <c r="H360">
        <v>13</v>
      </c>
      <c r="I360">
        <v>22.9</v>
      </c>
      <c r="M360">
        <v>0</v>
      </c>
      <c r="N360">
        <v>4.8</v>
      </c>
      <c r="Q360" s="22"/>
      <c r="W360">
        <v>2099.3000000000002</v>
      </c>
    </row>
    <row r="361" spans="1:27" x14ac:dyDescent="0.25">
      <c r="A361">
        <v>6280</v>
      </c>
      <c r="B361">
        <v>24170</v>
      </c>
      <c r="C361" s="8">
        <v>42938</v>
      </c>
      <c r="G361">
        <v>17.899999999999999</v>
      </c>
      <c r="H361">
        <v>17.5</v>
      </c>
      <c r="I361">
        <v>19.100000000000001</v>
      </c>
      <c r="M361">
        <v>9.5</v>
      </c>
      <c r="N361">
        <v>3</v>
      </c>
      <c r="W361">
        <v>1127.7</v>
      </c>
    </row>
    <row r="362" spans="1:27" x14ac:dyDescent="0.25">
      <c r="A362">
        <v>6280</v>
      </c>
      <c r="B362">
        <v>24170</v>
      </c>
      <c r="C362" s="8">
        <v>42939</v>
      </c>
      <c r="G362">
        <v>16.2</v>
      </c>
      <c r="H362">
        <v>13.5</v>
      </c>
      <c r="I362">
        <v>20.100000000000001</v>
      </c>
      <c r="M362">
        <v>4.7</v>
      </c>
      <c r="N362">
        <v>2.2999999999999998</v>
      </c>
      <c r="Q362" s="22"/>
      <c r="W362">
        <v>970.3</v>
      </c>
    </row>
    <row r="363" spans="1:27" x14ac:dyDescent="0.25">
      <c r="A363">
        <v>6280</v>
      </c>
      <c r="B363">
        <v>24170</v>
      </c>
      <c r="C363" s="8">
        <v>42940</v>
      </c>
      <c r="G363">
        <v>15.8</v>
      </c>
      <c r="H363">
        <v>13.9</v>
      </c>
      <c r="I363">
        <v>17.399999999999999</v>
      </c>
      <c r="M363">
        <v>3.7</v>
      </c>
      <c r="N363">
        <v>1.3</v>
      </c>
      <c r="W363">
        <v>573</v>
      </c>
    </row>
    <row r="364" spans="1:27" x14ac:dyDescent="0.25">
      <c r="A364">
        <v>6280</v>
      </c>
      <c r="B364">
        <v>24170</v>
      </c>
      <c r="C364" s="8">
        <v>42941</v>
      </c>
      <c r="G364">
        <v>16.899999999999999</v>
      </c>
      <c r="H364">
        <v>15</v>
      </c>
      <c r="I364">
        <v>20.399999999999999</v>
      </c>
      <c r="M364">
        <v>0.4</v>
      </c>
      <c r="N364">
        <v>2.9</v>
      </c>
      <c r="Q364" s="22"/>
      <c r="W364">
        <v>1254.0999999999999</v>
      </c>
    </row>
    <row r="365" spans="1:27" x14ac:dyDescent="0.25">
      <c r="A365">
        <v>6280</v>
      </c>
      <c r="B365">
        <v>24170</v>
      </c>
      <c r="C365" s="8">
        <v>42942</v>
      </c>
      <c r="G365">
        <v>17.7</v>
      </c>
      <c r="H365">
        <v>12.7</v>
      </c>
      <c r="I365">
        <v>22.8</v>
      </c>
      <c r="M365">
        <v>2.1</v>
      </c>
      <c r="N365">
        <v>3.4</v>
      </c>
      <c r="W365">
        <v>1571.1</v>
      </c>
    </row>
    <row r="366" spans="1:27" x14ac:dyDescent="0.25">
      <c r="A366">
        <v>6280</v>
      </c>
      <c r="B366">
        <v>24170</v>
      </c>
      <c r="C366" s="8">
        <v>42943</v>
      </c>
      <c r="G366">
        <v>17.899999999999999</v>
      </c>
      <c r="H366">
        <v>17.2</v>
      </c>
      <c r="I366">
        <v>19.8</v>
      </c>
      <c r="M366">
        <v>0.6</v>
      </c>
      <c r="N366">
        <v>1.9</v>
      </c>
      <c r="Q366" s="22"/>
      <c r="W366">
        <v>861.7</v>
      </c>
    </row>
    <row r="367" spans="1:27" x14ac:dyDescent="0.25">
      <c r="A367">
        <v>6280</v>
      </c>
      <c r="B367">
        <v>24170</v>
      </c>
      <c r="C367" s="8">
        <v>42944</v>
      </c>
      <c r="G367">
        <v>18.5</v>
      </c>
      <c r="H367">
        <v>13.1</v>
      </c>
      <c r="I367">
        <v>22.2</v>
      </c>
      <c r="M367">
        <v>0</v>
      </c>
      <c r="N367">
        <v>3</v>
      </c>
      <c r="W367">
        <v>1233.9000000000001</v>
      </c>
    </row>
    <row r="368" spans="1:27" x14ac:dyDescent="0.25">
      <c r="A368">
        <v>6280</v>
      </c>
      <c r="B368">
        <v>24170</v>
      </c>
      <c r="C368" s="8">
        <v>42945</v>
      </c>
      <c r="G368">
        <v>22.1</v>
      </c>
      <c r="H368">
        <v>17.399999999999999</v>
      </c>
      <c r="I368">
        <v>25.9</v>
      </c>
      <c r="M368">
        <v>0</v>
      </c>
      <c r="N368">
        <v>4.4000000000000004</v>
      </c>
      <c r="Q368" s="22"/>
      <c r="W368">
        <v>1441.8</v>
      </c>
    </row>
    <row r="369" spans="1:23" x14ac:dyDescent="0.25">
      <c r="A369">
        <v>6280</v>
      </c>
      <c r="B369">
        <v>24170</v>
      </c>
      <c r="C369" s="8">
        <v>42946</v>
      </c>
      <c r="G369">
        <v>21.4</v>
      </c>
      <c r="H369">
        <v>19.7</v>
      </c>
      <c r="I369">
        <v>23.1</v>
      </c>
      <c r="M369">
        <v>0</v>
      </c>
      <c r="N369">
        <v>5.2</v>
      </c>
      <c r="W369">
        <v>1848.3</v>
      </c>
    </row>
    <row r="370" spans="1:23" x14ac:dyDescent="0.25">
      <c r="A370">
        <v>6280</v>
      </c>
      <c r="B370">
        <v>24170</v>
      </c>
      <c r="C370" s="8">
        <v>42947</v>
      </c>
      <c r="G370">
        <v>19</v>
      </c>
      <c r="H370">
        <v>15.1</v>
      </c>
      <c r="I370">
        <v>22.1</v>
      </c>
      <c r="M370">
        <v>5.3</v>
      </c>
      <c r="N370">
        <v>1.9</v>
      </c>
      <c r="Q370" s="22"/>
      <c r="W370">
        <v>898.8</v>
      </c>
    </row>
    <row r="371" spans="1:23" x14ac:dyDescent="0.25">
      <c r="A371">
        <v>6280</v>
      </c>
      <c r="B371">
        <v>24170</v>
      </c>
      <c r="C371" s="8">
        <v>42948</v>
      </c>
      <c r="G371">
        <v>20.100000000000001</v>
      </c>
      <c r="H371">
        <v>15.7</v>
      </c>
      <c r="I371">
        <v>25.4</v>
      </c>
      <c r="M371">
        <v>0.7</v>
      </c>
      <c r="N371">
        <v>3.3</v>
      </c>
      <c r="W371">
        <v>1565.7</v>
      </c>
    </row>
    <row r="372" spans="1:23" x14ac:dyDescent="0.25">
      <c r="A372">
        <v>6280</v>
      </c>
      <c r="B372">
        <v>24170</v>
      </c>
      <c r="C372" s="8">
        <v>42949</v>
      </c>
      <c r="G372">
        <v>22.3</v>
      </c>
      <c r="H372">
        <v>16.7</v>
      </c>
      <c r="I372">
        <v>27.9</v>
      </c>
      <c r="M372">
        <v>0.6</v>
      </c>
      <c r="N372">
        <v>2.8</v>
      </c>
      <c r="Q372" s="22"/>
      <c r="W372">
        <v>970.2</v>
      </c>
    </row>
    <row r="373" spans="1:23" x14ac:dyDescent="0.25">
      <c r="A373">
        <v>6280</v>
      </c>
      <c r="B373">
        <v>24170</v>
      </c>
      <c r="C373" s="8">
        <v>42950</v>
      </c>
      <c r="G373">
        <v>22</v>
      </c>
      <c r="H373">
        <v>18.5</v>
      </c>
      <c r="I373">
        <v>24.7</v>
      </c>
      <c r="M373">
        <v>0</v>
      </c>
      <c r="N373">
        <v>4.5</v>
      </c>
      <c r="W373">
        <v>1647</v>
      </c>
    </row>
    <row r="374" spans="1:23" x14ac:dyDescent="0.25">
      <c r="A374">
        <v>6280</v>
      </c>
      <c r="B374">
        <v>24170</v>
      </c>
      <c r="C374" s="8">
        <v>42951</v>
      </c>
      <c r="G374">
        <v>21.5</v>
      </c>
      <c r="H374">
        <v>18.100000000000001</v>
      </c>
      <c r="I374">
        <v>24.2</v>
      </c>
      <c r="M374">
        <v>0.4</v>
      </c>
      <c r="N374">
        <v>3.7</v>
      </c>
      <c r="Q374" s="22"/>
      <c r="W374">
        <v>1173.5</v>
      </c>
    </row>
    <row r="375" spans="1:23" x14ac:dyDescent="0.25">
      <c r="A375">
        <v>6280</v>
      </c>
      <c r="B375">
        <v>24170</v>
      </c>
      <c r="C375" s="8">
        <v>42952</v>
      </c>
      <c r="G375">
        <v>19</v>
      </c>
      <c r="H375">
        <v>15.6</v>
      </c>
      <c r="I375">
        <v>22.5</v>
      </c>
      <c r="M375">
        <v>0</v>
      </c>
      <c r="N375">
        <v>3.3</v>
      </c>
      <c r="W375">
        <v>1409.4</v>
      </c>
    </row>
    <row r="376" spans="1:23" x14ac:dyDescent="0.25">
      <c r="A376">
        <v>6280</v>
      </c>
      <c r="B376">
        <v>24170</v>
      </c>
      <c r="C376" s="8">
        <v>42953</v>
      </c>
      <c r="G376">
        <v>17.7</v>
      </c>
      <c r="H376">
        <v>13.2</v>
      </c>
      <c r="I376">
        <v>22.4</v>
      </c>
      <c r="M376">
        <v>0</v>
      </c>
      <c r="N376">
        <v>4.2</v>
      </c>
      <c r="Q376" s="22"/>
      <c r="W376">
        <v>2169.8000000000002</v>
      </c>
    </row>
    <row r="377" spans="1:23" x14ac:dyDescent="0.25">
      <c r="A377">
        <v>6280</v>
      </c>
      <c r="B377">
        <v>24170</v>
      </c>
      <c r="C377" s="8">
        <v>42954</v>
      </c>
      <c r="G377">
        <v>20</v>
      </c>
      <c r="H377">
        <v>13.4</v>
      </c>
      <c r="I377">
        <v>25.2</v>
      </c>
      <c r="M377">
        <v>0.6</v>
      </c>
      <c r="N377">
        <v>4</v>
      </c>
      <c r="W377">
        <v>1870.8</v>
      </c>
    </row>
    <row r="378" spans="1:23" x14ac:dyDescent="0.25">
      <c r="A378">
        <v>6280</v>
      </c>
      <c r="B378">
        <v>24170</v>
      </c>
      <c r="C378" s="8">
        <v>42955</v>
      </c>
      <c r="G378">
        <v>15.8</v>
      </c>
      <c r="H378">
        <v>15.5</v>
      </c>
      <c r="I378">
        <v>16.399999999999999</v>
      </c>
      <c r="M378">
        <v>3.5</v>
      </c>
      <c r="N378">
        <v>1.2</v>
      </c>
      <c r="Q378" s="22"/>
      <c r="W378">
        <v>546.29999999999995</v>
      </c>
    </row>
    <row r="379" spans="1:23" x14ac:dyDescent="0.25">
      <c r="A379">
        <v>6280</v>
      </c>
      <c r="B379">
        <v>24170</v>
      </c>
      <c r="C379" s="8">
        <v>42956</v>
      </c>
      <c r="G379">
        <v>14.4</v>
      </c>
      <c r="H379">
        <v>12.8</v>
      </c>
      <c r="I379">
        <v>17.600000000000001</v>
      </c>
      <c r="M379">
        <v>7.5</v>
      </c>
      <c r="N379">
        <v>2.1</v>
      </c>
      <c r="W379">
        <v>1281.8</v>
      </c>
    </row>
    <row r="380" spans="1:23" x14ac:dyDescent="0.25">
      <c r="A380">
        <v>6280</v>
      </c>
      <c r="B380">
        <v>24170</v>
      </c>
      <c r="C380" s="8">
        <v>42957</v>
      </c>
      <c r="G380">
        <v>14</v>
      </c>
      <c r="H380">
        <v>11.4</v>
      </c>
      <c r="I380">
        <v>17.2</v>
      </c>
      <c r="M380">
        <v>0.9</v>
      </c>
      <c r="N380">
        <v>2.1</v>
      </c>
      <c r="Q380" s="22"/>
      <c r="W380">
        <v>1174.3</v>
      </c>
    </row>
    <row r="381" spans="1:23" x14ac:dyDescent="0.25">
      <c r="A381">
        <v>6280</v>
      </c>
      <c r="B381">
        <v>24170</v>
      </c>
      <c r="C381" s="8">
        <v>42958</v>
      </c>
      <c r="G381">
        <v>16.8</v>
      </c>
      <c r="H381">
        <v>12.3</v>
      </c>
      <c r="I381">
        <v>20.3</v>
      </c>
      <c r="M381">
        <v>0</v>
      </c>
      <c r="N381">
        <v>2.9</v>
      </c>
      <c r="W381">
        <v>1636.8</v>
      </c>
    </row>
    <row r="382" spans="1:23" x14ac:dyDescent="0.25">
      <c r="A382">
        <v>6280</v>
      </c>
      <c r="B382">
        <v>24170</v>
      </c>
      <c r="C382" s="8">
        <v>42959</v>
      </c>
      <c r="G382">
        <v>16.8</v>
      </c>
      <c r="H382">
        <v>14.1</v>
      </c>
      <c r="I382">
        <v>19.7</v>
      </c>
      <c r="M382">
        <v>2.5</v>
      </c>
      <c r="N382">
        <v>1.8</v>
      </c>
      <c r="Q382" s="22"/>
      <c r="W382">
        <v>652.6</v>
      </c>
    </row>
    <row r="383" spans="1:23" x14ac:dyDescent="0.25">
      <c r="A383">
        <v>6280</v>
      </c>
      <c r="B383">
        <v>24170</v>
      </c>
      <c r="C383" s="8">
        <v>42960</v>
      </c>
      <c r="G383">
        <v>17.3</v>
      </c>
      <c r="H383">
        <v>13.3</v>
      </c>
      <c r="I383">
        <v>21.4</v>
      </c>
      <c r="M383">
        <v>0.1</v>
      </c>
      <c r="N383">
        <v>3</v>
      </c>
      <c r="W383">
        <v>1486.7</v>
      </c>
    </row>
    <row r="384" spans="1:23" x14ac:dyDescent="0.25">
      <c r="A384">
        <v>6280</v>
      </c>
      <c r="B384">
        <v>24170</v>
      </c>
      <c r="C384" s="8">
        <v>42961</v>
      </c>
      <c r="G384">
        <v>19.8</v>
      </c>
      <c r="H384">
        <v>12.4</v>
      </c>
      <c r="I384">
        <v>25.6</v>
      </c>
      <c r="M384">
        <v>8.6</v>
      </c>
      <c r="N384">
        <v>2.8</v>
      </c>
      <c r="Q384" s="22"/>
      <c r="W384">
        <v>1463</v>
      </c>
    </row>
    <row r="385" spans="1:23" x14ac:dyDescent="0.25">
      <c r="A385">
        <v>6280</v>
      </c>
      <c r="B385">
        <v>24170</v>
      </c>
      <c r="C385" s="8">
        <v>42962</v>
      </c>
      <c r="G385">
        <v>20.2</v>
      </c>
      <c r="H385">
        <v>19.100000000000001</v>
      </c>
      <c r="I385">
        <v>23.9</v>
      </c>
      <c r="M385">
        <v>33.799999999999997</v>
      </c>
      <c r="N385">
        <v>2.7</v>
      </c>
      <c r="W385">
        <v>1289</v>
      </c>
    </row>
    <row r="386" spans="1:23" x14ac:dyDescent="0.25">
      <c r="A386">
        <v>6280</v>
      </c>
      <c r="B386">
        <v>24170</v>
      </c>
      <c r="C386" s="8">
        <v>42963</v>
      </c>
      <c r="G386">
        <v>19.600000000000001</v>
      </c>
      <c r="H386">
        <v>15.4</v>
      </c>
      <c r="I386">
        <v>23</v>
      </c>
      <c r="M386">
        <v>1</v>
      </c>
      <c r="N386">
        <v>2.7</v>
      </c>
      <c r="Q386" s="22"/>
      <c r="W386">
        <v>1389.4</v>
      </c>
    </row>
    <row r="387" spans="1:23" x14ac:dyDescent="0.25">
      <c r="A387">
        <v>6280</v>
      </c>
      <c r="B387">
        <v>24170</v>
      </c>
      <c r="C387" s="8">
        <v>42964</v>
      </c>
      <c r="G387">
        <v>19.2</v>
      </c>
      <c r="H387">
        <v>16.2</v>
      </c>
      <c r="I387">
        <v>21.3</v>
      </c>
      <c r="M387">
        <v>13</v>
      </c>
      <c r="N387">
        <v>0.9</v>
      </c>
      <c r="W387">
        <v>485.8</v>
      </c>
    </row>
    <row r="388" spans="1:23" x14ac:dyDescent="0.25">
      <c r="A388">
        <v>6280</v>
      </c>
      <c r="B388">
        <v>24170</v>
      </c>
      <c r="C388" s="8">
        <v>42965</v>
      </c>
      <c r="G388">
        <v>17.3</v>
      </c>
      <c r="H388">
        <v>17.399999999999999</v>
      </c>
      <c r="I388">
        <v>18.3</v>
      </c>
      <c r="M388">
        <v>7.1</v>
      </c>
      <c r="N388">
        <v>1</v>
      </c>
      <c r="Q388" s="22"/>
      <c r="W388">
        <v>482.3</v>
      </c>
    </row>
    <row r="389" spans="1:23" x14ac:dyDescent="0.25">
      <c r="A389">
        <v>6280</v>
      </c>
      <c r="B389">
        <v>24170</v>
      </c>
      <c r="C389" s="8">
        <v>42966</v>
      </c>
      <c r="G389">
        <v>15.7</v>
      </c>
      <c r="H389">
        <v>12.2</v>
      </c>
      <c r="I389">
        <v>19.7</v>
      </c>
      <c r="M389">
        <v>0.1</v>
      </c>
      <c r="N389">
        <v>3</v>
      </c>
      <c r="W389">
        <v>1633.4</v>
      </c>
    </row>
    <row r="390" spans="1:23" x14ac:dyDescent="0.25">
      <c r="A390">
        <v>6280</v>
      </c>
      <c r="B390">
        <v>24170</v>
      </c>
      <c r="C390" s="8">
        <v>42967</v>
      </c>
      <c r="G390">
        <v>16.3</v>
      </c>
      <c r="H390">
        <v>10.7</v>
      </c>
      <c r="I390">
        <v>20.2</v>
      </c>
      <c r="M390">
        <v>0</v>
      </c>
      <c r="N390">
        <v>2.5</v>
      </c>
      <c r="Q390" s="22"/>
      <c r="W390">
        <v>1303.4000000000001</v>
      </c>
    </row>
    <row r="391" spans="1:23" x14ac:dyDescent="0.25">
      <c r="A391">
        <v>6280</v>
      </c>
      <c r="B391">
        <v>24170</v>
      </c>
      <c r="C391" s="8">
        <v>42968</v>
      </c>
      <c r="G391">
        <v>19</v>
      </c>
      <c r="H391">
        <v>16.100000000000001</v>
      </c>
      <c r="I391">
        <v>22.3</v>
      </c>
      <c r="M391">
        <v>0</v>
      </c>
      <c r="N391">
        <v>1.7</v>
      </c>
      <c r="W391">
        <v>628.6</v>
      </c>
    </row>
    <row r="392" spans="1:23" x14ac:dyDescent="0.25">
      <c r="A392">
        <v>6280</v>
      </c>
      <c r="B392">
        <v>24170</v>
      </c>
      <c r="C392" s="8">
        <v>42969</v>
      </c>
      <c r="G392">
        <v>21.4</v>
      </c>
      <c r="H392">
        <v>15.8</v>
      </c>
      <c r="I392">
        <v>25.9</v>
      </c>
      <c r="M392">
        <v>0</v>
      </c>
      <c r="N392">
        <v>3.3</v>
      </c>
      <c r="Q392" s="22"/>
      <c r="W392">
        <v>1624.7</v>
      </c>
    </row>
    <row r="393" spans="1:23" x14ac:dyDescent="0.25">
      <c r="A393">
        <v>6280</v>
      </c>
      <c r="B393">
        <v>24170</v>
      </c>
      <c r="C393" s="8">
        <v>42970</v>
      </c>
      <c r="G393">
        <v>20</v>
      </c>
      <c r="H393">
        <v>18.100000000000001</v>
      </c>
      <c r="I393">
        <v>24.4</v>
      </c>
      <c r="M393">
        <v>0</v>
      </c>
      <c r="N393">
        <v>3.5</v>
      </c>
      <c r="W393">
        <v>1586.2</v>
      </c>
    </row>
    <row r="394" spans="1:23" x14ac:dyDescent="0.25">
      <c r="A394">
        <v>6280</v>
      </c>
      <c r="B394">
        <v>24170</v>
      </c>
      <c r="C394" s="8">
        <v>42971</v>
      </c>
      <c r="G394">
        <v>18.2</v>
      </c>
      <c r="H394">
        <v>13</v>
      </c>
      <c r="I394">
        <v>21.7</v>
      </c>
      <c r="M394">
        <v>0</v>
      </c>
      <c r="N394">
        <v>2.1</v>
      </c>
      <c r="Q394" s="22"/>
      <c r="W394">
        <v>1122.4000000000001</v>
      </c>
    </row>
    <row r="395" spans="1:23" x14ac:dyDescent="0.25">
      <c r="A395">
        <v>6280</v>
      </c>
      <c r="B395">
        <v>24170</v>
      </c>
      <c r="C395" s="8">
        <v>42972</v>
      </c>
      <c r="G395">
        <v>18.600000000000001</v>
      </c>
      <c r="H395">
        <v>17</v>
      </c>
      <c r="I395">
        <v>21.3</v>
      </c>
      <c r="M395">
        <v>31.3</v>
      </c>
      <c r="N395">
        <v>1.6</v>
      </c>
      <c r="W395">
        <v>635.6</v>
      </c>
    </row>
    <row r="396" spans="1:23" x14ac:dyDescent="0.25">
      <c r="A396">
        <v>6280</v>
      </c>
      <c r="B396">
        <v>24170</v>
      </c>
      <c r="C396" s="8">
        <v>42973</v>
      </c>
      <c r="G396">
        <v>21.3</v>
      </c>
      <c r="H396">
        <v>17.100000000000001</v>
      </c>
      <c r="I396">
        <v>25.4</v>
      </c>
      <c r="M396">
        <v>0.4</v>
      </c>
      <c r="N396">
        <v>2.6</v>
      </c>
      <c r="Q396" s="22"/>
      <c r="W396">
        <v>1316.6</v>
      </c>
    </row>
    <row r="397" spans="1:23" x14ac:dyDescent="0.25">
      <c r="A397">
        <v>6280</v>
      </c>
      <c r="B397">
        <v>24170</v>
      </c>
      <c r="C397" s="8">
        <v>42974</v>
      </c>
      <c r="G397">
        <v>21.8</v>
      </c>
      <c r="H397">
        <v>17.600000000000001</v>
      </c>
      <c r="I397">
        <v>26.3</v>
      </c>
      <c r="M397">
        <v>3.6</v>
      </c>
      <c r="N397">
        <v>3.4</v>
      </c>
      <c r="W397">
        <v>1614.6</v>
      </c>
    </row>
    <row r="398" spans="1:23" x14ac:dyDescent="0.25">
      <c r="A398">
        <v>6280</v>
      </c>
      <c r="B398">
        <v>24170</v>
      </c>
      <c r="C398" s="8">
        <v>42975</v>
      </c>
      <c r="G398">
        <v>22.8</v>
      </c>
      <c r="H398">
        <v>18</v>
      </c>
      <c r="I398">
        <v>28</v>
      </c>
      <c r="M398">
        <v>0</v>
      </c>
      <c r="N398">
        <v>4</v>
      </c>
      <c r="Q398" s="22"/>
      <c r="W398">
        <v>1792.6</v>
      </c>
    </row>
    <row r="399" spans="1:23" x14ac:dyDescent="0.25">
      <c r="A399">
        <v>6280</v>
      </c>
      <c r="B399">
        <v>24170</v>
      </c>
      <c r="C399" s="8">
        <v>42976</v>
      </c>
      <c r="G399">
        <v>24.5</v>
      </c>
      <c r="H399">
        <v>18.5</v>
      </c>
      <c r="I399">
        <v>30.1</v>
      </c>
      <c r="M399">
        <v>0</v>
      </c>
      <c r="N399">
        <v>4.2</v>
      </c>
      <c r="W399">
        <v>1762.6</v>
      </c>
    </row>
    <row r="400" spans="1:23" x14ac:dyDescent="0.25">
      <c r="A400">
        <v>6280</v>
      </c>
      <c r="B400">
        <v>24170</v>
      </c>
      <c r="C400" s="8">
        <v>42977</v>
      </c>
      <c r="G400">
        <v>18.7</v>
      </c>
      <c r="H400">
        <v>15.8</v>
      </c>
      <c r="I400">
        <v>22.6</v>
      </c>
      <c r="M400">
        <v>3.8</v>
      </c>
      <c r="N400">
        <v>1.2</v>
      </c>
      <c r="Q400" s="22"/>
      <c r="W400">
        <v>535.79999999999995</v>
      </c>
    </row>
    <row r="401" spans="1:23" x14ac:dyDescent="0.25">
      <c r="A401">
        <v>6280</v>
      </c>
      <c r="B401">
        <v>24170</v>
      </c>
      <c r="C401" s="8">
        <v>42978</v>
      </c>
      <c r="G401">
        <v>15.4</v>
      </c>
      <c r="H401">
        <v>12.1</v>
      </c>
      <c r="I401">
        <v>19.399999999999999</v>
      </c>
      <c r="M401">
        <v>0</v>
      </c>
      <c r="N401">
        <v>2.9</v>
      </c>
      <c r="W401">
        <v>1554.9</v>
      </c>
    </row>
  </sheetData>
  <mergeCells count="13">
    <mergeCell ref="A358:F358"/>
    <mergeCell ref="F185:F246"/>
    <mergeCell ref="F247:F267"/>
    <mergeCell ref="F268:F294"/>
    <mergeCell ref="F295:F310"/>
    <mergeCell ref="F311:F330"/>
    <mergeCell ref="F124:F184"/>
    <mergeCell ref="G1:L1"/>
    <mergeCell ref="M1:P1"/>
    <mergeCell ref="Q1:U1"/>
    <mergeCell ref="W1:AB1"/>
    <mergeCell ref="A34:F34"/>
    <mergeCell ref="F35:F123"/>
  </mergeCells>
  <conditionalFormatting sqref="O2">
    <cfRule type="cellIs" dxfId="24" priority="26" operator="lessThan">
      <formula>0</formula>
    </cfRule>
  </conditionalFormatting>
  <conditionalFormatting sqref="O1:O2">
    <cfRule type="cellIs" dxfId="23" priority="25" operator="lessThan">
      <formula>0</formula>
    </cfRule>
  </conditionalFormatting>
  <conditionalFormatting sqref="O1:O2">
    <cfRule type="cellIs" dxfId="22" priority="24" operator="lessThan">
      <formula>0</formula>
    </cfRule>
  </conditionalFormatting>
  <conditionalFormatting sqref="W1:W2">
    <cfRule type="cellIs" dxfId="21" priority="23" operator="lessThan">
      <formula>900</formula>
    </cfRule>
  </conditionalFormatting>
  <conditionalFormatting sqref="O1:O2">
    <cfRule type="cellIs" dxfId="20" priority="22" operator="lessThan">
      <formula>0</formula>
    </cfRule>
  </conditionalFormatting>
  <conditionalFormatting sqref="G35:I357">
    <cfRule type="cellIs" dxfId="19" priority="18" operator="greaterThanOrEqual">
      <formula>25</formula>
    </cfRule>
    <cfRule type="cellIs" priority="19" operator="greaterThanOrEqual">
      <formula>25</formula>
    </cfRule>
    <cfRule type="cellIs" dxfId="18" priority="20" operator="between">
      <formula>0</formula>
      <formula>5</formula>
    </cfRule>
    <cfRule type="cellIs" dxfId="17" priority="21" operator="lessThan">
      <formula>0</formula>
    </cfRule>
  </conditionalFormatting>
  <conditionalFormatting sqref="L36 L44 L48 L46">
    <cfRule type="cellIs" dxfId="16" priority="16" operator="lessThanOrEqual">
      <formula>0</formula>
    </cfRule>
    <cfRule type="cellIs" dxfId="15" priority="17" operator="lessThanOrEqual">
      <formula>5</formula>
    </cfRule>
  </conditionalFormatting>
  <conditionalFormatting sqref="L125 L133 L137 L135">
    <cfRule type="cellIs" dxfId="14" priority="14" operator="lessThanOrEqual">
      <formula>0</formula>
    </cfRule>
    <cfRule type="cellIs" dxfId="13" priority="15" operator="lessThanOrEqual">
      <formula>5</formula>
    </cfRule>
  </conditionalFormatting>
  <conditionalFormatting sqref="L186 L194 L198 L196">
    <cfRule type="cellIs" dxfId="12" priority="12" operator="lessThanOrEqual">
      <formula>0</formula>
    </cfRule>
    <cfRule type="cellIs" dxfId="11" priority="13" operator="lessThanOrEqual">
      <formula>5</formula>
    </cfRule>
  </conditionalFormatting>
  <conditionalFormatting sqref="L248 L260 L258 L256">
    <cfRule type="cellIs" dxfId="10" priority="10" operator="lessThanOrEqual">
      <formula>0</formula>
    </cfRule>
    <cfRule type="cellIs" dxfId="9" priority="11" operator="lessThanOrEqual">
      <formula>5</formula>
    </cfRule>
  </conditionalFormatting>
  <conditionalFormatting sqref="L269 L277 L279 L281">
    <cfRule type="cellIs" dxfId="8" priority="8" operator="lessThanOrEqual">
      <formula>0</formula>
    </cfRule>
    <cfRule type="cellIs" dxfId="7" priority="9" operator="lessThanOrEqual">
      <formula>5</formula>
    </cfRule>
  </conditionalFormatting>
  <conditionalFormatting sqref="L296 L306">
    <cfRule type="cellIs" dxfId="6" priority="6" operator="lessThanOrEqual">
      <formula>0</formula>
    </cfRule>
    <cfRule type="cellIs" dxfId="5" priority="7" operator="lessThanOrEqual">
      <formula>5</formula>
    </cfRule>
  </conditionalFormatting>
  <conditionalFormatting sqref="O3:O357 P36:P38 Q36 Q38 Q40 Q42 Q44 Q46 Q48 Q50 Q52 Q54 Q56 Q58 Q60 Q62 Q64 Q66 Q68 Q70 Q72 Q74 Q76 Q78 Q80 Q82 Q84 Q86 Q88 Q90 Q92 Q94 Q96 Q98 Q100 Q102 Q104 Q106 Q108 Q110 Q112 Q114 Q116 Q118 Q120 Q122 Q126 Q128 Q130 Q132 Q134 Q136 Q138 Q140 Q142 Q144 Q146 Q148 Q150 Q152 Q154 Q156 Q158 Q160 Q162 Q164 Q166 Q168 Q170 Q172 Q174 Q176 Q178 Q180 Q182 Q184 Q186 Q188 Q190 Q192 Q194 Q196 Q198 Q200 Q202 Q204 Q206 Q208 Q210 Q212 Q214 Q216 Q218 Q220 Q222 Q224 Q226 Q228 Q230 Q232 Q234 Q236 Q238 Q240 Q242 Q244 Q246 Q248 Q250 Q252 Q254 Q256 Q258 Q260 Q262 Q264 Q266 Q268 Q270 Q272 Q274 Q276 Q278 Q280 Q282 Q284 Q286 Q288 Q290 Q292 Q294 Q296 Q298 Q300 Q302 Q304 Q306 Q308 Q310 Q312 Q314 Q316 Q318 Q320 Q322 Q324 Q326 Q328 Q330 Q332 Q334 Q336 Q338 Q340 Q342 Q344 Q346 Q348 Q350 Q352 Q354 Q356 Q360 Q362 Q364 Q366 Q368 Q370 Q372 Q374 Q376 Q378 Q380 Q382 Q384 Q386 Q388 Q390 Q392 Q394 Q396 Q398 Q400 Q124:R124 R125:R184">
    <cfRule type="cellIs" dxfId="4" priority="5" operator="lessThan">
      <formula>0</formula>
    </cfRule>
  </conditionalFormatting>
  <conditionalFormatting sqref="T35:T357">
    <cfRule type="cellIs" dxfId="3" priority="4" operator="lessThan">
      <formula>0</formula>
    </cfRule>
  </conditionalFormatting>
  <conditionalFormatting sqref="W35:W357">
    <cfRule type="cellIs" dxfId="2" priority="3" operator="lessThan">
      <formula>900</formula>
    </cfRule>
  </conditionalFormatting>
  <conditionalFormatting sqref="U35:U357">
    <cfRule type="cellIs" dxfId="1" priority="1" operator="equal">
      <formula>0</formula>
    </cfRule>
    <cfRule type="cellIs" dxfId="0" priority="2" operator="lessThan">
      <formula>65.8</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N-</vt:lpstr>
      <vt:lpstr>N+</vt:lpstr>
    </vt:vector>
  </TitlesOfParts>
  <Company>INRA - RENNES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Erwan Corlouer</dc:creator>
  <cp:lastModifiedBy>adminigepp</cp:lastModifiedBy>
  <dcterms:created xsi:type="dcterms:W3CDTF">2018-11-13T14:58:51Z</dcterms:created>
  <dcterms:modified xsi:type="dcterms:W3CDTF">2019-11-27T13:36:47Z</dcterms:modified>
</cp:coreProperties>
</file>