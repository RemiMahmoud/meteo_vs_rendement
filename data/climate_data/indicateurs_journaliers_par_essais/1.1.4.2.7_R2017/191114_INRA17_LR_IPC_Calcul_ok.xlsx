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climate_data\indicateurs_journaliers_par_essais\1.1.4.2.7_R2017\"/>
    </mc:Choice>
  </mc:AlternateContent>
  <xr:revisionPtr revIDLastSave="0" documentId="13_ncr:1_{5BAE948E-2B5A-4C0F-9A84-1C85E0E13D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+ exp" sheetId="3" r:id="rId1"/>
    <sheet name="N+" sheetId="2" r:id="rId2"/>
    <sheet name="N-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0" i="3" l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176" i="3"/>
  <c r="E177" i="3" s="1"/>
  <c r="E175" i="3"/>
  <c r="E160" i="3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57" i="3"/>
  <c r="E158" i="3" s="1"/>
  <c r="E155" i="3"/>
  <c r="E55" i="3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54" i="3"/>
  <c r="AA241" i="2"/>
  <c r="L273" i="2" l="1"/>
  <c r="L271" i="2"/>
  <c r="L269" i="2"/>
  <c r="L318" i="2" l="1"/>
  <c r="L316" i="2"/>
  <c r="L314" i="2"/>
  <c r="Z314" i="2"/>
  <c r="L300" i="2"/>
  <c r="L298" i="2"/>
  <c r="L296" i="2"/>
  <c r="Z296" i="2"/>
  <c r="Z269" i="2"/>
  <c r="L252" i="2"/>
  <c r="L250" i="2"/>
  <c r="L248" i="2"/>
  <c r="Z248" i="2"/>
  <c r="L191" i="2"/>
  <c r="L189" i="2"/>
  <c r="L187" i="2"/>
  <c r="Z187" i="2"/>
  <c r="Z126" i="2"/>
  <c r="L130" i="2"/>
  <c r="L128" i="2"/>
  <c r="L126" i="2"/>
  <c r="Z60" i="2"/>
  <c r="L64" i="2"/>
  <c r="L62" i="2"/>
  <c r="L60" i="2"/>
  <c r="L316" i="1"/>
  <c r="L314" i="1"/>
  <c r="L312" i="1"/>
  <c r="L298" i="1"/>
  <c r="L296" i="1"/>
  <c r="L294" i="1"/>
  <c r="L271" i="1"/>
  <c r="L269" i="1"/>
  <c r="L267" i="1"/>
  <c r="L250" i="1"/>
  <c r="L248" i="1"/>
  <c r="L246" i="1"/>
  <c r="L190" i="1"/>
  <c r="L188" i="1"/>
  <c r="L186" i="1"/>
  <c r="L129" i="1"/>
  <c r="L127" i="1"/>
  <c r="L125" i="1"/>
  <c r="L63" i="1"/>
  <c r="L61" i="1"/>
  <c r="L59" i="1"/>
  <c r="Z312" i="1"/>
  <c r="Z294" i="1"/>
  <c r="Z267" i="1"/>
  <c r="Z246" i="1"/>
  <c r="Z186" i="1"/>
  <c r="Z125" i="1"/>
  <c r="Z59" i="1"/>
  <c r="R294" i="2" l="1"/>
  <c r="S294" i="2" s="1"/>
  <c r="T294" i="2" s="1"/>
  <c r="R295" i="2"/>
  <c r="S295" i="2" s="1"/>
  <c r="T295" i="2" s="1"/>
  <c r="R296" i="2"/>
  <c r="R297" i="2"/>
  <c r="S297" i="2" s="1"/>
  <c r="T297" i="2" s="1"/>
  <c r="R298" i="2"/>
  <c r="R299" i="2"/>
  <c r="R300" i="2"/>
  <c r="R301" i="2"/>
  <c r="S301" i="2" s="1"/>
  <c r="T301" i="2" s="1"/>
  <c r="R302" i="2"/>
  <c r="S302" i="2" s="1"/>
  <c r="T302" i="2" s="1"/>
  <c r="R303" i="2"/>
  <c r="S303" i="2" s="1"/>
  <c r="T303" i="2" s="1"/>
  <c r="R304" i="2"/>
  <c r="R305" i="2"/>
  <c r="S305" i="2" s="1"/>
  <c r="T305" i="2" s="1"/>
  <c r="R306" i="2"/>
  <c r="R307" i="2"/>
  <c r="R308" i="2"/>
  <c r="R309" i="2"/>
  <c r="S309" i="2" s="1"/>
  <c r="T309" i="2" s="1"/>
  <c r="R310" i="2"/>
  <c r="S310" i="2" s="1"/>
  <c r="T310" i="2" s="1"/>
  <c r="R311" i="2"/>
  <c r="S311" i="2" s="1"/>
  <c r="T311" i="2" s="1"/>
  <c r="R312" i="2"/>
  <c r="R313" i="2"/>
  <c r="S313" i="2" s="1"/>
  <c r="T313" i="2" s="1"/>
  <c r="R314" i="2"/>
  <c r="R315" i="2"/>
  <c r="R316" i="2"/>
  <c r="R317" i="2"/>
  <c r="S317" i="2" s="1"/>
  <c r="T317" i="2" s="1"/>
  <c r="R318" i="2"/>
  <c r="S318" i="2" s="1"/>
  <c r="T318" i="2" s="1"/>
  <c r="R319" i="2"/>
  <c r="S319" i="2" s="1"/>
  <c r="T319" i="2" s="1"/>
  <c r="R320" i="2"/>
  <c r="R321" i="2"/>
  <c r="R322" i="2"/>
  <c r="R323" i="2"/>
  <c r="R324" i="2"/>
  <c r="R325" i="2"/>
  <c r="S325" i="2" s="1"/>
  <c r="T325" i="2" s="1"/>
  <c r="R326" i="2"/>
  <c r="S326" i="2" s="1"/>
  <c r="T326" i="2" s="1"/>
  <c r="R327" i="2"/>
  <c r="S327" i="2" s="1"/>
  <c r="T327" i="2" s="1"/>
  <c r="R328" i="2"/>
  <c r="R329" i="2"/>
  <c r="S329" i="2" s="1"/>
  <c r="T329" i="2" s="1"/>
  <c r="R330" i="2"/>
  <c r="R331" i="2"/>
  <c r="R332" i="2"/>
  <c r="R333" i="2"/>
  <c r="S333" i="2" s="1"/>
  <c r="T333" i="2" s="1"/>
  <c r="R293" i="2"/>
  <c r="S293" i="2" s="1"/>
  <c r="T293" i="2" s="1"/>
  <c r="X311" i="2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X368" i="2" s="1"/>
  <c r="K311" i="2"/>
  <c r="X293" i="2"/>
  <c r="X245" i="2"/>
  <c r="X266" i="2"/>
  <c r="K293" i="2"/>
  <c r="K266" i="2"/>
  <c r="K245" i="2"/>
  <c r="K184" i="2"/>
  <c r="K183" i="1"/>
  <c r="K122" i="1"/>
  <c r="K123" i="2"/>
  <c r="R185" i="2"/>
  <c r="R186" i="2"/>
  <c r="S186" i="2" s="1"/>
  <c r="T186" i="2" s="1"/>
  <c r="R187" i="2"/>
  <c r="S187" i="2" s="1"/>
  <c r="T187" i="2" s="1"/>
  <c r="R188" i="2"/>
  <c r="S188" i="2" s="1"/>
  <c r="T188" i="2" s="1"/>
  <c r="R189" i="2"/>
  <c r="R190" i="2"/>
  <c r="R191" i="2"/>
  <c r="S191" i="2" s="1"/>
  <c r="T191" i="2" s="1"/>
  <c r="R192" i="2"/>
  <c r="R193" i="2"/>
  <c r="R194" i="2"/>
  <c r="S194" i="2" s="1"/>
  <c r="T194" i="2" s="1"/>
  <c r="R195" i="2"/>
  <c r="S195" i="2" s="1"/>
  <c r="T195" i="2" s="1"/>
  <c r="R196" i="2"/>
  <c r="S196" i="2" s="1"/>
  <c r="T196" i="2" s="1"/>
  <c r="R197" i="2"/>
  <c r="R198" i="2"/>
  <c r="R199" i="2"/>
  <c r="S199" i="2" s="1"/>
  <c r="T199" i="2" s="1"/>
  <c r="R200" i="2"/>
  <c r="R201" i="2"/>
  <c r="R202" i="2"/>
  <c r="S202" i="2" s="1"/>
  <c r="T202" i="2" s="1"/>
  <c r="R203" i="2"/>
  <c r="S203" i="2" s="1"/>
  <c r="T203" i="2" s="1"/>
  <c r="R204" i="2"/>
  <c r="S204" i="2" s="1"/>
  <c r="T204" i="2" s="1"/>
  <c r="R205" i="2"/>
  <c r="S205" i="2" s="1"/>
  <c r="T205" i="2" s="1"/>
  <c r="R206" i="2"/>
  <c r="R207" i="2"/>
  <c r="S207" i="2" s="1"/>
  <c r="T207" i="2" s="1"/>
  <c r="R208" i="2"/>
  <c r="R209" i="2"/>
  <c r="R210" i="2"/>
  <c r="R211" i="2"/>
  <c r="S211" i="2" s="1"/>
  <c r="T211" i="2" s="1"/>
  <c r="R212" i="2"/>
  <c r="S212" i="2" s="1"/>
  <c r="T212" i="2" s="1"/>
  <c r="R213" i="2"/>
  <c r="R214" i="2"/>
  <c r="R215" i="2"/>
  <c r="S215" i="2" s="1"/>
  <c r="T215" i="2" s="1"/>
  <c r="R216" i="2"/>
  <c r="R217" i="2"/>
  <c r="R218" i="2"/>
  <c r="R219" i="2"/>
  <c r="S219" i="2" s="1"/>
  <c r="T219" i="2" s="1"/>
  <c r="R220" i="2"/>
  <c r="S220" i="2" s="1"/>
  <c r="T220" i="2" s="1"/>
  <c r="R221" i="2"/>
  <c r="R222" i="2"/>
  <c r="R223" i="2"/>
  <c r="S223" i="2" s="1"/>
  <c r="T223" i="2" s="1"/>
  <c r="R224" i="2"/>
  <c r="R225" i="2"/>
  <c r="R226" i="2"/>
  <c r="R227" i="2"/>
  <c r="S227" i="2" s="1"/>
  <c r="T227" i="2" s="1"/>
  <c r="R228" i="2"/>
  <c r="S228" i="2" s="1"/>
  <c r="T228" i="2" s="1"/>
  <c r="R229" i="2"/>
  <c r="R230" i="2"/>
  <c r="R231" i="2"/>
  <c r="S231" i="2" s="1"/>
  <c r="T231" i="2" s="1"/>
  <c r="R232" i="2"/>
  <c r="R233" i="2"/>
  <c r="R234" i="2"/>
  <c r="R235" i="2"/>
  <c r="S235" i="2" s="1"/>
  <c r="T235" i="2" s="1"/>
  <c r="R236" i="2"/>
  <c r="S236" i="2" s="1"/>
  <c r="T236" i="2" s="1"/>
  <c r="R237" i="2"/>
  <c r="S237" i="2" s="1"/>
  <c r="T237" i="2" s="1"/>
  <c r="R238" i="2"/>
  <c r="R239" i="2"/>
  <c r="S239" i="2" s="1"/>
  <c r="T239" i="2" s="1"/>
  <c r="R240" i="2"/>
  <c r="R241" i="2"/>
  <c r="R242" i="2"/>
  <c r="R243" i="2"/>
  <c r="S243" i="2" s="1"/>
  <c r="T243" i="2" s="1"/>
  <c r="R244" i="2"/>
  <c r="S244" i="2" s="1"/>
  <c r="T244" i="2" s="1"/>
  <c r="R184" i="2"/>
  <c r="S368" i="2"/>
  <c r="T368" i="2" s="1"/>
  <c r="O368" i="2"/>
  <c r="S367" i="2"/>
  <c r="T367" i="2" s="1"/>
  <c r="O367" i="2"/>
  <c r="S366" i="2"/>
  <c r="T366" i="2" s="1"/>
  <c r="O366" i="2"/>
  <c r="S365" i="2"/>
  <c r="T365" i="2" s="1"/>
  <c r="O365" i="2"/>
  <c r="S364" i="2"/>
  <c r="T364" i="2" s="1"/>
  <c r="O364" i="2"/>
  <c r="S363" i="2"/>
  <c r="T363" i="2" s="1"/>
  <c r="O363" i="2"/>
  <c r="S362" i="2"/>
  <c r="T362" i="2" s="1"/>
  <c r="O362" i="2"/>
  <c r="S361" i="2"/>
  <c r="T361" i="2" s="1"/>
  <c r="O361" i="2"/>
  <c r="S360" i="2"/>
  <c r="T360" i="2" s="1"/>
  <c r="O360" i="2"/>
  <c r="S359" i="2"/>
  <c r="T359" i="2" s="1"/>
  <c r="O359" i="2"/>
  <c r="S358" i="2"/>
  <c r="T358" i="2" s="1"/>
  <c r="O358" i="2"/>
  <c r="S357" i="2"/>
  <c r="T357" i="2" s="1"/>
  <c r="O357" i="2"/>
  <c r="S356" i="2"/>
  <c r="T356" i="2" s="1"/>
  <c r="O356" i="2"/>
  <c r="S355" i="2"/>
  <c r="T355" i="2" s="1"/>
  <c r="O355" i="2"/>
  <c r="S354" i="2"/>
  <c r="T354" i="2" s="1"/>
  <c r="O354" i="2"/>
  <c r="S353" i="2"/>
  <c r="T353" i="2" s="1"/>
  <c r="O353" i="2"/>
  <c r="S352" i="2"/>
  <c r="T352" i="2" s="1"/>
  <c r="O352" i="2"/>
  <c r="S351" i="2"/>
  <c r="T351" i="2" s="1"/>
  <c r="O351" i="2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S345" i="2"/>
  <c r="T345" i="2" s="1"/>
  <c r="O345" i="2"/>
  <c r="S344" i="2"/>
  <c r="T344" i="2" s="1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T336" i="2"/>
  <c r="S336" i="2"/>
  <c r="O336" i="2"/>
  <c r="S335" i="2"/>
  <c r="T335" i="2" s="1"/>
  <c r="O335" i="2"/>
  <c r="T334" i="2"/>
  <c r="S334" i="2"/>
  <c r="O334" i="2"/>
  <c r="O333" i="2"/>
  <c r="S332" i="2"/>
  <c r="T332" i="2" s="1"/>
  <c r="O332" i="2"/>
  <c r="S331" i="2"/>
  <c r="T331" i="2" s="1"/>
  <c r="O331" i="2"/>
  <c r="S330" i="2"/>
  <c r="T330" i="2" s="1"/>
  <c r="O330" i="2"/>
  <c r="O329" i="2"/>
  <c r="S328" i="2"/>
  <c r="T328" i="2" s="1"/>
  <c r="O328" i="2"/>
  <c r="O327" i="2"/>
  <c r="O326" i="2"/>
  <c r="O325" i="2"/>
  <c r="S324" i="2"/>
  <c r="T324" i="2" s="1"/>
  <c r="O324" i="2"/>
  <c r="S323" i="2"/>
  <c r="T323" i="2" s="1"/>
  <c r="O323" i="2"/>
  <c r="S322" i="2"/>
  <c r="T322" i="2" s="1"/>
  <c r="O322" i="2"/>
  <c r="S321" i="2"/>
  <c r="T321" i="2" s="1"/>
  <c r="O321" i="2"/>
  <c r="S320" i="2"/>
  <c r="T320" i="2" s="1"/>
  <c r="O320" i="2"/>
  <c r="O319" i="2"/>
  <c r="O318" i="2"/>
  <c r="O317" i="2"/>
  <c r="S316" i="2"/>
  <c r="T316" i="2" s="1"/>
  <c r="O316" i="2"/>
  <c r="S315" i="2"/>
  <c r="T315" i="2" s="1"/>
  <c r="O315" i="2"/>
  <c r="S314" i="2"/>
  <c r="T314" i="2" s="1"/>
  <c r="O314" i="2"/>
  <c r="O313" i="2"/>
  <c r="S312" i="2"/>
  <c r="T312" i="2" s="1"/>
  <c r="O312" i="2"/>
  <c r="O311" i="2"/>
  <c r="O310" i="2"/>
  <c r="O309" i="2"/>
  <c r="S308" i="2"/>
  <c r="T308" i="2" s="1"/>
  <c r="O308" i="2"/>
  <c r="S307" i="2"/>
  <c r="T307" i="2" s="1"/>
  <c r="O307" i="2"/>
  <c r="S306" i="2"/>
  <c r="T306" i="2" s="1"/>
  <c r="O306" i="2"/>
  <c r="O305" i="2"/>
  <c r="S304" i="2"/>
  <c r="T304" i="2" s="1"/>
  <c r="O304" i="2"/>
  <c r="O303" i="2"/>
  <c r="O302" i="2"/>
  <c r="O301" i="2"/>
  <c r="S300" i="2"/>
  <c r="T300" i="2" s="1"/>
  <c r="O300" i="2"/>
  <c r="S299" i="2"/>
  <c r="T299" i="2" s="1"/>
  <c r="O299" i="2"/>
  <c r="S298" i="2"/>
  <c r="T298" i="2" s="1"/>
  <c r="O298" i="2"/>
  <c r="O297" i="2"/>
  <c r="S296" i="2"/>
  <c r="T296" i="2" s="1"/>
  <c r="O296" i="2"/>
  <c r="O295" i="2"/>
  <c r="O294" i="2"/>
  <c r="O293" i="2"/>
  <c r="S292" i="2"/>
  <c r="T292" i="2" s="1"/>
  <c r="O292" i="2"/>
  <c r="S291" i="2"/>
  <c r="T291" i="2" s="1"/>
  <c r="O291" i="2"/>
  <c r="S290" i="2"/>
  <c r="T290" i="2" s="1"/>
  <c r="O290" i="2"/>
  <c r="S289" i="2"/>
  <c r="T289" i="2" s="1"/>
  <c r="O289" i="2"/>
  <c r="T288" i="2"/>
  <c r="S288" i="2"/>
  <c r="O288" i="2"/>
  <c r="S287" i="2"/>
  <c r="T287" i="2" s="1"/>
  <c r="O287" i="2"/>
  <c r="T286" i="2"/>
  <c r="S286" i="2"/>
  <c r="O286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S278" i="2"/>
  <c r="T278" i="2" s="1"/>
  <c r="O278" i="2"/>
  <c r="S277" i="2"/>
  <c r="T277" i="2" s="1"/>
  <c r="O277" i="2"/>
  <c r="S276" i="2"/>
  <c r="T276" i="2" s="1"/>
  <c r="O276" i="2"/>
  <c r="S275" i="2"/>
  <c r="T275" i="2" s="1"/>
  <c r="O275" i="2"/>
  <c r="T274" i="2"/>
  <c r="S274" i="2"/>
  <c r="O274" i="2"/>
  <c r="S273" i="2"/>
  <c r="T273" i="2" s="1"/>
  <c r="O273" i="2"/>
  <c r="S272" i="2"/>
  <c r="T272" i="2" s="1"/>
  <c r="O272" i="2"/>
  <c r="S271" i="2"/>
  <c r="T271" i="2" s="1"/>
  <c r="O271" i="2"/>
  <c r="S270" i="2"/>
  <c r="T270" i="2" s="1"/>
  <c r="O270" i="2"/>
  <c r="S269" i="2"/>
  <c r="T269" i="2" s="1"/>
  <c r="O269" i="2"/>
  <c r="X268" i="2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S268" i="2"/>
  <c r="T268" i="2" s="1"/>
  <c r="O268" i="2"/>
  <c r="S267" i="2"/>
  <c r="T267" i="2" s="1"/>
  <c r="O267" i="2"/>
  <c r="X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T258" i="2"/>
  <c r="S258" i="2"/>
  <c r="O258" i="2"/>
  <c r="S257" i="2"/>
  <c r="T257" i="2" s="1"/>
  <c r="O257" i="2"/>
  <c r="S256" i="2"/>
  <c r="T256" i="2" s="1"/>
  <c r="O256" i="2"/>
  <c r="S255" i="2"/>
  <c r="T255" i="2" s="1"/>
  <c r="O255" i="2"/>
  <c r="S254" i="2"/>
  <c r="T254" i="2" s="1"/>
  <c r="O254" i="2"/>
  <c r="S253" i="2"/>
  <c r="T253" i="2" s="1"/>
  <c r="O253" i="2"/>
  <c r="S252" i="2"/>
  <c r="T252" i="2" s="1"/>
  <c r="O252" i="2"/>
  <c r="S251" i="2"/>
  <c r="T251" i="2" s="1"/>
  <c r="O251" i="2"/>
  <c r="S250" i="2"/>
  <c r="T250" i="2" s="1"/>
  <c r="O250" i="2"/>
  <c r="S249" i="2"/>
  <c r="T249" i="2" s="1"/>
  <c r="O249" i="2"/>
  <c r="S248" i="2"/>
  <c r="T248" i="2" s="1"/>
  <c r="O248" i="2"/>
  <c r="T247" i="2"/>
  <c r="S247" i="2"/>
  <c r="O247" i="2"/>
  <c r="S246" i="2"/>
  <c r="T246" i="2" s="1"/>
  <c r="O246" i="2"/>
  <c r="S245" i="2"/>
  <c r="T245" i="2" s="1"/>
  <c r="O245" i="2"/>
  <c r="X246" i="2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O244" i="2"/>
  <c r="O243" i="2"/>
  <c r="S242" i="2"/>
  <c r="T242" i="2" s="1"/>
  <c r="O242" i="2"/>
  <c r="S241" i="2"/>
  <c r="T241" i="2" s="1"/>
  <c r="O241" i="2"/>
  <c r="S240" i="2"/>
  <c r="T240" i="2" s="1"/>
  <c r="O240" i="2"/>
  <c r="O239" i="2"/>
  <c r="S238" i="2"/>
  <c r="T238" i="2" s="1"/>
  <c r="O238" i="2"/>
  <c r="O237" i="2"/>
  <c r="O236" i="2"/>
  <c r="O235" i="2"/>
  <c r="S234" i="2"/>
  <c r="T234" i="2" s="1"/>
  <c r="O234" i="2"/>
  <c r="S233" i="2"/>
  <c r="T233" i="2" s="1"/>
  <c r="O233" i="2"/>
  <c r="S232" i="2"/>
  <c r="T232" i="2" s="1"/>
  <c r="O232" i="2"/>
  <c r="O231" i="2"/>
  <c r="S230" i="2"/>
  <c r="T230" i="2" s="1"/>
  <c r="O230" i="2"/>
  <c r="S229" i="2"/>
  <c r="T229" i="2" s="1"/>
  <c r="O229" i="2"/>
  <c r="O228" i="2"/>
  <c r="O227" i="2"/>
  <c r="S226" i="2"/>
  <c r="T226" i="2" s="1"/>
  <c r="O226" i="2"/>
  <c r="S225" i="2"/>
  <c r="T225" i="2" s="1"/>
  <c r="O225" i="2"/>
  <c r="S224" i="2"/>
  <c r="T224" i="2" s="1"/>
  <c r="O224" i="2"/>
  <c r="O223" i="2"/>
  <c r="S222" i="2"/>
  <c r="T222" i="2" s="1"/>
  <c r="O222" i="2"/>
  <c r="S221" i="2"/>
  <c r="T221" i="2" s="1"/>
  <c r="O221" i="2"/>
  <c r="O220" i="2"/>
  <c r="O219" i="2"/>
  <c r="S218" i="2"/>
  <c r="T218" i="2" s="1"/>
  <c r="O218" i="2"/>
  <c r="S217" i="2"/>
  <c r="T217" i="2" s="1"/>
  <c r="O217" i="2"/>
  <c r="S216" i="2"/>
  <c r="T216" i="2" s="1"/>
  <c r="O216" i="2"/>
  <c r="O215" i="2"/>
  <c r="S214" i="2"/>
  <c r="T214" i="2" s="1"/>
  <c r="O214" i="2"/>
  <c r="S213" i="2"/>
  <c r="T213" i="2" s="1"/>
  <c r="O213" i="2"/>
  <c r="O212" i="2"/>
  <c r="O211" i="2"/>
  <c r="S210" i="2"/>
  <c r="T210" i="2" s="1"/>
  <c r="O210" i="2"/>
  <c r="S209" i="2"/>
  <c r="T209" i="2" s="1"/>
  <c r="O209" i="2"/>
  <c r="S208" i="2"/>
  <c r="T208" i="2" s="1"/>
  <c r="O208" i="2"/>
  <c r="O207" i="2"/>
  <c r="S206" i="2"/>
  <c r="T206" i="2" s="1"/>
  <c r="O206" i="2"/>
  <c r="O205" i="2"/>
  <c r="O204" i="2"/>
  <c r="O203" i="2"/>
  <c r="O202" i="2"/>
  <c r="S201" i="2"/>
  <c r="T201" i="2" s="1"/>
  <c r="O201" i="2"/>
  <c r="S200" i="2"/>
  <c r="T200" i="2" s="1"/>
  <c r="O200" i="2"/>
  <c r="O199" i="2"/>
  <c r="S198" i="2"/>
  <c r="T198" i="2" s="1"/>
  <c r="O198" i="2"/>
  <c r="S197" i="2"/>
  <c r="T197" i="2" s="1"/>
  <c r="O197" i="2"/>
  <c r="O196" i="2"/>
  <c r="O195" i="2"/>
  <c r="O194" i="2"/>
  <c r="S193" i="2"/>
  <c r="T193" i="2" s="1"/>
  <c r="O193" i="2"/>
  <c r="S192" i="2"/>
  <c r="T192" i="2" s="1"/>
  <c r="O192" i="2"/>
  <c r="O191" i="2"/>
  <c r="S190" i="2"/>
  <c r="T190" i="2" s="1"/>
  <c r="O190" i="2"/>
  <c r="S189" i="2"/>
  <c r="T189" i="2" s="1"/>
  <c r="O189" i="2"/>
  <c r="O188" i="2"/>
  <c r="O187" i="2"/>
  <c r="O186" i="2"/>
  <c r="S185" i="2"/>
  <c r="T185" i="2" s="1"/>
  <c r="O185" i="2"/>
  <c r="X184" i="2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S184" i="2"/>
  <c r="T184" i="2" s="1"/>
  <c r="O184" i="2"/>
  <c r="S183" i="2"/>
  <c r="T183" i="2" s="1"/>
  <c r="O183" i="2"/>
  <c r="J183" i="2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S182" i="2"/>
  <c r="T182" i="2" s="1"/>
  <c r="O182" i="2"/>
  <c r="S181" i="2"/>
  <c r="T181" i="2" s="1"/>
  <c r="O181" i="2"/>
  <c r="S180" i="2"/>
  <c r="T180" i="2" s="1"/>
  <c r="O180" i="2"/>
  <c r="J180" i="2"/>
  <c r="S179" i="2"/>
  <c r="T179" i="2" s="1"/>
  <c r="O179" i="2"/>
  <c r="S178" i="2"/>
  <c r="T178" i="2" s="1"/>
  <c r="O178" i="2"/>
  <c r="J178" i="2"/>
  <c r="J179" i="2" s="1"/>
  <c r="S177" i="2"/>
  <c r="T177" i="2" s="1"/>
  <c r="O177" i="2"/>
  <c r="S176" i="2"/>
  <c r="T176" i="2" s="1"/>
  <c r="O176" i="2"/>
  <c r="S175" i="2"/>
  <c r="T175" i="2" s="1"/>
  <c r="O175" i="2"/>
  <c r="S174" i="2"/>
  <c r="T174" i="2" s="1"/>
  <c r="O174" i="2"/>
  <c r="S173" i="2"/>
  <c r="T173" i="2" s="1"/>
  <c r="O173" i="2"/>
  <c r="S172" i="2"/>
  <c r="T172" i="2" s="1"/>
  <c r="O172" i="2"/>
  <c r="S171" i="2"/>
  <c r="T171" i="2" s="1"/>
  <c r="O171" i="2"/>
  <c r="T170" i="2"/>
  <c r="S170" i="2"/>
  <c r="O170" i="2"/>
  <c r="S169" i="2"/>
  <c r="T169" i="2" s="1"/>
  <c r="O169" i="2"/>
  <c r="S168" i="2"/>
  <c r="T168" i="2" s="1"/>
  <c r="O168" i="2"/>
  <c r="S167" i="2"/>
  <c r="T167" i="2" s="1"/>
  <c r="O167" i="2"/>
  <c r="S166" i="2"/>
  <c r="T166" i="2" s="1"/>
  <c r="O166" i="2"/>
  <c r="S165" i="2"/>
  <c r="T165" i="2" s="1"/>
  <c r="O165" i="2"/>
  <c r="S164" i="2"/>
  <c r="T164" i="2" s="1"/>
  <c r="O164" i="2"/>
  <c r="S163" i="2"/>
  <c r="T163" i="2" s="1"/>
  <c r="O163" i="2"/>
  <c r="J163" i="2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S162" i="2"/>
  <c r="T162" i="2" s="1"/>
  <c r="O162" i="2"/>
  <c r="S161" i="2"/>
  <c r="T161" i="2" s="1"/>
  <c r="O161" i="2"/>
  <c r="J161" i="2"/>
  <c r="T160" i="2"/>
  <c r="S160" i="2"/>
  <c r="O160" i="2"/>
  <c r="J160" i="2"/>
  <c r="S159" i="2"/>
  <c r="T159" i="2" s="1"/>
  <c r="O159" i="2"/>
  <c r="S158" i="2"/>
  <c r="T158" i="2" s="1"/>
  <c r="O158" i="2"/>
  <c r="J158" i="2"/>
  <c r="S157" i="2"/>
  <c r="T157" i="2" s="1"/>
  <c r="O157" i="2"/>
  <c r="S156" i="2"/>
  <c r="T156" i="2" s="1"/>
  <c r="O156" i="2"/>
  <c r="S155" i="2"/>
  <c r="T155" i="2" s="1"/>
  <c r="O155" i="2"/>
  <c r="S154" i="2"/>
  <c r="T154" i="2" s="1"/>
  <c r="O154" i="2"/>
  <c r="S153" i="2"/>
  <c r="T153" i="2" s="1"/>
  <c r="O153" i="2"/>
  <c r="S152" i="2"/>
  <c r="T152" i="2" s="1"/>
  <c r="O152" i="2"/>
  <c r="T151" i="2"/>
  <c r="S151" i="2"/>
  <c r="O151" i="2"/>
  <c r="S150" i="2"/>
  <c r="T150" i="2" s="1"/>
  <c r="O150" i="2"/>
  <c r="S149" i="2"/>
  <c r="T149" i="2" s="1"/>
  <c r="O149" i="2"/>
  <c r="S148" i="2"/>
  <c r="T148" i="2" s="1"/>
  <c r="O148" i="2"/>
  <c r="S147" i="2"/>
  <c r="T147" i="2" s="1"/>
  <c r="O147" i="2"/>
  <c r="S146" i="2"/>
  <c r="T146" i="2" s="1"/>
  <c r="O146" i="2"/>
  <c r="S145" i="2"/>
  <c r="T145" i="2" s="1"/>
  <c r="O145" i="2"/>
  <c r="S144" i="2"/>
  <c r="T144" i="2" s="1"/>
  <c r="O144" i="2"/>
  <c r="S143" i="2"/>
  <c r="T143" i="2" s="1"/>
  <c r="O143" i="2"/>
  <c r="S142" i="2"/>
  <c r="T142" i="2" s="1"/>
  <c r="O142" i="2"/>
  <c r="S141" i="2"/>
  <c r="T141" i="2" s="1"/>
  <c r="O141" i="2"/>
  <c r="S140" i="2"/>
  <c r="T140" i="2" s="1"/>
  <c r="O140" i="2"/>
  <c r="S139" i="2"/>
  <c r="T139" i="2" s="1"/>
  <c r="O139" i="2"/>
  <c r="T138" i="2"/>
  <c r="S138" i="2"/>
  <c r="O138" i="2"/>
  <c r="S137" i="2"/>
  <c r="T137" i="2" s="1"/>
  <c r="O137" i="2"/>
  <c r="S136" i="2"/>
  <c r="T136" i="2" s="1"/>
  <c r="O136" i="2"/>
  <c r="S135" i="2"/>
  <c r="T135" i="2" s="1"/>
  <c r="O135" i="2"/>
  <c r="S134" i="2"/>
  <c r="T134" i="2" s="1"/>
  <c r="O134" i="2"/>
  <c r="S133" i="2"/>
  <c r="T133" i="2" s="1"/>
  <c r="O133" i="2"/>
  <c r="S132" i="2"/>
  <c r="T132" i="2" s="1"/>
  <c r="O132" i="2"/>
  <c r="S131" i="2"/>
  <c r="T131" i="2" s="1"/>
  <c r="O131" i="2"/>
  <c r="S130" i="2"/>
  <c r="T130" i="2" s="1"/>
  <c r="O130" i="2"/>
  <c r="S129" i="2"/>
  <c r="T129" i="2" s="1"/>
  <c r="O129" i="2"/>
  <c r="S128" i="2"/>
  <c r="T128" i="2" s="1"/>
  <c r="O128" i="2"/>
  <c r="S127" i="2"/>
  <c r="T127" i="2" s="1"/>
  <c r="O127" i="2"/>
  <c r="S126" i="2"/>
  <c r="T126" i="2" s="1"/>
  <c r="O126" i="2"/>
  <c r="S125" i="2"/>
  <c r="T125" i="2" s="1"/>
  <c r="O125" i="2"/>
  <c r="X124" i="2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S124" i="2"/>
  <c r="T124" i="2" s="1"/>
  <c r="O124" i="2"/>
  <c r="X123" i="2"/>
  <c r="S123" i="2"/>
  <c r="T123" i="2" s="1"/>
  <c r="O123" i="2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T117" i="2"/>
  <c r="R117" i="2"/>
  <c r="S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U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R71" i="2"/>
  <c r="S71" i="2" s="1"/>
  <c r="T71" i="2" s="1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R66" i="2"/>
  <c r="S66" i="2" s="1"/>
  <c r="T66" i="2" s="1"/>
  <c r="O66" i="2"/>
  <c r="R65" i="2"/>
  <c r="S65" i="2" s="1"/>
  <c r="T65" i="2" s="1"/>
  <c r="O65" i="2"/>
  <c r="R64" i="2"/>
  <c r="S64" i="2" s="1"/>
  <c r="T64" i="2" s="1"/>
  <c r="O64" i="2"/>
  <c r="R63" i="2"/>
  <c r="S63" i="2" s="1"/>
  <c r="T63" i="2" s="1"/>
  <c r="O63" i="2"/>
  <c r="R62" i="2"/>
  <c r="S62" i="2" s="1"/>
  <c r="T62" i="2" s="1"/>
  <c r="O62" i="2"/>
  <c r="S61" i="2"/>
  <c r="T61" i="2" s="1"/>
  <c r="O61" i="2"/>
  <c r="S60" i="2"/>
  <c r="T60" i="2" s="1"/>
  <c r="O60" i="2"/>
  <c r="S59" i="2"/>
  <c r="T59" i="2" s="1"/>
  <c r="O59" i="2"/>
  <c r="S58" i="2"/>
  <c r="T58" i="2" s="1"/>
  <c r="O58" i="2"/>
  <c r="K58" i="2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8" i="2" s="1"/>
  <c r="K160" i="2" s="1"/>
  <c r="K161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8" i="2" s="1"/>
  <c r="K179" i="2" s="1"/>
  <c r="K180" i="2" s="1"/>
  <c r="K183" i="2" s="1"/>
  <c r="X57" i="2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S57" i="2"/>
  <c r="T57" i="2" s="1"/>
  <c r="O57" i="2"/>
  <c r="K57" i="2"/>
  <c r="J57" i="2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S56" i="2"/>
  <c r="T56" i="2" s="1"/>
  <c r="O56" i="2"/>
  <c r="S55" i="2"/>
  <c r="T55" i="2" s="1"/>
  <c r="O55" i="2"/>
  <c r="S54" i="2"/>
  <c r="T54" i="2" s="1"/>
  <c r="O54" i="2"/>
  <c r="S53" i="2"/>
  <c r="T53" i="2" s="1"/>
  <c r="O53" i="2"/>
  <c r="S52" i="2"/>
  <c r="T52" i="2" s="1"/>
  <c r="O52" i="2"/>
  <c r="S51" i="2"/>
  <c r="T51" i="2" s="1"/>
  <c r="O51" i="2"/>
  <c r="S50" i="2"/>
  <c r="T50" i="2" s="1"/>
  <c r="O50" i="2"/>
  <c r="S49" i="2"/>
  <c r="T49" i="2" s="1"/>
  <c r="O49" i="2"/>
  <c r="S48" i="2"/>
  <c r="T48" i="2" s="1"/>
  <c r="O48" i="2"/>
  <c r="S47" i="2"/>
  <c r="T47" i="2" s="1"/>
  <c r="O47" i="2"/>
  <c r="P47" i="2" s="1"/>
  <c r="S46" i="2"/>
  <c r="T46" i="2" s="1"/>
  <c r="O46" i="2"/>
  <c r="S45" i="2"/>
  <c r="T45" i="2" s="1"/>
  <c r="O45" i="2"/>
  <c r="S44" i="2"/>
  <c r="T44" i="2" s="1"/>
  <c r="O44" i="2"/>
  <c r="S43" i="2"/>
  <c r="T43" i="2" s="1"/>
  <c r="O43" i="2"/>
  <c r="S42" i="2"/>
  <c r="T42" i="2" s="1"/>
  <c r="O42" i="2"/>
  <c r="S41" i="2"/>
  <c r="T41" i="2" s="1"/>
  <c r="O41" i="2"/>
  <c r="S40" i="2"/>
  <c r="T40" i="2" s="1"/>
  <c r="O40" i="2"/>
  <c r="S39" i="2"/>
  <c r="T39" i="2" s="1"/>
  <c r="O39" i="2"/>
  <c r="S38" i="2"/>
  <c r="T38" i="2" s="1"/>
  <c r="O38" i="2"/>
  <c r="P38" i="2" s="1"/>
  <c r="S37" i="2"/>
  <c r="T37" i="2" s="1"/>
  <c r="O37" i="2"/>
  <c r="S36" i="2"/>
  <c r="T36" i="2" s="1"/>
  <c r="O36" i="2"/>
  <c r="S35" i="2"/>
  <c r="T35" i="2" s="1"/>
  <c r="O35" i="2"/>
  <c r="S34" i="2"/>
  <c r="T34" i="2" s="1"/>
  <c r="O34" i="2"/>
  <c r="S33" i="2"/>
  <c r="T33" i="2" s="1"/>
  <c r="O33" i="2"/>
  <c r="S32" i="2"/>
  <c r="T32" i="2" s="1"/>
  <c r="O32" i="2"/>
  <c r="S31" i="2"/>
  <c r="T31" i="2" s="1"/>
  <c r="O31" i="2"/>
  <c r="S30" i="2"/>
  <c r="T30" i="2" s="1"/>
  <c r="O30" i="2"/>
  <c r="S29" i="2"/>
  <c r="T29" i="2" s="1"/>
  <c r="O29" i="2"/>
  <c r="T28" i="2"/>
  <c r="S28" i="2"/>
  <c r="O28" i="2"/>
  <c r="S27" i="2"/>
  <c r="T27" i="2" s="1"/>
  <c r="O27" i="2"/>
  <c r="S26" i="2"/>
  <c r="T26" i="2" s="1"/>
  <c r="O26" i="2"/>
  <c r="S25" i="2"/>
  <c r="T25" i="2" s="1"/>
  <c r="O25" i="2"/>
  <c r="S24" i="2"/>
  <c r="T24" i="2" s="1"/>
  <c r="O24" i="2"/>
  <c r="S23" i="2"/>
  <c r="T23" i="2" s="1"/>
  <c r="O23" i="2"/>
  <c r="S22" i="2"/>
  <c r="T22" i="2" s="1"/>
  <c r="O22" i="2"/>
  <c r="P22" i="2" s="1"/>
  <c r="S21" i="2"/>
  <c r="T21" i="2" s="1"/>
  <c r="O21" i="2"/>
  <c r="S20" i="2"/>
  <c r="T20" i="2" s="1"/>
  <c r="O20" i="2"/>
  <c r="S19" i="2"/>
  <c r="T19" i="2" s="1"/>
  <c r="O19" i="2"/>
  <c r="S18" i="2"/>
  <c r="T18" i="2" s="1"/>
  <c r="O18" i="2"/>
  <c r="S17" i="2"/>
  <c r="T17" i="2" s="1"/>
  <c r="O17" i="2"/>
  <c r="S16" i="2"/>
  <c r="T16" i="2" s="1"/>
  <c r="O16" i="2"/>
  <c r="S15" i="2"/>
  <c r="T15" i="2" s="1"/>
  <c r="O15" i="2"/>
  <c r="S14" i="2"/>
  <c r="T14" i="2" s="1"/>
  <c r="O14" i="2"/>
  <c r="S13" i="2"/>
  <c r="T13" i="2" s="1"/>
  <c r="O13" i="2"/>
  <c r="S12" i="2"/>
  <c r="T12" i="2" s="1"/>
  <c r="O12" i="2"/>
  <c r="S11" i="2"/>
  <c r="T11" i="2" s="1"/>
  <c r="O11" i="2"/>
  <c r="S10" i="2"/>
  <c r="T10" i="2" s="1"/>
  <c r="O10" i="2"/>
  <c r="S9" i="2"/>
  <c r="T9" i="2" s="1"/>
  <c r="O9" i="2"/>
  <c r="S8" i="2"/>
  <c r="T8" i="2" s="1"/>
  <c r="O8" i="2"/>
  <c r="S7" i="2"/>
  <c r="T7" i="2" s="1"/>
  <c r="O7" i="2"/>
  <c r="S6" i="2"/>
  <c r="T6" i="2" s="1"/>
  <c r="O6" i="2"/>
  <c r="S5" i="2"/>
  <c r="T5" i="2" s="1"/>
  <c r="O5" i="2"/>
  <c r="R2" i="2"/>
  <c r="X291" i="1"/>
  <c r="X264" i="1"/>
  <c r="X243" i="1"/>
  <c r="X183" i="1"/>
  <c r="X122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61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183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291" i="1"/>
  <c r="P48" i="2" l="1"/>
  <c r="P49" i="2" s="1"/>
  <c r="P50" i="2"/>
  <c r="P51" i="2" s="1"/>
  <c r="P52" i="2" s="1"/>
  <c r="P53" i="2" s="1"/>
  <c r="P54" i="2" s="1"/>
  <c r="P55" i="2" s="1"/>
  <c r="P56" i="2" s="1"/>
  <c r="U57" i="2" s="1"/>
  <c r="K185" i="2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U79" i="2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X309" i="1"/>
  <c r="K309" i="1"/>
  <c r="K291" i="1"/>
  <c r="K264" i="1"/>
  <c r="K243" i="1"/>
  <c r="X56" i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K56" i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7" i="1" s="1"/>
  <c r="K159" i="1" s="1"/>
  <c r="K160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7" i="1" s="1"/>
  <c r="K178" i="1" s="1"/>
  <c r="K179" i="1" s="1"/>
  <c r="K182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J56" i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7" i="1" s="1"/>
  <c r="J159" i="1" s="1"/>
  <c r="J160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7" i="1" s="1"/>
  <c r="J178" i="1" s="1"/>
  <c r="J179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R1" i="1"/>
  <c r="T12" i="1"/>
  <c r="T60" i="1"/>
  <c r="T188" i="1"/>
  <c r="T236" i="1"/>
  <c r="T324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T4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P21" i="1" s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P37" i="1" s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58" i="2" l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124" i="2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P46" i="1"/>
  <c r="P47" i="1" s="1"/>
  <c r="P48" i="1" s="1"/>
  <c r="P49" i="1" s="1"/>
  <c r="P50" i="1" s="1"/>
  <c r="P51" i="1" s="1"/>
  <c r="P52" i="1" s="1"/>
  <c r="P53" i="1" s="1"/>
  <c r="P54" i="1" s="1"/>
  <c r="P55" i="1" s="1"/>
  <c r="U56" i="1" s="1"/>
  <c r="K292" i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U57" i="1" l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V128" i="2"/>
  <c r="V130" i="2"/>
  <c r="V132" i="2"/>
  <c r="V134" i="2" s="1"/>
  <c r="V62" i="2"/>
  <c r="U185" i="2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V64" i="2"/>
  <c r="V66" i="2"/>
  <c r="V68" i="2" s="1"/>
  <c r="U123" i="1" l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V193" i="2"/>
  <c r="V195" i="2" s="1"/>
  <c r="V63" i="1"/>
  <c r="V65" i="1"/>
  <c r="V67" i="1" s="1"/>
  <c r="U240" i="2"/>
  <c r="U241" i="2" s="1"/>
  <c r="U242" i="2" s="1"/>
  <c r="U243" i="2" s="1"/>
  <c r="U244" i="2" s="1"/>
  <c r="U245" i="2" s="1"/>
  <c r="V61" i="1"/>
  <c r="V189" i="2" l="1"/>
  <c r="V191" i="2"/>
  <c r="V131" i="1"/>
  <c r="V133" i="1" s="1"/>
  <c r="V129" i="1"/>
  <c r="U246" i="2"/>
  <c r="V127" i="1"/>
  <c r="U184" i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l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47" i="2"/>
  <c r="V192" i="1"/>
  <c r="V194" i="1" s="1"/>
  <c r="V188" i="1"/>
  <c r="V190" i="1"/>
  <c r="U248" i="2" l="1"/>
  <c r="V248" i="1"/>
  <c r="V250" i="1"/>
  <c r="V252" i="1"/>
  <c r="V254" i="1" s="1"/>
  <c r="U265" i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l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V269" i="1"/>
  <c r="V271" i="1"/>
  <c r="V273" i="1"/>
  <c r="V275" i="1" s="1"/>
  <c r="U249" i="2"/>
  <c r="U250" i="2" l="1"/>
  <c r="V296" i="1"/>
  <c r="V298" i="1"/>
  <c r="V300" i="1"/>
  <c r="V302" i="1" s="1"/>
  <c r="U310" i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251" i="2" l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V318" i="1"/>
  <c r="V320" i="1" s="1"/>
  <c r="V314" i="1"/>
  <c r="V316" i="1"/>
  <c r="AA233" i="2" l="1"/>
  <c r="U267" i="2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V254" i="2"/>
  <c r="V256" i="2" s="1"/>
  <c r="V250" i="2"/>
  <c r="V252" i="2"/>
  <c r="V271" i="2" l="1"/>
  <c r="V273" i="2"/>
  <c r="V275" i="2"/>
  <c r="V277" i="2" s="1"/>
  <c r="U294" i="2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V300" i="2" l="1"/>
  <c r="V302" i="2"/>
  <c r="V304" i="2" s="1"/>
  <c r="U312" i="2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V298" i="2"/>
  <c r="V318" i="2" l="1"/>
  <c r="V316" i="2"/>
  <c r="V320" i="2"/>
  <c r="V322" i="2" s="1"/>
</calcChain>
</file>

<file path=xl/sharedStrings.xml><?xml version="1.0" encoding="utf-8"?>
<sst xmlns="http://schemas.openxmlformats.org/spreadsheetml/2006/main" count="335" uniqueCount="91">
  <si>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</si>
  <si>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</si>
  <si>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</si>
  <si>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</si>
  <si>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</si>
  <si>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</si>
  <si>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</si>
  <si>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</si>
  <si>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</si>
  <si>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</si>
  <si>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</si>
  <si>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Période</t>
  </si>
  <si>
    <t>GDD/C</t>
  </si>
  <si>
    <t>GDD/P</t>
  </si>
  <si>
    <t>IPC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</si>
  <si>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</si>
  <si>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</si>
  <si>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</si>
  <si>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</si>
  <si>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</si>
  <si>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</si>
  <si>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</si>
  <si>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</si>
  <si>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Photopériode</t>
  </si>
  <si>
    <t>TEMPERATURE</t>
  </si>
  <si>
    <t>WATER</t>
  </si>
  <si>
    <t>SOLAR</t>
  </si>
  <si>
    <t>RU</t>
  </si>
  <si>
    <t>1/3</t>
  </si>
  <si>
    <t>FLO</t>
  </si>
  <si>
    <t>FIN FLO</t>
  </si>
  <si>
    <t>SEMIS</t>
  </si>
  <si>
    <t>RECOLTE</t>
  </si>
  <si>
    <t>levée</t>
  </si>
  <si>
    <t>h</t>
  </si>
  <si>
    <t>fh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</si>
  <si>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</si>
  <si>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</si>
  <si>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</si>
  <si>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</si>
  <si>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</si>
  <si>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</si>
  <si>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</si>
  <si>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</si>
  <si>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</si>
  <si>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</si>
  <si>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</si>
  <si>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</si>
  <si>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</si>
  <si>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</si>
  <si>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</si>
  <si>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</si>
  <si>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FALL</t>
  </si>
  <si>
    <t>CLIMATIC WINTER</t>
  </si>
  <si>
    <t>BOLTING</t>
  </si>
  <si>
    <t>FLOWERING</t>
  </si>
  <si>
    <t>P300</t>
  </si>
  <si>
    <t>P600</t>
  </si>
  <si>
    <t>P1000</t>
  </si>
  <si>
    <t>S</t>
  </si>
  <si>
    <t>F</t>
  </si>
  <si>
    <t>N80</t>
  </si>
  <si>
    <t>WSC_I</t>
  </si>
  <si>
    <t>BI</t>
  </si>
  <si>
    <t>DRF</t>
  </si>
  <si>
    <t>TS</t>
  </si>
  <si>
    <t>IRF</t>
  </si>
  <si>
    <t>TEMP_T_Q</t>
  </si>
  <si>
    <t>TEMP_TINF_H_Q</t>
  </si>
  <si>
    <t>TEMP_TSUP_H_Q</t>
  </si>
  <si>
    <t>TEMP_GDD base 0°</t>
  </si>
  <si>
    <t>TEMP_NA</t>
  </si>
  <si>
    <t>TEMP_VAR</t>
  </si>
  <si>
    <t>E.HYD_PRELIQ_Q</t>
  </si>
  <si>
    <t>E.HYD_Cumul_P</t>
  </si>
  <si>
    <t>E.HYD_ETP_Q</t>
  </si>
  <si>
    <t>E.HYD_Cumul_ETP</t>
  </si>
  <si>
    <t>E.HYD_P-ETP</t>
  </si>
  <si>
    <t>E.HYD_ETAT RU_1</t>
  </si>
  <si>
    <t>E.HYD_i</t>
  </si>
  <si>
    <t>E.HYD_ETM</t>
  </si>
  <si>
    <t>E.HYD_P-ETM</t>
  </si>
  <si>
    <t>E.HYD_WSC</t>
  </si>
  <si>
    <t>E.HYD_VAR</t>
  </si>
  <si>
    <t>RAYO_QPT_Q</t>
  </si>
  <si>
    <t>RAYO_Cumul_RG</t>
  </si>
  <si>
    <t>RAYO_NA</t>
  </si>
  <si>
    <t>RAYO_VAR</t>
  </si>
  <si>
    <t>Photoperiode</t>
  </si>
  <si>
    <t>E.HYD_kc</t>
  </si>
  <si>
    <t>RAYO_SSI_Q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</si>
</sst>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4" borderId="11" xfId="0" applyFont="1" applyFill="1" applyBorder="1"/>
    <xf numFmtId="0" fontId="16" fillId="35" borderId="11" xfId="0" applyFont="1" applyFill="1" applyBorder="1"/>
    <xf numFmtId="0" fontId="16" fillId="36" borderId="11" xfId="0" applyFont="1" applyFill="1" applyBorder="1"/>
    <xf numFmtId="0" fontId="16" fillId="37" borderId="11" xfId="0" applyFont="1" applyFill="1" applyBorder="1"/>
    <xf numFmtId="0" fontId="16" fillId="38" borderId="11" xfId="0" applyFont="1" applyFill="1" applyBorder="1"/>
    <xf numFmtId="0" fontId="16" fillId="39" borderId="11" xfId="0" applyFont="1" applyFill="1" applyBorder="1"/>
    <xf numFmtId="0" fontId="16" fillId="39" borderId="0" xfId="0" applyFont="1" applyFill="1"/>
    <xf numFmtId="2" fontId="0" fillId="0" borderId="0" xfId="0" applyNumberFormat="1"/>
    <xf numFmtId="164" fontId="0" fillId="0" borderId="0" xfId="0" applyNumberFormat="1"/>
    <xf numFmtId="0" fontId="16" fillId="38" borderId="0" xfId="0" applyFont="1" applyFill="1"/>
    <xf numFmtId="0" fontId="16" fillId="37" borderId="0" xfId="0" applyFont="1" applyFill="1"/>
    <xf numFmtId="0" fontId="16" fillId="36" borderId="0" xfId="0" applyFont="1" applyFill="1"/>
    <xf numFmtId="0" fontId="16" fillId="35" borderId="0" xfId="0" applyFont="1" applyFill="1"/>
    <xf numFmtId="0" fontId="16" fillId="34" borderId="0" xfId="0" applyFont="1" applyFill="1"/>
    <xf numFmtId="0" fontId="16" fillId="33" borderId="0" xfId="0" applyFont="1" applyFill="1"/>
    <xf numFmtId="0" fontId="16" fillId="0" borderId="13" xfId="0" applyFont="1" applyBorder="1"/>
    <xf numFmtId="0" fontId="0" fillId="40" borderId="0" xfId="0" applyFill="1"/>
    <xf numFmtId="14" fontId="0" fillId="40" borderId="0" xfId="0" applyNumberFormat="1" applyFill="1"/>
    <xf numFmtId="0" fontId="0" fillId="41" borderId="0" xfId="0" applyFill="1"/>
    <xf numFmtId="0" fontId="16" fillId="41" borderId="10" xfId="0" applyFont="1" applyFill="1" applyBorder="1"/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0" borderId="0" xfId="0" applyFont="1" applyAlignment="1">
      <alignment horizontal="center" vertical="center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0" fillId="0" borderId="0" xfId="0" applyFont="1" applyFill="1" applyBorder="1"/>
    <xf numFmtId="0" fontId="18" fillId="0" borderId="0" xfId="0" applyFont="1" applyFill="1" applyBorder="1" applyAlignment="1">
      <alignment vertical="center"/>
    </xf>
    <xf numFmtId="14" fontId="0" fillId="0" borderId="0" xfId="0" applyNumberFormat="1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9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31AD-91C2-4948-A746-7346289BF075}">
  <dimension ref="A1:Y365"/>
  <sheetViews>
    <sheetView tabSelected="1" topLeftCell="A2" zoomScale="80" workbookViewId="0">
      <selection activeCell="L347" sqref="L347"/>
    </sheetView>
  </sheetViews>
  <sheetFormatPr baseColWidth="10" defaultRowHeight="14.5" x14ac:dyDescent="0.35"/>
  <sheetData>
    <row r="1" spans="1:25" x14ac:dyDescent="0.35">
      <c r="A1" s="52" t="s">
        <v>2</v>
      </c>
      <c r="B1" s="53" t="s">
        <v>67</v>
      </c>
      <c r="C1" s="53" t="s">
        <v>68</v>
      </c>
      <c r="D1" s="53" t="s">
        <v>69</v>
      </c>
      <c r="E1" s="53" t="s">
        <v>70</v>
      </c>
      <c r="F1" s="53" t="s">
        <v>71</v>
      </c>
      <c r="G1" s="53" t="s">
        <v>72</v>
      </c>
      <c r="H1" s="53" t="s">
        <v>73</v>
      </c>
      <c r="I1" s="53" t="s">
        <v>74</v>
      </c>
      <c r="J1" s="53" t="s">
        <v>75</v>
      </c>
      <c r="K1" s="53" t="s">
        <v>76</v>
      </c>
      <c r="L1" s="53" t="s">
        <v>77</v>
      </c>
      <c r="M1" s="53" t="s">
        <v>78</v>
      </c>
      <c r="N1" s="53" t="s">
        <v>79</v>
      </c>
      <c r="O1" s="53" t="s">
        <v>89</v>
      </c>
      <c r="P1" s="53" t="s">
        <v>80</v>
      </c>
      <c r="Q1" s="53" t="s">
        <v>81</v>
      </c>
      <c r="R1" s="53" t="s">
        <v>82</v>
      </c>
      <c r="S1" s="53" t="s">
        <v>83</v>
      </c>
      <c r="T1" s="53" t="s">
        <v>90</v>
      </c>
      <c r="U1" s="53" t="s">
        <v>84</v>
      </c>
      <c r="V1" s="53" t="s">
        <v>85</v>
      </c>
      <c r="W1" s="53" t="s">
        <v>86</v>
      </c>
      <c r="X1" s="53" t="s">
        <v>87</v>
      </c>
      <c r="Y1" s="53" t="s">
        <v>88</v>
      </c>
    </row>
    <row r="2" spans="1:25" x14ac:dyDescent="0.35">
      <c r="A2" s="54">
        <v>42584</v>
      </c>
      <c r="B2" s="52">
        <v>19.8</v>
      </c>
      <c r="C2" s="52">
        <v>17.100000000000001</v>
      </c>
      <c r="D2" s="52">
        <v>21.4</v>
      </c>
      <c r="E2" s="52"/>
      <c r="F2" s="52"/>
      <c r="G2" s="52"/>
      <c r="H2" s="52">
        <v>0</v>
      </c>
      <c r="I2" s="52"/>
      <c r="J2" s="52">
        <v>2.5</v>
      </c>
      <c r="K2" s="52"/>
      <c r="L2" s="52">
        <v>-2.5</v>
      </c>
      <c r="M2" s="52">
        <v>0</v>
      </c>
      <c r="N2" s="52"/>
      <c r="O2" s="52"/>
      <c r="P2" s="52">
        <v>0</v>
      </c>
      <c r="Q2" s="52">
        <v>0</v>
      </c>
      <c r="R2" s="52"/>
      <c r="S2" s="52"/>
      <c r="T2" s="52">
        <v>933.4</v>
      </c>
      <c r="U2" s="52"/>
      <c r="V2" s="52"/>
      <c r="W2" s="52"/>
      <c r="X2" s="52"/>
      <c r="Y2" s="52"/>
    </row>
    <row r="3" spans="1:25" x14ac:dyDescent="0.35">
      <c r="A3" s="54">
        <v>42585</v>
      </c>
      <c r="B3" s="52">
        <v>18.899999999999999</v>
      </c>
      <c r="C3" s="52">
        <v>18.7</v>
      </c>
      <c r="D3" s="52">
        <v>20.399999999999999</v>
      </c>
      <c r="E3" s="52"/>
      <c r="F3" s="52"/>
      <c r="G3" s="52"/>
      <c r="H3" s="52">
        <v>1.7</v>
      </c>
      <c r="I3" s="52"/>
      <c r="J3" s="52">
        <v>1.8</v>
      </c>
      <c r="K3" s="52"/>
      <c r="L3" s="52">
        <v>-0.10000000000000009</v>
      </c>
      <c r="M3" s="52">
        <v>0</v>
      </c>
      <c r="N3" s="52"/>
      <c r="O3" s="52"/>
      <c r="P3" s="52">
        <v>0</v>
      </c>
      <c r="Q3" s="52">
        <v>1.7</v>
      </c>
      <c r="R3" s="52"/>
      <c r="S3" s="52"/>
      <c r="T3" s="52">
        <v>760.3</v>
      </c>
      <c r="U3" s="52"/>
      <c r="V3" s="52"/>
      <c r="W3" s="52"/>
      <c r="X3" s="52"/>
      <c r="Y3" s="52"/>
    </row>
    <row r="4" spans="1:25" x14ac:dyDescent="0.35">
      <c r="A4" s="54">
        <v>42586</v>
      </c>
      <c r="B4" s="52">
        <v>16.399999999999999</v>
      </c>
      <c r="C4" s="52">
        <v>14</v>
      </c>
      <c r="D4" s="52">
        <v>20.8</v>
      </c>
      <c r="E4" s="52"/>
      <c r="F4" s="52"/>
      <c r="G4" s="52"/>
      <c r="H4" s="52">
        <v>0.4</v>
      </c>
      <c r="I4" s="52"/>
      <c r="J4" s="52">
        <v>2.2000000000000002</v>
      </c>
      <c r="K4" s="52"/>
      <c r="L4" s="52">
        <v>-1.8000000000000003</v>
      </c>
      <c r="M4" s="52">
        <v>0</v>
      </c>
      <c r="N4" s="52"/>
      <c r="O4" s="52"/>
      <c r="P4" s="52">
        <v>0</v>
      </c>
      <c r="Q4" s="52">
        <v>0.4</v>
      </c>
      <c r="R4" s="52"/>
      <c r="S4" s="52"/>
      <c r="T4" s="52">
        <v>1133.5999999999999</v>
      </c>
      <c r="U4" s="52"/>
      <c r="V4" s="52"/>
      <c r="W4" s="52"/>
      <c r="X4" s="52"/>
      <c r="Y4" s="52"/>
    </row>
    <row r="5" spans="1:25" x14ac:dyDescent="0.35">
      <c r="A5" s="54">
        <v>42587</v>
      </c>
      <c r="B5" s="52">
        <v>16.899999999999999</v>
      </c>
      <c r="C5" s="52">
        <v>11.9</v>
      </c>
      <c r="D5" s="52">
        <v>21.1</v>
      </c>
      <c r="E5" s="52"/>
      <c r="F5" s="52"/>
      <c r="G5" s="52"/>
      <c r="H5" s="52">
        <v>0</v>
      </c>
      <c r="I5" s="52"/>
      <c r="J5" s="52">
        <v>3.5</v>
      </c>
      <c r="K5" s="52"/>
      <c r="L5" s="52">
        <v>-3.5</v>
      </c>
      <c r="M5" s="52">
        <v>0</v>
      </c>
      <c r="N5" s="52"/>
      <c r="O5" s="52"/>
      <c r="P5" s="52">
        <v>0</v>
      </c>
      <c r="Q5" s="52">
        <v>0</v>
      </c>
      <c r="R5" s="52"/>
      <c r="S5" s="52"/>
      <c r="T5" s="52">
        <v>1944.1</v>
      </c>
      <c r="U5" s="52"/>
      <c r="V5" s="52"/>
      <c r="W5" s="52"/>
      <c r="X5" s="52"/>
      <c r="Y5" s="52"/>
    </row>
    <row r="6" spans="1:25" x14ac:dyDescent="0.35">
      <c r="A6" s="54">
        <v>42588</v>
      </c>
      <c r="B6" s="52">
        <v>18.7</v>
      </c>
      <c r="C6" s="52">
        <v>13.7</v>
      </c>
      <c r="D6" s="52">
        <v>23.4</v>
      </c>
      <c r="E6" s="52"/>
      <c r="F6" s="52"/>
      <c r="G6" s="52"/>
      <c r="H6" s="52">
        <v>0</v>
      </c>
      <c r="I6" s="52"/>
      <c r="J6" s="52">
        <v>2.9</v>
      </c>
      <c r="K6" s="52"/>
      <c r="L6" s="52">
        <v>-2.9</v>
      </c>
      <c r="M6" s="52">
        <v>0</v>
      </c>
      <c r="N6" s="52"/>
      <c r="O6" s="52"/>
      <c r="P6" s="52">
        <v>0</v>
      </c>
      <c r="Q6" s="52">
        <v>0</v>
      </c>
      <c r="R6" s="52"/>
      <c r="S6" s="52"/>
      <c r="T6" s="52">
        <v>1364.9</v>
      </c>
      <c r="U6" s="52"/>
      <c r="V6" s="52"/>
      <c r="W6" s="52"/>
      <c r="X6" s="52"/>
      <c r="Y6" s="52"/>
    </row>
    <row r="7" spans="1:25" x14ac:dyDescent="0.35">
      <c r="A7" s="54">
        <v>42589</v>
      </c>
      <c r="B7" s="52">
        <v>21</v>
      </c>
      <c r="C7" s="52">
        <v>14.5</v>
      </c>
      <c r="D7" s="52">
        <v>27.1</v>
      </c>
      <c r="E7" s="52"/>
      <c r="F7" s="52"/>
      <c r="G7" s="52"/>
      <c r="H7" s="52">
        <v>0</v>
      </c>
      <c r="I7" s="52"/>
      <c r="J7" s="52">
        <v>4.9000000000000004</v>
      </c>
      <c r="K7" s="52"/>
      <c r="L7" s="52">
        <v>-4.9000000000000004</v>
      </c>
      <c r="M7" s="52">
        <v>0</v>
      </c>
      <c r="N7" s="52"/>
      <c r="O7" s="52"/>
      <c r="P7" s="52">
        <v>0</v>
      </c>
      <c r="Q7" s="52">
        <v>0</v>
      </c>
      <c r="R7" s="52"/>
      <c r="S7" s="52"/>
      <c r="T7" s="52">
        <v>2277.1</v>
      </c>
      <c r="U7" s="52"/>
      <c r="V7" s="52"/>
      <c r="W7" s="52"/>
      <c r="X7" s="52"/>
      <c r="Y7" s="52"/>
    </row>
    <row r="8" spans="1:25" x14ac:dyDescent="0.35">
      <c r="A8" s="54">
        <v>42590</v>
      </c>
      <c r="B8" s="52">
        <v>17.5</v>
      </c>
      <c r="C8" s="52">
        <v>15.2</v>
      </c>
      <c r="D8" s="52">
        <v>21.3</v>
      </c>
      <c r="E8" s="52"/>
      <c r="F8" s="52"/>
      <c r="G8" s="52"/>
      <c r="H8" s="52">
        <v>0</v>
      </c>
      <c r="I8" s="52"/>
      <c r="J8" s="52">
        <v>2</v>
      </c>
      <c r="K8" s="52"/>
      <c r="L8" s="52">
        <v>-2</v>
      </c>
      <c r="M8" s="52">
        <v>0</v>
      </c>
      <c r="N8" s="52"/>
      <c r="O8" s="52"/>
      <c r="P8" s="52">
        <v>0</v>
      </c>
      <c r="Q8" s="52">
        <v>0</v>
      </c>
      <c r="R8" s="52"/>
      <c r="S8" s="52"/>
      <c r="T8" s="52">
        <v>811</v>
      </c>
      <c r="U8" s="52"/>
      <c r="V8" s="52"/>
      <c r="W8" s="52"/>
      <c r="X8" s="52"/>
      <c r="Y8" s="52"/>
    </row>
    <row r="9" spans="1:25" x14ac:dyDescent="0.35">
      <c r="A9" s="54">
        <v>42591</v>
      </c>
      <c r="B9" s="52">
        <v>15</v>
      </c>
      <c r="C9" s="52">
        <v>11.1</v>
      </c>
      <c r="D9" s="52">
        <v>19.899999999999999</v>
      </c>
      <c r="E9" s="52"/>
      <c r="F9" s="52"/>
      <c r="G9" s="52"/>
      <c r="H9" s="52">
        <v>0</v>
      </c>
      <c r="I9" s="52"/>
      <c r="J9" s="52">
        <v>3</v>
      </c>
      <c r="K9" s="52"/>
      <c r="L9" s="52">
        <v>-3</v>
      </c>
      <c r="M9" s="52">
        <v>0</v>
      </c>
      <c r="N9" s="52"/>
      <c r="O9" s="52"/>
      <c r="P9" s="52">
        <v>0</v>
      </c>
      <c r="Q9" s="52">
        <v>0</v>
      </c>
      <c r="R9" s="52"/>
      <c r="S9" s="52"/>
      <c r="T9" s="52">
        <v>1432.6</v>
      </c>
      <c r="U9" s="52"/>
      <c r="V9" s="52"/>
      <c r="W9" s="52"/>
      <c r="X9" s="52"/>
      <c r="Y9" s="52"/>
    </row>
    <row r="10" spans="1:25" x14ac:dyDescent="0.35">
      <c r="A10" s="54">
        <v>42592</v>
      </c>
      <c r="B10" s="52">
        <v>14.4</v>
      </c>
      <c r="C10" s="52">
        <v>10</v>
      </c>
      <c r="D10" s="52">
        <v>17.899999999999999</v>
      </c>
      <c r="E10" s="52"/>
      <c r="F10" s="52"/>
      <c r="G10" s="52"/>
      <c r="H10" s="52">
        <v>0.2</v>
      </c>
      <c r="I10" s="52"/>
      <c r="J10" s="52">
        <v>3</v>
      </c>
      <c r="K10" s="52"/>
      <c r="L10" s="52">
        <v>-2.8</v>
      </c>
      <c r="M10" s="52">
        <v>0</v>
      </c>
      <c r="N10" s="52"/>
      <c r="O10" s="52"/>
      <c r="P10" s="52">
        <v>0</v>
      </c>
      <c r="Q10" s="52">
        <v>0.2</v>
      </c>
      <c r="R10" s="52"/>
      <c r="S10" s="52"/>
      <c r="T10" s="52">
        <v>1804.9</v>
      </c>
      <c r="U10" s="52"/>
      <c r="V10" s="52"/>
      <c r="W10" s="52"/>
      <c r="X10" s="52"/>
      <c r="Y10" s="52"/>
    </row>
    <row r="11" spans="1:25" x14ac:dyDescent="0.35">
      <c r="A11" s="54">
        <v>42593</v>
      </c>
      <c r="B11" s="52">
        <v>17.8</v>
      </c>
      <c r="C11" s="52">
        <v>13.6</v>
      </c>
      <c r="D11" s="52">
        <v>22.8</v>
      </c>
      <c r="E11" s="52"/>
      <c r="F11" s="52"/>
      <c r="G11" s="52"/>
      <c r="H11" s="52">
        <v>0</v>
      </c>
      <c r="I11" s="52"/>
      <c r="J11" s="52">
        <v>2.5</v>
      </c>
      <c r="K11" s="52"/>
      <c r="L11" s="52">
        <v>-2.5</v>
      </c>
      <c r="M11" s="52">
        <v>0</v>
      </c>
      <c r="N11" s="52"/>
      <c r="O11" s="52"/>
      <c r="P11" s="52">
        <v>0</v>
      </c>
      <c r="Q11" s="52">
        <v>0</v>
      </c>
      <c r="R11" s="52"/>
      <c r="S11" s="52"/>
      <c r="T11" s="52">
        <v>996.6</v>
      </c>
      <c r="U11" s="52"/>
      <c r="V11" s="52"/>
      <c r="W11" s="52"/>
      <c r="X11" s="52"/>
      <c r="Y11" s="52"/>
    </row>
    <row r="12" spans="1:25" x14ac:dyDescent="0.35">
      <c r="A12" s="54">
        <v>42594</v>
      </c>
      <c r="B12" s="52">
        <v>17.600000000000001</v>
      </c>
      <c r="C12" s="52">
        <v>9.9</v>
      </c>
      <c r="D12" s="52">
        <v>24.6</v>
      </c>
      <c r="E12" s="52"/>
      <c r="F12" s="52"/>
      <c r="G12" s="52"/>
      <c r="H12" s="52">
        <v>0</v>
      </c>
      <c r="I12" s="52"/>
      <c r="J12" s="52">
        <v>4.8</v>
      </c>
      <c r="K12" s="52"/>
      <c r="L12" s="52">
        <v>-4.8</v>
      </c>
      <c r="M12" s="52">
        <v>0</v>
      </c>
      <c r="N12" s="52"/>
      <c r="O12" s="52"/>
      <c r="P12" s="52">
        <v>0</v>
      </c>
      <c r="Q12" s="52">
        <v>0</v>
      </c>
      <c r="R12" s="52"/>
      <c r="S12" s="52"/>
      <c r="T12" s="52">
        <v>2479.1999999999998</v>
      </c>
      <c r="U12" s="52"/>
      <c r="V12" s="52"/>
      <c r="W12" s="52"/>
      <c r="X12" s="52"/>
      <c r="Y12" s="52"/>
    </row>
    <row r="13" spans="1:25" x14ac:dyDescent="0.35">
      <c r="A13" s="54">
        <v>42595</v>
      </c>
      <c r="B13" s="52">
        <v>19</v>
      </c>
      <c r="C13" s="52">
        <v>12.5</v>
      </c>
      <c r="D13" s="52">
        <v>25.6</v>
      </c>
      <c r="E13" s="52"/>
      <c r="F13" s="52"/>
      <c r="G13" s="52"/>
      <c r="H13" s="52">
        <v>0</v>
      </c>
      <c r="I13" s="52"/>
      <c r="J13" s="52">
        <v>4.4000000000000004</v>
      </c>
      <c r="K13" s="52"/>
      <c r="L13" s="52">
        <v>-4.4000000000000004</v>
      </c>
      <c r="M13" s="52">
        <v>0</v>
      </c>
      <c r="N13" s="52"/>
      <c r="O13" s="52"/>
      <c r="P13" s="52">
        <v>0</v>
      </c>
      <c r="Q13" s="52">
        <v>0</v>
      </c>
      <c r="R13" s="52"/>
      <c r="S13" s="52"/>
      <c r="T13" s="52">
        <v>2053.1</v>
      </c>
      <c r="U13" s="52"/>
      <c r="V13" s="52"/>
      <c r="W13" s="52"/>
      <c r="X13" s="52"/>
      <c r="Y13" s="52"/>
    </row>
    <row r="14" spans="1:25" x14ac:dyDescent="0.35">
      <c r="A14" s="54">
        <v>42596</v>
      </c>
      <c r="B14" s="52">
        <v>20.2</v>
      </c>
      <c r="C14" s="52">
        <v>13.6</v>
      </c>
      <c r="D14" s="52">
        <v>26.3</v>
      </c>
      <c r="E14" s="52"/>
      <c r="F14" s="52"/>
      <c r="G14" s="52"/>
      <c r="H14" s="52">
        <v>0</v>
      </c>
      <c r="I14" s="52"/>
      <c r="J14" s="52">
        <v>5.3</v>
      </c>
      <c r="K14" s="52"/>
      <c r="L14" s="52">
        <v>-5.3</v>
      </c>
      <c r="M14" s="52">
        <v>0</v>
      </c>
      <c r="N14" s="52"/>
      <c r="O14" s="52"/>
      <c r="P14" s="52">
        <v>0</v>
      </c>
      <c r="Q14" s="52">
        <v>0</v>
      </c>
      <c r="R14" s="52"/>
      <c r="S14" s="52"/>
      <c r="T14" s="52">
        <v>2604.6</v>
      </c>
      <c r="U14" s="52"/>
      <c r="V14" s="52"/>
      <c r="W14" s="52"/>
      <c r="X14" s="52"/>
      <c r="Y14" s="52"/>
    </row>
    <row r="15" spans="1:25" x14ac:dyDescent="0.35">
      <c r="A15" s="54">
        <v>42597</v>
      </c>
      <c r="B15" s="52">
        <v>21.8</v>
      </c>
      <c r="C15" s="52">
        <v>14.8</v>
      </c>
      <c r="D15" s="52">
        <v>28.1</v>
      </c>
      <c r="E15" s="52"/>
      <c r="F15" s="52"/>
      <c r="G15" s="52"/>
      <c r="H15" s="52">
        <v>0</v>
      </c>
      <c r="I15" s="52"/>
      <c r="J15" s="52">
        <v>5.8</v>
      </c>
      <c r="K15" s="52"/>
      <c r="L15" s="52">
        <v>-5.8</v>
      </c>
      <c r="M15" s="52">
        <v>0</v>
      </c>
      <c r="N15" s="52"/>
      <c r="O15" s="52"/>
      <c r="P15" s="52">
        <v>0</v>
      </c>
      <c r="Q15" s="52">
        <v>0</v>
      </c>
      <c r="R15" s="52"/>
      <c r="S15" s="52"/>
      <c r="T15" s="52">
        <v>2695.8</v>
      </c>
      <c r="U15" s="52"/>
      <c r="V15" s="52"/>
      <c r="W15" s="52"/>
      <c r="X15" s="52"/>
      <c r="Y15" s="52"/>
    </row>
    <row r="16" spans="1:25" x14ac:dyDescent="0.35">
      <c r="A16" s="54">
        <v>42598</v>
      </c>
      <c r="B16" s="52">
        <v>21.7</v>
      </c>
      <c r="C16" s="52">
        <v>13.8</v>
      </c>
      <c r="D16" s="52">
        <v>29.1</v>
      </c>
      <c r="E16" s="52"/>
      <c r="F16" s="52"/>
      <c r="G16" s="52"/>
      <c r="H16" s="52">
        <v>0</v>
      </c>
      <c r="I16" s="52"/>
      <c r="J16" s="52">
        <v>5.8</v>
      </c>
      <c r="K16" s="52"/>
      <c r="L16" s="52">
        <v>-5.8</v>
      </c>
      <c r="M16" s="52">
        <v>0</v>
      </c>
      <c r="N16" s="52"/>
      <c r="O16" s="52"/>
      <c r="P16" s="52">
        <v>0</v>
      </c>
      <c r="Q16" s="52">
        <v>0</v>
      </c>
      <c r="R16" s="52"/>
      <c r="S16" s="52"/>
      <c r="T16" s="52">
        <v>2668.1</v>
      </c>
      <c r="U16" s="52"/>
      <c r="V16" s="52"/>
      <c r="W16" s="52"/>
      <c r="X16" s="52"/>
      <c r="Y16" s="52"/>
    </row>
    <row r="17" spans="1:25" x14ac:dyDescent="0.35">
      <c r="A17" s="54">
        <v>42599</v>
      </c>
      <c r="B17" s="52">
        <v>20.9</v>
      </c>
      <c r="C17" s="52">
        <v>13.2</v>
      </c>
      <c r="D17" s="52">
        <v>29.4</v>
      </c>
      <c r="E17" s="52"/>
      <c r="F17" s="52"/>
      <c r="G17" s="52"/>
      <c r="H17" s="52">
        <v>3.2</v>
      </c>
      <c r="I17" s="52"/>
      <c r="J17" s="52">
        <v>4.0999999999999996</v>
      </c>
      <c r="K17" s="52"/>
      <c r="L17" s="52">
        <v>-0.89999999999999947</v>
      </c>
      <c r="M17" s="52">
        <v>0</v>
      </c>
      <c r="N17" s="52"/>
      <c r="O17" s="52"/>
      <c r="P17" s="52">
        <v>0</v>
      </c>
      <c r="Q17" s="52">
        <v>3.2</v>
      </c>
      <c r="R17" s="52"/>
      <c r="S17" s="52"/>
      <c r="T17" s="52">
        <v>1653.1</v>
      </c>
      <c r="U17" s="52"/>
      <c r="V17" s="52"/>
      <c r="W17" s="52"/>
      <c r="X17" s="52"/>
      <c r="Y17" s="52"/>
    </row>
    <row r="18" spans="1:25" x14ac:dyDescent="0.35">
      <c r="A18" s="54">
        <v>42600</v>
      </c>
      <c r="B18" s="52">
        <v>18.899999999999999</v>
      </c>
      <c r="C18" s="52">
        <v>16.3</v>
      </c>
      <c r="D18" s="52">
        <v>22.2</v>
      </c>
      <c r="E18" s="52"/>
      <c r="F18" s="52"/>
      <c r="G18" s="52"/>
      <c r="H18" s="52">
        <v>0.1</v>
      </c>
      <c r="I18" s="52"/>
      <c r="J18" s="52">
        <v>1.2</v>
      </c>
      <c r="K18" s="52"/>
      <c r="L18" s="52">
        <v>-1.0999999999999999</v>
      </c>
      <c r="M18" s="52">
        <v>0</v>
      </c>
      <c r="N18" s="52"/>
      <c r="O18" s="52"/>
      <c r="P18" s="52">
        <v>0</v>
      </c>
      <c r="Q18" s="52">
        <v>0.1</v>
      </c>
      <c r="R18" s="52"/>
      <c r="S18" s="52"/>
      <c r="T18" s="52">
        <v>660.2</v>
      </c>
      <c r="U18" s="52"/>
      <c r="V18" s="52"/>
      <c r="W18" s="52"/>
      <c r="X18" s="52"/>
      <c r="Y18" s="52"/>
    </row>
    <row r="19" spans="1:25" x14ac:dyDescent="0.35">
      <c r="A19" s="54">
        <v>42601</v>
      </c>
      <c r="B19" s="52">
        <v>17.100000000000001</v>
      </c>
      <c r="C19" s="52">
        <v>14.6</v>
      </c>
      <c r="D19" s="52">
        <v>21</v>
      </c>
      <c r="E19" s="52"/>
      <c r="F19" s="52"/>
      <c r="G19" s="52"/>
      <c r="H19" s="52">
        <v>3.3</v>
      </c>
      <c r="I19" s="52"/>
      <c r="J19" s="52">
        <v>1.9</v>
      </c>
      <c r="K19" s="52"/>
      <c r="L19" s="52">
        <v>1.4</v>
      </c>
      <c r="M19" s="52">
        <v>1.4</v>
      </c>
      <c r="N19" s="52"/>
      <c r="O19" s="52"/>
      <c r="P19" s="52">
        <v>0</v>
      </c>
      <c r="Q19" s="52">
        <v>3.3</v>
      </c>
      <c r="R19" s="52"/>
      <c r="S19" s="52"/>
      <c r="T19" s="52">
        <v>832.2</v>
      </c>
      <c r="U19" s="52"/>
      <c r="V19" s="52"/>
      <c r="W19" s="52"/>
      <c r="X19" s="52"/>
      <c r="Y19" s="52"/>
    </row>
    <row r="20" spans="1:25" x14ac:dyDescent="0.35">
      <c r="A20" s="54">
        <v>42602</v>
      </c>
      <c r="B20" s="52">
        <v>17.7</v>
      </c>
      <c r="C20" s="52">
        <v>14.2</v>
      </c>
      <c r="D20" s="52">
        <v>22.6</v>
      </c>
      <c r="E20" s="52"/>
      <c r="F20" s="52"/>
      <c r="G20" s="52"/>
      <c r="H20" s="52">
        <v>0.2</v>
      </c>
      <c r="I20" s="52"/>
      <c r="J20" s="52">
        <v>4.5</v>
      </c>
      <c r="K20" s="52"/>
      <c r="L20" s="52">
        <v>-4.3</v>
      </c>
      <c r="M20" s="52">
        <v>0</v>
      </c>
      <c r="N20" s="52"/>
      <c r="O20" s="52"/>
      <c r="P20" s="52">
        <v>0</v>
      </c>
      <c r="Q20" s="52">
        <v>0.2</v>
      </c>
      <c r="R20" s="52"/>
      <c r="S20" s="52"/>
      <c r="T20" s="52">
        <v>1955.6</v>
      </c>
      <c r="U20" s="52"/>
      <c r="V20" s="52"/>
      <c r="W20" s="52"/>
      <c r="X20" s="52"/>
      <c r="Y20" s="52"/>
    </row>
    <row r="21" spans="1:25" x14ac:dyDescent="0.35">
      <c r="A21" s="54">
        <v>42603</v>
      </c>
      <c r="B21" s="52">
        <v>17.5</v>
      </c>
      <c r="C21" s="52">
        <v>12.2</v>
      </c>
      <c r="D21" s="52">
        <v>22.4</v>
      </c>
      <c r="E21" s="52"/>
      <c r="F21" s="52"/>
      <c r="G21" s="52"/>
      <c r="H21" s="52">
        <v>0</v>
      </c>
      <c r="I21" s="52"/>
      <c r="J21" s="52">
        <v>3.7</v>
      </c>
      <c r="K21" s="52"/>
      <c r="L21" s="52">
        <v>-3.7</v>
      </c>
      <c r="M21" s="52">
        <v>0</v>
      </c>
      <c r="N21" s="52"/>
      <c r="O21" s="52"/>
      <c r="P21" s="52">
        <v>0</v>
      </c>
      <c r="Q21" s="52">
        <v>0</v>
      </c>
      <c r="R21" s="52"/>
      <c r="S21" s="52"/>
      <c r="T21" s="52">
        <v>1829.2</v>
      </c>
      <c r="U21" s="52"/>
      <c r="V21" s="52"/>
      <c r="W21" s="52"/>
      <c r="X21" s="52"/>
      <c r="Y21" s="52"/>
    </row>
    <row r="22" spans="1:25" x14ac:dyDescent="0.35">
      <c r="A22" s="54">
        <v>42604</v>
      </c>
      <c r="B22" s="52">
        <v>20.3</v>
      </c>
      <c r="C22" s="52">
        <v>12.8</v>
      </c>
      <c r="D22" s="52">
        <v>27</v>
      </c>
      <c r="E22" s="52"/>
      <c r="F22" s="52"/>
      <c r="G22" s="52"/>
      <c r="H22" s="52">
        <v>0</v>
      </c>
      <c r="I22" s="52"/>
      <c r="J22" s="52">
        <v>5.0999999999999996</v>
      </c>
      <c r="K22" s="52"/>
      <c r="L22" s="52">
        <v>-5.0999999999999996</v>
      </c>
      <c r="M22" s="52">
        <v>0</v>
      </c>
      <c r="N22" s="52"/>
      <c r="O22" s="52"/>
      <c r="P22" s="52">
        <v>0</v>
      </c>
      <c r="Q22" s="52">
        <v>0</v>
      </c>
      <c r="R22" s="52"/>
      <c r="S22" s="52"/>
      <c r="T22" s="52">
        <v>2384.4</v>
      </c>
      <c r="U22" s="52"/>
      <c r="V22" s="52"/>
      <c r="W22" s="52"/>
      <c r="X22" s="52"/>
      <c r="Y22" s="52"/>
    </row>
    <row r="23" spans="1:25" x14ac:dyDescent="0.35">
      <c r="A23" s="54">
        <v>42605</v>
      </c>
      <c r="B23" s="52">
        <v>25.3</v>
      </c>
      <c r="C23" s="52">
        <v>17.5</v>
      </c>
      <c r="D23" s="52">
        <v>33.4</v>
      </c>
      <c r="E23" s="52"/>
      <c r="F23" s="52"/>
      <c r="G23" s="52"/>
      <c r="H23" s="52">
        <v>0</v>
      </c>
      <c r="I23" s="52"/>
      <c r="J23" s="52">
        <v>6.7</v>
      </c>
      <c r="K23" s="52"/>
      <c r="L23" s="52">
        <v>-6.7</v>
      </c>
      <c r="M23" s="52">
        <v>0</v>
      </c>
      <c r="N23" s="52"/>
      <c r="O23" s="52"/>
      <c r="P23" s="52">
        <v>0</v>
      </c>
      <c r="Q23" s="52">
        <v>0</v>
      </c>
      <c r="R23" s="52"/>
      <c r="S23" s="52"/>
      <c r="T23" s="52">
        <v>2576.9</v>
      </c>
      <c r="U23" s="52"/>
      <c r="V23" s="52"/>
      <c r="W23" s="52"/>
      <c r="X23" s="52"/>
      <c r="Y23" s="52"/>
    </row>
    <row r="24" spans="1:25" x14ac:dyDescent="0.35">
      <c r="A24" s="54">
        <v>42606</v>
      </c>
      <c r="B24" s="52">
        <v>20.8</v>
      </c>
      <c r="C24" s="52">
        <v>15</v>
      </c>
      <c r="D24" s="52">
        <v>27.9</v>
      </c>
      <c r="E24" s="52"/>
      <c r="F24" s="52"/>
      <c r="G24" s="52"/>
      <c r="H24" s="52">
        <v>0</v>
      </c>
      <c r="I24" s="52"/>
      <c r="J24" s="52">
        <v>5</v>
      </c>
      <c r="K24" s="52"/>
      <c r="L24" s="52">
        <v>-5</v>
      </c>
      <c r="M24" s="52">
        <v>0</v>
      </c>
      <c r="N24" s="52"/>
      <c r="O24" s="52"/>
      <c r="P24" s="52">
        <v>0</v>
      </c>
      <c r="Q24" s="52">
        <v>0</v>
      </c>
      <c r="R24" s="52"/>
      <c r="S24" s="52"/>
      <c r="T24" s="52">
        <v>2295.4</v>
      </c>
      <c r="U24" s="52"/>
      <c r="V24" s="52"/>
      <c r="W24" s="52"/>
      <c r="X24" s="52"/>
      <c r="Y24" s="52"/>
    </row>
    <row r="25" spans="1:25" x14ac:dyDescent="0.35">
      <c r="A25" s="54">
        <v>42607</v>
      </c>
      <c r="B25" s="52">
        <v>23.1</v>
      </c>
      <c r="C25" s="52">
        <v>15.8</v>
      </c>
      <c r="D25" s="52">
        <v>29.7</v>
      </c>
      <c r="E25" s="52"/>
      <c r="F25" s="52"/>
      <c r="G25" s="52"/>
      <c r="H25" s="52">
        <v>0</v>
      </c>
      <c r="I25" s="52"/>
      <c r="J25" s="52">
        <v>2.8</v>
      </c>
      <c r="K25" s="52"/>
      <c r="L25" s="52">
        <v>-2.8</v>
      </c>
      <c r="M25" s="52">
        <v>0</v>
      </c>
      <c r="N25" s="52"/>
      <c r="O25" s="52"/>
      <c r="P25" s="52">
        <v>0</v>
      </c>
      <c r="Q25" s="52">
        <v>0</v>
      </c>
      <c r="R25" s="52"/>
      <c r="S25" s="52"/>
      <c r="T25" s="52">
        <v>1208.5</v>
      </c>
      <c r="U25" s="52"/>
      <c r="V25" s="52"/>
      <c r="W25" s="52"/>
      <c r="X25" s="52"/>
      <c r="Y25" s="52"/>
    </row>
    <row r="26" spans="1:25" x14ac:dyDescent="0.35">
      <c r="A26" s="54">
        <v>42608</v>
      </c>
      <c r="B26" s="52">
        <v>20.8</v>
      </c>
      <c r="C26" s="52">
        <v>16.899999999999999</v>
      </c>
      <c r="D26" s="52">
        <v>24.8</v>
      </c>
      <c r="E26" s="52"/>
      <c r="F26" s="52"/>
      <c r="G26" s="52"/>
      <c r="H26" s="52">
        <v>0</v>
      </c>
      <c r="I26" s="52"/>
      <c r="J26" s="52">
        <v>2.5</v>
      </c>
      <c r="K26" s="52"/>
      <c r="L26" s="52">
        <v>-2.5</v>
      </c>
      <c r="M26" s="52">
        <v>0</v>
      </c>
      <c r="N26" s="52"/>
      <c r="O26" s="52"/>
      <c r="P26" s="52">
        <v>0</v>
      </c>
      <c r="Q26" s="52">
        <v>0</v>
      </c>
      <c r="R26" s="52"/>
      <c r="S26" s="52"/>
      <c r="T26" s="52">
        <v>856.8</v>
      </c>
      <c r="U26" s="52"/>
      <c r="V26" s="52"/>
      <c r="W26" s="52"/>
      <c r="X26" s="52"/>
      <c r="Y26" s="52"/>
    </row>
    <row r="27" spans="1:25" x14ac:dyDescent="0.35">
      <c r="A27" s="54">
        <v>42609</v>
      </c>
      <c r="B27" s="52">
        <v>21.9</v>
      </c>
      <c r="C27" s="52">
        <v>14.9</v>
      </c>
      <c r="D27" s="52">
        <v>30.7</v>
      </c>
      <c r="E27" s="52"/>
      <c r="F27" s="52"/>
      <c r="G27" s="52"/>
      <c r="H27" s="52">
        <v>0</v>
      </c>
      <c r="I27" s="52"/>
      <c r="J27" s="52">
        <v>5.5</v>
      </c>
      <c r="K27" s="52"/>
      <c r="L27" s="52">
        <v>-5.5</v>
      </c>
      <c r="M27" s="52">
        <v>0</v>
      </c>
      <c r="N27" s="52"/>
      <c r="O27" s="52"/>
      <c r="P27" s="52">
        <v>0</v>
      </c>
      <c r="Q27" s="52">
        <v>0</v>
      </c>
      <c r="R27" s="52"/>
      <c r="S27" s="52"/>
      <c r="T27" s="52">
        <v>2275.3000000000002</v>
      </c>
      <c r="U27" s="52"/>
      <c r="V27" s="52"/>
      <c r="W27" s="52"/>
      <c r="X27" s="52"/>
      <c r="Y27" s="52"/>
    </row>
    <row r="28" spans="1:25" x14ac:dyDescent="0.35">
      <c r="A28" s="54">
        <v>42610</v>
      </c>
      <c r="B28" s="52">
        <v>19.2</v>
      </c>
      <c r="C28" s="52">
        <v>15.7</v>
      </c>
      <c r="D28" s="52">
        <v>24.3</v>
      </c>
      <c r="E28" s="52"/>
      <c r="F28" s="52"/>
      <c r="G28" s="52"/>
      <c r="H28" s="52">
        <v>0</v>
      </c>
      <c r="I28" s="52"/>
      <c r="J28" s="52">
        <v>3.3</v>
      </c>
      <c r="K28" s="52"/>
      <c r="L28" s="52">
        <v>-3.3</v>
      </c>
      <c r="M28" s="52">
        <v>0</v>
      </c>
      <c r="N28" s="52"/>
      <c r="O28" s="52"/>
      <c r="P28" s="52">
        <v>0</v>
      </c>
      <c r="Q28" s="52">
        <v>0</v>
      </c>
      <c r="R28" s="52"/>
      <c r="S28" s="52"/>
      <c r="T28" s="52">
        <v>1251.5999999999999</v>
      </c>
      <c r="U28" s="52"/>
      <c r="V28" s="52"/>
      <c r="W28" s="52"/>
      <c r="X28" s="52"/>
      <c r="Y28" s="52"/>
    </row>
    <row r="29" spans="1:25" x14ac:dyDescent="0.35">
      <c r="A29" s="54">
        <v>42611</v>
      </c>
      <c r="B29" s="52">
        <v>18.899999999999999</v>
      </c>
      <c r="C29" s="52">
        <v>16.399999999999999</v>
      </c>
      <c r="D29" s="52">
        <v>23.4</v>
      </c>
      <c r="E29" s="52"/>
      <c r="F29" s="52"/>
      <c r="G29" s="52"/>
      <c r="H29" s="52">
        <v>0.2</v>
      </c>
      <c r="I29" s="52"/>
      <c r="J29" s="52">
        <v>3.6</v>
      </c>
      <c r="K29" s="52"/>
      <c r="L29" s="52">
        <v>-3.4</v>
      </c>
      <c r="M29" s="52">
        <v>0</v>
      </c>
      <c r="N29" s="52"/>
      <c r="O29" s="52"/>
      <c r="P29" s="52">
        <v>0</v>
      </c>
      <c r="Q29" s="52">
        <v>0.2</v>
      </c>
      <c r="R29" s="52"/>
      <c r="S29" s="52"/>
      <c r="T29" s="52">
        <v>1249.0999999999999</v>
      </c>
      <c r="U29" s="52"/>
      <c r="V29" s="52"/>
      <c r="W29" s="52"/>
      <c r="X29" s="52"/>
      <c r="Y29" s="52"/>
    </row>
    <row r="30" spans="1:25" x14ac:dyDescent="0.35">
      <c r="A30" s="54">
        <v>42612</v>
      </c>
      <c r="B30" s="52">
        <v>18.600000000000001</v>
      </c>
      <c r="C30" s="52">
        <v>12.8</v>
      </c>
      <c r="D30" s="52">
        <v>24.3</v>
      </c>
      <c r="E30" s="52"/>
      <c r="F30" s="52"/>
      <c r="G30" s="52"/>
      <c r="H30" s="52">
        <v>0.1</v>
      </c>
      <c r="I30" s="52"/>
      <c r="J30" s="52">
        <v>3.6</v>
      </c>
      <c r="K30" s="52"/>
      <c r="L30" s="52">
        <v>-3.5</v>
      </c>
      <c r="M30" s="52">
        <v>0</v>
      </c>
      <c r="N30" s="52"/>
      <c r="O30" s="52"/>
      <c r="P30" s="52">
        <v>0</v>
      </c>
      <c r="Q30" s="52">
        <v>0.1</v>
      </c>
      <c r="R30" s="52"/>
      <c r="S30" s="52"/>
      <c r="T30" s="52">
        <v>1749.6</v>
      </c>
      <c r="U30" s="52"/>
      <c r="V30" s="52"/>
      <c r="W30" s="52"/>
      <c r="X30" s="52"/>
      <c r="Y30" s="52"/>
    </row>
    <row r="31" spans="1:25" x14ac:dyDescent="0.35">
      <c r="A31" s="54">
        <v>42613</v>
      </c>
      <c r="B31" s="52">
        <v>19</v>
      </c>
      <c r="C31" s="52">
        <v>13.7</v>
      </c>
      <c r="D31" s="52">
        <v>25.6</v>
      </c>
      <c r="E31" s="52"/>
      <c r="F31" s="52"/>
      <c r="G31" s="52"/>
      <c r="H31" s="52">
        <v>0</v>
      </c>
      <c r="I31" s="52"/>
      <c r="J31" s="52">
        <v>4.2</v>
      </c>
      <c r="K31" s="52"/>
      <c r="L31" s="52">
        <v>-4.2</v>
      </c>
      <c r="M31" s="52">
        <v>0</v>
      </c>
      <c r="N31" s="52"/>
      <c r="O31" s="52"/>
      <c r="P31" s="52">
        <v>0</v>
      </c>
      <c r="Q31" s="52">
        <v>0</v>
      </c>
      <c r="R31" s="52"/>
      <c r="S31" s="52"/>
      <c r="T31" s="52">
        <v>1919.2</v>
      </c>
      <c r="U31" s="52"/>
      <c r="V31" s="52"/>
      <c r="W31" s="52"/>
      <c r="X31" s="52"/>
      <c r="Y31" s="52"/>
    </row>
    <row r="32" spans="1:25" x14ac:dyDescent="0.35">
      <c r="A32" s="54">
        <v>42614</v>
      </c>
      <c r="B32" s="52">
        <v>18.899999999999999</v>
      </c>
      <c r="C32" s="52">
        <v>13.5</v>
      </c>
      <c r="D32" s="52">
        <v>24.1</v>
      </c>
      <c r="E32" s="52"/>
      <c r="F32" s="52"/>
      <c r="G32" s="52"/>
      <c r="H32" s="52">
        <v>0</v>
      </c>
      <c r="I32" s="52"/>
      <c r="J32" s="52">
        <v>3.3</v>
      </c>
      <c r="K32" s="52"/>
      <c r="L32" s="52">
        <v>-3.3</v>
      </c>
      <c r="M32" s="52">
        <v>0</v>
      </c>
      <c r="N32" s="52"/>
      <c r="O32" s="52"/>
      <c r="P32" s="52">
        <v>0</v>
      </c>
      <c r="Q32" s="52">
        <v>0</v>
      </c>
      <c r="R32" s="52"/>
      <c r="S32" s="52"/>
      <c r="T32" s="52">
        <v>1694.7</v>
      </c>
      <c r="U32" s="52"/>
      <c r="V32" s="52"/>
      <c r="W32" s="52"/>
      <c r="X32" s="52"/>
      <c r="Y32" s="52"/>
    </row>
    <row r="33" spans="1:25" x14ac:dyDescent="0.35">
      <c r="A33" s="54">
        <v>42615</v>
      </c>
      <c r="B33" s="52">
        <v>18.100000000000001</v>
      </c>
      <c r="C33" s="52">
        <v>10.6</v>
      </c>
      <c r="D33" s="52">
        <v>24.7</v>
      </c>
      <c r="E33" s="52"/>
      <c r="F33" s="52"/>
      <c r="G33" s="52"/>
      <c r="H33" s="52">
        <v>0</v>
      </c>
      <c r="I33" s="52"/>
      <c r="J33" s="52">
        <v>3.6</v>
      </c>
      <c r="K33" s="52"/>
      <c r="L33" s="52">
        <v>-3.6</v>
      </c>
      <c r="M33" s="52">
        <v>0</v>
      </c>
      <c r="N33" s="52"/>
      <c r="O33" s="52"/>
      <c r="P33" s="52">
        <v>0</v>
      </c>
      <c r="Q33" s="52">
        <v>0</v>
      </c>
      <c r="R33" s="52"/>
      <c r="S33" s="52"/>
      <c r="T33" s="52">
        <v>1862.5</v>
      </c>
      <c r="U33" s="52"/>
      <c r="V33" s="52"/>
      <c r="W33" s="52"/>
      <c r="X33" s="52"/>
      <c r="Y33" s="52"/>
    </row>
    <row r="34" spans="1:25" x14ac:dyDescent="0.35">
      <c r="A34" s="54">
        <v>42616</v>
      </c>
      <c r="B34" s="52">
        <v>19.3</v>
      </c>
      <c r="C34" s="52">
        <v>12.2</v>
      </c>
      <c r="D34" s="52">
        <v>26</v>
      </c>
      <c r="E34" s="52"/>
      <c r="F34" s="52"/>
      <c r="G34" s="52"/>
      <c r="H34" s="52">
        <v>0.2</v>
      </c>
      <c r="I34" s="52"/>
      <c r="J34" s="52">
        <v>3.9</v>
      </c>
      <c r="K34" s="52"/>
      <c r="L34" s="52">
        <v>-3.6999999999999997</v>
      </c>
      <c r="M34" s="52">
        <v>0</v>
      </c>
      <c r="N34" s="52"/>
      <c r="O34" s="52"/>
      <c r="P34" s="52">
        <v>0</v>
      </c>
      <c r="Q34" s="52">
        <v>0.2</v>
      </c>
      <c r="R34" s="52"/>
      <c r="S34" s="52"/>
      <c r="T34" s="52">
        <v>1872.7</v>
      </c>
      <c r="U34" s="52"/>
      <c r="V34" s="52"/>
      <c r="W34" s="52"/>
      <c r="X34" s="52"/>
      <c r="Y34" s="52"/>
    </row>
    <row r="35" spans="1:25" x14ac:dyDescent="0.35">
      <c r="A35" s="54">
        <v>42617</v>
      </c>
      <c r="B35" s="52">
        <v>20.399999999999999</v>
      </c>
      <c r="C35" s="52">
        <v>17.8</v>
      </c>
      <c r="D35" s="52">
        <v>22.7</v>
      </c>
      <c r="E35" s="52"/>
      <c r="F35" s="52"/>
      <c r="G35" s="52"/>
      <c r="H35" s="52">
        <v>2.1</v>
      </c>
      <c r="I35" s="52"/>
      <c r="J35" s="52">
        <v>0.9</v>
      </c>
      <c r="K35" s="52"/>
      <c r="L35" s="52">
        <v>1.2000000000000002</v>
      </c>
      <c r="M35" s="52">
        <v>1.2000000000000002</v>
      </c>
      <c r="N35" s="52"/>
      <c r="O35" s="52"/>
      <c r="P35" s="52">
        <v>0</v>
      </c>
      <c r="Q35" s="52">
        <v>2.1</v>
      </c>
      <c r="R35" s="52"/>
      <c r="S35" s="52"/>
      <c r="T35" s="52">
        <v>357.2</v>
      </c>
      <c r="U35" s="52"/>
      <c r="V35" s="52"/>
      <c r="W35" s="52"/>
      <c r="X35" s="52"/>
      <c r="Y35" s="52"/>
    </row>
    <row r="36" spans="1:25" x14ac:dyDescent="0.35">
      <c r="A36" s="54">
        <v>42618</v>
      </c>
      <c r="B36" s="52">
        <v>21.1</v>
      </c>
      <c r="C36" s="52">
        <v>19.2</v>
      </c>
      <c r="D36" s="52">
        <v>23</v>
      </c>
      <c r="E36" s="52"/>
      <c r="F36" s="52"/>
      <c r="G36" s="52"/>
      <c r="H36" s="52">
        <v>0</v>
      </c>
      <c r="I36" s="52"/>
      <c r="J36" s="52">
        <v>1.6</v>
      </c>
      <c r="K36" s="52"/>
      <c r="L36" s="52">
        <v>-1.6</v>
      </c>
      <c r="M36" s="52">
        <v>0</v>
      </c>
      <c r="N36" s="52"/>
      <c r="O36" s="52"/>
      <c r="P36" s="52">
        <v>0</v>
      </c>
      <c r="Q36" s="52">
        <v>0</v>
      </c>
      <c r="R36" s="52"/>
      <c r="S36" s="52"/>
      <c r="T36" s="52">
        <v>503.5</v>
      </c>
      <c r="U36" s="52"/>
      <c r="V36" s="52"/>
      <c r="W36" s="52"/>
      <c r="X36" s="52"/>
      <c r="Y36" s="52"/>
    </row>
    <row r="37" spans="1:25" x14ac:dyDescent="0.35">
      <c r="A37" s="54">
        <v>42619</v>
      </c>
      <c r="B37" s="52">
        <v>23</v>
      </c>
      <c r="C37" s="52">
        <v>19</v>
      </c>
      <c r="D37" s="52">
        <v>26.7</v>
      </c>
      <c r="E37" s="52"/>
      <c r="F37" s="52"/>
      <c r="G37" s="52"/>
      <c r="H37" s="52">
        <v>0</v>
      </c>
      <c r="I37" s="52"/>
      <c r="J37" s="52">
        <v>3.5</v>
      </c>
      <c r="K37" s="52"/>
      <c r="L37" s="52">
        <v>-3.5</v>
      </c>
      <c r="M37" s="52">
        <v>0</v>
      </c>
      <c r="N37" s="52"/>
      <c r="O37" s="52"/>
      <c r="P37" s="52">
        <v>0</v>
      </c>
      <c r="Q37" s="52">
        <v>0</v>
      </c>
      <c r="R37" s="52"/>
      <c r="S37" s="52"/>
      <c r="T37" s="52">
        <v>1227</v>
      </c>
      <c r="U37" s="52"/>
      <c r="V37" s="52"/>
      <c r="W37" s="52"/>
      <c r="X37" s="52"/>
      <c r="Y37" s="52"/>
    </row>
    <row r="38" spans="1:25" x14ac:dyDescent="0.35">
      <c r="A38" s="54">
        <v>42620</v>
      </c>
      <c r="B38" s="52">
        <v>22.4</v>
      </c>
      <c r="C38" s="52">
        <v>16.5</v>
      </c>
      <c r="D38" s="52">
        <v>28.3</v>
      </c>
      <c r="E38" s="52"/>
      <c r="F38" s="52"/>
      <c r="G38" s="52"/>
      <c r="H38" s="52">
        <v>0</v>
      </c>
      <c r="I38" s="52"/>
      <c r="J38" s="52">
        <v>5.3</v>
      </c>
      <c r="K38" s="52"/>
      <c r="L38" s="52">
        <v>-5.3</v>
      </c>
      <c r="M38" s="52">
        <v>0</v>
      </c>
      <c r="N38" s="52"/>
      <c r="O38" s="52"/>
      <c r="P38" s="52">
        <v>0</v>
      </c>
      <c r="Q38" s="52">
        <v>0</v>
      </c>
      <c r="R38" s="52"/>
      <c r="S38" s="52"/>
      <c r="T38" s="52">
        <v>2054.1</v>
      </c>
      <c r="U38" s="52"/>
      <c r="V38" s="52"/>
      <c r="W38" s="52"/>
      <c r="X38" s="52"/>
      <c r="Y38" s="52"/>
    </row>
    <row r="39" spans="1:25" x14ac:dyDescent="0.35">
      <c r="A39" s="54">
        <v>42621</v>
      </c>
      <c r="B39" s="52">
        <v>18.899999999999999</v>
      </c>
      <c r="C39" s="52">
        <v>16</v>
      </c>
      <c r="D39" s="52">
        <v>23.3</v>
      </c>
      <c r="E39" s="52"/>
      <c r="F39" s="52"/>
      <c r="G39" s="52"/>
      <c r="H39" s="52">
        <v>0</v>
      </c>
      <c r="I39" s="52"/>
      <c r="J39" s="52">
        <v>3.6</v>
      </c>
      <c r="K39" s="52"/>
      <c r="L39" s="52">
        <v>-3.6</v>
      </c>
      <c r="M39" s="52">
        <v>0</v>
      </c>
      <c r="N39" s="52"/>
      <c r="O39" s="52"/>
      <c r="P39" s="52">
        <v>0</v>
      </c>
      <c r="Q39" s="52">
        <v>0</v>
      </c>
      <c r="R39" s="52"/>
      <c r="S39" s="52"/>
      <c r="T39" s="52">
        <v>1109</v>
      </c>
      <c r="U39" s="52"/>
      <c r="V39" s="52"/>
      <c r="W39" s="52"/>
      <c r="X39" s="52"/>
      <c r="Y39" s="52"/>
    </row>
    <row r="40" spans="1:25" x14ac:dyDescent="0.35">
      <c r="A40" s="54">
        <v>42622</v>
      </c>
      <c r="B40" s="52">
        <v>17.2</v>
      </c>
      <c r="C40" s="52">
        <v>11.3</v>
      </c>
      <c r="D40" s="52">
        <v>22.8</v>
      </c>
      <c r="E40" s="52"/>
      <c r="F40" s="52"/>
      <c r="G40" s="52"/>
      <c r="H40" s="52">
        <v>0</v>
      </c>
      <c r="I40" s="52"/>
      <c r="J40" s="52">
        <v>2.7</v>
      </c>
      <c r="K40" s="52"/>
      <c r="L40" s="52">
        <v>-2.7</v>
      </c>
      <c r="M40" s="52">
        <v>0</v>
      </c>
      <c r="N40" s="52"/>
      <c r="O40" s="52"/>
      <c r="P40" s="52">
        <v>0</v>
      </c>
      <c r="Q40" s="52">
        <v>0</v>
      </c>
      <c r="R40" s="52"/>
      <c r="S40" s="52"/>
      <c r="T40" s="52">
        <v>1163.3</v>
      </c>
      <c r="U40" s="52"/>
      <c r="V40" s="52"/>
      <c r="W40" s="52"/>
      <c r="X40" s="52"/>
      <c r="Y40" s="52"/>
    </row>
    <row r="41" spans="1:25" x14ac:dyDescent="0.35">
      <c r="A41" s="54">
        <v>42623</v>
      </c>
      <c r="B41" s="52">
        <v>18.7</v>
      </c>
      <c r="C41" s="52">
        <v>14.9</v>
      </c>
      <c r="D41" s="52">
        <v>25.1</v>
      </c>
      <c r="E41" s="52"/>
      <c r="F41" s="52"/>
      <c r="G41" s="52"/>
      <c r="H41" s="52">
        <v>0.3</v>
      </c>
      <c r="I41" s="52"/>
      <c r="J41" s="52">
        <v>2.4</v>
      </c>
      <c r="K41" s="52"/>
      <c r="L41" s="52">
        <v>-2.1</v>
      </c>
      <c r="M41" s="52">
        <v>0</v>
      </c>
      <c r="N41" s="52"/>
      <c r="O41" s="52"/>
      <c r="P41" s="52">
        <v>0</v>
      </c>
      <c r="Q41" s="52">
        <v>0.3</v>
      </c>
      <c r="R41" s="52"/>
      <c r="S41" s="52"/>
      <c r="T41" s="52">
        <v>505.6</v>
      </c>
      <c r="U41" s="52"/>
      <c r="V41" s="52"/>
      <c r="W41" s="52"/>
      <c r="X41" s="52"/>
      <c r="Y41" s="52"/>
    </row>
    <row r="42" spans="1:25" x14ac:dyDescent="0.35">
      <c r="A42" s="54">
        <v>42624</v>
      </c>
      <c r="B42" s="52">
        <v>17.8</v>
      </c>
      <c r="C42" s="52">
        <v>13.5</v>
      </c>
      <c r="D42" s="52">
        <v>21.5</v>
      </c>
      <c r="E42" s="52"/>
      <c r="F42" s="52"/>
      <c r="G42" s="52"/>
      <c r="H42" s="52">
        <v>0</v>
      </c>
      <c r="I42" s="52"/>
      <c r="J42" s="52">
        <v>1.4</v>
      </c>
      <c r="K42" s="52"/>
      <c r="L42" s="52">
        <v>-1.4</v>
      </c>
      <c r="M42" s="52">
        <v>0</v>
      </c>
      <c r="N42" s="52"/>
      <c r="O42" s="52"/>
      <c r="P42" s="52">
        <v>0</v>
      </c>
      <c r="Q42" s="52">
        <v>0</v>
      </c>
      <c r="R42" s="52"/>
      <c r="S42" s="52"/>
      <c r="T42" s="52">
        <v>715.1</v>
      </c>
      <c r="U42" s="52"/>
      <c r="V42" s="52"/>
      <c r="W42" s="52"/>
      <c r="X42" s="52"/>
      <c r="Y42" s="52"/>
    </row>
    <row r="43" spans="1:25" x14ac:dyDescent="0.35">
      <c r="A43" s="54">
        <v>42625</v>
      </c>
      <c r="B43" s="52">
        <v>20.7</v>
      </c>
      <c r="C43" s="52">
        <v>14.4</v>
      </c>
      <c r="D43" s="52">
        <v>26.3</v>
      </c>
      <c r="E43" s="52"/>
      <c r="F43" s="52"/>
      <c r="G43" s="52"/>
      <c r="H43" s="52">
        <v>0</v>
      </c>
      <c r="I43" s="52"/>
      <c r="J43" s="52">
        <v>1.7</v>
      </c>
      <c r="K43" s="52"/>
      <c r="L43" s="52">
        <v>-1.7</v>
      </c>
      <c r="M43" s="52">
        <v>0</v>
      </c>
      <c r="N43" s="52"/>
      <c r="O43" s="52"/>
      <c r="P43" s="52">
        <v>0</v>
      </c>
      <c r="Q43" s="52">
        <v>0</v>
      </c>
      <c r="R43" s="52"/>
      <c r="S43" s="52"/>
      <c r="T43" s="52">
        <v>553.1</v>
      </c>
      <c r="U43" s="52"/>
      <c r="V43" s="52"/>
      <c r="W43" s="52"/>
      <c r="X43" s="52"/>
      <c r="Y43" s="52"/>
    </row>
    <row r="44" spans="1:25" x14ac:dyDescent="0.35">
      <c r="A44" s="54">
        <v>42626</v>
      </c>
      <c r="B44" s="52">
        <v>20.6</v>
      </c>
      <c r="C44" s="52">
        <v>17.600000000000001</v>
      </c>
      <c r="D44" s="52">
        <v>23.5</v>
      </c>
      <c r="E44" s="52"/>
      <c r="F44" s="52"/>
      <c r="G44" s="52"/>
      <c r="H44" s="52">
        <v>9.4</v>
      </c>
      <c r="I44" s="52"/>
      <c r="J44" s="52">
        <v>2.7</v>
      </c>
      <c r="K44" s="52"/>
      <c r="L44" s="52">
        <v>6.7</v>
      </c>
      <c r="M44" s="52">
        <v>6.7</v>
      </c>
      <c r="N44" s="52"/>
      <c r="O44" s="52"/>
      <c r="P44" s="52">
        <v>0</v>
      </c>
      <c r="Q44" s="52">
        <v>9.4</v>
      </c>
      <c r="R44" s="52"/>
      <c r="S44" s="52"/>
      <c r="T44" s="52">
        <v>1495.2</v>
      </c>
      <c r="U44" s="52"/>
      <c r="V44" s="52"/>
      <c r="W44" s="52"/>
      <c r="X44" s="52"/>
      <c r="Y44" s="52"/>
    </row>
    <row r="45" spans="1:25" x14ac:dyDescent="0.35">
      <c r="A45" s="54">
        <v>42627</v>
      </c>
      <c r="B45" s="52">
        <v>18.899999999999999</v>
      </c>
      <c r="C45" s="52">
        <v>16.3</v>
      </c>
      <c r="D45" s="52">
        <v>22.7</v>
      </c>
      <c r="E45" s="52"/>
      <c r="F45" s="52"/>
      <c r="G45" s="52"/>
      <c r="H45" s="52">
        <v>0.5</v>
      </c>
      <c r="I45" s="52"/>
      <c r="J45" s="52">
        <v>2.1</v>
      </c>
      <c r="K45" s="52"/>
      <c r="L45" s="52">
        <v>-1.6</v>
      </c>
      <c r="M45" s="52">
        <v>5.0999999999999996</v>
      </c>
      <c r="N45" s="52"/>
      <c r="O45" s="52"/>
      <c r="P45" s="52">
        <v>0</v>
      </c>
      <c r="Q45" s="52">
        <v>0.5</v>
      </c>
      <c r="R45" s="52"/>
      <c r="S45" s="52"/>
      <c r="T45" s="52">
        <v>945.1</v>
      </c>
      <c r="U45" s="52"/>
      <c r="V45" s="52"/>
      <c r="W45" s="52"/>
      <c r="X45" s="52"/>
      <c r="Y45" s="52"/>
    </row>
    <row r="46" spans="1:25" x14ac:dyDescent="0.35">
      <c r="A46" s="54">
        <v>42628</v>
      </c>
      <c r="B46" s="52">
        <v>17.2</v>
      </c>
      <c r="C46" s="52">
        <v>15.2</v>
      </c>
      <c r="D46" s="52">
        <v>19.600000000000001</v>
      </c>
      <c r="E46" s="52"/>
      <c r="F46" s="52"/>
      <c r="G46" s="52"/>
      <c r="H46" s="52">
        <v>15.1</v>
      </c>
      <c r="I46" s="52"/>
      <c r="J46" s="52">
        <v>1.9</v>
      </c>
      <c r="K46" s="52"/>
      <c r="L46" s="52">
        <v>13.2</v>
      </c>
      <c r="M46" s="52">
        <v>18.299999999999997</v>
      </c>
      <c r="N46" s="52"/>
      <c r="O46" s="52"/>
      <c r="P46" s="52">
        <v>0</v>
      </c>
      <c r="Q46" s="52">
        <v>15.1</v>
      </c>
      <c r="R46" s="52"/>
      <c r="S46" s="52"/>
      <c r="T46" s="52">
        <v>1023.2</v>
      </c>
      <c r="U46" s="52"/>
      <c r="V46" s="52"/>
      <c r="W46" s="52"/>
      <c r="X46" s="52"/>
      <c r="Y46" s="52"/>
    </row>
    <row r="47" spans="1:25" x14ac:dyDescent="0.35">
      <c r="A47" s="54">
        <v>42629</v>
      </c>
      <c r="B47" s="52">
        <v>15.7</v>
      </c>
      <c r="C47" s="52">
        <v>14.8</v>
      </c>
      <c r="D47" s="52">
        <v>17.8</v>
      </c>
      <c r="E47" s="52"/>
      <c r="F47" s="52"/>
      <c r="G47" s="52"/>
      <c r="H47" s="52">
        <v>4.7</v>
      </c>
      <c r="I47" s="52"/>
      <c r="J47" s="52">
        <v>1.7</v>
      </c>
      <c r="K47" s="52"/>
      <c r="L47" s="52">
        <v>3</v>
      </c>
      <c r="M47" s="52">
        <v>21.299999999999997</v>
      </c>
      <c r="N47" s="52"/>
      <c r="O47" s="52"/>
      <c r="P47" s="52">
        <v>0</v>
      </c>
      <c r="Q47" s="52">
        <v>4.7</v>
      </c>
      <c r="R47" s="52"/>
      <c r="S47" s="52"/>
      <c r="T47" s="52">
        <v>416.9</v>
      </c>
      <c r="U47" s="52"/>
      <c r="V47" s="52"/>
      <c r="W47" s="52"/>
      <c r="X47" s="52"/>
      <c r="Y47" s="52"/>
    </row>
    <row r="48" spans="1:25" x14ac:dyDescent="0.35">
      <c r="A48" s="54">
        <v>42630</v>
      </c>
      <c r="B48" s="52">
        <v>15.1</v>
      </c>
      <c r="C48" s="52">
        <v>11.6</v>
      </c>
      <c r="D48" s="52">
        <v>18.899999999999999</v>
      </c>
      <c r="E48" s="52"/>
      <c r="F48" s="52"/>
      <c r="G48" s="52"/>
      <c r="H48" s="52">
        <v>0.4</v>
      </c>
      <c r="I48" s="52"/>
      <c r="J48" s="52">
        <v>2.4</v>
      </c>
      <c r="K48" s="52"/>
      <c r="L48" s="52">
        <v>-2</v>
      </c>
      <c r="M48" s="52">
        <v>19.299999999999997</v>
      </c>
      <c r="N48" s="52"/>
      <c r="O48" s="52"/>
      <c r="P48" s="52">
        <v>0</v>
      </c>
      <c r="Q48" s="52">
        <v>0.4</v>
      </c>
      <c r="R48" s="52"/>
      <c r="S48" s="52"/>
      <c r="T48" s="52">
        <v>1048.5999999999999</v>
      </c>
      <c r="U48" s="52"/>
      <c r="V48" s="52"/>
      <c r="W48" s="52"/>
      <c r="X48" s="52"/>
      <c r="Y48" s="52"/>
    </row>
    <row r="49" spans="1:25" x14ac:dyDescent="0.35">
      <c r="A49" s="54">
        <v>42631</v>
      </c>
      <c r="B49" s="52">
        <v>16.2</v>
      </c>
      <c r="C49" s="52">
        <v>13.9</v>
      </c>
      <c r="D49" s="52">
        <v>19.7</v>
      </c>
      <c r="E49" s="52"/>
      <c r="F49" s="52"/>
      <c r="G49" s="52"/>
      <c r="H49" s="52">
        <v>0</v>
      </c>
      <c r="I49" s="52"/>
      <c r="J49" s="52">
        <v>1.9</v>
      </c>
      <c r="K49" s="52"/>
      <c r="L49" s="52">
        <v>-1.9</v>
      </c>
      <c r="M49" s="52">
        <v>17.399999999999999</v>
      </c>
      <c r="N49" s="52"/>
      <c r="O49" s="52"/>
      <c r="P49" s="52">
        <v>0</v>
      </c>
      <c r="Q49" s="52">
        <v>0</v>
      </c>
      <c r="R49" s="52"/>
      <c r="S49" s="52"/>
      <c r="T49" s="52">
        <v>890.4</v>
      </c>
      <c r="U49" s="52"/>
      <c r="V49" s="52"/>
      <c r="W49" s="52"/>
      <c r="X49" s="52"/>
      <c r="Y49" s="52"/>
    </row>
    <row r="50" spans="1:25" x14ac:dyDescent="0.35">
      <c r="A50" s="54">
        <v>42632</v>
      </c>
      <c r="B50" s="52">
        <v>15.1</v>
      </c>
      <c r="C50" s="52">
        <v>12</v>
      </c>
      <c r="D50" s="52">
        <v>18.8</v>
      </c>
      <c r="E50" s="52"/>
      <c r="F50" s="52"/>
      <c r="G50" s="52"/>
      <c r="H50" s="52">
        <v>0.1</v>
      </c>
      <c r="I50" s="52"/>
      <c r="J50" s="52">
        <v>1.5</v>
      </c>
      <c r="K50" s="52"/>
      <c r="L50" s="52">
        <v>-1.4</v>
      </c>
      <c r="M50" s="52">
        <v>15.999999999999998</v>
      </c>
      <c r="N50" s="52"/>
      <c r="O50" s="52"/>
      <c r="P50" s="52">
        <v>0</v>
      </c>
      <c r="Q50" s="52">
        <v>0.1</v>
      </c>
      <c r="R50" s="52"/>
      <c r="S50" s="52"/>
      <c r="T50" s="52">
        <v>849.9</v>
      </c>
      <c r="U50" s="52"/>
      <c r="V50" s="52"/>
      <c r="W50" s="52"/>
      <c r="X50" s="52"/>
      <c r="Y50" s="52"/>
    </row>
    <row r="51" spans="1:25" x14ac:dyDescent="0.35">
      <c r="A51" s="54">
        <v>42633</v>
      </c>
      <c r="B51" s="52">
        <v>15.5</v>
      </c>
      <c r="C51" s="52">
        <v>10.6</v>
      </c>
      <c r="D51" s="52">
        <v>20.100000000000001</v>
      </c>
      <c r="E51" s="52"/>
      <c r="F51" s="52"/>
      <c r="G51" s="52"/>
      <c r="H51" s="52">
        <v>0</v>
      </c>
      <c r="I51" s="52"/>
      <c r="J51" s="52">
        <v>1.6</v>
      </c>
      <c r="K51" s="52"/>
      <c r="L51" s="52">
        <v>-1.6</v>
      </c>
      <c r="M51" s="52">
        <v>14.399999999999999</v>
      </c>
      <c r="N51" s="52"/>
      <c r="O51" s="52"/>
      <c r="P51" s="52">
        <v>0</v>
      </c>
      <c r="Q51" s="52">
        <v>0</v>
      </c>
      <c r="R51" s="52"/>
      <c r="S51" s="52"/>
      <c r="T51" s="52">
        <v>786.9</v>
      </c>
      <c r="U51" s="52"/>
      <c r="V51" s="52"/>
      <c r="W51" s="52"/>
      <c r="X51" s="52"/>
      <c r="Y51" s="52"/>
    </row>
    <row r="52" spans="1:25" x14ac:dyDescent="0.35">
      <c r="A52" s="54">
        <v>42634</v>
      </c>
      <c r="B52" s="52">
        <v>16.3</v>
      </c>
      <c r="C52" s="52">
        <v>10.7</v>
      </c>
      <c r="D52" s="52">
        <v>21.9</v>
      </c>
      <c r="E52" s="52"/>
      <c r="F52" s="52"/>
      <c r="G52" s="52"/>
      <c r="H52" s="52">
        <v>0</v>
      </c>
      <c r="I52" s="52"/>
      <c r="J52" s="52">
        <v>1.7</v>
      </c>
      <c r="K52" s="52"/>
      <c r="L52" s="52">
        <v>-1.7</v>
      </c>
      <c r="M52" s="52">
        <v>12.7</v>
      </c>
      <c r="N52" s="52"/>
      <c r="O52" s="52"/>
      <c r="P52" s="52">
        <v>0</v>
      </c>
      <c r="Q52" s="52">
        <v>0</v>
      </c>
      <c r="R52" s="52"/>
      <c r="S52" s="52"/>
      <c r="T52" s="52">
        <v>988.3</v>
      </c>
      <c r="U52" s="52"/>
      <c r="V52" s="52"/>
      <c r="W52" s="52"/>
      <c r="X52" s="52"/>
      <c r="Y52" s="52"/>
    </row>
    <row r="53" spans="1:25" x14ac:dyDescent="0.35">
      <c r="A53" s="54">
        <v>42635</v>
      </c>
      <c r="B53" s="52">
        <v>15.6</v>
      </c>
      <c r="C53" s="52">
        <v>11.3</v>
      </c>
      <c r="D53" s="52">
        <v>20.100000000000001</v>
      </c>
      <c r="E53" s="52"/>
      <c r="F53" s="52"/>
      <c r="G53" s="52"/>
      <c r="H53" s="52">
        <v>0</v>
      </c>
      <c r="I53" s="52"/>
      <c r="J53" s="52">
        <v>2.1</v>
      </c>
      <c r="K53" s="52"/>
      <c r="L53" s="52">
        <v>-2.1</v>
      </c>
      <c r="M53" s="52">
        <v>10.6</v>
      </c>
      <c r="N53" s="52"/>
      <c r="O53" s="52"/>
      <c r="P53" s="52">
        <v>0</v>
      </c>
      <c r="Q53" s="52">
        <v>0</v>
      </c>
      <c r="R53" s="52"/>
      <c r="S53" s="52"/>
      <c r="T53" s="52">
        <v>1128.2</v>
      </c>
      <c r="U53" s="52"/>
      <c r="V53" s="52"/>
      <c r="W53" s="52"/>
      <c r="X53" s="52"/>
      <c r="Y53" s="52"/>
    </row>
    <row r="54" spans="1:25" x14ac:dyDescent="0.35">
      <c r="A54" s="54">
        <v>42636</v>
      </c>
      <c r="B54" s="52">
        <v>15.1</v>
      </c>
      <c r="C54" s="52">
        <v>10</v>
      </c>
      <c r="D54" s="52">
        <v>21</v>
      </c>
      <c r="E54" s="52">
        <f>B54</f>
        <v>15.1</v>
      </c>
      <c r="F54" s="52"/>
      <c r="G54" s="52"/>
      <c r="H54" s="52">
        <v>0.1</v>
      </c>
      <c r="I54" s="52"/>
      <c r="J54" s="52">
        <v>2.9</v>
      </c>
      <c r="K54" s="52"/>
      <c r="L54" s="52">
        <v>-2.8</v>
      </c>
      <c r="M54" s="52"/>
      <c r="N54" s="52">
        <v>1</v>
      </c>
      <c r="O54" s="52">
        <v>0.35</v>
      </c>
      <c r="P54" s="52">
        <v>1.0149999999999999</v>
      </c>
      <c r="Q54" s="52">
        <v>-0.91499999999999992</v>
      </c>
      <c r="R54" s="52">
        <v>9.5749999999999993</v>
      </c>
      <c r="S54" s="52"/>
      <c r="T54" s="52">
        <v>1478.2</v>
      </c>
      <c r="U54" s="52"/>
      <c r="V54" s="52">
        <v>1478.2</v>
      </c>
      <c r="W54" s="52"/>
      <c r="X54" s="52"/>
      <c r="Y54" s="52">
        <v>11.850054156310808</v>
      </c>
    </row>
    <row r="55" spans="1:25" x14ac:dyDescent="0.35">
      <c r="A55" s="54">
        <v>42637</v>
      </c>
      <c r="B55" s="52">
        <v>17.2</v>
      </c>
      <c r="C55" s="52">
        <v>9.6999999999999993</v>
      </c>
      <c r="D55" s="52">
        <v>23.5</v>
      </c>
      <c r="E55" s="52">
        <f>E54+B55</f>
        <v>32.299999999999997</v>
      </c>
      <c r="F55" s="52"/>
      <c r="G55" s="52"/>
      <c r="H55" s="52">
        <v>0.2</v>
      </c>
      <c r="I55" s="52"/>
      <c r="J55" s="52">
        <v>3.5</v>
      </c>
      <c r="K55" s="52"/>
      <c r="L55" s="52">
        <v>-3.3</v>
      </c>
      <c r="M55" s="52"/>
      <c r="N55" s="52">
        <v>2</v>
      </c>
      <c r="O55" s="52">
        <v>0.35</v>
      </c>
      <c r="P55" s="52">
        <v>1.2249999999999999</v>
      </c>
      <c r="Q55" s="52">
        <v>-1.0249999999999999</v>
      </c>
      <c r="R55" s="52">
        <v>8.5499999999999989</v>
      </c>
      <c r="S55" s="52"/>
      <c r="T55" s="52">
        <v>1678.8</v>
      </c>
      <c r="U55" s="52"/>
      <c r="V55" s="52">
        <v>3157</v>
      </c>
      <c r="W55" s="52"/>
      <c r="X55" s="52"/>
      <c r="Y55" s="52">
        <v>11.790104294887646</v>
      </c>
    </row>
    <row r="56" spans="1:25" x14ac:dyDescent="0.35">
      <c r="A56" s="54">
        <v>42638</v>
      </c>
      <c r="B56" s="52">
        <v>16.100000000000001</v>
      </c>
      <c r="C56" s="52">
        <v>14.6</v>
      </c>
      <c r="D56" s="52">
        <v>20.399999999999999</v>
      </c>
      <c r="E56" s="52">
        <f t="shared" ref="E56:E119" si="0">E55+B56</f>
        <v>48.4</v>
      </c>
      <c r="F56" s="52"/>
      <c r="G56" s="52"/>
      <c r="H56" s="52">
        <v>0</v>
      </c>
      <c r="I56" s="52"/>
      <c r="J56" s="52">
        <v>2.9</v>
      </c>
      <c r="K56" s="52"/>
      <c r="L56" s="52">
        <v>-2.9</v>
      </c>
      <c r="M56" s="52"/>
      <c r="N56" s="52">
        <v>3</v>
      </c>
      <c r="O56" s="52">
        <v>0.35</v>
      </c>
      <c r="P56" s="52">
        <v>1.0149999999999999</v>
      </c>
      <c r="Q56" s="52">
        <v>-1.0149999999999999</v>
      </c>
      <c r="R56" s="52">
        <v>7.5349999999999993</v>
      </c>
      <c r="S56" s="52"/>
      <c r="T56" s="52">
        <v>1081.5999999999999</v>
      </c>
      <c r="U56" s="52"/>
      <c r="V56" s="52">
        <v>4238.6000000000004</v>
      </c>
      <c r="W56" s="52"/>
      <c r="X56" s="52"/>
      <c r="Y56" s="52">
        <v>11.730182973532362</v>
      </c>
    </row>
    <row r="57" spans="1:25" x14ac:dyDescent="0.35">
      <c r="A57" s="54">
        <v>42639</v>
      </c>
      <c r="B57" s="52">
        <v>15.5</v>
      </c>
      <c r="C57" s="52">
        <v>10.7</v>
      </c>
      <c r="D57" s="52">
        <v>19.399999999999999</v>
      </c>
      <c r="E57" s="52">
        <f t="shared" si="0"/>
        <v>63.9</v>
      </c>
      <c r="F57" s="52"/>
      <c r="G57" s="52"/>
      <c r="H57" s="52">
        <v>0</v>
      </c>
      <c r="I57" s="52"/>
      <c r="J57" s="52">
        <v>2.1</v>
      </c>
      <c r="K57" s="52"/>
      <c r="L57" s="52">
        <v>-2.1</v>
      </c>
      <c r="M57" s="52"/>
      <c r="N57" s="52">
        <v>4</v>
      </c>
      <c r="O57" s="52">
        <v>0.35</v>
      </c>
      <c r="P57" s="52">
        <v>0.73499999999999999</v>
      </c>
      <c r="Q57" s="52">
        <v>-0.73499999999999999</v>
      </c>
      <c r="R57" s="52">
        <v>6.7999999999999989</v>
      </c>
      <c r="S57" s="52"/>
      <c r="T57" s="52">
        <v>1045.8</v>
      </c>
      <c r="U57" s="52"/>
      <c r="V57" s="52">
        <v>5284.4000000000005</v>
      </c>
      <c r="W57" s="52"/>
      <c r="X57" s="52"/>
      <c r="Y57" s="52">
        <v>11.67029843795485</v>
      </c>
    </row>
    <row r="58" spans="1:25" x14ac:dyDescent="0.35">
      <c r="A58" s="54">
        <v>42640</v>
      </c>
      <c r="B58" s="52">
        <v>17.5</v>
      </c>
      <c r="C58" s="52">
        <v>15.9</v>
      </c>
      <c r="D58" s="52">
        <v>19.2</v>
      </c>
      <c r="E58" s="52">
        <f t="shared" si="0"/>
        <v>81.400000000000006</v>
      </c>
      <c r="F58" s="52"/>
      <c r="G58" s="52"/>
      <c r="H58" s="52">
        <v>0.7</v>
      </c>
      <c r="I58" s="52"/>
      <c r="J58" s="52">
        <v>0.9</v>
      </c>
      <c r="K58" s="52"/>
      <c r="L58" s="52">
        <v>-0.20000000000000007</v>
      </c>
      <c r="M58" s="52"/>
      <c r="N58" s="52">
        <v>5</v>
      </c>
      <c r="O58" s="52">
        <v>0.35</v>
      </c>
      <c r="P58" s="52">
        <v>0.315</v>
      </c>
      <c r="Q58" s="52">
        <v>0.38499999999999995</v>
      </c>
      <c r="R58" s="52">
        <v>7.1849999999999987</v>
      </c>
      <c r="S58" s="52"/>
      <c r="T58" s="52">
        <v>241.2</v>
      </c>
      <c r="U58" s="52"/>
      <c r="V58" s="52">
        <v>5525.6</v>
      </c>
      <c r="W58" s="52"/>
      <c r="X58" s="52"/>
      <c r="Y58" s="52">
        <v>11.610459002338031</v>
      </c>
    </row>
    <row r="59" spans="1:25" x14ac:dyDescent="0.35">
      <c r="A59" s="54">
        <v>42641</v>
      </c>
      <c r="B59" s="52">
        <v>17.5</v>
      </c>
      <c r="C59" s="52">
        <v>15.1</v>
      </c>
      <c r="D59" s="52">
        <v>21.6</v>
      </c>
      <c r="E59" s="52">
        <f t="shared" si="0"/>
        <v>98.9</v>
      </c>
      <c r="F59" s="52"/>
      <c r="G59" s="52"/>
      <c r="H59" s="52">
        <v>0.5</v>
      </c>
      <c r="I59" s="52"/>
      <c r="J59" s="52">
        <v>2.8</v>
      </c>
      <c r="K59" s="52"/>
      <c r="L59" s="52">
        <v>-2.2999999999999998</v>
      </c>
      <c r="M59" s="52"/>
      <c r="N59" s="52">
        <v>6</v>
      </c>
      <c r="O59" s="52">
        <v>0.36065573770491799</v>
      </c>
      <c r="P59" s="52">
        <v>1.0098360655737704</v>
      </c>
      <c r="Q59" s="52">
        <v>-0.50983606557377037</v>
      </c>
      <c r="R59" s="52">
        <v>6.6751639344262284</v>
      </c>
      <c r="S59" s="52"/>
      <c r="T59" s="52">
        <v>1333.6</v>
      </c>
      <c r="U59" s="52"/>
      <c r="V59" s="52">
        <v>6859.2000000000007</v>
      </c>
      <c r="W59" s="52"/>
      <c r="X59" s="52"/>
      <c r="Y59" s="52">
        <v>11.550673064463327</v>
      </c>
    </row>
    <row r="60" spans="1:25" x14ac:dyDescent="0.35">
      <c r="A60" s="54">
        <v>42642</v>
      </c>
      <c r="B60" s="52">
        <v>15.4</v>
      </c>
      <c r="C60" s="52">
        <v>14.3</v>
      </c>
      <c r="D60" s="52">
        <v>20.5</v>
      </c>
      <c r="E60" s="52">
        <f t="shared" si="0"/>
        <v>114.30000000000001</v>
      </c>
      <c r="F60" s="52"/>
      <c r="G60" s="52"/>
      <c r="H60" s="52">
        <v>1.5</v>
      </c>
      <c r="I60" s="52"/>
      <c r="J60" s="52">
        <v>1.5</v>
      </c>
      <c r="K60" s="52"/>
      <c r="L60" s="52">
        <v>0</v>
      </c>
      <c r="M60" s="52"/>
      <c r="N60" s="52">
        <v>7</v>
      </c>
      <c r="O60" s="52">
        <v>0.37131147540983606</v>
      </c>
      <c r="P60" s="52">
        <v>0.55696721311475406</v>
      </c>
      <c r="Q60" s="52">
        <v>0.94303278688524594</v>
      </c>
      <c r="R60" s="52">
        <v>7.6181967213114739</v>
      </c>
      <c r="S60" s="52"/>
      <c r="T60" s="52">
        <v>321.89999999999998</v>
      </c>
      <c r="U60" s="52"/>
      <c r="V60" s="52">
        <v>7181.1</v>
      </c>
      <c r="W60" s="52"/>
      <c r="X60" s="52"/>
      <c r="Y60" s="52">
        <v>11.490949120780177</v>
      </c>
    </row>
    <row r="61" spans="1:25" x14ac:dyDescent="0.35">
      <c r="A61" s="54">
        <v>42643</v>
      </c>
      <c r="B61" s="52">
        <v>12.8</v>
      </c>
      <c r="C61" s="52">
        <v>10.5</v>
      </c>
      <c r="D61" s="52">
        <v>18.3</v>
      </c>
      <c r="E61" s="52">
        <f t="shared" si="0"/>
        <v>127.10000000000001</v>
      </c>
      <c r="F61" s="52"/>
      <c r="G61" s="52"/>
      <c r="H61" s="52">
        <v>0.1</v>
      </c>
      <c r="I61" s="52"/>
      <c r="J61" s="52">
        <v>2.5</v>
      </c>
      <c r="K61" s="52"/>
      <c r="L61" s="52">
        <v>-2.4</v>
      </c>
      <c r="M61" s="52"/>
      <c r="N61" s="52">
        <v>8</v>
      </c>
      <c r="O61" s="52">
        <v>0.38196721311475407</v>
      </c>
      <c r="P61" s="52">
        <v>0.95491803278688514</v>
      </c>
      <c r="Q61" s="52">
        <v>-0.85491803278688516</v>
      </c>
      <c r="R61" s="52">
        <v>6.763278688524589</v>
      </c>
      <c r="S61" s="52"/>
      <c r="T61" s="52">
        <v>1305.0999999999999</v>
      </c>
      <c r="U61" s="52"/>
      <c r="V61" s="52">
        <v>8486.2000000000007</v>
      </c>
      <c r="W61" s="52"/>
      <c r="X61" s="52"/>
      <c r="Y61" s="52">
        <v>11.431295781407767</v>
      </c>
    </row>
    <row r="62" spans="1:25" x14ac:dyDescent="0.35">
      <c r="A62" s="54">
        <v>42644</v>
      </c>
      <c r="B62" s="52">
        <v>12.6</v>
      </c>
      <c r="C62" s="52">
        <v>9.6</v>
      </c>
      <c r="D62" s="52">
        <v>17.399999999999999</v>
      </c>
      <c r="E62" s="52">
        <f t="shared" si="0"/>
        <v>139.70000000000002</v>
      </c>
      <c r="F62" s="52"/>
      <c r="G62" s="52"/>
      <c r="H62" s="52">
        <v>0.2</v>
      </c>
      <c r="I62" s="52"/>
      <c r="J62" s="52">
        <v>1.9</v>
      </c>
      <c r="K62" s="52"/>
      <c r="L62" s="52">
        <v>-1.7</v>
      </c>
      <c r="M62" s="52"/>
      <c r="N62" s="52">
        <v>9</v>
      </c>
      <c r="O62" s="52">
        <v>0.39262295081967213</v>
      </c>
      <c r="P62" s="52">
        <v>0.74598360655737705</v>
      </c>
      <c r="Q62" s="52">
        <v>-0.5459836065573771</v>
      </c>
      <c r="R62" s="52">
        <v>6.2172950819672117</v>
      </c>
      <c r="S62" s="52"/>
      <c r="T62" s="52">
        <v>917.9</v>
      </c>
      <c r="U62" s="52"/>
      <c r="V62" s="52">
        <v>9404.1</v>
      </c>
      <c r="W62" s="52"/>
      <c r="X62" s="52"/>
      <c r="Y62" s="52">
        <v>11.371721785056641</v>
      </c>
    </row>
    <row r="63" spans="1:25" x14ac:dyDescent="0.35">
      <c r="A63" s="54">
        <v>42645</v>
      </c>
      <c r="B63" s="52">
        <v>11.6</v>
      </c>
      <c r="C63" s="52">
        <v>6.5</v>
      </c>
      <c r="D63" s="52">
        <v>17.2</v>
      </c>
      <c r="E63" s="52">
        <f t="shared" si="0"/>
        <v>151.30000000000001</v>
      </c>
      <c r="F63" s="52"/>
      <c r="G63" s="52"/>
      <c r="H63" s="52">
        <v>0</v>
      </c>
      <c r="I63" s="52"/>
      <c r="J63" s="52">
        <v>1.3</v>
      </c>
      <c r="K63" s="52"/>
      <c r="L63" s="52">
        <v>-1.3</v>
      </c>
      <c r="M63" s="52"/>
      <c r="N63" s="52">
        <v>10</v>
      </c>
      <c r="O63" s="52">
        <v>0.40327868852459015</v>
      </c>
      <c r="P63" s="52">
        <v>0.5242622950819672</v>
      </c>
      <c r="Q63" s="52">
        <v>-0.5242622950819672</v>
      </c>
      <c r="R63" s="52">
        <v>5.6930327868852446</v>
      </c>
      <c r="S63" s="52"/>
      <c r="T63" s="52">
        <v>693.5</v>
      </c>
      <c r="U63" s="52"/>
      <c r="V63" s="52">
        <v>10097.6</v>
      </c>
      <c r="W63" s="52"/>
      <c r="X63" s="52"/>
      <c r="Y63" s="52">
        <v>11.312236013856966</v>
      </c>
    </row>
    <row r="64" spans="1:25" x14ac:dyDescent="0.35">
      <c r="A64" s="54">
        <v>42646</v>
      </c>
      <c r="B64" s="52">
        <v>12.5</v>
      </c>
      <c r="C64" s="52">
        <v>5.8</v>
      </c>
      <c r="D64" s="52">
        <v>18.7</v>
      </c>
      <c r="E64" s="52">
        <f t="shared" si="0"/>
        <v>163.80000000000001</v>
      </c>
      <c r="F64" s="52"/>
      <c r="G64" s="52"/>
      <c r="H64" s="52">
        <v>0</v>
      </c>
      <c r="I64" s="52"/>
      <c r="J64" s="52">
        <v>2.4</v>
      </c>
      <c r="K64" s="52"/>
      <c r="L64" s="52">
        <v>-2.4</v>
      </c>
      <c r="M64" s="52"/>
      <c r="N64" s="52">
        <v>11</v>
      </c>
      <c r="O64" s="52">
        <v>0.41393442622950816</v>
      </c>
      <c r="P64" s="52">
        <v>0.99344262295081953</v>
      </c>
      <c r="Q64" s="52">
        <v>-0.99344262295081953</v>
      </c>
      <c r="R64" s="52">
        <v>4.6995901639344249</v>
      </c>
      <c r="S64" s="52"/>
      <c r="T64" s="52">
        <v>1312.8</v>
      </c>
      <c r="U64" s="52"/>
      <c r="V64" s="52">
        <v>11410.4</v>
      </c>
      <c r="W64" s="52"/>
      <c r="X64" s="52"/>
      <c r="Y64" s="52">
        <v>11.252847508079137</v>
      </c>
    </row>
    <row r="65" spans="1:25" x14ac:dyDescent="0.35">
      <c r="A65" s="54">
        <v>42647</v>
      </c>
      <c r="B65" s="52">
        <v>14.3</v>
      </c>
      <c r="C65" s="52">
        <v>9.6999999999999993</v>
      </c>
      <c r="D65" s="52">
        <v>18.399999999999999</v>
      </c>
      <c r="E65" s="52">
        <f t="shared" si="0"/>
        <v>178.10000000000002</v>
      </c>
      <c r="F65" s="52"/>
      <c r="G65" s="52"/>
      <c r="H65" s="52">
        <v>0</v>
      </c>
      <c r="I65" s="52"/>
      <c r="J65" s="52">
        <v>2.8</v>
      </c>
      <c r="K65" s="52"/>
      <c r="L65" s="52">
        <v>-2.8</v>
      </c>
      <c r="M65" s="52"/>
      <c r="N65" s="52">
        <v>12</v>
      </c>
      <c r="O65" s="52">
        <v>0.42459016393442622</v>
      </c>
      <c r="P65" s="52">
        <v>1.1888524590163934</v>
      </c>
      <c r="Q65" s="52">
        <v>-1.1888524590163934</v>
      </c>
      <c r="R65" s="52">
        <v>3.5107377049180313</v>
      </c>
      <c r="S65" s="52"/>
      <c r="T65" s="52">
        <v>1201.0999999999999</v>
      </c>
      <c r="U65" s="52"/>
      <c r="V65" s="52">
        <v>12611.5</v>
      </c>
      <c r="W65" s="52"/>
      <c r="X65" s="52"/>
      <c r="Y65" s="52">
        <v>11.193565480731463</v>
      </c>
    </row>
    <row r="66" spans="1:25" x14ac:dyDescent="0.35">
      <c r="A66" s="54">
        <v>42648</v>
      </c>
      <c r="B66" s="52">
        <v>14</v>
      </c>
      <c r="C66" s="52">
        <v>11</v>
      </c>
      <c r="D66" s="52">
        <v>18.3</v>
      </c>
      <c r="E66" s="52">
        <f t="shared" si="0"/>
        <v>192.10000000000002</v>
      </c>
      <c r="F66" s="52"/>
      <c r="G66" s="52"/>
      <c r="H66" s="52">
        <v>0</v>
      </c>
      <c r="I66" s="52"/>
      <c r="J66" s="52">
        <v>3</v>
      </c>
      <c r="K66" s="52"/>
      <c r="L66" s="52">
        <v>-3</v>
      </c>
      <c r="M66" s="52"/>
      <c r="N66" s="52">
        <v>13</v>
      </c>
      <c r="O66" s="52">
        <v>0.43524590163934423</v>
      </c>
      <c r="P66" s="52">
        <v>1.3057377049180328</v>
      </c>
      <c r="Q66" s="52">
        <v>-1.3057377049180328</v>
      </c>
      <c r="R66" s="52">
        <v>2.2049999999999983</v>
      </c>
      <c r="S66" s="52"/>
      <c r="T66" s="52">
        <v>1464.2</v>
      </c>
      <c r="U66" s="52"/>
      <c r="V66" s="52">
        <v>14075.7</v>
      </c>
      <c r="W66" s="52"/>
      <c r="X66" s="52"/>
      <c r="Y66" s="52">
        <v>11.134399332018457</v>
      </c>
    </row>
    <row r="67" spans="1:25" x14ac:dyDescent="0.35">
      <c r="A67" s="54">
        <v>42649</v>
      </c>
      <c r="B67" s="52">
        <v>10.4</v>
      </c>
      <c r="C67" s="52">
        <v>5.9</v>
      </c>
      <c r="D67" s="52">
        <v>15.6</v>
      </c>
      <c r="E67" s="52">
        <f t="shared" si="0"/>
        <v>202.50000000000003</v>
      </c>
      <c r="F67" s="52"/>
      <c r="G67" s="52"/>
      <c r="H67" s="52">
        <v>0</v>
      </c>
      <c r="I67" s="52"/>
      <c r="J67" s="52">
        <v>3.2</v>
      </c>
      <c r="K67" s="52"/>
      <c r="L67" s="52">
        <v>-3.2</v>
      </c>
      <c r="M67" s="52"/>
      <c r="N67" s="52">
        <v>14</v>
      </c>
      <c r="O67" s="52">
        <v>0.4459016393442623</v>
      </c>
      <c r="P67" s="52">
        <v>1.4268852459016395</v>
      </c>
      <c r="Q67" s="52">
        <v>-1.4268852459016395</v>
      </c>
      <c r="R67" s="52">
        <v>0.77811475409835884</v>
      </c>
      <c r="S67" s="52"/>
      <c r="T67" s="52">
        <v>1620.8</v>
      </c>
      <c r="U67" s="52"/>
      <c r="V67" s="52">
        <v>15696.5</v>
      </c>
      <c r="W67" s="52"/>
      <c r="X67" s="52"/>
      <c r="Y67" s="52">
        <v>11.075358663641881</v>
      </c>
    </row>
    <row r="68" spans="1:25" x14ac:dyDescent="0.35">
      <c r="A68" s="54">
        <v>42650</v>
      </c>
      <c r="B68" s="52">
        <v>9.9</v>
      </c>
      <c r="C68" s="52">
        <v>4.7</v>
      </c>
      <c r="D68" s="52">
        <v>12.9</v>
      </c>
      <c r="E68" s="52">
        <f t="shared" si="0"/>
        <v>212.40000000000003</v>
      </c>
      <c r="F68" s="52"/>
      <c r="G68" s="52"/>
      <c r="H68" s="52">
        <v>0</v>
      </c>
      <c r="I68" s="52"/>
      <c r="J68" s="52">
        <v>0.9</v>
      </c>
      <c r="K68" s="52"/>
      <c r="L68" s="52">
        <v>-0.9</v>
      </c>
      <c r="M68" s="52"/>
      <c r="N68" s="52">
        <v>15</v>
      </c>
      <c r="O68" s="52">
        <v>0.45655737704918031</v>
      </c>
      <c r="P68" s="52">
        <v>0.41090163934426227</v>
      </c>
      <c r="Q68" s="52">
        <v>-0.41090163934426227</v>
      </c>
      <c r="R68" s="52">
        <v>0.36721311475409657</v>
      </c>
      <c r="S68" s="52"/>
      <c r="T68" s="52">
        <v>577.20000000000005</v>
      </c>
      <c r="U68" s="52"/>
      <c r="V68" s="52">
        <v>16273.7</v>
      </c>
      <c r="W68" s="52"/>
      <c r="X68" s="52"/>
      <c r="Y68" s="52">
        <v>11.01645329292538</v>
      </c>
    </row>
    <row r="69" spans="1:25" x14ac:dyDescent="0.35">
      <c r="A69" s="54">
        <v>42651</v>
      </c>
      <c r="B69" s="52">
        <v>12.5</v>
      </c>
      <c r="C69" s="52">
        <v>10.7</v>
      </c>
      <c r="D69" s="52">
        <v>16.2</v>
      </c>
      <c r="E69" s="52">
        <f t="shared" si="0"/>
        <v>224.90000000000003</v>
      </c>
      <c r="F69" s="52"/>
      <c r="G69" s="52"/>
      <c r="H69" s="52">
        <v>0</v>
      </c>
      <c r="I69" s="52"/>
      <c r="J69" s="52">
        <v>1.5</v>
      </c>
      <c r="K69" s="52"/>
      <c r="L69" s="52">
        <v>-1.5</v>
      </c>
      <c r="M69" s="52"/>
      <c r="N69" s="52">
        <v>16</v>
      </c>
      <c r="O69" s="52">
        <v>0.46721311475409832</v>
      </c>
      <c r="P69" s="52">
        <v>0.70081967213114749</v>
      </c>
      <c r="Q69" s="52">
        <v>-0.70081967213114749</v>
      </c>
      <c r="R69" s="52">
        <v>0</v>
      </c>
      <c r="S69" s="52"/>
      <c r="T69" s="52">
        <v>619</v>
      </c>
      <c r="U69" s="52"/>
      <c r="V69" s="52">
        <v>16892.7</v>
      </c>
      <c r="W69" s="52"/>
      <c r="X69" s="52"/>
      <c r="Y69" s="52">
        <v>10.95769326674192</v>
      </c>
    </row>
    <row r="70" spans="1:25" x14ac:dyDescent="0.35">
      <c r="A70" s="54">
        <v>42652</v>
      </c>
      <c r="B70" s="52">
        <v>10.5</v>
      </c>
      <c r="C70" s="52">
        <v>5.7</v>
      </c>
      <c r="D70" s="52">
        <v>16.399999999999999</v>
      </c>
      <c r="E70" s="52">
        <f t="shared" si="0"/>
        <v>235.40000000000003</v>
      </c>
      <c r="F70" s="52"/>
      <c r="G70" s="52"/>
      <c r="H70" s="52">
        <v>0</v>
      </c>
      <c r="I70" s="52"/>
      <c r="J70" s="52">
        <v>1.6</v>
      </c>
      <c r="K70" s="52"/>
      <c r="L70" s="52">
        <v>-1.6</v>
      </c>
      <c r="M70" s="52"/>
      <c r="N70" s="52">
        <v>17</v>
      </c>
      <c r="O70" s="52">
        <v>0.47786885245901634</v>
      </c>
      <c r="P70" s="52">
        <v>0.76459016393442614</v>
      </c>
      <c r="Q70" s="52">
        <v>-0.76459016393442614</v>
      </c>
      <c r="R70" s="52">
        <v>0</v>
      </c>
      <c r="S70" s="52"/>
      <c r="T70" s="52">
        <v>1036.3</v>
      </c>
      <c r="U70" s="52"/>
      <c r="V70" s="52">
        <v>17929</v>
      </c>
      <c r="W70" s="52"/>
      <c r="X70" s="52"/>
      <c r="Y70" s="52">
        <v>10.899088875221722</v>
      </c>
    </row>
    <row r="71" spans="1:25" x14ac:dyDescent="0.35">
      <c r="A71" s="54">
        <v>42653</v>
      </c>
      <c r="B71" s="52">
        <v>10</v>
      </c>
      <c r="C71" s="52">
        <v>3</v>
      </c>
      <c r="D71" s="52">
        <v>16.399999999999999</v>
      </c>
      <c r="E71" s="52">
        <f t="shared" si="0"/>
        <v>245.40000000000003</v>
      </c>
      <c r="F71" s="52"/>
      <c r="G71" s="52"/>
      <c r="H71" s="52">
        <v>0</v>
      </c>
      <c r="I71" s="52"/>
      <c r="J71" s="52">
        <v>1.8</v>
      </c>
      <c r="K71" s="52"/>
      <c r="L71" s="52">
        <v>-1.8</v>
      </c>
      <c r="M71" s="52"/>
      <c r="N71" s="52">
        <v>18</v>
      </c>
      <c r="O71" s="52">
        <v>0.4885245901639344</v>
      </c>
      <c r="P71" s="52">
        <v>0.87934426229508189</v>
      </c>
      <c r="Q71" s="52">
        <v>-0.87934426229508189</v>
      </c>
      <c r="R71" s="52">
        <v>0</v>
      </c>
      <c r="S71" s="52"/>
      <c r="T71" s="52">
        <v>1078.4000000000001</v>
      </c>
      <c r="U71" s="52"/>
      <c r="V71" s="52">
        <v>19007.400000000001</v>
      </c>
      <c r="W71" s="52"/>
      <c r="X71" s="52"/>
      <c r="Y71" s="52">
        <v>10.840650665216574</v>
      </c>
    </row>
    <row r="72" spans="1:25" x14ac:dyDescent="0.35">
      <c r="A72" s="54">
        <v>42654</v>
      </c>
      <c r="B72" s="52">
        <v>9.4</v>
      </c>
      <c r="C72" s="52">
        <v>3.7</v>
      </c>
      <c r="D72" s="52">
        <v>15.3</v>
      </c>
      <c r="E72" s="52">
        <f t="shared" si="0"/>
        <v>254.80000000000004</v>
      </c>
      <c r="F72" s="52"/>
      <c r="G72" s="52"/>
      <c r="H72" s="52">
        <v>0</v>
      </c>
      <c r="I72" s="52"/>
      <c r="J72" s="52">
        <v>1.8</v>
      </c>
      <c r="K72" s="52"/>
      <c r="L72" s="52">
        <v>-1.8</v>
      </c>
      <c r="M72" s="52"/>
      <c r="N72" s="52">
        <v>19</v>
      </c>
      <c r="O72" s="52">
        <v>0.49918032786885247</v>
      </c>
      <c r="P72" s="52">
        <v>0.89852459016393449</v>
      </c>
      <c r="Q72" s="52">
        <v>-0.89852459016393449</v>
      </c>
      <c r="R72" s="52">
        <v>0</v>
      </c>
      <c r="S72" s="52"/>
      <c r="T72" s="52">
        <v>1023.6</v>
      </c>
      <c r="U72" s="52"/>
      <c r="V72" s="52">
        <v>20031</v>
      </c>
      <c r="W72" s="52"/>
      <c r="X72" s="52"/>
      <c r="Y72" s="52">
        <v>10.782389453494581</v>
      </c>
    </row>
    <row r="73" spans="1:25" x14ac:dyDescent="0.35">
      <c r="A73" s="54">
        <v>42655</v>
      </c>
      <c r="B73" s="52">
        <v>9.3000000000000007</v>
      </c>
      <c r="C73" s="52">
        <v>4.5</v>
      </c>
      <c r="D73" s="52">
        <v>14.2</v>
      </c>
      <c r="E73" s="52">
        <f t="shared" si="0"/>
        <v>264.10000000000002</v>
      </c>
      <c r="F73" s="52"/>
      <c r="G73" s="52"/>
      <c r="H73" s="52">
        <v>0</v>
      </c>
      <c r="I73" s="52"/>
      <c r="J73" s="52">
        <v>2.2999999999999998</v>
      </c>
      <c r="K73" s="52"/>
      <c r="L73" s="52">
        <v>-2.2999999999999998</v>
      </c>
      <c r="M73" s="52"/>
      <c r="N73" s="52">
        <v>20</v>
      </c>
      <c r="O73" s="52">
        <v>0.50983606557377048</v>
      </c>
      <c r="P73" s="52">
        <v>1.1726229508196719</v>
      </c>
      <c r="Q73" s="52">
        <v>-1.1726229508196719</v>
      </c>
      <c r="R73" s="52">
        <v>0</v>
      </c>
      <c r="S73" s="52"/>
      <c r="T73" s="52">
        <v>1238.0999999999999</v>
      </c>
      <c r="U73" s="52"/>
      <c r="V73" s="52">
        <v>21269.1</v>
      </c>
      <c r="W73" s="52"/>
      <c r="X73" s="52"/>
      <c r="Y73" s="52">
        <v>10.724316339637516</v>
      </c>
    </row>
    <row r="74" spans="1:25" x14ac:dyDescent="0.35">
      <c r="A74" s="54">
        <v>42656</v>
      </c>
      <c r="B74" s="52">
        <v>9.8000000000000007</v>
      </c>
      <c r="C74" s="52">
        <v>5.5</v>
      </c>
      <c r="D74" s="52">
        <v>13</v>
      </c>
      <c r="E74" s="52">
        <f t="shared" si="0"/>
        <v>273.90000000000003</v>
      </c>
      <c r="F74" s="52"/>
      <c r="G74" s="52"/>
      <c r="H74" s="52">
        <v>0</v>
      </c>
      <c r="I74" s="52"/>
      <c r="J74" s="52">
        <v>1.4</v>
      </c>
      <c r="K74" s="52"/>
      <c r="L74" s="52">
        <v>-1.4</v>
      </c>
      <c r="M74" s="52"/>
      <c r="N74" s="52">
        <v>21</v>
      </c>
      <c r="O74" s="52">
        <v>0.52049180327868849</v>
      </c>
      <c r="P74" s="52">
        <v>0.72868852459016387</v>
      </c>
      <c r="Q74" s="52">
        <v>-0.72868852459016387</v>
      </c>
      <c r="R74" s="52">
        <v>0</v>
      </c>
      <c r="S74" s="52"/>
      <c r="T74" s="52">
        <v>920.8</v>
      </c>
      <c r="U74" s="52"/>
      <c r="V74" s="52">
        <v>22189.899999999998</v>
      </c>
      <c r="W74" s="52"/>
      <c r="X74" s="52"/>
      <c r="Y74" s="52">
        <v>10.66644271861089</v>
      </c>
    </row>
    <row r="75" spans="1:25" x14ac:dyDescent="0.35">
      <c r="A75" s="54">
        <v>42657</v>
      </c>
      <c r="B75" s="52">
        <v>8.9</v>
      </c>
      <c r="C75" s="52">
        <v>8.1999999999999993</v>
      </c>
      <c r="D75" s="52">
        <v>10.5</v>
      </c>
      <c r="E75" s="52">
        <f t="shared" si="0"/>
        <v>282.8</v>
      </c>
      <c r="F75" s="52"/>
      <c r="G75" s="52"/>
      <c r="H75" s="52">
        <v>0.9</v>
      </c>
      <c r="I75" s="52"/>
      <c r="J75" s="52">
        <v>0.6</v>
      </c>
      <c r="K75" s="52"/>
      <c r="L75" s="52">
        <v>0.30000000000000004</v>
      </c>
      <c r="M75" s="52"/>
      <c r="N75" s="52">
        <v>22</v>
      </c>
      <c r="O75" s="52">
        <v>0.5311475409836065</v>
      </c>
      <c r="P75" s="52">
        <v>0.31868852459016389</v>
      </c>
      <c r="Q75" s="52">
        <v>0.58131147540983608</v>
      </c>
      <c r="R75" s="52">
        <v>0.58131147540983608</v>
      </c>
      <c r="S75" s="52"/>
      <c r="T75" s="52">
        <v>325.2</v>
      </c>
      <c r="U75" s="52"/>
      <c r="V75" s="52">
        <v>22515.1</v>
      </c>
      <c r="W75" s="52"/>
      <c r="X75" s="52"/>
      <c r="Y75" s="52">
        <v>10.608780292974748</v>
      </c>
    </row>
    <row r="76" spans="1:25" x14ac:dyDescent="0.35">
      <c r="A76" s="54">
        <v>42658</v>
      </c>
      <c r="B76" s="52">
        <v>11.2</v>
      </c>
      <c r="C76" s="52">
        <v>5.5</v>
      </c>
      <c r="D76" s="52">
        <v>14.4</v>
      </c>
      <c r="E76" s="52">
        <f t="shared" si="0"/>
        <v>294</v>
      </c>
      <c r="F76" s="52"/>
      <c r="G76" s="52"/>
      <c r="H76" s="52">
        <v>8</v>
      </c>
      <c r="I76" s="52"/>
      <c r="J76" s="52">
        <v>0.4</v>
      </c>
      <c r="K76" s="52"/>
      <c r="L76" s="52">
        <v>7.6</v>
      </c>
      <c r="M76" s="52"/>
      <c r="N76" s="52">
        <v>23</v>
      </c>
      <c r="O76" s="52">
        <v>0.54180327868852451</v>
      </c>
      <c r="P76" s="52">
        <v>0.21672131147540982</v>
      </c>
      <c r="Q76" s="52">
        <v>7.7832786885245904</v>
      </c>
      <c r="R76" s="52">
        <v>8.3645901639344267</v>
      </c>
      <c r="S76" s="52"/>
      <c r="T76" s="52">
        <v>407.7</v>
      </c>
      <c r="U76" s="52"/>
      <c r="V76" s="52">
        <v>22922.799999999999</v>
      </c>
      <c r="W76" s="52"/>
      <c r="X76" s="52"/>
      <c r="Y76" s="52">
        <v>10.551341084701024</v>
      </c>
    </row>
    <row r="77" spans="1:25" x14ac:dyDescent="0.35">
      <c r="A77" s="54">
        <v>42659</v>
      </c>
      <c r="B77" s="52">
        <v>13.8</v>
      </c>
      <c r="C77" s="52">
        <v>11.9</v>
      </c>
      <c r="D77" s="52">
        <v>17.3</v>
      </c>
      <c r="E77" s="52">
        <f t="shared" si="0"/>
        <v>307.8</v>
      </c>
      <c r="F77" s="52"/>
      <c r="G77" s="52"/>
      <c r="H77" s="52">
        <v>3.4</v>
      </c>
      <c r="I77" s="52"/>
      <c r="J77" s="52">
        <v>1.1000000000000001</v>
      </c>
      <c r="K77" s="52"/>
      <c r="L77" s="52">
        <v>2.2999999999999998</v>
      </c>
      <c r="M77" s="52"/>
      <c r="N77" s="52">
        <v>24</v>
      </c>
      <c r="O77" s="52">
        <v>0.55245901639344264</v>
      </c>
      <c r="P77" s="52">
        <v>0.60770491803278692</v>
      </c>
      <c r="Q77" s="52">
        <v>2.7922950819672128</v>
      </c>
      <c r="R77" s="52">
        <v>11.156885245901639</v>
      </c>
      <c r="S77" s="52"/>
      <c r="T77" s="52">
        <v>522.5</v>
      </c>
      <c r="U77" s="52"/>
      <c r="V77" s="52">
        <v>23445.3</v>
      </c>
      <c r="W77" s="52"/>
      <c r="X77" s="52"/>
      <c r="Y77" s="52">
        <v>10.494137446560973</v>
      </c>
    </row>
    <row r="78" spans="1:25" x14ac:dyDescent="0.35">
      <c r="A78" s="54">
        <v>42660</v>
      </c>
      <c r="B78" s="52">
        <v>12.9</v>
      </c>
      <c r="C78" s="52">
        <v>11.2</v>
      </c>
      <c r="D78" s="52">
        <v>17.100000000000001</v>
      </c>
      <c r="E78" s="52">
        <f t="shared" si="0"/>
        <v>320.7</v>
      </c>
      <c r="F78" s="52"/>
      <c r="G78" s="52"/>
      <c r="H78" s="52">
        <v>0.1</v>
      </c>
      <c r="I78" s="52"/>
      <c r="J78" s="52">
        <v>2</v>
      </c>
      <c r="K78" s="52"/>
      <c r="L78" s="52">
        <v>-1.9</v>
      </c>
      <c r="M78" s="52"/>
      <c r="N78" s="52">
        <v>25</v>
      </c>
      <c r="O78" s="52">
        <v>0.56311475409836065</v>
      </c>
      <c r="P78" s="52">
        <v>1.1262295081967213</v>
      </c>
      <c r="Q78" s="52">
        <v>-1.0262295081967212</v>
      </c>
      <c r="R78" s="52">
        <v>10.130655737704918</v>
      </c>
      <c r="S78" s="52"/>
      <c r="T78" s="52">
        <v>1083.2</v>
      </c>
      <c r="U78" s="52"/>
      <c r="V78" s="52">
        <v>24528.5</v>
      </c>
      <c r="W78" s="52"/>
      <c r="X78" s="52"/>
      <c r="Y78" s="52">
        <v>10.437182073043973</v>
      </c>
    </row>
    <row r="79" spans="1:25" x14ac:dyDescent="0.35">
      <c r="A79" s="54">
        <v>42661</v>
      </c>
      <c r="B79" s="52">
        <v>10</v>
      </c>
      <c r="C79" s="52">
        <v>5.6</v>
      </c>
      <c r="D79" s="52">
        <v>15.4</v>
      </c>
      <c r="E79" s="52">
        <f t="shared" si="0"/>
        <v>330.7</v>
      </c>
      <c r="F79" s="52"/>
      <c r="G79" s="52"/>
      <c r="H79" s="52">
        <v>0.5</v>
      </c>
      <c r="I79" s="52"/>
      <c r="J79" s="52">
        <v>1.2</v>
      </c>
      <c r="K79" s="52"/>
      <c r="L79" s="52">
        <v>-0.7</v>
      </c>
      <c r="M79" s="52"/>
      <c r="N79" s="52">
        <v>26</v>
      </c>
      <c r="O79" s="52">
        <v>0.57377049180327866</v>
      </c>
      <c r="P79" s="52">
        <v>0.68852459016393441</v>
      </c>
      <c r="Q79" s="52">
        <v>-0.18852459016393441</v>
      </c>
      <c r="R79" s="52">
        <v>9.9421311475409837</v>
      </c>
      <c r="S79" s="52"/>
      <c r="T79" s="52">
        <v>895</v>
      </c>
      <c r="U79" s="52"/>
      <c r="V79" s="52">
        <v>25423.5</v>
      </c>
      <c r="W79" s="52"/>
      <c r="X79" s="52"/>
      <c r="Y79" s="52">
        <v>10.380488010766509</v>
      </c>
    </row>
    <row r="80" spans="1:25" x14ac:dyDescent="0.35">
      <c r="A80" s="54">
        <v>42662</v>
      </c>
      <c r="B80" s="52">
        <v>9.4</v>
      </c>
      <c r="C80" s="52">
        <v>5.8</v>
      </c>
      <c r="D80" s="52">
        <v>12.4</v>
      </c>
      <c r="E80" s="52">
        <f t="shared" si="0"/>
        <v>340.09999999999997</v>
      </c>
      <c r="F80" s="52"/>
      <c r="G80" s="52"/>
      <c r="H80" s="52">
        <v>0.4</v>
      </c>
      <c r="I80" s="52"/>
      <c r="J80" s="52">
        <v>0.4</v>
      </c>
      <c r="K80" s="52"/>
      <c r="L80" s="52">
        <v>0</v>
      </c>
      <c r="M80" s="52"/>
      <c r="N80" s="52">
        <v>27</v>
      </c>
      <c r="O80" s="52">
        <v>0.58442622950819678</v>
      </c>
      <c r="P80" s="52">
        <v>0.23377049180327872</v>
      </c>
      <c r="Q80" s="52">
        <v>0.1662295081967213</v>
      </c>
      <c r="R80" s="52">
        <v>10.108360655737705</v>
      </c>
      <c r="S80" s="52"/>
      <c r="T80" s="52">
        <v>243</v>
      </c>
      <c r="U80" s="52"/>
      <c r="V80" s="52">
        <v>25666.5</v>
      </c>
      <c r="W80" s="52"/>
      <c r="X80" s="52"/>
      <c r="Y80" s="52">
        <v>10.32406866832776</v>
      </c>
    </row>
    <row r="81" spans="1:25" x14ac:dyDescent="0.35">
      <c r="A81" s="54">
        <v>42663</v>
      </c>
      <c r="B81" s="52">
        <v>10.6</v>
      </c>
      <c r="C81" s="52">
        <v>8.1</v>
      </c>
      <c r="D81" s="52">
        <v>14.5</v>
      </c>
      <c r="E81" s="52">
        <f t="shared" si="0"/>
        <v>350.7</v>
      </c>
      <c r="F81" s="52"/>
      <c r="G81" s="52"/>
      <c r="H81" s="52">
        <v>0.1</v>
      </c>
      <c r="I81" s="52"/>
      <c r="J81" s="52">
        <v>1.4</v>
      </c>
      <c r="K81" s="52"/>
      <c r="L81" s="52">
        <v>-1.2999999999999998</v>
      </c>
      <c r="M81" s="52"/>
      <c r="N81" s="52">
        <v>28</v>
      </c>
      <c r="O81" s="52">
        <v>0.59508196721311468</v>
      </c>
      <c r="P81" s="52">
        <v>0.83311475409836055</v>
      </c>
      <c r="Q81" s="52">
        <v>-0.73311475409836058</v>
      </c>
      <c r="R81" s="52">
        <v>9.3752459016393441</v>
      </c>
      <c r="S81" s="52"/>
      <c r="T81" s="52">
        <v>885.6</v>
      </c>
      <c r="U81" s="52"/>
      <c r="V81" s="52">
        <v>26552.1</v>
      </c>
      <c r="W81" s="52"/>
      <c r="X81" s="52"/>
      <c r="Y81" s="52">
        <v>10.267937825565793</v>
      </c>
    </row>
    <row r="82" spans="1:25" x14ac:dyDescent="0.35">
      <c r="A82" s="54">
        <v>42664</v>
      </c>
      <c r="B82" s="52">
        <v>8.9</v>
      </c>
      <c r="C82" s="52">
        <v>5.5</v>
      </c>
      <c r="D82" s="52">
        <v>14</v>
      </c>
      <c r="E82" s="52">
        <f t="shared" si="0"/>
        <v>359.59999999999997</v>
      </c>
      <c r="F82" s="52"/>
      <c r="G82" s="52"/>
      <c r="H82" s="52">
        <v>0</v>
      </c>
      <c r="I82" s="52"/>
      <c r="J82" s="52">
        <v>1.2</v>
      </c>
      <c r="K82" s="52"/>
      <c r="L82" s="52">
        <v>-1.2</v>
      </c>
      <c r="M82" s="52"/>
      <c r="N82" s="52">
        <v>29</v>
      </c>
      <c r="O82" s="52">
        <v>0.6057377049180328</v>
      </c>
      <c r="P82" s="52">
        <v>0.72688524590163939</v>
      </c>
      <c r="Q82" s="52">
        <v>-0.72688524590163939</v>
      </c>
      <c r="R82" s="52">
        <v>8.6483606557377044</v>
      </c>
      <c r="S82" s="52"/>
      <c r="T82" s="52">
        <v>725.4</v>
      </c>
      <c r="U82" s="52"/>
      <c r="V82" s="52">
        <v>27277.5</v>
      </c>
      <c r="W82" s="52"/>
      <c r="X82" s="52"/>
      <c r="Y82" s="52">
        <v>10.212109642165881</v>
      </c>
    </row>
    <row r="83" spans="1:25" x14ac:dyDescent="0.35">
      <c r="A83" s="54">
        <v>42665</v>
      </c>
      <c r="B83" s="52">
        <v>7.9</v>
      </c>
      <c r="C83" s="52">
        <v>1.9</v>
      </c>
      <c r="D83" s="52">
        <v>13.7</v>
      </c>
      <c r="E83" s="52">
        <f t="shared" si="0"/>
        <v>367.49999999999994</v>
      </c>
      <c r="F83" s="52"/>
      <c r="G83" s="52"/>
      <c r="H83" s="52">
        <v>0</v>
      </c>
      <c r="I83" s="52"/>
      <c r="J83" s="52">
        <v>0.9</v>
      </c>
      <c r="K83" s="52"/>
      <c r="L83" s="52">
        <v>-0.9</v>
      </c>
      <c r="M83" s="52"/>
      <c r="N83" s="52">
        <v>30</v>
      </c>
      <c r="O83" s="52">
        <v>0.61639344262295082</v>
      </c>
      <c r="P83" s="52">
        <v>0.5547540983606557</v>
      </c>
      <c r="Q83" s="52">
        <v>-0.5547540983606557</v>
      </c>
      <c r="R83" s="52">
        <v>8.0936065573770488</v>
      </c>
      <c r="S83" s="52"/>
      <c r="T83" s="52">
        <v>633.1</v>
      </c>
      <c r="U83" s="52"/>
      <c r="V83" s="52">
        <v>27910.6</v>
      </c>
      <c r="W83" s="52"/>
      <c r="X83" s="52"/>
      <c r="Y83" s="52">
        <v>10.156598665570007</v>
      </c>
    </row>
    <row r="84" spans="1:25" x14ac:dyDescent="0.35">
      <c r="A84" s="54">
        <v>42666</v>
      </c>
      <c r="B84" s="52">
        <v>8.5</v>
      </c>
      <c r="C84" s="52">
        <v>6.7</v>
      </c>
      <c r="D84" s="52">
        <v>10.1</v>
      </c>
      <c r="E84" s="52">
        <f t="shared" si="0"/>
        <v>375.99999999999994</v>
      </c>
      <c r="F84" s="52"/>
      <c r="G84" s="52"/>
      <c r="H84" s="52">
        <v>9.5</v>
      </c>
      <c r="I84" s="52"/>
      <c r="J84" s="52">
        <v>0.7</v>
      </c>
      <c r="K84" s="52"/>
      <c r="L84" s="52">
        <v>8.8000000000000007</v>
      </c>
      <c r="M84" s="52"/>
      <c r="N84" s="52">
        <v>31</v>
      </c>
      <c r="O84" s="52">
        <v>0.62704918032786883</v>
      </c>
      <c r="P84" s="52">
        <v>0.43893442622950812</v>
      </c>
      <c r="Q84" s="52">
        <v>9.0610655737704917</v>
      </c>
      <c r="R84" s="52">
        <v>17.154672131147542</v>
      </c>
      <c r="S84" s="52"/>
      <c r="T84" s="52">
        <v>290.3</v>
      </c>
      <c r="U84" s="52"/>
      <c r="V84" s="52">
        <v>28200.899999999998</v>
      </c>
      <c r="W84" s="52"/>
      <c r="X84" s="52"/>
      <c r="Y84" s="52">
        <v>10.101419838134126</v>
      </c>
    </row>
    <row r="85" spans="1:25" x14ac:dyDescent="0.35">
      <c r="A85" s="54">
        <v>42667</v>
      </c>
      <c r="B85" s="52">
        <v>12</v>
      </c>
      <c r="C85" s="52">
        <v>9.6999999999999993</v>
      </c>
      <c r="D85" s="52">
        <v>14.1</v>
      </c>
      <c r="E85" s="52">
        <f t="shared" si="0"/>
        <v>387.99999999999994</v>
      </c>
      <c r="F85" s="52"/>
      <c r="G85" s="52"/>
      <c r="H85" s="52">
        <v>1.1000000000000001</v>
      </c>
      <c r="I85" s="52"/>
      <c r="J85" s="52">
        <v>0.9</v>
      </c>
      <c r="K85" s="52"/>
      <c r="L85" s="52">
        <v>0.20000000000000007</v>
      </c>
      <c r="M85" s="52"/>
      <c r="N85" s="52">
        <v>32</v>
      </c>
      <c r="O85" s="52">
        <v>0.63770491803278695</v>
      </c>
      <c r="P85" s="52">
        <v>0.5739344262295083</v>
      </c>
      <c r="Q85" s="52">
        <v>0.52606557377049179</v>
      </c>
      <c r="R85" s="52">
        <v>17.680737704918034</v>
      </c>
      <c r="S85" s="52"/>
      <c r="T85" s="52">
        <v>547.20000000000005</v>
      </c>
      <c r="U85" s="52"/>
      <c r="V85" s="52">
        <v>28748.1</v>
      </c>
      <c r="W85" s="52"/>
      <c r="X85" s="52"/>
      <c r="Y85" s="52">
        <v>10.046588503477551</v>
      </c>
    </row>
    <row r="86" spans="1:25" x14ac:dyDescent="0.35">
      <c r="A86" s="54">
        <v>42668</v>
      </c>
      <c r="B86" s="52">
        <v>10.3</v>
      </c>
      <c r="C86" s="52">
        <v>9.3000000000000007</v>
      </c>
      <c r="D86" s="52">
        <v>11.9</v>
      </c>
      <c r="E86" s="52">
        <f t="shared" si="0"/>
        <v>398.29999999999995</v>
      </c>
      <c r="F86" s="52"/>
      <c r="G86" s="52"/>
      <c r="H86" s="52">
        <v>0.3</v>
      </c>
      <c r="I86" s="52"/>
      <c r="J86" s="52">
        <v>0.8</v>
      </c>
      <c r="K86" s="52"/>
      <c r="L86" s="52">
        <v>-0.5</v>
      </c>
      <c r="M86" s="52"/>
      <c r="N86" s="52">
        <v>33</v>
      </c>
      <c r="O86" s="52">
        <v>0.64836065573770485</v>
      </c>
      <c r="P86" s="52">
        <v>0.5186885245901639</v>
      </c>
      <c r="Q86" s="52">
        <v>-0.21868852459016391</v>
      </c>
      <c r="R86" s="52">
        <v>17.46204918032787</v>
      </c>
      <c r="S86" s="52"/>
      <c r="T86" s="52">
        <v>320.5</v>
      </c>
      <c r="U86" s="52"/>
      <c r="V86" s="52">
        <v>29068.6</v>
      </c>
      <c r="W86" s="52"/>
      <c r="X86" s="52"/>
      <c r="Y86" s="52">
        <v>9.9921204119662548</v>
      </c>
    </row>
    <row r="87" spans="1:25" x14ac:dyDescent="0.35">
      <c r="A87" s="54">
        <v>42669</v>
      </c>
      <c r="B87" s="52">
        <v>9.6999999999999993</v>
      </c>
      <c r="C87" s="52">
        <v>7.4</v>
      </c>
      <c r="D87" s="52">
        <v>11.5</v>
      </c>
      <c r="E87" s="52">
        <f t="shared" si="0"/>
        <v>407.99999999999994</v>
      </c>
      <c r="F87" s="52"/>
      <c r="G87" s="52"/>
      <c r="H87" s="52">
        <v>0.2</v>
      </c>
      <c r="I87" s="52"/>
      <c r="J87" s="52">
        <v>0.7</v>
      </c>
      <c r="K87" s="52"/>
      <c r="L87" s="52">
        <v>-0.49999999999999994</v>
      </c>
      <c r="M87" s="52"/>
      <c r="N87" s="52">
        <v>34</v>
      </c>
      <c r="O87" s="52">
        <v>0.65901639344262297</v>
      </c>
      <c r="P87" s="52">
        <v>0.46131147540983602</v>
      </c>
      <c r="Q87" s="52">
        <v>-0.26131147540983601</v>
      </c>
      <c r="R87" s="52">
        <v>17.200737704918033</v>
      </c>
      <c r="S87" s="52"/>
      <c r="T87" s="52">
        <v>350.1</v>
      </c>
      <c r="U87" s="52"/>
      <c r="V87" s="52">
        <v>29418.699999999997</v>
      </c>
      <c r="W87" s="52"/>
      <c r="X87" s="52"/>
      <c r="Y87" s="52">
        <v>9.9380317252698891</v>
      </c>
    </row>
    <row r="88" spans="1:25" x14ac:dyDescent="0.35">
      <c r="A88" s="54">
        <v>42670</v>
      </c>
      <c r="B88" s="52">
        <v>9.8000000000000007</v>
      </c>
      <c r="C88" s="52">
        <v>9</v>
      </c>
      <c r="D88" s="52">
        <v>10.7</v>
      </c>
      <c r="E88" s="52">
        <f t="shared" si="0"/>
        <v>417.79999999999995</v>
      </c>
      <c r="F88" s="52"/>
      <c r="G88" s="52"/>
      <c r="H88" s="52">
        <v>0.1</v>
      </c>
      <c r="I88" s="52"/>
      <c r="J88" s="52">
        <v>0.6</v>
      </c>
      <c r="K88" s="52"/>
      <c r="L88" s="52">
        <v>-0.5</v>
      </c>
      <c r="M88" s="52"/>
      <c r="N88" s="52">
        <v>35</v>
      </c>
      <c r="O88" s="52">
        <v>0.66967213114754098</v>
      </c>
      <c r="P88" s="52">
        <v>0.40180327868852456</v>
      </c>
      <c r="Q88" s="52">
        <v>-0.30180327868852452</v>
      </c>
      <c r="R88" s="52">
        <v>16.898934426229509</v>
      </c>
      <c r="S88" s="52"/>
      <c r="T88" s="52">
        <v>210.1</v>
      </c>
      <c r="U88" s="52"/>
      <c r="V88" s="52">
        <v>29628.799999999996</v>
      </c>
      <c r="W88" s="52"/>
      <c r="X88" s="52"/>
      <c r="Y88" s="52">
        <v>9.8843390199300991</v>
      </c>
    </row>
    <row r="89" spans="1:25" x14ac:dyDescent="0.35">
      <c r="A89" s="54">
        <v>42671</v>
      </c>
      <c r="B89" s="52">
        <v>9.6</v>
      </c>
      <c r="C89" s="52">
        <v>8.1999999999999993</v>
      </c>
      <c r="D89" s="52">
        <v>11.6</v>
      </c>
      <c r="E89" s="52">
        <f t="shared" si="0"/>
        <v>427.4</v>
      </c>
      <c r="F89" s="52"/>
      <c r="G89" s="52"/>
      <c r="H89" s="52">
        <v>0.1</v>
      </c>
      <c r="I89" s="52"/>
      <c r="J89" s="52">
        <v>0.8</v>
      </c>
      <c r="K89" s="52"/>
      <c r="L89" s="52">
        <v>-0.70000000000000007</v>
      </c>
      <c r="M89" s="52"/>
      <c r="N89" s="52">
        <v>36</v>
      </c>
      <c r="O89" s="52">
        <v>0.68032786885245899</v>
      </c>
      <c r="P89" s="52">
        <v>0.54426229508196722</v>
      </c>
      <c r="Q89" s="52">
        <v>-0.44426229508196724</v>
      </c>
      <c r="R89" s="52">
        <v>16.454672131147543</v>
      </c>
      <c r="S89" s="52"/>
      <c r="T89" s="52">
        <v>392.2</v>
      </c>
      <c r="U89" s="52"/>
      <c r="V89" s="52">
        <v>30020.999999999996</v>
      </c>
      <c r="W89" s="52"/>
      <c r="X89" s="52"/>
      <c r="Y89" s="52">
        <v>9.8310592898758404</v>
      </c>
    </row>
    <row r="90" spans="1:25" x14ac:dyDescent="0.35">
      <c r="A90" s="54">
        <v>42672</v>
      </c>
      <c r="B90" s="52">
        <v>10.3</v>
      </c>
      <c r="C90" s="52">
        <v>6.3</v>
      </c>
      <c r="D90" s="52">
        <v>12.6</v>
      </c>
      <c r="E90" s="52">
        <f t="shared" si="0"/>
        <v>437.7</v>
      </c>
      <c r="F90" s="52"/>
      <c r="G90" s="52"/>
      <c r="H90" s="52">
        <v>0</v>
      </c>
      <c r="I90" s="52"/>
      <c r="J90" s="52">
        <v>0.6</v>
      </c>
      <c r="K90" s="52"/>
      <c r="L90" s="52">
        <v>-0.6</v>
      </c>
      <c r="M90" s="52"/>
      <c r="N90" s="52">
        <v>37</v>
      </c>
      <c r="O90" s="52">
        <v>0.69098360655737712</v>
      </c>
      <c r="P90" s="52">
        <v>0.41459016393442627</v>
      </c>
      <c r="Q90" s="52">
        <v>-0.41459016393442627</v>
      </c>
      <c r="R90" s="52">
        <v>16.040081967213116</v>
      </c>
      <c r="S90" s="52"/>
      <c r="T90" s="52">
        <v>370.7</v>
      </c>
      <c r="U90" s="52"/>
      <c r="V90" s="52">
        <v>30391.699999999997</v>
      </c>
      <c r="W90" s="52"/>
      <c r="X90" s="52"/>
      <c r="Y90" s="52">
        <v>9.778209947819624</v>
      </c>
    </row>
    <row r="91" spans="1:25" x14ac:dyDescent="0.35">
      <c r="A91" s="54">
        <v>42673</v>
      </c>
      <c r="B91" s="52">
        <v>11.7</v>
      </c>
      <c r="C91" s="52">
        <v>8.3000000000000007</v>
      </c>
      <c r="D91" s="52">
        <v>16.5</v>
      </c>
      <c r="E91" s="52">
        <f t="shared" si="0"/>
        <v>449.4</v>
      </c>
      <c r="F91" s="52"/>
      <c r="G91" s="52"/>
      <c r="H91" s="52">
        <v>0</v>
      </c>
      <c r="I91" s="52"/>
      <c r="J91" s="52">
        <v>1.8</v>
      </c>
      <c r="K91" s="52"/>
      <c r="L91" s="52">
        <v>-1.8</v>
      </c>
      <c r="M91" s="52"/>
      <c r="N91" s="52">
        <v>38</v>
      </c>
      <c r="O91" s="52">
        <v>0.70163934426229513</v>
      </c>
      <c r="P91" s="52">
        <v>1.2629508196721313</v>
      </c>
      <c r="Q91" s="52">
        <v>-1.2629508196721313</v>
      </c>
      <c r="R91" s="52">
        <v>14.777131147540985</v>
      </c>
      <c r="S91" s="52"/>
      <c r="T91" s="52">
        <v>1083.2</v>
      </c>
      <c r="U91" s="52"/>
      <c r="V91" s="52">
        <v>31474.899999999998</v>
      </c>
      <c r="W91" s="52"/>
      <c r="X91" s="52"/>
      <c r="Y91" s="52">
        <v>9.7258088254671407</v>
      </c>
    </row>
    <row r="92" spans="1:25" x14ac:dyDescent="0.35">
      <c r="A92" s="54">
        <v>42674</v>
      </c>
      <c r="B92" s="52">
        <v>10.7</v>
      </c>
      <c r="C92" s="52">
        <v>4.5</v>
      </c>
      <c r="D92" s="52">
        <v>17.899999999999999</v>
      </c>
      <c r="E92" s="52">
        <f t="shared" si="0"/>
        <v>460.09999999999997</v>
      </c>
      <c r="F92" s="52"/>
      <c r="G92" s="52"/>
      <c r="H92" s="52">
        <v>0.1</v>
      </c>
      <c r="I92" s="52"/>
      <c r="J92" s="52">
        <v>1.8</v>
      </c>
      <c r="K92" s="52"/>
      <c r="L92" s="52">
        <v>-1.7</v>
      </c>
      <c r="M92" s="52"/>
      <c r="N92" s="52">
        <v>39</v>
      </c>
      <c r="O92" s="52">
        <v>0.71229508196721314</v>
      </c>
      <c r="P92" s="52">
        <v>1.2821311475409838</v>
      </c>
      <c r="Q92" s="52">
        <v>-1.1821311475409837</v>
      </c>
      <c r="R92" s="52">
        <v>13.595000000000001</v>
      </c>
      <c r="S92" s="52"/>
      <c r="T92" s="52">
        <v>1081.3</v>
      </c>
      <c r="U92" s="52"/>
      <c r="V92" s="52">
        <v>32556.199999999997</v>
      </c>
      <c r="W92" s="52"/>
      <c r="X92" s="52"/>
      <c r="Y92" s="52">
        <v>9.6738741724714572</v>
      </c>
    </row>
    <row r="93" spans="1:25" x14ac:dyDescent="0.35">
      <c r="A93" s="54">
        <v>42675</v>
      </c>
      <c r="B93" s="52">
        <v>8.4</v>
      </c>
      <c r="C93" s="52">
        <v>2.7</v>
      </c>
      <c r="D93" s="52">
        <v>13.5</v>
      </c>
      <c r="E93" s="52">
        <f t="shared" si="0"/>
        <v>468.49999999999994</v>
      </c>
      <c r="F93" s="52"/>
      <c r="G93" s="52"/>
      <c r="H93" s="52">
        <v>0.2</v>
      </c>
      <c r="I93" s="52"/>
      <c r="J93" s="52">
        <v>1.3</v>
      </c>
      <c r="K93" s="52"/>
      <c r="L93" s="52">
        <v>-1.1000000000000001</v>
      </c>
      <c r="M93" s="52"/>
      <c r="N93" s="52">
        <v>40</v>
      </c>
      <c r="O93" s="52">
        <v>0.72295081967213104</v>
      </c>
      <c r="P93" s="52">
        <v>0.93983606557377042</v>
      </c>
      <c r="Q93" s="52">
        <v>-0.73983606557377035</v>
      </c>
      <c r="R93" s="52">
        <v>12.85516393442623</v>
      </c>
      <c r="S93" s="52"/>
      <c r="T93" s="52">
        <v>935.8</v>
      </c>
      <c r="U93" s="52"/>
      <c r="V93" s="52">
        <v>33492</v>
      </c>
      <c r="W93" s="52"/>
      <c r="X93" s="52"/>
      <c r="Y93" s="52">
        <v>9.6224246540620815</v>
      </c>
    </row>
    <row r="94" spans="1:25" x14ac:dyDescent="0.35">
      <c r="A94" s="54">
        <v>42676</v>
      </c>
      <c r="B94" s="52">
        <v>8.1999999999999993</v>
      </c>
      <c r="C94" s="52">
        <v>7.2</v>
      </c>
      <c r="D94" s="52">
        <v>11.6</v>
      </c>
      <c r="E94" s="52">
        <f t="shared" si="0"/>
        <v>476.69999999999993</v>
      </c>
      <c r="F94" s="52"/>
      <c r="G94" s="52"/>
      <c r="H94" s="52">
        <v>0.1</v>
      </c>
      <c r="I94" s="52"/>
      <c r="J94" s="52">
        <v>0.5</v>
      </c>
      <c r="K94" s="52"/>
      <c r="L94" s="52">
        <v>-0.4</v>
      </c>
      <c r="M94" s="52"/>
      <c r="N94" s="52">
        <v>41</v>
      </c>
      <c r="O94" s="52">
        <v>0.73360655737704916</v>
      </c>
      <c r="P94" s="52">
        <v>0.36680327868852458</v>
      </c>
      <c r="Q94" s="52">
        <v>-0.2668032786885246</v>
      </c>
      <c r="R94" s="52">
        <v>12.588360655737706</v>
      </c>
      <c r="S94" s="52"/>
      <c r="T94" s="52">
        <v>290.10000000000002</v>
      </c>
      <c r="U94" s="52"/>
      <c r="V94" s="52">
        <v>33782.1</v>
      </c>
      <c r="W94" s="52"/>
      <c r="X94" s="52"/>
      <c r="Y94" s="52">
        <v>9.5714793472785473</v>
      </c>
    </row>
    <row r="95" spans="1:25" x14ac:dyDescent="0.35">
      <c r="A95" s="54">
        <v>42677</v>
      </c>
      <c r="B95" s="52">
        <v>5</v>
      </c>
      <c r="C95" s="52">
        <v>-0.7</v>
      </c>
      <c r="D95" s="52">
        <v>10.199999999999999</v>
      </c>
      <c r="E95" s="52">
        <f t="shared" si="0"/>
        <v>481.69999999999993</v>
      </c>
      <c r="F95" s="52"/>
      <c r="G95" s="52"/>
      <c r="H95" s="52">
        <v>0.9</v>
      </c>
      <c r="I95" s="52"/>
      <c r="J95" s="52">
        <v>1.1000000000000001</v>
      </c>
      <c r="K95" s="52"/>
      <c r="L95" s="52">
        <v>-0.20000000000000007</v>
      </c>
      <c r="M95" s="52"/>
      <c r="N95" s="52">
        <v>42</v>
      </c>
      <c r="O95" s="52">
        <v>0.74426229508196728</v>
      </c>
      <c r="P95" s="52">
        <v>0.81868852459016406</v>
      </c>
      <c r="Q95" s="52">
        <v>8.1311475409835965E-2</v>
      </c>
      <c r="R95" s="52">
        <v>12.669672131147541</v>
      </c>
      <c r="S95" s="52"/>
      <c r="T95" s="52">
        <v>934.4</v>
      </c>
      <c r="U95" s="52"/>
      <c r="V95" s="52">
        <v>34716.5</v>
      </c>
      <c r="W95" s="52"/>
      <c r="X95" s="52"/>
      <c r="Y95" s="52">
        <v>9.521057735738184</v>
      </c>
    </row>
    <row r="96" spans="1:25" x14ac:dyDescent="0.35">
      <c r="A96" s="54">
        <v>42678</v>
      </c>
      <c r="B96" s="52">
        <v>7.3</v>
      </c>
      <c r="C96" s="52">
        <v>3.9</v>
      </c>
      <c r="D96" s="52">
        <v>9.9</v>
      </c>
      <c r="E96" s="52">
        <f t="shared" si="0"/>
        <v>488.99999999999994</v>
      </c>
      <c r="F96" s="52"/>
      <c r="G96" s="52"/>
      <c r="H96" s="52">
        <v>2.4</v>
      </c>
      <c r="I96" s="52"/>
      <c r="J96" s="52">
        <v>0.7</v>
      </c>
      <c r="K96" s="52"/>
      <c r="L96" s="52">
        <v>1.7</v>
      </c>
      <c r="M96" s="52"/>
      <c r="N96" s="52">
        <v>43</v>
      </c>
      <c r="O96" s="52">
        <v>0.75491803278688518</v>
      </c>
      <c r="P96" s="52">
        <v>0.52844262295081956</v>
      </c>
      <c r="Q96" s="52">
        <v>1.8715573770491805</v>
      </c>
      <c r="R96" s="52">
        <v>14.541229508196722</v>
      </c>
      <c r="S96" s="52"/>
      <c r="T96" s="52">
        <v>576</v>
      </c>
      <c r="U96" s="52"/>
      <c r="V96" s="52">
        <v>35292.5</v>
      </c>
      <c r="W96" s="52"/>
      <c r="X96" s="52"/>
      <c r="Y96" s="52">
        <v>9.4711797028677687</v>
      </c>
    </row>
    <row r="97" spans="1:25" x14ac:dyDescent="0.35">
      <c r="A97" s="54">
        <v>42679</v>
      </c>
      <c r="B97" s="52">
        <v>7.3</v>
      </c>
      <c r="C97" s="52">
        <v>4.8</v>
      </c>
      <c r="D97" s="52">
        <v>11.9</v>
      </c>
      <c r="E97" s="52">
        <f t="shared" si="0"/>
        <v>496.29999999999995</v>
      </c>
      <c r="F97" s="52"/>
      <c r="G97" s="52"/>
      <c r="H97" s="52">
        <v>2.4</v>
      </c>
      <c r="I97" s="52"/>
      <c r="J97" s="52">
        <v>1.3</v>
      </c>
      <c r="K97" s="52"/>
      <c r="L97" s="52">
        <v>1.0999999999999999</v>
      </c>
      <c r="M97" s="52"/>
      <c r="N97" s="52">
        <v>44</v>
      </c>
      <c r="O97" s="52">
        <v>0.76557377049180331</v>
      </c>
      <c r="P97" s="52">
        <v>0.99524590163934434</v>
      </c>
      <c r="Q97" s="52">
        <v>1.4047540983606557</v>
      </c>
      <c r="R97" s="52">
        <v>15.945983606557377</v>
      </c>
      <c r="S97" s="52"/>
      <c r="T97" s="52">
        <v>794.4</v>
      </c>
      <c r="U97" s="52"/>
      <c r="V97" s="52">
        <v>36086.9</v>
      </c>
      <c r="W97" s="52"/>
      <c r="X97" s="52"/>
      <c r="Y97" s="52">
        <v>9.4218655235298758</v>
      </c>
    </row>
    <row r="98" spans="1:25" x14ac:dyDescent="0.35">
      <c r="A98" s="54">
        <v>42680</v>
      </c>
      <c r="B98" s="52">
        <v>4.8</v>
      </c>
      <c r="C98" s="52">
        <v>4.2</v>
      </c>
      <c r="D98" s="52">
        <v>7.6</v>
      </c>
      <c r="E98" s="52">
        <f t="shared" si="0"/>
        <v>501.09999999999997</v>
      </c>
      <c r="F98" s="52"/>
      <c r="G98" s="52"/>
      <c r="H98" s="52">
        <v>2.4</v>
      </c>
      <c r="I98" s="52"/>
      <c r="J98" s="52">
        <v>0.7</v>
      </c>
      <c r="K98" s="52"/>
      <c r="L98" s="52">
        <v>1.7</v>
      </c>
      <c r="M98" s="52"/>
      <c r="N98" s="52">
        <v>45</v>
      </c>
      <c r="O98" s="52">
        <v>0.77622950819672121</v>
      </c>
      <c r="P98" s="52">
        <v>0.54336065573770476</v>
      </c>
      <c r="Q98" s="52">
        <v>1.856639344262295</v>
      </c>
      <c r="R98" s="52">
        <v>17.802622950819671</v>
      </c>
      <c r="S98" s="52"/>
      <c r="T98" s="52">
        <v>459.7</v>
      </c>
      <c r="U98" s="52"/>
      <c r="V98" s="52">
        <v>36546.6</v>
      </c>
      <c r="W98" s="52"/>
      <c r="X98" s="52"/>
      <c r="Y98" s="52">
        <v>9.3731358539758194</v>
      </c>
    </row>
    <row r="99" spans="1:25" x14ac:dyDescent="0.35">
      <c r="A99" s="54">
        <v>42681</v>
      </c>
      <c r="B99" s="52">
        <v>5.8</v>
      </c>
      <c r="C99" s="52">
        <v>2.1</v>
      </c>
      <c r="D99" s="52">
        <v>9.8000000000000007</v>
      </c>
      <c r="E99" s="52">
        <f t="shared" si="0"/>
        <v>506.9</v>
      </c>
      <c r="F99" s="52"/>
      <c r="G99" s="52"/>
      <c r="H99" s="52">
        <v>0.6</v>
      </c>
      <c r="I99" s="52"/>
      <c r="J99" s="52">
        <v>0.8</v>
      </c>
      <c r="K99" s="52"/>
      <c r="L99" s="52">
        <v>-0.20000000000000007</v>
      </c>
      <c r="M99" s="52"/>
      <c r="N99" s="52">
        <v>46</v>
      </c>
      <c r="O99" s="52">
        <v>0.78688524590163933</v>
      </c>
      <c r="P99" s="52">
        <v>0.62950819672131153</v>
      </c>
      <c r="Q99" s="52">
        <v>-2.9508196721311553E-2</v>
      </c>
      <c r="R99" s="52">
        <v>17.773114754098359</v>
      </c>
      <c r="S99" s="52"/>
      <c r="T99" s="52">
        <v>606.20000000000005</v>
      </c>
      <c r="U99" s="52"/>
      <c r="V99" s="52">
        <v>37152.799999999996</v>
      </c>
      <c r="W99" s="52"/>
      <c r="X99" s="52"/>
      <c r="Y99" s="52">
        <v>9.3250117200592744</v>
      </c>
    </row>
    <row r="100" spans="1:25" x14ac:dyDescent="0.35">
      <c r="A100" s="54">
        <v>42682</v>
      </c>
      <c r="B100" s="52">
        <v>7.2</v>
      </c>
      <c r="C100" s="52">
        <v>3</v>
      </c>
      <c r="D100" s="52">
        <v>9.9</v>
      </c>
      <c r="E100" s="52">
        <f t="shared" si="0"/>
        <v>514.1</v>
      </c>
      <c r="F100" s="52"/>
      <c r="G100" s="52"/>
      <c r="H100" s="52">
        <v>15</v>
      </c>
      <c r="I100" s="52"/>
      <c r="J100" s="52">
        <v>0.7</v>
      </c>
      <c r="K100" s="52"/>
      <c r="L100" s="52">
        <v>14.3</v>
      </c>
      <c r="M100" s="52"/>
      <c r="N100" s="52">
        <v>47</v>
      </c>
      <c r="O100" s="52">
        <v>0.79754098360655734</v>
      </c>
      <c r="P100" s="52">
        <v>0.55827868852459006</v>
      </c>
      <c r="Q100" s="52">
        <v>14.44172131147541</v>
      </c>
      <c r="R100" s="52">
        <v>32.21483606557377</v>
      </c>
      <c r="S100" s="52"/>
      <c r="T100" s="52">
        <v>614.70000000000005</v>
      </c>
      <c r="U100" s="52"/>
      <c r="V100" s="52">
        <v>37767.499999999993</v>
      </c>
      <c r="W100" s="52"/>
      <c r="X100" s="52"/>
      <c r="Y100" s="52">
        <v>9.2775145036471933</v>
      </c>
    </row>
    <row r="101" spans="1:25" x14ac:dyDescent="0.35">
      <c r="A101" s="54">
        <v>42683</v>
      </c>
      <c r="B101" s="52">
        <v>9.6999999999999993</v>
      </c>
      <c r="C101" s="52">
        <v>8</v>
      </c>
      <c r="D101" s="52">
        <v>12.1</v>
      </c>
      <c r="E101" s="52">
        <f t="shared" si="0"/>
        <v>523.80000000000007</v>
      </c>
      <c r="F101" s="52"/>
      <c r="G101" s="52"/>
      <c r="H101" s="52">
        <v>1.5</v>
      </c>
      <c r="I101" s="52"/>
      <c r="J101" s="52">
        <v>1.5</v>
      </c>
      <c r="K101" s="52"/>
      <c r="L101" s="52">
        <v>0</v>
      </c>
      <c r="M101" s="52"/>
      <c r="N101" s="52">
        <v>48</v>
      </c>
      <c r="O101" s="52">
        <v>0.80819672131147535</v>
      </c>
      <c r="P101" s="52">
        <v>1.2122950819672131</v>
      </c>
      <c r="Q101" s="52">
        <v>0.28770491803278686</v>
      </c>
      <c r="R101" s="52">
        <v>32.502540983606558</v>
      </c>
      <c r="S101" s="52"/>
      <c r="T101" s="52">
        <v>321</v>
      </c>
      <c r="U101" s="52"/>
      <c r="V101" s="52">
        <v>38088.499999999993</v>
      </c>
      <c r="W101" s="52"/>
      <c r="X101" s="52"/>
      <c r="Y101" s="52">
        <v>9.2306659271680385</v>
      </c>
    </row>
    <row r="102" spans="1:25" x14ac:dyDescent="0.35">
      <c r="A102" s="54">
        <v>42684</v>
      </c>
      <c r="B102" s="52">
        <v>10.5</v>
      </c>
      <c r="C102" s="52">
        <v>9.3000000000000007</v>
      </c>
      <c r="D102" s="52">
        <v>12.6</v>
      </c>
      <c r="E102" s="52">
        <f t="shared" si="0"/>
        <v>534.30000000000007</v>
      </c>
      <c r="F102" s="52"/>
      <c r="G102" s="52"/>
      <c r="H102" s="52">
        <v>1.1000000000000001</v>
      </c>
      <c r="I102" s="52"/>
      <c r="J102" s="52">
        <v>1.1000000000000001</v>
      </c>
      <c r="K102" s="52"/>
      <c r="L102" s="52">
        <v>0</v>
      </c>
      <c r="M102" s="52"/>
      <c r="N102" s="52">
        <v>49</v>
      </c>
      <c r="O102" s="52">
        <v>0.81885245901639347</v>
      </c>
      <c r="P102" s="52">
        <v>0.90073770491803284</v>
      </c>
      <c r="Q102" s="52">
        <v>0.19926229508196724</v>
      </c>
      <c r="R102" s="52">
        <v>32.701803278688523</v>
      </c>
      <c r="S102" s="52"/>
      <c r="T102" s="52">
        <v>130</v>
      </c>
      <c r="U102" s="52"/>
      <c r="V102" s="52">
        <v>38218.499999999993</v>
      </c>
      <c r="W102" s="52"/>
      <c r="X102" s="52"/>
      <c r="Y102" s="52">
        <v>9.1844880362415182</v>
      </c>
    </row>
    <row r="103" spans="1:25" x14ac:dyDescent="0.35">
      <c r="A103" s="54">
        <v>42685</v>
      </c>
      <c r="B103" s="52">
        <v>8.3000000000000007</v>
      </c>
      <c r="C103" s="52">
        <v>4.9000000000000004</v>
      </c>
      <c r="D103" s="52">
        <v>12.3</v>
      </c>
      <c r="E103" s="52">
        <f t="shared" si="0"/>
        <v>542.6</v>
      </c>
      <c r="F103" s="52"/>
      <c r="G103" s="52"/>
      <c r="H103" s="52">
        <v>0.9</v>
      </c>
      <c r="I103" s="52"/>
      <c r="J103" s="52">
        <v>0.9</v>
      </c>
      <c r="K103" s="52"/>
      <c r="L103" s="52">
        <v>0</v>
      </c>
      <c r="M103" s="52"/>
      <c r="N103" s="52">
        <v>50</v>
      </c>
      <c r="O103" s="52">
        <v>0.82950819672131149</v>
      </c>
      <c r="P103" s="52">
        <v>0.74655737704918035</v>
      </c>
      <c r="Q103" s="52">
        <v>0.15344262295081967</v>
      </c>
      <c r="R103" s="52">
        <v>32.855245901639343</v>
      </c>
      <c r="S103" s="52"/>
      <c r="T103" s="52">
        <v>658.4</v>
      </c>
      <c r="U103" s="52"/>
      <c r="V103" s="52">
        <v>38876.899999999994</v>
      </c>
      <c r="W103" s="52"/>
      <c r="X103" s="52"/>
      <c r="Y103" s="52">
        <v>9.1390031803389036</v>
      </c>
    </row>
    <row r="104" spans="1:25" x14ac:dyDescent="0.35">
      <c r="A104" s="54">
        <v>42686</v>
      </c>
      <c r="B104" s="52">
        <v>9.9</v>
      </c>
      <c r="C104" s="52">
        <v>6.6</v>
      </c>
      <c r="D104" s="52">
        <v>11.6</v>
      </c>
      <c r="E104" s="52">
        <f t="shared" si="0"/>
        <v>552.5</v>
      </c>
      <c r="F104" s="52"/>
      <c r="G104" s="52"/>
      <c r="H104" s="52">
        <v>5.7</v>
      </c>
      <c r="I104" s="52"/>
      <c r="J104" s="52">
        <v>0.3</v>
      </c>
      <c r="K104" s="52"/>
      <c r="L104" s="52">
        <v>5.4</v>
      </c>
      <c r="M104" s="52"/>
      <c r="N104" s="52">
        <v>51</v>
      </c>
      <c r="O104" s="52">
        <v>0.8401639344262295</v>
      </c>
      <c r="P104" s="52">
        <v>0.25204918032786883</v>
      </c>
      <c r="Q104" s="52">
        <v>5.4479508196721316</v>
      </c>
      <c r="R104" s="52">
        <v>38.303196721311473</v>
      </c>
      <c r="S104" s="52"/>
      <c r="T104" s="52">
        <v>140.5</v>
      </c>
      <c r="U104" s="52"/>
      <c r="V104" s="52">
        <v>39017.399999999994</v>
      </c>
      <c r="W104" s="52"/>
      <c r="X104" s="52"/>
      <c r="Y104" s="52">
        <v>9.0942339914289434</v>
      </c>
    </row>
    <row r="105" spans="1:25" x14ac:dyDescent="0.35">
      <c r="A105" s="54">
        <v>42687</v>
      </c>
      <c r="B105" s="52">
        <v>9.9</v>
      </c>
      <c r="C105" s="52">
        <v>8.1999999999999993</v>
      </c>
      <c r="D105" s="52">
        <v>13</v>
      </c>
      <c r="E105" s="52">
        <f t="shared" si="0"/>
        <v>562.4</v>
      </c>
      <c r="F105" s="52"/>
      <c r="G105" s="52"/>
      <c r="H105" s="52">
        <v>0</v>
      </c>
      <c r="I105" s="52"/>
      <c r="J105" s="52">
        <v>1</v>
      </c>
      <c r="K105" s="52"/>
      <c r="L105" s="52">
        <v>-1</v>
      </c>
      <c r="M105" s="52"/>
      <c r="N105" s="52">
        <v>52</v>
      </c>
      <c r="O105" s="52">
        <v>0.85081967213114751</v>
      </c>
      <c r="P105" s="52">
        <v>0.85081967213114751</v>
      </c>
      <c r="Q105" s="52">
        <v>-0.85081967213114751</v>
      </c>
      <c r="R105" s="52">
        <v>37.452377049180328</v>
      </c>
      <c r="S105" s="52"/>
      <c r="T105" s="52">
        <v>654.20000000000005</v>
      </c>
      <c r="U105" s="52"/>
      <c r="V105" s="52">
        <v>39671.599999999991</v>
      </c>
      <c r="W105" s="52"/>
      <c r="X105" s="52"/>
      <c r="Y105" s="52">
        <v>9.0502033605709933</v>
      </c>
    </row>
    <row r="106" spans="1:25" x14ac:dyDescent="0.35">
      <c r="A106" s="54">
        <v>42688</v>
      </c>
      <c r="B106" s="52">
        <v>8.3000000000000007</v>
      </c>
      <c r="C106" s="52">
        <v>3.7</v>
      </c>
      <c r="D106" s="52">
        <v>11.8</v>
      </c>
      <c r="E106" s="52">
        <f t="shared" si="0"/>
        <v>570.69999999999993</v>
      </c>
      <c r="F106" s="52"/>
      <c r="G106" s="52"/>
      <c r="H106" s="52">
        <v>0.9</v>
      </c>
      <c r="I106" s="52"/>
      <c r="J106" s="52">
        <v>0.7</v>
      </c>
      <c r="K106" s="52"/>
      <c r="L106" s="52">
        <v>0.20000000000000007</v>
      </c>
      <c r="M106" s="52"/>
      <c r="N106" s="52">
        <v>53</v>
      </c>
      <c r="O106" s="52">
        <v>0.86147540983606552</v>
      </c>
      <c r="P106" s="52">
        <v>0.60303278688524586</v>
      </c>
      <c r="Q106" s="52">
        <v>0.29696721311475416</v>
      </c>
      <c r="R106" s="52">
        <v>37.749344262295082</v>
      </c>
      <c r="S106" s="52"/>
      <c r="T106" s="52">
        <v>389.7</v>
      </c>
      <c r="U106" s="52"/>
      <c r="V106" s="52">
        <v>40061.299999999988</v>
      </c>
      <c r="W106" s="52"/>
      <c r="X106" s="52"/>
      <c r="Y106" s="52">
        <v>9.0069344124247763</v>
      </c>
    </row>
    <row r="107" spans="1:25" x14ac:dyDescent="0.35">
      <c r="A107" s="54">
        <v>42689</v>
      </c>
      <c r="B107" s="52">
        <v>11.8</v>
      </c>
      <c r="C107" s="52">
        <v>9.6</v>
      </c>
      <c r="D107" s="52">
        <v>12.7</v>
      </c>
      <c r="E107" s="52">
        <f t="shared" si="0"/>
        <v>582.49999999999989</v>
      </c>
      <c r="F107" s="52"/>
      <c r="G107" s="52"/>
      <c r="H107" s="52">
        <v>2.2000000000000002</v>
      </c>
      <c r="I107" s="52"/>
      <c r="J107" s="52">
        <v>0.3</v>
      </c>
      <c r="K107" s="52"/>
      <c r="L107" s="52">
        <v>1.9000000000000001</v>
      </c>
      <c r="M107" s="52"/>
      <c r="N107" s="52">
        <v>54</v>
      </c>
      <c r="O107" s="52">
        <v>0.87213114754098364</v>
      </c>
      <c r="P107" s="52">
        <v>0.26163934426229507</v>
      </c>
      <c r="Q107" s="52">
        <v>1.9383606557377051</v>
      </c>
      <c r="R107" s="52">
        <v>39.687704918032786</v>
      </c>
      <c r="S107" s="52"/>
      <c r="T107" s="52">
        <v>102.6</v>
      </c>
      <c r="U107" s="52"/>
      <c r="V107" s="52">
        <v>40163.899999999987</v>
      </c>
      <c r="W107" s="52"/>
      <c r="X107" s="52"/>
      <c r="Y107" s="52">
        <v>8.9644504776547578</v>
      </c>
    </row>
    <row r="108" spans="1:25" x14ac:dyDescent="0.35">
      <c r="A108" s="54">
        <v>42690</v>
      </c>
      <c r="B108" s="52">
        <v>11.5</v>
      </c>
      <c r="C108" s="52">
        <v>11.1</v>
      </c>
      <c r="D108" s="52">
        <v>12.6</v>
      </c>
      <c r="E108" s="52">
        <f t="shared" si="0"/>
        <v>593.99999999999989</v>
      </c>
      <c r="F108" s="52"/>
      <c r="G108" s="52"/>
      <c r="H108" s="52">
        <v>1.6</v>
      </c>
      <c r="I108" s="52"/>
      <c r="J108" s="52">
        <v>0.5</v>
      </c>
      <c r="K108" s="52"/>
      <c r="L108" s="52">
        <v>1.1000000000000001</v>
      </c>
      <c r="M108" s="52"/>
      <c r="N108" s="52">
        <v>55</v>
      </c>
      <c r="O108" s="52">
        <v>0.88278688524590165</v>
      </c>
      <c r="P108" s="52">
        <v>0.44139344262295083</v>
      </c>
      <c r="Q108" s="52">
        <v>1.1586065573770492</v>
      </c>
      <c r="R108" s="52">
        <v>40.846311475409834</v>
      </c>
      <c r="S108" s="52"/>
      <c r="T108" s="52">
        <v>138.80000000000001</v>
      </c>
      <c r="U108" s="52"/>
      <c r="V108" s="52">
        <v>40302.69999999999</v>
      </c>
      <c r="W108" s="52"/>
      <c r="X108" s="52"/>
      <c r="Y108" s="52">
        <v>8.9227750632167773</v>
      </c>
    </row>
    <row r="109" spans="1:25" x14ac:dyDescent="0.35">
      <c r="A109" s="54">
        <v>42691</v>
      </c>
      <c r="B109" s="52">
        <v>11.8</v>
      </c>
      <c r="C109" s="52">
        <v>8.6</v>
      </c>
      <c r="D109" s="52">
        <v>13.9</v>
      </c>
      <c r="E109" s="52">
        <f t="shared" si="0"/>
        <v>605.79999999999984</v>
      </c>
      <c r="F109" s="52"/>
      <c r="G109" s="52"/>
      <c r="H109" s="52">
        <v>2.5</v>
      </c>
      <c r="I109" s="52"/>
      <c r="J109" s="52">
        <v>0.8</v>
      </c>
      <c r="K109" s="52"/>
      <c r="L109" s="52">
        <v>1.7</v>
      </c>
      <c r="M109" s="52"/>
      <c r="N109" s="52">
        <v>56</v>
      </c>
      <c r="O109" s="52">
        <v>0.89344262295081966</v>
      </c>
      <c r="P109" s="52">
        <v>0.71475409836065573</v>
      </c>
      <c r="Q109" s="52">
        <v>1.7852459016393443</v>
      </c>
      <c r="R109" s="52">
        <v>42.631557377049177</v>
      </c>
      <c r="S109" s="52"/>
      <c r="T109" s="52">
        <v>423.9</v>
      </c>
      <c r="U109" s="52"/>
      <c r="V109" s="52">
        <v>40726.599999999991</v>
      </c>
      <c r="W109" s="52"/>
      <c r="X109" s="52"/>
      <c r="Y109" s="52">
        <v>8.8819318205252102</v>
      </c>
    </row>
    <row r="110" spans="1:25" x14ac:dyDescent="0.35">
      <c r="A110" s="54">
        <v>42692</v>
      </c>
      <c r="B110" s="52">
        <v>7.6</v>
      </c>
      <c r="C110" s="52">
        <v>5.9</v>
      </c>
      <c r="D110" s="52">
        <v>9.6999999999999993</v>
      </c>
      <c r="E110" s="52">
        <f t="shared" si="0"/>
        <v>613.39999999999986</v>
      </c>
      <c r="F110" s="52"/>
      <c r="G110" s="52"/>
      <c r="H110" s="52">
        <v>0.8</v>
      </c>
      <c r="I110" s="52"/>
      <c r="J110" s="52">
        <v>1.1000000000000001</v>
      </c>
      <c r="K110" s="52"/>
      <c r="L110" s="52">
        <v>-0.30000000000000004</v>
      </c>
      <c r="M110" s="52"/>
      <c r="N110" s="52">
        <v>57</v>
      </c>
      <c r="O110" s="52">
        <v>0.90409836065573768</v>
      </c>
      <c r="P110" s="52">
        <v>0.99450819672131152</v>
      </c>
      <c r="Q110" s="52">
        <v>-0.19450819672131148</v>
      </c>
      <c r="R110" s="52">
        <v>42.437049180327868</v>
      </c>
      <c r="S110" s="52"/>
      <c r="T110" s="52">
        <v>279.10000000000002</v>
      </c>
      <c r="U110" s="52"/>
      <c r="V110" s="52">
        <v>41005.69999999999</v>
      </c>
      <c r="W110" s="52"/>
      <c r="X110" s="52"/>
      <c r="Y110" s="52">
        <v>8.8419445115105368</v>
      </c>
    </row>
    <row r="111" spans="1:25" x14ac:dyDescent="0.35">
      <c r="A111" s="54">
        <v>42693</v>
      </c>
      <c r="B111" s="52">
        <v>7.5</v>
      </c>
      <c r="C111" s="52">
        <v>3.3</v>
      </c>
      <c r="D111" s="52">
        <v>10.8</v>
      </c>
      <c r="E111" s="52">
        <f t="shared" si="0"/>
        <v>620.89999999999986</v>
      </c>
      <c r="F111" s="52"/>
      <c r="G111" s="52"/>
      <c r="H111" s="52">
        <v>8.8000000000000007</v>
      </c>
      <c r="I111" s="52"/>
      <c r="J111" s="52">
        <v>0.9</v>
      </c>
      <c r="K111" s="52"/>
      <c r="L111" s="52">
        <v>7.9</v>
      </c>
      <c r="M111" s="52"/>
      <c r="N111" s="52">
        <v>58</v>
      </c>
      <c r="O111" s="52">
        <v>0.91475409836065569</v>
      </c>
      <c r="P111" s="52">
        <v>0.82327868852459019</v>
      </c>
      <c r="Q111" s="52">
        <v>7.9767213114754103</v>
      </c>
      <c r="R111" s="52">
        <v>50.413770491803277</v>
      </c>
      <c r="S111" s="52"/>
      <c r="T111" s="52">
        <v>581.20000000000005</v>
      </c>
      <c r="U111" s="52"/>
      <c r="V111" s="52">
        <v>41586.899999999987</v>
      </c>
      <c r="W111" s="52"/>
      <c r="X111" s="52"/>
      <c r="Y111" s="52">
        <v>8.802836972589775</v>
      </c>
    </row>
    <row r="112" spans="1:25" x14ac:dyDescent="0.35">
      <c r="A112" s="54">
        <v>42694</v>
      </c>
      <c r="B112" s="52">
        <v>11.3</v>
      </c>
      <c r="C112" s="52">
        <v>9</v>
      </c>
      <c r="D112" s="52">
        <v>12.4</v>
      </c>
      <c r="E112" s="52">
        <f t="shared" si="0"/>
        <v>632.19999999999982</v>
      </c>
      <c r="F112" s="52"/>
      <c r="G112" s="52"/>
      <c r="H112" s="52">
        <v>4.0999999999999996</v>
      </c>
      <c r="I112" s="52"/>
      <c r="J112" s="52">
        <v>0.6</v>
      </c>
      <c r="K112" s="52"/>
      <c r="L112" s="52">
        <v>3.4999999999999996</v>
      </c>
      <c r="M112" s="52"/>
      <c r="N112" s="52">
        <v>59</v>
      </c>
      <c r="O112" s="52">
        <v>0.92540983606557381</v>
      </c>
      <c r="P112" s="52">
        <v>0.55524590163934429</v>
      </c>
      <c r="Q112" s="52">
        <v>3.5447540983606554</v>
      </c>
      <c r="R112" s="52">
        <v>53.958524590163933</v>
      </c>
      <c r="S112" s="52"/>
      <c r="T112" s="52">
        <v>148.80000000000001</v>
      </c>
      <c r="U112" s="52"/>
      <c r="V112" s="52">
        <v>41735.69999999999</v>
      </c>
      <c r="W112" s="52"/>
      <c r="X112" s="52"/>
      <c r="Y112" s="52">
        <v>8.7646330765858078</v>
      </c>
    </row>
    <row r="113" spans="1:25" x14ac:dyDescent="0.35">
      <c r="A113" s="54">
        <v>42695</v>
      </c>
      <c r="B113" s="52">
        <v>11.1</v>
      </c>
      <c r="C113" s="52">
        <v>11.2</v>
      </c>
      <c r="D113" s="52">
        <v>11.5</v>
      </c>
      <c r="E113" s="52">
        <f t="shared" si="0"/>
        <v>643.29999999999984</v>
      </c>
      <c r="F113" s="52"/>
      <c r="G113" s="52"/>
      <c r="H113" s="52">
        <v>12.7</v>
      </c>
      <c r="I113" s="52"/>
      <c r="J113" s="52">
        <v>1</v>
      </c>
      <c r="K113" s="52"/>
      <c r="L113" s="52">
        <v>11.7</v>
      </c>
      <c r="M113" s="52"/>
      <c r="N113" s="52">
        <v>60</v>
      </c>
      <c r="O113" s="52">
        <v>0.93606557377049182</v>
      </c>
      <c r="P113" s="52">
        <v>0.93606557377049182</v>
      </c>
      <c r="Q113" s="52">
        <v>11.763934426229508</v>
      </c>
      <c r="R113" s="52">
        <v>65.722459016393444</v>
      </c>
      <c r="S113" s="52"/>
      <c r="T113" s="52">
        <v>113.9</v>
      </c>
      <c r="U113" s="52"/>
      <c r="V113" s="52">
        <v>41849.599999999991</v>
      </c>
      <c r="W113" s="52"/>
      <c r="X113" s="52"/>
      <c r="Y113" s="52">
        <v>8.7273566926459516</v>
      </c>
    </row>
    <row r="114" spans="1:25" x14ac:dyDescent="0.35">
      <c r="A114" s="54">
        <v>42696</v>
      </c>
      <c r="B114" s="52">
        <v>7.7</v>
      </c>
      <c r="C114" s="52">
        <v>6.3</v>
      </c>
      <c r="D114" s="52">
        <v>11.2</v>
      </c>
      <c r="E114" s="52">
        <f t="shared" si="0"/>
        <v>650.99999999999989</v>
      </c>
      <c r="F114" s="52"/>
      <c r="G114" s="52"/>
      <c r="H114" s="52">
        <v>0</v>
      </c>
      <c r="I114" s="52"/>
      <c r="J114" s="52">
        <v>0.9</v>
      </c>
      <c r="K114" s="52"/>
      <c r="L114" s="52">
        <v>-0.9</v>
      </c>
      <c r="M114" s="52"/>
      <c r="N114" s="52">
        <v>61</v>
      </c>
      <c r="O114" s="52">
        <v>0.94672131147540983</v>
      </c>
      <c r="P114" s="52">
        <v>0.85204918032786892</v>
      </c>
      <c r="Q114" s="52">
        <v>-0.85204918032786892</v>
      </c>
      <c r="R114" s="52">
        <v>64.870409836065576</v>
      </c>
      <c r="S114" s="52"/>
      <c r="T114" s="52">
        <v>518.70000000000005</v>
      </c>
      <c r="U114" s="52"/>
      <c r="V114" s="52">
        <v>42368.299999999988</v>
      </c>
      <c r="W114" s="52"/>
      <c r="X114" s="52"/>
      <c r="Y114" s="52">
        <v>8.6910316442254913</v>
      </c>
    </row>
    <row r="115" spans="1:25" x14ac:dyDescent="0.35">
      <c r="A115" s="54">
        <v>42697</v>
      </c>
      <c r="B115" s="52">
        <v>8.1</v>
      </c>
      <c r="C115" s="52">
        <v>3.8</v>
      </c>
      <c r="D115" s="52">
        <v>11.8</v>
      </c>
      <c r="E115" s="52">
        <f t="shared" si="0"/>
        <v>659.09999999999991</v>
      </c>
      <c r="F115" s="52"/>
      <c r="G115" s="52"/>
      <c r="H115" s="52">
        <v>4.5999999999999996</v>
      </c>
      <c r="I115" s="52"/>
      <c r="J115" s="52">
        <v>0.5</v>
      </c>
      <c r="K115" s="52"/>
      <c r="L115" s="52">
        <v>4.0999999999999996</v>
      </c>
      <c r="M115" s="52"/>
      <c r="N115" s="52">
        <v>62</v>
      </c>
      <c r="O115" s="52">
        <v>0.95737704918032784</v>
      </c>
      <c r="P115" s="52">
        <v>0.47868852459016392</v>
      </c>
      <c r="Q115" s="52">
        <v>4.1213114754098354</v>
      </c>
      <c r="R115" s="52">
        <v>68.991721311475416</v>
      </c>
      <c r="S115" s="52"/>
      <c r="T115" s="52">
        <v>113</v>
      </c>
      <c r="U115" s="52"/>
      <c r="V115" s="52">
        <v>42481.299999999988</v>
      </c>
      <c r="W115" s="52"/>
      <c r="X115" s="52"/>
      <c r="Y115" s="52">
        <v>8.6556816652176938</v>
      </c>
    </row>
    <row r="116" spans="1:25" x14ac:dyDescent="0.35">
      <c r="A116" s="54">
        <v>42698</v>
      </c>
      <c r="B116" s="52">
        <v>10.8</v>
      </c>
      <c r="C116" s="52">
        <v>10</v>
      </c>
      <c r="D116" s="52">
        <v>11.5</v>
      </c>
      <c r="E116" s="52">
        <f t="shared" si="0"/>
        <v>669.89999999999986</v>
      </c>
      <c r="F116" s="52"/>
      <c r="G116" s="52"/>
      <c r="H116" s="52">
        <v>0</v>
      </c>
      <c r="I116" s="52"/>
      <c r="J116" s="52">
        <v>0.9</v>
      </c>
      <c r="K116" s="52"/>
      <c r="L116" s="52">
        <v>-0.9</v>
      </c>
      <c r="M116" s="52"/>
      <c r="N116" s="52">
        <v>63</v>
      </c>
      <c r="O116" s="52">
        <v>0.96803278688524586</v>
      </c>
      <c r="P116" s="52">
        <v>0.87122950819672129</v>
      </c>
      <c r="Q116" s="52">
        <v>-0.87122950819672129</v>
      </c>
      <c r="R116" s="52">
        <v>68.120491803278696</v>
      </c>
      <c r="S116" s="52"/>
      <c r="T116" s="52">
        <v>196</v>
      </c>
      <c r="U116" s="52"/>
      <c r="V116" s="52">
        <v>42677.299999999988</v>
      </c>
      <c r="W116" s="52"/>
      <c r="X116" s="52"/>
      <c r="Y116" s="52">
        <v>8.6213303543285988</v>
      </c>
    </row>
    <row r="117" spans="1:25" x14ac:dyDescent="0.35">
      <c r="A117" s="54">
        <v>42699</v>
      </c>
      <c r="B117" s="52">
        <v>8</v>
      </c>
      <c r="C117" s="52">
        <v>7.5</v>
      </c>
      <c r="D117" s="52">
        <v>8.4</v>
      </c>
      <c r="E117" s="52">
        <f t="shared" si="0"/>
        <v>677.89999999999986</v>
      </c>
      <c r="F117" s="52"/>
      <c r="G117" s="52"/>
      <c r="H117" s="52">
        <v>0</v>
      </c>
      <c r="I117" s="52"/>
      <c r="J117" s="52">
        <v>0.6</v>
      </c>
      <c r="K117" s="52"/>
      <c r="L117" s="52">
        <v>-0.6</v>
      </c>
      <c r="M117" s="52"/>
      <c r="N117" s="52">
        <v>64</v>
      </c>
      <c r="O117" s="52">
        <v>0.97868852459016387</v>
      </c>
      <c r="P117" s="52">
        <v>0.58721311475409832</v>
      </c>
      <c r="Q117" s="52">
        <v>-0.58721311475409832</v>
      </c>
      <c r="R117" s="52">
        <v>67.533278688524604</v>
      </c>
      <c r="S117" s="52"/>
      <c r="T117" s="52">
        <v>109.2</v>
      </c>
      <c r="U117" s="52"/>
      <c r="V117" s="52">
        <v>42786.499999999985</v>
      </c>
      <c r="W117" s="52"/>
      <c r="X117" s="52"/>
      <c r="Y117" s="52">
        <v>8.5880011278118555</v>
      </c>
    </row>
    <row r="118" spans="1:25" x14ac:dyDescent="0.35">
      <c r="A118" s="54">
        <v>42700</v>
      </c>
      <c r="B118" s="52">
        <v>8.8000000000000007</v>
      </c>
      <c r="C118" s="52">
        <v>7.7</v>
      </c>
      <c r="D118" s="52">
        <v>11</v>
      </c>
      <c r="E118" s="52">
        <f t="shared" si="0"/>
        <v>686.69999999999982</v>
      </c>
      <c r="F118" s="52"/>
      <c r="G118" s="52"/>
      <c r="H118" s="52">
        <v>0</v>
      </c>
      <c r="I118" s="52"/>
      <c r="J118" s="52">
        <v>0.7</v>
      </c>
      <c r="K118" s="52"/>
      <c r="L118" s="52">
        <v>-0.7</v>
      </c>
      <c r="M118" s="52"/>
      <c r="N118" s="52">
        <v>65</v>
      </c>
      <c r="O118" s="52">
        <v>0.98934426229508199</v>
      </c>
      <c r="P118" s="52">
        <v>0.69254098360655736</v>
      </c>
      <c r="Q118" s="52">
        <v>-0.69254098360655736</v>
      </c>
      <c r="R118" s="52">
        <v>66.840737704918041</v>
      </c>
      <c r="S118" s="52"/>
      <c r="T118" s="52">
        <v>95.2</v>
      </c>
      <c r="U118" s="52"/>
      <c r="V118" s="52">
        <v>42881.699999999983</v>
      </c>
      <c r="W118" s="52"/>
      <c r="X118" s="52"/>
      <c r="Y118" s="52">
        <v>8.5557171706963366</v>
      </c>
    </row>
    <row r="119" spans="1:25" x14ac:dyDescent="0.35">
      <c r="A119" s="54">
        <v>42701</v>
      </c>
      <c r="B119" s="52">
        <v>6.9</v>
      </c>
      <c r="C119" s="52">
        <v>3.6</v>
      </c>
      <c r="D119" s="52">
        <v>10.1</v>
      </c>
      <c r="E119" s="52">
        <f t="shared" si="0"/>
        <v>693.5999999999998</v>
      </c>
      <c r="F119" s="52"/>
      <c r="G119" s="52"/>
      <c r="H119" s="52">
        <v>0</v>
      </c>
      <c r="I119" s="52"/>
      <c r="J119" s="52">
        <v>0.8</v>
      </c>
      <c r="K119" s="52"/>
      <c r="L119" s="52">
        <v>-0.8</v>
      </c>
      <c r="M119" s="52"/>
      <c r="N119" s="52">
        <v>66</v>
      </c>
      <c r="O119" s="52">
        <v>1</v>
      </c>
      <c r="P119" s="52">
        <v>0.8</v>
      </c>
      <c r="Q119" s="52">
        <v>-0.8</v>
      </c>
      <c r="R119" s="52">
        <v>66.040737704918044</v>
      </c>
      <c r="S119" s="52"/>
      <c r="T119" s="52">
        <v>576.29999999999995</v>
      </c>
      <c r="U119" s="52"/>
      <c r="V119" s="52">
        <v>43457.999999999985</v>
      </c>
      <c r="W119" s="52"/>
      <c r="X119" s="52"/>
      <c r="Y119" s="52">
        <v>8.5245013866569721</v>
      </c>
    </row>
    <row r="120" spans="1:25" x14ac:dyDescent="0.35">
      <c r="A120" s="54">
        <v>42702</v>
      </c>
      <c r="B120" s="52">
        <v>4.8</v>
      </c>
      <c r="C120" s="52">
        <v>4</v>
      </c>
      <c r="D120" s="52">
        <v>8.1</v>
      </c>
      <c r="E120" s="52">
        <f t="shared" ref="E120:E183" si="1">E119+B120</f>
        <v>698.39999999999975</v>
      </c>
      <c r="F120" s="52"/>
      <c r="G120" s="52"/>
      <c r="H120" s="52">
        <v>0</v>
      </c>
      <c r="I120" s="52"/>
      <c r="J120" s="52">
        <v>1.8</v>
      </c>
      <c r="K120" s="52"/>
      <c r="L120" s="52">
        <v>-1.8</v>
      </c>
      <c r="M120" s="52"/>
      <c r="N120" s="52">
        <v>67</v>
      </c>
      <c r="O120" s="52">
        <v>1</v>
      </c>
      <c r="P120" s="52">
        <v>1.8</v>
      </c>
      <c r="Q120" s="52">
        <v>-1.8</v>
      </c>
      <c r="R120" s="52">
        <v>64.240737704918047</v>
      </c>
      <c r="S120" s="52"/>
      <c r="T120" s="52">
        <v>781.5</v>
      </c>
      <c r="U120" s="52"/>
      <c r="V120" s="52">
        <v>781.5</v>
      </c>
      <c r="W120" s="52"/>
      <c r="X120" s="52"/>
      <c r="Y120" s="52">
        <v>8.494376346696825</v>
      </c>
    </row>
    <row r="121" spans="1:25" x14ac:dyDescent="0.35">
      <c r="A121" s="54">
        <v>42703</v>
      </c>
      <c r="B121" s="52">
        <v>0.7</v>
      </c>
      <c r="C121" s="52">
        <v>-2.2000000000000002</v>
      </c>
      <c r="D121" s="52">
        <v>4</v>
      </c>
      <c r="E121" s="52">
        <f t="shared" si="1"/>
        <v>699.0999999999998</v>
      </c>
      <c r="F121" s="52"/>
      <c r="G121" s="52"/>
      <c r="H121" s="52">
        <v>0</v>
      </c>
      <c r="I121" s="52"/>
      <c r="J121" s="52">
        <v>1.1000000000000001</v>
      </c>
      <c r="K121" s="52"/>
      <c r="L121" s="52">
        <v>-1.1000000000000001</v>
      </c>
      <c r="M121" s="52"/>
      <c r="N121" s="52">
        <v>68</v>
      </c>
      <c r="O121" s="52">
        <v>1</v>
      </c>
      <c r="P121" s="52">
        <v>1.1000000000000001</v>
      </c>
      <c r="Q121" s="52">
        <v>-1.1000000000000001</v>
      </c>
      <c r="R121" s="52">
        <v>63.140737704918045</v>
      </c>
      <c r="S121" s="52"/>
      <c r="T121" s="52">
        <v>753.1</v>
      </c>
      <c r="U121" s="52"/>
      <c r="V121" s="52">
        <v>1534.6</v>
      </c>
      <c r="W121" s="52"/>
      <c r="X121" s="52"/>
      <c r="Y121" s="52">
        <v>8.4653642368258453</v>
      </c>
    </row>
    <row r="122" spans="1:25" x14ac:dyDescent="0.35">
      <c r="A122" s="54">
        <v>42704</v>
      </c>
      <c r="B122" s="52">
        <v>2.2999999999999998</v>
      </c>
      <c r="C122" s="52">
        <v>-1</v>
      </c>
      <c r="D122" s="52">
        <v>5.9</v>
      </c>
      <c r="E122" s="52">
        <f t="shared" si="1"/>
        <v>701.39999999999975</v>
      </c>
      <c r="F122" s="52"/>
      <c r="G122" s="52"/>
      <c r="H122" s="52">
        <v>0</v>
      </c>
      <c r="I122" s="52"/>
      <c r="J122" s="52">
        <v>0.7</v>
      </c>
      <c r="K122" s="52"/>
      <c r="L122" s="52">
        <v>-0.7</v>
      </c>
      <c r="M122" s="52"/>
      <c r="N122" s="52">
        <v>69</v>
      </c>
      <c r="O122" s="52">
        <v>1</v>
      </c>
      <c r="P122" s="52">
        <v>0.7</v>
      </c>
      <c r="Q122" s="52">
        <v>-0.7</v>
      </c>
      <c r="R122" s="52">
        <v>62.440737704918043</v>
      </c>
      <c r="S122" s="52"/>
      <c r="T122" s="52">
        <v>466.5</v>
      </c>
      <c r="U122" s="52"/>
      <c r="V122" s="52">
        <v>2001.1</v>
      </c>
      <c r="W122" s="52"/>
      <c r="X122" s="52"/>
      <c r="Y122" s="52">
        <v>8.4374868049388372</v>
      </c>
    </row>
    <row r="123" spans="1:25" x14ac:dyDescent="0.35">
      <c r="A123" s="54">
        <v>42705</v>
      </c>
      <c r="B123" s="52">
        <v>2.7</v>
      </c>
      <c r="C123" s="52">
        <v>-1.7</v>
      </c>
      <c r="D123" s="52">
        <v>8.1</v>
      </c>
      <c r="E123" s="52">
        <f t="shared" si="1"/>
        <v>704.0999999999998</v>
      </c>
      <c r="F123" s="52"/>
      <c r="G123" s="52"/>
      <c r="H123" s="52">
        <v>0.2</v>
      </c>
      <c r="I123" s="52"/>
      <c r="J123" s="52">
        <v>0.9</v>
      </c>
      <c r="K123" s="52"/>
      <c r="L123" s="52">
        <v>-0.7</v>
      </c>
      <c r="M123" s="52"/>
      <c r="N123" s="52">
        <v>70</v>
      </c>
      <c r="O123" s="52">
        <v>1</v>
      </c>
      <c r="P123" s="52">
        <v>0.9</v>
      </c>
      <c r="Q123" s="52">
        <v>-0.7</v>
      </c>
      <c r="R123" s="52">
        <v>61.74073770491804</v>
      </c>
      <c r="S123" s="52"/>
      <c r="T123" s="52">
        <v>705.9</v>
      </c>
      <c r="U123" s="52"/>
      <c r="V123" s="52">
        <v>2707</v>
      </c>
      <c r="W123" s="52"/>
      <c r="X123" s="52"/>
      <c r="Y123" s="52">
        <v>8.4107653071114026</v>
      </c>
    </row>
    <row r="124" spans="1:25" x14ac:dyDescent="0.35">
      <c r="A124" s="54">
        <v>42706</v>
      </c>
      <c r="B124" s="52">
        <v>3.1</v>
      </c>
      <c r="C124" s="52">
        <v>1.1000000000000001</v>
      </c>
      <c r="D124" s="52">
        <v>4.5</v>
      </c>
      <c r="E124" s="52">
        <f t="shared" si="1"/>
        <v>707.19999999999982</v>
      </c>
      <c r="F124" s="52"/>
      <c r="G124" s="52"/>
      <c r="H124" s="52">
        <v>0</v>
      </c>
      <c r="I124" s="52"/>
      <c r="J124" s="52">
        <v>0.2</v>
      </c>
      <c r="K124" s="52"/>
      <c r="L124" s="52">
        <v>-0.2</v>
      </c>
      <c r="M124" s="52"/>
      <c r="N124" s="52">
        <v>71</v>
      </c>
      <c r="O124" s="52">
        <v>1</v>
      </c>
      <c r="P124" s="52">
        <v>0.2</v>
      </c>
      <c r="Q124" s="52">
        <v>-0.2</v>
      </c>
      <c r="R124" s="52">
        <v>61.540737704918037</v>
      </c>
      <c r="S124" s="52"/>
      <c r="T124" s="52">
        <v>164.8</v>
      </c>
      <c r="U124" s="52"/>
      <c r="V124" s="52">
        <v>2871.8</v>
      </c>
      <c r="W124" s="52"/>
      <c r="X124" s="52"/>
      <c r="Y124" s="52">
        <v>8.385220453548154</v>
      </c>
    </row>
    <row r="125" spans="1:25" x14ac:dyDescent="0.35">
      <c r="A125" s="54">
        <v>42707</v>
      </c>
      <c r="B125" s="52">
        <v>5</v>
      </c>
      <c r="C125" s="52">
        <v>3.3</v>
      </c>
      <c r="D125" s="52">
        <v>7.8</v>
      </c>
      <c r="E125" s="52">
        <f t="shared" si="1"/>
        <v>712.19999999999982</v>
      </c>
      <c r="F125" s="52"/>
      <c r="G125" s="52"/>
      <c r="H125" s="52">
        <v>0</v>
      </c>
      <c r="I125" s="52"/>
      <c r="J125" s="52">
        <v>1.1000000000000001</v>
      </c>
      <c r="K125" s="52"/>
      <c r="L125" s="52">
        <v>-1.1000000000000001</v>
      </c>
      <c r="M125" s="52"/>
      <c r="N125" s="52">
        <v>72</v>
      </c>
      <c r="O125" s="52">
        <v>1</v>
      </c>
      <c r="P125" s="52">
        <v>1.1000000000000001</v>
      </c>
      <c r="Q125" s="52">
        <v>-1.1000000000000001</v>
      </c>
      <c r="R125" s="52">
        <v>60.440737704918035</v>
      </c>
      <c r="S125" s="52"/>
      <c r="T125" s="52">
        <v>214.3</v>
      </c>
      <c r="U125" s="52"/>
      <c r="V125" s="52">
        <v>3086.1000000000004</v>
      </c>
      <c r="W125" s="52"/>
      <c r="X125" s="52"/>
      <c r="Y125" s="52">
        <v>8.3608723544317325</v>
      </c>
    </row>
    <row r="126" spans="1:25" x14ac:dyDescent="0.35">
      <c r="A126" s="54">
        <v>42708</v>
      </c>
      <c r="B126" s="52">
        <v>2.5</v>
      </c>
      <c r="C126" s="52">
        <v>1.5</v>
      </c>
      <c r="D126" s="52">
        <v>3.3</v>
      </c>
      <c r="E126" s="52">
        <f t="shared" si="1"/>
        <v>714.69999999999982</v>
      </c>
      <c r="F126" s="52"/>
      <c r="G126" s="52"/>
      <c r="H126" s="52">
        <v>0</v>
      </c>
      <c r="I126" s="52"/>
      <c r="J126" s="52">
        <v>0.5</v>
      </c>
      <c r="K126" s="52"/>
      <c r="L126" s="52">
        <v>-0.5</v>
      </c>
      <c r="M126" s="52"/>
      <c r="N126" s="52">
        <v>73</v>
      </c>
      <c r="O126" s="52">
        <v>1</v>
      </c>
      <c r="P126" s="52">
        <v>0.5</v>
      </c>
      <c r="Q126" s="52">
        <v>-0.5</v>
      </c>
      <c r="R126" s="52">
        <v>59.940737704918035</v>
      </c>
      <c r="S126" s="52"/>
      <c r="T126" s="52">
        <v>146.6</v>
      </c>
      <c r="U126" s="52"/>
      <c r="V126" s="52">
        <v>3232.7000000000003</v>
      </c>
      <c r="W126" s="52"/>
      <c r="X126" s="52"/>
      <c r="Y126" s="52">
        <v>8.3377404659340169</v>
      </c>
    </row>
    <row r="127" spans="1:25" x14ac:dyDescent="0.35">
      <c r="A127" s="54">
        <v>42709</v>
      </c>
      <c r="B127" s="52">
        <v>5.9</v>
      </c>
      <c r="C127" s="52">
        <v>1.8</v>
      </c>
      <c r="D127" s="52">
        <v>9.1</v>
      </c>
      <c r="E127" s="52">
        <f t="shared" si="1"/>
        <v>720.5999999999998</v>
      </c>
      <c r="F127" s="52"/>
      <c r="G127" s="52"/>
      <c r="H127" s="52">
        <v>0.7</v>
      </c>
      <c r="I127" s="52"/>
      <c r="J127" s="52">
        <v>0.3</v>
      </c>
      <c r="K127" s="52"/>
      <c r="L127" s="52">
        <v>0.39999999999999997</v>
      </c>
      <c r="M127" s="52"/>
      <c r="N127" s="52">
        <v>74</v>
      </c>
      <c r="O127" s="52">
        <v>1</v>
      </c>
      <c r="P127" s="52">
        <v>0.3</v>
      </c>
      <c r="Q127" s="52">
        <v>0.39999999999999997</v>
      </c>
      <c r="R127" s="52">
        <v>60.340737704918034</v>
      </c>
      <c r="S127" s="52"/>
      <c r="T127" s="52">
        <v>218.4</v>
      </c>
      <c r="U127" s="52"/>
      <c r="V127" s="52">
        <v>3451.1000000000004</v>
      </c>
      <c r="W127" s="52"/>
      <c r="X127" s="52"/>
      <c r="Y127" s="52">
        <v>8.3158435366621202</v>
      </c>
    </row>
    <row r="128" spans="1:25" x14ac:dyDescent="0.35">
      <c r="A128" s="54">
        <v>42710</v>
      </c>
      <c r="B128" s="52">
        <v>8.1</v>
      </c>
      <c r="C128" s="52">
        <v>4.7</v>
      </c>
      <c r="D128" s="52">
        <v>11.8</v>
      </c>
      <c r="E128" s="52">
        <f t="shared" si="1"/>
        <v>728.69999999999982</v>
      </c>
      <c r="F128" s="52"/>
      <c r="G128" s="52"/>
      <c r="H128" s="52">
        <v>0.3</v>
      </c>
      <c r="I128" s="52"/>
      <c r="J128" s="52">
        <v>0.9</v>
      </c>
      <c r="K128" s="52"/>
      <c r="L128" s="52">
        <v>-0.60000000000000009</v>
      </c>
      <c r="M128" s="52"/>
      <c r="N128" s="52">
        <v>75</v>
      </c>
      <c r="O128" s="52">
        <v>1</v>
      </c>
      <c r="P128" s="52">
        <v>0.9</v>
      </c>
      <c r="Q128" s="52">
        <v>-0.60000000000000009</v>
      </c>
      <c r="R128" s="52">
        <v>59.740737704918033</v>
      </c>
      <c r="S128" s="52"/>
      <c r="T128" s="52">
        <v>628.1</v>
      </c>
      <c r="U128" s="52"/>
      <c r="V128" s="52">
        <v>4079.2000000000003</v>
      </c>
      <c r="W128" s="52"/>
      <c r="X128" s="52"/>
      <c r="Y128" s="52">
        <v>8.2951995548210622</v>
      </c>
    </row>
    <row r="129" spans="1:25" x14ac:dyDescent="0.35">
      <c r="A129" s="54">
        <v>42711</v>
      </c>
      <c r="B129" s="52">
        <v>8.3000000000000007</v>
      </c>
      <c r="C129" s="52">
        <v>5.3</v>
      </c>
      <c r="D129" s="52">
        <v>11.7</v>
      </c>
      <c r="E129" s="52">
        <f t="shared" si="1"/>
        <v>736.99999999999977</v>
      </c>
      <c r="F129" s="52"/>
      <c r="G129" s="52"/>
      <c r="H129" s="52">
        <v>0.1</v>
      </c>
      <c r="I129" s="52"/>
      <c r="J129" s="52">
        <v>0.9</v>
      </c>
      <c r="K129" s="52"/>
      <c r="L129" s="52">
        <v>-0.8</v>
      </c>
      <c r="M129" s="52"/>
      <c r="N129" s="52">
        <v>76</v>
      </c>
      <c r="O129" s="52">
        <v>1</v>
      </c>
      <c r="P129" s="52">
        <v>0.9</v>
      </c>
      <c r="Q129" s="52">
        <v>-0.8</v>
      </c>
      <c r="R129" s="52">
        <v>58.940737704918035</v>
      </c>
      <c r="S129" s="52"/>
      <c r="T129" s="52">
        <v>560.29999999999995</v>
      </c>
      <c r="U129" s="52"/>
      <c r="V129" s="52">
        <v>4639.5</v>
      </c>
      <c r="W129" s="52"/>
      <c r="X129" s="52"/>
      <c r="Y129" s="52">
        <v>8.2758256963820163</v>
      </c>
    </row>
    <row r="130" spans="1:25" x14ac:dyDescent="0.35">
      <c r="A130" s="54">
        <v>42712</v>
      </c>
      <c r="B130" s="52">
        <v>8.3000000000000007</v>
      </c>
      <c r="C130" s="52">
        <v>4.8</v>
      </c>
      <c r="D130" s="52">
        <v>11</v>
      </c>
      <c r="E130" s="52">
        <f t="shared" si="1"/>
        <v>745.29999999999973</v>
      </c>
      <c r="F130" s="52"/>
      <c r="G130" s="52"/>
      <c r="H130" s="52">
        <v>0.1</v>
      </c>
      <c r="I130" s="52"/>
      <c r="J130" s="52">
        <v>0.8</v>
      </c>
      <c r="K130" s="52"/>
      <c r="L130" s="52">
        <v>-0.70000000000000007</v>
      </c>
      <c r="M130" s="52"/>
      <c r="N130" s="52">
        <v>77</v>
      </c>
      <c r="O130" s="52">
        <v>1</v>
      </c>
      <c r="P130" s="52">
        <v>0.8</v>
      </c>
      <c r="Q130" s="52">
        <v>-0.70000000000000007</v>
      </c>
      <c r="R130" s="52">
        <v>58.240737704918033</v>
      </c>
      <c r="S130" s="52"/>
      <c r="T130" s="52">
        <v>553.6</v>
      </c>
      <c r="U130" s="52"/>
      <c r="V130" s="52">
        <v>5193.1000000000004</v>
      </c>
      <c r="W130" s="52"/>
      <c r="X130" s="52"/>
      <c r="Y130" s="52">
        <v>8.2577382745499577</v>
      </c>
    </row>
    <row r="131" spans="1:25" x14ac:dyDescent="0.35">
      <c r="A131" s="54">
        <v>42713</v>
      </c>
      <c r="B131" s="52">
        <v>9.1999999999999993</v>
      </c>
      <c r="C131" s="52">
        <v>7.8</v>
      </c>
      <c r="D131" s="52">
        <v>10.7</v>
      </c>
      <c r="E131" s="52">
        <f t="shared" si="1"/>
        <v>754.49999999999977</v>
      </c>
      <c r="F131" s="52"/>
      <c r="G131" s="52"/>
      <c r="H131" s="52">
        <v>0</v>
      </c>
      <c r="I131" s="52"/>
      <c r="J131" s="52">
        <v>0.8</v>
      </c>
      <c r="K131" s="52"/>
      <c r="L131" s="52">
        <v>-0.8</v>
      </c>
      <c r="M131" s="52"/>
      <c r="N131" s="52">
        <v>78</v>
      </c>
      <c r="O131" s="52">
        <v>1</v>
      </c>
      <c r="P131" s="52">
        <v>0.8</v>
      </c>
      <c r="Q131" s="52">
        <v>-0.8</v>
      </c>
      <c r="R131" s="52">
        <v>57.440737704918035</v>
      </c>
      <c r="S131" s="52"/>
      <c r="T131" s="52">
        <v>526.20000000000005</v>
      </c>
      <c r="U131" s="52"/>
      <c r="V131" s="52">
        <v>5719.3</v>
      </c>
      <c r="W131" s="52"/>
      <c r="X131" s="52"/>
      <c r="Y131" s="52">
        <v>8.2409526908265018</v>
      </c>
    </row>
    <row r="132" spans="1:25" x14ac:dyDescent="0.35">
      <c r="A132" s="54">
        <v>42714</v>
      </c>
      <c r="B132" s="52">
        <v>7.5</v>
      </c>
      <c r="C132" s="52">
        <v>6.8</v>
      </c>
      <c r="D132" s="52">
        <v>8.8000000000000007</v>
      </c>
      <c r="E132" s="52">
        <f t="shared" si="1"/>
        <v>761.99999999999977</v>
      </c>
      <c r="F132" s="52"/>
      <c r="G132" s="52"/>
      <c r="H132" s="52">
        <v>0.3</v>
      </c>
      <c r="I132" s="52"/>
      <c r="J132" s="52">
        <v>0.4</v>
      </c>
      <c r="K132" s="52"/>
      <c r="L132" s="52">
        <v>-0.10000000000000003</v>
      </c>
      <c r="M132" s="52"/>
      <c r="N132" s="52">
        <v>79</v>
      </c>
      <c r="O132" s="52">
        <v>1</v>
      </c>
      <c r="P132" s="52">
        <v>0.4</v>
      </c>
      <c r="Q132" s="52">
        <v>-0.10000000000000003</v>
      </c>
      <c r="R132" s="52">
        <v>57.340737704918034</v>
      </c>
      <c r="S132" s="52"/>
      <c r="T132" s="52">
        <v>178.9</v>
      </c>
      <c r="U132" s="52"/>
      <c r="V132" s="52">
        <v>5898.2</v>
      </c>
      <c r="W132" s="52"/>
      <c r="X132" s="52"/>
      <c r="Y132" s="52">
        <v>8.2254833879633473</v>
      </c>
    </row>
    <row r="133" spans="1:25" x14ac:dyDescent="0.35">
      <c r="A133" s="54">
        <v>42715</v>
      </c>
      <c r="B133" s="52">
        <v>7.7</v>
      </c>
      <c r="C133" s="52">
        <v>7.4</v>
      </c>
      <c r="D133" s="52">
        <v>8.5</v>
      </c>
      <c r="E133" s="52">
        <f t="shared" si="1"/>
        <v>769.69999999999982</v>
      </c>
      <c r="F133" s="52"/>
      <c r="G133" s="52"/>
      <c r="H133" s="52">
        <v>2.2999999999999998</v>
      </c>
      <c r="I133" s="52"/>
      <c r="J133" s="52">
        <v>0.4</v>
      </c>
      <c r="K133" s="52"/>
      <c r="L133" s="52">
        <v>1.9</v>
      </c>
      <c r="M133" s="52"/>
      <c r="N133" s="52">
        <v>80</v>
      </c>
      <c r="O133" s="52">
        <v>1</v>
      </c>
      <c r="P133" s="52">
        <v>0.4</v>
      </c>
      <c r="Q133" s="52">
        <v>1.9</v>
      </c>
      <c r="R133" s="52">
        <v>59.240737704918033</v>
      </c>
      <c r="S133" s="52"/>
      <c r="T133" s="52">
        <v>174.2</v>
      </c>
      <c r="U133" s="52"/>
      <c r="V133" s="52">
        <v>6072.4</v>
      </c>
      <c r="W133" s="52"/>
      <c r="X133" s="52"/>
      <c r="Y133" s="52">
        <v>8.2113438050981795</v>
      </c>
    </row>
    <row r="134" spans="1:25" x14ac:dyDescent="0.35">
      <c r="A134" s="54">
        <v>42716</v>
      </c>
      <c r="B134" s="52">
        <v>10.1</v>
      </c>
      <c r="C134" s="52">
        <v>7.1</v>
      </c>
      <c r="D134" s="52">
        <v>11.6</v>
      </c>
      <c r="E134" s="52">
        <f t="shared" si="1"/>
        <v>779.79999999999984</v>
      </c>
      <c r="F134" s="52"/>
      <c r="G134" s="52"/>
      <c r="H134" s="52">
        <v>4</v>
      </c>
      <c r="I134" s="52"/>
      <c r="J134" s="52">
        <v>0.3</v>
      </c>
      <c r="K134" s="52"/>
      <c r="L134" s="52">
        <v>3.7</v>
      </c>
      <c r="M134" s="52"/>
      <c r="N134" s="52">
        <v>81</v>
      </c>
      <c r="O134" s="52">
        <v>1</v>
      </c>
      <c r="P134" s="52">
        <v>0.3</v>
      </c>
      <c r="Q134" s="52">
        <v>3.7</v>
      </c>
      <c r="R134" s="52">
        <v>62.940737704918035</v>
      </c>
      <c r="S134" s="52"/>
      <c r="T134" s="52">
        <v>179.5</v>
      </c>
      <c r="U134" s="52"/>
      <c r="V134" s="52">
        <v>6251.9</v>
      </c>
      <c r="W134" s="52"/>
      <c r="X134" s="52"/>
      <c r="Y134" s="52">
        <v>8.1985463353585555</v>
      </c>
    </row>
    <row r="135" spans="1:25" x14ac:dyDescent="0.35">
      <c r="A135" s="54">
        <v>42717</v>
      </c>
      <c r="B135" s="52">
        <v>9.8000000000000007</v>
      </c>
      <c r="C135" s="52">
        <v>8.9</v>
      </c>
      <c r="D135" s="52">
        <v>10.8</v>
      </c>
      <c r="E135" s="52">
        <f t="shared" si="1"/>
        <v>789.5999999999998</v>
      </c>
      <c r="F135" s="52"/>
      <c r="G135" s="52"/>
      <c r="H135" s="52">
        <v>0.1</v>
      </c>
      <c r="I135" s="52"/>
      <c r="J135" s="52">
        <v>0.3</v>
      </c>
      <c r="K135" s="52"/>
      <c r="L135" s="52">
        <v>-0.19999999999999998</v>
      </c>
      <c r="M135" s="52"/>
      <c r="N135" s="52">
        <v>82</v>
      </c>
      <c r="O135" s="52">
        <v>1</v>
      </c>
      <c r="P135" s="52">
        <v>0.3</v>
      </c>
      <c r="Q135" s="52">
        <v>-0.19999999999999998</v>
      </c>
      <c r="R135" s="52">
        <v>62.740737704918033</v>
      </c>
      <c r="S135" s="52"/>
      <c r="T135" s="52">
        <v>186.7</v>
      </c>
      <c r="U135" s="52"/>
      <c r="V135" s="52">
        <v>6438.5999999999995</v>
      </c>
      <c r="W135" s="52"/>
      <c r="X135" s="52"/>
      <c r="Y135" s="52">
        <v>8.187102286209953</v>
      </c>
    </row>
    <row r="136" spans="1:25" x14ac:dyDescent="0.35">
      <c r="A136" s="54">
        <v>42718</v>
      </c>
      <c r="B136" s="52">
        <v>6.4</v>
      </c>
      <c r="C136" s="52">
        <v>3</v>
      </c>
      <c r="D136" s="52">
        <v>9.1999999999999993</v>
      </c>
      <c r="E136" s="52">
        <f t="shared" si="1"/>
        <v>795.99999999999977</v>
      </c>
      <c r="F136" s="52"/>
      <c r="G136" s="52"/>
      <c r="H136" s="52">
        <v>0.2</v>
      </c>
      <c r="I136" s="52"/>
      <c r="J136" s="52">
        <v>0.5</v>
      </c>
      <c r="K136" s="52"/>
      <c r="L136" s="52">
        <v>-0.3</v>
      </c>
      <c r="M136" s="52"/>
      <c r="N136" s="52">
        <v>83</v>
      </c>
      <c r="O136" s="52">
        <v>1</v>
      </c>
      <c r="P136" s="52">
        <v>0.5</v>
      </c>
      <c r="Q136" s="52">
        <v>-0.3</v>
      </c>
      <c r="R136" s="52">
        <v>62.440737704918035</v>
      </c>
      <c r="S136" s="52"/>
      <c r="T136" s="52">
        <v>546.29999999999995</v>
      </c>
      <c r="U136" s="52"/>
      <c r="V136" s="52">
        <v>6984.9</v>
      </c>
      <c r="W136" s="52"/>
      <c r="X136" s="52"/>
      <c r="Y136" s="52">
        <v>8.1770218428116213</v>
      </c>
    </row>
    <row r="137" spans="1:25" x14ac:dyDescent="0.35">
      <c r="A137" s="54">
        <v>42719</v>
      </c>
      <c r="B137" s="52">
        <v>7.5</v>
      </c>
      <c r="C137" s="52">
        <v>4.5999999999999996</v>
      </c>
      <c r="D137" s="52">
        <v>9.4</v>
      </c>
      <c r="E137" s="52">
        <f t="shared" si="1"/>
        <v>803.49999999999977</v>
      </c>
      <c r="F137" s="52"/>
      <c r="G137" s="52"/>
      <c r="H137" s="52">
        <v>0</v>
      </c>
      <c r="I137" s="52"/>
      <c r="J137" s="52">
        <v>0.2</v>
      </c>
      <c r="K137" s="52"/>
      <c r="L137" s="52">
        <v>-0.2</v>
      </c>
      <c r="M137" s="52"/>
      <c r="N137" s="52">
        <v>84</v>
      </c>
      <c r="O137" s="52">
        <v>1</v>
      </c>
      <c r="P137" s="52">
        <v>0.2</v>
      </c>
      <c r="Q137" s="52">
        <v>-0.2</v>
      </c>
      <c r="R137" s="52">
        <v>62.240737704918033</v>
      </c>
      <c r="S137" s="52"/>
      <c r="T137" s="52">
        <v>189.3</v>
      </c>
      <c r="U137" s="52"/>
      <c r="V137" s="52">
        <v>7174.2</v>
      </c>
      <c r="W137" s="52"/>
      <c r="X137" s="52"/>
      <c r="Y137" s="52">
        <v>8.1683140346286738</v>
      </c>
    </row>
    <row r="138" spans="1:25" x14ac:dyDescent="0.35">
      <c r="A138" s="54">
        <v>42720</v>
      </c>
      <c r="B138" s="52">
        <v>7.6</v>
      </c>
      <c r="C138" s="52">
        <v>7.6</v>
      </c>
      <c r="D138" s="52">
        <v>10</v>
      </c>
      <c r="E138" s="52">
        <f t="shared" si="1"/>
        <v>811.0999999999998</v>
      </c>
      <c r="F138" s="52"/>
      <c r="G138" s="52"/>
      <c r="H138" s="52">
        <v>0.2</v>
      </c>
      <c r="I138" s="52"/>
      <c r="J138" s="52">
        <v>0.8</v>
      </c>
      <c r="K138" s="52"/>
      <c r="L138" s="52">
        <v>-0.60000000000000009</v>
      </c>
      <c r="M138" s="52"/>
      <c r="N138" s="52">
        <v>85</v>
      </c>
      <c r="O138" s="52">
        <v>1</v>
      </c>
      <c r="P138" s="52">
        <v>0.8</v>
      </c>
      <c r="Q138" s="52">
        <v>-0.60000000000000009</v>
      </c>
      <c r="R138" s="52">
        <v>61.640737704918031</v>
      </c>
      <c r="S138" s="52"/>
      <c r="T138" s="52">
        <v>373.1</v>
      </c>
      <c r="U138" s="52"/>
      <c r="V138" s="52">
        <v>7547.3</v>
      </c>
      <c r="W138" s="52"/>
      <c r="X138" s="52"/>
      <c r="Y138" s="52">
        <v>8.1609867055304228</v>
      </c>
    </row>
    <row r="139" spans="1:25" x14ac:dyDescent="0.35">
      <c r="A139" s="54">
        <v>42721</v>
      </c>
      <c r="B139" s="52">
        <v>3.7</v>
      </c>
      <c r="C139" s="52">
        <v>1.3</v>
      </c>
      <c r="D139" s="52">
        <v>5.7</v>
      </c>
      <c r="E139" s="52">
        <f t="shared" si="1"/>
        <v>814.79999999999984</v>
      </c>
      <c r="F139" s="52"/>
      <c r="G139" s="52"/>
      <c r="H139" s="52">
        <v>0.4</v>
      </c>
      <c r="I139" s="52"/>
      <c r="J139" s="52">
        <v>0.6</v>
      </c>
      <c r="K139" s="52"/>
      <c r="L139" s="52">
        <v>-0.19999999999999996</v>
      </c>
      <c r="M139" s="52"/>
      <c r="N139" s="52">
        <v>86</v>
      </c>
      <c r="O139" s="52">
        <v>1</v>
      </c>
      <c r="P139" s="52">
        <v>0.6</v>
      </c>
      <c r="Q139" s="52">
        <v>-0.19999999999999996</v>
      </c>
      <c r="R139" s="52">
        <v>61.440737704918028</v>
      </c>
      <c r="S139" s="52"/>
      <c r="T139" s="52">
        <v>250.1</v>
      </c>
      <c r="U139" s="52"/>
      <c r="V139" s="52">
        <v>7797.4000000000005</v>
      </c>
      <c r="W139" s="52"/>
      <c r="X139" s="52"/>
      <c r="Y139" s="52">
        <v>8.1550464875842312</v>
      </c>
    </row>
    <row r="140" spans="1:25" x14ac:dyDescent="0.35">
      <c r="A140" s="54">
        <v>42722</v>
      </c>
      <c r="B140" s="52">
        <v>3.5</v>
      </c>
      <c r="C140" s="52">
        <v>3</v>
      </c>
      <c r="D140" s="52">
        <v>3.8</v>
      </c>
      <c r="E140" s="52">
        <f t="shared" si="1"/>
        <v>818.29999999999984</v>
      </c>
      <c r="F140" s="52"/>
      <c r="G140" s="52"/>
      <c r="H140" s="52">
        <v>0.3</v>
      </c>
      <c r="I140" s="52"/>
      <c r="J140" s="52">
        <v>0.3</v>
      </c>
      <c r="K140" s="52"/>
      <c r="L140" s="52">
        <v>0</v>
      </c>
      <c r="M140" s="52"/>
      <c r="N140" s="52">
        <v>87</v>
      </c>
      <c r="O140" s="52">
        <v>1</v>
      </c>
      <c r="P140" s="52">
        <v>0.3</v>
      </c>
      <c r="Q140" s="52">
        <v>0</v>
      </c>
      <c r="R140" s="52">
        <v>61.440737704918028</v>
      </c>
      <c r="S140" s="52"/>
      <c r="T140" s="52">
        <v>258.7</v>
      </c>
      <c r="U140" s="52"/>
      <c r="V140" s="52">
        <v>8056.1</v>
      </c>
      <c r="W140" s="52"/>
      <c r="X140" s="52"/>
      <c r="Y140" s="52">
        <v>8.1504987787304159</v>
      </c>
    </row>
    <row r="141" spans="1:25" x14ac:dyDescent="0.35">
      <c r="A141" s="54">
        <v>42723</v>
      </c>
      <c r="B141" s="52">
        <v>3.3</v>
      </c>
      <c r="C141" s="52">
        <v>2</v>
      </c>
      <c r="D141" s="52">
        <v>4.3</v>
      </c>
      <c r="E141" s="52">
        <f t="shared" si="1"/>
        <v>821.5999999999998</v>
      </c>
      <c r="F141" s="52"/>
      <c r="G141" s="52"/>
      <c r="H141" s="52">
        <v>0.7</v>
      </c>
      <c r="I141" s="52"/>
      <c r="J141" s="52">
        <v>0.1</v>
      </c>
      <c r="K141" s="52"/>
      <c r="L141" s="52">
        <v>0.6</v>
      </c>
      <c r="M141" s="52"/>
      <c r="N141" s="52">
        <v>88</v>
      </c>
      <c r="O141" s="52">
        <v>1</v>
      </c>
      <c r="P141" s="52">
        <v>0.1</v>
      </c>
      <c r="Q141" s="52">
        <v>0.6</v>
      </c>
      <c r="R141" s="52">
        <v>62.04073770491803</v>
      </c>
      <c r="S141" s="52"/>
      <c r="T141" s="52">
        <v>32.299999999999997</v>
      </c>
      <c r="U141" s="52"/>
      <c r="V141" s="52">
        <v>8088.4000000000005</v>
      </c>
      <c r="W141" s="52"/>
      <c r="X141" s="52"/>
      <c r="Y141" s="52">
        <v>8.1473477244981485</v>
      </c>
    </row>
    <row r="142" spans="1:25" x14ac:dyDescent="0.35">
      <c r="A142" s="54">
        <v>42724</v>
      </c>
      <c r="B142" s="52">
        <v>3.1</v>
      </c>
      <c r="C142" s="52">
        <v>1.4</v>
      </c>
      <c r="D142" s="52">
        <v>4.4000000000000004</v>
      </c>
      <c r="E142" s="52">
        <f t="shared" si="1"/>
        <v>824.69999999999982</v>
      </c>
      <c r="F142" s="52"/>
      <c r="G142" s="52"/>
      <c r="H142" s="52">
        <v>0.3</v>
      </c>
      <c r="I142" s="52"/>
      <c r="J142" s="52">
        <v>0.4</v>
      </c>
      <c r="K142" s="52"/>
      <c r="L142" s="52">
        <v>-0.10000000000000003</v>
      </c>
      <c r="M142" s="52"/>
      <c r="N142" s="52">
        <v>89</v>
      </c>
      <c r="O142" s="52">
        <v>1</v>
      </c>
      <c r="P142" s="52">
        <v>0.4</v>
      </c>
      <c r="Q142" s="52">
        <v>-0.10000000000000003</v>
      </c>
      <c r="R142" s="52">
        <v>61.940737704918028</v>
      </c>
      <c r="S142" s="52"/>
      <c r="T142" s="52">
        <v>363.1</v>
      </c>
      <c r="U142" s="52"/>
      <c r="V142" s="52">
        <v>8451.5</v>
      </c>
      <c r="W142" s="52"/>
      <c r="X142" s="52"/>
      <c r="Y142" s="52">
        <v>8.1455962038944758</v>
      </c>
    </row>
    <row r="143" spans="1:25" x14ac:dyDescent="0.35">
      <c r="A143" s="54">
        <v>42725</v>
      </c>
      <c r="B143" s="52">
        <v>7.5</v>
      </c>
      <c r="C143" s="52">
        <v>4.3</v>
      </c>
      <c r="D143" s="52">
        <v>10.4</v>
      </c>
      <c r="E143" s="52">
        <f t="shared" si="1"/>
        <v>832.19999999999982</v>
      </c>
      <c r="F143" s="52"/>
      <c r="G143" s="52"/>
      <c r="H143" s="52">
        <v>8.1999999999999993</v>
      </c>
      <c r="I143" s="52"/>
      <c r="J143" s="52">
        <v>0.4</v>
      </c>
      <c r="K143" s="52"/>
      <c r="L143" s="52">
        <v>7.7999999999999989</v>
      </c>
      <c r="M143" s="52"/>
      <c r="N143" s="52">
        <v>90</v>
      </c>
      <c r="O143" s="52">
        <v>1</v>
      </c>
      <c r="P143" s="52">
        <v>0.4</v>
      </c>
      <c r="Q143" s="52">
        <v>7.7999999999999989</v>
      </c>
      <c r="R143" s="52">
        <v>69.740737704918033</v>
      </c>
      <c r="S143" s="52"/>
      <c r="T143" s="52">
        <v>64.5</v>
      </c>
      <c r="U143" s="52"/>
      <c r="V143" s="52">
        <v>8516</v>
      </c>
      <c r="W143" s="52"/>
      <c r="X143" s="52"/>
      <c r="Y143" s="52">
        <v>8.1452458195690891</v>
      </c>
    </row>
    <row r="144" spans="1:25" x14ac:dyDescent="0.35">
      <c r="A144" s="54">
        <v>42726</v>
      </c>
      <c r="B144" s="52">
        <v>7.2</v>
      </c>
      <c r="C144" s="52">
        <v>5.7</v>
      </c>
      <c r="D144" s="52">
        <v>9.1</v>
      </c>
      <c r="E144" s="52">
        <f t="shared" si="1"/>
        <v>839.39999999999986</v>
      </c>
      <c r="F144" s="52"/>
      <c r="G144" s="52"/>
      <c r="H144" s="52">
        <v>0.2</v>
      </c>
      <c r="I144" s="52"/>
      <c r="J144" s="52">
        <v>0.4</v>
      </c>
      <c r="K144" s="52"/>
      <c r="L144" s="52">
        <v>-0.2</v>
      </c>
      <c r="M144" s="52"/>
      <c r="N144" s="52">
        <v>91</v>
      </c>
      <c r="O144" s="52">
        <v>1</v>
      </c>
      <c r="P144" s="52">
        <v>0.4</v>
      </c>
      <c r="Q144" s="52">
        <v>-0.2</v>
      </c>
      <c r="R144" s="52">
        <v>69.54073770491803</v>
      </c>
      <c r="S144" s="52"/>
      <c r="T144" s="52">
        <v>189.2</v>
      </c>
      <c r="U144" s="52"/>
      <c r="V144" s="52">
        <v>8705.2000000000007</v>
      </c>
      <c r="W144" s="52"/>
      <c r="X144" s="52"/>
      <c r="Y144" s="52">
        <v>8.1462968923268395</v>
      </c>
    </row>
    <row r="145" spans="1:25" x14ac:dyDescent="0.35">
      <c r="A145" s="54">
        <v>42727</v>
      </c>
      <c r="B145" s="52">
        <v>6</v>
      </c>
      <c r="C145" s="52">
        <v>2.1</v>
      </c>
      <c r="D145" s="52">
        <v>11.6</v>
      </c>
      <c r="E145" s="52">
        <f t="shared" si="1"/>
        <v>845.39999999999986</v>
      </c>
      <c r="F145" s="52"/>
      <c r="G145" s="52"/>
      <c r="H145" s="52">
        <v>0.7</v>
      </c>
      <c r="I145" s="52"/>
      <c r="J145" s="52">
        <v>0.5</v>
      </c>
      <c r="K145" s="52"/>
      <c r="L145" s="52">
        <v>0.19999999999999996</v>
      </c>
      <c r="M145" s="52"/>
      <c r="N145" s="52">
        <v>92</v>
      </c>
      <c r="O145" s="52">
        <v>1</v>
      </c>
      <c r="P145" s="52">
        <v>0.5</v>
      </c>
      <c r="Q145" s="52">
        <v>0.19999999999999996</v>
      </c>
      <c r="R145" s="52">
        <v>69.740737704918033</v>
      </c>
      <c r="S145" s="52"/>
      <c r="T145" s="52">
        <v>187.9</v>
      </c>
      <c r="U145" s="52"/>
      <c r="V145" s="52">
        <v>8893.1</v>
      </c>
      <c r="W145" s="52"/>
      <c r="X145" s="52"/>
      <c r="Y145" s="52">
        <v>8.148748460028191</v>
      </c>
    </row>
    <row r="146" spans="1:25" x14ac:dyDescent="0.35">
      <c r="A146" s="54">
        <v>42728</v>
      </c>
      <c r="B146" s="52">
        <v>8</v>
      </c>
      <c r="C146" s="52">
        <v>5.5</v>
      </c>
      <c r="D146" s="52">
        <v>10.5</v>
      </c>
      <c r="E146" s="52">
        <f t="shared" si="1"/>
        <v>853.39999999999986</v>
      </c>
      <c r="F146" s="52"/>
      <c r="G146" s="52"/>
      <c r="H146" s="52">
        <v>0.1</v>
      </c>
      <c r="I146" s="52"/>
      <c r="J146" s="52">
        <v>0.4</v>
      </c>
      <c r="K146" s="52"/>
      <c r="L146" s="52">
        <v>-0.30000000000000004</v>
      </c>
      <c r="M146" s="52"/>
      <c r="N146" s="52">
        <v>93</v>
      </c>
      <c r="O146" s="52">
        <v>1</v>
      </c>
      <c r="P146" s="52">
        <v>0.4</v>
      </c>
      <c r="Q146" s="52">
        <v>-0.30000000000000004</v>
      </c>
      <c r="R146" s="52">
        <v>69.440737704918035</v>
      </c>
      <c r="S146" s="52"/>
      <c r="T146" s="52">
        <v>215.6</v>
      </c>
      <c r="U146" s="52"/>
      <c r="V146" s="52">
        <v>9108.7000000000007</v>
      </c>
      <c r="W146" s="52"/>
      <c r="X146" s="52"/>
      <c r="Y146" s="52">
        <v>8.1525982808857957</v>
      </c>
    </row>
    <row r="147" spans="1:25" x14ac:dyDescent="0.35">
      <c r="A147" s="54">
        <v>42729</v>
      </c>
      <c r="B147" s="52">
        <v>10.5</v>
      </c>
      <c r="C147" s="52">
        <v>6.8</v>
      </c>
      <c r="D147" s="52">
        <v>12.4</v>
      </c>
      <c r="E147" s="52">
        <f t="shared" si="1"/>
        <v>863.89999999999986</v>
      </c>
      <c r="F147" s="52"/>
      <c r="G147" s="52"/>
      <c r="H147" s="52">
        <v>0.6</v>
      </c>
      <c r="I147" s="52"/>
      <c r="J147" s="52">
        <v>0.2</v>
      </c>
      <c r="K147" s="52"/>
      <c r="L147" s="52">
        <v>0.39999999999999997</v>
      </c>
      <c r="M147" s="52"/>
      <c r="N147" s="52">
        <v>94</v>
      </c>
      <c r="O147" s="52">
        <v>1</v>
      </c>
      <c r="P147" s="52">
        <v>0.2</v>
      </c>
      <c r="Q147" s="52">
        <v>0.39999999999999997</v>
      </c>
      <c r="R147" s="52">
        <v>69.840737704918041</v>
      </c>
      <c r="S147" s="52"/>
      <c r="T147" s="52">
        <v>130.6</v>
      </c>
      <c r="U147" s="52"/>
      <c r="V147" s="52">
        <v>9239.3000000000011</v>
      </c>
      <c r="W147" s="52"/>
      <c r="X147" s="52"/>
      <c r="Y147" s="52">
        <v>8.1578428411328474</v>
      </c>
    </row>
    <row r="148" spans="1:25" x14ac:dyDescent="0.35">
      <c r="A148" s="54">
        <v>42730</v>
      </c>
      <c r="B148" s="52">
        <v>8.8000000000000007</v>
      </c>
      <c r="C148" s="52">
        <v>7</v>
      </c>
      <c r="D148" s="52">
        <v>11.3</v>
      </c>
      <c r="E148" s="52">
        <f t="shared" si="1"/>
        <v>872.69999999999982</v>
      </c>
      <c r="F148" s="52"/>
      <c r="G148" s="52"/>
      <c r="H148" s="52">
        <v>0.3</v>
      </c>
      <c r="I148" s="52"/>
      <c r="J148" s="52">
        <v>0.5</v>
      </c>
      <c r="K148" s="52"/>
      <c r="L148" s="52">
        <v>-0.2</v>
      </c>
      <c r="M148" s="52"/>
      <c r="N148" s="52">
        <v>95</v>
      </c>
      <c r="O148" s="52">
        <v>1</v>
      </c>
      <c r="P148" s="52">
        <v>0.5</v>
      </c>
      <c r="Q148" s="52">
        <v>-0.2</v>
      </c>
      <c r="R148" s="52">
        <v>69.640737704918038</v>
      </c>
      <c r="S148" s="52"/>
      <c r="T148" s="52">
        <v>193.1</v>
      </c>
      <c r="U148" s="52"/>
      <c r="V148" s="52">
        <v>9432.4000000000015</v>
      </c>
      <c r="W148" s="52"/>
      <c r="X148" s="52"/>
      <c r="Y148" s="52">
        <v>8.1644773670071498</v>
      </c>
    </row>
    <row r="149" spans="1:25" x14ac:dyDescent="0.35">
      <c r="A149" s="54">
        <v>42731</v>
      </c>
      <c r="B149" s="52">
        <v>3</v>
      </c>
      <c r="C149" s="52">
        <v>-0.8</v>
      </c>
      <c r="D149" s="52">
        <v>6.5</v>
      </c>
      <c r="E149" s="52">
        <f t="shared" si="1"/>
        <v>875.69999999999982</v>
      </c>
      <c r="F149" s="52"/>
      <c r="G149" s="52"/>
      <c r="H149" s="52">
        <v>0</v>
      </c>
      <c r="I149" s="52"/>
      <c r="J149" s="52">
        <v>0.6</v>
      </c>
      <c r="K149" s="52"/>
      <c r="L149" s="52">
        <v>-0.6</v>
      </c>
      <c r="M149" s="52"/>
      <c r="N149" s="52">
        <v>96</v>
      </c>
      <c r="O149" s="52">
        <v>1</v>
      </c>
      <c r="P149" s="52">
        <v>0.6</v>
      </c>
      <c r="Q149" s="52">
        <v>-0.6</v>
      </c>
      <c r="R149" s="52">
        <v>69.040737704918044</v>
      </c>
      <c r="S149" s="52"/>
      <c r="T149" s="52">
        <v>618.5</v>
      </c>
      <c r="U149" s="52"/>
      <c r="V149" s="52">
        <v>10050.900000000001</v>
      </c>
      <c r="W149" s="52"/>
      <c r="X149" s="52"/>
      <c r="Y149" s="52">
        <v>8.1724958409633626</v>
      </c>
    </row>
    <row r="150" spans="1:25" x14ac:dyDescent="0.35">
      <c r="A150" s="54">
        <v>42732</v>
      </c>
      <c r="B150" s="52">
        <v>2.4</v>
      </c>
      <c r="C150" s="52">
        <v>1.2</v>
      </c>
      <c r="D150" s="52">
        <v>4.5999999999999996</v>
      </c>
      <c r="E150" s="52">
        <f t="shared" si="1"/>
        <v>878.0999999999998</v>
      </c>
      <c r="F150" s="52"/>
      <c r="G150" s="52"/>
      <c r="H150" s="52">
        <v>0</v>
      </c>
      <c r="I150" s="52"/>
      <c r="J150" s="52">
        <v>0.6</v>
      </c>
      <c r="K150" s="52"/>
      <c r="L150" s="52">
        <v>-0.6</v>
      </c>
      <c r="M150" s="52"/>
      <c r="N150" s="52">
        <v>97</v>
      </c>
      <c r="O150" s="52">
        <v>1</v>
      </c>
      <c r="P150" s="52">
        <v>0.6</v>
      </c>
      <c r="Q150" s="52">
        <v>-0.6</v>
      </c>
      <c r="R150" s="52">
        <v>68.44073770491805</v>
      </c>
      <c r="S150" s="52"/>
      <c r="T150" s="52">
        <v>523.79999999999995</v>
      </c>
      <c r="U150" s="52"/>
      <c r="V150" s="52">
        <v>10574.7</v>
      </c>
      <c r="W150" s="52"/>
      <c r="X150" s="52"/>
      <c r="Y150" s="52">
        <v>8.1818910219958845</v>
      </c>
    </row>
    <row r="151" spans="1:25" x14ac:dyDescent="0.35">
      <c r="A151" s="54">
        <v>42733</v>
      </c>
      <c r="B151" s="52">
        <v>0.9</v>
      </c>
      <c r="C151" s="52">
        <v>-2.2000000000000002</v>
      </c>
      <c r="D151" s="52">
        <v>5.2</v>
      </c>
      <c r="E151" s="52">
        <f t="shared" si="1"/>
        <v>878.99999999999977</v>
      </c>
      <c r="F151" s="52"/>
      <c r="G151" s="52"/>
      <c r="H151" s="52">
        <v>0</v>
      </c>
      <c r="I151" s="52"/>
      <c r="J151" s="52">
        <v>0.7</v>
      </c>
      <c r="K151" s="52"/>
      <c r="L151" s="52">
        <v>-0.7</v>
      </c>
      <c r="M151" s="52"/>
      <c r="N151" s="52">
        <v>98</v>
      </c>
      <c r="O151" s="52">
        <v>1</v>
      </c>
      <c r="P151" s="52">
        <v>0.7</v>
      </c>
      <c r="Q151" s="52">
        <v>-0.7</v>
      </c>
      <c r="R151" s="52">
        <v>67.740737704918047</v>
      </c>
      <c r="S151" s="52"/>
      <c r="T151" s="52">
        <v>649.5</v>
      </c>
      <c r="U151" s="52"/>
      <c r="V151" s="52">
        <v>11224.2</v>
      </c>
      <c r="W151" s="52"/>
      <c r="X151" s="52"/>
      <c r="Y151" s="52">
        <v>8.1926544699261221</v>
      </c>
    </row>
    <row r="152" spans="1:25" x14ac:dyDescent="0.35">
      <c r="A152" s="54">
        <v>42734</v>
      </c>
      <c r="B152" s="52">
        <v>-3.5</v>
      </c>
      <c r="C152" s="52">
        <v>-4.5999999999999996</v>
      </c>
      <c r="D152" s="52">
        <v>-2.9</v>
      </c>
      <c r="E152" s="52">
        <v>879</v>
      </c>
      <c r="F152" s="52"/>
      <c r="G152" s="52"/>
      <c r="H152" s="52">
        <v>0</v>
      </c>
      <c r="I152" s="52"/>
      <c r="J152" s="52">
        <v>0.3</v>
      </c>
      <c r="K152" s="52"/>
      <c r="L152" s="52">
        <v>-0.3</v>
      </c>
      <c r="M152" s="52"/>
      <c r="N152" s="52">
        <v>99</v>
      </c>
      <c r="O152" s="52">
        <v>1</v>
      </c>
      <c r="P152" s="52">
        <v>0.3</v>
      </c>
      <c r="Q152" s="52">
        <v>-0.3</v>
      </c>
      <c r="R152" s="52">
        <v>67.44073770491805</v>
      </c>
      <c r="S152" s="52"/>
      <c r="T152" s="52">
        <v>302.10000000000002</v>
      </c>
      <c r="U152" s="52"/>
      <c r="V152" s="52">
        <v>11526.300000000001</v>
      </c>
      <c r="W152" s="52"/>
      <c r="X152" s="52"/>
      <c r="Y152" s="52">
        <v>8.2047765734811406</v>
      </c>
    </row>
    <row r="153" spans="1:25" x14ac:dyDescent="0.35">
      <c r="A153" s="54">
        <v>42735</v>
      </c>
      <c r="B153" s="52">
        <v>-4.3</v>
      </c>
      <c r="C153" s="52">
        <v>-5.0999999999999996</v>
      </c>
      <c r="D153" s="52">
        <v>-3.1</v>
      </c>
      <c r="E153" s="52">
        <v>879</v>
      </c>
      <c r="F153" s="52"/>
      <c r="G153" s="52"/>
      <c r="H153" s="52">
        <v>0</v>
      </c>
      <c r="I153" s="52"/>
      <c r="J153" s="52">
        <v>0.3</v>
      </c>
      <c r="K153" s="52"/>
      <c r="L153" s="52">
        <v>-0.3</v>
      </c>
      <c r="M153" s="52"/>
      <c r="N153" s="52">
        <v>100</v>
      </c>
      <c r="O153" s="52">
        <v>1</v>
      </c>
      <c r="P153" s="52">
        <v>0.3</v>
      </c>
      <c r="Q153" s="52">
        <v>-0.3</v>
      </c>
      <c r="R153" s="52">
        <v>67.140737704918052</v>
      </c>
      <c r="S153" s="52"/>
      <c r="T153" s="52">
        <v>202.3</v>
      </c>
      <c r="U153" s="52"/>
      <c r="V153" s="52">
        <v>11728.6</v>
      </c>
      <c r="W153" s="52"/>
      <c r="X153" s="52"/>
      <c r="Y153" s="52">
        <v>8.2182465819659498</v>
      </c>
    </row>
    <row r="154" spans="1:25" x14ac:dyDescent="0.35">
      <c r="A154" s="54">
        <v>42736</v>
      </c>
      <c r="B154" s="52">
        <v>-0.4</v>
      </c>
      <c r="C154" s="52">
        <v>-3.9</v>
      </c>
      <c r="D154" s="52">
        <v>2.2999999999999998</v>
      </c>
      <c r="E154" s="52">
        <v>879</v>
      </c>
      <c r="F154" s="52"/>
      <c r="G154" s="52"/>
      <c r="H154" s="52">
        <v>0</v>
      </c>
      <c r="I154" s="52"/>
      <c r="J154" s="52">
        <v>0.1</v>
      </c>
      <c r="K154" s="52"/>
      <c r="L154" s="52">
        <v>-0.1</v>
      </c>
      <c r="M154" s="52"/>
      <c r="N154" s="52">
        <v>101</v>
      </c>
      <c r="O154" s="52">
        <v>1</v>
      </c>
      <c r="P154" s="52">
        <v>0.1</v>
      </c>
      <c r="Q154" s="52">
        <v>-0.1</v>
      </c>
      <c r="R154" s="52">
        <v>67.040737704918058</v>
      </c>
      <c r="S154" s="52"/>
      <c r="T154" s="52">
        <v>63.7</v>
      </c>
      <c r="U154" s="52"/>
      <c r="V154" s="52">
        <v>11792.300000000001</v>
      </c>
      <c r="W154" s="52"/>
      <c r="X154" s="52"/>
      <c r="Y154" s="52">
        <v>8.2330526403095128</v>
      </c>
    </row>
    <row r="155" spans="1:25" x14ac:dyDescent="0.35">
      <c r="A155" s="54">
        <v>42737</v>
      </c>
      <c r="B155" s="52">
        <v>2.2000000000000002</v>
      </c>
      <c r="C155" s="52">
        <v>1.9</v>
      </c>
      <c r="D155" s="52">
        <v>3.8</v>
      </c>
      <c r="E155" s="52">
        <f t="shared" si="1"/>
        <v>881.2</v>
      </c>
      <c r="F155" s="52"/>
      <c r="G155" s="52"/>
      <c r="H155" s="52">
        <v>0</v>
      </c>
      <c r="I155" s="52"/>
      <c r="J155" s="52">
        <v>0.3</v>
      </c>
      <c r="K155" s="52"/>
      <c r="L155" s="52">
        <v>-0.3</v>
      </c>
      <c r="M155" s="52"/>
      <c r="N155" s="52">
        <v>102</v>
      </c>
      <c r="O155" s="52">
        <v>1</v>
      </c>
      <c r="P155" s="52">
        <v>0.3</v>
      </c>
      <c r="Q155" s="52">
        <v>-0.3</v>
      </c>
      <c r="R155" s="52">
        <v>66.740737704918061</v>
      </c>
      <c r="S155" s="52"/>
      <c r="T155" s="52">
        <v>167.7</v>
      </c>
      <c r="U155" s="52"/>
      <c r="V155" s="52">
        <v>11960.000000000002</v>
      </c>
      <c r="W155" s="52"/>
      <c r="X155" s="52"/>
      <c r="Y155" s="52">
        <v>8.2491818272448576</v>
      </c>
    </row>
    <row r="156" spans="1:25" x14ac:dyDescent="0.35">
      <c r="A156" s="54">
        <v>42738</v>
      </c>
      <c r="B156" s="52">
        <v>-1.4</v>
      </c>
      <c r="C156" s="52">
        <v>-2</v>
      </c>
      <c r="D156" s="52">
        <v>-0.6</v>
      </c>
      <c r="E156" s="52">
        <v>881.2</v>
      </c>
      <c r="F156" s="52"/>
      <c r="G156" s="52"/>
      <c r="H156" s="52">
        <v>0</v>
      </c>
      <c r="I156" s="52"/>
      <c r="J156" s="52">
        <v>0.3</v>
      </c>
      <c r="K156" s="52"/>
      <c r="L156" s="52">
        <v>-0.3</v>
      </c>
      <c r="M156" s="52"/>
      <c r="N156" s="52">
        <v>103</v>
      </c>
      <c r="O156" s="52">
        <v>1</v>
      </c>
      <c r="P156" s="52">
        <v>0.3</v>
      </c>
      <c r="Q156" s="52">
        <v>-0.3</v>
      </c>
      <c r="R156" s="52">
        <v>66.440737704918064</v>
      </c>
      <c r="S156" s="52"/>
      <c r="T156" s="52">
        <v>286.60000000000002</v>
      </c>
      <c r="U156" s="52"/>
      <c r="V156" s="52">
        <v>12246.600000000002</v>
      </c>
      <c r="W156" s="52"/>
      <c r="X156" s="52"/>
      <c r="Y156" s="52">
        <v>8.2666201963669401</v>
      </c>
    </row>
    <row r="157" spans="1:25" x14ac:dyDescent="0.35">
      <c r="A157" s="54">
        <v>42739</v>
      </c>
      <c r="B157" s="52">
        <v>1.8</v>
      </c>
      <c r="C157" s="52">
        <v>-2.7</v>
      </c>
      <c r="D157" s="52">
        <v>4.7</v>
      </c>
      <c r="E157" s="52">
        <f t="shared" si="1"/>
        <v>883</v>
      </c>
      <c r="F157" s="52"/>
      <c r="G157" s="52"/>
      <c r="H157" s="52">
        <v>0</v>
      </c>
      <c r="I157" s="52"/>
      <c r="J157" s="52">
        <v>0.1</v>
      </c>
      <c r="K157" s="52"/>
      <c r="L157" s="52">
        <v>-0.1</v>
      </c>
      <c r="M157" s="52"/>
      <c r="N157" s="52">
        <v>104</v>
      </c>
      <c r="O157" s="52">
        <v>1</v>
      </c>
      <c r="P157" s="52">
        <v>0.1</v>
      </c>
      <c r="Q157" s="52">
        <v>-0.1</v>
      </c>
      <c r="R157" s="52">
        <v>66.34073770491807</v>
      </c>
      <c r="S157" s="52"/>
      <c r="T157" s="52">
        <v>87.4</v>
      </c>
      <c r="U157" s="52"/>
      <c r="V157" s="52">
        <v>12334.000000000002</v>
      </c>
      <c r="W157" s="52"/>
      <c r="X157" s="52"/>
      <c r="Y157" s="52">
        <v>8.2853528197978985</v>
      </c>
    </row>
    <row r="158" spans="1:25" x14ac:dyDescent="0.35">
      <c r="A158" s="54">
        <v>42740</v>
      </c>
      <c r="B158" s="52">
        <v>3</v>
      </c>
      <c r="C158" s="52">
        <v>2.1</v>
      </c>
      <c r="D158" s="52">
        <v>6.8</v>
      </c>
      <c r="E158" s="52">
        <f t="shared" si="1"/>
        <v>886</v>
      </c>
      <c r="F158" s="52"/>
      <c r="G158" s="52"/>
      <c r="H158" s="52">
        <v>0</v>
      </c>
      <c r="I158" s="52"/>
      <c r="J158" s="52">
        <v>0.9</v>
      </c>
      <c r="K158" s="52"/>
      <c r="L158" s="52">
        <v>-0.9</v>
      </c>
      <c r="M158" s="52"/>
      <c r="N158" s="52">
        <v>105</v>
      </c>
      <c r="O158" s="52">
        <v>1</v>
      </c>
      <c r="P158" s="52">
        <v>0.9</v>
      </c>
      <c r="Q158" s="52">
        <v>-0.9</v>
      </c>
      <c r="R158" s="52">
        <v>65.440737704918064</v>
      </c>
      <c r="S158" s="52"/>
      <c r="T158" s="52">
        <v>630.79999999999995</v>
      </c>
      <c r="U158" s="52"/>
      <c r="V158" s="52">
        <v>12964.800000000001</v>
      </c>
      <c r="W158" s="52"/>
      <c r="X158" s="52"/>
      <c r="Y158" s="52">
        <v>8.3053638341785643</v>
      </c>
    </row>
    <row r="159" spans="1:25" x14ac:dyDescent="0.35">
      <c r="A159" s="54">
        <v>42741</v>
      </c>
      <c r="B159" s="52">
        <v>-2</v>
      </c>
      <c r="C159" s="52">
        <v>-4.3</v>
      </c>
      <c r="D159" s="52">
        <v>0.1</v>
      </c>
      <c r="E159" s="52">
        <v>886</v>
      </c>
      <c r="F159" s="52"/>
      <c r="G159" s="52"/>
      <c r="H159" s="52">
        <v>0</v>
      </c>
      <c r="I159" s="52"/>
      <c r="J159" s="52">
        <v>0.4</v>
      </c>
      <c r="K159" s="52"/>
      <c r="L159" s="52">
        <v>-0.4</v>
      </c>
      <c r="M159" s="52"/>
      <c r="N159" s="52">
        <v>106</v>
      </c>
      <c r="O159" s="52">
        <v>1</v>
      </c>
      <c r="P159" s="52">
        <v>0.4</v>
      </c>
      <c r="Q159" s="52">
        <v>-0.4</v>
      </c>
      <c r="R159" s="52">
        <v>65.040737704918058</v>
      </c>
      <c r="S159" s="52"/>
      <c r="T159" s="52">
        <v>317.8</v>
      </c>
      <c r="U159" s="52"/>
      <c r="V159" s="52">
        <v>13282.6</v>
      </c>
      <c r="W159" s="52"/>
      <c r="X159" s="52"/>
      <c r="Y159" s="52">
        <v>8.3266364886970745</v>
      </c>
    </row>
    <row r="160" spans="1:25" x14ac:dyDescent="0.35">
      <c r="A160" s="54">
        <v>42742</v>
      </c>
      <c r="B160" s="52">
        <v>1</v>
      </c>
      <c r="C160" s="52">
        <v>-2.7</v>
      </c>
      <c r="D160" s="52">
        <v>6.9</v>
      </c>
      <c r="E160" s="52">
        <f t="shared" si="1"/>
        <v>887</v>
      </c>
      <c r="F160" s="52"/>
      <c r="G160" s="52"/>
      <c r="H160" s="52">
        <v>0</v>
      </c>
      <c r="I160" s="52"/>
      <c r="J160" s="52">
        <v>0.4</v>
      </c>
      <c r="K160" s="52"/>
      <c r="L160" s="52">
        <v>-0.4</v>
      </c>
      <c r="M160" s="52"/>
      <c r="N160" s="52">
        <v>107</v>
      </c>
      <c r="O160" s="52">
        <v>1</v>
      </c>
      <c r="P160" s="52">
        <v>0.4</v>
      </c>
      <c r="Q160" s="52">
        <v>-0.4</v>
      </c>
      <c r="R160" s="52">
        <v>64.640737704918052</v>
      </c>
      <c r="S160" s="52"/>
      <c r="T160" s="52">
        <v>103.3</v>
      </c>
      <c r="U160" s="52"/>
      <c r="V160" s="52">
        <v>13385.9</v>
      </c>
      <c r="W160" s="52"/>
      <c r="X160" s="52"/>
      <c r="Y160" s="52">
        <v>8.349153194860655</v>
      </c>
    </row>
    <row r="161" spans="1:25" x14ac:dyDescent="0.35">
      <c r="A161" s="54">
        <v>42743</v>
      </c>
      <c r="B161" s="52">
        <v>7.8</v>
      </c>
      <c r="C161" s="52">
        <v>3.8</v>
      </c>
      <c r="D161" s="52">
        <v>9.1999999999999993</v>
      </c>
      <c r="E161" s="52">
        <f t="shared" si="1"/>
        <v>894.8</v>
      </c>
      <c r="F161" s="52"/>
      <c r="G161" s="52"/>
      <c r="H161" s="52">
        <v>0.6</v>
      </c>
      <c r="I161" s="52"/>
      <c r="J161" s="52">
        <v>0.2</v>
      </c>
      <c r="K161" s="52"/>
      <c r="L161" s="52">
        <v>0.39999999999999997</v>
      </c>
      <c r="M161" s="52"/>
      <c r="N161" s="52">
        <v>108</v>
      </c>
      <c r="O161" s="52">
        <v>1</v>
      </c>
      <c r="P161" s="52">
        <v>0.2</v>
      </c>
      <c r="Q161" s="52">
        <v>0.39999999999999997</v>
      </c>
      <c r="R161" s="52">
        <v>65.040737704918058</v>
      </c>
      <c r="S161" s="52"/>
      <c r="T161" s="52">
        <v>126.8</v>
      </c>
      <c r="U161" s="52"/>
      <c r="V161" s="52">
        <v>13512.699999999999</v>
      </c>
      <c r="W161" s="52"/>
      <c r="X161" s="52"/>
      <c r="Y161" s="52">
        <v>8.3728955777145835</v>
      </c>
    </row>
    <row r="162" spans="1:25" x14ac:dyDescent="0.35">
      <c r="A162" s="54">
        <v>42744</v>
      </c>
      <c r="B162" s="52">
        <v>7.5</v>
      </c>
      <c r="C162" s="52">
        <v>6</v>
      </c>
      <c r="D162" s="52">
        <v>9</v>
      </c>
      <c r="E162" s="52">
        <f t="shared" si="1"/>
        <v>902.3</v>
      </c>
      <c r="F162" s="52"/>
      <c r="G162" s="52"/>
      <c r="H162" s="52">
        <v>3</v>
      </c>
      <c r="I162" s="52"/>
      <c r="J162" s="52">
        <v>0.3</v>
      </c>
      <c r="K162" s="52"/>
      <c r="L162" s="52">
        <v>2.7</v>
      </c>
      <c r="M162" s="52"/>
      <c r="N162" s="52">
        <v>109</v>
      </c>
      <c r="O162" s="52">
        <v>1</v>
      </c>
      <c r="P162" s="52">
        <v>0.3</v>
      </c>
      <c r="Q162" s="52">
        <v>2.7</v>
      </c>
      <c r="R162" s="52">
        <v>67.740737704918061</v>
      </c>
      <c r="S162" s="52"/>
      <c r="T162" s="52">
        <v>86.3</v>
      </c>
      <c r="U162" s="52"/>
      <c r="V162" s="52">
        <v>13598.999999999998</v>
      </c>
      <c r="W162" s="52"/>
      <c r="X162" s="52"/>
      <c r="Y162" s="52">
        <v>8.3978445282131968</v>
      </c>
    </row>
    <row r="163" spans="1:25" x14ac:dyDescent="0.35">
      <c r="A163" s="54">
        <v>42745</v>
      </c>
      <c r="B163" s="52">
        <v>7.5</v>
      </c>
      <c r="C163" s="52">
        <v>6.3</v>
      </c>
      <c r="D163" s="52">
        <v>8.8000000000000007</v>
      </c>
      <c r="E163" s="52">
        <f t="shared" si="1"/>
        <v>909.8</v>
      </c>
      <c r="F163" s="52"/>
      <c r="G163" s="52"/>
      <c r="H163" s="52">
        <v>1.4</v>
      </c>
      <c r="I163" s="52"/>
      <c r="J163" s="52">
        <v>0.3</v>
      </c>
      <c r="K163" s="52"/>
      <c r="L163" s="52">
        <v>1.0999999999999999</v>
      </c>
      <c r="M163" s="52"/>
      <c r="N163" s="52">
        <v>110</v>
      </c>
      <c r="O163" s="52">
        <v>1</v>
      </c>
      <c r="P163" s="52">
        <v>0.3</v>
      </c>
      <c r="Q163" s="52">
        <v>1.0999999999999999</v>
      </c>
      <c r="R163" s="52">
        <v>68.840737704918055</v>
      </c>
      <c r="S163" s="52"/>
      <c r="T163" s="52">
        <v>165.1</v>
      </c>
      <c r="U163" s="52"/>
      <c r="V163" s="52">
        <v>13764.099999999999</v>
      </c>
      <c r="W163" s="52"/>
      <c r="X163" s="52"/>
      <c r="Y163" s="52">
        <v>8.423980256451312</v>
      </c>
    </row>
    <row r="164" spans="1:25" x14ac:dyDescent="0.35">
      <c r="A164" s="54">
        <v>42746</v>
      </c>
      <c r="B164" s="52">
        <v>9.1</v>
      </c>
      <c r="C164" s="52">
        <v>7.6</v>
      </c>
      <c r="D164" s="52">
        <v>11.1</v>
      </c>
      <c r="E164" s="52">
        <f t="shared" si="1"/>
        <v>918.9</v>
      </c>
      <c r="F164" s="52"/>
      <c r="G164" s="52"/>
      <c r="H164" s="52">
        <v>0.6</v>
      </c>
      <c r="I164" s="52"/>
      <c r="J164" s="52">
        <v>0.6</v>
      </c>
      <c r="K164" s="52"/>
      <c r="L164" s="52">
        <v>0</v>
      </c>
      <c r="M164" s="52"/>
      <c r="N164" s="52">
        <v>111</v>
      </c>
      <c r="O164" s="52">
        <v>1</v>
      </c>
      <c r="P164" s="52">
        <v>0.6</v>
      </c>
      <c r="Q164" s="52">
        <v>0</v>
      </c>
      <c r="R164" s="52">
        <v>68.840737704918055</v>
      </c>
      <c r="S164" s="52"/>
      <c r="T164" s="52">
        <v>112.2</v>
      </c>
      <c r="U164" s="52"/>
      <c r="V164" s="52">
        <v>13876.3</v>
      </c>
      <c r="W164" s="52"/>
      <c r="X164" s="52"/>
      <c r="Y164" s="52">
        <v>8.451282345470295</v>
      </c>
    </row>
    <row r="165" spans="1:25" x14ac:dyDescent="0.35">
      <c r="A165" s="54">
        <v>42747</v>
      </c>
      <c r="B165" s="52">
        <v>6.5</v>
      </c>
      <c r="C165" s="52">
        <v>5.9</v>
      </c>
      <c r="D165" s="52">
        <v>7.9</v>
      </c>
      <c r="E165" s="52">
        <f t="shared" si="1"/>
        <v>925.4</v>
      </c>
      <c r="F165" s="52"/>
      <c r="G165" s="52"/>
      <c r="H165" s="52">
        <v>10.4</v>
      </c>
      <c r="I165" s="52"/>
      <c r="J165" s="52">
        <v>0.6</v>
      </c>
      <c r="K165" s="52"/>
      <c r="L165" s="52">
        <v>9.8000000000000007</v>
      </c>
      <c r="M165" s="52"/>
      <c r="N165" s="52">
        <v>112</v>
      </c>
      <c r="O165" s="52">
        <v>1</v>
      </c>
      <c r="P165" s="52">
        <v>0.6</v>
      </c>
      <c r="Q165" s="52">
        <v>9.8000000000000007</v>
      </c>
      <c r="R165" s="52">
        <v>78.640737704918052</v>
      </c>
      <c r="S165" s="52"/>
      <c r="T165" s="52">
        <v>101.4</v>
      </c>
      <c r="U165" s="52"/>
      <c r="V165" s="52">
        <v>13977.699999999999</v>
      </c>
      <c r="W165" s="52"/>
      <c r="X165" s="52"/>
      <c r="Y165" s="52">
        <v>8.4797298053613801</v>
      </c>
    </row>
    <row r="166" spans="1:25" x14ac:dyDescent="0.35">
      <c r="A166" s="54">
        <v>42748</v>
      </c>
      <c r="B166" s="52">
        <v>3.7</v>
      </c>
      <c r="C166" s="52">
        <v>2.5</v>
      </c>
      <c r="D166" s="52">
        <v>6.3</v>
      </c>
      <c r="E166" s="52">
        <f t="shared" si="1"/>
        <v>929.1</v>
      </c>
      <c r="F166" s="52"/>
      <c r="G166" s="52"/>
      <c r="H166" s="52">
        <v>1.6</v>
      </c>
      <c r="I166" s="52"/>
      <c r="J166" s="52">
        <v>1.1000000000000001</v>
      </c>
      <c r="K166" s="52"/>
      <c r="L166" s="52">
        <v>0.5</v>
      </c>
      <c r="M166" s="52"/>
      <c r="N166" s="52">
        <v>113</v>
      </c>
      <c r="O166" s="52">
        <v>1</v>
      </c>
      <c r="P166" s="52">
        <v>1.1000000000000001</v>
      </c>
      <c r="Q166" s="52">
        <v>0.5</v>
      </c>
      <c r="R166" s="52">
        <v>79.140737704918052</v>
      </c>
      <c r="S166" s="52"/>
      <c r="T166" s="52">
        <v>332.3</v>
      </c>
      <c r="U166" s="52"/>
      <c r="V166" s="52">
        <v>14309.999999999998</v>
      </c>
      <c r="W166" s="52"/>
      <c r="X166" s="52"/>
      <c r="Y166" s="52">
        <v>8.5093011273989667</v>
      </c>
    </row>
    <row r="167" spans="1:25" x14ac:dyDescent="0.35">
      <c r="A167" s="54">
        <v>42749</v>
      </c>
      <c r="B167" s="52">
        <v>4.3</v>
      </c>
      <c r="C167" s="52">
        <v>1.3</v>
      </c>
      <c r="D167" s="52">
        <v>6.2</v>
      </c>
      <c r="E167" s="52">
        <f t="shared" si="1"/>
        <v>933.4</v>
      </c>
      <c r="F167" s="52"/>
      <c r="G167" s="52"/>
      <c r="H167" s="52">
        <v>3.4</v>
      </c>
      <c r="I167" s="52"/>
      <c r="J167" s="52">
        <v>0.3</v>
      </c>
      <c r="K167" s="52"/>
      <c r="L167" s="52">
        <v>3.1</v>
      </c>
      <c r="M167" s="52"/>
      <c r="N167" s="52">
        <v>114</v>
      </c>
      <c r="O167" s="52">
        <v>1</v>
      </c>
      <c r="P167" s="52">
        <v>0.3</v>
      </c>
      <c r="Q167" s="52">
        <v>3.1</v>
      </c>
      <c r="R167" s="52">
        <v>82.240737704918047</v>
      </c>
      <c r="S167" s="52"/>
      <c r="T167" s="52">
        <v>141.9</v>
      </c>
      <c r="U167" s="52"/>
      <c r="V167" s="52">
        <v>14451.899999999998</v>
      </c>
      <c r="W167" s="52"/>
      <c r="X167" s="52"/>
      <c r="Y167" s="52">
        <v>8.5399743379487294</v>
      </c>
    </row>
    <row r="168" spans="1:25" x14ac:dyDescent="0.35">
      <c r="A168" s="54">
        <v>42750</v>
      </c>
      <c r="B168" s="52">
        <v>7</v>
      </c>
      <c r="C168" s="52">
        <v>4.4000000000000004</v>
      </c>
      <c r="D168" s="52">
        <v>8.9</v>
      </c>
      <c r="E168" s="52">
        <f t="shared" si="1"/>
        <v>940.4</v>
      </c>
      <c r="F168" s="52"/>
      <c r="G168" s="52"/>
      <c r="H168" s="52">
        <v>7.3</v>
      </c>
      <c r="I168" s="52"/>
      <c r="J168" s="52">
        <v>0.2</v>
      </c>
      <c r="K168" s="52"/>
      <c r="L168" s="52">
        <v>7.1</v>
      </c>
      <c r="M168" s="52"/>
      <c r="N168" s="52">
        <v>115</v>
      </c>
      <c r="O168" s="52">
        <v>1</v>
      </c>
      <c r="P168" s="52">
        <v>0.2</v>
      </c>
      <c r="Q168" s="52">
        <v>7.1</v>
      </c>
      <c r="R168" s="52">
        <v>89.340737704918041</v>
      </c>
      <c r="S168" s="52"/>
      <c r="T168" s="52">
        <v>85.3</v>
      </c>
      <c r="U168" s="52"/>
      <c r="V168" s="52">
        <v>14537.199999999997</v>
      </c>
      <c r="W168" s="52"/>
      <c r="X168" s="52"/>
      <c r="Y168" s="52">
        <v>8.571727051909015</v>
      </c>
    </row>
    <row r="169" spans="1:25" x14ac:dyDescent="0.35">
      <c r="A169" s="54">
        <v>42751</v>
      </c>
      <c r="B169" s="52">
        <v>7.7</v>
      </c>
      <c r="C169" s="52">
        <v>6.7</v>
      </c>
      <c r="D169" s="52">
        <v>9.3000000000000007</v>
      </c>
      <c r="E169" s="52">
        <f t="shared" si="1"/>
        <v>948.1</v>
      </c>
      <c r="F169" s="52"/>
      <c r="G169" s="52"/>
      <c r="H169" s="52">
        <v>3.6</v>
      </c>
      <c r="I169" s="52"/>
      <c r="J169" s="52">
        <v>0.3</v>
      </c>
      <c r="K169" s="52"/>
      <c r="L169" s="52">
        <v>3.3000000000000003</v>
      </c>
      <c r="M169" s="52"/>
      <c r="N169" s="52">
        <v>116</v>
      </c>
      <c r="O169" s="52">
        <v>1</v>
      </c>
      <c r="P169" s="52">
        <v>0.3</v>
      </c>
      <c r="Q169" s="52">
        <v>3.3000000000000003</v>
      </c>
      <c r="R169" s="52">
        <v>92.640737704918038</v>
      </c>
      <c r="S169" s="52"/>
      <c r="T169" s="52">
        <v>103</v>
      </c>
      <c r="U169" s="52"/>
      <c r="V169" s="52">
        <v>14640.199999999997</v>
      </c>
      <c r="W169" s="52"/>
      <c r="X169" s="52"/>
      <c r="Y169" s="52">
        <v>8.6045365254588315</v>
      </c>
    </row>
    <row r="170" spans="1:25" x14ac:dyDescent="0.35">
      <c r="A170" s="54">
        <v>42752</v>
      </c>
      <c r="B170" s="52">
        <v>1.1000000000000001</v>
      </c>
      <c r="C170" s="52">
        <v>-0.6</v>
      </c>
      <c r="D170" s="52">
        <v>3.2</v>
      </c>
      <c r="E170" s="52">
        <f t="shared" si="1"/>
        <v>949.2</v>
      </c>
      <c r="F170" s="52"/>
      <c r="G170" s="52"/>
      <c r="H170" s="52">
        <v>0</v>
      </c>
      <c r="I170" s="52"/>
      <c r="J170" s="52">
        <v>0.6</v>
      </c>
      <c r="K170" s="52"/>
      <c r="L170" s="52">
        <v>-0.6</v>
      </c>
      <c r="M170" s="52"/>
      <c r="N170" s="52">
        <v>117</v>
      </c>
      <c r="O170" s="52">
        <v>1</v>
      </c>
      <c r="P170" s="52">
        <v>0.6</v>
      </c>
      <c r="Q170" s="52">
        <v>-0.6</v>
      </c>
      <c r="R170" s="52">
        <v>92.040737704918044</v>
      </c>
      <c r="S170" s="52"/>
      <c r="T170" s="52">
        <v>795.8</v>
      </c>
      <c r="U170" s="52"/>
      <c r="V170" s="52">
        <v>15435.999999999996</v>
      </c>
      <c r="W170" s="52"/>
      <c r="X170" s="52"/>
      <c r="Y170" s="52">
        <v>8.6383797079016862</v>
      </c>
    </row>
    <row r="171" spans="1:25" x14ac:dyDescent="0.35">
      <c r="A171" s="54">
        <v>42753</v>
      </c>
      <c r="B171" s="52">
        <v>-0.6</v>
      </c>
      <c r="C171" s="52">
        <v>-4.0999999999999996</v>
      </c>
      <c r="D171" s="52">
        <v>2.8</v>
      </c>
      <c r="E171" s="52">
        <v>949.2</v>
      </c>
      <c r="F171" s="52"/>
      <c r="G171" s="52"/>
      <c r="H171" s="52">
        <v>0</v>
      </c>
      <c r="I171" s="52"/>
      <c r="J171" s="52">
        <v>1</v>
      </c>
      <c r="K171" s="52"/>
      <c r="L171" s="52">
        <v>-1</v>
      </c>
      <c r="M171" s="52"/>
      <c r="N171" s="52">
        <v>118</v>
      </c>
      <c r="O171" s="52">
        <v>1</v>
      </c>
      <c r="P171" s="52">
        <v>1</v>
      </c>
      <c r="Q171" s="52">
        <v>-1</v>
      </c>
      <c r="R171" s="52">
        <v>91.040737704918044</v>
      </c>
      <c r="S171" s="52"/>
      <c r="T171" s="52">
        <v>837.6</v>
      </c>
      <c r="U171" s="52"/>
      <c r="V171" s="52">
        <v>16273.599999999997</v>
      </c>
      <c r="W171" s="52"/>
      <c r="X171" s="52"/>
      <c r="Y171" s="52">
        <v>8.6732332924112434</v>
      </c>
    </row>
    <row r="172" spans="1:25" x14ac:dyDescent="0.35">
      <c r="A172" s="54">
        <v>42754</v>
      </c>
      <c r="B172" s="52">
        <v>-2</v>
      </c>
      <c r="C172" s="52">
        <v>-3.8</v>
      </c>
      <c r="D172" s="52">
        <v>0.6</v>
      </c>
      <c r="E172" s="52">
        <v>949.2</v>
      </c>
      <c r="F172" s="52"/>
      <c r="G172" s="52"/>
      <c r="H172" s="52">
        <v>0</v>
      </c>
      <c r="I172" s="52"/>
      <c r="J172" s="52">
        <v>0.8</v>
      </c>
      <c r="K172" s="52"/>
      <c r="L172" s="52">
        <v>-0.8</v>
      </c>
      <c r="M172" s="52"/>
      <c r="N172" s="52">
        <v>119</v>
      </c>
      <c r="O172" s="52">
        <v>1</v>
      </c>
      <c r="P172" s="52">
        <v>0.8</v>
      </c>
      <c r="Q172" s="52">
        <v>-0.8</v>
      </c>
      <c r="R172" s="52">
        <v>90.240737704918047</v>
      </c>
      <c r="S172" s="52"/>
      <c r="T172" s="52">
        <v>851.8</v>
      </c>
      <c r="U172" s="52"/>
      <c r="V172" s="52">
        <v>17125.399999999998</v>
      </c>
      <c r="W172" s="52"/>
      <c r="X172" s="52"/>
      <c r="Y172" s="52">
        <v>8.7090737655019961</v>
      </c>
    </row>
    <row r="173" spans="1:25" x14ac:dyDescent="0.35">
      <c r="A173" s="54">
        <v>42755</v>
      </c>
      <c r="B173" s="52">
        <v>-2.8</v>
      </c>
      <c r="C173" s="52">
        <v>-5.3</v>
      </c>
      <c r="D173" s="52">
        <v>0.1</v>
      </c>
      <c r="E173" s="52">
        <v>949.2</v>
      </c>
      <c r="F173" s="52"/>
      <c r="G173" s="52"/>
      <c r="H173" s="52">
        <v>0</v>
      </c>
      <c r="I173" s="52"/>
      <c r="J173" s="52">
        <v>0.6</v>
      </c>
      <c r="K173" s="52"/>
      <c r="L173" s="52">
        <v>-0.6</v>
      </c>
      <c r="M173" s="52"/>
      <c r="N173" s="52">
        <v>120</v>
      </c>
      <c r="O173" s="52">
        <v>1</v>
      </c>
      <c r="P173" s="52">
        <v>0.6</v>
      </c>
      <c r="Q173" s="52">
        <v>-0.6</v>
      </c>
      <c r="R173" s="52">
        <v>89.640737704918052</v>
      </c>
      <c r="S173" s="52"/>
      <c r="T173" s="52">
        <v>838.3</v>
      </c>
      <c r="U173" s="52"/>
      <c r="V173" s="52">
        <v>17963.699999999997</v>
      </c>
      <c r="W173" s="52"/>
      <c r="X173" s="52"/>
      <c r="Y173" s="52">
        <v>8.745877455065731</v>
      </c>
    </row>
    <row r="174" spans="1:25" x14ac:dyDescent="0.35">
      <c r="A174" s="54">
        <v>42756</v>
      </c>
      <c r="B174" s="52">
        <v>-2.4</v>
      </c>
      <c r="C174" s="52">
        <v>-6.5</v>
      </c>
      <c r="D174" s="52">
        <v>0.9</v>
      </c>
      <c r="E174" s="52">
        <v>949.2</v>
      </c>
      <c r="F174" s="52"/>
      <c r="G174" s="52"/>
      <c r="H174" s="52">
        <v>0</v>
      </c>
      <c r="I174" s="52"/>
      <c r="J174" s="52">
        <v>0.6</v>
      </c>
      <c r="K174" s="52"/>
      <c r="L174" s="52">
        <v>-0.6</v>
      </c>
      <c r="M174" s="52"/>
      <c r="N174" s="52">
        <v>121</v>
      </c>
      <c r="O174" s="52">
        <v>1</v>
      </c>
      <c r="P174" s="52">
        <v>0.6</v>
      </c>
      <c r="Q174" s="52">
        <v>-0.6</v>
      </c>
      <c r="R174" s="52">
        <v>89.040737704918058</v>
      </c>
      <c r="S174" s="52"/>
      <c r="T174" s="52">
        <v>800.3</v>
      </c>
      <c r="U174" s="52"/>
      <c r="V174" s="52">
        <v>18763.999999999996</v>
      </c>
      <c r="W174" s="52"/>
      <c r="X174" s="52"/>
      <c r="Y174" s="52">
        <v>8.7836205768322237</v>
      </c>
    </row>
    <row r="175" spans="1:25" x14ac:dyDescent="0.35">
      <c r="A175" s="54">
        <v>42757</v>
      </c>
      <c r="B175" s="52">
        <v>0.2</v>
      </c>
      <c r="C175" s="52">
        <v>-4.8</v>
      </c>
      <c r="D175" s="52">
        <v>5.0999999999999996</v>
      </c>
      <c r="E175" s="52">
        <f t="shared" si="1"/>
        <v>949.40000000000009</v>
      </c>
      <c r="F175" s="52"/>
      <c r="G175" s="52"/>
      <c r="H175" s="52">
        <v>0</v>
      </c>
      <c r="I175" s="52"/>
      <c r="J175" s="52">
        <v>0.9</v>
      </c>
      <c r="K175" s="52"/>
      <c r="L175" s="52">
        <v>-0.9</v>
      </c>
      <c r="M175" s="52"/>
      <c r="N175" s="52">
        <v>122</v>
      </c>
      <c r="O175" s="52">
        <v>1</v>
      </c>
      <c r="P175" s="52">
        <v>0.9</v>
      </c>
      <c r="Q175" s="52">
        <v>-0.9</v>
      </c>
      <c r="R175" s="52">
        <v>88.140737704918052</v>
      </c>
      <c r="S175" s="52"/>
      <c r="T175" s="52">
        <v>840.1</v>
      </c>
      <c r="U175" s="52"/>
      <c r="V175" s="52">
        <v>19604.099999999995</v>
      </c>
      <c r="W175" s="52"/>
      <c r="X175" s="52"/>
      <c r="Y175" s="52">
        <v>8.8222792791301696</v>
      </c>
    </row>
    <row r="176" spans="1:25" x14ac:dyDescent="0.35">
      <c r="A176" s="54">
        <v>42758</v>
      </c>
      <c r="B176" s="52">
        <v>1.2</v>
      </c>
      <c r="C176" s="52">
        <v>-3.9</v>
      </c>
      <c r="D176" s="52">
        <v>7</v>
      </c>
      <c r="E176" s="52">
        <f t="shared" si="1"/>
        <v>950.60000000000014</v>
      </c>
      <c r="F176" s="52"/>
      <c r="G176" s="52"/>
      <c r="H176" s="52">
        <v>0</v>
      </c>
      <c r="I176" s="52"/>
      <c r="J176" s="52">
        <v>1</v>
      </c>
      <c r="K176" s="52"/>
      <c r="L176" s="52">
        <v>-1</v>
      </c>
      <c r="M176" s="52"/>
      <c r="N176" s="52">
        <v>123</v>
      </c>
      <c r="O176" s="52">
        <v>1</v>
      </c>
      <c r="P176" s="52">
        <v>1</v>
      </c>
      <c r="Q176" s="52">
        <v>-1</v>
      </c>
      <c r="R176" s="52">
        <v>87.140737704918052</v>
      </c>
      <c r="S176" s="52"/>
      <c r="T176" s="52">
        <v>880.3</v>
      </c>
      <c r="U176" s="52"/>
      <c r="V176" s="52">
        <v>20484.399999999994</v>
      </c>
      <c r="W176" s="52"/>
      <c r="X176" s="52"/>
      <c r="Y176" s="52">
        <v>8.8618296858416272</v>
      </c>
    </row>
    <row r="177" spans="1:25" x14ac:dyDescent="0.35">
      <c r="A177" s="54">
        <v>42759</v>
      </c>
      <c r="B177" s="52">
        <v>0.2</v>
      </c>
      <c r="C177" s="52">
        <v>-4.7</v>
      </c>
      <c r="D177" s="52">
        <v>5.2</v>
      </c>
      <c r="E177" s="52">
        <f t="shared" si="1"/>
        <v>950.80000000000018</v>
      </c>
      <c r="F177" s="52"/>
      <c r="G177" s="52"/>
      <c r="H177" s="52">
        <v>0</v>
      </c>
      <c r="I177" s="52"/>
      <c r="J177" s="52">
        <v>0.8</v>
      </c>
      <c r="K177" s="52"/>
      <c r="L177" s="52">
        <v>-0.8</v>
      </c>
      <c r="M177" s="52"/>
      <c r="N177" s="52">
        <v>124</v>
      </c>
      <c r="O177" s="52">
        <v>1</v>
      </c>
      <c r="P177" s="52">
        <v>0.8</v>
      </c>
      <c r="Q177" s="52">
        <v>-0.8</v>
      </c>
      <c r="R177" s="52">
        <v>86.340737704918055</v>
      </c>
      <c r="S177" s="52"/>
      <c r="T177" s="52">
        <v>786.6</v>
      </c>
      <c r="U177" s="52"/>
      <c r="V177" s="52">
        <v>21270.999999999993</v>
      </c>
      <c r="W177" s="52"/>
      <c r="X177" s="52"/>
      <c r="Y177" s="52">
        <v>8.9022479374601531</v>
      </c>
    </row>
    <row r="178" spans="1:25" x14ac:dyDescent="0.35">
      <c r="A178" s="54">
        <v>42760</v>
      </c>
      <c r="B178" s="52">
        <v>-1.7</v>
      </c>
      <c r="C178" s="52">
        <v>-4.7</v>
      </c>
      <c r="D178" s="52">
        <v>0.8</v>
      </c>
      <c r="E178" s="52">
        <v>950.8</v>
      </c>
      <c r="F178" s="52"/>
      <c r="G178" s="52"/>
      <c r="H178" s="52">
        <v>0</v>
      </c>
      <c r="I178" s="52"/>
      <c r="J178" s="52">
        <v>0.4</v>
      </c>
      <c r="K178" s="52"/>
      <c r="L178" s="52">
        <v>-0.4</v>
      </c>
      <c r="M178" s="52"/>
      <c r="N178" s="52">
        <v>125</v>
      </c>
      <c r="O178" s="52">
        <v>1</v>
      </c>
      <c r="P178" s="52">
        <v>0.4</v>
      </c>
      <c r="Q178" s="52">
        <v>-0.4</v>
      </c>
      <c r="R178" s="52">
        <v>85.94073770491805</v>
      </c>
      <c r="S178" s="52"/>
      <c r="T178" s="52">
        <v>262.5</v>
      </c>
      <c r="U178" s="52"/>
      <c r="V178" s="52">
        <v>21533.499999999993</v>
      </c>
      <c r="W178" s="52"/>
      <c r="X178" s="52"/>
      <c r="Y178" s="52">
        <v>8.9435102301791058</v>
      </c>
    </row>
    <row r="179" spans="1:25" x14ac:dyDescent="0.35">
      <c r="A179" s="54">
        <v>42761</v>
      </c>
      <c r="B179" s="52">
        <v>-0.6</v>
      </c>
      <c r="C179" s="52">
        <v>-3.9</v>
      </c>
      <c r="D179" s="52">
        <v>2.1</v>
      </c>
      <c r="E179" s="52">
        <v>950.8</v>
      </c>
      <c r="F179" s="52"/>
      <c r="G179" s="52"/>
      <c r="H179" s="52">
        <v>0.1</v>
      </c>
      <c r="I179" s="52"/>
      <c r="J179" s="52">
        <v>0.9</v>
      </c>
      <c r="K179" s="52"/>
      <c r="L179" s="52">
        <v>-0.8</v>
      </c>
      <c r="M179" s="52"/>
      <c r="N179" s="52">
        <v>126</v>
      </c>
      <c r="O179" s="52">
        <v>1</v>
      </c>
      <c r="P179" s="52">
        <v>0.9</v>
      </c>
      <c r="Q179" s="52">
        <v>-0.8</v>
      </c>
      <c r="R179" s="52">
        <v>85.140737704918052</v>
      </c>
      <c r="S179" s="52"/>
      <c r="T179" s="52">
        <v>825</v>
      </c>
      <c r="U179" s="52"/>
      <c r="V179" s="52">
        <v>22358.499999999993</v>
      </c>
      <c r="W179" s="52"/>
      <c r="X179" s="52"/>
      <c r="Y179" s="52">
        <v>8.9855928529521272</v>
      </c>
    </row>
    <row r="180" spans="1:25" x14ac:dyDescent="0.35">
      <c r="A180" s="54">
        <v>42762</v>
      </c>
      <c r="B180" s="52">
        <v>4.5</v>
      </c>
      <c r="C180" s="52">
        <v>0</v>
      </c>
      <c r="D180" s="52">
        <v>7</v>
      </c>
      <c r="E180" s="52">
        <f t="shared" si="1"/>
        <v>955.3</v>
      </c>
      <c r="F180" s="52"/>
      <c r="G180" s="52"/>
      <c r="H180" s="52">
        <v>1.3</v>
      </c>
      <c r="I180" s="52"/>
      <c r="J180" s="52">
        <v>0.5</v>
      </c>
      <c r="K180" s="52"/>
      <c r="L180" s="52">
        <v>0.8</v>
      </c>
      <c r="M180" s="52"/>
      <c r="N180" s="52">
        <v>127</v>
      </c>
      <c r="O180" s="52">
        <v>1</v>
      </c>
      <c r="P180" s="52">
        <v>0.5</v>
      </c>
      <c r="Q180" s="52">
        <v>0.8</v>
      </c>
      <c r="R180" s="52">
        <v>85.94073770491805</v>
      </c>
      <c r="S180" s="52"/>
      <c r="T180" s="52">
        <v>158</v>
      </c>
      <c r="U180" s="52"/>
      <c r="V180" s="52">
        <v>22516.499999999993</v>
      </c>
      <c r="W180" s="52"/>
      <c r="X180" s="52"/>
      <c r="Y180" s="52">
        <v>9.0284722224827778</v>
      </c>
    </row>
    <row r="181" spans="1:25" x14ac:dyDescent="0.35">
      <c r="A181" s="54">
        <v>42763</v>
      </c>
      <c r="B181" s="52">
        <v>5.9</v>
      </c>
      <c r="C181" s="52">
        <v>3.6</v>
      </c>
      <c r="D181" s="52">
        <v>10.1</v>
      </c>
      <c r="E181" s="52">
        <f t="shared" si="1"/>
        <v>961.19999999999993</v>
      </c>
      <c r="F181" s="52"/>
      <c r="G181" s="52"/>
      <c r="H181" s="52">
        <v>0.8</v>
      </c>
      <c r="I181" s="52"/>
      <c r="J181" s="52">
        <v>1.1000000000000001</v>
      </c>
      <c r="K181" s="52"/>
      <c r="L181" s="52">
        <v>-0.30000000000000004</v>
      </c>
      <c r="M181" s="52"/>
      <c r="N181" s="52">
        <v>128</v>
      </c>
      <c r="O181" s="52">
        <v>1.0024590163934426</v>
      </c>
      <c r="P181" s="52">
        <v>1.102704918032787</v>
      </c>
      <c r="Q181" s="52">
        <v>-0.30270491803278698</v>
      </c>
      <c r="R181" s="52">
        <v>85.638032786885262</v>
      </c>
      <c r="S181" s="52"/>
      <c r="T181" s="52">
        <v>671</v>
      </c>
      <c r="U181" s="52"/>
      <c r="V181" s="52">
        <v>671</v>
      </c>
      <c r="W181" s="52"/>
      <c r="X181" s="52"/>
      <c r="Y181" s="52">
        <v>9.0721249161141788</v>
      </c>
    </row>
    <row r="182" spans="1:25" x14ac:dyDescent="0.35">
      <c r="A182" s="54">
        <v>42764</v>
      </c>
      <c r="B182" s="52">
        <v>6.9</v>
      </c>
      <c r="C182" s="52">
        <v>2.5</v>
      </c>
      <c r="D182" s="52">
        <v>10.3</v>
      </c>
      <c r="E182" s="52">
        <f t="shared" si="1"/>
        <v>968.09999999999991</v>
      </c>
      <c r="F182" s="52"/>
      <c r="G182" s="52"/>
      <c r="H182" s="52">
        <v>1.3</v>
      </c>
      <c r="I182" s="52"/>
      <c r="J182" s="52">
        <v>0.2</v>
      </c>
      <c r="K182" s="52"/>
      <c r="L182" s="52">
        <v>1.1000000000000001</v>
      </c>
      <c r="M182" s="52"/>
      <c r="N182" s="52">
        <v>129</v>
      </c>
      <c r="O182" s="52">
        <v>1.0049180327868852</v>
      </c>
      <c r="P182" s="52">
        <v>0.20098360655737704</v>
      </c>
      <c r="Q182" s="52">
        <v>1.0990163934426229</v>
      </c>
      <c r="R182" s="52">
        <v>86.737049180327887</v>
      </c>
      <c r="S182" s="52"/>
      <c r="T182" s="52">
        <v>226.5</v>
      </c>
      <c r="U182" s="52"/>
      <c r="V182" s="52">
        <v>897.5</v>
      </c>
      <c r="W182" s="52"/>
      <c r="X182" s="52"/>
      <c r="Y182" s="52">
        <v>9.1165277026025908</v>
      </c>
    </row>
    <row r="183" spans="1:25" x14ac:dyDescent="0.35">
      <c r="A183" s="54">
        <v>42765</v>
      </c>
      <c r="B183" s="52">
        <v>11</v>
      </c>
      <c r="C183" s="52">
        <v>9</v>
      </c>
      <c r="D183" s="52">
        <v>11.6</v>
      </c>
      <c r="E183" s="52">
        <f t="shared" si="1"/>
        <v>979.09999999999991</v>
      </c>
      <c r="F183" s="52"/>
      <c r="G183" s="52"/>
      <c r="H183" s="52">
        <v>5.9</v>
      </c>
      <c r="I183" s="52"/>
      <c r="J183" s="52">
        <v>0.1</v>
      </c>
      <c r="K183" s="52"/>
      <c r="L183" s="52">
        <v>5.8000000000000007</v>
      </c>
      <c r="M183" s="52"/>
      <c r="N183" s="52">
        <v>130</v>
      </c>
      <c r="O183" s="52">
        <v>1.0073770491803278</v>
      </c>
      <c r="P183" s="52">
        <v>0.10073770491803279</v>
      </c>
      <c r="Q183" s="52">
        <v>5.7992622950819674</v>
      </c>
      <c r="R183" s="52">
        <v>92.53631147540986</v>
      </c>
      <c r="S183" s="52"/>
      <c r="T183" s="52">
        <v>145.6</v>
      </c>
      <c r="U183" s="52"/>
      <c r="V183" s="52">
        <v>1043.0999999999999</v>
      </c>
      <c r="W183" s="52"/>
      <c r="X183" s="52"/>
      <c r="Y183" s="52">
        <v>9.1616575707710179</v>
      </c>
    </row>
    <row r="184" spans="1:25" x14ac:dyDescent="0.35">
      <c r="A184" s="54">
        <v>42766</v>
      </c>
      <c r="B184" s="52">
        <v>11.3</v>
      </c>
      <c r="C184" s="52">
        <v>11</v>
      </c>
      <c r="D184" s="52">
        <v>12.4</v>
      </c>
      <c r="E184" s="52">
        <f t="shared" ref="E184:E247" si="2">E183+B184</f>
        <v>990.39999999999986</v>
      </c>
      <c r="F184" s="52"/>
      <c r="G184" s="52"/>
      <c r="H184" s="52">
        <v>3.9</v>
      </c>
      <c r="I184" s="52"/>
      <c r="J184" s="52">
        <v>0.3</v>
      </c>
      <c r="K184" s="52"/>
      <c r="L184" s="52">
        <v>3.6</v>
      </c>
      <c r="M184" s="52"/>
      <c r="N184" s="52">
        <v>131</v>
      </c>
      <c r="O184" s="52">
        <v>1.0098360655737706</v>
      </c>
      <c r="P184" s="52">
        <v>0.30295081967213117</v>
      </c>
      <c r="Q184" s="52">
        <v>3.5970491803278688</v>
      </c>
      <c r="R184" s="52">
        <v>96.133360655737732</v>
      </c>
      <c r="S184" s="52"/>
      <c r="T184" s="52">
        <v>116.4</v>
      </c>
      <c r="U184" s="52"/>
      <c r="V184" s="52">
        <v>1159.5</v>
      </c>
      <c r="W184" s="52"/>
      <c r="X184" s="52"/>
      <c r="Y184" s="52">
        <v>9.2074917560499596</v>
      </c>
    </row>
    <row r="185" spans="1:25" x14ac:dyDescent="0.35">
      <c r="A185" s="54">
        <v>42767</v>
      </c>
      <c r="B185" s="52">
        <v>10.5</v>
      </c>
      <c r="C185" s="52">
        <v>9.6999999999999993</v>
      </c>
      <c r="D185" s="52">
        <v>11.1</v>
      </c>
      <c r="E185" s="52">
        <f t="shared" si="2"/>
        <v>1000.8999999999999</v>
      </c>
      <c r="F185" s="52"/>
      <c r="G185" s="52"/>
      <c r="H185" s="52">
        <v>2</v>
      </c>
      <c r="I185" s="52"/>
      <c r="J185" s="52">
        <v>0.3</v>
      </c>
      <c r="K185" s="52"/>
      <c r="L185" s="52">
        <v>1.7</v>
      </c>
      <c r="M185" s="52"/>
      <c r="N185" s="52">
        <v>132</v>
      </c>
      <c r="O185" s="52">
        <v>1.0122950819672132</v>
      </c>
      <c r="P185" s="52">
        <v>0.30368852459016393</v>
      </c>
      <c r="Q185" s="52">
        <v>1.6963114754098361</v>
      </c>
      <c r="R185" s="52">
        <v>97.829672131147575</v>
      </c>
      <c r="S185" s="52"/>
      <c r="T185" s="52">
        <v>189.6</v>
      </c>
      <c r="U185" s="52"/>
      <c r="V185" s="52">
        <v>1349.1</v>
      </c>
      <c r="W185" s="52"/>
      <c r="X185" s="52"/>
      <c r="Y185" s="52">
        <v>9.25400776492266</v>
      </c>
    </row>
    <row r="186" spans="1:25" x14ac:dyDescent="0.35">
      <c r="A186" s="54">
        <v>42768</v>
      </c>
      <c r="B186" s="52">
        <v>10</v>
      </c>
      <c r="C186" s="52">
        <v>9.9</v>
      </c>
      <c r="D186" s="52">
        <v>11.7</v>
      </c>
      <c r="E186" s="52">
        <f t="shared" si="2"/>
        <v>1010.8999999999999</v>
      </c>
      <c r="F186" s="52"/>
      <c r="G186" s="52"/>
      <c r="H186" s="52">
        <v>4.8</v>
      </c>
      <c r="I186" s="52"/>
      <c r="J186" s="52">
        <v>1</v>
      </c>
      <c r="K186" s="52"/>
      <c r="L186" s="52">
        <v>3.8</v>
      </c>
      <c r="M186" s="52"/>
      <c r="N186" s="52">
        <v>133</v>
      </c>
      <c r="O186" s="52">
        <v>1.0147540983606558</v>
      </c>
      <c r="P186" s="52">
        <v>1.0147540983606558</v>
      </c>
      <c r="Q186" s="52">
        <v>3.7852459016393443</v>
      </c>
      <c r="R186" s="52">
        <v>101.61491803278692</v>
      </c>
      <c r="S186" s="52"/>
      <c r="T186" s="52">
        <v>134.69999999999999</v>
      </c>
      <c r="U186" s="52"/>
      <c r="V186" s="52">
        <v>1483.8</v>
      </c>
      <c r="W186" s="52"/>
      <c r="X186" s="52"/>
      <c r="Y186" s="52">
        <v>9.3011833973012479</v>
      </c>
    </row>
    <row r="187" spans="1:25" x14ac:dyDescent="0.35">
      <c r="A187" s="54">
        <v>42769</v>
      </c>
      <c r="B187" s="52">
        <v>7.2</v>
      </c>
      <c r="C187" s="52">
        <v>6.4</v>
      </c>
      <c r="D187" s="52">
        <v>8.8000000000000007</v>
      </c>
      <c r="E187" s="52">
        <f t="shared" si="2"/>
        <v>1018.0999999999999</v>
      </c>
      <c r="F187" s="52"/>
      <c r="G187" s="52"/>
      <c r="H187" s="52">
        <v>15</v>
      </c>
      <c r="I187" s="52"/>
      <c r="J187" s="52">
        <v>0.7</v>
      </c>
      <c r="K187" s="52"/>
      <c r="L187" s="52">
        <v>14.3</v>
      </c>
      <c r="M187" s="52"/>
      <c r="N187" s="52">
        <v>134</v>
      </c>
      <c r="O187" s="52">
        <v>1.0172131147540984</v>
      </c>
      <c r="P187" s="52">
        <v>0.71204918032786879</v>
      </c>
      <c r="Q187" s="52">
        <v>14.287950819672131</v>
      </c>
      <c r="R187" s="52">
        <v>115.90286885245905</v>
      </c>
      <c r="S187" s="52"/>
      <c r="T187" s="52">
        <v>241.3</v>
      </c>
      <c r="U187" s="52"/>
      <c r="V187" s="52">
        <v>1725.1</v>
      </c>
      <c r="W187" s="52"/>
      <c r="X187" s="52"/>
      <c r="Y187" s="52">
        <v>9.3489967668683942</v>
      </c>
    </row>
    <row r="188" spans="1:25" x14ac:dyDescent="0.35">
      <c r="A188" s="54">
        <v>42770</v>
      </c>
      <c r="B188" s="52">
        <v>7.4</v>
      </c>
      <c r="C188" s="52">
        <v>6</v>
      </c>
      <c r="D188" s="52">
        <v>10</v>
      </c>
      <c r="E188" s="52">
        <f t="shared" si="2"/>
        <v>1025.5</v>
      </c>
      <c r="F188" s="52"/>
      <c r="G188" s="52"/>
      <c r="H188" s="52">
        <v>10.8</v>
      </c>
      <c r="I188" s="52"/>
      <c r="J188" s="52">
        <v>0.9</v>
      </c>
      <c r="K188" s="52"/>
      <c r="L188" s="52">
        <v>9.9</v>
      </c>
      <c r="M188" s="52"/>
      <c r="N188" s="52">
        <v>135</v>
      </c>
      <c r="O188" s="52">
        <v>1.019672131147541</v>
      </c>
      <c r="P188" s="52">
        <v>0.91770491803278686</v>
      </c>
      <c r="Q188" s="52">
        <v>9.8822950819672144</v>
      </c>
      <c r="R188" s="52">
        <v>125.78516393442627</v>
      </c>
      <c r="S188" s="52"/>
      <c r="T188" s="52">
        <v>301.10000000000002</v>
      </c>
      <c r="U188" s="52"/>
      <c r="V188" s="52">
        <v>2026.1999999999998</v>
      </c>
      <c r="W188" s="52"/>
      <c r="X188" s="52"/>
      <c r="Y188" s="52">
        <v>9.3974263194262733</v>
      </c>
    </row>
    <row r="189" spans="1:25" x14ac:dyDescent="0.35">
      <c r="A189" s="54">
        <v>42771</v>
      </c>
      <c r="B189" s="52">
        <v>6</v>
      </c>
      <c r="C189" s="52">
        <v>5.7</v>
      </c>
      <c r="D189" s="52">
        <v>7.2</v>
      </c>
      <c r="E189" s="52">
        <f t="shared" si="2"/>
        <v>1031.5</v>
      </c>
      <c r="F189" s="52"/>
      <c r="G189" s="52"/>
      <c r="H189" s="52">
        <v>3.1</v>
      </c>
      <c r="I189" s="52"/>
      <c r="J189" s="52">
        <v>0.6</v>
      </c>
      <c r="K189" s="52"/>
      <c r="L189" s="52">
        <v>2.5</v>
      </c>
      <c r="M189" s="52"/>
      <c r="N189" s="52">
        <v>136</v>
      </c>
      <c r="O189" s="52">
        <v>1.0221311475409836</v>
      </c>
      <c r="P189" s="52">
        <v>0.61327868852459011</v>
      </c>
      <c r="Q189" s="52">
        <v>2.4867213114754101</v>
      </c>
      <c r="R189" s="52">
        <v>128.27188524590167</v>
      </c>
      <c r="S189" s="52"/>
      <c r="T189" s="52">
        <v>132.19999999999999</v>
      </c>
      <c r="U189" s="52"/>
      <c r="V189" s="52">
        <v>2158.3999999999996</v>
      </c>
      <c r="W189" s="52"/>
      <c r="X189" s="52"/>
      <c r="Y189" s="52">
        <v>9.4464508493008772</v>
      </c>
    </row>
    <row r="190" spans="1:25" x14ac:dyDescent="0.35">
      <c r="A190" s="54">
        <v>42772</v>
      </c>
      <c r="B190" s="52">
        <v>5.0999999999999996</v>
      </c>
      <c r="C190" s="52">
        <v>1.6</v>
      </c>
      <c r="D190" s="52">
        <v>7.2</v>
      </c>
      <c r="E190" s="52">
        <f t="shared" si="2"/>
        <v>1036.5999999999999</v>
      </c>
      <c r="F190" s="52"/>
      <c r="G190" s="52"/>
      <c r="H190" s="52">
        <v>4.5</v>
      </c>
      <c r="I190" s="52"/>
      <c r="J190" s="52">
        <v>0.2</v>
      </c>
      <c r="K190" s="52"/>
      <c r="L190" s="52">
        <v>4.3</v>
      </c>
      <c r="M190" s="52"/>
      <c r="N190" s="52">
        <v>137</v>
      </c>
      <c r="O190" s="52">
        <v>1.0245901639344261</v>
      </c>
      <c r="P190" s="52">
        <v>0.20491803278688525</v>
      </c>
      <c r="Q190" s="52">
        <v>4.2950819672131146</v>
      </c>
      <c r="R190" s="52">
        <v>132.56696721311479</v>
      </c>
      <c r="S190" s="52"/>
      <c r="T190" s="52">
        <v>142.30000000000001</v>
      </c>
      <c r="U190" s="52"/>
      <c r="V190" s="52">
        <v>2300.6999999999998</v>
      </c>
      <c r="W190" s="52"/>
      <c r="X190" s="52"/>
      <c r="Y190" s="52">
        <v>9.4960495138551924</v>
      </c>
    </row>
    <row r="191" spans="1:25" x14ac:dyDescent="0.35">
      <c r="A191" s="54">
        <v>42773</v>
      </c>
      <c r="B191" s="52">
        <v>7.2</v>
      </c>
      <c r="C191" s="52">
        <v>5.6</v>
      </c>
      <c r="D191" s="52">
        <v>11.4</v>
      </c>
      <c r="E191" s="52">
        <f t="shared" si="2"/>
        <v>1043.8</v>
      </c>
      <c r="F191" s="52"/>
      <c r="G191" s="52"/>
      <c r="H191" s="52">
        <v>3.1</v>
      </c>
      <c r="I191" s="52"/>
      <c r="J191" s="52">
        <v>1.2</v>
      </c>
      <c r="K191" s="52"/>
      <c r="L191" s="52">
        <v>1.9000000000000001</v>
      </c>
      <c r="M191" s="52"/>
      <c r="N191" s="52">
        <v>138</v>
      </c>
      <c r="O191" s="52">
        <v>1.0270491803278687</v>
      </c>
      <c r="P191" s="52">
        <v>1.2324590163934424</v>
      </c>
      <c r="Q191" s="52">
        <v>1.8675409836065577</v>
      </c>
      <c r="R191" s="52">
        <v>134.43450819672134</v>
      </c>
      <c r="S191" s="52"/>
      <c r="T191" s="52">
        <v>762.5</v>
      </c>
      <c r="U191" s="52"/>
      <c r="V191" s="52">
        <v>3063.2</v>
      </c>
      <c r="W191" s="52"/>
      <c r="X191" s="52"/>
      <c r="Y191" s="52">
        <v>9.5462018461692093</v>
      </c>
    </row>
    <row r="192" spans="1:25" x14ac:dyDescent="0.35">
      <c r="A192" s="54">
        <v>42774</v>
      </c>
      <c r="B192" s="52">
        <v>4.5</v>
      </c>
      <c r="C192" s="52">
        <v>2.6</v>
      </c>
      <c r="D192" s="52">
        <v>8.1999999999999993</v>
      </c>
      <c r="E192" s="52">
        <f t="shared" si="2"/>
        <v>1048.3</v>
      </c>
      <c r="F192" s="52"/>
      <c r="G192" s="52"/>
      <c r="H192" s="52">
        <v>0.1</v>
      </c>
      <c r="I192" s="52"/>
      <c r="J192" s="52">
        <v>0.7</v>
      </c>
      <c r="K192" s="52"/>
      <c r="L192" s="52">
        <v>-0.6</v>
      </c>
      <c r="M192" s="52"/>
      <c r="N192" s="52">
        <v>139</v>
      </c>
      <c r="O192" s="52">
        <v>1.0295081967213116</v>
      </c>
      <c r="P192" s="52">
        <v>0.72065573770491809</v>
      </c>
      <c r="Q192" s="52">
        <v>-0.62065573770491811</v>
      </c>
      <c r="R192" s="52">
        <v>133.81385245901643</v>
      </c>
      <c r="S192" s="52"/>
      <c r="T192" s="52">
        <v>348.3</v>
      </c>
      <c r="U192" s="52"/>
      <c r="V192" s="52">
        <v>3411.5</v>
      </c>
      <c r="W192" s="52"/>
      <c r="X192" s="52"/>
      <c r="Y192" s="52">
        <v>9.596887765948523</v>
      </c>
    </row>
    <row r="193" spans="1:25" x14ac:dyDescent="0.35">
      <c r="A193" s="54">
        <v>42775</v>
      </c>
      <c r="B193" s="52">
        <v>3.2</v>
      </c>
      <c r="C193" s="52">
        <v>-0.4</v>
      </c>
      <c r="D193" s="52">
        <v>6.4</v>
      </c>
      <c r="E193" s="52">
        <f t="shared" si="2"/>
        <v>1051.5</v>
      </c>
      <c r="F193" s="52"/>
      <c r="G193" s="52"/>
      <c r="H193" s="52">
        <v>0</v>
      </c>
      <c r="I193" s="52"/>
      <c r="J193" s="52">
        <v>0.9</v>
      </c>
      <c r="K193" s="52"/>
      <c r="L193" s="52">
        <v>-0.9</v>
      </c>
      <c r="M193" s="52"/>
      <c r="N193" s="52">
        <v>140</v>
      </c>
      <c r="O193" s="52">
        <v>1.0319672131147541</v>
      </c>
      <c r="P193" s="52">
        <v>0.92877049180327875</v>
      </c>
      <c r="Q193" s="52">
        <v>-0.92877049180327875</v>
      </c>
      <c r="R193" s="52">
        <v>132.88508196721315</v>
      </c>
      <c r="S193" s="52"/>
      <c r="T193" s="52">
        <v>824.1</v>
      </c>
      <c r="U193" s="52"/>
      <c r="V193" s="52">
        <v>4235.6000000000004</v>
      </c>
      <c r="W193" s="52"/>
      <c r="X193" s="52"/>
      <c r="Y193" s="52">
        <v>9.6480875887263213</v>
      </c>
    </row>
    <row r="194" spans="1:25" x14ac:dyDescent="0.35">
      <c r="A194" s="54">
        <v>42776</v>
      </c>
      <c r="B194" s="52">
        <v>1.4</v>
      </c>
      <c r="C194" s="52">
        <v>-0.7</v>
      </c>
      <c r="D194" s="52">
        <v>3.6</v>
      </c>
      <c r="E194" s="52">
        <f t="shared" si="2"/>
        <v>1052.9000000000001</v>
      </c>
      <c r="F194" s="52"/>
      <c r="G194" s="52"/>
      <c r="H194" s="52">
        <v>0</v>
      </c>
      <c r="I194" s="52"/>
      <c r="J194" s="52">
        <v>0.6</v>
      </c>
      <c r="K194" s="52"/>
      <c r="L194" s="52">
        <v>-0.6</v>
      </c>
      <c r="M194" s="52"/>
      <c r="N194" s="52">
        <v>141</v>
      </c>
      <c r="O194" s="52">
        <v>1.0344262295081967</v>
      </c>
      <c r="P194" s="52">
        <v>0.620655737704918</v>
      </c>
      <c r="Q194" s="52">
        <v>-0.620655737704918</v>
      </c>
      <c r="R194" s="52">
        <v>132.26442622950825</v>
      </c>
      <c r="S194" s="52"/>
      <c r="T194" s="52">
        <v>390</v>
      </c>
      <c r="U194" s="52"/>
      <c r="V194" s="52">
        <v>4625.6000000000004</v>
      </c>
      <c r="W194" s="52"/>
      <c r="X194" s="52"/>
      <c r="Y194" s="52">
        <v>9.6997820334257749</v>
      </c>
    </row>
    <row r="195" spans="1:25" x14ac:dyDescent="0.35">
      <c r="A195" s="54">
        <v>42777</v>
      </c>
      <c r="B195" s="52">
        <v>1.8</v>
      </c>
      <c r="C195" s="52">
        <v>-0.2</v>
      </c>
      <c r="D195" s="52">
        <v>3.6</v>
      </c>
      <c r="E195" s="52">
        <f t="shared" si="2"/>
        <v>1054.7</v>
      </c>
      <c r="F195" s="52"/>
      <c r="G195" s="52"/>
      <c r="H195" s="52">
        <v>0</v>
      </c>
      <c r="I195" s="52"/>
      <c r="J195" s="52">
        <v>0.3</v>
      </c>
      <c r="K195" s="52"/>
      <c r="L195" s="52">
        <v>-0.3</v>
      </c>
      <c r="M195" s="52"/>
      <c r="N195" s="52">
        <v>142</v>
      </c>
      <c r="O195" s="52">
        <v>1.0368852459016393</v>
      </c>
      <c r="P195" s="52">
        <v>0.31106557377049177</v>
      </c>
      <c r="Q195" s="52">
        <v>-0.31106557377049177</v>
      </c>
      <c r="R195" s="52">
        <v>131.95336065573775</v>
      </c>
      <c r="S195" s="52"/>
      <c r="T195" s="52">
        <v>277.3</v>
      </c>
      <c r="U195" s="52"/>
      <c r="V195" s="52">
        <v>4902.9000000000005</v>
      </c>
      <c r="W195" s="52"/>
      <c r="X195" s="52"/>
      <c r="Y195" s="52">
        <v>9.7519522283515983</v>
      </c>
    </row>
    <row r="196" spans="1:25" x14ac:dyDescent="0.35">
      <c r="A196" s="54">
        <v>42778</v>
      </c>
      <c r="B196" s="52">
        <v>2.6</v>
      </c>
      <c r="C196" s="52">
        <v>-2</v>
      </c>
      <c r="D196" s="52">
        <v>8.5</v>
      </c>
      <c r="E196" s="52">
        <f t="shared" si="2"/>
        <v>1057.3</v>
      </c>
      <c r="F196" s="52"/>
      <c r="G196" s="52"/>
      <c r="H196" s="52">
        <v>0.3</v>
      </c>
      <c r="I196" s="52"/>
      <c r="J196" s="52">
        <v>0.9</v>
      </c>
      <c r="K196" s="52"/>
      <c r="L196" s="52">
        <v>-0.60000000000000009</v>
      </c>
      <c r="M196" s="52"/>
      <c r="N196" s="52">
        <v>143</v>
      </c>
      <c r="O196" s="52">
        <v>1.0393442622950819</v>
      </c>
      <c r="P196" s="52">
        <v>0.93540983606557371</v>
      </c>
      <c r="Q196" s="52">
        <v>-0.63540983606557377</v>
      </c>
      <c r="R196" s="52">
        <v>131.31795081967218</v>
      </c>
      <c r="S196" s="52"/>
      <c r="T196" s="52">
        <v>238.5</v>
      </c>
      <c r="U196" s="52"/>
      <c r="V196" s="52">
        <v>5141.4000000000005</v>
      </c>
      <c r="W196" s="52"/>
      <c r="X196" s="52"/>
      <c r="Y196" s="52">
        <v>9.8045797156805676</v>
      </c>
    </row>
    <row r="197" spans="1:25" x14ac:dyDescent="0.35">
      <c r="A197" s="54">
        <v>42779</v>
      </c>
      <c r="B197" s="52">
        <v>10.5</v>
      </c>
      <c r="C197" s="52">
        <v>5.0999999999999996</v>
      </c>
      <c r="D197" s="52">
        <v>12.5</v>
      </c>
      <c r="E197" s="52">
        <f t="shared" si="2"/>
        <v>1067.8</v>
      </c>
      <c r="F197" s="52"/>
      <c r="G197" s="52"/>
      <c r="H197" s="52">
        <v>0.7</v>
      </c>
      <c r="I197" s="52"/>
      <c r="J197" s="52">
        <v>1.3</v>
      </c>
      <c r="K197" s="52"/>
      <c r="L197" s="52">
        <v>-0.60000000000000009</v>
      </c>
      <c r="M197" s="52"/>
      <c r="N197" s="52">
        <v>144</v>
      </c>
      <c r="O197" s="52">
        <v>1.0418032786885245</v>
      </c>
      <c r="P197" s="52">
        <v>1.3543442622950819</v>
      </c>
      <c r="Q197" s="52">
        <v>-0.65434426229508191</v>
      </c>
      <c r="R197" s="52">
        <v>130.66360655737711</v>
      </c>
      <c r="S197" s="52"/>
      <c r="T197" s="52">
        <v>798.1</v>
      </c>
      <c r="U197" s="52"/>
      <c r="V197" s="52">
        <v>5939.5000000000009</v>
      </c>
      <c r="W197" s="52"/>
      <c r="X197" s="52"/>
      <c r="Y197" s="52">
        <v>9.8576464545214026</v>
      </c>
    </row>
    <row r="198" spans="1:25" x14ac:dyDescent="0.35">
      <c r="A198" s="54">
        <v>42780</v>
      </c>
      <c r="B198" s="52">
        <v>9.6</v>
      </c>
      <c r="C198" s="52">
        <v>8.9</v>
      </c>
      <c r="D198" s="52">
        <v>11.2</v>
      </c>
      <c r="E198" s="52">
        <f t="shared" si="2"/>
        <v>1077.3999999999999</v>
      </c>
      <c r="F198" s="52"/>
      <c r="G198" s="52"/>
      <c r="H198" s="52">
        <v>0.3</v>
      </c>
      <c r="I198" s="52"/>
      <c r="J198" s="52">
        <v>0.5</v>
      </c>
      <c r="K198" s="52"/>
      <c r="L198" s="52">
        <v>-0.2</v>
      </c>
      <c r="M198" s="52"/>
      <c r="N198" s="52">
        <v>145</v>
      </c>
      <c r="O198" s="52">
        <v>1.0442622950819671</v>
      </c>
      <c r="P198" s="52">
        <v>0.52213114754098355</v>
      </c>
      <c r="Q198" s="52">
        <v>-0.22213114754098356</v>
      </c>
      <c r="R198" s="52">
        <v>130.44147540983613</v>
      </c>
      <c r="S198" s="52"/>
      <c r="T198" s="52">
        <v>261.8</v>
      </c>
      <c r="U198" s="52"/>
      <c r="V198" s="52">
        <v>6201.3000000000011</v>
      </c>
      <c r="W198" s="52"/>
      <c r="X198" s="52"/>
      <c r="Y198" s="52">
        <v>9.9111348226143665</v>
      </c>
    </row>
    <row r="199" spans="1:25" x14ac:dyDescent="0.35">
      <c r="A199" s="54">
        <v>42781</v>
      </c>
      <c r="B199" s="52">
        <v>9.1</v>
      </c>
      <c r="C199" s="52">
        <v>7.4</v>
      </c>
      <c r="D199" s="52">
        <v>12.6</v>
      </c>
      <c r="E199" s="52">
        <f t="shared" si="2"/>
        <v>1086.4999999999998</v>
      </c>
      <c r="F199" s="52"/>
      <c r="G199" s="52"/>
      <c r="H199" s="52">
        <v>1.5</v>
      </c>
      <c r="I199" s="52"/>
      <c r="J199" s="52">
        <v>0.9</v>
      </c>
      <c r="K199" s="52"/>
      <c r="L199" s="52">
        <v>0.6</v>
      </c>
      <c r="M199" s="52"/>
      <c r="N199" s="52">
        <v>146</v>
      </c>
      <c r="O199" s="52">
        <v>1.0467213114754097</v>
      </c>
      <c r="P199" s="52">
        <v>0.94204918032786877</v>
      </c>
      <c r="Q199" s="52">
        <v>0.55795081967213123</v>
      </c>
      <c r="R199" s="52">
        <v>130.99942622950826</v>
      </c>
      <c r="S199" s="52"/>
      <c r="T199" s="52">
        <v>407.5</v>
      </c>
      <c r="U199" s="52"/>
      <c r="V199" s="52">
        <v>6608.8000000000011</v>
      </c>
      <c r="W199" s="52"/>
      <c r="X199" s="52"/>
      <c r="Y199" s="52">
        <v>9.9650276167406915</v>
      </c>
    </row>
    <row r="200" spans="1:25" x14ac:dyDescent="0.35">
      <c r="A200" s="54">
        <v>42782</v>
      </c>
      <c r="B200" s="52">
        <v>6.4</v>
      </c>
      <c r="C200" s="52">
        <v>4.2</v>
      </c>
      <c r="D200" s="52">
        <v>9.3000000000000007</v>
      </c>
      <c r="E200" s="52">
        <f t="shared" si="2"/>
        <v>1092.8999999999999</v>
      </c>
      <c r="F200" s="52"/>
      <c r="G200" s="52"/>
      <c r="H200" s="52">
        <v>0.1</v>
      </c>
      <c r="I200" s="52"/>
      <c r="J200" s="52">
        <v>1</v>
      </c>
      <c r="K200" s="52"/>
      <c r="L200" s="52">
        <v>-0.9</v>
      </c>
      <c r="M200" s="52"/>
      <c r="N200" s="52">
        <v>147</v>
      </c>
      <c r="O200" s="52">
        <v>1.0491803278688525</v>
      </c>
      <c r="P200" s="52">
        <v>1.0491803278688525</v>
      </c>
      <c r="Q200" s="52">
        <v>-0.94918032786885254</v>
      </c>
      <c r="R200" s="52">
        <v>130.05024590163941</v>
      </c>
      <c r="S200" s="52"/>
      <c r="T200" s="52">
        <v>561.1</v>
      </c>
      <c r="U200" s="52"/>
      <c r="V200" s="52">
        <v>7169.9000000000015</v>
      </c>
      <c r="W200" s="52"/>
      <c r="X200" s="52"/>
      <c r="Y200" s="52">
        <v>10.01930805191112</v>
      </c>
    </row>
    <row r="201" spans="1:25" x14ac:dyDescent="0.35">
      <c r="A201" s="54">
        <v>42783</v>
      </c>
      <c r="B201" s="52">
        <v>5.8</v>
      </c>
      <c r="C201" s="52">
        <v>0.6</v>
      </c>
      <c r="D201" s="52">
        <v>9.6999999999999993</v>
      </c>
      <c r="E201" s="52">
        <f t="shared" si="2"/>
        <v>1098.6999999999998</v>
      </c>
      <c r="F201" s="52"/>
      <c r="G201" s="52"/>
      <c r="H201" s="52">
        <v>0.2</v>
      </c>
      <c r="I201" s="52"/>
      <c r="J201" s="52">
        <v>1.2</v>
      </c>
      <c r="K201" s="52"/>
      <c r="L201" s="52">
        <v>-1</v>
      </c>
      <c r="M201" s="52"/>
      <c r="N201" s="52">
        <v>148</v>
      </c>
      <c r="O201" s="52">
        <v>1.0516393442622951</v>
      </c>
      <c r="P201" s="52">
        <v>1.2619672131147541</v>
      </c>
      <c r="Q201" s="52">
        <v>-1.0619672131147542</v>
      </c>
      <c r="R201" s="52">
        <v>128.98827868852467</v>
      </c>
      <c r="S201" s="52"/>
      <c r="T201" s="52">
        <v>1093.7</v>
      </c>
      <c r="U201" s="52"/>
      <c r="V201" s="52">
        <v>8263.6000000000022</v>
      </c>
      <c r="W201" s="52"/>
      <c r="X201" s="52"/>
      <c r="Y201" s="52">
        <v>10.073959759401752</v>
      </c>
    </row>
    <row r="202" spans="1:25" x14ac:dyDescent="0.35">
      <c r="A202" s="54">
        <v>42784</v>
      </c>
      <c r="B202" s="52">
        <v>6.2</v>
      </c>
      <c r="C202" s="52">
        <v>1.4</v>
      </c>
      <c r="D202" s="52">
        <v>11.4</v>
      </c>
      <c r="E202" s="52">
        <f t="shared" si="2"/>
        <v>1104.8999999999999</v>
      </c>
      <c r="F202" s="52"/>
      <c r="G202" s="52"/>
      <c r="H202" s="52">
        <v>0</v>
      </c>
      <c r="I202" s="52"/>
      <c r="J202" s="52">
        <v>1.5</v>
      </c>
      <c r="K202" s="52"/>
      <c r="L202" s="52">
        <v>-1.5</v>
      </c>
      <c r="M202" s="52"/>
      <c r="N202" s="52">
        <v>149</v>
      </c>
      <c r="O202" s="52">
        <v>1.0540983606557377</v>
      </c>
      <c r="P202" s="52">
        <v>1.5811475409836064</v>
      </c>
      <c r="Q202" s="52">
        <v>-1.5811475409836064</v>
      </c>
      <c r="R202" s="52">
        <v>127.40713114754107</v>
      </c>
      <c r="S202" s="52"/>
      <c r="T202" s="52">
        <v>1235.5</v>
      </c>
      <c r="U202" s="52"/>
      <c r="V202" s="52">
        <v>9499.1000000000022</v>
      </c>
      <c r="W202" s="52"/>
      <c r="X202" s="52"/>
      <c r="Y202" s="52">
        <v>10.128966783704099</v>
      </c>
    </row>
    <row r="203" spans="1:25" x14ac:dyDescent="0.35">
      <c r="A203" s="54">
        <v>42785</v>
      </c>
      <c r="B203" s="52">
        <v>6.3</v>
      </c>
      <c r="C203" s="52">
        <v>-0.9</v>
      </c>
      <c r="D203" s="52">
        <v>11.2</v>
      </c>
      <c r="E203" s="52">
        <f t="shared" si="2"/>
        <v>1111.1999999999998</v>
      </c>
      <c r="F203" s="52"/>
      <c r="G203" s="52"/>
      <c r="H203" s="52">
        <v>0.5</v>
      </c>
      <c r="I203" s="52"/>
      <c r="J203" s="52">
        <v>1.1000000000000001</v>
      </c>
      <c r="K203" s="52"/>
      <c r="L203" s="52">
        <v>-0.60000000000000009</v>
      </c>
      <c r="M203" s="52"/>
      <c r="N203" s="52">
        <v>150</v>
      </c>
      <c r="O203" s="52">
        <v>1.0565573770491803</v>
      </c>
      <c r="P203" s="52">
        <v>1.1622131147540984</v>
      </c>
      <c r="Q203" s="52">
        <v>-0.66221311475409839</v>
      </c>
      <c r="R203" s="52">
        <v>126.74491803278697</v>
      </c>
      <c r="S203" s="52"/>
      <c r="T203" s="52">
        <v>1090.0999999999999</v>
      </c>
      <c r="U203" s="52"/>
      <c r="V203" s="52">
        <v>10589.200000000003</v>
      </c>
      <c r="W203" s="52"/>
      <c r="X203" s="52"/>
      <c r="Y203" s="52">
        <v>10.184313578454478</v>
      </c>
    </row>
    <row r="204" spans="1:25" x14ac:dyDescent="0.35">
      <c r="A204" s="54">
        <v>42786</v>
      </c>
      <c r="B204" s="52">
        <v>11.2</v>
      </c>
      <c r="C204" s="52">
        <v>8.3000000000000007</v>
      </c>
      <c r="D204" s="52">
        <v>13.2</v>
      </c>
      <c r="E204" s="52">
        <f t="shared" si="2"/>
        <v>1122.3999999999999</v>
      </c>
      <c r="F204" s="52"/>
      <c r="G204" s="52"/>
      <c r="H204" s="52">
        <v>0.1</v>
      </c>
      <c r="I204" s="52"/>
      <c r="J204" s="52">
        <v>0.2</v>
      </c>
      <c r="K204" s="52"/>
      <c r="L204" s="52">
        <v>-0.1</v>
      </c>
      <c r="M204" s="52"/>
      <c r="N204" s="52">
        <v>151</v>
      </c>
      <c r="O204" s="52">
        <v>1.0590163934426229</v>
      </c>
      <c r="P204" s="52">
        <v>0.21180327868852458</v>
      </c>
      <c r="Q204" s="52">
        <v>-0.11180327868852458</v>
      </c>
      <c r="R204" s="52">
        <v>126.63311475409844</v>
      </c>
      <c r="S204" s="52"/>
      <c r="T204" s="52">
        <v>186.8</v>
      </c>
      <c r="U204" s="52"/>
      <c r="V204" s="52">
        <v>10776.000000000002</v>
      </c>
      <c r="W204" s="52"/>
      <c r="X204" s="52"/>
      <c r="Y204" s="52">
        <v>10.239985001406184</v>
      </c>
    </row>
    <row r="205" spans="1:25" x14ac:dyDescent="0.35">
      <c r="A205" s="54">
        <v>42787</v>
      </c>
      <c r="B205" s="52">
        <v>10.199999999999999</v>
      </c>
      <c r="C205" s="52">
        <v>9</v>
      </c>
      <c r="D205" s="52">
        <v>11.3</v>
      </c>
      <c r="E205" s="52">
        <f t="shared" si="2"/>
        <v>1132.5999999999999</v>
      </c>
      <c r="F205" s="52"/>
      <c r="G205" s="52"/>
      <c r="H205" s="52">
        <v>0</v>
      </c>
      <c r="I205" s="52"/>
      <c r="J205" s="52">
        <v>0.4</v>
      </c>
      <c r="K205" s="52"/>
      <c r="L205" s="52">
        <v>-0.4</v>
      </c>
      <c r="M205" s="52"/>
      <c r="N205" s="52">
        <v>152</v>
      </c>
      <c r="O205" s="52">
        <v>1.0614754098360655</v>
      </c>
      <c r="P205" s="52">
        <v>0.42459016393442622</v>
      </c>
      <c r="Q205" s="52">
        <v>-0.42459016393442622</v>
      </c>
      <c r="R205" s="52">
        <v>126.20852459016402</v>
      </c>
      <c r="S205" s="52"/>
      <c r="T205" s="52">
        <v>192</v>
      </c>
      <c r="U205" s="52"/>
      <c r="V205" s="52">
        <v>10968.000000000002</v>
      </c>
      <c r="W205" s="52"/>
      <c r="X205" s="52"/>
      <c r="Y205" s="52">
        <v>10.295966308505745</v>
      </c>
    </row>
    <row r="206" spans="1:25" x14ac:dyDescent="0.35">
      <c r="A206" s="54">
        <v>42788</v>
      </c>
      <c r="B206" s="52">
        <v>10</v>
      </c>
      <c r="C206" s="52">
        <v>9.5</v>
      </c>
      <c r="D206" s="52">
        <v>11.4</v>
      </c>
      <c r="E206" s="52">
        <f t="shared" si="2"/>
        <v>1142.5999999999999</v>
      </c>
      <c r="F206" s="52"/>
      <c r="G206" s="52"/>
      <c r="H206" s="52">
        <v>0.3</v>
      </c>
      <c r="I206" s="52"/>
      <c r="J206" s="52">
        <v>1.1000000000000001</v>
      </c>
      <c r="K206" s="52"/>
      <c r="L206" s="52">
        <v>-0.8</v>
      </c>
      <c r="M206" s="52"/>
      <c r="N206" s="52">
        <v>153</v>
      </c>
      <c r="O206" s="52">
        <v>1.0639344262295081</v>
      </c>
      <c r="P206" s="52">
        <v>1.170327868852459</v>
      </c>
      <c r="Q206" s="52">
        <v>-0.87032786885245894</v>
      </c>
      <c r="R206" s="52">
        <v>125.33819672131156</v>
      </c>
      <c r="S206" s="52"/>
      <c r="T206" s="52">
        <v>210</v>
      </c>
      <c r="U206" s="52"/>
      <c r="V206" s="52">
        <v>11178.000000000002</v>
      </c>
      <c r="W206" s="52"/>
      <c r="X206" s="52"/>
      <c r="Y206" s="52">
        <v>10.352243147132491</v>
      </c>
    </row>
    <row r="207" spans="1:25" x14ac:dyDescent="0.35">
      <c r="A207" s="54">
        <v>42789</v>
      </c>
      <c r="B207" s="52">
        <v>8.9</v>
      </c>
      <c r="C207" s="52">
        <v>8.6</v>
      </c>
      <c r="D207" s="52">
        <v>11</v>
      </c>
      <c r="E207" s="52">
        <f t="shared" si="2"/>
        <v>1151.5</v>
      </c>
      <c r="F207" s="52"/>
      <c r="G207" s="52"/>
      <c r="H207" s="52">
        <v>1.8</v>
      </c>
      <c r="I207" s="52"/>
      <c r="J207" s="52">
        <v>1</v>
      </c>
      <c r="K207" s="52"/>
      <c r="L207" s="52">
        <v>0.8</v>
      </c>
      <c r="M207" s="52"/>
      <c r="N207" s="52">
        <v>154</v>
      </c>
      <c r="O207" s="52">
        <v>1.0663934426229509</v>
      </c>
      <c r="P207" s="52">
        <v>1.0663934426229509</v>
      </c>
      <c r="Q207" s="52">
        <v>0.73360655737704916</v>
      </c>
      <c r="R207" s="52">
        <v>126.07180327868861</v>
      </c>
      <c r="S207" s="52"/>
      <c r="T207" s="52">
        <v>352.5</v>
      </c>
      <c r="U207" s="52"/>
      <c r="V207" s="52">
        <v>11530.500000000002</v>
      </c>
      <c r="W207" s="52"/>
      <c r="X207" s="52"/>
      <c r="Y207" s="52">
        <v>10.408801548558333</v>
      </c>
    </row>
    <row r="208" spans="1:25" x14ac:dyDescent="0.35">
      <c r="A208" s="54">
        <v>42790</v>
      </c>
      <c r="B208" s="52">
        <v>6</v>
      </c>
      <c r="C208" s="52">
        <v>4.0999999999999996</v>
      </c>
      <c r="D208" s="52">
        <v>9.5</v>
      </c>
      <c r="E208" s="52">
        <f t="shared" si="2"/>
        <v>1157.5</v>
      </c>
      <c r="F208" s="52"/>
      <c r="G208" s="52"/>
      <c r="H208" s="52">
        <v>0.1</v>
      </c>
      <c r="I208" s="52"/>
      <c r="J208" s="52">
        <v>1.1000000000000001</v>
      </c>
      <c r="K208" s="52"/>
      <c r="L208" s="52">
        <v>-1</v>
      </c>
      <c r="M208" s="52"/>
      <c r="N208" s="52">
        <v>155</v>
      </c>
      <c r="O208" s="52">
        <v>1.0688524590163935</v>
      </c>
      <c r="P208" s="52">
        <v>1.1757377049180329</v>
      </c>
      <c r="Q208" s="52">
        <v>-1.0757377049180328</v>
      </c>
      <c r="R208" s="52">
        <v>124.99606557377058</v>
      </c>
      <c r="S208" s="52"/>
      <c r="T208" s="52">
        <v>737.2</v>
      </c>
      <c r="U208" s="52"/>
      <c r="V208" s="52">
        <v>12267.700000000003</v>
      </c>
      <c r="W208" s="52"/>
      <c r="X208" s="52"/>
      <c r="Y208" s="52">
        <v>10.465627919682346</v>
      </c>
    </row>
    <row r="209" spans="1:25" x14ac:dyDescent="0.35">
      <c r="A209" s="54">
        <v>42791</v>
      </c>
      <c r="B209" s="52">
        <v>6.6</v>
      </c>
      <c r="C209" s="52">
        <v>2</v>
      </c>
      <c r="D209" s="52">
        <v>10.199999999999999</v>
      </c>
      <c r="E209" s="52">
        <f t="shared" si="2"/>
        <v>1164.0999999999999</v>
      </c>
      <c r="F209" s="52"/>
      <c r="G209" s="52"/>
      <c r="H209" s="52">
        <v>0</v>
      </c>
      <c r="I209" s="52"/>
      <c r="J209" s="52">
        <v>0.8</v>
      </c>
      <c r="K209" s="52"/>
      <c r="L209" s="52">
        <v>-0.8</v>
      </c>
      <c r="M209" s="52"/>
      <c r="N209" s="52">
        <v>156</v>
      </c>
      <c r="O209" s="52">
        <v>1.0713114754098361</v>
      </c>
      <c r="P209" s="52">
        <v>0.85704918032786892</v>
      </c>
      <c r="Q209" s="52">
        <v>-0.85704918032786892</v>
      </c>
      <c r="R209" s="52">
        <v>124.13901639344272</v>
      </c>
      <c r="S209" s="52"/>
      <c r="T209" s="52">
        <v>568.9</v>
      </c>
      <c r="U209" s="52"/>
      <c r="V209" s="52">
        <v>12836.600000000002</v>
      </c>
      <c r="W209" s="52"/>
      <c r="X209" s="52"/>
      <c r="Y209" s="52">
        <v>10.522709034092294</v>
      </c>
    </row>
    <row r="210" spans="1:25" x14ac:dyDescent="0.35">
      <c r="A210" s="54">
        <v>42792</v>
      </c>
      <c r="B210" s="52">
        <v>10.3</v>
      </c>
      <c r="C210" s="52">
        <v>7.8</v>
      </c>
      <c r="D210" s="52">
        <v>12.4</v>
      </c>
      <c r="E210" s="52">
        <f t="shared" si="2"/>
        <v>1174.3999999999999</v>
      </c>
      <c r="F210" s="52"/>
      <c r="G210" s="52"/>
      <c r="H210" s="52">
        <v>6</v>
      </c>
      <c r="I210" s="52"/>
      <c r="J210" s="52">
        <v>0.8</v>
      </c>
      <c r="K210" s="52"/>
      <c r="L210" s="52">
        <v>5.2</v>
      </c>
      <c r="M210" s="52"/>
      <c r="N210" s="52">
        <v>157</v>
      </c>
      <c r="O210" s="52">
        <v>1.0737704918032787</v>
      </c>
      <c r="P210" s="52">
        <v>0.85901639344262293</v>
      </c>
      <c r="Q210" s="52">
        <v>5.1409836065573771</v>
      </c>
      <c r="R210" s="52">
        <v>129.28000000000009</v>
      </c>
      <c r="S210" s="52"/>
      <c r="T210" s="52">
        <v>225.7</v>
      </c>
      <c r="U210" s="52"/>
      <c r="V210" s="52">
        <v>13062.300000000003</v>
      </c>
      <c r="W210" s="52"/>
      <c r="X210" s="52"/>
      <c r="Y210" s="52">
        <v>10.580032022502831</v>
      </c>
    </row>
    <row r="211" spans="1:25" x14ac:dyDescent="0.35">
      <c r="A211" s="54">
        <v>42793</v>
      </c>
      <c r="B211" s="52">
        <v>7.6</v>
      </c>
      <c r="C211" s="52">
        <v>6.2</v>
      </c>
      <c r="D211" s="52">
        <v>9.3000000000000007</v>
      </c>
      <c r="E211" s="52">
        <f t="shared" si="2"/>
        <v>1181.9999999999998</v>
      </c>
      <c r="F211" s="52"/>
      <c r="G211" s="52"/>
      <c r="H211" s="52">
        <v>11.6</v>
      </c>
      <c r="I211" s="52"/>
      <c r="J211" s="52">
        <v>0.8</v>
      </c>
      <c r="K211" s="52"/>
      <c r="L211" s="52">
        <v>10.799999999999999</v>
      </c>
      <c r="M211" s="52"/>
      <c r="N211" s="52">
        <v>158</v>
      </c>
      <c r="O211" s="52">
        <v>1.0762295081967213</v>
      </c>
      <c r="P211" s="52">
        <v>0.86098360655737705</v>
      </c>
      <c r="Q211" s="52">
        <v>10.739016393442622</v>
      </c>
      <c r="R211" s="52">
        <v>140.01901639344271</v>
      </c>
      <c r="S211" s="52"/>
      <c r="T211" s="52">
        <v>433.3</v>
      </c>
      <c r="U211" s="52"/>
      <c r="V211" s="52">
        <v>13495.600000000002</v>
      </c>
      <c r="W211" s="52"/>
      <c r="X211" s="52"/>
      <c r="Y211" s="52">
        <v>10.637584362617616</v>
      </c>
    </row>
    <row r="212" spans="1:25" x14ac:dyDescent="0.35">
      <c r="A212" s="54">
        <v>42794</v>
      </c>
      <c r="B212" s="52">
        <v>6.4</v>
      </c>
      <c r="C212" s="52">
        <v>3.7</v>
      </c>
      <c r="D212" s="52">
        <v>8.5</v>
      </c>
      <c r="E212" s="52">
        <f t="shared" si="2"/>
        <v>1188.3999999999999</v>
      </c>
      <c r="F212" s="52"/>
      <c r="G212" s="52"/>
      <c r="H212" s="52">
        <v>1.2</v>
      </c>
      <c r="I212" s="52"/>
      <c r="J212" s="52">
        <v>0.8</v>
      </c>
      <c r="K212" s="52"/>
      <c r="L212" s="52">
        <v>0.39999999999999991</v>
      </c>
      <c r="M212" s="52"/>
      <c r="N212" s="52">
        <v>159</v>
      </c>
      <c r="O212" s="52">
        <v>1.0786885245901638</v>
      </c>
      <c r="P212" s="52">
        <v>0.86295081967213116</v>
      </c>
      <c r="Q212" s="52">
        <v>0.33704918032786879</v>
      </c>
      <c r="R212" s="52">
        <v>140.35606557377059</v>
      </c>
      <c r="S212" s="52"/>
      <c r="T212" s="52">
        <v>500.6</v>
      </c>
      <c r="U212" s="52"/>
      <c r="V212" s="52">
        <v>13996.200000000003</v>
      </c>
      <c r="W212" s="52"/>
      <c r="X212" s="52"/>
      <c r="Y212" s="52">
        <v>10.695353868460133</v>
      </c>
    </row>
    <row r="213" spans="1:25" x14ac:dyDescent="0.35">
      <c r="A213" s="54">
        <v>42795</v>
      </c>
      <c r="B213" s="52">
        <v>9.4</v>
      </c>
      <c r="C213" s="52">
        <v>7.1</v>
      </c>
      <c r="D213" s="52">
        <v>12.3</v>
      </c>
      <c r="E213" s="52">
        <f t="shared" si="2"/>
        <v>1197.8</v>
      </c>
      <c r="F213" s="52"/>
      <c r="G213" s="52"/>
      <c r="H213" s="52">
        <v>3.4</v>
      </c>
      <c r="I213" s="52"/>
      <c r="J213" s="52">
        <v>0.9</v>
      </c>
      <c r="K213" s="52"/>
      <c r="L213" s="52">
        <v>2.5</v>
      </c>
      <c r="M213" s="52"/>
      <c r="N213" s="52">
        <v>160</v>
      </c>
      <c r="O213" s="52">
        <v>1.0811475409836064</v>
      </c>
      <c r="P213" s="52">
        <v>0.97303278688524586</v>
      </c>
      <c r="Q213" s="52">
        <v>2.4269672131147542</v>
      </c>
      <c r="R213" s="52">
        <v>142.78303278688534</v>
      </c>
      <c r="S213" s="52"/>
      <c r="T213" s="52">
        <v>370.9</v>
      </c>
      <c r="U213" s="52"/>
      <c r="V213" s="52">
        <v>14367.100000000002</v>
      </c>
      <c r="W213" s="52"/>
      <c r="X213" s="52"/>
      <c r="Y213" s="52">
        <v>10.753328679215574</v>
      </c>
    </row>
    <row r="214" spans="1:25" x14ac:dyDescent="0.35">
      <c r="A214" s="54">
        <v>42796</v>
      </c>
      <c r="B214" s="52">
        <v>7.8</v>
      </c>
      <c r="C214" s="52">
        <v>3.3</v>
      </c>
      <c r="D214" s="52">
        <v>11.7</v>
      </c>
      <c r="E214" s="52">
        <f t="shared" si="2"/>
        <v>1205.5999999999999</v>
      </c>
      <c r="F214" s="52"/>
      <c r="G214" s="52"/>
      <c r="H214" s="52">
        <v>0.7</v>
      </c>
      <c r="I214" s="52"/>
      <c r="J214" s="52">
        <v>1.2</v>
      </c>
      <c r="K214" s="52"/>
      <c r="L214" s="52">
        <v>-0.5</v>
      </c>
      <c r="M214" s="52"/>
      <c r="N214" s="52">
        <v>161</v>
      </c>
      <c r="O214" s="52">
        <v>1.083606557377049</v>
      </c>
      <c r="P214" s="52">
        <v>1.3003278688524589</v>
      </c>
      <c r="Q214" s="52">
        <v>-0.60032786885245892</v>
      </c>
      <c r="R214" s="52">
        <v>142.1827049180329</v>
      </c>
      <c r="S214" s="52"/>
      <c r="T214" s="52">
        <v>909.9</v>
      </c>
      <c r="U214" s="52"/>
      <c r="V214" s="52">
        <v>15277.000000000002</v>
      </c>
      <c r="W214" s="52"/>
      <c r="X214" s="52"/>
      <c r="Y214" s="52">
        <v>10.811497247623747</v>
      </c>
    </row>
    <row r="215" spans="1:25" x14ac:dyDescent="0.35">
      <c r="A215" s="54">
        <v>42797</v>
      </c>
      <c r="B215" s="52">
        <v>10.5</v>
      </c>
      <c r="C215" s="52">
        <v>7.4</v>
      </c>
      <c r="D215" s="52">
        <v>13.1</v>
      </c>
      <c r="E215" s="52">
        <f t="shared" si="2"/>
        <v>1216.0999999999999</v>
      </c>
      <c r="F215" s="52"/>
      <c r="G215" s="52"/>
      <c r="H215" s="52">
        <v>0.3</v>
      </c>
      <c r="I215" s="52"/>
      <c r="J215" s="52">
        <v>0.9</v>
      </c>
      <c r="K215" s="52"/>
      <c r="L215" s="52">
        <v>-0.60000000000000009</v>
      </c>
      <c r="M215" s="52"/>
      <c r="N215" s="52">
        <v>162</v>
      </c>
      <c r="O215" s="52">
        <v>1.0860655737704918</v>
      </c>
      <c r="P215" s="52">
        <v>0.97745901639344268</v>
      </c>
      <c r="Q215" s="52">
        <v>-0.67745901639344264</v>
      </c>
      <c r="R215" s="52">
        <v>141.50524590163946</v>
      </c>
      <c r="S215" s="52"/>
      <c r="T215" s="52">
        <v>686.6</v>
      </c>
      <c r="U215" s="52"/>
      <c r="V215" s="52">
        <v>15963.600000000002</v>
      </c>
      <c r="W215" s="52"/>
      <c r="X215" s="52"/>
      <c r="Y215" s="52">
        <v>10.869848327960588</v>
      </c>
    </row>
    <row r="216" spans="1:25" x14ac:dyDescent="0.35">
      <c r="A216" s="54">
        <v>42798</v>
      </c>
      <c r="B216" s="52">
        <v>7.3</v>
      </c>
      <c r="C216" s="52">
        <v>4.8</v>
      </c>
      <c r="D216" s="52">
        <v>11.3</v>
      </c>
      <c r="E216" s="52">
        <f t="shared" si="2"/>
        <v>1223.3999999999999</v>
      </c>
      <c r="F216" s="52"/>
      <c r="G216" s="52"/>
      <c r="H216" s="52">
        <v>1.9</v>
      </c>
      <c r="I216" s="52"/>
      <c r="J216" s="52">
        <v>1</v>
      </c>
      <c r="K216" s="52"/>
      <c r="L216" s="52">
        <v>0.89999999999999991</v>
      </c>
      <c r="M216" s="52"/>
      <c r="N216" s="52">
        <v>163</v>
      </c>
      <c r="O216" s="52">
        <v>1.0885245901639344</v>
      </c>
      <c r="P216" s="52">
        <v>1.0885245901639344</v>
      </c>
      <c r="Q216" s="52">
        <v>0.81147540983606548</v>
      </c>
      <c r="R216" s="52">
        <v>142.31672131147553</v>
      </c>
      <c r="S216" s="52"/>
      <c r="T216" s="52">
        <v>486.9</v>
      </c>
      <c r="U216" s="52"/>
      <c r="V216" s="52">
        <v>16450.500000000004</v>
      </c>
      <c r="W216" s="52"/>
      <c r="X216" s="52"/>
      <c r="Y216" s="52">
        <v>10.928370963643593</v>
      </c>
    </row>
    <row r="217" spans="1:25" x14ac:dyDescent="0.35">
      <c r="A217" s="54">
        <v>42799</v>
      </c>
      <c r="B217" s="52">
        <v>8.1</v>
      </c>
      <c r="C217" s="52">
        <v>3.6</v>
      </c>
      <c r="D217" s="52">
        <v>9.5</v>
      </c>
      <c r="E217" s="52">
        <f t="shared" si="2"/>
        <v>1231.4999999999998</v>
      </c>
      <c r="F217" s="52"/>
      <c r="G217" s="52"/>
      <c r="H217" s="52">
        <v>5.3</v>
      </c>
      <c r="I217" s="52"/>
      <c r="J217" s="52">
        <v>0.6</v>
      </c>
      <c r="K217" s="52"/>
      <c r="L217" s="52">
        <v>4.7</v>
      </c>
      <c r="M217" s="52"/>
      <c r="N217" s="52">
        <v>164</v>
      </c>
      <c r="O217" s="52">
        <v>1.090983606557377</v>
      </c>
      <c r="P217" s="52">
        <v>0.65459016393442615</v>
      </c>
      <c r="Q217" s="52">
        <v>4.645409836065574</v>
      </c>
      <c r="R217" s="52">
        <v>146.9621311475411</v>
      </c>
      <c r="S217" s="52"/>
      <c r="T217" s="52">
        <v>374</v>
      </c>
      <c r="U217" s="52"/>
      <c r="V217" s="52">
        <v>16824.500000000004</v>
      </c>
      <c r="W217" s="52"/>
      <c r="X217" s="52"/>
      <c r="Y217" s="52">
        <v>10.987054474494258</v>
      </c>
    </row>
    <row r="218" spans="1:25" x14ac:dyDescent="0.35">
      <c r="A218" s="54">
        <v>42800</v>
      </c>
      <c r="B218" s="52">
        <v>7.7</v>
      </c>
      <c r="C218" s="52">
        <v>7.6</v>
      </c>
      <c r="D218" s="52">
        <v>8.5</v>
      </c>
      <c r="E218" s="52">
        <f t="shared" si="2"/>
        <v>1239.1999999999998</v>
      </c>
      <c r="F218" s="52"/>
      <c r="G218" s="52"/>
      <c r="H218" s="52">
        <v>4.4000000000000004</v>
      </c>
      <c r="I218" s="52"/>
      <c r="J218" s="52">
        <v>1</v>
      </c>
      <c r="K218" s="52"/>
      <c r="L218" s="52">
        <v>3.4000000000000004</v>
      </c>
      <c r="M218" s="52"/>
      <c r="N218" s="52">
        <v>165</v>
      </c>
      <c r="O218" s="52">
        <v>1.0934426229508196</v>
      </c>
      <c r="P218" s="52">
        <v>1.0934426229508196</v>
      </c>
      <c r="Q218" s="52">
        <v>3.306557377049181</v>
      </c>
      <c r="R218" s="52">
        <v>150.26868852459029</v>
      </c>
      <c r="S218" s="52"/>
      <c r="T218" s="52">
        <v>322.39999999999998</v>
      </c>
      <c r="U218" s="52"/>
      <c r="V218" s="52">
        <v>17146.900000000005</v>
      </c>
      <c r="W218" s="52"/>
      <c r="X218" s="52"/>
      <c r="Y218" s="52">
        <v>11.045888443688392</v>
      </c>
    </row>
    <row r="219" spans="1:25" x14ac:dyDescent="0.35">
      <c r="A219" s="54">
        <v>42801</v>
      </c>
      <c r="B219" s="52">
        <v>7.3</v>
      </c>
      <c r="C219" s="52">
        <v>6.4</v>
      </c>
      <c r="D219" s="52">
        <v>11</v>
      </c>
      <c r="E219" s="52">
        <f t="shared" si="2"/>
        <v>1246.4999999999998</v>
      </c>
      <c r="F219" s="52"/>
      <c r="G219" s="52"/>
      <c r="H219" s="52">
        <v>3.2</v>
      </c>
      <c r="I219" s="52"/>
      <c r="J219" s="52">
        <v>0.8</v>
      </c>
      <c r="K219" s="52"/>
      <c r="L219" s="52">
        <v>2.4000000000000004</v>
      </c>
      <c r="M219" s="52"/>
      <c r="N219" s="52">
        <v>166</v>
      </c>
      <c r="O219" s="52">
        <v>1.0959016393442622</v>
      </c>
      <c r="P219" s="52">
        <v>0.87672131147540977</v>
      </c>
      <c r="Q219" s="52">
        <v>2.3232786885245904</v>
      </c>
      <c r="R219" s="52">
        <v>152.59196721311488</v>
      </c>
      <c r="S219" s="52"/>
      <c r="T219" s="52">
        <v>222.3</v>
      </c>
      <c r="U219" s="52"/>
      <c r="V219" s="52">
        <v>17369.200000000004</v>
      </c>
      <c r="W219" s="52"/>
      <c r="X219" s="52"/>
      <c r="Y219" s="52">
        <v>11.104862704423253</v>
      </c>
    </row>
    <row r="220" spans="1:25" x14ac:dyDescent="0.35">
      <c r="A220" s="54">
        <v>42802</v>
      </c>
      <c r="B220" s="52">
        <v>11.8</v>
      </c>
      <c r="C220" s="52">
        <v>7.4</v>
      </c>
      <c r="D220" s="52">
        <v>13.6</v>
      </c>
      <c r="E220" s="52">
        <f t="shared" si="2"/>
        <v>1258.2999999999997</v>
      </c>
      <c r="F220" s="52"/>
      <c r="G220" s="52"/>
      <c r="H220" s="52">
        <v>0</v>
      </c>
      <c r="I220" s="52"/>
      <c r="J220" s="52">
        <v>0.1</v>
      </c>
      <c r="K220" s="52"/>
      <c r="L220" s="52">
        <v>-0.1</v>
      </c>
      <c r="M220" s="52"/>
      <c r="N220" s="52">
        <v>167</v>
      </c>
      <c r="O220" s="52">
        <v>1.0983606557377048</v>
      </c>
      <c r="P220" s="52">
        <v>0.10983606557377049</v>
      </c>
      <c r="Q220" s="52">
        <v>-0.10983606557377049</v>
      </c>
      <c r="R220" s="52">
        <v>152.48213114754111</v>
      </c>
      <c r="S220" s="52"/>
      <c r="T220" s="52">
        <v>257.7</v>
      </c>
      <c r="U220" s="52"/>
      <c r="V220" s="52">
        <v>17626.900000000005</v>
      </c>
      <c r="W220" s="52"/>
      <c r="X220" s="52"/>
      <c r="Y220" s="52">
        <v>11.16396732632829</v>
      </c>
    </row>
    <row r="221" spans="1:25" x14ac:dyDescent="0.35">
      <c r="A221" s="54">
        <v>42803</v>
      </c>
      <c r="B221" s="52">
        <v>12.5</v>
      </c>
      <c r="C221" s="52">
        <v>10.7</v>
      </c>
      <c r="D221" s="52">
        <v>14.3</v>
      </c>
      <c r="E221" s="52">
        <f t="shared" si="2"/>
        <v>1270.7999999999997</v>
      </c>
      <c r="F221" s="52"/>
      <c r="G221" s="52"/>
      <c r="H221" s="52">
        <v>0.3</v>
      </c>
      <c r="I221" s="52"/>
      <c r="J221" s="52">
        <v>0.5</v>
      </c>
      <c r="K221" s="52"/>
      <c r="L221" s="52">
        <v>-0.2</v>
      </c>
      <c r="M221" s="52"/>
      <c r="N221" s="52">
        <v>168</v>
      </c>
      <c r="O221" s="52">
        <v>1.1008196721311474</v>
      </c>
      <c r="P221" s="52">
        <v>0.5504098360655737</v>
      </c>
      <c r="Q221" s="52">
        <v>-0.25040983606557371</v>
      </c>
      <c r="R221" s="52">
        <v>152.23172131147552</v>
      </c>
      <c r="S221" s="52"/>
      <c r="T221" s="52">
        <v>287.89999999999998</v>
      </c>
      <c r="U221" s="52"/>
      <c r="V221" s="52">
        <v>17914.800000000007</v>
      </c>
      <c r="W221" s="52"/>
      <c r="X221" s="52"/>
      <c r="Y221" s="52">
        <v>11.223192601644561</v>
      </c>
    </row>
    <row r="222" spans="1:25" x14ac:dyDescent="0.35">
      <c r="A222" s="54">
        <v>42804</v>
      </c>
      <c r="B222" s="52">
        <v>12.5</v>
      </c>
      <c r="C222" s="52">
        <v>10.199999999999999</v>
      </c>
      <c r="D222" s="52">
        <v>15.2</v>
      </c>
      <c r="E222" s="52">
        <f t="shared" si="2"/>
        <v>1283.2999999999997</v>
      </c>
      <c r="F222" s="52"/>
      <c r="G222" s="52"/>
      <c r="H222" s="52">
        <v>0.1</v>
      </c>
      <c r="I222" s="52"/>
      <c r="J222" s="52">
        <v>0.9</v>
      </c>
      <c r="K222" s="52"/>
      <c r="L222" s="52">
        <v>-0.8</v>
      </c>
      <c r="M222" s="52"/>
      <c r="N222" s="52">
        <v>169</v>
      </c>
      <c r="O222" s="52">
        <v>1.1032786885245902</v>
      </c>
      <c r="P222" s="52">
        <v>0.99295081967213117</v>
      </c>
      <c r="Q222" s="52">
        <v>-0.89295081967213119</v>
      </c>
      <c r="R222" s="52">
        <v>151.33877049180339</v>
      </c>
      <c r="S222" s="52"/>
      <c r="T222" s="52">
        <v>647.6</v>
      </c>
      <c r="U222" s="52"/>
      <c r="V222" s="52">
        <v>18562.400000000005</v>
      </c>
      <c r="W222" s="52"/>
      <c r="X222" s="52"/>
      <c r="Y222" s="52">
        <v>11.282529031196002</v>
      </c>
    </row>
    <row r="223" spans="1:25" x14ac:dyDescent="0.35">
      <c r="A223" s="54">
        <v>42805</v>
      </c>
      <c r="B223" s="52">
        <v>12</v>
      </c>
      <c r="C223" s="52">
        <v>6.4</v>
      </c>
      <c r="D223" s="52">
        <v>15.9</v>
      </c>
      <c r="E223" s="52">
        <f t="shared" si="2"/>
        <v>1295.2999999999997</v>
      </c>
      <c r="F223" s="52"/>
      <c r="G223" s="52"/>
      <c r="H223" s="52">
        <v>0.4</v>
      </c>
      <c r="I223" s="52"/>
      <c r="J223" s="52">
        <v>0.8</v>
      </c>
      <c r="K223" s="52"/>
      <c r="L223" s="52">
        <v>-0.4</v>
      </c>
      <c r="M223" s="52"/>
      <c r="N223" s="52">
        <v>170</v>
      </c>
      <c r="O223" s="52">
        <v>1.1057377049180328</v>
      </c>
      <c r="P223" s="52">
        <v>0.88459016393442624</v>
      </c>
      <c r="Q223" s="52">
        <v>-0.48459016393442622</v>
      </c>
      <c r="R223" s="52">
        <v>150.85418032786896</v>
      </c>
      <c r="S223" s="52"/>
      <c r="T223" s="52">
        <v>604.70000000000005</v>
      </c>
      <c r="U223" s="52"/>
      <c r="V223" s="52">
        <v>19167.100000000006</v>
      </c>
      <c r="W223" s="52"/>
      <c r="X223" s="52"/>
      <c r="Y223" s="52">
        <v>11.341967310174089</v>
      </c>
    </row>
    <row r="224" spans="1:25" x14ac:dyDescent="0.35">
      <c r="A224" s="54">
        <v>42806</v>
      </c>
      <c r="B224" s="52">
        <v>9.9</v>
      </c>
      <c r="C224" s="52">
        <v>9</v>
      </c>
      <c r="D224" s="52">
        <v>10.8</v>
      </c>
      <c r="E224" s="52">
        <f t="shared" si="2"/>
        <v>1305.1999999999998</v>
      </c>
      <c r="F224" s="52"/>
      <c r="G224" s="52"/>
      <c r="H224" s="52">
        <v>5.2</v>
      </c>
      <c r="I224" s="52"/>
      <c r="J224" s="52">
        <v>0.5</v>
      </c>
      <c r="K224" s="52"/>
      <c r="L224" s="52">
        <v>4.7</v>
      </c>
      <c r="M224" s="52"/>
      <c r="N224" s="52">
        <v>171</v>
      </c>
      <c r="O224" s="52">
        <v>1.1081967213114754</v>
      </c>
      <c r="P224" s="52">
        <v>0.5540983606557377</v>
      </c>
      <c r="Q224" s="52">
        <v>4.6459016393442623</v>
      </c>
      <c r="R224" s="52">
        <v>155.50008196721322</v>
      </c>
      <c r="S224" s="52"/>
      <c r="T224" s="52">
        <v>240.6</v>
      </c>
      <c r="U224" s="52"/>
      <c r="V224" s="52">
        <v>19407.700000000004</v>
      </c>
      <c r="W224" s="52"/>
      <c r="X224" s="52"/>
      <c r="Y224" s="52">
        <v>11.401498313755869</v>
      </c>
    </row>
    <row r="225" spans="1:25" x14ac:dyDescent="0.35">
      <c r="A225" s="54">
        <v>42807</v>
      </c>
      <c r="B225" s="52">
        <v>9.6999999999999993</v>
      </c>
      <c r="C225" s="52">
        <v>8.6</v>
      </c>
      <c r="D225" s="52">
        <v>13.4</v>
      </c>
      <c r="E225" s="52">
        <f t="shared" si="2"/>
        <v>1314.8999999999999</v>
      </c>
      <c r="F225" s="52"/>
      <c r="G225" s="52"/>
      <c r="H225" s="52">
        <v>0</v>
      </c>
      <c r="I225" s="52"/>
      <c r="J225" s="52">
        <v>2.1</v>
      </c>
      <c r="K225" s="52"/>
      <c r="L225" s="52">
        <v>-2.1</v>
      </c>
      <c r="M225" s="52"/>
      <c r="N225" s="52">
        <v>172</v>
      </c>
      <c r="O225" s="52">
        <v>1.110655737704918</v>
      </c>
      <c r="P225" s="52">
        <v>2.332377049180328</v>
      </c>
      <c r="Q225" s="52">
        <v>-2.332377049180328</v>
      </c>
      <c r="R225" s="52">
        <v>153.16770491803288</v>
      </c>
      <c r="S225" s="52"/>
      <c r="T225" s="52">
        <v>962</v>
      </c>
      <c r="U225" s="52"/>
      <c r="V225" s="52">
        <v>20369.700000000004</v>
      </c>
      <c r="W225" s="52"/>
      <c r="X225" s="52"/>
      <c r="Y225" s="52">
        <v>11.461113082573837</v>
      </c>
    </row>
    <row r="226" spans="1:25" x14ac:dyDescent="0.35">
      <c r="A226" s="54">
        <v>42808</v>
      </c>
      <c r="B226" s="52">
        <v>7.8</v>
      </c>
      <c r="C226" s="52">
        <v>2.6</v>
      </c>
      <c r="D226" s="52">
        <v>10.8</v>
      </c>
      <c r="E226" s="52">
        <f t="shared" si="2"/>
        <v>1322.6999999999998</v>
      </c>
      <c r="F226" s="52"/>
      <c r="G226" s="52"/>
      <c r="H226" s="52">
        <v>0</v>
      </c>
      <c r="I226" s="52"/>
      <c r="J226" s="52">
        <v>0.4</v>
      </c>
      <c r="K226" s="52"/>
      <c r="L226" s="52">
        <v>-0.4</v>
      </c>
      <c r="M226" s="52"/>
      <c r="N226" s="52">
        <v>173</v>
      </c>
      <c r="O226" s="52">
        <v>1.1131147540983606</v>
      </c>
      <c r="P226" s="52">
        <v>0.44524590163934424</v>
      </c>
      <c r="Q226" s="52">
        <v>-0.44524590163934424</v>
      </c>
      <c r="R226" s="52">
        <v>152.72245901639354</v>
      </c>
      <c r="S226" s="52"/>
      <c r="T226" s="52">
        <v>365.4</v>
      </c>
      <c r="U226" s="52"/>
      <c r="V226" s="52">
        <v>20735.100000000006</v>
      </c>
      <c r="W226" s="52"/>
      <c r="X226" s="52"/>
      <c r="Y226" s="52">
        <v>11.520802808054778</v>
      </c>
    </row>
    <row r="227" spans="1:25" x14ac:dyDescent="0.35">
      <c r="A227" s="54">
        <v>42809</v>
      </c>
      <c r="B227" s="52">
        <v>10.199999999999999</v>
      </c>
      <c r="C227" s="52">
        <v>9.1999999999999993</v>
      </c>
      <c r="D227" s="52">
        <v>12.3</v>
      </c>
      <c r="E227" s="52">
        <f t="shared" si="2"/>
        <v>1332.8999999999999</v>
      </c>
      <c r="F227" s="52"/>
      <c r="G227" s="52"/>
      <c r="H227" s="52">
        <v>0.1</v>
      </c>
      <c r="I227" s="52"/>
      <c r="J227" s="52">
        <v>0.9</v>
      </c>
      <c r="K227" s="52"/>
      <c r="L227" s="52">
        <v>-0.8</v>
      </c>
      <c r="M227" s="52"/>
      <c r="N227" s="52">
        <v>174</v>
      </c>
      <c r="O227" s="52">
        <v>1.1155737704918032</v>
      </c>
      <c r="P227" s="52">
        <v>1.0040163934426229</v>
      </c>
      <c r="Q227" s="52">
        <v>-0.90401639344262297</v>
      </c>
      <c r="R227" s="52">
        <v>151.81844262295093</v>
      </c>
      <c r="S227" s="52"/>
      <c r="T227" s="52">
        <v>378.9</v>
      </c>
      <c r="U227" s="52"/>
      <c r="V227" s="52">
        <v>21114.000000000007</v>
      </c>
      <c r="W227" s="52"/>
      <c r="X227" s="52"/>
      <c r="Y227" s="52">
        <v>11.580558817643515</v>
      </c>
    </row>
    <row r="228" spans="1:25" x14ac:dyDescent="0.35">
      <c r="A228" s="54">
        <v>42810</v>
      </c>
      <c r="B228" s="52">
        <v>10</v>
      </c>
      <c r="C228" s="52">
        <v>1.4</v>
      </c>
      <c r="D228" s="52">
        <v>15.8</v>
      </c>
      <c r="E228" s="52">
        <f t="shared" si="2"/>
        <v>1342.8999999999999</v>
      </c>
      <c r="F228" s="52"/>
      <c r="G228" s="52"/>
      <c r="H228" s="52">
        <v>0</v>
      </c>
      <c r="I228" s="52"/>
      <c r="J228" s="52">
        <v>1.9</v>
      </c>
      <c r="K228" s="52"/>
      <c r="L228" s="52">
        <v>-1.9</v>
      </c>
      <c r="M228" s="52"/>
      <c r="N228" s="52">
        <v>175</v>
      </c>
      <c r="O228" s="52">
        <v>1.1180327868852458</v>
      </c>
      <c r="P228" s="52">
        <v>2.1242622950819667</v>
      </c>
      <c r="Q228" s="52">
        <v>-2.1242622950819667</v>
      </c>
      <c r="R228" s="52">
        <v>149.69418032786896</v>
      </c>
      <c r="S228" s="52"/>
      <c r="T228" s="52">
        <v>1588.6</v>
      </c>
      <c r="U228" s="52"/>
      <c r="V228" s="52">
        <v>22702.600000000006</v>
      </c>
      <c r="W228" s="52"/>
      <c r="X228" s="52"/>
      <c r="Y228" s="52">
        <v>11.640372559926252</v>
      </c>
    </row>
    <row r="229" spans="1:25" x14ac:dyDescent="0.35">
      <c r="A229" s="54">
        <v>42811</v>
      </c>
      <c r="B229" s="52">
        <v>9.1</v>
      </c>
      <c r="C229" s="52">
        <v>8.1999999999999993</v>
      </c>
      <c r="D229" s="52">
        <v>12.3</v>
      </c>
      <c r="E229" s="52">
        <f t="shared" si="2"/>
        <v>1351.9999999999998</v>
      </c>
      <c r="F229" s="52"/>
      <c r="G229" s="52"/>
      <c r="H229" s="52">
        <v>0</v>
      </c>
      <c r="I229" s="52"/>
      <c r="J229" s="52">
        <v>1.3</v>
      </c>
      <c r="K229" s="52"/>
      <c r="L229" s="52">
        <v>-1.3</v>
      </c>
      <c r="M229" s="52"/>
      <c r="N229" s="52">
        <v>176</v>
      </c>
      <c r="O229" s="52">
        <v>1.1204918032786884</v>
      </c>
      <c r="P229" s="52">
        <v>1.4566393442622949</v>
      </c>
      <c r="Q229" s="52">
        <v>-1.4566393442622949</v>
      </c>
      <c r="R229" s="52">
        <v>148.23754098360666</v>
      </c>
      <c r="S229" s="52"/>
      <c r="T229" s="52">
        <v>710.6</v>
      </c>
      <c r="U229" s="52"/>
      <c r="V229" s="52">
        <v>23413.200000000004</v>
      </c>
      <c r="W229" s="52"/>
      <c r="X229" s="52"/>
      <c r="Y229" s="52">
        <v>11.700235589667285</v>
      </c>
    </row>
    <row r="230" spans="1:25" x14ac:dyDescent="0.35">
      <c r="A230" s="54">
        <v>42812</v>
      </c>
      <c r="B230" s="52">
        <v>10.7</v>
      </c>
      <c r="C230" s="52">
        <v>5.7</v>
      </c>
      <c r="D230" s="52">
        <v>13</v>
      </c>
      <c r="E230" s="52">
        <f t="shared" si="2"/>
        <v>1362.6999999999998</v>
      </c>
      <c r="F230" s="52"/>
      <c r="G230" s="52"/>
      <c r="H230" s="52">
        <v>0</v>
      </c>
      <c r="I230" s="52"/>
      <c r="J230" s="52">
        <v>0.4</v>
      </c>
      <c r="K230" s="52"/>
      <c r="L230" s="52">
        <v>-0.4</v>
      </c>
      <c r="M230" s="52"/>
      <c r="N230" s="52">
        <v>177</v>
      </c>
      <c r="O230" s="52">
        <v>1.1229508196721312</v>
      </c>
      <c r="P230" s="52">
        <v>0.44918032786885248</v>
      </c>
      <c r="Q230" s="52">
        <v>-0.44918032786885248</v>
      </c>
      <c r="R230" s="52">
        <v>147.78836065573782</v>
      </c>
      <c r="S230" s="52"/>
      <c r="T230" s="52">
        <v>280.2</v>
      </c>
      <c r="U230" s="52"/>
      <c r="V230" s="52">
        <v>23693.400000000005</v>
      </c>
      <c r="W230" s="52"/>
      <c r="X230" s="52"/>
      <c r="Y230" s="52">
        <v>11.7601395527719</v>
      </c>
    </row>
    <row r="231" spans="1:25" x14ac:dyDescent="0.35">
      <c r="A231" s="54">
        <v>42813</v>
      </c>
      <c r="B231" s="52">
        <v>11.3</v>
      </c>
      <c r="C231" s="52">
        <v>9.1999999999999993</v>
      </c>
      <c r="D231" s="52">
        <v>13.4</v>
      </c>
      <c r="E231" s="52">
        <f t="shared" si="2"/>
        <v>1373.9999999999998</v>
      </c>
      <c r="F231" s="52"/>
      <c r="G231" s="52"/>
      <c r="H231" s="52">
        <v>0</v>
      </c>
      <c r="I231" s="52"/>
      <c r="J231" s="52">
        <v>1</v>
      </c>
      <c r="K231" s="52"/>
      <c r="L231" s="52">
        <v>-1</v>
      </c>
      <c r="M231" s="52"/>
      <c r="N231" s="52">
        <v>178</v>
      </c>
      <c r="O231" s="52">
        <v>1.1254098360655738</v>
      </c>
      <c r="P231" s="52">
        <v>1.1254098360655738</v>
      </c>
      <c r="Q231" s="52">
        <v>-1.1254098360655738</v>
      </c>
      <c r="R231" s="52">
        <v>146.66295081967223</v>
      </c>
      <c r="S231" s="52"/>
      <c r="T231" s="52">
        <v>244.5</v>
      </c>
      <c r="U231" s="52"/>
      <c r="V231" s="52">
        <v>23937.900000000005</v>
      </c>
      <c r="W231" s="52"/>
      <c r="X231" s="52"/>
      <c r="Y231" s="52">
        <v>11.820076171187441</v>
      </c>
    </row>
    <row r="232" spans="1:25" x14ac:dyDescent="0.35">
      <c r="A232" s="54">
        <v>42814</v>
      </c>
      <c r="B232" s="52">
        <v>10.4</v>
      </c>
      <c r="C232" s="52">
        <v>9.5</v>
      </c>
      <c r="D232" s="52">
        <v>12</v>
      </c>
      <c r="E232" s="52">
        <f t="shared" si="2"/>
        <v>1384.3999999999999</v>
      </c>
      <c r="F232" s="52"/>
      <c r="G232" s="52"/>
      <c r="H232" s="52">
        <v>0.3</v>
      </c>
      <c r="I232" s="52"/>
      <c r="J232" s="52">
        <v>1</v>
      </c>
      <c r="K232" s="52"/>
      <c r="L232" s="52">
        <v>-0.7</v>
      </c>
      <c r="M232" s="52"/>
      <c r="N232" s="52">
        <v>179</v>
      </c>
      <c r="O232" s="52">
        <v>1.1278688524590164</v>
      </c>
      <c r="P232" s="52">
        <v>1.1278688524590164</v>
      </c>
      <c r="Q232" s="52">
        <v>-0.82786885245901631</v>
      </c>
      <c r="R232" s="52">
        <v>145.83508196721323</v>
      </c>
      <c r="S232" s="52"/>
      <c r="T232" s="52">
        <v>336.5</v>
      </c>
      <c r="U232" s="52"/>
      <c r="V232" s="52">
        <v>24274.400000000005</v>
      </c>
      <c r="W232" s="52"/>
      <c r="X232" s="52"/>
      <c r="Y232" s="52">
        <v>11.880037227753965</v>
      </c>
    </row>
    <row r="233" spans="1:25" x14ac:dyDescent="0.35">
      <c r="A233" s="54">
        <v>42815</v>
      </c>
      <c r="B233" s="52">
        <v>8.6</v>
      </c>
      <c r="C233" s="52">
        <v>7</v>
      </c>
      <c r="D233" s="52">
        <v>11.2</v>
      </c>
      <c r="E233" s="52">
        <f t="shared" si="2"/>
        <v>1392.9999999999998</v>
      </c>
      <c r="F233" s="52"/>
      <c r="G233" s="52"/>
      <c r="H233" s="52">
        <v>5.7</v>
      </c>
      <c r="I233" s="52"/>
      <c r="J233" s="52">
        <v>1.9</v>
      </c>
      <c r="K233" s="52"/>
      <c r="L233" s="52">
        <v>3.8000000000000003</v>
      </c>
      <c r="M233" s="52"/>
      <c r="N233" s="52">
        <v>180</v>
      </c>
      <c r="O233" s="52">
        <v>1.130327868852459</v>
      </c>
      <c r="P233" s="52">
        <v>2.147622950819672</v>
      </c>
      <c r="Q233" s="52">
        <v>3.5523770491803282</v>
      </c>
      <c r="R233" s="52">
        <v>149.38745901639356</v>
      </c>
      <c r="S233" s="52"/>
      <c r="T233" s="52">
        <v>1312</v>
      </c>
      <c r="U233" s="52"/>
      <c r="V233" s="52">
        <v>25586.400000000005</v>
      </c>
      <c r="W233" s="52"/>
      <c r="X233" s="52"/>
      <c r="Y233" s="52">
        <v>11.940014551015169</v>
      </c>
    </row>
    <row r="234" spans="1:25" x14ac:dyDescent="0.35">
      <c r="A234" s="54">
        <v>42816</v>
      </c>
      <c r="B234" s="52">
        <v>6.6</v>
      </c>
      <c r="C234" s="52">
        <v>5.0999999999999996</v>
      </c>
      <c r="D234" s="52">
        <v>9.1999999999999993</v>
      </c>
      <c r="E234" s="52">
        <f t="shared" si="2"/>
        <v>1399.5999999999997</v>
      </c>
      <c r="F234" s="52"/>
      <c r="G234" s="52"/>
      <c r="H234" s="52">
        <v>0.9</v>
      </c>
      <c r="I234" s="52"/>
      <c r="J234" s="52">
        <v>1.4</v>
      </c>
      <c r="K234" s="52"/>
      <c r="L234" s="52">
        <v>-0.49999999999999989</v>
      </c>
      <c r="M234" s="52"/>
      <c r="N234" s="52">
        <v>181</v>
      </c>
      <c r="O234" s="52">
        <v>1.1327868852459015</v>
      </c>
      <c r="P234" s="52">
        <v>1.585901639344262</v>
      </c>
      <c r="Q234" s="52">
        <v>-0.68590163934426196</v>
      </c>
      <c r="R234" s="52">
        <v>148.70155737704931</v>
      </c>
      <c r="S234" s="52"/>
      <c r="T234" s="52">
        <v>1040.2</v>
      </c>
      <c r="U234" s="52"/>
      <c r="V234" s="52">
        <v>26626.600000000006</v>
      </c>
      <c r="W234" s="52"/>
      <c r="X234" s="52"/>
      <c r="Y234" s="52">
        <v>12</v>
      </c>
    </row>
    <row r="235" spans="1:25" x14ac:dyDescent="0.35">
      <c r="A235" s="54">
        <v>42817</v>
      </c>
      <c r="B235" s="52">
        <v>6.2</v>
      </c>
      <c r="C235" s="52">
        <v>3.2</v>
      </c>
      <c r="D235" s="52">
        <v>9.1999999999999993</v>
      </c>
      <c r="E235" s="52">
        <f t="shared" si="2"/>
        <v>1405.7999999999997</v>
      </c>
      <c r="F235" s="52"/>
      <c r="G235" s="52"/>
      <c r="H235" s="52">
        <v>2.4</v>
      </c>
      <c r="I235" s="52"/>
      <c r="J235" s="52">
        <v>0.5</v>
      </c>
      <c r="K235" s="52"/>
      <c r="L235" s="52">
        <v>1.9</v>
      </c>
      <c r="M235" s="52"/>
      <c r="N235" s="52">
        <v>182</v>
      </c>
      <c r="O235" s="52">
        <v>1.1352459016393441</v>
      </c>
      <c r="P235" s="52">
        <v>0.56762295081967207</v>
      </c>
      <c r="Q235" s="52">
        <v>1.832377049180328</v>
      </c>
      <c r="R235" s="52">
        <v>150.53393442622965</v>
      </c>
      <c r="S235" s="52"/>
      <c r="T235" s="52">
        <v>560.4</v>
      </c>
      <c r="U235" s="52"/>
      <c r="V235" s="52">
        <v>27187.000000000007</v>
      </c>
      <c r="W235" s="52"/>
      <c r="X235" s="52"/>
      <c r="Y235" s="52">
        <v>12.059985448984829</v>
      </c>
    </row>
    <row r="236" spans="1:25" x14ac:dyDescent="0.35">
      <c r="A236" s="54">
        <v>42818</v>
      </c>
      <c r="B236" s="52">
        <v>7.9</v>
      </c>
      <c r="C236" s="52">
        <v>2.7</v>
      </c>
      <c r="D236" s="52">
        <v>11.2</v>
      </c>
      <c r="E236" s="52">
        <f t="shared" si="2"/>
        <v>1413.6999999999998</v>
      </c>
      <c r="F236" s="52"/>
      <c r="G236" s="52"/>
      <c r="H236" s="52">
        <v>0</v>
      </c>
      <c r="I236" s="52"/>
      <c r="J236" s="52">
        <v>1.7</v>
      </c>
      <c r="K236" s="52"/>
      <c r="L236" s="52">
        <v>-1.7</v>
      </c>
      <c r="M236" s="52"/>
      <c r="N236" s="52">
        <v>183</v>
      </c>
      <c r="O236" s="52">
        <v>1.1377049180327867</v>
      </c>
      <c r="P236" s="52">
        <v>1.9340983606557374</v>
      </c>
      <c r="Q236" s="52">
        <v>-1.9340983606557374</v>
      </c>
      <c r="R236" s="52">
        <v>148.59983606557392</v>
      </c>
      <c r="S236" s="52"/>
      <c r="T236" s="52">
        <v>1692.6</v>
      </c>
      <c r="U236" s="52"/>
      <c r="V236" s="52">
        <v>28879.600000000006</v>
      </c>
      <c r="W236" s="52"/>
      <c r="X236" s="52"/>
      <c r="Y236" s="52">
        <v>12.119962772246035</v>
      </c>
    </row>
    <row r="237" spans="1:25" x14ac:dyDescent="0.35">
      <c r="A237" s="54">
        <v>42819</v>
      </c>
      <c r="B237" s="52">
        <v>11.3</v>
      </c>
      <c r="C237" s="52">
        <v>5.8</v>
      </c>
      <c r="D237" s="52">
        <v>16.2</v>
      </c>
      <c r="E237" s="52">
        <f t="shared" si="2"/>
        <v>1424.9999999999998</v>
      </c>
      <c r="F237" s="52"/>
      <c r="G237" s="52"/>
      <c r="H237" s="52">
        <v>0</v>
      </c>
      <c r="I237" s="52"/>
      <c r="J237" s="52">
        <v>3.3</v>
      </c>
      <c r="K237" s="52"/>
      <c r="L237" s="52">
        <v>-3.3</v>
      </c>
      <c r="M237" s="52"/>
      <c r="N237" s="52">
        <v>184</v>
      </c>
      <c r="O237" s="52">
        <v>1.1401639344262295</v>
      </c>
      <c r="P237" s="52">
        <v>3.7625409836065571</v>
      </c>
      <c r="Q237" s="52">
        <v>-3.7625409836065571</v>
      </c>
      <c r="R237" s="52">
        <v>144.83729508196737</v>
      </c>
      <c r="S237" s="52"/>
      <c r="T237" s="52">
        <v>2041.4</v>
      </c>
      <c r="U237" s="52"/>
      <c r="V237" s="52">
        <v>30921.000000000007</v>
      </c>
      <c r="W237" s="52"/>
      <c r="X237" s="52"/>
      <c r="Y237" s="52">
        <v>12.179923828812557</v>
      </c>
    </row>
    <row r="238" spans="1:25" x14ac:dyDescent="0.35">
      <c r="A238" s="54">
        <v>42820</v>
      </c>
      <c r="B238" s="52">
        <v>9.3000000000000007</v>
      </c>
      <c r="C238" s="52">
        <v>5.6</v>
      </c>
      <c r="D238" s="52">
        <v>13.1</v>
      </c>
      <c r="E238" s="52">
        <f t="shared" si="2"/>
        <v>1434.2999999999997</v>
      </c>
      <c r="F238" s="52"/>
      <c r="G238" s="52"/>
      <c r="H238" s="52">
        <v>0</v>
      </c>
      <c r="I238" s="52"/>
      <c r="J238" s="52">
        <v>0.9</v>
      </c>
      <c r="K238" s="52"/>
      <c r="L238" s="52">
        <v>-0.9</v>
      </c>
      <c r="M238" s="52"/>
      <c r="N238" s="52">
        <v>185</v>
      </c>
      <c r="O238" s="52">
        <v>1.1426229508196721</v>
      </c>
      <c r="P238" s="52">
        <v>1.028360655737705</v>
      </c>
      <c r="Q238" s="52">
        <v>-1.028360655737705</v>
      </c>
      <c r="R238" s="52">
        <v>143.80893442622965</v>
      </c>
      <c r="S238" s="52"/>
      <c r="T238" s="52">
        <v>573.20000000000005</v>
      </c>
      <c r="U238" s="52"/>
      <c r="V238" s="52">
        <v>31494.200000000008</v>
      </c>
      <c r="W238" s="52"/>
      <c r="X238" s="52"/>
      <c r="Y238" s="52">
        <v>12.2398604472281</v>
      </c>
    </row>
    <row r="239" spans="1:25" x14ac:dyDescent="0.35">
      <c r="A239" s="54">
        <v>42821</v>
      </c>
      <c r="B239" s="52">
        <v>11</v>
      </c>
      <c r="C239" s="52">
        <v>2.8</v>
      </c>
      <c r="D239" s="52">
        <v>17.8</v>
      </c>
      <c r="E239" s="52">
        <f t="shared" si="2"/>
        <v>1445.2999999999997</v>
      </c>
      <c r="F239" s="52"/>
      <c r="G239" s="52"/>
      <c r="H239" s="52">
        <v>0</v>
      </c>
      <c r="I239" s="52"/>
      <c r="J239" s="52">
        <v>2.6</v>
      </c>
      <c r="K239" s="52"/>
      <c r="L239" s="52">
        <v>-2.6</v>
      </c>
      <c r="M239" s="52"/>
      <c r="N239" s="52">
        <v>186</v>
      </c>
      <c r="O239" s="52">
        <v>1.1450819672131147</v>
      </c>
      <c r="P239" s="52">
        <v>2.9772131147540986</v>
      </c>
      <c r="Q239" s="52">
        <v>-2.9772131147540986</v>
      </c>
      <c r="R239" s="52">
        <v>140.83172131147555</v>
      </c>
      <c r="S239" s="52"/>
      <c r="T239" s="52">
        <v>1891.5</v>
      </c>
      <c r="U239" s="52"/>
      <c r="V239" s="52">
        <v>33385.700000000012</v>
      </c>
      <c r="W239" s="52"/>
      <c r="X239" s="52"/>
      <c r="Y239" s="52">
        <v>12.299764410332713</v>
      </c>
    </row>
    <row r="240" spans="1:25" x14ac:dyDescent="0.35">
      <c r="A240" s="54">
        <v>42822</v>
      </c>
      <c r="B240" s="52">
        <v>11.7</v>
      </c>
      <c r="C240" s="52">
        <v>8.1</v>
      </c>
      <c r="D240" s="52">
        <v>15.7</v>
      </c>
      <c r="E240" s="52">
        <f t="shared" si="2"/>
        <v>1456.9999999999998</v>
      </c>
      <c r="F240" s="52"/>
      <c r="G240" s="52"/>
      <c r="H240" s="52">
        <v>0.1</v>
      </c>
      <c r="I240" s="52"/>
      <c r="J240" s="52">
        <v>2</v>
      </c>
      <c r="K240" s="52"/>
      <c r="L240" s="52">
        <v>-1.9</v>
      </c>
      <c r="M240" s="52"/>
      <c r="N240" s="52">
        <v>187</v>
      </c>
      <c r="O240" s="52">
        <v>1.1475409836065573</v>
      </c>
      <c r="P240" s="52">
        <v>2.2950819672131146</v>
      </c>
      <c r="Q240" s="52">
        <v>-2.1950819672131145</v>
      </c>
      <c r="R240" s="52">
        <v>138.63663934426242</v>
      </c>
      <c r="S240" s="52"/>
      <c r="T240" s="52">
        <v>1376.3</v>
      </c>
      <c r="U240" s="52"/>
      <c r="V240" s="52">
        <v>34762.000000000015</v>
      </c>
      <c r="W240" s="52"/>
      <c r="X240" s="52"/>
      <c r="Y240" s="52">
        <v>12.359627440073748</v>
      </c>
    </row>
    <row r="241" spans="1:25" x14ac:dyDescent="0.35">
      <c r="A241" s="54">
        <v>42823</v>
      </c>
      <c r="B241" s="52">
        <v>14</v>
      </c>
      <c r="C241" s="52">
        <v>8.8000000000000007</v>
      </c>
      <c r="D241" s="52">
        <v>19.399999999999999</v>
      </c>
      <c r="E241" s="52">
        <f t="shared" si="2"/>
        <v>1470.9999999999998</v>
      </c>
      <c r="F241" s="52"/>
      <c r="G241" s="52"/>
      <c r="H241" s="52">
        <v>0</v>
      </c>
      <c r="I241" s="52"/>
      <c r="J241" s="52">
        <v>2.1</v>
      </c>
      <c r="K241" s="52"/>
      <c r="L241" s="52">
        <v>-2.1</v>
      </c>
      <c r="M241" s="52"/>
      <c r="N241" s="52">
        <v>188</v>
      </c>
      <c r="O241" s="52">
        <v>1.1499999999999999</v>
      </c>
      <c r="P241" s="52">
        <v>2.415</v>
      </c>
      <c r="Q241" s="52">
        <v>-2.415</v>
      </c>
      <c r="R241" s="52">
        <v>136.22163934426243</v>
      </c>
      <c r="S241" s="52"/>
      <c r="T241" s="52">
        <v>787.8</v>
      </c>
      <c r="U241" s="52"/>
      <c r="V241" s="52">
        <v>35549.800000000017</v>
      </c>
      <c r="W241" s="52"/>
      <c r="X241" s="52"/>
      <c r="Y241" s="52">
        <v>12.419441182356485</v>
      </c>
    </row>
    <row r="242" spans="1:25" x14ac:dyDescent="0.35">
      <c r="A242" s="54">
        <v>42824</v>
      </c>
      <c r="B242" s="52">
        <v>15.4</v>
      </c>
      <c r="C242" s="52">
        <v>7.6</v>
      </c>
      <c r="D242" s="52">
        <v>22</v>
      </c>
      <c r="E242" s="52">
        <f t="shared" si="2"/>
        <v>1486.3999999999999</v>
      </c>
      <c r="F242" s="52"/>
      <c r="G242" s="52"/>
      <c r="H242" s="52">
        <v>0</v>
      </c>
      <c r="I242" s="52"/>
      <c r="J242" s="52">
        <v>3.3</v>
      </c>
      <c r="K242" s="52"/>
      <c r="L242" s="52">
        <v>-3.3</v>
      </c>
      <c r="M242" s="52"/>
      <c r="N242" s="52">
        <v>189</v>
      </c>
      <c r="O242" s="52">
        <v>1.1499999999999999</v>
      </c>
      <c r="P242" s="52">
        <v>3.7949999999999995</v>
      </c>
      <c r="Q242" s="52">
        <v>-3.7949999999999995</v>
      </c>
      <c r="R242" s="52">
        <v>132.42663934426244</v>
      </c>
      <c r="S242" s="52"/>
      <c r="T242" s="52">
        <v>1715</v>
      </c>
      <c r="U242" s="52"/>
      <c r="V242" s="52">
        <v>1715</v>
      </c>
      <c r="W242" s="52"/>
      <c r="X242" s="52"/>
      <c r="Y242" s="52">
        <v>12.47919719194522</v>
      </c>
    </row>
    <row r="243" spans="1:25" x14ac:dyDescent="0.35">
      <c r="A243" s="54">
        <v>42825</v>
      </c>
      <c r="B243" s="52">
        <v>12.8</v>
      </c>
      <c r="C243" s="52">
        <v>11.8</v>
      </c>
      <c r="D243" s="52">
        <v>16.3</v>
      </c>
      <c r="E243" s="52">
        <f t="shared" si="2"/>
        <v>1499.1999999999998</v>
      </c>
      <c r="F243" s="52"/>
      <c r="G243" s="52"/>
      <c r="H243" s="52">
        <v>0.4</v>
      </c>
      <c r="I243" s="52"/>
      <c r="J243" s="52">
        <v>2.1</v>
      </c>
      <c r="K243" s="52"/>
      <c r="L243" s="52">
        <v>-1.7000000000000002</v>
      </c>
      <c r="M243" s="52"/>
      <c r="N243" s="52">
        <v>190</v>
      </c>
      <c r="O243" s="52">
        <v>1.1499999999999999</v>
      </c>
      <c r="P243" s="52">
        <v>2.415</v>
      </c>
      <c r="Q243" s="52">
        <v>-2.0150000000000001</v>
      </c>
      <c r="R243" s="52">
        <v>130.41163934426245</v>
      </c>
      <c r="S243" s="52"/>
      <c r="T243" s="52">
        <v>658.6</v>
      </c>
      <c r="U243" s="52"/>
      <c r="V243" s="52">
        <v>2373.6</v>
      </c>
      <c r="W243" s="52"/>
      <c r="X243" s="52"/>
      <c r="Y243" s="52">
        <v>12.538886917426161</v>
      </c>
    </row>
    <row r="244" spans="1:25" x14ac:dyDescent="0.35">
      <c r="A244" s="54">
        <v>42826</v>
      </c>
      <c r="B244" s="52">
        <v>9.9</v>
      </c>
      <c r="C244" s="52">
        <v>7.4</v>
      </c>
      <c r="D244" s="52">
        <v>13.2</v>
      </c>
      <c r="E244" s="52">
        <f t="shared" si="2"/>
        <v>1509.1</v>
      </c>
      <c r="F244" s="52"/>
      <c r="G244" s="52"/>
      <c r="H244" s="52">
        <v>5.7</v>
      </c>
      <c r="I244" s="52"/>
      <c r="J244" s="52">
        <v>1.5</v>
      </c>
      <c r="K244" s="52"/>
      <c r="L244" s="52">
        <v>4.2</v>
      </c>
      <c r="M244" s="52"/>
      <c r="N244" s="52">
        <v>191</v>
      </c>
      <c r="O244" s="52">
        <v>1.1499999999999999</v>
      </c>
      <c r="P244" s="52">
        <v>1.7249999999999999</v>
      </c>
      <c r="Q244" s="52">
        <v>3.9750000000000005</v>
      </c>
      <c r="R244" s="52">
        <v>134.38663934426245</v>
      </c>
      <c r="S244" s="52"/>
      <c r="T244" s="52">
        <v>1021.7</v>
      </c>
      <c r="U244" s="52"/>
      <c r="V244" s="52">
        <v>3395.3</v>
      </c>
      <c r="W244" s="52"/>
      <c r="X244" s="52"/>
      <c r="Y244" s="52">
        <v>12.598501686244129</v>
      </c>
    </row>
    <row r="245" spans="1:25" x14ac:dyDescent="0.35">
      <c r="A245" s="54">
        <v>42827</v>
      </c>
      <c r="B245" s="52">
        <v>10.9</v>
      </c>
      <c r="C245" s="52">
        <v>8.6999999999999993</v>
      </c>
      <c r="D245" s="52">
        <v>13.8</v>
      </c>
      <c r="E245" s="52">
        <f t="shared" si="2"/>
        <v>1520</v>
      </c>
      <c r="F245" s="52"/>
      <c r="G245" s="52"/>
      <c r="H245" s="52">
        <v>0.1</v>
      </c>
      <c r="I245" s="52"/>
      <c r="J245" s="52">
        <v>1.7</v>
      </c>
      <c r="K245" s="52"/>
      <c r="L245" s="52">
        <v>-1.5999999999999999</v>
      </c>
      <c r="M245" s="52"/>
      <c r="N245" s="52">
        <v>192</v>
      </c>
      <c r="O245" s="52">
        <v>1.1499999999999999</v>
      </c>
      <c r="P245" s="52">
        <v>1.9549999999999998</v>
      </c>
      <c r="Q245" s="52">
        <v>-1.8549999999999998</v>
      </c>
      <c r="R245" s="52">
        <v>132.53163934426246</v>
      </c>
      <c r="S245" s="52"/>
      <c r="T245" s="52">
        <v>991.8</v>
      </c>
      <c r="U245" s="52"/>
      <c r="V245" s="52">
        <v>4387.1000000000004</v>
      </c>
      <c r="W245" s="52"/>
      <c r="X245" s="52"/>
      <c r="Y245" s="52">
        <v>12.658032689825911</v>
      </c>
    </row>
    <row r="246" spans="1:25" x14ac:dyDescent="0.35">
      <c r="A246" s="54">
        <v>42828</v>
      </c>
      <c r="B246" s="52">
        <v>10.9</v>
      </c>
      <c r="C246" s="52">
        <v>5.3</v>
      </c>
      <c r="D246" s="52">
        <v>16.5</v>
      </c>
      <c r="E246" s="52">
        <f t="shared" si="2"/>
        <v>1530.9</v>
      </c>
      <c r="F246" s="52"/>
      <c r="G246" s="52"/>
      <c r="H246" s="52">
        <v>0.1</v>
      </c>
      <c r="I246" s="52"/>
      <c r="J246" s="52">
        <v>2.5</v>
      </c>
      <c r="K246" s="52"/>
      <c r="L246" s="52">
        <v>-2.4</v>
      </c>
      <c r="M246" s="52"/>
      <c r="N246" s="52">
        <v>193</v>
      </c>
      <c r="O246" s="52">
        <v>1.1499999999999999</v>
      </c>
      <c r="P246" s="52">
        <v>2.875</v>
      </c>
      <c r="Q246" s="52">
        <v>-2.7749999999999999</v>
      </c>
      <c r="R246" s="52">
        <v>129.75663934426245</v>
      </c>
      <c r="S246" s="52"/>
      <c r="T246" s="52">
        <v>1628.6</v>
      </c>
      <c r="U246" s="52"/>
      <c r="V246" s="52">
        <v>6015.7000000000007</v>
      </c>
      <c r="W246" s="52"/>
      <c r="X246" s="52"/>
      <c r="Y246" s="52">
        <v>12.717470968803998</v>
      </c>
    </row>
    <row r="247" spans="1:25" x14ac:dyDescent="0.35">
      <c r="A247" s="54">
        <v>42829</v>
      </c>
      <c r="B247" s="52">
        <v>10.199999999999999</v>
      </c>
      <c r="C247" s="52">
        <v>8.1</v>
      </c>
      <c r="D247" s="52">
        <v>12.1</v>
      </c>
      <c r="E247" s="52">
        <f t="shared" si="2"/>
        <v>1541.1000000000001</v>
      </c>
      <c r="F247" s="52"/>
      <c r="G247" s="52"/>
      <c r="H247" s="52">
        <v>0.7</v>
      </c>
      <c r="I247" s="52"/>
      <c r="J247" s="52">
        <v>1</v>
      </c>
      <c r="K247" s="52"/>
      <c r="L247" s="52">
        <v>-0.30000000000000004</v>
      </c>
      <c r="M247" s="52"/>
      <c r="N247" s="52">
        <v>194</v>
      </c>
      <c r="O247" s="52">
        <v>1.1499999999999999</v>
      </c>
      <c r="P247" s="52">
        <v>1.1499999999999999</v>
      </c>
      <c r="Q247" s="52">
        <v>-0.44999999999999996</v>
      </c>
      <c r="R247" s="52">
        <v>129.30663934426246</v>
      </c>
      <c r="S247" s="52"/>
      <c r="T247" s="52">
        <v>478.6</v>
      </c>
      <c r="U247" s="52"/>
      <c r="V247" s="52">
        <v>6494.3000000000011</v>
      </c>
      <c r="W247" s="52"/>
      <c r="X247" s="52"/>
      <c r="Y247" s="52">
        <v>12.776807398355439</v>
      </c>
    </row>
    <row r="248" spans="1:25" x14ac:dyDescent="0.35">
      <c r="A248" s="54">
        <v>42830</v>
      </c>
      <c r="B248" s="52">
        <v>11.1</v>
      </c>
      <c r="C248" s="52">
        <v>9.1</v>
      </c>
      <c r="D248" s="52">
        <v>15.5</v>
      </c>
      <c r="E248" s="52">
        <f t="shared" ref="E248:E311" si="3">E247+B248</f>
        <v>1552.2</v>
      </c>
      <c r="F248" s="52"/>
      <c r="G248" s="52"/>
      <c r="H248" s="52">
        <v>0</v>
      </c>
      <c r="I248" s="52"/>
      <c r="J248" s="52">
        <v>2.2000000000000002</v>
      </c>
      <c r="K248" s="52"/>
      <c r="L248" s="52">
        <v>-2.2000000000000002</v>
      </c>
      <c r="M248" s="52"/>
      <c r="N248" s="52">
        <v>195</v>
      </c>
      <c r="O248" s="52">
        <v>1.1499999999999999</v>
      </c>
      <c r="P248" s="52">
        <v>2.5299999999999998</v>
      </c>
      <c r="Q248" s="52">
        <v>-2.5299999999999998</v>
      </c>
      <c r="R248" s="52">
        <v>126.77663934426246</v>
      </c>
      <c r="S248" s="52"/>
      <c r="T248" s="52">
        <v>1230.0999999999999</v>
      </c>
      <c r="U248" s="52"/>
      <c r="V248" s="52">
        <v>7724.4000000000015</v>
      </c>
      <c r="W248" s="52"/>
      <c r="X248" s="52"/>
      <c r="Y248" s="52">
        <v>12.836032673671708</v>
      </c>
    </row>
    <row r="249" spans="1:25" x14ac:dyDescent="0.35">
      <c r="A249" s="54">
        <v>42831</v>
      </c>
      <c r="B249" s="52">
        <v>9.1999999999999993</v>
      </c>
      <c r="C249" s="52">
        <v>2.6</v>
      </c>
      <c r="D249" s="52">
        <v>15.1</v>
      </c>
      <c r="E249" s="52">
        <f t="shared" si="3"/>
        <v>1561.4</v>
      </c>
      <c r="F249" s="52"/>
      <c r="G249" s="52"/>
      <c r="H249" s="52">
        <v>0</v>
      </c>
      <c r="I249" s="52"/>
      <c r="J249" s="52">
        <v>2</v>
      </c>
      <c r="K249" s="52"/>
      <c r="L249" s="52">
        <v>-2</v>
      </c>
      <c r="M249" s="52"/>
      <c r="N249" s="52">
        <v>196</v>
      </c>
      <c r="O249" s="52">
        <v>1.1499999999999999</v>
      </c>
      <c r="P249" s="52">
        <v>2.2999999999999998</v>
      </c>
      <c r="Q249" s="52">
        <v>-2.2999999999999998</v>
      </c>
      <c r="R249" s="52">
        <v>124.47663934426247</v>
      </c>
      <c r="S249" s="52"/>
      <c r="T249" s="52">
        <v>1217.9000000000001</v>
      </c>
      <c r="U249" s="52"/>
      <c r="V249" s="52">
        <v>8942.3000000000011</v>
      </c>
      <c r="W249" s="52"/>
      <c r="X249" s="52"/>
      <c r="Y249" s="52">
        <v>12.895137295576747</v>
      </c>
    </row>
    <row r="250" spans="1:25" x14ac:dyDescent="0.35">
      <c r="A250" s="54">
        <v>42832</v>
      </c>
      <c r="B250" s="52">
        <v>10.8</v>
      </c>
      <c r="C250" s="52">
        <v>2.9</v>
      </c>
      <c r="D250" s="52">
        <v>17.3</v>
      </c>
      <c r="E250" s="52">
        <f t="shared" si="3"/>
        <v>1572.2</v>
      </c>
      <c r="F250" s="52"/>
      <c r="G250" s="52"/>
      <c r="H250" s="52">
        <v>0</v>
      </c>
      <c r="I250" s="52"/>
      <c r="J250" s="52">
        <v>3</v>
      </c>
      <c r="K250" s="52"/>
      <c r="L250" s="52">
        <v>-3</v>
      </c>
      <c r="M250" s="52"/>
      <c r="N250" s="52">
        <v>197</v>
      </c>
      <c r="O250" s="52">
        <v>1.1499999999999999</v>
      </c>
      <c r="P250" s="52">
        <v>3.4499999999999997</v>
      </c>
      <c r="Q250" s="52">
        <v>-3.4499999999999997</v>
      </c>
      <c r="R250" s="52">
        <v>121.02663934426246</v>
      </c>
      <c r="S250" s="52"/>
      <c r="T250" s="52">
        <v>2255</v>
      </c>
      <c r="U250" s="52"/>
      <c r="V250" s="52">
        <v>11197.300000000001</v>
      </c>
      <c r="W250" s="52"/>
      <c r="X250" s="52"/>
      <c r="Y250" s="52">
        <v>12.954111556311608</v>
      </c>
    </row>
    <row r="251" spans="1:25" x14ac:dyDescent="0.35">
      <c r="A251" s="54">
        <v>42833</v>
      </c>
      <c r="B251" s="52">
        <v>13.9</v>
      </c>
      <c r="C251" s="52">
        <v>4.7</v>
      </c>
      <c r="D251" s="52">
        <v>20.6</v>
      </c>
      <c r="E251" s="52">
        <f t="shared" si="3"/>
        <v>1586.1000000000001</v>
      </c>
      <c r="F251" s="52"/>
      <c r="G251" s="52"/>
      <c r="H251" s="52">
        <v>0</v>
      </c>
      <c r="I251" s="52"/>
      <c r="J251" s="52">
        <v>3.4</v>
      </c>
      <c r="K251" s="52"/>
      <c r="L251" s="52">
        <v>-3.4</v>
      </c>
      <c r="M251" s="52"/>
      <c r="N251" s="52">
        <v>198</v>
      </c>
      <c r="O251" s="52">
        <v>1.1499999999999999</v>
      </c>
      <c r="P251" s="52">
        <v>3.9099999999999997</v>
      </c>
      <c r="Q251" s="52">
        <v>-3.9099999999999997</v>
      </c>
      <c r="R251" s="52">
        <v>117.11663934426247</v>
      </c>
      <c r="S251" s="52"/>
      <c r="T251" s="52">
        <v>2293.4</v>
      </c>
      <c r="U251" s="52"/>
      <c r="V251" s="52">
        <v>13490.7</v>
      </c>
      <c r="W251" s="52"/>
      <c r="X251" s="52"/>
      <c r="Y251" s="52">
        <v>13.012945525505742</v>
      </c>
    </row>
    <row r="252" spans="1:25" x14ac:dyDescent="0.35">
      <c r="A252" s="54">
        <v>42834</v>
      </c>
      <c r="B252" s="52">
        <v>14.2</v>
      </c>
      <c r="C252" s="52">
        <v>8</v>
      </c>
      <c r="D252" s="52">
        <v>23.8</v>
      </c>
      <c r="E252" s="52">
        <f t="shared" si="3"/>
        <v>1600.3000000000002</v>
      </c>
      <c r="F252" s="52"/>
      <c r="G252" s="52"/>
      <c r="H252" s="52">
        <v>0.1</v>
      </c>
      <c r="I252" s="52"/>
      <c r="J252" s="52">
        <v>4.2</v>
      </c>
      <c r="K252" s="52"/>
      <c r="L252" s="52">
        <v>-4.1000000000000005</v>
      </c>
      <c r="M252" s="52"/>
      <c r="N252" s="52">
        <v>199</v>
      </c>
      <c r="O252" s="52">
        <v>1.1499999999999999</v>
      </c>
      <c r="P252" s="52">
        <v>4.83</v>
      </c>
      <c r="Q252" s="52">
        <v>-4.7300000000000004</v>
      </c>
      <c r="R252" s="52">
        <v>112.38663934426246</v>
      </c>
      <c r="S252" s="52"/>
      <c r="T252" s="52">
        <v>2316.1999999999998</v>
      </c>
      <c r="U252" s="52"/>
      <c r="V252" s="52">
        <v>15806.900000000001</v>
      </c>
      <c r="W252" s="52"/>
      <c r="X252" s="52"/>
      <c r="Y252" s="52">
        <v>13.071629036356406</v>
      </c>
    </row>
    <row r="253" spans="1:25" x14ac:dyDescent="0.35">
      <c r="A253" s="54">
        <v>42835</v>
      </c>
      <c r="B253" s="52">
        <v>10.1</v>
      </c>
      <c r="C253" s="52">
        <v>6.1</v>
      </c>
      <c r="D253" s="52">
        <v>16.600000000000001</v>
      </c>
      <c r="E253" s="52">
        <f t="shared" si="3"/>
        <v>1610.4</v>
      </c>
      <c r="F253" s="52"/>
      <c r="G253" s="52"/>
      <c r="H253" s="52">
        <v>0</v>
      </c>
      <c r="I253" s="52"/>
      <c r="J253" s="52">
        <v>2.2999999999999998</v>
      </c>
      <c r="K253" s="52"/>
      <c r="L253" s="52">
        <v>-2.2999999999999998</v>
      </c>
      <c r="M253" s="52"/>
      <c r="N253" s="52">
        <v>200</v>
      </c>
      <c r="O253" s="52">
        <v>1.1499999999999999</v>
      </c>
      <c r="P253" s="52">
        <v>2.6449999999999996</v>
      </c>
      <c r="Q253" s="52">
        <v>-2.6449999999999996</v>
      </c>
      <c r="R253" s="52">
        <v>109.74163934426247</v>
      </c>
      <c r="S253" s="52"/>
      <c r="T253" s="52">
        <v>1284.9000000000001</v>
      </c>
      <c r="U253" s="52"/>
      <c r="V253" s="52">
        <v>17091.800000000003</v>
      </c>
      <c r="W253" s="52"/>
      <c r="X253" s="52"/>
      <c r="Y253" s="52">
        <v>13.130151672039412</v>
      </c>
    </row>
    <row r="254" spans="1:25" x14ac:dyDescent="0.35">
      <c r="A254" s="54">
        <v>42836</v>
      </c>
      <c r="B254" s="52">
        <v>9.4</v>
      </c>
      <c r="C254" s="52">
        <v>3.3</v>
      </c>
      <c r="D254" s="52">
        <v>15.2</v>
      </c>
      <c r="E254" s="52">
        <f t="shared" si="3"/>
        <v>1619.8000000000002</v>
      </c>
      <c r="F254" s="52"/>
      <c r="G254" s="52"/>
      <c r="H254" s="52">
        <v>0</v>
      </c>
      <c r="I254" s="52"/>
      <c r="J254" s="52">
        <v>3.1</v>
      </c>
      <c r="K254" s="52"/>
      <c r="L254" s="52">
        <v>-3.1</v>
      </c>
      <c r="M254" s="52"/>
      <c r="N254" s="52">
        <v>201</v>
      </c>
      <c r="O254" s="52">
        <v>1.1499999999999999</v>
      </c>
      <c r="P254" s="52">
        <v>3.5649999999999999</v>
      </c>
      <c r="Q254" s="52">
        <v>-3.5649999999999999</v>
      </c>
      <c r="R254" s="52">
        <v>106.17663934426247</v>
      </c>
      <c r="S254" s="52"/>
      <c r="T254" s="52">
        <v>2088.6999999999998</v>
      </c>
      <c r="U254" s="52"/>
      <c r="V254" s="52">
        <v>19180.500000000004</v>
      </c>
      <c r="W254" s="52"/>
      <c r="X254" s="52"/>
      <c r="Y254" s="52">
        <v>13.188502752376252</v>
      </c>
    </row>
    <row r="255" spans="1:25" x14ac:dyDescent="0.35">
      <c r="A255" s="54">
        <v>42837</v>
      </c>
      <c r="B255" s="52">
        <v>8.9</v>
      </c>
      <c r="C255" s="52">
        <v>2.9</v>
      </c>
      <c r="D255" s="52">
        <v>16</v>
      </c>
      <c r="E255" s="52">
        <f t="shared" si="3"/>
        <v>1628.7000000000003</v>
      </c>
      <c r="F255" s="52"/>
      <c r="G255" s="52"/>
      <c r="H255" s="52">
        <v>0</v>
      </c>
      <c r="I255" s="52"/>
      <c r="J255" s="52">
        <v>3.2</v>
      </c>
      <c r="K255" s="52"/>
      <c r="L255" s="52">
        <v>-3.2</v>
      </c>
      <c r="M255" s="52"/>
      <c r="N255" s="52">
        <v>202</v>
      </c>
      <c r="O255" s="52">
        <v>1.1499999999999999</v>
      </c>
      <c r="P255" s="52">
        <v>3.6799999999999997</v>
      </c>
      <c r="Q255" s="52">
        <v>-3.6799999999999997</v>
      </c>
      <c r="R255" s="52">
        <v>102.49663934426246</v>
      </c>
      <c r="S255" s="52"/>
      <c r="T255" s="52">
        <v>2290.9</v>
      </c>
      <c r="U255" s="52"/>
      <c r="V255" s="52">
        <v>21471.400000000005</v>
      </c>
      <c r="W255" s="52"/>
      <c r="X255" s="52"/>
      <c r="Y255" s="52">
        <v>13.246671320784426</v>
      </c>
    </row>
    <row r="256" spans="1:25" x14ac:dyDescent="0.35">
      <c r="A256" s="54">
        <v>42838</v>
      </c>
      <c r="B256" s="52">
        <v>8.8000000000000007</v>
      </c>
      <c r="C256" s="52">
        <v>5.2</v>
      </c>
      <c r="D256" s="52">
        <v>12.6</v>
      </c>
      <c r="E256" s="52">
        <f t="shared" si="3"/>
        <v>1637.5000000000002</v>
      </c>
      <c r="F256" s="52"/>
      <c r="G256" s="52"/>
      <c r="H256" s="52">
        <v>0.1</v>
      </c>
      <c r="I256" s="52"/>
      <c r="J256" s="52">
        <v>1</v>
      </c>
      <c r="K256" s="52"/>
      <c r="L256" s="52">
        <v>-0.9</v>
      </c>
      <c r="M256" s="52"/>
      <c r="N256" s="52">
        <v>203</v>
      </c>
      <c r="O256" s="52">
        <v>1.1499999999999999</v>
      </c>
      <c r="P256" s="52">
        <v>1.1499999999999999</v>
      </c>
      <c r="Q256" s="52">
        <v>-1.0499999999999998</v>
      </c>
      <c r="R256" s="52">
        <v>101.44663934426246</v>
      </c>
      <c r="S256" s="52"/>
      <c r="T256" s="52">
        <v>556</v>
      </c>
      <c r="U256" s="52"/>
      <c r="V256" s="52">
        <v>22027.400000000005</v>
      </c>
      <c r="W256" s="52"/>
      <c r="X256" s="52"/>
      <c r="Y256" s="52">
        <v>13.304646131539867</v>
      </c>
    </row>
    <row r="257" spans="1:25" x14ac:dyDescent="0.35">
      <c r="A257" s="54">
        <v>42839</v>
      </c>
      <c r="B257" s="52">
        <v>8.5</v>
      </c>
      <c r="C257" s="52">
        <v>4.3</v>
      </c>
      <c r="D257" s="52">
        <v>11.4</v>
      </c>
      <c r="E257" s="52">
        <f t="shared" si="3"/>
        <v>1646.0000000000002</v>
      </c>
      <c r="F257" s="52"/>
      <c r="G257" s="52"/>
      <c r="H257" s="52">
        <v>0</v>
      </c>
      <c r="I257" s="52"/>
      <c r="J257" s="52">
        <v>0.8</v>
      </c>
      <c r="K257" s="52"/>
      <c r="L257" s="52">
        <v>-0.8</v>
      </c>
      <c r="M257" s="52"/>
      <c r="N257" s="52">
        <v>204</v>
      </c>
      <c r="O257" s="52">
        <v>1.1499999999999999</v>
      </c>
      <c r="P257" s="52">
        <v>0.91999999999999993</v>
      </c>
      <c r="Q257" s="52">
        <v>-0.91999999999999993</v>
      </c>
      <c r="R257" s="52">
        <v>100.52663934426246</v>
      </c>
      <c r="S257" s="52"/>
      <c r="T257" s="52">
        <v>650.70000000000005</v>
      </c>
      <c r="U257" s="52"/>
      <c r="V257" s="52">
        <v>22678.100000000006</v>
      </c>
      <c r="W257" s="52"/>
      <c r="X257" s="52"/>
      <c r="Y257" s="52">
        <v>13.362415637382384</v>
      </c>
    </row>
    <row r="258" spans="1:25" x14ac:dyDescent="0.35">
      <c r="A258" s="54">
        <v>42840</v>
      </c>
      <c r="B258" s="52">
        <v>10.8</v>
      </c>
      <c r="C258" s="52">
        <v>8.6</v>
      </c>
      <c r="D258" s="52">
        <v>14.8</v>
      </c>
      <c r="E258" s="52">
        <f t="shared" si="3"/>
        <v>1656.8000000000002</v>
      </c>
      <c r="F258" s="52"/>
      <c r="G258" s="52"/>
      <c r="H258" s="52">
        <v>0.3</v>
      </c>
      <c r="I258" s="52"/>
      <c r="J258" s="52">
        <v>1.2</v>
      </c>
      <c r="K258" s="52"/>
      <c r="L258" s="52">
        <v>-0.89999999999999991</v>
      </c>
      <c r="M258" s="52"/>
      <c r="N258" s="52">
        <v>205</v>
      </c>
      <c r="O258" s="52">
        <v>1.1499999999999999</v>
      </c>
      <c r="P258" s="52">
        <v>1.38</v>
      </c>
      <c r="Q258" s="52">
        <v>-1.0799999999999998</v>
      </c>
      <c r="R258" s="52">
        <v>99.446639344262465</v>
      </c>
      <c r="S258" s="52"/>
      <c r="T258" s="52">
        <v>724.5</v>
      </c>
      <c r="U258" s="52"/>
      <c r="V258" s="52">
        <v>23402.600000000006</v>
      </c>
      <c r="W258" s="52"/>
      <c r="X258" s="52"/>
      <c r="Y258" s="52">
        <v>13.419967977497169</v>
      </c>
    </row>
    <row r="259" spans="1:25" x14ac:dyDescent="0.35">
      <c r="A259" s="54">
        <v>42841</v>
      </c>
      <c r="B259" s="52">
        <v>10</v>
      </c>
      <c r="C259" s="52">
        <v>6.9</v>
      </c>
      <c r="D259" s="52">
        <v>14</v>
      </c>
      <c r="E259" s="52">
        <f t="shared" si="3"/>
        <v>1666.8000000000002</v>
      </c>
      <c r="F259" s="52"/>
      <c r="G259" s="52"/>
      <c r="H259" s="52">
        <v>0</v>
      </c>
      <c r="I259" s="52"/>
      <c r="J259" s="52">
        <v>1.8</v>
      </c>
      <c r="K259" s="52"/>
      <c r="L259" s="52">
        <v>-1.8</v>
      </c>
      <c r="M259" s="52"/>
      <c r="N259" s="52">
        <v>206</v>
      </c>
      <c r="O259" s="52">
        <v>1.1499999999999999</v>
      </c>
      <c r="P259" s="52">
        <v>2.0699999999999998</v>
      </c>
      <c r="Q259" s="52">
        <v>-2.0699999999999998</v>
      </c>
      <c r="R259" s="52">
        <v>97.376639344262472</v>
      </c>
      <c r="S259" s="52"/>
      <c r="T259" s="52">
        <v>1047.4000000000001</v>
      </c>
      <c r="U259" s="52"/>
      <c r="V259" s="52">
        <v>24450.000000000007</v>
      </c>
      <c r="W259" s="52"/>
      <c r="X259" s="52"/>
      <c r="Y259" s="52">
        <v>13.477290965907706</v>
      </c>
    </row>
    <row r="260" spans="1:25" x14ac:dyDescent="0.35">
      <c r="A260" s="54">
        <v>42842</v>
      </c>
      <c r="B260" s="52">
        <v>9.4</v>
      </c>
      <c r="C260" s="52">
        <v>4.9000000000000004</v>
      </c>
      <c r="D260" s="52">
        <v>14.3</v>
      </c>
      <c r="E260" s="52">
        <f t="shared" si="3"/>
        <v>1676.2000000000003</v>
      </c>
      <c r="F260" s="52"/>
      <c r="G260" s="52"/>
      <c r="H260" s="52">
        <v>0</v>
      </c>
      <c r="I260" s="52"/>
      <c r="J260" s="52">
        <v>1.8</v>
      </c>
      <c r="K260" s="52"/>
      <c r="L260" s="52">
        <v>-1.8</v>
      </c>
      <c r="M260" s="52"/>
      <c r="N260" s="52">
        <v>207</v>
      </c>
      <c r="O260" s="52">
        <v>1.1499999999999999</v>
      </c>
      <c r="P260" s="52">
        <v>2.0699999999999998</v>
      </c>
      <c r="Q260" s="52">
        <v>-2.0699999999999998</v>
      </c>
      <c r="R260" s="52">
        <v>95.306639344262479</v>
      </c>
      <c r="S260" s="52"/>
      <c r="T260" s="52">
        <v>1245.0999999999999</v>
      </c>
      <c r="U260" s="52"/>
      <c r="V260" s="52">
        <v>25695.100000000006</v>
      </c>
      <c r="W260" s="52"/>
      <c r="X260" s="52"/>
      <c r="Y260" s="52">
        <v>13.534372080317652</v>
      </c>
    </row>
    <row r="261" spans="1:25" x14ac:dyDescent="0.35">
      <c r="A261" s="54">
        <v>42843</v>
      </c>
      <c r="B261" s="52">
        <v>8.1999999999999993</v>
      </c>
      <c r="C261" s="52">
        <v>2.4</v>
      </c>
      <c r="D261" s="52">
        <v>14</v>
      </c>
      <c r="E261" s="52">
        <f t="shared" si="3"/>
        <v>1684.4000000000003</v>
      </c>
      <c r="F261" s="52"/>
      <c r="G261" s="52"/>
      <c r="H261" s="52">
        <v>0</v>
      </c>
      <c r="I261" s="52"/>
      <c r="J261" s="52">
        <v>2.8</v>
      </c>
      <c r="K261" s="52"/>
      <c r="L261" s="52">
        <v>-2.8</v>
      </c>
      <c r="M261" s="52"/>
      <c r="N261" s="52">
        <v>208</v>
      </c>
      <c r="O261" s="52">
        <v>1.1499999999999999</v>
      </c>
      <c r="P261" s="52">
        <v>3.2199999999999998</v>
      </c>
      <c r="Q261" s="52">
        <v>-3.2199999999999998</v>
      </c>
      <c r="R261" s="52">
        <v>92.08663934426248</v>
      </c>
      <c r="S261" s="52"/>
      <c r="T261" s="52">
        <v>2043.7</v>
      </c>
      <c r="U261" s="52"/>
      <c r="V261" s="52">
        <v>27738.800000000007</v>
      </c>
      <c r="W261" s="52"/>
      <c r="X261" s="52"/>
      <c r="Y261" s="52">
        <v>13.591198451441665</v>
      </c>
    </row>
    <row r="262" spans="1:25" x14ac:dyDescent="0.35">
      <c r="A262" s="54">
        <v>42844</v>
      </c>
      <c r="B262" s="52">
        <v>8.1</v>
      </c>
      <c r="C262" s="52">
        <v>2.9</v>
      </c>
      <c r="D262" s="52">
        <v>12.4</v>
      </c>
      <c r="E262" s="52">
        <f t="shared" si="3"/>
        <v>1692.5000000000002</v>
      </c>
      <c r="F262" s="52"/>
      <c r="G262" s="52"/>
      <c r="H262" s="52">
        <v>0</v>
      </c>
      <c r="I262" s="52"/>
      <c r="J262" s="52">
        <v>2.2000000000000002</v>
      </c>
      <c r="K262" s="52"/>
      <c r="L262" s="52">
        <v>-2.2000000000000002</v>
      </c>
      <c r="M262" s="52"/>
      <c r="N262" s="52">
        <v>209</v>
      </c>
      <c r="O262" s="52">
        <v>1.1499999999999999</v>
      </c>
      <c r="P262" s="52">
        <v>2.5299999999999998</v>
      </c>
      <c r="Q262" s="52">
        <v>-2.5299999999999998</v>
      </c>
      <c r="R262" s="52">
        <v>89.556639344262479</v>
      </c>
      <c r="S262" s="52"/>
      <c r="T262" s="52">
        <v>1369.8</v>
      </c>
      <c r="U262" s="52"/>
      <c r="V262" s="52">
        <v>29108.600000000006</v>
      </c>
      <c r="W262" s="52"/>
      <c r="X262" s="52"/>
      <c r="Y262" s="52">
        <v>13.647756852867508</v>
      </c>
    </row>
    <row r="263" spans="1:25" x14ac:dyDescent="0.35">
      <c r="A263" s="54">
        <v>42845</v>
      </c>
      <c r="B263" s="52">
        <v>8.1</v>
      </c>
      <c r="C263" s="52">
        <v>1.8</v>
      </c>
      <c r="D263" s="52">
        <v>13.1</v>
      </c>
      <c r="E263" s="52">
        <f t="shared" si="3"/>
        <v>1700.6000000000001</v>
      </c>
      <c r="F263" s="52"/>
      <c r="G263" s="52"/>
      <c r="H263" s="52">
        <v>0</v>
      </c>
      <c r="I263" s="52"/>
      <c r="J263" s="52">
        <v>3.6</v>
      </c>
      <c r="K263" s="52"/>
      <c r="L263" s="52">
        <v>-3.6</v>
      </c>
      <c r="M263" s="52"/>
      <c r="N263" s="52">
        <v>210</v>
      </c>
      <c r="O263" s="52">
        <v>1.1499999999999999</v>
      </c>
      <c r="P263" s="52">
        <v>4.1399999999999997</v>
      </c>
      <c r="Q263" s="52">
        <v>-4.1399999999999997</v>
      </c>
      <c r="R263" s="52">
        <v>85.416639344262478</v>
      </c>
      <c r="S263" s="52"/>
      <c r="T263" s="52">
        <v>2678.1</v>
      </c>
      <c r="U263" s="52"/>
      <c r="V263" s="52">
        <v>2678.1</v>
      </c>
      <c r="W263" s="52"/>
      <c r="X263" s="52"/>
      <c r="Y263" s="52">
        <v>13.704033691494255</v>
      </c>
    </row>
    <row r="264" spans="1:25" x14ac:dyDescent="0.35">
      <c r="A264" s="54">
        <v>42846</v>
      </c>
      <c r="B264" s="52">
        <v>9.9</v>
      </c>
      <c r="C264" s="52">
        <v>1.3</v>
      </c>
      <c r="D264" s="52">
        <v>16.3</v>
      </c>
      <c r="E264" s="52">
        <f t="shared" si="3"/>
        <v>1710.5000000000002</v>
      </c>
      <c r="F264" s="52"/>
      <c r="G264" s="52"/>
      <c r="H264" s="52">
        <v>0</v>
      </c>
      <c r="I264" s="52"/>
      <c r="J264" s="52">
        <v>3.7</v>
      </c>
      <c r="K264" s="52"/>
      <c r="L264" s="52">
        <v>-3.7</v>
      </c>
      <c r="M264" s="52"/>
      <c r="N264" s="52">
        <v>211</v>
      </c>
      <c r="O264" s="52">
        <v>1.1499999999999999</v>
      </c>
      <c r="P264" s="52">
        <v>4.2549999999999999</v>
      </c>
      <c r="Q264" s="52">
        <v>-4.2549999999999999</v>
      </c>
      <c r="R264" s="52">
        <v>81.161639344262483</v>
      </c>
      <c r="S264" s="52"/>
      <c r="T264" s="52">
        <v>2606.1999999999998</v>
      </c>
      <c r="U264" s="52"/>
      <c r="V264" s="52">
        <v>5284.2999999999993</v>
      </c>
      <c r="W264" s="52"/>
      <c r="X264" s="52"/>
      <c r="Y264" s="52">
        <v>13.760014998593816</v>
      </c>
    </row>
    <row r="265" spans="1:25" x14ac:dyDescent="0.35">
      <c r="A265" s="54">
        <v>42847</v>
      </c>
      <c r="B265" s="52">
        <v>11.3</v>
      </c>
      <c r="C265" s="52">
        <v>4.2</v>
      </c>
      <c r="D265" s="52">
        <v>18.2</v>
      </c>
      <c r="E265" s="52">
        <f t="shared" si="3"/>
        <v>1721.8000000000002</v>
      </c>
      <c r="F265" s="52"/>
      <c r="G265" s="52"/>
      <c r="H265" s="52">
        <v>0</v>
      </c>
      <c r="I265" s="52"/>
      <c r="J265" s="52">
        <v>3.8</v>
      </c>
      <c r="K265" s="52"/>
      <c r="L265" s="52">
        <v>-3.8</v>
      </c>
      <c r="M265" s="52"/>
      <c r="N265" s="52">
        <v>212</v>
      </c>
      <c r="O265" s="52">
        <v>1.1499999999999999</v>
      </c>
      <c r="P265" s="52">
        <v>4.3699999999999992</v>
      </c>
      <c r="Q265" s="52">
        <v>-4.3699999999999992</v>
      </c>
      <c r="R265" s="52">
        <v>76.791639344262478</v>
      </c>
      <c r="S265" s="52"/>
      <c r="T265" s="52">
        <v>2565.1</v>
      </c>
      <c r="U265" s="52"/>
      <c r="V265" s="52">
        <v>7849.4</v>
      </c>
      <c r="W265" s="52"/>
      <c r="X265" s="52"/>
      <c r="Y265" s="52">
        <v>13.81568642154552</v>
      </c>
    </row>
    <row r="266" spans="1:25" x14ac:dyDescent="0.35">
      <c r="A266" s="54">
        <v>42848</v>
      </c>
      <c r="B266" s="52">
        <v>11.4</v>
      </c>
      <c r="C266" s="52">
        <v>6.5</v>
      </c>
      <c r="D266" s="52">
        <v>16</v>
      </c>
      <c r="E266" s="52">
        <f t="shared" si="3"/>
        <v>1733.2000000000003</v>
      </c>
      <c r="F266" s="52"/>
      <c r="G266" s="52"/>
      <c r="H266" s="52">
        <v>0</v>
      </c>
      <c r="I266" s="52"/>
      <c r="J266" s="52">
        <v>4</v>
      </c>
      <c r="K266" s="52"/>
      <c r="L266" s="52">
        <v>-4</v>
      </c>
      <c r="M266" s="52"/>
      <c r="N266" s="52">
        <v>213</v>
      </c>
      <c r="O266" s="52">
        <v>1.1499999999999999</v>
      </c>
      <c r="P266" s="52">
        <v>4.5999999999999996</v>
      </c>
      <c r="Q266" s="52">
        <v>-4.5999999999999996</v>
      </c>
      <c r="R266" s="52">
        <v>72.191639344262484</v>
      </c>
      <c r="S266" s="52"/>
      <c r="T266" s="52">
        <v>2637.4</v>
      </c>
      <c r="U266" s="52"/>
      <c r="V266" s="52">
        <v>10486.8</v>
      </c>
      <c r="W266" s="52"/>
      <c r="X266" s="52"/>
      <c r="Y266" s="52">
        <v>13.871033216295899</v>
      </c>
    </row>
    <row r="267" spans="1:25" x14ac:dyDescent="0.35">
      <c r="A267" s="54">
        <v>42849</v>
      </c>
      <c r="B267" s="52">
        <v>10.3</v>
      </c>
      <c r="C267" s="52">
        <v>3.8</v>
      </c>
      <c r="D267" s="52">
        <v>16.3</v>
      </c>
      <c r="E267" s="52">
        <f t="shared" si="3"/>
        <v>1743.5000000000002</v>
      </c>
      <c r="F267" s="52"/>
      <c r="G267" s="52"/>
      <c r="H267" s="52">
        <v>1.2</v>
      </c>
      <c r="I267" s="52"/>
      <c r="J267" s="52">
        <v>3.2</v>
      </c>
      <c r="K267" s="52"/>
      <c r="L267" s="52">
        <v>-2</v>
      </c>
      <c r="M267" s="52"/>
      <c r="N267" s="52">
        <v>214</v>
      </c>
      <c r="O267" s="52">
        <v>1.1499999999999999</v>
      </c>
      <c r="P267" s="52">
        <v>3.6799999999999997</v>
      </c>
      <c r="Q267" s="52">
        <v>-2.4799999999999995</v>
      </c>
      <c r="R267" s="52">
        <v>69.71163934426248</v>
      </c>
      <c r="S267" s="52"/>
      <c r="T267" s="52">
        <v>2200.4</v>
      </c>
      <c r="U267" s="52"/>
      <c r="V267" s="52">
        <v>12687.199999999999</v>
      </c>
      <c r="W267" s="52"/>
      <c r="X267" s="52"/>
      <c r="Y267" s="52">
        <v>13.926040240598248</v>
      </c>
    </row>
    <row r="268" spans="1:25" x14ac:dyDescent="0.35">
      <c r="A268" s="54">
        <v>42850</v>
      </c>
      <c r="B268" s="52">
        <v>7</v>
      </c>
      <c r="C268" s="52">
        <v>6</v>
      </c>
      <c r="D268" s="52">
        <v>9.5</v>
      </c>
      <c r="E268" s="52">
        <f t="shared" si="3"/>
        <v>1750.5000000000002</v>
      </c>
      <c r="F268" s="52"/>
      <c r="G268" s="52"/>
      <c r="H268" s="52">
        <v>0.2</v>
      </c>
      <c r="I268" s="52"/>
      <c r="J268" s="52">
        <v>1.4</v>
      </c>
      <c r="K268" s="52"/>
      <c r="L268" s="52">
        <v>-1.2</v>
      </c>
      <c r="M268" s="52"/>
      <c r="N268" s="52">
        <v>215</v>
      </c>
      <c r="O268" s="52">
        <v>1.1499999999999999</v>
      </c>
      <c r="P268" s="52">
        <v>1.6099999999999999</v>
      </c>
      <c r="Q268" s="52">
        <v>-1.41</v>
      </c>
      <c r="R268" s="52">
        <v>68.301639344262483</v>
      </c>
      <c r="S268" s="52"/>
      <c r="T268" s="52">
        <v>664.1</v>
      </c>
      <c r="U268" s="52"/>
      <c r="V268" s="52">
        <v>13351.3</v>
      </c>
      <c r="W268" s="52"/>
      <c r="X268" s="52"/>
      <c r="Y268" s="52">
        <v>13.98069194808888</v>
      </c>
    </row>
    <row r="269" spans="1:25" x14ac:dyDescent="0.35">
      <c r="A269" s="54">
        <v>42851</v>
      </c>
      <c r="B269" s="52">
        <v>4.7</v>
      </c>
      <c r="C269" s="52">
        <v>0.1</v>
      </c>
      <c r="D269" s="52">
        <v>9.6999999999999993</v>
      </c>
      <c r="E269" s="52">
        <f t="shared" si="3"/>
        <v>1755.2000000000003</v>
      </c>
      <c r="F269" s="52"/>
      <c r="G269" s="52"/>
      <c r="H269" s="52">
        <v>2.6</v>
      </c>
      <c r="I269" s="52"/>
      <c r="J269" s="52">
        <v>2.4</v>
      </c>
      <c r="K269" s="52"/>
      <c r="L269" s="52">
        <v>0.20000000000000018</v>
      </c>
      <c r="M269" s="52"/>
      <c r="N269" s="52">
        <v>216</v>
      </c>
      <c r="O269" s="52">
        <v>1.1499999999999999</v>
      </c>
      <c r="P269" s="52">
        <v>2.76</v>
      </c>
      <c r="Q269" s="52">
        <v>-0.1599999999999997</v>
      </c>
      <c r="R269" s="52">
        <v>68.141639344262487</v>
      </c>
      <c r="S269" s="52"/>
      <c r="T269" s="52">
        <v>2208</v>
      </c>
      <c r="U269" s="52"/>
      <c r="V269" s="52">
        <v>15559.3</v>
      </c>
      <c r="W269" s="52"/>
      <c r="X269" s="52"/>
      <c r="Y269" s="52">
        <v>14.034972383259307</v>
      </c>
    </row>
    <row r="270" spans="1:25" x14ac:dyDescent="0.35">
      <c r="A270" s="54">
        <v>42852</v>
      </c>
      <c r="B270" s="52">
        <v>6.4</v>
      </c>
      <c r="C270" s="52">
        <v>1.2</v>
      </c>
      <c r="D270" s="52">
        <v>10.6</v>
      </c>
      <c r="E270" s="52">
        <f t="shared" si="3"/>
        <v>1761.6000000000004</v>
      </c>
      <c r="F270" s="52"/>
      <c r="G270" s="52"/>
      <c r="H270" s="52">
        <v>0.3</v>
      </c>
      <c r="I270" s="52"/>
      <c r="J270" s="52">
        <v>2</v>
      </c>
      <c r="K270" s="52"/>
      <c r="L270" s="52">
        <v>-1.7</v>
      </c>
      <c r="M270" s="52"/>
      <c r="N270" s="52">
        <v>217</v>
      </c>
      <c r="O270" s="52">
        <v>1.1499999999999999</v>
      </c>
      <c r="P270" s="52">
        <v>2.2999999999999998</v>
      </c>
      <c r="Q270" s="52">
        <v>-1.9999999999999998</v>
      </c>
      <c r="R270" s="52">
        <v>66.141639344262487</v>
      </c>
      <c r="S270" s="52"/>
      <c r="T270" s="52">
        <v>1658.2</v>
      </c>
      <c r="U270" s="52"/>
      <c r="V270" s="52">
        <v>17217.5</v>
      </c>
      <c r="W270" s="52"/>
      <c r="X270" s="52"/>
      <c r="Y270" s="52">
        <v>14.088865177385633</v>
      </c>
    </row>
    <row r="271" spans="1:25" x14ac:dyDescent="0.35">
      <c r="A271" s="54">
        <v>42853</v>
      </c>
      <c r="B271" s="52">
        <v>8.5</v>
      </c>
      <c r="C271" s="52">
        <v>4.8</v>
      </c>
      <c r="D271" s="52">
        <v>11.9</v>
      </c>
      <c r="E271" s="52">
        <f t="shared" si="3"/>
        <v>1770.1000000000004</v>
      </c>
      <c r="F271" s="52"/>
      <c r="G271" s="52"/>
      <c r="H271" s="52">
        <v>0.2</v>
      </c>
      <c r="I271" s="52"/>
      <c r="J271" s="52">
        <v>2.2999999999999998</v>
      </c>
      <c r="K271" s="52"/>
      <c r="L271" s="52">
        <v>-2.0999999999999996</v>
      </c>
      <c r="M271" s="52"/>
      <c r="N271" s="52">
        <v>218</v>
      </c>
      <c r="O271" s="52">
        <v>1.1499999999999999</v>
      </c>
      <c r="P271" s="52">
        <v>2.6449999999999996</v>
      </c>
      <c r="Q271" s="52">
        <v>-2.4449999999999994</v>
      </c>
      <c r="R271" s="52">
        <v>63.696639344262486</v>
      </c>
      <c r="S271" s="52"/>
      <c r="T271" s="52">
        <v>1961</v>
      </c>
      <c r="U271" s="52"/>
      <c r="V271" s="52">
        <v>19178.5</v>
      </c>
      <c r="W271" s="52"/>
      <c r="X271" s="52"/>
      <c r="Y271" s="52">
        <v>14.142353545478596</v>
      </c>
    </row>
    <row r="272" spans="1:25" x14ac:dyDescent="0.35">
      <c r="A272" s="54">
        <v>42854</v>
      </c>
      <c r="B272" s="52">
        <v>10.5</v>
      </c>
      <c r="C272" s="52">
        <v>2.7</v>
      </c>
      <c r="D272" s="52">
        <v>16.100000000000001</v>
      </c>
      <c r="E272" s="52">
        <f t="shared" si="3"/>
        <v>1780.6000000000004</v>
      </c>
      <c r="F272" s="52"/>
      <c r="G272" s="52"/>
      <c r="H272" s="52">
        <v>0</v>
      </c>
      <c r="I272" s="52"/>
      <c r="J272" s="52">
        <v>2.7</v>
      </c>
      <c r="K272" s="52"/>
      <c r="L272" s="52">
        <v>-2.7</v>
      </c>
      <c r="M272" s="52"/>
      <c r="N272" s="52">
        <v>219</v>
      </c>
      <c r="O272" s="52">
        <v>1.1499999999999999</v>
      </c>
      <c r="P272" s="52">
        <v>3.105</v>
      </c>
      <c r="Q272" s="52">
        <v>-3.105</v>
      </c>
      <c r="R272" s="52">
        <v>60.591639344262489</v>
      </c>
      <c r="S272" s="52"/>
      <c r="T272" s="52">
        <v>1649.4</v>
      </c>
      <c r="U272" s="52"/>
      <c r="V272" s="52">
        <v>20827.900000000001</v>
      </c>
      <c r="W272" s="52"/>
      <c r="X272" s="52"/>
      <c r="Y272" s="52">
        <v>14.195420284319432</v>
      </c>
    </row>
    <row r="273" spans="1:25" x14ac:dyDescent="0.35">
      <c r="A273" s="54">
        <v>42855</v>
      </c>
      <c r="B273" s="52">
        <v>10.1</v>
      </c>
      <c r="C273" s="52">
        <v>9.6999999999999993</v>
      </c>
      <c r="D273" s="52">
        <v>12.6</v>
      </c>
      <c r="E273" s="52">
        <f t="shared" si="3"/>
        <v>1790.7000000000003</v>
      </c>
      <c r="F273" s="52"/>
      <c r="G273" s="52"/>
      <c r="H273" s="52">
        <v>23</v>
      </c>
      <c r="I273" s="52"/>
      <c r="J273" s="52">
        <v>1.4</v>
      </c>
      <c r="K273" s="52"/>
      <c r="L273" s="52">
        <v>21.6</v>
      </c>
      <c r="M273" s="52"/>
      <c r="N273" s="52">
        <v>220</v>
      </c>
      <c r="O273" s="52">
        <v>1.1499999999999999</v>
      </c>
      <c r="P273" s="52">
        <v>1.6099999999999999</v>
      </c>
      <c r="Q273" s="52">
        <v>21.39</v>
      </c>
      <c r="R273" s="52">
        <v>81.98163934426249</v>
      </c>
      <c r="S273" s="52"/>
      <c r="T273" s="52">
        <v>679.8</v>
      </c>
      <c r="U273" s="52"/>
      <c r="V273" s="52">
        <v>21507.7</v>
      </c>
      <c r="W273" s="52"/>
      <c r="X273" s="52"/>
      <c r="Y273" s="52">
        <v>14.248047771648402</v>
      </c>
    </row>
    <row r="274" spans="1:25" x14ac:dyDescent="0.35">
      <c r="A274" s="54">
        <v>42856</v>
      </c>
      <c r="B274" s="52">
        <v>9.6</v>
      </c>
      <c r="C274" s="52">
        <v>6.7</v>
      </c>
      <c r="D274" s="52">
        <v>13.6</v>
      </c>
      <c r="E274" s="52">
        <f t="shared" si="3"/>
        <v>1800.3000000000002</v>
      </c>
      <c r="F274" s="52"/>
      <c r="G274" s="52"/>
      <c r="H274" s="52">
        <v>15.3</v>
      </c>
      <c r="I274" s="52"/>
      <c r="J274" s="52">
        <v>1.9</v>
      </c>
      <c r="K274" s="52"/>
      <c r="L274" s="52">
        <v>13.4</v>
      </c>
      <c r="M274" s="52"/>
      <c r="N274" s="52">
        <v>221</v>
      </c>
      <c r="O274" s="52">
        <v>1.1499999999999999</v>
      </c>
      <c r="P274" s="52">
        <v>2.1849999999999996</v>
      </c>
      <c r="Q274" s="52">
        <v>13.115000000000002</v>
      </c>
      <c r="R274" s="52">
        <v>95.096639344262485</v>
      </c>
      <c r="S274" s="52"/>
      <c r="T274" s="52">
        <v>1100.0999999999999</v>
      </c>
      <c r="U274" s="52"/>
      <c r="V274" s="52">
        <v>22607.8</v>
      </c>
      <c r="W274" s="52"/>
      <c r="X274" s="52"/>
      <c r="Y274" s="52">
        <v>14.300217966574223</v>
      </c>
    </row>
    <row r="275" spans="1:25" x14ac:dyDescent="0.35">
      <c r="A275" s="54">
        <v>42857</v>
      </c>
      <c r="B275" s="52">
        <v>11.7</v>
      </c>
      <c r="C275" s="52">
        <v>7.8</v>
      </c>
      <c r="D275" s="52">
        <v>15.5</v>
      </c>
      <c r="E275" s="52">
        <f t="shared" si="3"/>
        <v>1812.0000000000002</v>
      </c>
      <c r="F275" s="52"/>
      <c r="G275" s="52"/>
      <c r="H275" s="52">
        <v>0.1</v>
      </c>
      <c r="I275" s="52"/>
      <c r="J275" s="52">
        <v>2.8</v>
      </c>
      <c r="K275" s="52"/>
      <c r="L275" s="52">
        <v>-2.6999999999999997</v>
      </c>
      <c r="M275" s="52"/>
      <c r="N275" s="52">
        <v>222</v>
      </c>
      <c r="O275" s="52">
        <v>1.1499999999999999</v>
      </c>
      <c r="P275" s="52">
        <v>3.2199999999999998</v>
      </c>
      <c r="Q275" s="52">
        <v>-3.1199999999999997</v>
      </c>
      <c r="R275" s="52">
        <v>91.97663934426248</v>
      </c>
      <c r="S275" s="52"/>
      <c r="T275" s="52">
        <v>1952.6</v>
      </c>
      <c r="U275" s="52"/>
      <c r="V275" s="52">
        <v>24560.399999999998</v>
      </c>
      <c r="W275" s="52"/>
      <c r="X275" s="52"/>
      <c r="Y275" s="52">
        <v>14.351912411273677</v>
      </c>
    </row>
    <row r="276" spans="1:25" x14ac:dyDescent="0.35">
      <c r="A276" s="54">
        <v>42858</v>
      </c>
      <c r="B276" s="52">
        <v>10.1</v>
      </c>
      <c r="C276" s="52">
        <v>6.1</v>
      </c>
      <c r="D276" s="52">
        <v>14.3</v>
      </c>
      <c r="E276" s="52">
        <f t="shared" si="3"/>
        <v>1822.1000000000001</v>
      </c>
      <c r="F276" s="52"/>
      <c r="G276" s="52"/>
      <c r="H276" s="52">
        <v>0.2</v>
      </c>
      <c r="I276" s="52"/>
      <c r="J276" s="52">
        <v>1.7</v>
      </c>
      <c r="K276" s="52"/>
      <c r="L276" s="52">
        <v>-1.5</v>
      </c>
      <c r="M276" s="52"/>
      <c r="N276" s="52">
        <v>223</v>
      </c>
      <c r="O276" s="52">
        <v>1.1499999999999999</v>
      </c>
      <c r="P276" s="52">
        <v>1.9549999999999998</v>
      </c>
      <c r="Q276" s="52">
        <v>-1.7549999999999999</v>
      </c>
      <c r="R276" s="52">
        <v>90.221639344262485</v>
      </c>
      <c r="S276" s="52"/>
      <c r="T276" s="52">
        <v>1042.9000000000001</v>
      </c>
      <c r="U276" s="52"/>
      <c r="V276" s="52">
        <v>25603.3</v>
      </c>
      <c r="W276" s="52"/>
      <c r="X276" s="52"/>
      <c r="Y276" s="52">
        <v>14.403112234051477</v>
      </c>
    </row>
    <row r="277" spans="1:25" x14ac:dyDescent="0.35">
      <c r="A277" s="54">
        <v>42859</v>
      </c>
      <c r="B277" s="52">
        <v>10.6</v>
      </c>
      <c r="C277" s="52">
        <v>5.2</v>
      </c>
      <c r="D277" s="52">
        <v>15.2</v>
      </c>
      <c r="E277" s="52">
        <f t="shared" si="3"/>
        <v>1832.7</v>
      </c>
      <c r="F277" s="52"/>
      <c r="G277" s="52"/>
      <c r="H277" s="52">
        <v>0.1</v>
      </c>
      <c r="I277" s="52"/>
      <c r="J277" s="52">
        <v>2</v>
      </c>
      <c r="K277" s="52"/>
      <c r="L277" s="52">
        <v>-1.9</v>
      </c>
      <c r="M277" s="52"/>
      <c r="N277" s="52">
        <v>224</v>
      </c>
      <c r="O277" s="52">
        <v>1.1499999999999999</v>
      </c>
      <c r="P277" s="52">
        <v>2.2999999999999998</v>
      </c>
      <c r="Q277" s="52">
        <v>-2.1999999999999997</v>
      </c>
      <c r="R277" s="52">
        <v>88.021639344262482</v>
      </c>
      <c r="S277" s="52"/>
      <c r="T277" s="52">
        <v>1481.4</v>
      </c>
      <c r="U277" s="52"/>
      <c r="V277" s="52">
        <v>27084.7</v>
      </c>
      <c r="W277" s="52"/>
      <c r="X277" s="52"/>
      <c r="Y277" s="52">
        <v>14.453798153830791</v>
      </c>
    </row>
    <row r="278" spans="1:25" x14ac:dyDescent="0.35">
      <c r="A278" s="54">
        <v>42860</v>
      </c>
      <c r="B278" s="52">
        <v>13.3</v>
      </c>
      <c r="C278" s="52">
        <v>8.9</v>
      </c>
      <c r="D278" s="52">
        <v>16.8</v>
      </c>
      <c r="E278" s="52">
        <f t="shared" si="3"/>
        <v>1846</v>
      </c>
      <c r="F278" s="52"/>
      <c r="G278" s="52"/>
      <c r="H278" s="52">
        <v>24.9</v>
      </c>
      <c r="I278" s="52"/>
      <c r="J278" s="52">
        <v>3.2</v>
      </c>
      <c r="K278" s="52"/>
      <c r="L278" s="52">
        <v>21.7</v>
      </c>
      <c r="M278" s="52"/>
      <c r="N278" s="52">
        <v>225</v>
      </c>
      <c r="O278" s="52">
        <v>1.1499999999999999</v>
      </c>
      <c r="P278" s="52">
        <v>3.6799999999999997</v>
      </c>
      <c r="Q278" s="52">
        <v>21.22</v>
      </c>
      <c r="R278" s="52">
        <v>109.24163934426248</v>
      </c>
      <c r="S278" s="52"/>
      <c r="T278" s="52">
        <v>2138.3000000000002</v>
      </c>
      <c r="U278" s="52"/>
      <c r="V278" s="52">
        <v>29223</v>
      </c>
      <c r="W278" s="52"/>
      <c r="X278" s="52"/>
      <c r="Y278" s="52">
        <v>14.503950486144806</v>
      </c>
    </row>
    <row r="279" spans="1:25" x14ac:dyDescent="0.35">
      <c r="A279" s="54">
        <v>42861</v>
      </c>
      <c r="B279" s="52">
        <v>13.6</v>
      </c>
      <c r="C279" s="52">
        <v>12.1</v>
      </c>
      <c r="D279" s="52">
        <v>17.100000000000001</v>
      </c>
      <c r="E279" s="52">
        <f t="shared" si="3"/>
        <v>1859.6</v>
      </c>
      <c r="F279" s="52"/>
      <c r="G279" s="52"/>
      <c r="H279" s="52">
        <v>5.5</v>
      </c>
      <c r="I279" s="52"/>
      <c r="J279" s="52">
        <v>1.4</v>
      </c>
      <c r="K279" s="52"/>
      <c r="L279" s="52">
        <v>4.0999999999999996</v>
      </c>
      <c r="M279" s="52"/>
      <c r="N279" s="52">
        <v>226</v>
      </c>
      <c r="O279" s="52">
        <v>1.1499999999999999</v>
      </c>
      <c r="P279" s="52">
        <v>1.6099999999999999</v>
      </c>
      <c r="Q279" s="52">
        <v>3.89</v>
      </c>
      <c r="R279" s="52">
        <v>113.13163934426248</v>
      </c>
      <c r="S279" s="52"/>
      <c r="T279" s="52">
        <v>658.5</v>
      </c>
      <c r="U279" s="52"/>
      <c r="V279" s="52">
        <v>29881.5</v>
      </c>
      <c r="W279" s="52"/>
      <c r="X279" s="52"/>
      <c r="Y279" s="52">
        <v>14.553549150699121</v>
      </c>
    </row>
    <row r="280" spans="1:25" x14ac:dyDescent="0.35">
      <c r="A280" s="54">
        <v>42862</v>
      </c>
      <c r="B280" s="52">
        <v>12.6</v>
      </c>
      <c r="C280" s="52">
        <v>11.1</v>
      </c>
      <c r="D280" s="52">
        <v>16.2</v>
      </c>
      <c r="E280" s="52">
        <f t="shared" si="3"/>
        <v>1872.1999999999998</v>
      </c>
      <c r="F280" s="52"/>
      <c r="G280" s="52"/>
      <c r="H280" s="52">
        <v>0</v>
      </c>
      <c r="I280" s="52"/>
      <c r="J280" s="52">
        <v>2.2000000000000002</v>
      </c>
      <c r="K280" s="52"/>
      <c r="L280" s="52">
        <v>-2.2000000000000002</v>
      </c>
      <c r="M280" s="52"/>
      <c r="N280" s="52">
        <v>227</v>
      </c>
      <c r="O280" s="52">
        <v>1.1499999999999999</v>
      </c>
      <c r="P280" s="52">
        <v>2.5299999999999998</v>
      </c>
      <c r="Q280" s="52">
        <v>-2.5299999999999998</v>
      </c>
      <c r="R280" s="52">
        <v>110.60163934426248</v>
      </c>
      <c r="S280" s="52"/>
      <c r="T280" s="52">
        <v>1225.2</v>
      </c>
      <c r="U280" s="52"/>
      <c r="V280" s="52">
        <v>31106.7</v>
      </c>
      <c r="W280" s="52"/>
      <c r="X280" s="52"/>
      <c r="Y280" s="52">
        <v>14.602573680573725</v>
      </c>
    </row>
    <row r="281" spans="1:25" x14ac:dyDescent="0.35">
      <c r="A281" s="54">
        <v>42863</v>
      </c>
      <c r="B281" s="52">
        <v>11</v>
      </c>
      <c r="C281" s="52">
        <v>6.2</v>
      </c>
      <c r="D281" s="52">
        <v>15.7</v>
      </c>
      <c r="E281" s="52">
        <f t="shared" si="3"/>
        <v>1883.1999999999998</v>
      </c>
      <c r="F281" s="52"/>
      <c r="G281" s="52"/>
      <c r="H281" s="52">
        <v>0</v>
      </c>
      <c r="I281" s="52"/>
      <c r="J281" s="52">
        <v>1.9</v>
      </c>
      <c r="K281" s="52"/>
      <c r="L281" s="52">
        <v>-1.9</v>
      </c>
      <c r="M281" s="52"/>
      <c r="N281" s="52">
        <v>228</v>
      </c>
      <c r="O281" s="52">
        <v>1.1499999999999999</v>
      </c>
      <c r="P281" s="52">
        <v>2.1849999999999996</v>
      </c>
      <c r="Q281" s="52">
        <v>-2.1849999999999996</v>
      </c>
      <c r="R281" s="52">
        <v>108.41663934426248</v>
      </c>
      <c r="S281" s="52"/>
      <c r="T281" s="52">
        <v>1214.5999999999999</v>
      </c>
      <c r="U281" s="52"/>
      <c r="V281" s="52">
        <v>32321.3</v>
      </c>
      <c r="W281" s="52"/>
      <c r="X281" s="52"/>
      <c r="Y281" s="52">
        <v>14.651003233131604</v>
      </c>
    </row>
    <row r="282" spans="1:25" x14ac:dyDescent="0.35">
      <c r="A282" s="54">
        <v>42864</v>
      </c>
      <c r="B282" s="52">
        <v>12.1</v>
      </c>
      <c r="C282" s="52">
        <v>7.4</v>
      </c>
      <c r="D282" s="52">
        <v>16.2</v>
      </c>
      <c r="E282" s="52">
        <f t="shared" si="3"/>
        <v>1895.2999999999997</v>
      </c>
      <c r="F282" s="52"/>
      <c r="G282" s="52"/>
      <c r="H282" s="52">
        <v>0</v>
      </c>
      <c r="I282" s="52"/>
      <c r="J282" s="52">
        <v>4.4000000000000004</v>
      </c>
      <c r="K282" s="52"/>
      <c r="L282" s="52">
        <v>-4.4000000000000004</v>
      </c>
      <c r="M282" s="52"/>
      <c r="N282" s="52">
        <v>229</v>
      </c>
      <c r="O282" s="52">
        <v>1.1499999999999999</v>
      </c>
      <c r="P282" s="52">
        <v>5.0599999999999996</v>
      </c>
      <c r="Q282" s="52">
        <v>-5.0599999999999996</v>
      </c>
      <c r="R282" s="52">
        <v>103.35663934426248</v>
      </c>
      <c r="S282" s="52"/>
      <c r="T282" s="52">
        <v>2817.2</v>
      </c>
      <c r="U282" s="52"/>
      <c r="V282" s="52">
        <v>35138.5</v>
      </c>
      <c r="W282" s="52"/>
      <c r="X282" s="52"/>
      <c r="Y282" s="52">
        <v>14.69881660269875</v>
      </c>
    </row>
    <row r="283" spans="1:25" x14ac:dyDescent="0.35">
      <c r="A283" s="54">
        <v>42865</v>
      </c>
      <c r="B283" s="52">
        <v>13.8</v>
      </c>
      <c r="C283" s="52">
        <v>8.9</v>
      </c>
      <c r="D283" s="52">
        <v>19</v>
      </c>
      <c r="E283" s="52">
        <f t="shared" si="3"/>
        <v>1909.0999999999997</v>
      </c>
      <c r="F283" s="52"/>
      <c r="G283" s="52"/>
      <c r="H283" s="52">
        <v>1.4</v>
      </c>
      <c r="I283" s="52"/>
      <c r="J283" s="52">
        <v>4</v>
      </c>
      <c r="K283" s="52"/>
      <c r="L283" s="52">
        <v>-2.6</v>
      </c>
      <c r="M283" s="52"/>
      <c r="N283" s="52">
        <v>230</v>
      </c>
      <c r="O283" s="52">
        <v>1.1499999999999999</v>
      </c>
      <c r="P283" s="52">
        <v>4.5999999999999996</v>
      </c>
      <c r="Q283" s="52">
        <v>-3.1999999999999997</v>
      </c>
      <c r="R283" s="52">
        <v>100.15663934426247</v>
      </c>
      <c r="S283" s="52"/>
      <c r="T283" s="52">
        <v>2372.5</v>
      </c>
      <c r="U283" s="52"/>
      <c r="V283" s="52">
        <v>37511</v>
      </c>
      <c r="W283" s="52"/>
      <c r="X283" s="52"/>
      <c r="Y283" s="52">
        <v>14.74599223507734</v>
      </c>
    </row>
    <row r="284" spans="1:25" x14ac:dyDescent="0.35">
      <c r="A284" s="54">
        <v>42866</v>
      </c>
      <c r="B284" s="52">
        <v>14.1</v>
      </c>
      <c r="C284" s="52">
        <v>13.2</v>
      </c>
      <c r="D284" s="52">
        <v>15.6</v>
      </c>
      <c r="E284" s="52">
        <f t="shared" si="3"/>
        <v>1923.1999999999996</v>
      </c>
      <c r="F284" s="52"/>
      <c r="G284" s="52"/>
      <c r="H284" s="52">
        <v>3.5</v>
      </c>
      <c r="I284" s="52"/>
      <c r="J284" s="52">
        <v>1.6</v>
      </c>
      <c r="K284" s="52"/>
      <c r="L284" s="52">
        <v>1.9</v>
      </c>
      <c r="M284" s="52"/>
      <c r="N284" s="52">
        <v>231</v>
      </c>
      <c r="O284" s="52">
        <v>1.1499999999999999</v>
      </c>
      <c r="P284" s="52">
        <v>1.8399999999999999</v>
      </c>
      <c r="Q284" s="52">
        <v>1.6600000000000001</v>
      </c>
      <c r="R284" s="52">
        <v>101.81663934426247</v>
      </c>
      <c r="S284" s="52"/>
      <c r="T284" s="52">
        <v>867</v>
      </c>
      <c r="U284" s="52"/>
      <c r="V284" s="52">
        <v>38378</v>
      </c>
      <c r="W284" s="52"/>
      <c r="X284" s="52"/>
      <c r="Y284" s="52">
        <v>14.792508243950039</v>
      </c>
    </row>
    <row r="285" spans="1:25" x14ac:dyDescent="0.35">
      <c r="A285" s="54">
        <v>42867</v>
      </c>
      <c r="B285" s="52">
        <v>14.8</v>
      </c>
      <c r="C285" s="52">
        <v>12.9</v>
      </c>
      <c r="D285" s="52">
        <v>17.600000000000001</v>
      </c>
      <c r="E285" s="52">
        <f t="shared" si="3"/>
        <v>1937.9999999999995</v>
      </c>
      <c r="F285" s="52"/>
      <c r="G285" s="52"/>
      <c r="H285" s="52">
        <v>2.2000000000000002</v>
      </c>
      <c r="I285" s="52"/>
      <c r="J285" s="52">
        <v>1.8</v>
      </c>
      <c r="K285" s="52"/>
      <c r="L285" s="52">
        <v>0.40000000000000013</v>
      </c>
      <c r="M285" s="52"/>
      <c r="N285" s="52">
        <v>232</v>
      </c>
      <c r="O285" s="52">
        <v>1.1499999999999999</v>
      </c>
      <c r="P285" s="52">
        <v>2.0699999999999998</v>
      </c>
      <c r="Q285" s="52">
        <v>0.13000000000000034</v>
      </c>
      <c r="R285" s="52">
        <v>101.94663934426246</v>
      </c>
      <c r="S285" s="52"/>
      <c r="T285" s="52">
        <v>807.5</v>
      </c>
      <c r="U285" s="52"/>
      <c r="V285" s="52">
        <v>39185.5</v>
      </c>
      <c r="W285" s="52"/>
      <c r="X285" s="52"/>
      <c r="Y285" s="52">
        <v>14.838342429228982</v>
      </c>
    </row>
    <row r="286" spans="1:25" x14ac:dyDescent="0.35">
      <c r="A286" s="54">
        <v>42868</v>
      </c>
      <c r="B286" s="52">
        <v>14.6</v>
      </c>
      <c r="C286" s="52">
        <v>11.6</v>
      </c>
      <c r="D286" s="52">
        <v>17.2</v>
      </c>
      <c r="E286" s="52">
        <f t="shared" si="3"/>
        <v>1952.5999999999995</v>
      </c>
      <c r="F286" s="52"/>
      <c r="G286" s="52"/>
      <c r="H286" s="52">
        <v>1.7</v>
      </c>
      <c r="I286" s="52"/>
      <c r="J286" s="52">
        <v>1.9</v>
      </c>
      <c r="K286" s="52"/>
      <c r="L286" s="52">
        <v>-0.19999999999999996</v>
      </c>
      <c r="M286" s="52"/>
      <c r="N286" s="52">
        <v>233</v>
      </c>
      <c r="O286" s="52">
        <v>1.1499999999999999</v>
      </c>
      <c r="P286" s="52">
        <v>2.1849999999999996</v>
      </c>
      <c r="Q286" s="52">
        <v>-0.48499999999999965</v>
      </c>
      <c r="R286" s="52">
        <v>101.46163934426247</v>
      </c>
      <c r="S286" s="52"/>
      <c r="T286" s="52">
        <v>1069.9000000000001</v>
      </c>
      <c r="U286" s="52"/>
      <c r="V286" s="52">
        <v>40255.4</v>
      </c>
      <c r="W286" s="52"/>
      <c r="X286" s="52"/>
      <c r="Y286" s="52">
        <v>14.883472297397407</v>
      </c>
    </row>
    <row r="287" spans="1:25" x14ac:dyDescent="0.35">
      <c r="A287" s="54">
        <v>42869</v>
      </c>
      <c r="B287" s="52">
        <v>15</v>
      </c>
      <c r="C287" s="52">
        <v>12.8</v>
      </c>
      <c r="D287" s="52">
        <v>18.100000000000001</v>
      </c>
      <c r="E287" s="52">
        <f t="shared" si="3"/>
        <v>1967.5999999999995</v>
      </c>
      <c r="F287" s="52"/>
      <c r="G287" s="52"/>
      <c r="H287" s="52">
        <v>0</v>
      </c>
      <c r="I287" s="52"/>
      <c r="J287" s="52">
        <v>3.5</v>
      </c>
      <c r="K287" s="52"/>
      <c r="L287" s="52">
        <v>-3.5</v>
      </c>
      <c r="M287" s="52"/>
      <c r="N287" s="52">
        <v>234</v>
      </c>
      <c r="O287" s="52">
        <v>1.1499999999999999</v>
      </c>
      <c r="P287" s="52">
        <v>4.0249999999999995</v>
      </c>
      <c r="Q287" s="52">
        <v>-4.0249999999999995</v>
      </c>
      <c r="R287" s="52">
        <v>97.43663934426246</v>
      </c>
      <c r="S287" s="52"/>
      <c r="T287" s="52">
        <v>1961</v>
      </c>
      <c r="U287" s="52"/>
      <c r="V287" s="52">
        <v>42216.4</v>
      </c>
      <c r="W287" s="52"/>
      <c r="X287" s="52"/>
      <c r="Y287" s="52">
        <v>14.927875083885819</v>
      </c>
    </row>
    <row r="288" spans="1:25" x14ac:dyDescent="0.35">
      <c r="A288" s="54">
        <v>42870</v>
      </c>
      <c r="B288" s="52">
        <v>16.899999999999999</v>
      </c>
      <c r="C288" s="52">
        <v>11.5</v>
      </c>
      <c r="D288" s="52">
        <v>20.7</v>
      </c>
      <c r="E288" s="52">
        <f t="shared" si="3"/>
        <v>1984.4999999999995</v>
      </c>
      <c r="F288" s="52"/>
      <c r="G288" s="52"/>
      <c r="H288" s="52">
        <v>0</v>
      </c>
      <c r="I288" s="52"/>
      <c r="J288" s="52">
        <v>1.2</v>
      </c>
      <c r="K288" s="52"/>
      <c r="L288" s="52">
        <v>-1.2</v>
      </c>
      <c r="M288" s="52"/>
      <c r="N288" s="52">
        <v>235</v>
      </c>
      <c r="O288" s="52">
        <v>1.1499999999999999</v>
      </c>
      <c r="P288" s="52">
        <v>1.38</v>
      </c>
      <c r="Q288" s="52">
        <v>-1.38</v>
      </c>
      <c r="R288" s="52">
        <v>96.056639344262464</v>
      </c>
      <c r="S288" s="52"/>
      <c r="T288" s="52">
        <v>708.6</v>
      </c>
      <c r="U288" s="52"/>
      <c r="V288" s="52">
        <v>42925</v>
      </c>
      <c r="W288" s="52"/>
      <c r="X288" s="52"/>
      <c r="Y288" s="52">
        <v>14.97152777751722</v>
      </c>
    </row>
    <row r="289" spans="1:25" x14ac:dyDescent="0.35">
      <c r="A289" s="54">
        <v>42871</v>
      </c>
      <c r="B289" s="52">
        <v>20.6</v>
      </c>
      <c r="C289" s="52">
        <v>15.4</v>
      </c>
      <c r="D289" s="52">
        <v>25.2</v>
      </c>
      <c r="E289" s="52">
        <f t="shared" si="3"/>
        <v>2005.0999999999995</v>
      </c>
      <c r="F289" s="52"/>
      <c r="G289" s="52"/>
      <c r="H289" s="52">
        <v>0</v>
      </c>
      <c r="I289" s="52"/>
      <c r="J289" s="52">
        <v>2.9</v>
      </c>
      <c r="K289" s="52"/>
      <c r="L289" s="52">
        <v>-2.9</v>
      </c>
      <c r="M289" s="52"/>
      <c r="N289" s="52">
        <v>236</v>
      </c>
      <c r="O289" s="52">
        <v>1.1499999999999999</v>
      </c>
      <c r="P289" s="52">
        <v>3.3349999999999995</v>
      </c>
      <c r="Q289" s="52">
        <v>-3.3349999999999995</v>
      </c>
      <c r="R289" s="52">
        <v>92.721639344262471</v>
      </c>
      <c r="S289" s="52"/>
      <c r="T289" s="52">
        <v>1664.6</v>
      </c>
      <c r="U289" s="52"/>
      <c r="V289" s="52">
        <v>44589.599999999999</v>
      </c>
      <c r="W289" s="52"/>
      <c r="X289" s="52"/>
      <c r="Y289" s="52">
        <v>15.014407147047871</v>
      </c>
    </row>
    <row r="290" spans="1:25" x14ac:dyDescent="0.35">
      <c r="A290" s="54">
        <v>42872</v>
      </c>
      <c r="B290" s="52">
        <v>16.100000000000001</v>
      </c>
      <c r="C290" s="52">
        <v>15.8</v>
      </c>
      <c r="D290" s="52">
        <v>17.899999999999999</v>
      </c>
      <c r="E290" s="52">
        <f t="shared" si="3"/>
        <v>2021.1999999999994</v>
      </c>
      <c r="F290" s="52"/>
      <c r="G290" s="52"/>
      <c r="H290" s="52">
        <v>11.9</v>
      </c>
      <c r="I290" s="52"/>
      <c r="J290" s="52">
        <v>1.4</v>
      </c>
      <c r="K290" s="52"/>
      <c r="L290" s="52">
        <v>10.5</v>
      </c>
      <c r="M290" s="52"/>
      <c r="N290" s="52">
        <v>237</v>
      </c>
      <c r="O290" s="52">
        <v>1.1304878048780487</v>
      </c>
      <c r="P290" s="52">
        <v>1.5826829268292681</v>
      </c>
      <c r="Q290" s="52">
        <v>10.317317073170733</v>
      </c>
      <c r="R290" s="52">
        <v>103.0389564174332</v>
      </c>
      <c r="S290" s="52"/>
      <c r="T290" s="52">
        <v>701.4</v>
      </c>
      <c r="U290" s="52"/>
      <c r="V290" s="52">
        <v>701.4</v>
      </c>
      <c r="W290" s="52"/>
      <c r="X290" s="52"/>
      <c r="Y290" s="52">
        <v>15.056489769820892</v>
      </c>
    </row>
    <row r="291" spans="1:25" x14ac:dyDescent="0.35">
      <c r="A291" s="54">
        <v>42873</v>
      </c>
      <c r="B291" s="52">
        <v>11.1</v>
      </c>
      <c r="C291" s="52">
        <v>9.9</v>
      </c>
      <c r="D291" s="52">
        <v>12.4</v>
      </c>
      <c r="E291" s="52">
        <f t="shared" si="3"/>
        <v>2032.2999999999993</v>
      </c>
      <c r="F291" s="52"/>
      <c r="G291" s="52"/>
      <c r="H291" s="52">
        <v>1.6</v>
      </c>
      <c r="I291" s="52"/>
      <c r="J291" s="52">
        <v>1.2</v>
      </c>
      <c r="K291" s="52"/>
      <c r="L291" s="52">
        <v>0.40000000000000013</v>
      </c>
      <c r="M291" s="52"/>
      <c r="N291" s="52">
        <v>238</v>
      </c>
      <c r="O291" s="52">
        <v>1.1109756097560974</v>
      </c>
      <c r="P291" s="52">
        <v>1.3331707317073169</v>
      </c>
      <c r="Q291" s="52">
        <v>0.26682926829268316</v>
      </c>
      <c r="R291" s="52">
        <v>103.30578568572588</v>
      </c>
      <c r="S291" s="52"/>
      <c r="T291" s="52">
        <v>949</v>
      </c>
      <c r="U291" s="52"/>
      <c r="V291" s="52">
        <v>1650.4</v>
      </c>
      <c r="W291" s="52"/>
      <c r="X291" s="52"/>
      <c r="Y291" s="52">
        <v>15.097752062539845</v>
      </c>
    </row>
    <row r="292" spans="1:25" x14ac:dyDescent="0.35">
      <c r="A292" s="54">
        <v>42874</v>
      </c>
      <c r="B292" s="52">
        <v>10.9</v>
      </c>
      <c r="C292" s="52">
        <v>8</v>
      </c>
      <c r="D292" s="52">
        <v>14.9</v>
      </c>
      <c r="E292" s="52">
        <f t="shared" si="3"/>
        <v>2043.1999999999994</v>
      </c>
      <c r="F292" s="52"/>
      <c r="G292" s="52"/>
      <c r="H292" s="52">
        <v>5.2</v>
      </c>
      <c r="I292" s="52"/>
      <c r="J292" s="52">
        <v>1.9</v>
      </c>
      <c r="K292" s="52"/>
      <c r="L292" s="52">
        <v>3.3000000000000003</v>
      </c>
      <c r="M292" s="52"/>
      <c r="N292" s="52">
        <v>239</v>
      </c>
      <c r="O292" s="52">
        <v>1.0914634146341462</v>
      </c>
      <c r="P292" s="52">
        <v>2.0737804878048776</v>
      </c>
      <c r="Q292" s="52">
        <v>3.1262195121951226</v>
      </c>
      <c r="R292" s="52">
        <v>106.432005197921</v>
      </c>
      <c r="S292" s="52"/>
      <c r="T292" s="52">
        <v>1294.4000000000001</v>
      </c>
      <c r="U292" s="52"/>
      <c r="V292" s="52">
        <v>2944.8</v>
      </c>
      <c r="W292" s="52"/>
      <c r="X292" s="52"/>
      <c r="Y292" s="52">
        <v>15.138170314158373</v>
      </c>
    </row>
    <row r="293" spans="1:25" x14ac:dyDescent="0.35">
      <c r="A293" s="54">
        <v>42875</v>
      </c>
      <c r="B293" s="52">
        <v>11.9</v>
      </c>
      <c r="C293" s="52">
        <v>7.9</v>
      </c>
      <c r="D293" s="52">
        <v>16</v>
      </c>
      <c r="E293" s="52">
        <f t="shared" si="3"/>
        <v>2055.0999999999995</v>
      </c>
      <c r="F293" s="52"/>
      <c r="G293" s="52"/>
      <c r="H293" s="52">
        <v>0.1</v>
      </c>
      <c r="I293" s="52"/>
      <c r="J293" s="52">
        <v>2</v>
      </c>
      <c r="K293" s="52"/>
      <c r="L293" s="52">
        <v>-1.9</v>
      </c>
      <c r="M293" s="52"/>
      <c r="N293" s="52">
        <v>240</v>
      </c>
      <c r="O293" s="52">
        <v>1.071951219512195</v>
      </c>
      <c r="P293" s="52">
        <v>2.1439024390243899</v>
      </c>
      <c r="Q293" s="52">
        <v>-2.0439024390243898</v>
      </c>
      <c r="R293" s="52">
        <v>104.38810275889661</v>
      </c>
      <c r="S293" s="52"/>
      <c r="T293" s="52">
        <v>1225.5</v>
      </c>
      <c r="U293" s="52"/>
      <c r="V293" s="52">
        <v>4170.3</v>
      </c>
      <c r="W293" s="52"/>
      <c r="X293" s="52"/>
      <c r="Y293" s="52">
        <v>15.177720720869829</v>
      </c>
    </row>
    <row r="294" spans="1:25" x14ac:dyDescent="0.35">
      <c r="A294" s="54">
        <v>42876</v>
      </c>
      <c r="B294" s="52">
        <v>14.6</v>
      </c>
      <c r="C294" s="52">
        <v>8.4</v>
      </c>
      <c r="D294" s="52">
        <v>20.100000000000001</v>
      </c>
      <c r="E294" s="52">
        <f t="shared" si="3"/>
        <v>2069.6999999999994</v>
      </c>
      <c r="F294" s="52"/>
      <c r="G294" s="52"/>
      <c r="H294" s="52">
        <v>0</v>
      </c>
      <c r="I294" s="52"/>
      <c r="J294" s="52">
        <v>4</v>
      </c>
      <c r="K294" s="52"/>
      <c r="L294" s="52">
        <v>-4</v>
      </c>
      <c r="M294" s="52"/>
      <c r="N294" s="52">
        <v>241</v>
      </c>
      <c r="O294" s="52">
        <v>1.0524390243902437</v>
      </c>
      <c r="P294" s="52">
        <v>4.2097560975609749</v>
      </c>
      <c r="Q294" s="52">
        <v>-4.2097560975609749</v>
      </c>
      <c r="R294" s="52">
        <v>100.17834666133564</v>
      </c>
      <c r="S294" s="52"/>
      <c r="T294" s="52">
        <v>2546.4</v>
      </c>
      <c r="U294" s="52"/>
      <c r="V294" s="52">
        <v>6716.7000000000007</v>
      </c>
      <c r="W294" s="52"/>
      <c r="X294" s="52"/>
      <c r="Y294" s="52">
        <v>15.216379423167773</v>
      </c>
    </row>
    <row r="295" spans="1:25" x14ac:dyDescent="0.35">
      <c r="A295" s="54">
        <v>42877</v>
      </c>
      <c r="B295" s="52">
        <v>16.8</v>
      </c>
      <c r="C295" s="52">
        <v>10.6</v>
      </c>
      <c r="D295" s="52">
        <v>24.1</v>
      </c>
      <c r="E295" s="52">
        <f t="shared" si="3"/>
        <v>2086.4999999999995</v>
      </c>
      <c r="F295" s="52"/>
      <c r="G295" s="52"/>
      <c r="H295" s="52">
        <v>0</v>
      </c>
      <c r="I295" s="52"/>
      <c r="J295" s="52">
        <v>4.5999999999999996</v>
      </c>
      <c r="K295" s="52"/>
      <c r="L295" s="52">
        <v>-4.5999999999999996</v>
      </c>
      <c r="M295" s="52"/>
      <c r="N295" s="52">
        <v>242</v>
      </c>
      <c r="O295" s="52">
        <v>1.0329268292682927</v>
      </c>
      <c r="P295" s="52">
        <v>4.7514634146341459</v>
      </c>
      <c r="Q295" s="52">
        <v>-4.7514634146341459</v>
      </c>
      <c r="R295" s="52">
        <v>95.426883246701493</v>
      </c>
      <c r="S295" s="52"/>
      <c r="T295" s="52">
        <v>2566.5</v>
      </c>
      <c r="U295" s="52"/>
      <c r="V295" s="52">
        <v>9283.2000000000007</v>
      </c>
      <c r="W295" s="52"/>
      <c r="X295" s="52"/>
      <c r="Y295" s="52">
        <v>15.254122544934269</v>
      </c>
    </row>
    <row r="296" spans="1:25" x14ac:dyDescent="0.35">
      <c r="A296" s="54">
        <v>42878</v>
      </c>
      <c r="B296" s="52">
        <v>17.100000000000001</v>
      </c>
      <c r="C296" s="52">
        <v>12.2</v>
      </c>
      <c r="D296" s="52">
        <v>20.9</v>
      </c>
      <c r="E296" s="52">
        <f t="shared" si="3"/>
        <v>2103.5999999999995</v>
      </c>
      <c r="F296" s="52"/>
      <c r="G296" s="52"/>
      <c r="H296" s="52">
        <v>0</v>
      </c>
      <c r="I296" s="52"/>
      <c r="J296" s="52">
        <v>3.6</v>
      </c>
      <c r="K296" s="52"/>
      <c r="L296" s="52">
        <v>-3.6</v>
      </c>
      <c r="M296" s="52"/>
      <c r="N296" s="52">
        <v>243</v>
      </c>
      <c r="O296" s="52">
        <v>1.0134146341463413</v>
      </c>
      <c r="P296" s="52">
        <v>3.6482926829268285</v>
      </c>
      <c r="Q296" s="52">
        <v>-3.6482926829268285</v>
      </c>
      <c r="R296" s="52">
        <v>91.778590563774671</v>
      </c>
      <c r="S296" s="52"/>
      <c r="T296" s="52">
        <v>2066.4</v>
      </c>
      <c r="U296" s="52"/>
      <c r="V296" s="52">
        <v>11349.6</v>
      </c>
      <c r="W296" s="52"/>
      <c r="X296" s="52"/>
      <c r="Y296" s="52">
        <v>15.290926234498</v>
      </c>
    </row>
    <row r="297" spans="1:25" x14ac:dyDescent="0.35">
      <c r="A297" s="54">
        <v>42879</v>
      </c>
      <c r="B297" s="52">
        <v>18.399999999999999</v>
      </c>
      <c r="C297" s="52">
        <v>14.4</v>
      </c>
      <c r="D297" s="52">
        <v>22.9</v>
      </c>
      <c r="E297" s="52">
        <f t="shared" si="3"/>
        <v>2121.9999999999995</v>
      </c>
      <c r="F297" s="52"/>
      <c r="G297" s="52"/>
      <c r="H297" s="52">
        <v>0</v>
      </c>
      <c r="I297" s="52"/>
      <c r="J297" s="52">
        <v>3.3</v>
      </c>
      <c r="K297" s="52"/>
      <c r="L297" s="52">
        <v>-3.3</v>
      </c>
      <c r="M297" s="52"/>
      <c r="N297" s="52">
        <v>244</v>
      </c>
      <c r="O297" s="52">
        <v>0.99390243902439013</v>
      </c>
      <c r="P297" s="52">
        <v>3.2798780487804873</v>
      </c>
      <c r="Q297" s="52">
        <v>-3.2798780487804873</v>
      </c>
      <c r="R297" s="52">
        <v>88.498712514994182</v>
      </c>
      <c r="S297" s="52"/>
      <c r="T297" s="52">
        <v>1870.4</v>
      </c>
      <c r="U297" s="52"/>
      <c r="V297" s="52">
        <v>13220</v>
      </c>
      <c r="W297" s="52"/>
      <c r="X297" s="52"/>
      <c r="Y297" s="52">
        <v>15.326766707588753</v>
      </c>
    </row>
    <row r="298" spans="1:25" x14ac:dyDescent="0.35">
      <c r="A298" s="54">
        <v>42880</v>
      </c>
      <c r="B298" s="52">
        <v>21.1</v>
      </c>
      <c r="C298" s="52">
        <v>15.4</v>
      </c>
      <c r="D298" s="52">
        <v>26</v>
      </c>
      <c r="E298" s="52">
        <f t="shared" si="3"/>
        <v>2143.0999999999995</v>
      </c>
      <c r="F298" s="52"/>
      <c r="G298" s="52"/>
      <c r="H298" s="52">
        <v>0</v>
      </c>
      <c r="I298" s="52"/>
      <c r="J298" s="52">
        <v>6.3</v>
      </c>
      <c r="K298" s="52"/>
      <c r="L298" s="52">
        <v>-6.3</v>
      </c>
      <c r="M298" s="52"/>
      <c r="N298" s="52">
        <v>245</v>
      </c>
      <c r="O298" s="52">
        <v>0.974390243902439</v>
      </c>
      <c r="P298" s="52">
        <v>6.1386585365853659</v>
      </c>
      <c r="Q298" s="52">
        <v>-6.1386585365853659</v>
      </c>
      <c r="R298" s="52">
        <v>82.360053978408814</v>
      </c>
      <c r="S298" s="52"/>
      <c r="T298" s="52">
        <v>3081.6</v>
      </c>
      <c r="U298" s="52"/>
      <c r="V298" s="52">
        <v>16301.6</v>
      </c>
      <c r="W298" s="52"/>
      <c r="X298" s="52"/>
      <c r="Y298" s="52">
        <v>15.361620292098312</v>
      </c>
    </row>
    <row r="299" spans="1:25" x14ac:dyDescent="0.35">
      <c r="A299" s="54">
        <v>42881</v>
      </c>
      <c r="B299" s="52">
        <v>23</v>
      </c>
      <c r="C299" s="52">
        <v>17.899999999999999</v>
      </c>
      <c r="D299" s="52">
        <v>28.6</v>
      </c>
      <c r="E299" s="52">
        <f t="shared" si="3"/>
        <v>2166.0999999999995</v>
      </c>
      <c r="F299" s="52"/>
      <c r="G299" s="52"/>
      <c r="H299" s="52">
        <v>0</v>
      </c>
      <c r="I299" s="52"/>
      <c r="J299" s="52">
        <v>6.8</v>
      </c>
      <c r="K299" s="52"/>
      <c r="L299" s="52">
        <v>-6.8</v>
      </c>
      <c r="M299" s="52"/>
      <c r="N299" s="52">
        <v>246</v>
      </c>
      <c r="O299" s="52">
        <v>0.95487804878048776</v>
      </c>
      <c r="P299" s="52">
        <v>6.4931707317073171</v>
      </c>
      <c r="Q299" s="52">
        <v>-6.4931707317073171</v>
      </c>
      <c r="R299" s="52">
        <v>75.866883246701491</v>
      </c>
      <c r="S299" s="52"/>
      <c r="T299" s="52">
        <v>3016.8</v>
      </c>
      <c r="U299" s="52"/>
      <c r="V299" s="52">
        <v>19318.400000000001</v>
      </c>
      <c r="W299" s="52"/>
      <c r="X299" s="52"/>
      <c r="Y299" s="52">
        <v>15.395463474541168</v>
      </c>
    </row>
    <row r="300" spans="1:25" x14ac:dyDescent="0.35">
      <c r="A300" s="54">
        <v>42882</v>
      </c>
      <c r="B300" s="52">
        <v>20.399999999999999</v>
      </c>
      <c r="C300" s="52">
        <v>17</v>
      </c>
      <c r="D300" s="52">
        <v>24.9</v>
      </c>
      <c r="E300" s="52">
        <f t="shared" si="3"/>
        <v>2186.4999999999995</v>
      </c>
      <c r="F300" s="52"/>
      <c r="G300" s="52"/>
      <c r="H300" s="52">
        <v>0</v>
      </c>
      <c r="I300" s="52"/>
      <c r="J300" s="52">
        <v>5.4</v>
      </c>
      <c r="K300" s="52"/>
      <c r="L300" s="52">
        <v>-5.4</v>
      </c>
      <c r="M300" s="52"/>
      <c r="N300" s="52">
        <v>247</v>
      </c>
      <c r="O300" s="52">
        <v>0.93536585365853653</v>
      </c>
      <c r="P300" s="52">
        <v>5.0509756097560974</v>
      </c>
      <c r="Q300" s="52">
        <v>-5.0509756097560974</v>
      </c>
      <c r="R300" s="52">
        <v>70.815907636945397</v>
      </c>
      <c r="S300" s="52"/>
      <c r="T300" s="52">
        <v>2803.8</v>
      </c>
      <c r="U300" s="52"/>
      <c r="V300" s="52">
        <v>22122.2</v>
      </c>
      <c r="W300" s="52"/>
      <c r="X300" s="52"/>
      <c r="Y300" s="52">
        <v>15.428272948090985</v>
      </c>
    </row>
    <row r="301" spans="1:25" x14ac:dyDescent="0.35">
      <c r="A301" s="54">
        <v>42883</v>
      </c>
      <c r="B301" s="52">
        <v>19.5</v>
      </c>
      <c r="C301" s="52">
        <v>14.3</v>
      </c>
      <c r="D301" s="52">
        <v>24.4</v>
      </c>
      <c r="E301" s="52">
        <f t="shared" si="3"/>
        <v>2205.9999999999995</v>
      </c>
      <c r="F301" s="52"/>
      <c r="G301" s="52"/>
      <c r="H301" s="52">
        <v>5.2</v>
      </c>
      <c r="I301" s="52"/>
      <c r="J301" s="52">
        <v>2.8</v>
      </c>
      <c r="K301" s="52"/>
      <c r="L301" s="52">
        <v>2.4000000000000004</v>
      </c>
      <c r="M301" s="52"/>
      <c r="N301" s="52">
        <v>248</v>
      </c>
      <c r="O301" s="52">
        <v>0.91585365853658529</v>
      </c>
      <c r="P301" s="52">
        <v>2.5643902439024386</v>
      </c>
      <c r="Q301" s="52">
        <v>2.6356097560975615</v>
      </c>
      <c r="R301" s="52">
        <v>73.451517393042963</v>
      </c>
      <c r="S301" s="52"/>
      <c r="T301" s="52">
        <v>1745.3</v>
      </c>
      <c r="U301" s="52"/>
      <c r="V301" s="52">
        <v>23867.5</v>
      </c>
      <c r="W301" s="52"/>
      <c r="X301" s="52"/>
      <c r="Y301" s="52">
        <v>15.460025662051269</v>
      </c>
    </row>
    <row r="302" spans="1:25" x14ac:dyDescent="0.35">
      <c r="A302" s="54">
        <v>42884</v>
      </c>
      <c r="B302" s="52">
        <v>17.100000000000001</v>
      </c>
      <c r="C302" s="52">
        <v>16.2</v>
      </c>
      <c r="D302" s="52">
        <v>19.5</v>
      </c>
      <c r="E302" s="52">
        <f t="shared" si="3"/>
        <v>2223.0999999999995</v>
      </c>
      <c r="F302" s="52"/>
      <c r="G302" s="52"/>
      <c r="H302" s="52">
        <v>14.3</v>
      </c>
      <c r="I302" s="52"/>
      <c r="J302" s="52">
        <v>1.4</v>
      </c>
      <c r="K302" s="52"/>
      <c r="L302" s="52">
        <v>12.9</v>
      </c>
      <c r="M302" s="52"/>
      <c r="N302" s="52">
        <v>249</v>
      </c>
      <c r="O302" s="52">
        <v>0.89634146341463405</v>
      </c>
      <c r="P302" s="52">
        <v>1.2548780487804876</v>
      </c>
      <c r="Q302" s="52">
        <v>13.045121951219514</v>
      </c>
      <c r="R302" s="52">
        <v>86.496639344262476</v>
      </c>
      <c r="S302" s="52"/>
      <c r="T302" s="52">
        <v>514.70000000000005</v>
      </c>
      <c r="U302" s="52"/>
      <c r="V302" s="52">
        <v>24382.2</v>
      </c>
      <c r="W302" s="52"/>
      <c r="X302" s="52"/>
      <c r="Y302" s="52">
        <v>15.490698872601032</v>
      </c>
    </row>
    <row r="303" spans="1:25" x14ac:dyDescent="0.35">
      <c r="A303" s="54">
        <v>42885</v>
      </c>
      <c r="B303" s="52">
        <v>16.399999999999999</v>
      </c>
      <c r="C303" s="52">
        <v>14.1</v>
      </c>
      <c r="D303" s="52">
        <v>19.3</v>
      </c>
      <c r="E303" s="52">
        <f t="shared" si="3"/>
        <v>2239.4999999999995</v>
      </c>
      <c r="F303" s="52"/>
      <c r="G303" s="52"/>
      <c r="H303" s="52">
        <v>0</v>
      </c>
      <c r="I303" s="52"/>
      <c r="J303" s="52">
        <v>1.4</v>
      </c>
      <c r="K303" s="52"/>
      <c r="L303" s="52">
        <v>-1.4</v>
      </c>
      <c r="M303" s="52"/>
      <c r="N303" s="52">
        <v>250</v>
      </c>
      <c r="O303" s="52">
        <v>0.87682926829268282</v>
      </c>
      <c r="P303" s="52">
        <v>1.2275609756097559</v>
      </c>
      <c r="Q303" s="52">
        <v>-1.2275609756097559</v>
      </c>
      <c r="R303" s="52">
        <v>85.269078368652714</v>
      </c>
      <c r="S303" s="52"/>
      <c r="T303" s="52">
        <v>659.9</v>
      </c>
      <c r="U303" s="52"/>
      <c r="V303" s="52">
        <v>25042.100000000002</v>
      </c>
      <c r="W303" s="52"/>
      <c r="X303" s="52"/>
      <c r="Y303" s="52">
        <v>15.520270194638618</v>
      </c>
    </row>
    <row r="304" spans="1:25" x14ac:dyDescent="0.35">
      <c r="A304" s="54">
        <v>42886</v>
      </c>
      <c r="B304" s="52">
        <v>18.399999999999999</v>
      </c>
      <c r="C304" s="52">
        <v>13.7</v>
      </c>
      <c r="D304" s="52">
        <v>22.7</v>
      </c>
      <c r="E304" s="52">
        <f t="shared" si="3"/>
        <v>2257.8999999999996</v>
      </c>
      <c r="F304" s="52"/>
      <c r="G304" s="52"/>
      <c r="H304" s="52">
        <v>0</v>
      </c>
      <c r="I304" s="52"/>
      <c r="J304" s="52">
        <v>3.6</v>
      </c>
      <c r="K304" s="52"/>
      <c r="L304" s="52">
        <v>-3.6</v>
      </c>
      <c r="M304" s="52"/>
      <c r="N304" s="52">
        <v>251</v>
      </c>
      <c r="O304" s="52">
        <v>0.85731707317073158</v>
      </c>
      <c r="P304" s="52">
        <v>3.0863414634146338</v>
      </c>
      <c r="Q304" s="52">
        <v>-3.0863414634146338</v>
      </c>
      <c r="R304" s="52">
        <v>82.182736905238073</v>
      </c>
      <c r="S304" s="52"/>
      <c r="T304" s="52">
        <v>1910.6</v>
      </c>
      <c r="U304" s="52"/>
      <c r="V304" s="52">
        <v>26952.7</v>
      </c>
      <c r="W304" s="52"/>
      <c r="X304" s="52"/>
      <c r="Y304" s="52">
        <v>15.548717654529707</v>
      </c>
    </row>
    <row r="305" spans="1:25" x14ac:dyDescent="0.35">
      <c r="A305" s="54">
        <v>42887</v>
      </c>
      <c r="B305" s="52">
        <v>20.8</v>
      </c>
      <c r="C305" s="52">
        <v>14.2</v>
      </c>
      <c r="D305" s="52">
        <v>26.9</v>
      </c>
      <c r="E305" s="52">
        <f t="shared" si="3"/>
        <v>2278.6999999999998</v>
      </c>
      <c r="F305" s="52"/>
      <c r="G305" s="52"/>
      <c r="H305" s="52">
        <v>0</v>
      </c>
      <c r="I305" s="52"/>
      <c r="J305" s="52">
        <v>2.9</v>
      </c>
      <c r="K305" s="52"/>
      <c r="L305" s="52">
        <v>-2.9</v>
      </c>
      <c r="M305" s="52"/>
      <c r="N305" s="52">
        <v>252</v>
      </c>
      <c r="O305" s="52">
        <v>0.83780487804878034</v>
      </c>
      <c r="P305" s="52">
        <v>2.429634146341463</v>
      </c>
      <c r="Q305" s="52">
        <v>-2.429634146341463</v>
      </c>
      <c r="R305" s="52">
        <v>79.753102758896617</v>
      </c>
      <c r="S305" s="52"/>
      <c r="T305" s="52">
        <v>1497.9</v>
      </c>
      <c r="U305" s="52"/>
      <c r="V305" s="52">
        <v>28450.600000000002</v>
      </c>
      <c r="W305" s="52"/>
      <c r="X305" s="52"/>
      <c r="Y305" s="52">
        <v>15.57601974354869</v>
      </c>
    </row>
    <row r="306" spans="1:25" x14ac:dyDescent="0.35">
      <c r="A306" s="54">
        <v>42888</v>
      </c>
      <c r="B306" s="52">
        <v>19.2</v>
      </c>
      <c r="C306" s="52">
        <v>15.5</v>
      </c>
      <c r="D306" s="52">
        <v>24.5</v>
      </c>
      <c r="E306" s="52">
        <f t="shared" si="3"/>
        <v>2297.8999999999996</v>
      </c>
      <c r="F306" s="52"/>
      <c r="G306" s="52"/>
      <c r="H306" s="52">
        <v>0.3</v>
      </c>
      <c r="I306" s="52"/>
      <c r="J306" s="52">
        <v>4.8</v>
      </c>
      <c r="K306" s="52"/>
      <c r="L306" s="52">
        <v>-4.5</v>
      </c>
      <c r="M306" s="52"/>
      <c r="N306" s="52">
        <v>253</v>
      </c>
      <c r="O306" s="52">
        <v>0.81829268292682922</v>
      </c>
      <c r="P306" s="52">
        <v>3.92780487804878</v>
      </c>
      <c r="Q306" s="52">
        <v>-3.6278048780487802</v>
      </c>
      <c r="R306" s="52">
        <v>76.125297880847839</v>
      </c>
      <c r="S306" s="52"/>
      <c r="T306" s="52">
        <v>2519</v>
      </c>
      <c r="U306" s="52"/>
      <c r="V306" s="52">
        <v>30969.600000000002</v>
      </c>
      <c r="W306" s="52"/>
      <c r="X306" s="52"/>
      <c r="Y306" s="52">
        <v>15.6021554717868</v>
      </c>
    </row>
    <row r="307" spans="1:25" x14ac:dyDescent="0.35">
      <c r="A307" s="54">
        <v>42889</v>
      </c>
      <c r="B307" s="52">
        <v>15.5</v>
      </c>
      <c r="C307" s="52">
        <v>14.7</v>
      </c>
      <c r="D307" s="52">
        <v>18</v>
      </c>
      <c r="E307" s="52">
        <f t="shared" si="3"/>
        <v>2313.3999999999996</v>
      </c>
      <c r="F307" s="52"/>
      <c r="G307" s="52"/>
      <c r="H307" s="52">
        <v>0</v>
      </c>
      <c r="I307" s="52"/>
      <c r="J307" s="52">
        <v>2</v>
      </c>
      <c r="K307" s="52"/>
      <c r="L307" s="52">
        <v>-2</v>
      </c>
      <c r="M307" s="52"/>
      <c r="N307" s="52">
        <v>254</v>
      </c>
      <c r="O307" s="52">
        <v>0.79878048780487798</v>
      </c>
      <c r="P307" s="52">
        <v>1.597560975609756</v>
      </c>
      <c r="Q307" s="52">
        <v>-1.597560975609756</v>
      </c>
      <c r="R307" s="52">
        <v>74.527736905238086</v>
      </c>
      <c r="S307" s="52"/>
      <c r="T307" s="52">
        <v>803.4</v>
      </c>
      <c r="U307" s="52"/>
      <c r="V307" s="52">
        <v>31773.000000000004</v>
      </c>
      <c r="W307" s="52"/>
      <c r="X307" s="52"/>
      <c r="Y307" s="52">
        <v>15.627104422285417</v>
      </c>
    </row>
    <row r="308" spans="1:25" x14ac:dyDescent="0.35">
      <c r="A308" s="54">
        <v>42890</v>
      </c>
      <c r="B308" s="52">
        <v>15.1</v>
      </c>
      <c r="C308" s="52">
        <v>11</v>
      </c>
      <c r="D308" s="52">
        <v>19.100000000000001</v>
      </c>
      <c r="E308" s="52">
        <f t="shared" si="3"/>
        <v>2328.4999999999995</v>
      </c>
      <c r="F308" s="52"/>
      <c r="G308" s="52"/>
      <c r="H308" s="52">
        <v>0</v>
      </c>
      <c r="I308" s="52"/>
      <c r="J308" s="52">
        <v>3.1</v>
      </c>
      <c r="K308" s="52"/>
      <c r="L308" s="52">
        <v>-3.1</v>
      </c>
      <c r="M308" s="52"/>
      <c r="N308" s="52">
        <v>255</v>
      </c>
      <c r="O308" s="52">
        <v>0.77926829268292674</v>
      </c>
      <c r="P308" s="52">
        <v>2.415731707317073</v>
      </c>
      <c r="Q308" s="52">
        <v>-2.415731707317073</v>
      </c>
      <c r="R308" s="52">
        <v>72.112005197921007</v>
      </c>
      <c r="S308" s="52"/>
      <c r="T308" s="52">
        <v>1838.2</v>
      </c>
      <c r="U308" s="52"/>
      <c r="V308" s="52">
        <v>1838.2</v>
      </c>
      <c r="W308" s="52"/>
      <c r="X308" s="52"/>
      <c r="Y308" s="52">
        <v>15.650846805139345</v>
      </c>
    </row>
    <row r="309" spans="1:25" x14ac:dyDescent="0.35">
      <c r="A309" s="54">
        <v>42891</v>
      </c>
      <c r="B309" s="52">
        <v>13.9</v>
      </c>
      <c r="C309" s="52">
        <v>11.4</v>
      </c>
      <c r="D309" s="52">
        <v>18.3</v>
      </c>
      <c r="E309" s="52">
        <f t="shared" si="3"/>
        <v>2342.3999999999996</v>
      </c>
      <c r="F309" s="52"/>
      <c r="G309" s="52"/>
      <c r="H309" s="52">
        <v>12.5</v>
      </c>
      <c r="I309" s="52"/>
      <c r="J309" s="52">
        <v>2.5</v>
      </c>
      <c r="K309" s="52"/>
      <c r="L309" s="52">
        <v>10</v>
      </c>
      <c r="M309" s="52"/>
      <c r="N309" s="52">
        <v>256</v>
      </c>
      <c r="O309" s="52">
        <v>0.75975609756097562</v>
      </c>
      <c r="P309" s="52">
        <v>1.899390243902439</v>
      </c>
      <c r="Q309" s="52">
        <v>10.600609756097562</v>
      </c>
      <c r="R309" s="52">
        <v>82.712614954018562</v>
      </c>
      <c r="S309" s="52"/>
      <c r="T309" s="52">
        <v>1096</v>
      </c>
      <c r="U309" s="52"/>
      <c r="V309" s="52">
        <v>2934.2</v>
      </c>
      <c r="W309" s="52"/>
      <c r="X309" s="52"/>
      <c r="Y309" s="52">
        <v>15.673363511302922</v>
      </c>
    </row>
    <row r="310" spans="1:25" x14ac:dyDescent="0.35">
      <c r="A310" s="54">
        <v>42892</v>
      </c>
      <c r="B310" s="52">
        <v>13.4</v>
      </c>
      <c r="C310" s="52">
        <v>11.1</v>
      </c>
      <c r="D310" s="52">
        <v>15.6</v>
      </c>
      <c r="E310" s="52">
        <f t="shared" si="3"/>
        <v>2355.7999999999997</v>
      </c>
      <c r="F310" s="52"/>
      <c r="G310" s="52"/>
      <c r="H310" s="52">
        <v>3.1</v>
      </c>
      <c r="I310" s="52"/>
      <c r="J310" s="52">
        <v>3.2</v>
      </c>
      <c r="K310" s="52"/>
      <c r="L310" s="52">
        <v>-0.10000000000000009</v>
      </c>
      <c r="M310" s="52"/>
      <c r="N310" s="52">
        <v>257</v>
      </c>
      <c r="O310" s="52">
        <v>0.74024390243902438</v>
      </c>
      <c r="P310" s="52">
        <v>2.3687804878048779</v>
      </c>
      <c r="Q310" s="52">
        <v>0.73121951219512216</v>
      </c>
      <c r="R310" s="52">
        <v>83.443834466213687</v>
      </c>
      <c r="S310" s="52"/>
      <c r="T310" s="52">
        <v>2162.6</v>
      </c>
      <c r="U310" s="52"/>
      <c r="V310" s="52">
        <v>5096.7999999999993</v>
      </c>
      <c r="W310" s="52"/>
      <c r="X310" s="52"/>
      <c r="Y310" s="52">
        <v>15.694636165821434</v>
      </c>
    </row>
    <row r="311" spans="1:25" x14ac:dyDescent="0.35">
      <c r="A311" s="54">
        <v>42893</v>
      </c>
      <c r="B311" s="52">
        <v>14.6</v>
      </c>
      <c r="C311" s="52">
        <v>10.9</v>
      </c>
      <c r="D311" s="52">
        <v>18.399999999999999</v>
      </c>
      <c r="E311" s="52">
        <f t="shared" si="3"/>
        <v>2370.3999999999996</v>
      </c>
      <c r="F311" s="52"/>
      <c r="G311" s="52"/>
      <c r="H311" s="52">
        <v>0</v>
      </c>
      <c r="I311" s="52"/>
      <c r="J311" s="52">
        <v>3.1</v>
      </c>
      <c r="K311" s="52"/>
      <c r="L311" s="52">
        <v>-3.1</v>
      </c>
      <c r="M311" s="52"/>
      <c r="N311" s="52">
        <v>258</v>
      </c>
      <c r="O311" s="52">
        <v>0.72073170731707314</v>
      </c>
      <c r="P311" s="52">
        <v>2.2342682926829269</v>
      </c>
      <c r="Q311" s="52">
        <v>-2.2342682926829269</v>
      </c>
      <c r="R311" s="52">
        <v>81.20956617353076</v>
      </c>
      <c r="S311" s="52"/>
      <c r="T311" s="52">
        <v>1721.9</v>
      </c>
      <c r="U311" s="52"/>
      <c r="V311" s="52">
        <v>6818.6999999999989</v>
      </c>
      <c r="W311" s="52"/>
      <c r="X311" s="52"/>
      <c r="Y311" s="52">
        <v>15.714647180202101</v>
      </c>
    </row>
    <row r="312" spans="1:25" x14ac:dyDescent="0.35">
      <c r="A312" s="54">
        <v>42894</v>
      </c>
      <c r="B312" s="52">
        <v>17.100000000000001</v>
      </c>
      <c r="C312" s="52">
        <v>11.8</v>
      </c>
      <c r="D312" s="52">
        <v>22.7</v>
      </c>
      <c r="E312" s="52">
        <f t="shared" ref="E312:E365" si="4">E311+B312</f>
        <v>2387.4999999999995</v>
      </c>
      <c r="F312" s="52"/>
      <c r="G312" s="52"/>
      <c r="H312" s="52">
        <v>0</v>
      </c>
      <c r="I312" s="52"/>
      <c r="J312" s="52">
        <v>2.1</v>
      </c>
      <c r="K312" s="52"/>
      <c r="L312" s="52">
        <v>-2.1</v>
      </c>
      <c r="M312" s="52"/>
      <c r="N312" s="52">
        <v>259</v>
      </c>
      <c r="O312" s="52">
        <v>0.70121951219512191</v>
      </c>
      <c r="P312" s="52">
        <v>1.472560975609756</v>
      </c>
      <c r="Q312" s="52">
        <v>-1.472560975609756</v>
      </c>
      <c r="R312" s="52">
        <v>79.737005197921007</v>
      </c>
      <c r="S312" s="52"/>
      <c r="T312" s="52">
        <v>1098.9000000000001</v>
      </c>
      <c r="U312" s="52"/>
      <c r="V312" s="52">
        <v>7917.5999999999985</v>
      </c>
      <c r="W312" s="52"/>
      <c r="X312" s="52"/>
      <c r="Y312" s="52">
        <v>15.733379803633058</v>
      </c>
    </row>
    <row r="313" spans="1:25" x14ac:dyDescent="0.35">
      <c r="A313" s="54">
        <v>42895</v>
      </c>
      <c r="B313" s="52">
        <v>17.100000000000001</v>
      </c>
      <c r="C313" s="52">
        <v>13.5</v>
      </c>
      <c r="D313" s="52">
        <v>20.5</v>
      </c>
      <c r="E313" s="52">
        <f t="shared" si="4"/>
        <v>2404.5999999999995</v>
      </c>
      <c r="F313" s="52"/>
      <c r="G313" s="52"/>
      <c r="H313" s="52">
        <v>0</v>
      </c>
      <c r="I313" s="52"/>
      <c r="J313" s="52">
        <v>3.4</v>
      </c>
      <c r="K313" s="52"/>
      <c r="L313" s="52">
        <v>-3.4</v>
      </c>
      <c r="M313" s="52"/>
      <c r="N313" s="52">
        <v>260</v>
      </c>
      <c r="O313" s="52">
        <v>0.68170731707317067</v>
      </c>
      <c r="P313" s="52">
        <v>2.3178048780487801</v>
      </c>
      <c r="Q313" s="52">
        <v>-2.3178048780487801</v>
      </c>
      <c r="R313" s="52">
        <v>77.419200319872232</v>
      </c>
      <c r="S313" s="52"/>
      <c r="T313" s="52">
        <v>1804.9</v>
      </c>
      <c r="U313" s="52"/>
      <c r="V313" s="52">
        <v>9722.4999999999982</v>
      </c>
      <c r="W313" s="52"/>
      <c r="X313" s="52"/>
      <c r="Y313" s="52">
        <v>15.750818172755142</v>
      </c>
    </row>
    <row r="314" spans="1:25" x14ac:dyDescent="0.35">
      <c r="A314" s="54">
        <v>42896</v>
      </c>
      <c r="B314" s="52">
        <v>18.899999999999999</v>
      </c>
      <c r="C314" s="52">
        <v>13.9</v>
      </c>
      <c r="D314" s="52">
        <v>23.5</v>
      </c>
      <c r="E314" s="52">
        <f t="shared" si="4"/>
        <v>2423.4999999999995</v>
      </c>
      <c r="F314" s="52"/>
      <c r="G314" s="52"/>
      <c r="H314" s="52">
        <v>0</v>
      </c>
      <c r="I314" s="52"/>
      <c r="J314" s="52">
        <v>5.7</v>
      </c>
      <c r="K314" s="52"/>
      <c r="L314" s="52">
        <v>-5.7</v>
      </c>
      <c r="M314" s="52"/>
      <c r="N314" s="52">
        <v>261</v>
      </c>
      <c r="O314" s="52">
        <v>0.66219512195121943</v>
      </c>
      <c r="P314" s="52">
        <v>3.7745121951219507</v>
      </c>
      <c r="Q314" s="52">
        <v>-3.7745121951219507</v>
      </c>
      <c r="R314" s="52">
        <v>73.644688124750274</v>
      </c>
      <c r="S314" s="52"/>
      <c r="T314" s="52">
        <v>3097.5</v>
      </c>
      <c r="U314" s="52"/>
      <c r="V314" s="52">
        <v>12819.999999999998</v>
      </c>
      <c r="W314" s="52"/>
      <c r="X314" s="52"/>
      <c r="Y314" s="52">
        <v>15.766947359690485</v>
      </c>
    </row>
    <row r="315" spans="1:25" x14ac:dyDescent="0.35">
      <c r="A315" s="54">
        <v>42897</v>
      </c>
      <c r="B315" s="52">
        <v>16.7</v>
      </c>
      <c r="C315" s="52">
        <v>14.3</v>
      </c>
      <c r="D315" s="52">
        <v>21.1</v>
      </c>
      <c r="E315" s="52">
        <f t="shared" si="4"/>
        <v>2440.1999999999994</v>
      </c>
      <c r="F315" s="52"/>
      <c r="G315" s="52"/>
      <c r="H315" s="52">
        <v>0.1</v>
      </c>
      <c r="I315" s="52"/>
      <c r="J315" s="52">
        <v>2.1</v>
      </c>
      <c r="K315" s="52"/>
      <c r="L315" s="52">
        <v>-2</v>
      </c>
      <c r="M315" s="52"/>
      <c r="N315" s="52">
        <v>262</v>
      </c>
      <c r="O315" s="52">
        <v>0.6426829268292682</v>
      </c>
      <c r="P315" s="52">
        <v>1.3496341463414632</v>
      </c>
      <c r="Q315" s="52">
        <v>-1.2496341463414631</v>
      </c>
      <c r="R315" s="52">
        <v>72.395053978408811</v>
      </c>
      <c r="S315" s="52"/>
      <c r="T315" s="52">
        <v>964.2</v>
      </c>
      <c r="U315" s="52"/>
      <c r="V315" s="52">
        <v>13784.199999999999</v>
      </c>
      <c r="W315" s="52"/>
      <c r="X315" s="52"/>
      <c r="Y315" s="52">
        <v>15.781753418034045</v>
      </c>
    </row>
    <row r="316" spans="1:25" x14ac:dyDescent="0.35">
      <c r="A316" s="54">
        <v>42898</v>
      </c>
      <c r="B316" s="52">
        <v>14.9</v>
      </c>
      <c r="C316" s="52">
        <v>11.3</v>
      </c>
      <c r="D316" s="52">
        <v>19.100000000000001</v>
      </c>
      <c r="E316" s="52">
        <f t="shared" si="4"/>
        <v>2455.0999999999995</v>
      </c>
      <c r="F316" s="52"/>
      <c r="G316" s="52"/>
      <c r="H316" s="52">
        <v>0</v>
      </c>
      <c r="I316" s="52"/>
      <c r="J316" s="52">
        <v>4.3</v>
      </c>
      <c r="K316" s="52"/>
      <c r="L316" s="52">
        <v>-4.3</v>
      </c>
      <c r="M316" s="52"/>
      <c r="N316" s="52">
        <v>263</v>
      </c>
      <c r="O316" s="52">
        <v>0.62317073170731696</v>
      </c>
      <c r="P316" s="52">
        <v>2.679634146341463</v>
      </c>
      <c r="Q316" s="52">
        <v>-2.679634146341463</v>
      </c>
      <c r="R316" s="52">
        <v>69.715419832067354</v>
      </c>
      <c r="S316" s="52"/>
      <c r="T316" s="52">
        <v>2474.5</v>
      </c>
      <c r="U316" s="52"/>
      <c r="V316" s="52">
        <v>16258.699999999999</v>
      </c>
      <c r="W316" s="52"/>
      <c r="X316" s="52"/>
      <c r="Y316" s="52">
        <v>15.795223426518856</v>
      </c>
    </row>
    <row r="317" spans="1:25" x14ac:dyDescent="0.35">
      <c r="A317" s="54">
        <v>42899</v>
      </c>
      <c r="B317" s="52">
        <v>17.5</v>
      </c>
      <c r="C317" s="52">
        <v>10.5</v>
      </c>
      <c r="D317" s="52">
        <v>22.6</v>
      </c>
      <c r="E317" s="52">
        <f t="shared" si="4"/>
        <v>2472.5999999999995</v>
      </c>
      <c r="F317" s="52"/>
      <c r="G317" s="52"/>
      <c r="H317" s="52">
        <v>0</v>
      </c>
      <c r="I317" s="52"/>
      <c r="J317" s="52">
        <v>4.3</v>
      </c>
      <c r="K317" s="52"/>
      <c r="L317" s="52">
        <v>-4.3</v>
      </c>
      <c r="M317" s="52"/>
      <c r="N317" s="52">
        <v>264</v>
      </c>
      <c r="O317" s="52">
        <v>0.60365853658536572</v>
      </c>
      <c r="P317" s="52">
        <v>2.5957317073170727</v>
      </c>
      <c r="Q317" s="52">
        <v>-2.5957317073170727</v>
      </c>
      <c r="R317" s="52">
        <v>67.119688124750283</v>
      </c>
      <c r="S317" s="52"/>
      <c r="T317" s="52">
        <v>2580.4</v>
      </c>
      <c r="U317" s="52"/>
      <c r="V317" s="52">
        <v>18839.099999999999</v>
      </c>
      <c r="W317" s="52"/>
      <c r="X317" s="52"/>
      <c r="Y317" s="52">
        <v>15.807345530073876</v>
      </c>
    </row>
    <row r="318" spans="1:25" x14ac:dyDescent="0.35">
      <c r="A318" s="54">
        <v>42900</v>
      </c>
      <c r="B318" s="52">
        <v>21.7</v>
      </c>
      <c r="C318" s="52">
        <v>16.2</v>
      </c>
      <c r="D318" s="52">
        <v>27.7</v>
      </c>
      <c r="E318" s="52">
        <f t="shared" si="4"/>
        <v>2494.2999999999993</v>
      </c>
      <c r="F318" s="52"/>
      <c r="G318" s="52"/>
      <c r="H318" s="52">
        <v>0</v>
      </c>
      <c r="I318" s="52"/>
      <c r="J318" s="52">
        <v>5</v>
      </c>
      <c r="K318" s="52"/>
      <c r="L318" s="52">
        <v>-5</v>
      </c>
      <c r="M318" s="52"/>
      <c r="N318" s="52">
        <v>265</v>
      </c>
      <c r="O318" s="52">
        <v>0.5841463414634146</v>
      </c>
      <c r="P318" s="52">
        <v>2.9207317073170729</v>
      </c>
      <c r="Q318" s="52">
        <v>-2.9207317073170729</v>
      </c>
      <c r="R318" s="52">
        <v>64.198956417433209</v>
      </c>
      <c r="S318" s="52"/>
      <c r="T318" s="52">
        <v>2468.6</v>
      </c>
      <c r="U318" s="52"/>
      <c r="V318" s="52">
        <v>21307.699999999997</v>
      </c>
      <c r="W318" s="52"/>
      <c r="X318" s="52"/>
      <c r="Y318" s="52">
        <v>15.818108978004114</v>
      </c>
    </row>
    <row r="319" spans="1:25" x14ac:dyDescent="0.35">
      <c r="A319" s="54">
        <v>42901</v>
      </c>
      <c r="B319" s="52">
        <v>18.3</v>
      </c>
      <c r="C319" s="52">
        <v>15.4</v>
      </c>
      <c r="D319" s="52">
        <v>24.6</v>
      </c>
      <c r="E319" s="52">
        <f t="shared" si="4"/>
        <v>2512.5999999999995</v>
      </c>
      <c r="F319" s="52"/>
      <c r="G319" s="52"/>
      <c r="H319" s="52">
        <v>0</v>
      </c>
      <c r="I319" s="52"/>
      <c r="J319" s="52">
        <v>5.9</v>
      </c>
      <c r="K319" s="52"/>
      <c r="L319" s="52">
        <v>-5.9</v>
      </c>
      <c r="M319" s="52"/>
      <c r="N319" s="52">
        <v>266</v>
      </c>
      <c r="O319" s="52">
        <v>0.56463414634146336</v>
      </c>
      <c r="P319" s="52">
        <v>3.3313414634146339</v>
      </c>
      <c r="Q319" s="52">
        <v>-3.3313414634146339</v>
      </c>
      <c r="R319" s="52">
        <v>60.867614954018578</v>
      </c>
      <c r="S319" s="52"/>
      <c r="T319" s="52">
        <v>2895.9</v>
      </c>
      <c r="U319" s="52"/>
      <c r="V319" s="52">
        <v>24203.599999999999</v>
      </c>
      <c r="W319" s="52"/>
      <c r="X319" s="52"/>
      <c r="Y319" s="52">
        <v>15.827504159036636</v>
      </c>
    </row>
    <row r="320" spans="1:25" x14ac:dyDescent="0.35">
      <c r="A320" s="54">
        <v>42902</v>
      </c>
      <c r="B320" s="52">
        <v>16.899999999999999</v>
      </c>
      <c r="C320" s="52">
        <v>11.8</v>
      </c>
      <c r="D320" s="52">
        <v>21.1</v>
      </c>
      <c r="E320" s="52">
        <f t="shared" si="4"/>
        <v>2529.4999999999995</v>
      </c>
      <c r="F320" s="52"/>
      <c r="G320" s="52"/>
      <c r="H320" s="52">
        <v>0</v>
      </c>
      <c r="I320" s="52"/>
      <c r="J320" s="52">
        <v>5.4</v>
      </c>
      <c r="K320" s="52"/>
      <c r="L320" s="52">
        <v>-5.4</v>
      </c>
      <c r="M320" s="52"/>
      <c r="N320" s="52">
        <v>267</v>
      </c>
      <c r="O320" s="52">
        <v>0.54512195121951212</v>
      </c>
      <c r="P320" s="52">
        <v>2.9436585365853656</v>
      </c>
      <c r="Q320" s="52">
        <v>-2.9436585365853656</v>
      </c>
      <c r="R320" s="52">
        <v>57.92395641743321</v>
      </c>
      <c r="S320" s="52"/>
      <c r="T320" s="52">
        <v>3073.1</v>
      </c>
      <c r="U320" s="52"/>
      <c r="V320" s="52">
        <v>27276.699999999997</v>
      </c>
      <c r="W320" s="52"/>
      <c r="X320" s="52"/>
      <c r="Y320" s="52">
        <v>15.83552263299285</v>
      </c>
    </row>
    <row r="321" spans="1:25" x14ac:dyDescent="0.35">
      <c r="A321" s="54">
        <v>42903</v>
      </c>
      <c r="B321" s="52">
        <v>20.6</v>
      </c>
      <c r="C321" s="52">
        <v>13.4</v>
      </c>
      <c r="D321" s="52">
        <v>25.7</v>
      </c>
      <c r="E321" s="52">
        <f t="shared" si="4"/>
        <v>2550.0999999999995</v>
      </c>
      <c r="F321" s="52"/>
      <c r="G321" s="52"/>
      <c r="H321" s="52">
        <v>0</v>
      </c>
      <c r="I321" s="52"/>
      <c r="J321" s="52">
        <v>6.1</v>
      </c>
      <c r="K321" s="52"/>
      <c r="L321" s="52">
        <v>-6.1</v>
      </c>
      <c r="M321" s="52"/>
      <c r="N321" s="52">
        <v>268</v>
      </c>
      <c r="O321" s="52">
        <v>0.52560975609756089</v>
      </c>
      <c r="P321" s="52">
        <v>3.2062195121951214</v>
      </c>
      <c r="Q321" s="52">
        <v>-3.2062195121951214</v>
      </c>
      <c r="R321" s="52">
        <v>54.717736905238091</v>
      </c>
      <c r="S321" s="52"/>
      <c r="T321" s="52">
        <v>3218.3</v>
      </c>
      <c r="U321" s="52"/>
      <c r="V321" s="52">
        <v>30494.999999999996</v>
      </c>
      <c r="W321" s="52"/>
      <c r="X321" s="52"/>
      <c r="Y321" s="52">
        <v>15.842157158867153</v>
      </c>
    </row>
    <row r="322" spans="1:25" x14ac:dyDescent="0.35">
      <c r="A322" s="54">
        <v>42904</v>
      </c>
      <c r="B322" s="52">
        <v>23.9</v>
      </c>
      <c r="C322" s="52">
        <v>16.7</v>
      </c>
      <c r="D322" s="52">
        <v>30</v>
      </c>
      <c r="E322" s="52">
        <f t="shared" si="4"/>
        <v>2573.9999999999995</v>
      </c>
      <c r="F322" s="52"/>
      <c r="G322" s="52"/>
      <c r="H322" s="52">
        <v>0</v>
      </c>
      <c r="I322" s="52"/>
      <c r="J322" s="52">
        <v>6.7</v>
      </c>
      <c r="K322" s="52"/>
      <c r="L322" s="52">
        <v>-6.7</v>
      </c>
      <c r="M322" s="52"/>
      <c r="N322" s="52">
        <v>269</v>
      </c>
      <c r="O322" s="52">
        <v>0.50609756097560965</v>
      </c>
      <c r="P322" s="52">
        <v>3.3908536585365847</v>
      </c>
      <c r="Q322" s="52">
        <v>-3.3908536585365847</v>
      </c>
      <c r="R322" s="52">
        <v>51.326883246701506</v>
      </c>
      <c r="S322" s="52"/>
      <c r="T322" s="52">
        <v>2991</v>
      </c>
      <c r="U322" s="52"/>
      <c r="V322" s="52">
        <v>33486</v>
      </c>
      <c r="W322" s="52"/>
      <c r="X322" s="52"/>
      <c r="Y322" s="52">
        <v>15.847401719114204</v>
      </c>
    </row>
    <row r="323" spans="1:25" x14ac:dyDescent="0.35">
      <c r="A323" s="54">
        <v>42905</v>
      </c>
      <c r="B323" s="52">
        <v>26.7</v>
      </c>
      <c r="C323" s="52">
        <v>20.5</v>
      </c>
      <c r="D323" s="52">
        <v>33</v>
      </c>
      <c r="E323" s="52">
        <f t="shared" si="4"/>
        <v>2600.6999999999994</v>
      </c>
      <c r="F323" s="52"/>
      <c r="G323" s="52"/>
      <c r="H323" s="52">
        <v>0</v>
      </c>
      <c r="I323" s="52"/>
      <c r="J323" s="52">
        <v>7.9</v>
      </c>
      <c r="K323" s="52"/>
      <c r="L323" s="52">
        <v>-7.9</v>
      </c>
      <c r="M323" s="52"/>
      <c r="N323" s="52">
        <v>270</v>
      </c>
      <c r="O323" s="52">
        <v>0.48658536585365852</v>
      </c>
      <c r="P323" s="52">
        <v>3.8440243902439026</v>
      </c>
      <c r="Q323" s="52">
        <v>-3.8440243902439026</v>
      </c>
      <c r="R323" s="52">
        <v>47.482858856457604</v>
      </c>
      <c r="S323" s="52"/>
      <c r="T323" s="52">
        <v>3256.9</v>
      </c>
      <c r="U323" s="52"/>
      <c r="V323" s="52">
        <v>36742.9</v>
      </c>
      <c r="W323" s="52"/>
      <c r="X323" s="52"/>
      <c r="Y323" s="52">
        <v>15.851251539971809</v>
      </c>
    </row>
    <row r="324" spans="1:25" x14ac:dyDescent="0.35">
      <c r="A324" s="54">
        <v>42906</v>
      </c>
      <c r="B324" s="52">
        <v>27.2</v>
      </c>
      <c r="C324" s="52">
        <v>21.4</v>
      </c>
      <c r="D324" s="52">
        <v>33.799999999999997</v>
      </c>
      <c r="E324" s="52">
        <f t="shared" si="4"/>
        <v>2627.8999999999992</v>
      </c>
      <c r="F324" s="52"/>
      <c r="G324" s="52"/>
      <c r="H324" s="52">
        <v>0</v>
      </c>
      <c r="I324" s="52"/>
      <c r="J324" s="52">
        <v>7.5</v>
      </c>
      <c r="K324" s="52"/>
      <c r="L324" s="52">
        <v>-7.5</v>
      </c>
      <c r="M324" s="52"/>
      <c r="N324" s="52">
        <v>271</v>
      </c>
      <c r="O324" s="52">
        <v>0.46707317073170729</v>
      </c>
      <c r="P324" s="52">
        <v>3.5030487804878048</v>
      </c>
      <c r="Q324" s="52">
        <v>-3.5030487804878048</v>
      </c>
      <c r="R324" s="52">
        <v>43.979810075969802</v>
      </c>
      <c r="S324" s="52"/>
      <c r="T324" s="52">
        <v>3163.3</v>
      </c>
      <c r="U324" s="52"/>
      <c r="V324" s="52">
        <v>39906.200000000004</v>
      </c>
      <c r="W324" s="52"/>
      <c r="X324" s="52"/>
      <c r="Y324" s="52">
        <v>15.85370310767316</v>
      </c>
    </row>
    <row r="325" spans="1:25" x14ac:dyDescent="0.35">
      <c r="A325" s="54">
        <v>42907</v>
      </c>
      <c r="B325" s="52">
        <v>23.8</v>
      </c>
      <c r="C325" s="52">
        <v>17.2</v>
      </c>
      <c r="D325" s="52">
        <v>30.5</v>
      </c>
      <c r="E325" s="52">
        <f t="shared" si="4"/>
        <v>2651.6999999999994</v>
      </c>
      <c r="F325" s="52"/>
      <c r="G325" s="52"/>
      <c r="H325" s="52">
        <v>0</v>
      </c>
      <c r="I325" s="52"/>
      <c r="J325" s="52">
        <v>6.8</v>
      </c>
      <c r="K325" s="52"/>
      <c r="L325" s="52">
        <v>-6.8</v>
      </c>
      <c r="M325" s="52"/>
      <c r="N325" s="52">
        <v>272</v>
      </c>
      <c r="O325" s="52">
        <v>0.44756097560975605</v>
      </c>
      <c r="P325" s="52">
        <v>3.0434146341463411</v>
      </c>
      <c r="Q325" s="52">
        <v>-3.0434146341463411</v>
      </c>
      <c r="R325" s="52">
        <v>40.936395441823464</v>
      </c>
      <c r="S325" s="52"/>
      <c r="T325" s="52">
        <v>2934.8</v>
      </c>
      <c r="U325" s="52"/>
      <c r="V325" s="52">
        <v>42841.000000000007</v>
      </c>
      <c r="W325" s="52"/>
      <c r="X325" s="52"/>
      <c r="Y325" s="52">
        <v>15.854754180430909</v>
      </c>
    </row>
    <row r="326" spans="1:25" x14ac:dyDescent="0.35">
      <c r="A326" s="54">
        <v>42908</v>
      </c>
      <c r="B326" s="52">
        <v>19.100000000000001</v>
      </c>
      <c r="C326" s="52">
        <v>16.3</v>
      </c>
      <c r="D326" s="52">
        <v>22.2</v>
      </c>
      <c r="E326" s="52">
        <f t="shared" si="4"/>
        <v>2670.7999999999993</v>
      </c>
      <c r="F326" s="52"/>
      <c r="G326" s="52"/>
      <c r="H326" s="52">
        <v>0</v>
      </c>
      <c r="I326" s="52"/>
      <c r="J326" s="52">
        <v>3.9</v>
      </c>
      <c r="K326" s="52"/>
      <c r="L326" s="52">
        <v>-3.9</v>
      </c>
      <c r="M326" s="52"/>
      <c r="N326" s="52">
        <v>273</v>
      </c>
      <c r="O326" s="52">
        <v>0.42804878048780481</v>
      </c>
      <c r="P326" s="52">
        <v>1.6693902439024388</v>
      </c>
      <c r="Q326" s="52">
        <v>-1.6693902439024388</v>
      </c>
      <c r="R326" s="52">
        <v>39.267005197921023</v>
      </c>
      <c r="S326" s="52"/>
      <c r="T326" s="52">
        <v>1988.3</v>
      </c>
      <c r="U326" s="52"/>
      <c r="V326" s="52">
        <v>44829.30000000001</v>
      </c>
      <c r="W326" s="52"/>
      <c r="X326" s="52"/>
      <c r="Y326" s="52">
        <v>15.854403796105522</v>
      </c>
    </row>
    <row r="327" spans="1:25" x14ac:dyDescent="0.35">
      <c r="A327" s="54">
        <v>42909</v>
      </c>
      <c r="B327" s="52">
        <v>18</v>
      </c>
      <c r="C327" s="52">
        <v>14.3</v>
      </c>
      <c r="D327" s="52">
        <v>21.6</v>
      </c>
      <c r="E327" s="52">
        <f t="shared" si="4"/>
        <v>2688.7999999999993</v>
      </c>
      <c r="F327" s="52"/>
      <c r="G327" s="52"/>
      <c r="H327" s="52">
        <v>0</v>
      </c>
      <c r="I327" s="52"/>
      <c r="J327" s="52">
        <v>2.5</v>
      </c>
      <c r="K327" s="52"/>
      <c r="L327" s="52">
        <v>-2.5</v>
      </c>
      <c r="M327" s="52"/>
      <c r="N327" s="52">
        <v>274</v>
      </c>
      <c r="O327" s="52">
        <v>0.40853658536585358</v>
      </c>
      <c r="P327" s="52">
        <v>1.0213414634146338</v>
      </c>
      <c r="Q327" s="52">
        <v>-1.0213414634146338</v>
      </c>
      <c r="R327" s="52">
        <v>38.245663734506387</v>
      </c>
      <c r="S327" s="52"/>
      <c r="T327" s="52">
        <v>864.2</v>
      </c>
      <c r="U327" s="52"/>
      <c r="V327" s="52">
        <v>45693.500000000007</v>
      </c>
      <c r="W327" s="52"/>
      <c r="X327" s="52"/>
      <c r="Y327" s="52">
        <v>15.852652275501848</v>
      </c>
    </row>
    <row r="328" spans="1:25" x14ac:dyDescent="0.35">
      <c r="A328" s="54">
        <v>42910</v>
      </c>
      <c r="B328" s="52">
        <v>19.3</v>
      </c>
      <c r="C328" s="52">
        <v>15</v>
      </c>
      <c r="D328" s="52">
        <v>22.2</v>
      </c>
      <c r="E328" s="52">
        <f t="shared" si="4"/>
        <v>2708.0999999999995</v>
      </c>
      <c r="F328" s="52"/>
      <c r="G328" s="52"/>
      <c r="H328" s="52">
        <v>0</v>
      </c>
      <c r="I328" s="52"/>
      <c r="J328" s="52">
        <v>3.3</v>
      </c>
      <c r="K328" s="52"/>
      <c r="L328" s="52">
        <v>-3.3</v>
      </c>
      <c r="M328" s="52"/>
      <c r="N328" s="52">
        <v>275</v>
      </c>
      <c r="O328" s="52">
        <v>0.38902439024390245</v>
      </c>
      <c r="P328" s="52">
        <v>1.283780487804878</v>
      </c>
      <c r="Q328" s="52">
        <v>-1.283780487804878</v>
      </c>
      <c r="R328" s="52">
        <v>36.961883246701511</v>
      </c>
      <c r="S328" s="52"/>
      <c r="T328" s="52">
        <v>1672.1</v>
      </c>
      <c r="U328" s="52"/>
      <c r="V328" s="52">
        <v>47365.600000000006</v>
      </c>
      <c r="W328" s="52"/>
      <c r="X328" s="52"/>
      <c r="Y328" s="52">
        <v>15.849501221269582</v>
      </c>
    </row>
    <row r="329" spans="1:25" x14ac:dyDescent="0.35">
      <c r="A329" s="54">
        <v>42911</v>
      </c>
      <c r="B329" s="52">
        <v>20.6</v>
      </c>
      <c r="C329" s="52">
        <v>16.5</v>
      </c>
      <c r="D329" s="52">
        <v>24.4</v>
      </c>
      <c r="E329" s="52">
        <f t="shared" si="4"/>
        <v>2728.6999999999994</v>
      </c>
      <c r="F329" s="52"/>
      <c r="G329" s="52"/>
      <c r="H329" s="52">
        <v>0</v>
      </c>
      <c r="I329" s="52"/>
      <c r="J329" s="52">
        <v>5</v>
      </c>
      <c r="K329" s="52"/>
      <c r="L329" s="52">
        <v>-5</v>
      </c>
      <c r="M329" s="52"/>
      <c r="N329" s="52">
        <v>276</v>
      </c>
      <c r="O329" s="52">
        <v>0.36951219512195121</v>
      </c>
      <c r="P329" s="52">
        <v>1.8475609756097562</v>
      </c>
      <c r="Q329" s="52">
        <v>-1.8475609756097562</v>
      </c>
      <c r="R329" s="52">
        <v>35.114322271091751</v>
      </c>
      <c r="S329" s="52"/>
      <c r="T329" s="52">
        <v>2284.3000000000002</v>
      </c>
      <c r="U329" s="52"/>
      <c r="V329" s="52">
        <v>49649.900000000009</v>
      </c>
      <c r="W329" s="52"/>
      <c r="X329" s="52"/>
      <c r="Y329" s="52">
        <v>15.844953512415767</v>
      </c>
    </row>
    <row r="330" spans="1:25" x14ac:dyDescent="0.35">
      <c r="A330" s="54">
        <v>42912</v>
      </c>
      <c r="B330" s="52">
        <v>20.100000000000001</v>
      </c>
      <c r="C330" s="52">
        <v>16.100000000000001</v>
      </c>
      <c r="D330" s="52">
        <v>24.8</v>
      </c>
      <c r="E330" s="52">
        <f t="shared" si="4"/>
        <v>2748.7999999999993</v>
      </c>
      <c r="F330" s="52"/>
      <c r="G330" s="52"/>
      <c r="H330" s="52">
        <v>0</v>
      </c>
      <c r="I330" s="52"/>
      <c r="J330" s="52">
        <v>3.3</v>
      </c>
      <c r="K330" s="52"/>
      <c r="L330" s="52">
        <v>-3.3</v>
      </c>
      <c r="M330" s="52"/>
      <c r="N330" s="52">
        <v>277</v>
      </c>
      <c r="O330" s="52">
        <v>0.35</v>
      </c>
      <c r="P330" s="52">
        <v>1.1549999999999998</v>
      </c>
      <c r="Q330" s="52">
        <v>-1.1549999999999998</v>
      </c>
      <c r="R330" s="52">
        <v>33.95932227109175</v>
      </c>
      <c r="S330" s="52"/>
      <c r="T330" s="52">
        <v>1487.8</v>
      </c>
      <c r="U330" s="52"/>
      <c r="V330" s="52">
        <v>51137.700000000012</v>
      </c>
      <c r="W330" s="52"/>
      <c r="X330" s="52"/>
      <c r="Y330" s="52">
        <v>15.839013294469575</v>
      </c>
    </row>
    <row r="331" spans="1:25" x14ac:dyDescent="0.35">
      <c r="A331" s="54">
        <v>42913</v>
      </c>
      <c r="B331" s="52">
        <v>16.399999999999999</v>
      </c>
      <c r="C331" s="52">
        <v>15.7</v>
      </c>
      <c r="D331" s="52">
        <v>17.2</v>
      </c>
      <c r="E331" s="52">
        <f t="shared" si="4"/>
        <v>2765.1999999999994</v>
      </c>
      <c r="F331" s="52"/>
      <c r="G331" s="52"/>
      <c r="H331" s="52">
        <v>5.7</v>
      </c>
      <c r="I331" s="52"/>
      <c r="J331" s="52">
        <v>1</v>
      </c>
      <c r="K331" s="52"/>
      <c r="L331" s="52">
        <v>4.7</v>
      </c>
      <c r="M331" s="52"/>
      <c r="N331" s="52">
        <v>278</v>
      </c>
      <c r="O331" s="52"/>
      <c r="P331" s="52">
        <v>0</v>
      </c>
      <c r="Q331" s="52">
        <v>5.7</v>
      </c>
      <c r="R331" s="52">
        <v>39.659322271091753</v>
      </c>
      <c r="S331" s="52"/>
      <c r="T331" s="52">
        <v>518.70000000000005</v>
      </c>
      <c r="U331" s="52"/>
      <c r="V331" s="52">
        <v>51656.400000000009</v>
      </c>
      <c r="W331" s="52"/>
      <c r="X331" s="52"/>
      <c r="Y331" s="52"/>
    </row>
    <row r="332" spans="1:25" x14ac:dyDescent="0.35">
      <c r="A332" s="54">
        <v>42914</v>
      </c>
      <c r="B332" s="52">
        <v>17.2</v>
      </c>
      <c r="C332" s="52">
        <v>16.100000000000001</v>
      </c>
      <c r="D332" s="52">
        <v>21.1</v>
      </c>
      <c r="E332" s="52">
        <f t="shared" si="4"/>
        <v>2782.3999999999992</v>
      </c>
      <c r="F332" s="52"/>
      <c r="G332" s="52"/>
      <c r="H332" s="52">
        <v>0.8</v>
      </c>
      <c r="I332" s="52"/>
      <c r="J332" s="52">
        <v>3.8</v>
      </c>
      <c r="K332" s="52"/>
      <c r="L332" s="52">
        <v>-3</v>
      </c>
      <c r="M332" s="52"/>
      <c r="N332" s="52">
        <v>279</v>
      </c>
      <c r="O332" s="52"/>
      <c r="P332" s="52">
        <v>0</v>
      </c>
      <c r="Q332" s="52">
        <v>0.8</v>
      </c>
      <c r="R332" s="52">
        <v>40.45932227109175</v>
      </c>
      <c r="S332" s="52"/>
      <c r="T332" s="52">
        <v>1875.9</v>
      </c>
      <c r="U332" s="52"/>
      <c r="V332" s="52">
        <v>53532.30000000001</v>
      </c>
      <c r="W332" s="52"/>
      <c r="X332" s="52"/>
      <c r="Y332" s="52"/>
    </row>
    <row r="333" spans="1:25" x14ac:dyDescent="0.35">
      <c r="A333" s="54">
        <v>42915</v>
      </c>
      <c r="B333" s="52">
        <v>15</v>
      </c>
      <c r="C333" s="52">
        <v>11.7</v>
      </c>
      <c r="D333" s="52">
        <v>18.3</v>
      </c>
      <c r="E333" s="52">
        <f t="shared" si="4"/>
        <v>2797.3999999999992</v>
      </c>
      <c r="F333" s="52"/>
      <c r="G333" s="52"/>
      <c r="H333" s="52">
        <v>7</v>
      </c>
      <c r="I333" s="52"/>
      <c r="J333" s="52">
        <v>2.4</v>
      </c>
      <c r="K333" s="52"/>
      <c r="L333" s="52">
        <v>4.5999999999999996</v>
      </c>
      <c r="M333" s="52"/>
      <c r="N333" s="52">
        <v>280</v>
      </c>
      <c r="O333" s="52"/>
      <c r="P333" s="52">
        <v>0</v>
      </c>
      <c r="Q333" s="52">
        <v>7</v>
      </c>
      <c r="R333" s="52">
        <v>47.45932227109175</v>
      </c>
      <c r="S333" s="52"/>
      <c r="T333" s="52">
        <v>1291.5999999999999</v>
      </c>
      <c r="U333" s="52"/>
      <c r="V333" s="52">
        <v>54823.900000000009</v>
      </c>
      <c r="W333" s="52"/>
      <c r="X333" s="52"/>
      <c r="Y333" s="52"/>
    </row>
    <row r="334" spans="1:25" x14ac:dyDescent="0.35">
      <c r="A334" s="54">
        <v>42916</v>
      </c>
      <c r="B334" s="52">
        <v>14</v>
      </c>
      <c r="C334" s="52">
        <v>12.7</v>
      </c>
      <c r="D334" s="52">
        <v>15.2</v>
      </c>
      <c r="E334" s="52">
        <f t="shared" si="4"/>
        <v>2811.3999999999992</v>
      </c>
      <c r="F334" s="52"/>
      <c r="G334" s="52"/>
      <c r="H334" s="52">
        <v>5.9</v>
      </c>
      <c r="I334" s="52"/>
      <c r="J334" s="52">
        <v>1.1000000000000001</v>
      </c>
      <c r="K334" s="52"/>
      <c r="L334" s="52">
        <v>4.8000000000000007</v>
      </c>
      <c r="M334" s="52"/>
      <c r="N334" s="52">
        <v>281</v>
      </c>
      <c r="O334" s="52"/>
      <c r="P334" s="52">
        <v>0</v>
      </c>
      <c r="Q334" s="52">
        <v>5.9</v>
      </c>
      <c r="R334" s="52">
        <v>53.359322271091749</v>
      </c>
      <c r="S334" s="52"/>
      <c r="T334" s="52">
        <v>513.4</v>
      </c>
      <c r="U334" s="52"/>
      <c r="V334" s="52">
        <v>55337.30000000001</v>
      </c>
      <c r="W334" s="52"/>
      <c r="X334" s="52"/>
      <c r="Y334" s="52"/>
    </row>
    <row r="335" spans="1:25" x14ac:dyDescent="0.35">
      <c r="A335" s="54">
        <v>42917</v>
      </c>
      <c r="B335" s="52">
        <v>15.6</v>
      </c>
      <c r="C335" s="52">
        <v>13.6</v>
      </c>
      <c r="D335" s="52">
        <v>19.5</v>
      </c>
      <c r="E335" s="52">
        <f t="shared" si="4"/>
        <v>2826.9999999999991</v>
      </c>
      <c r="F335" s="52"/>
      <c r="G335" s="52"/>
      <c r="H335" s="52">
        <v>0.3</v>
      </c>
      <c r="I335" s="52"/>
      <c r="J335" s="52">
        <v>1.9</v>
      </c>
      <c r="K335" s="52"/>
      <c r="L335" s="52">
        <v>-1.5999999999999999</v>
      </c>
      <c r="M335" s="52"/>
      <c r="N335" s="52">
        <v>282</v>
      </c>
      <c r="O335" s="52"/>
      <c r="P335" s="52">
        <v>0</v>
      </c>
      <c r="Q335" s="52">
        <v>0.3</v>
      </c>
      <c r="R335" s="52">
        <v>53.659322271091746</v>
      </c>
      <c r="S335" s="52"/>
      <c r="T335" s="52">
        <v>714.4</v>
      </c>
      <c r="U335" s="52"/>
      <c r="V335" s="52">
        <v>56051.700000000012</v>
      </c>
      <c r="W335" s="52"/>
      <c r="X335" s="52"/>
      <c r="Y335" s="52"/>
    </row>
    <row r="336" spans="1:25" x14ac:dyDescent="0.35">
      <c r="A336" s="54">
        <v>42918</v>
      </c>
      <c r="B336" s="52">
        <v>17.7</v>
      </c>
      <c r="C336" s="52">
        <v>12.3</v>
      </c>
      <c r="D336" s="52">
        <v>21.4</v>
      </c>
      <c r="E336" s="52">
        <f t="shared" si="4"/>
        <v>2844.6999999999989</v>
      </c>
      <c r="F336" s="52"/>
      <c r="G336" s="52"/>
      <c r="H336" s="52">
        <v>0.1</v>
      </c>
      <c r="I336" s="52"/>
      <c r="J336" s="52">
        <v>1.3</v>
      </c>
      <c r="K336" s="52"/>
      <c r="L336" s="52">
        <v>-1.2</v>
      </c>
      <c r="M336" s="52"/>
      <c r="N336" s="52">
        <v>283</v>
      </c>
      <c r="O336" s="52"/>
      <c r="P336" s="52">
        <v>0</v>
      </c>
      <c r="Q336" s="52">
        <v>0.1</v>
      </c>
      <c r="R336" s="52">
        <v>53.759322271091747</v>
      </c>
      <c r="S336" s="52"/>
      <c r="T336" s="52">
        <v>739.5</v>
      </c>
      <c r="U336" s="52"/>
      <c r="V336" s="52">
        <v>56791.200000000012</v>
      </c>
      <c r="W336" s="52"/>
      <c r="X336" s="52"/>
      <c r="Y336" s="52"/>
    </row>
    <row r="337" spans="1:25" x14ac:dyDescent="0.35">
      <c r="A337" s="54">
        <v>42919</v>
      </c>
      <c r="B337" s="52">
        <v>18</v>
      </c>
      <c r="C337" s="52">
        <v>15.5</v>
      </c>
      <c r="D337" s="52">
        <v>21.8</v>
      </c>
      <c r="E337" s="52">
        <f t="shared" si="4"/>
        <v>2862.6999999999989</v>
      </c>
      <c r="F337" s="52"/>
      <c r="G337" s="52"/>
      <c r="H337" s="52">
        <v>0</v>
      </c>
      <c r="I337" s="52"/>
      <c r="J337" s="52">
        <v>3.2</v>
      </c>
      <c r="K337" s="52"/>
      <c r="L337" s="52">
        <v>-3.2</v>
      </c>
      <c r="M337" s="52"/>
      <c r="N337" s="52">
        <v>284</v>
      </c>
      <c r="O337" s="52"/>
      <c r="P337" s="52">
        <v>0</v>
      </c>
      <c r="Q337" s="52">
        <v>0</v>
      </c>
      <c r="R337" s="52">
        <v>53.759322271091747</v>
      </c>
      <c r="S337" s="52"/>
      <c r="T337" s="52">
        <v>1609.9</v>
      </c>
      <c r="U337" s="52"/>
      <c r="V337" s="52">
        <v>58401.100000000013</v>
      </c>
      <c r="W337" s="52"/>
      <c r="X337" s="52"/>
      <c r="Y337" s="52"/>
    </row>
    <row r="338" spans="1:25" x14ac:dyDescent="0.35">
      <c r="A338" s="54">
        <v>42920</v>
      </c>
      <c r="B338" s="52">
        <v>19.899999999999999</v>
      </c>
      <c r="C338" s="52">
        <v>12.6</v>
      </c>
      <c r="D338" s="52">
        <v>25.7</v>
      </c>
      <c r="E338" s="52">
        <f t="shared" si="4"/>
        <v>2882.599999999999</v>
      </c>
      <c r="F338" s="52"/>
      <c r="G338" s="52"/>
      <c r="H338" s="52">
        <v>0</v>
      </c>
      <c r="I338" s="52"/>
      <c r="J338" s="52">
        <v>5.7</v>
      </c>
      <c r="K338" s="52"/>
      <c r="L338" s="52">
        <v>-5.7</v>
      </c>
      <c r="M338" s="52"/>
      <c r="N338" s="52">
        <v>285</v>
      </c>
      <c r="O338" s="52"/>
      <c r="P338" s="52">
        <v>0</v>
      </c>
      <c r="Q338" s="52">
        <v>0</v>
      </c>
      <c r="R338" s="52">
        <v>53.759322271091747</v>
      </c>
      <c r="S338" s="52"/>
      <c r="T338" s="52">
        <v>3064.2</v>
      </c>
      <c r="U338" s="52"/>
      <c r="V338" s="52">
        <v>61465.30000000001</v>
      </c>
      <c r="W338" s="52"/>
      <c r="X338" s="52"/>
      <c r="Y338" s="52"/>
    </row>
    <row r="339" spans="1:25" x14ac:dyDescent="0.35">
      <c r="A339" s="54">
        <v>42921</v>
      </c>
      <c r="B339" s="52">
        <v>24.3</v>
      </c>
      <c r="C339" s="52">
        <v>15.9</v>
      </c>
      <c r="D339" s="52">
        <v>31.5</v>
      </c>
      <c r="E339" s="52">
        <f t="shared" si="4"/>
        <v>2906.8999999999992</v>
      </c>
      <c r="F339" s="52"/>
      <c r="G339" s="52"/>
      <c r="H339" s="52">
        <v>0</v>
      </c>
      <c r="I339" s="52"/>
      <c r="J339" s="52">
        <v>4.2</v>
      </c>
      <c r="K339" s="52"/>
      <c r="L339" s="52">
        <v>-4.2</v>
      </c>
      <c r="M339" s="52"/>
      <c r="N339" s="52">
        <v>286</v>
      </c>
      <c r="O339" s="52"/>
      <c r="P339" s="52">
        <v>0</v>
      </c>
      <c r="Q339" s="52">
        <v>0</v>
      </c>
      <c r="R339" s="52">
        <v>53.759322271091747</v>
      </c>
      <c r="S339" s="52"/>
      <c r="T339" s="52">
        <v>1705.6</v>
      </c>
      <c r="U339" s="52"/>
      <c r="V339" s="52">
        <v>63170.900000000009</v>
      </c>
      <c r="W339" s="52"/>
      <c r="X339" s="52"/>
      <c r="Y339" s="52"/>
    </row>
    <row r="340" spans="1:25" x14ac:dyDescent="0.35">
      <c r="A340" s="54">
        <v>42922</v>
      </c>
      <c r="B340" s="52">
        <v>23.9</v>
      </c>
      <c r="C340" s="52">
        <v>20.399999999999999</v>
      </c>
      <c r="D340" s="52">
        <v>28.9</v>
      </c>
      <c r="E340" s="52">
        <f t="shared" si="4"/>
        <v>2930.7999999999993</v>
      </c>
      <c r="F340" s="52"/>
      <c r="G340" s="52"/>
      <c r="H340" s="52">
        <v>0</v>
      </c>
      <c r="I340" s="52"/>
      <c r="J340" s="52">
        <v>4.5</v>
      </c>
      <c r="K340" s="52"/>
      <c r="L340" s="52">
        <v>-4.5</v>
      </c>
      <c r="M340" s="52"/>
      <c r="N340" s="52">
        <v>287</v>
      </c>
      <c r="O340" s="52"/>
      <c r="P340" s="52">
        <v>0</v>
      </c>
      <c r="Q340" s="52">
        <v>0</v>
      </c>
      <c r="R340" s="52">
        <v>53.759322271091747</v>
      </c>
      <c r="S340" s="52"/>
      <c r="T340" s="52">
        <v>1763.7</v>
      </c>
      <c r="U340" s="52"/>
      <c r="V340" s="52">
        <v>64934.600000000006</v>
      </c>
      <c r="W340" s="52"/>
      <c r="X340" s="52"/>
      <c r="Y340" s="52"/>
    </row>
    <row r="341" spans="1:25" x14ac:dyDescent="0.35">
      <c r="A341" s="54">
        <v>42923</v>
      </c>
      <c r="B341" s="52">
        <v>21.7</v>
      </c>
      <c r="C341" s="52">
        <v>16.600000000000001</v>
      </c>
      <c r="D341" s="52">
        <v>28.6</v>
      </c>
      <c r="E341" s="52">
        <f t="shared" si="4"/>
        <v>2952.4999999999991</v>
      </c>
      <c r="F341" s="52"/>
      <c r="G341" s="52"/>
      <c r="H341" s="52">
        <v>0</v>
      </c>
      <c r="I341" s="52"/>
      <c r="J341" s="52">
        <v>6.9</v>
      </c>
      <c r="K341" s="52"/>
      <c r="L341" s="52">
        <v>-6.9</v>
      </c>
      <c r="M341" s="52"/>
      <c r="N341" s="52">
        <v>288</v>
      </c>
      <c r="O341" s="52"/>
      <c r="P341" s="52">
        <v>0</v>
      </c>
      <c r="Q341" s="52">
        <v>0</v>
      </c>
      <c r="R341" s="52">
        <v>53.759322271091747</v>
      </c>
      <c r="S341" s="52"/>
      <c r="T341" s="52">
        <v>3138.6</v>
      </c>
      <c r="U341" s="52"/>
      <c r="V341" s="52">
        <v>68073.200000000012</v>
      </c>
      <c r="W341" s="52"/>
      <c r="X341" s="52"/>
      <c r="Y341" s="52"/>
    </row>
    <row r="342" spans="1:25" x14ac:dyDescent="0.35">
      <c r="A342" s="54">
        <v>42924</v>
      </c>
      <c r="B342" s="52">
        <v>21.5</v>
      </c>
      <c r="C342" s="52">
        <v>15.6</v>
      </c>
      <c r="D342" s="52">
        <v>27.2</v>
      </c>
      <c r="E342" s="52">
        <f t="shared" si="4"/>
        <v>2973.9999999999991</v>
      </c>
      <c r="F342" s="52"/>
      <c r="G342" s="52"/>
      <c r="H342" s="52">
        <v>0</v>
      </c>
      <c r="I342" s="52"/>
      <c r="J342" s="52">
        <v>6.1</v>
      </c>
      <c r="K342" s="52"/>
      <c r="L342" s="52">
        <v>-6.1</v>
      </c>
      <c r="M342" s="52"/>
      <c r="N342" s="52">
        <v>289</v>
      </c>
      <c r="O342" s="52"/>
      <c r="P342" s="52">
        <v>0</v>
      </c>
      <c r="Q342" s="52">
        <v>0</v>
      </c>
      <c r="R342" s="52">
        <v>53.759322271091747</v>
      </c>
      <c r="S342" s="52"/>
      <c r="T342" s="52">
        <v>2881.2</v>
      </c>
      <c r="U342" s="52"/>
      <c r="V342" s="52">
        <v>70954.400000000009</v>
      </c>
      <c r="W342" s="52"/>
      <c r="X342" s="52"/>
      <c r="Y342" s="52"/>
    </row>
    <row r="343" spans="1:25" x14ac:dyDescent="0.35">
      <c r="A343" s="54">
        <v>42925</v>
      </c>
      <c r="B343" s="52">
        <v>20.9</v>
      </c>
      <c r="C343" s="52">
        <v>16.2</v>
      </c>
      <c r="D343" s="52">
        <v>27.5</v>
      </c>
      <c r="E343" s="52">
        <f t="shared" si="4"/>
        <v>2994.8999999999992</v>
      </c>
      <c r="F343" s="52"/>
      <c r="G343" s="52"/>
      <c r="H343" s="52">
        <v>3.9</v>
      </c>
      <c r="I343" s="52"/>
      <c r="J343" s="52">
        <v>5.0999999999999996</v>
      </c>
      <c r="K343" s="52"/>
      <c r="L343" s="52">
        <v>-1.1999999999999997</v>
      </c>
      <c r="M343" s="52"/>
      <c r="N343" s="52">
        <v>290</v>
      </c>
      <c r="O343" s="52"/>
      <c r="P343" s="52">
        <v>0</v>
      </c>
      <c r="Q343" s="52">
        <v>3.9</v>
      </c>
      <c r="R343" s="52">
        <v>57.659322271091746</v>
      </c>
      <c r="S343" s="52"/>
      <c r="T343" s="52">
        <v>1953.1</v>
      </c>
      <c r="U343" s="52"/>
      <c r="V343" s="52">
        <v>72907.500000000015</v>
      </c>
      <c r="W343" s="52"/>
      <c r="X343" s="52"/>
      <c r="Y343" s="52"/>
    </row>
    <row r="344" spans="1:25" x14ac:dyDescent="0.35">
      <c r="A344" s="54">
        <v>42926</v>
      </c>
      <c r="B344" s="52">
        <v>18.8</v>
      </c>
      <c r="C344" s="52">
        <v>15.4</v>
      </c>
      <c r="D344" s="52">
        <v>22.4</v>
      </c>
      <c r="E344" s="52">
        <f t="shared" si="4"/>
        <v>3013.6999999999994</v>
      </c>
      <c r="F344" s="52"/>
      <c r="G344" s="52"/>
      <c r="H344" s="52">
        <v>1.2</v>
      </c>
      <c r="I344" s="52"/>
      <c r="J344" s="52">
        <v>2.9</v>
      </c>
      <c r="K344" s="52"/>
      <c r="L344" s="52">
        <v>-1.7</v>
      </c>
      <c r="M344" s="52"/>
      <c r="N344" s="52">
        <v>291</v>
      </c>
      <c r="O344" s="52"/>
      <c r="P344" s="52">
        <v>0</v>
      </c>
      <c r="Q344" s="52">
        <v>1.2</v>
      </c>
      <c r="R344" s="52">
        <v>58.859322271091749</v>
      </c>
      <c r="S344" s="52"/>
      <c r="T344" s="52">
        <v>1350.5</v>
      </c>
      <c r="U344" s="52"/>
      <c r="V344" s="52">
        <v>74258.000000000015</v>
      </c>
      <c r="W344" s="52"/>
      <c r="X344" s="52"/>
      <c r="Y344" s="52"/>
    </row>
    <row r="345" spans="1:25" x14ac:dyDescent="0.35">
      <c r="A345" s="54">
        <v>42927</v>
      </c>
      <c r="B345" s="52">
        <v>17.8</v>
      </c>
      <c r="C345" s="52">
        <v>15.5</v>
      </c>
      <c r="D345" s="52">
        <v>20.2</v>
      </c>
      <c r="E345" s="52">
        <f t="shared" si="4"/>
        <v>3031.4999999999995</v>
      </c>
      <c r="F345" s="52"/>
      <c r="G345" s="52"/>
      <c r="H345" s="52">
        <v>2.7</v>
      </c>
      <c r="I345" s="52"/>
      <c r="J345" s="52">
        <v>2.7</v>
      </c>
      <c r="K345" s="52"/>
      <c r="L345" s="52">
        <v>0</v>
      </c>
      <c r="M345" s="52"/>
      <c r="N345" s="52">
        <v>292</v>
      </c>
      <c r="O345" s="52"/>
      <c r="P345" s="52">
        <v>0</v>
      </c>
      <c r="Q345" s="52">
        <v>2.7</v>
      </c>
      <c r="R345" s="52">
        <v>61.559322271091752</v>
      </c>
      <c r="S345" s="52"/>
      <c r="T345" s="52">
        <v>1213.7</v>
      </c>
      <c r="U345" s="52"/>
      <c r="V345" s="52">
        <v>75471.700000000012</v>
      </c>
      <c r="W345" s="52"/>
      <c r="X345" s="52"/>
      <c r="Y345" s="52"/>
    </row>
    <row r="346" spans="1:25" x14ac:dyDescent="0.35">
      <c r="A346" s="54">
        <v>42928</v>
      </c>
      <c r="B346" s="52">
        <v>18.3</v>
      </c>
      <c r="C346" s="52">
        <v>16.7</v>
      </c>
      <c r="D346" s="52">
        <v>19.600000000000001</v>
      </c>
      <c r="E346" s="52">
        <f t="shared" si="4"/>
        <v>3049.7999999999997</v>
      </c>
      <c r="F346" s="52"/>
      <c r="G346" s="52"/>
      <c r="H346" s="52">
        <v>0</v>
      </c>
      <c r="I346" s="52"/>
      <c r="J346" s="52">
        <v>1.4</v>
      </c>
      <c r="K346" s="52"/>
      <c r="L346" s="52">
        <v>-1.4</v>
      </c>
      <c r="M346" s="52"/>
      <c r="N346" s="52">
        <v>293</v>
      </c>
      <c r="O346" s="52"/>
      <c r="P346" s="52">
        <v>0</v>
      </c>
      <c r="Q346" s="52">
        <v>0</v>
      </c>
      <c r="R346" s="52">
        <v>61.559322271091752</v>
      </c>
      <c r="S346" s="52"/>
      <c r="T346" s="52">
        <v>608.9</v>
      </c>
      <c r="U346" s="52"/>
      <c r="V346" s="52">
        <v>76080.600000000006</v>
      </c>
      <c r="W346" s="52"/>
      <c r="X346" s="52"/>
      <c r="Y346" s="52"/>
    </row>
    <row r="347" spans="1:25" x14ac:dyDescent="0.35">
      <c r="A347" s="54">
        <v>42929</v>
      </c>
      <c r="B347" s="52">
        <v>18.8</v>
      </c>
      <c r="C347" s="52">
        <v>17</v>
      </c>
      <c r="D347" s="52">
        <v>23.1</v>
      </c>
      <c r="E347" s="52">
        <f t="shared" si="4"/>
        <v>3068.6</v>
      </c>
      <c r="F347" s="52"/>
      <c r="G347" s="52"/>
      <c r="H347" s="52">
        <v>0</v>
      </c>
      <c r="I347" s="52"/>
      <c r="J347" s="52">
        <v>4.0999999999999996</v>
      </c>
      <c r="K347" s="52"/>
      <c r="L347" s="52">
        <v>-4.0999999999999996</v>
      </c>
      <c r="M347" s="52"/>
      <c r="N347" s="52">
        <v>294</v>
      </c>
      <c r="O347" s="52"/>
      <c r="P347" s="52">
        <v>0</v>
      </c>
      <c r="Q347" s="52">
        <v>0</v>
      </c>
      <c r="R347" s="52">
        <v>61.559322271091752</v>
      </c>
      <c r="S347" s="52"/>
      <c r="T347" s="52">
        <v>1774.5</v>
      </c>
      <c r="U347" s="52"/>
      <c r="V347" s="52">
        <v>77855.100000000006</v>
      </c>
      <c r="W347" s="52"/>
      <c r="X347" s="52"/>
      <c r="Y347" s="52"/>
    </row>
    <row r="348" spans="1:25" x14ac:dyDescent="0.35">
      <c r="A348" s="54">
        <v>42930</v>
      </c>
      <c r="B348" s="52">
        <v>16.399999999999999</v>
      </c>
      <c r="C348" s="52">
        <v>12.4</v>
      </c>
      <c r="D348" s="52">
        <v>20.3</v>
      </c>
      <c r="E348" s="52">
        <f t="shared" si="4"/>
        <v>3085</v>
      </c>
      <c r="F348" s="52"/>
      <c r="G348" s="52"/>
      <c r="H348" s="52">
        <v>0</v>
      </c>
      <c r="I348" s="52"/>
      <c r="J348" s="52">
        <v>2.8</v>
      </c>
      <c r="K348" s="52"/>
      <c r="L348" s="52">
        <v>-2.8</v>
      </c>
      <c r="M348" s="52"/>
      <c r="N348" s="52">
        <v>295</v>
      </c>
      <c r="O348" s="52"/>
      <c r="P348" s="52">
        <v>0</v>
      </c>
      <c r="Q348" s="52">
        <v>0</v>
      </c>
      <c r="R348" s="52">
        <v>61.559322271091752</v>
      </c>
      <c r="S348" s="52"/>
      <c r="T348" s="52">
        <v>1350.2</v>
      </c>
      <c r="U348" s="52"/>
      <c r="V348" s="52">
        <v>79205.3</v>
      </c>
      <c r="W348" s="52"/>
      <c r="X348" s="52"/>
      <c r="Y348" s="52"/>
    </row>
    <row r="349" spans="1:25" x14ac:dyDescent="0.35">
      <c r="A349" s="54">
        <v>42931</v>
      </c>
      <c r="B349" s="52">
        <v>18.600000000000001</v>
      </c>
      <c r="C349" s="52">
        <v>10.8</v>
      </c>
      <c r="D349" s="52">
        <v>24.5</v>
      </c>
      <c r="E349" s="52">
        <f t="shared" si="4"/>
        <v>3103.6</v>
      </c>
      <c r="F349" s="52"/>
      <c r="G349" s="52"/>
      <c r="H349" s="52">
        <v>0</v>
      </c>
      <c r="I349" s="52"/>
      <c r="J349" s="52">
        <v>5.2</v>
      </c>
      <c r="K349" s="52"/>
      <c r="L349" s="52">
        <v>-5.2</v>
      </c>
      <c r="M349" s="52"/>
      <c r="N349" s="52">
        <v>296</v>
      </c>
      <c r="O349" s="52"/>
      <c r="P349" s="52">
        <v>0</v>
      </c>
      <c r="Q349" s="52">
        <v>0</v>
      </c>
      <c r="R349" s="52">
        <v>61.559322271091752</v>
      </c>
      <c r="S349" s="52"/>
      <c r="T349" s="52">
        <v>2729.3</v>
      </c>
      <c r="U349" s="52"/>
      <c r="V349" s="52">
        <v>81934.600000000006</v>
      </c>
      <c r="W349" s="52"/>
      <c r="X349" s="52"/>
      <c r="Y349" s="52"/>
    </row>
    <row r="350" spans="1:25" x14ac:dyDescent="0.35">
      <c r="A350" s="54">
        <v>42932</v>
      </c>
      <c r="B350" s="52">
        <v>19.399999999999999</v>
      </c>
      <c r="C350" s="52">
        <v>14.1</v>
      </c>
      <c r="D350" s="52">
        <v>23.8</v>
      </c>
      <c r="E350" s="52">
        <f t="shared" si="4"/>
        <v>3123</v>
      </c>
      <c r="F350" s="52"/>
      <c r="G350" s="52"/>
      <c r="H350" s="52">
        <v>0</v>
      </c>
      <c r="I350" s="52"/>
      <c r="J350" s="52">
        <v>1.8</v>
      </c>
      <c r="K350" s="52"/>
      <c r="L350" s="52">
        <v>-1.8</v>
      </c>
      <c r="M350" s="52"/>
      <c r="N350" s="52">
        <v>297</v>
      </c>
      <c r="O350" s="52"/>
      <c r="P350" s="52">
        <v>0</v>
      </c>
      <c r="Q350" s="52">
        <v>0</v>
      </c>
      <c r="R350" s="52">
        <v>61.559322271091752</v>
      </c>
      <c r="S350" s="52"/>
      <c r="T350" s="52">
        <v>754.5</v>
      </c>
      <c r="U350" s="52"/>
      <c r="V350" s="52">
        <v>82689.100000000006</v>
      </c>
      <c r="W350" s="52"/>
      <c r="X350" s="52"/>
      <c r="Y350" s="52"/>
    </row>
    <row r="351" spans="1:25" x14ac:dyDescent="0.35">
      <c r="A351" s="54">
        <v>42933</v>
      </c>
      <c r="B351" s="52">
        <v>23.4</v>
      </c>
      <c r="C351" s="52">
        <v>16.8</v>
      </c>
      <c r="D351" s="52">
        <v>29.4</v>
      </c>
      <c r="E351" s="52">
        <f t="shared" si="4"/>
        <v>3146.4</v>
      </c>
      <c r="F351" s="52"/>
      <c r="G351" s="52"/>
      <c r="H351" s="52">
        <v>0</v>
      </c>
      <c r="I351" s="52"/>
      <c r="J351" s="52">
        <v>5</v>
      </c>
      <c r="K351" s="52"/>
      <c r="L351" s="52">
        <v>-5</v>
      </c>
      <c r="M351" s="52"/>
      <c r="N351" s="52">
        <v>298</v>
      </c>
      <c r="O351" s="52"/>
      <c r="P351" s="52">
        <v>0</v>
      </c>
      <c r="Q351" s="52">
        <v>0</v>
      </c>
      <c r="R351" s="52">
        <v>61.559322271091752</v>
      </c>
      <c r="S351" s="52"/>
      <c r="T351" s="52">
        <v>2124.9</v>
      </c>
      <c r="U351" s="52"/>
      <c r="V351" s="52">
        <v>84814</v>
      </c>
      <c r="W351" s="52"/>
      <c r="X351" s="52"/>
      <c r="Y351" s="52"/>
    </row>
    <row r="352" spans="1:25" x14ac:dyDescent="0.35">
      <c r="A352" s="54">
        <v>42934</v>
      </c>
      <c r="B352" s="52">
        <v>24.2</v>
      </c>
      <c r="C352" s="52">
        <v>21.2</v>
      </c>
      <c r="D352" s="52">
        <v>31.9</v>
      </c>
      <c r="E352" s="52">
        <f t="shared" si="4"/>
        <v>3170.6</v>
      </c>
      <c r="F352" s="52"/>
      <c r="G352" s="52"/>
      <c r="H352" s="52">
        <v>2.7</v>
      </c>
      <c r="I352" s="52"/>
      <c r="J352" s="52">
        <v>3.7</v>
      </c>
      <c r="K352" s="52"/>
      <c r="L352" s="52">
        <v>-1</v>
      </c>
      <c r="M352" s="52"/>
      <c r="N352" s="52">
        <v>299</v>
      </c>
      <c r="O352" s="52"/>
      <c r="P352" s="52">
        <v>0</v>
      </c>
      <c r="Q352" s="52">
        <v>2.7</v>
      </c>
      <c r="R352" s="52">
        <v>64.259322271091747</v>
      </c>
      <c r="S352" s="52"/>
      <c r="T352" s="52">
        <v>808.9</v>
      </c>
      <c r="U352" s="52"/>
      <c r="V352" s="52">
        <v>85622.9</v>
      </c>
      <c r="W352" s="52"/>
      <c r="X352" s="52"/>
      <c r="Y352" s="52"/>
    </row>
    <row r="353" spans="1:25" x14ac:dyDescent="0.35">
      <c r="A353" s="54">
        <v>42935</v>
      </c>
      <c r="B353" s="52">
        <v>20.399999999999999</v>
      </c>
      <c r="C353" s="52">
        <v>19.3</v>
      </c>
      <c r="D353" s="52">
        <v>21.6</v>
      </c>
      <c r="E353" s="52">
        <f t="shared" si="4"/>
        <v>3191</v>
      </c>
      <c r="F353" s="52"/>
      <c r="G353" s="52"/>
      <c r="H353" s="52">
        <v>0.4</v>
      </c>
      <c r="I353" s="52"/>
      <c r="J353" s="52">
        <v>1.6</v>
      </c>
      <c r="K353" s="52"/>
      <c r="L353" s="52">
        <v>-1.2000000000000002</v>
      </c>
      <c r="M353" s="52"/>
      <c r="N353" s="52">
        <v>300</v>
      </c>
      <c r="O353" s="52"/>
      <c r="P353" s="52">
        <v>0</v>
      </c>
      <c r="Q353" s="52">
        <v>0.4</v>
      </c>
      <c r="R353" s="52">
        <v>64.659322271091753</v>
      </c>
      <c r="S353" s="52"/>
      <c r="T353" s="52">
        <v>563.29999999999995</v>
      </c>
      <c r="U353" s="52"/>
      <c r="V353" s="52">
        <v>86186.2</v>
      </c>
      <c r="W353" s="52"/>
      <c r="X353" s="52"/>
      <c r="Y353" s="52"/>
    </row>
    <row r="354" spans="1:25" x14ac:dyDescent="0.35">
      <c r="A354" s="54">
        <v>42936</v>
      </c>
      <c r="B354" s="52">
        <v>17.399999999999999</v>
      </c>
      <c r="C354" s="52">
        <v>15</v>
      </c>
      <c r="D354" s="52">
        <v>20.6</v>
      </c>
      <c r="E354" s="52">
        <f t="shared" si="4"/>
        <v>3208.4</v>
      </c>
      <c r="F354" s="52"/>
      <c r="G354" s="52"/>
      <c r="H354" s="52">
        <v>0</v>
      </c>
      <c r="I354" s="52"/>
      <c r="J354" s="52">
        <v>2.2999999999999998</v>
      </c>
      <c r="K354" s="52"/>
      <c r="L354" s="52">
        <v>-2.2999999999999998</v>
      </c>
      <c r="M354" s="52"/>
      <c r="N354" s="52">
        <v>301</v>
      </c>
      <c r="O354" s="52"/>
      <c r="P354" s="52">
        <v>0</v>
      </c>
      <c r="Q354" s="52">
        <v>0</v>
      </c>
      <c r="R354" s="52">
        <v>64.659322271091753</v>
      </c>
      <c r="S354" s="52"/>
      <c r="T354" s="52">
        <v>691.3</v>
      </c>
      <c r="U354" s="52"/>
      <c r="V354" s="52">
        <v>86877.5</v>
      </c>
      <c r="W354" s="52"/>
      <c r="X354" s="52"/>
      <c r="Y354" s="52"/>
    </row>
    <row r="355" spans="1:25" x14ac:dyDescent="0.35">
      <c r="A355" s="54">
        <v>42937</v>
      </c>
      <c r="B355" s="52">
        <v>16.399999999999999</v>
      </c>
      <c r="C355" s="52">
        <v>11.9</v>
      </c>
      <c r="D355" s="52">
        <v>19.600000000000001</v>
      </c>
      <c r="E355" s="52">
        <f t="shared" si="4"/>
        <v>3224.8</v>
      </c>
      <c r="F355" s="52"/>
      <c r="G355" s="52"/>
      <c r="H355" s="52">
        <v>8.6</v>
      </c>
      <c r="I355" s="52"/>
      <c r="J355" s="52">
        <v>2</v>
      </c>
      <c r="K355" s="52"/>
      <c r="L355" s="52">
        <v>6.6</v>
      </c>
      <c r="M355" s="52"/>
      <c r="N355" s="52">
        <v>302</v>
      </c>
      <c r="O355" s="52"/>
      <c r="P355" s="52">
        <v>0</v>
      </c>
      <c r="Q355" s="52">
        <v>8.6</v>
      </c>
      <c r="R355" s="52">
        <v>73.259322271091747</v>
      </c>
      <c r="S355" s="52"/>
      <c r="T355" s="52">
        <v>985.4</v>
      </c>
      <c r="U355" s="52"/>
      <c r="V355" s="52">
        <v>87862.9</v>
      </c>
      <c r="W355" s="52"/>
      <c r="X355" s="52"/>
      <c r="Y355" s="52"/>
    </row>
    <row r="356" spans="1:25" x14ac:dyDescent="0.35">
      <c r="A356" s="54">
        <v>42938</v>
      </c>
      <c r="B356" s="52">
        <v>15.1</v>
      </c>
      <c r="C356" s="52">
        <v>13.1</v>
      </c>
      <c r="D356" s="52">
        <v>18.3</v>
      </c>
      <c r="E356" s="52">
        <f t="shared" si="4"/>
        <v>3239.9</v>
      </c>
      <c r="F356" s="52"/>
      <c r="G356" s="52"/>
      <c r="H356" s="52">
        <v>3.3</v>
      </c>
      <c r="I356" s="52"/>
      <c r="J356" s="52">
        <v>1.7</v>
      </c>
      <c r="K356" s="52"/>
      <c r="L356" s="52">
        <v>1.5999999999999999</v>
      </c>
      <c r="M356" s="52"/>
      <c r="N356" s="52">
        <v>303</v>
      </c>
      <c r="O356" s="52"/>
      <c r="P356" s="52">
        <v>0</v>
      </c>
      <c r="Q356" s="52">
        <v>3.3</v>
      </c>
      <c r="R356" s="52">
        <v>76.559322271091744</v>
      </c>
      <c r="S356" s="52"/>
      <c r="T356" s="52">
        <v>852.6</v>
      </c>
      <c r="U356" s="52"/>
      <c r="V356" s="52">
        <v>88715.5</v>
      </c>
      <c r="W356" s="52"/>
      <c r="X356" s="52"/>
      <c r="Y356" s="52"/>
    </row>
    <row r="357" spans="1:25" x14ac:dyDescent="0.35">
      <c r="A357" s="54">
        <v>42939</v>
      </c>
      <c r="B357" s="52">
        <v>14.5</v>
      </c>
      <c r="C357" s="52">
        <v>13.4</v>
      </c>
      <c r="D357" s="52">
        <v>15.5</v>
      </c>
      <c r="E357" s="52">
        <f t="shared" si="4"/>
        <v>3254.4</v>
      </c>
      <c r="F357" s="52"/>
      <c r="G357" s="52"/>
      <c r="H357" s="52">
        <v>8.4</v>
      </c>
      <c r="I357" s="52"/>
      <c r="J357" s="52">
        <v>1.2</v>
      </c>
      <c r="K357" s="52"/>
      <c r="L357" s="52">
        <v>7.2</v>
      </c>
      <c r="M357" s="52"/>
      <c r="N357" s="52">
        <v>304</v>
      </c>
      <c r="O357" s="52"/>
      <c r="P357" s="52">
        <v>0</v>
      </c>
      <c r="Q357" s="52">
        <v>8.4</v>
      </c>
      <c r="R357" s="52">
        <v>84.95932227109175</v>
      </c>
      <c r="S357" s="52"/>
      <c r="T357" s="52">
        <v>668.8</v>
      </c>
      <c r="U357" s="52"/>
      <c r="V357" s="52">
        <v>89384.3</v>
      </c>
      <c r="W357" s="52"/>
      <c r="X357" s="52"/>
      <c r="Y357" s="52"/>
    </row>
    <row r="358" spans="1:25" x14ac:dyDescent="0.35">
      <c r="A358" s="54">
        <v>42940</v>
      </c>
      <c r="B358" s="52">
        <v>16.899999999999999</v>
      </c>
      <c r="C358" s="52">
        <v>12.8</v>
      </c>
      <c r="D358" s="52">
        <v>21.5</v>
      </c>
      <c r="E358" s="52">
        <f t="shared" si="4"/>
        <v>3271.3</v>
      </c>
      <c r="F358" s="52"/>
      <c r="G358" s="52"/>
      <c r="H358" s="52">
        <v>0</v>
      </c>
      <c r="I358" s="52"/>
      <c r="J358" s="52">
        <v>2.5</v>
      </c>
      <c r="K358" s="52"/>
      <c r="L358" s="52">
        <v>-2.5</v>
      </c>
      <c r="M358" s="52"/>
      <c r="N358" s="52">
        <v>305</v>
      </c>
      <c r="O358" s="52"/>
      <c r="P358" s="52">
        <v>0</v>
      </c>
      <c r="Q358" s="52">
        <v>0</v>
      </c>
      <c r="R358" s="52">
        <v>84.95932227109175</v>
      </c>
      <c r="S358" s="52"/>
      <c r="T358" s="52">
        <v>1202.0999999999999</v>
      </c>
      <c r="U358" s="52"/>
      <c r="V358" s="52">
        <v>90586.400000000009</v>
      </c>
      <c r="W358" s="52"/>
      <c r="X358" s="52"/>
      <c r="Y358" s="52"/>
    </row>
    <row r="359" spans="1:25" x14ac:dyDescent="0.35">
      <c r="A359" s="54">
        <v>42941</v>
      </c>
      <c r="B359" s="52">
        <v>18.7</v>
      </c>
      <c r="C359" s="52">
        <v>14</v>
      </c>
      <c r="D359" s="52">
        <v>22.9</v>
      </c>
      <c r="E359" s="52">
        <f t="shared" si="4"/>
        <v>3290</v>
      </c>
      <c r="F359" s="52"/>
      <c r="G359" s="52"/>
      <c r="H359" s="52">
        <v>2.6</v>
      </c>
      <c r="I359" s="52"/>
      <c r="J359" s="52">
        <v>3.1</v>
      </c>
      <c r="K359" s="52"/>
      <c r="L359" s="52">
        <v>-0.5</v>
      </c>
      <c r="M359" s="52"/>
      <c r="N359" s="52">
        <v>306</v>
      </c>
      <c r="O359" s="52"/>
      <c r="P359" s="52">
        <v>0</v>
      </c>
      <c r="Q359" s="52">
        <v>2.6</v>
      </c>
      <c r="R359" s="52">
        <v>87.559322271091744</v>
      </c>
      <c r="S359" s="52"/>
      <c r="T359" s="52">
        <v>1600.4</v>
      </c>
      <c r="U359" s="52"/>
      <c r="V359" s="52">
        <v>92186.8</v>
      </c>
      <c r="W359" s="52"/>
      <c r="X359" s="52"/>
      <c r="Y359" s="52"/>
    </row>
    <row r="360" spans="1:25" x14ac:dyDescent="0.35">
      <c r="A360" s="54">
        <v>42942</v>
      </c>
      <c r="B360" s="52">
        <v>18</v>
      </c>
      <c r="C360" s="52">
        <v>16.5</v>
      </c>
      <c r="D360" s="52">
        <v>19.600000000000001</v>
      </c>
      <c r="E360" s="52">
        <f t="shared" si="4"/>
        <v>3308</v>
      </c>
      <c r="F360" s="52"/>
      <c r="G360" s="52"/>
      <c r="H360" s="52">
        <v>4.2</v>
      </c>
      <c r="I360" s="52"/>
      <c r="J360" s="52">
        <v>1.1000000000000001</v>
      </c>
      <c r="K360" s="52"/>
      <c r="L360" s="52">
        <v>3.1</v>
      </c>
      <c r="M360" s="52"/>
      <c r="N360" s="52">
        <v>307</v>
      </c>
      <c r="O360" s="52"/>
      <c r="P360" s="52">
        <v>0</v>
      </c>
      <c r="Q360" s="52">
        <v>4.2</v>
      </c>
      <c r="R360" s="52">
        <v>91.759322271091747</v>
      </c>
      <c r="S360" s="52"/>
      <c r="T360" s="52">
        <v>498.8</v>
      </c>
      <c r="U360" s="52"/>
      <c r="V360" s="52">
        <v>92685.6</v>
      </c>
      <c r="W360" s="52"/>
      <c r="X360" s="52"/>
      <c r="Y360" s="52"/>
    </row>
    <row r="361" spans="1:25" x14ac:dyDescent="0.35">
      <c r="A361" s="54">
        <v>42943</v>
      </c>
      <c r="B361" s="52">
        <v>17.8</v>
      </c>
      <c r="C361" s="52">
        <v>14.6</v>
      </c>
      <c r="D361" s="52">
        <v>20.8</v>
      </c>
      <c r="E361" s="52">
        <f t="shared" si="4"/>
        <v>3325.8</v>
      </c>
      <c r="F361" s="52"/>
      <c r="G361" s="52"/>
      <c r="H361" s="52">
        <v>0</v>
      </c>
      <c r="I361" s="52"/>
      <c r="J361" s="52">
        <v>3.3</v>
      </c>
      <c r="K361" s="52"/>
      <c r="L361" s="52">
        <v>-3.3</v>
      </c>
      <c r="M361" s="52"/>
      <c r="N361" s="52">
        <v>308</v>
      </c>
      <c r="O361" s="52"/>
      <c r="P361" s="52">
        <v>0</v>
      </c>
      <c r="Q361" s="52">
        <v>0</v>
      </c>
      <c r="R361" s="52">
        <v>91.759322271091747</v>
      </c>
      <c r="S361" s="52"/>
      <c r="T361" s="52">
        <v>1877.2</v>
      </c>
      <c r="U361" s="52"/>
      <c r="V361" s="52">
        <v>94562.8</v>
      </c>
      <c r="W361" s="52"/>
      <c r="X361" s="52"/>
      <c r="Y361" s="52"/>
    </row>
    <row r="362" spans="1:25" x14ac:dyDescent="0.35">
      <c r="A362" s="54">
        <v>42944</v>
      </c>
      <c r="B362" s="52">
        <v>18</v>
      </c>
      <c r="C362" s="52">
        <v>14.1</v>
      </c>
      <c r="D362" s="52">
        <v>20.5</v>
      </c>
      <c r="E362" s="52">
        <f t="shared" si="4"/>
        <v>3343.8</v>
      </c>
      <c r="F362" s="52"/>
      <c r="G362" s="52"/>
      <c r="H362" s="52">
        <v>0.3</v>
      </c>
      <c r="I362" s="52"/>
      <c r="J362" s="52">
        <v>3.2</v>
      </c>
      <c r="K362" s="52"/>
      <c r="L362" s="52">
        <v>-2.9000000000000004</v>
      </c>
      <c r="M362" s="52"/>
      <c r="N362" s="52">
        <v>309</v>
      </c>
      <c r="O362" s="52"/>
      <c r="P362" s="52">
        <v>0</v>
      </c>
      <c r="Q362" s="52">
        <v>0.3</v>
      </c>
      <c r="R362" s="52">
        <v>92.059322271091744</v>
      </c>
      <c r="S362" s="52"/>
      <c r="T362" s="52">
        <v>1702.2</v>
      </c>
      <c r="U362" s="52"/>
      <c r="V362" s="52">
        <v>96265</v>
      </c>
      <c r="W362" s="52"/>
      <c r="X362" s="52"/>
      <c r="Y362" s="52"/>
    </row>
    <row r="363" spans="1:25" x14ac:dyDescent="0.35">
      <c r="A363" s="54">
        <v>42945</v>
      </c>
      <c r="B363" s="52">
        <v>19.7</v>
      </c>
      <c r="C363" s="52">
        <v>17.3</v>
      </c>
      <c r="D363" s="52">
        <v>21.5</v>
      </c>
      <c r="E363" s="52">
        <f t="shared" si="4"/>
        <v>3363.5</v>
      </c>
      <c r="F363" s="52"/>
      <c r="G363" s="52"/>
      <c r="H363" s="52">
        <v>0.6</v>
      </c>
      <c r="I363" s="52"/>
      <c r="J363" s="52">
        <v>1.6</v>
      </c>
      <c r="K363" s="52"/>
      <c r="L363" s="52">
        <v>-1</v>
      </c>
      <c r="M363" s="52"/>
      <c r="N363" s="52">
        <v>310</v>
      </c>
      <c r="O363" s="52"/>
      <c r="P363" s="52">
        <v>0</v>
      </c>
      <c r="Q363" s="52">
        <v>0.6</v>
      </c>
      <c r="R363" s="52">
        <v>92.659322271091739</v>
      </c>
      <c r="S363" s="52"/>
      <c r="T363" s="52">
        <v>556.9</v>
      </c>
      <c r="U363" s="52"/>
      <c r="V363" s="52">
        <v>96821.9</v>
      </c>
      <c r="W363" s="52"/>
      <c r="X363" s="52"/>
      <c r="Y363" s="52"/>
    </row>
    <row r="364" spans="1:25" x14ac:dyDescent="0.35">
      <c r="A364" s="54">
        <v>42946</v>
      </c>
      <c r="B364" s="52">
        <v>18</v>
      </c>
      <c r="C364" s="52">
        <v>15.5</v>
      </c>
      <c r="D364" s="52">
        <v>21.1</v>
      </c>
      <c r="E364" s="52">
        <f t="shared" si="4"/>
        <v>3381.5</v>
      </c>
      <c r="F364" s="52"/>
      <c r="G364" s="52"/>
      <c r="H364" s="52">
        <v>0</v>
      </c>
      <c r="I364" s="52"/>
      <c r="J364" s="52">
        <v>3.3</v>
      </c>
      <c r="K364" s="52"/>
      <c r="L364" s="52">
        <v>-3.3</v>
      </c>
      <c r="M364" s="52"/>
      <c r="N364" s="52">
        <v>311</v>
      </c>
      <c r="O364" s="52"/>
      <c r="P364" s="52">
        <v>0</v>
      </c>
      <c r="Q364" s="52">
        <v>0</v>
      </c>
      <c r="R364" s="52">
        <v>92.659322271091739</v>
      </c>
      <c r="S364" s="52"/>
      <c r="T364" s="52">
        <v>1386.1</v>
      </c>
      <c r="U364" s="52"/>
      <c r="V364" s="52">
        <v>98208</v>
      </c>
      <c r="W364" s="52"/>
      <c r="X364" s="52"/>
      <c r="Y364" s="52"/>
    </row>
    <row r="365" spans="1:25" x14ac:dyDescent="0.35">
      <c r="A365" s="54">
        <v>42947</v>
      </c>
      <c r="B365" s="52">
        <v>17.5</v>
      </c>
      <c r="C365" s="52">
        <v>13.2</v>
      </c>
      <c r="D365" s="52">
        <v>21.7</v>
      </c>
      <c r="E365" s="52">
        <f t="shared" si="4"/>
        <v>3399</v>
      </c>
      <c r="F365" s="52"/>
      <c r="G365" s="52"/>
      <c r="H365" s="52">
        <v>0</v>
      </c>
      <c r="I365" s="52"/>
      <c r="J365" s="52">
        <v>3.2</v>
      </c>
      <c r="K365" s="52"/>
      <c r="L365" s="52">
        <v>-3.2</v>
      </c>
      <c r="M365" s="52"/>
      <c r="N365" s="52">
        <v>312</v>
      </c>
      <c r="O365" s="52"/>
      <c r="P365" s="52">
        <v>0</v>
      </c>
      <c r="Q365" s="52">
        <v>0</v>
      </c>
      <c r="R365" s="52">
        <v>92.659322271091739</v>
      </c>
      <c r="S365" s="52"/>
      <c r="T365" s="52">
        <v>1755.7</v>
      </c>
      <c r="U365" s="52"/>
      <c r="V365" s="52">
        <v>99963.7</v>
      </c>
      <c r="W365" s="52"/>
      <c r="X365" s="52"/>
      <c r="Y365" s="52"/>
    </row>
  </sheetData>
  <conditionalFormatting sqref="B2:D365">
    <cfRule type="cellIs" dxfId="6" priority="3" operator="lessThan">
      <formula>0</formula>
    </cfRule>
    <cfRule type="cellIs" dxfId="5" priority="4" operator="between">
      <formula>5</formula>
      <formula>0</formula>
    </cfRule>
    <cfRule type="cellIs" dxfId="4" priority="5" operator="greaterThanOrEqual">
      <formula>25</formula>
    </cfRule>
  </conditionalFormatting>
  <conditionalFormatting sqref="Y54:Y330">
    <cfRule type="cellIs" dxfId="0" priority="1" operator="lessThan">
      <formula>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368"/>
  <sheetViews>
    <sheetView zoomScale="80" zoomScaleNormal="80" workbookViewId="0">
      <selection activeCell="AA339" sqref="AA339"/>
    </sheetView>
  </sheetViews>
  <sheetFormatPr baseColWidth="10" defaultRowHeight="14.5" x14ac:dyDescent="0.35"/>
  <cols>
    <col min="27" max="27" width="11.453125" customWidth="1"/>
  </cols>
  <sheetData>
    <row r="2" spans="1:26" s="2" customFormat="1" x14ac:dyDescent="0.35">
      <c r="O2" s="2" t="s">
        <v>27</v>
      </c>
      <c r="P2" s="2">
        <v>197.4</v>
      </c>
      <c r="Q2" s="3" t="s">
        <v>28</v>
      </c>
      <c r="R2" s="2">
        <f>P2/3</f>
        <v>65.8</v>
      </c>
    </row>
    <row r="3" spans="1:26" s="2" customFormat="1" x14ac:dyDescent="0.35">
      <c r="G3" s="45" t="s">
        <v>24</v>
      </c>
      <c r="H3" s="45"/>
      <c r="I3" s="45"/>
      <c r="J3" s="45"/>
      <c r="K3" s="45"/>
      <c r="L3" s="45"/>
      <c r="M3" s="45" t="s">
        <v>25</v>
      </c>
      <c r="N3" s="45"/>
      <c r="O3" s="45"/>
      <c r="P3" s="45"/>
      <c r="Q3" s="45"/>
      <c r="R3" s="45"/>
      <c r="S3" s="45"/>
      <c r="T3" s="45"/>
      <c r="U3" s="45"/>
      <c r="V3" s="45"/>
      <c r="W3" s="45" t="s">
        <v>26</v>
      </c>
      <c r="X3" s="45"/>
      <c r="Y3" s="45"/>
      <c r="Z3" s="45"/>
    </row>
    <row r="4" spans="1:26" s="2" customFormat="1" x14ac:dyDescent="0.35">
      <c r="A4" s="2" t="s">
        <v>0</v>
      </c>
      <c r="B4" s="2" t="s">
        <v>1</v>
      </c>
      <c r="C4" s="2" t="s">
        <v>2</v>
      </c>
      <c r="D4" s="2" t="s">
        <v>9</v>
      </c>
      <c r="E4" s="2" t="s">
        <v>10</v>
      </c>
      <c r="F4" s="2" t="s">
        <v>11</v>
      </c>
      <c r="G4" s="2" t="s">
        <v>4</v>
      </c>
      <c r="H4" s="2" t="s">
        <v>7</v>
      </c>
      <c r="I4" s="2" t="s">
        <v>8</v>
      </c>
      <c r="J4" s="2" t="s">
        <v>12</v>
      </c>
      <c r="K4" s="2" t="s">
        <v>13</v>
      </c>
      <c r="L4" s="2" t="s">
        <v>14</v>
      </c>
      <c r="M4" s="2" t="s">
        <v>3</v>
      </c>
      <c r="N4" s="2" t="s">
        <v>6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14</v>
      </c>
      <c r="W4" s="2" t="s">
        <v>5</v>
      </c>
      <c r="X4" s="2" t="s">
        <v>22</v>
      </c>
      <c r="Y4" s="2" t="s">
        <v>23</v>
      </c>
      <c r="Z4" s="2" t="s">
        <v>14</v>
      </c>
    </row>
    <row r="5" spans="1:26" x14ac:dyDescent="0.35">
      <c r="A5">
        <v>2920</v>
      </c>
      <c r="B5">
        <v>23610</v>
      </c>
      <c r="C5" s="1">
        <v>42584</v>
      </c>
      <c r="G5">
        <v>19.8</v>
      </c>
      <c r="H5">
        <v>17.100000000000001</v>
      </c>
      <c r="I5">
        <v>21.4</v>
      </c>
      <c r="M5">
        <v>0</v>
      </c>
      <c r="N5">
        <v>2.5</v>
      </c>
      <c r="O5">
        <f>M5-N5</f>
        <v>-2.5</v>
      </c>
      <c r="P5">
        <v>0</v>
      </c>
      <c r="S5">
        <f>R5*N5</f>
        <v>0</v>
      </c>
      <c r="T5">
        <f>M5-S5</f>
        <v>0</v>
      </c>
      <c r="W5">
        <v>933.4</v>
      </c>
    </row>
    <row r="6" spans="1:26" x14ac:dyDescent="0.35">
      <c r="A6">
        <v>2920</v>
      </c>
      <c r="B6">
        <v>23610</v>
      </c>
      <c r="C6" s="1">
        <v>42585</v>
      </c>
      <c r="G6">
        <v>18.899999999999999</v>
      </c>
      <c r="H6">
        <v>18.7</v>
      </c>
      <c r="I6">
        <v>20.399999999999999</v>
      </c>
      <c r="M6">
        <v>1.7</v>
      </c>
      <c r="N6">
        <v>1.8</v>
      </c>
      <c r="O6">
        <f t="shared" ref="O6:O69" si="0">M6-N6</f>
        <v>-0.10000000000000009</v>
      </c>
      <c r="P6">
        <v>0</v>
      </c>
      <c r="S6">
        <f t="shared" ref="S6:S69" si="1">R6*N6</f>
        <v>0</v>
      </c>
      <c r="T6">
        <f t="shared" ref="T6:T69" si="2">M6-S6</f>
        <v>1.7</v>
      </c>
      <c r="W6">
        <v>760.3</v>
      </c>
    </row>
    <row r="7" spans="1:26" x14ac:dyDescent="0.35">
      <c r="A7">
        <v>2920</v>
      </c>
      <c r="B7">
        <v>23610</v>
      </c>
      <c r="C7" s="1">
        <v>42586</v>
      </c>
      <c r="G7">
        <v>16.399999999999999</v>
      </c>
      <c r="H7">
        <v>14</v>
      </c>
      <c r="I7">
        <v>20.8</v>
      </c>
      <c r="M7">
        <v>0.4</v>
      </c>
      <c r="N7">
        <v>2.2000000000000002</v>
      </c>
      <c r="O7">
        <f t="shared" si="0"/>
        <v>-1.8000000000000003</v>
      </c>
      <c r="P7">
        <v>0</v>
      </c>
      <c r="S7">
        <f t="shared" si="1"/>
        <v>0</v>
      </c>
      <c r="T7">
        <f t="shared" si="2"/>
        <v>0.4</v>
      </c>
      <c r="W7">
        <v>1133.5999999999999</v>
      </c>
    </row>
    <row r="8" spans="1:26" x14ac:dyDescent="0.35">
      <c r="A8">
        <v>2920</v>
      </c>
      <c r="B8">
        <v>23610</v>
      </c>
      <c r="C8" s="1">
        <v>42587</v>
      </c>
      <c r="G8">
        <v>16.899999999999999</v>
      </c>
      <c r="H8">
        <v>11.9</v>
      </c>
      <c r="I8">
        <v>21.1</v>
      </c>
      <c r="M8">
        <v>0</v>
      </c>
      <c r="N8">
        <v>3.5</v>
      </c>
      <c r="O8">
        <f t="shared" si="0"/>
        <v>-3.5</v>
      </c>
      <c r="P8">
        <v>0</v>
      </c>
      <c r="S8">
        <f t="shared" si="1"/>
        <v>0</v>
      </c>
      <c r="T8">
        <f t="shared" si="2"/>
        <v>0</v>
      </c>
      <c r="W8">
        <v>1944.1</v>
      </c>
    </row>
    <row r="9" spans="1:26" x14ac:dyDescent="0.35">
      <c r="A9">
        <v>2920</v>
      </c>
      <c r="B9">
        <v>23610</v>
      </c>
      <c r="C9" s="1">
        <v>42588</v>
      </c>
      <c r="G9">
        <v>18.7</v>
      </c>
      <c r="H9">
        <v>13.7</v>
      </c>
      <c r="I9">
        <v>23.4</v>
      </c>
      <c r="M9">
        <v>0</v>
      </c>
      <c r="N9">
        <v>2.9</v>
      </c>
      <c r="O9">
        <f t="shared" si="0"/>
        <v>-2.9</v>
      </c>
      <c r="P9">
        <v>0</v>
      </c>
      <c r="S9">
        <f t="shared" si="1"/>
        <v>0</v>
      </c>
      <c r="T9">
        <f t="shared" si="2"/>
        <v>0</v>
      </c>
      <c r="W9">
        <v>1364.9</v>
      </c>
    </row>
    <row r="10" spans="1:26" x14ac:dyDescent="0.35">
      <c r="A10">
        <v>2920</v>
      </c>
      <c r="B10">
        <v>23610</v>
      </c>
      <c r="C10" s="1">
        <v>42589</v>
      </c>
      <c r="G10">
        <v>21</v>
      </c>
      <c r="H10">
        <v>14.5</v>
      </c>
      <c r="I10">
        <v>27.1</v>
      </c>
      <c r="M10">
        <v>0</v>
      </c>
      <c r="N10">
        <v>4.9000000000000004</v>
      </c>
      <c r="O10">
        <f t="shared" si="0"/>
        <v>-4.9000000000000004</v>
      </c>
      <c r="P10">
        <v>0</v>
      </c>
      <c r="S10">
        <f t="shared" si="1"/>
        <v>0</v>
      </c>
      <c r="T10">
        <f t="shared" si="2"/>
        <v>0</v>
      </c>
      <c r="W10">
        <v>2277.1</v>
      </c>
    </row>
    <row r="11" spans="1:26" x14ac:dyDescent="0.35">
      <c r="A11">
        <v>2920</v>
      </c>
      <c r="B11">
        <v>23610</v>
      </c>
      <c r="C11" s="1">
        <v>42590</v>
      </c>
      <c r="G11">
        <v>17.5</v>
      </c>
      <c r="H11">
        <v>15.2</v>
      </c>
      <c r="I11">
        <v>21.3</v>
      </c>
      <c r="M11">
        <v>0</v>
      </c>
      <c r="N11">
        <v>2</v>
      </c>
      <c r="O11">
        <f t="shared" si="0"/>
        <v>-2</v>
      </c>
      <c r="P11">
        <v>0</v>
      </c>
      <c r="S11">
        <f t="shared" si="1"/>
        <v>0</v>
      </c>
      <c r="T11">
        <f t="shared" si="2"/>
        <v>0</v>
      </c>
      <c r="W11">
        <v>811</v>
      </c>
    </row>
    <row r="12" spans="1:26" x14ac:dyDescent="0.35">
      <c r="A12">
        <v>2920</v>
      </c>
      <c r="B12">
        <v>23610</v>
      </c>
      <c r="C12" s="1">
        <v>42591</v>
      </c>
      <c r="G12">
        <v>15</v>
      </c>
      <c r="H12">
        <v>11.1</v>
      </c>
      <c r="I12">
        <v>19.899999999999999</v>
      </c>
      <c r="M12">
        <v>0</v>
      </c>
      <c r="N12">
        <v>3</v>
      </c>
      <c r="O12">
        <f t="shared" si="0"/>
        <v>-3</v>
      </c>
      <c r="P12">
        <v>0</v>
      </c>
      <c r="S12">
        <f t="shared" si="1"/>
        <v>0</v>
      </c>
      <c r="T12">
        <f t="shared" si="2"/>
        <v>0</v>
      </c>
      <c r="W12">
        <v>1432.6</v>
      </c>
    </row>
    <row r="13" spans="1:26" x14ac:dyDescent="0.35">
      <c r="A13">
        <v>2920</v>
      </c>
      <c r="B13">
        <v>23610</v>
      </c>
      <c r="C13" s="1">
        <v>42592</v>
      </c>
      <c r="G13">
        <v>14.4</v>
      </c>
      <c r="H13">
        <v>10</v>
      </c>
      <c r="I13">
        <v>17.899999999999999</v>
      </c>
      <c r="M13">
        <v>0.2</v>
      </c>
      <c r="N13">
        <v>3</v>
      </c>
      <c r="O13">
        <f t="shared" si="0"/>
        <v>-2.8</v>
      </c>
      <c r="P13">
        <v>0</v>
      </c>
      <c r="S13">
        <f t="shared" si="1"/>
        <v>0</v>
      </c>
      <c r="T13">
        <f t="shared" si="2"/>
        <v>0.2</v>
      </c>
      <c r="W13">
        <v>1804.9</v>
      </c>
    </row>
    <row r="14" spans="1:26" x14ac:dyDescent="0.35">
      <c r="A14">
        <v>2920</v>
      </c>
      <c r="B14">
        <v>23610</v>
      </c>
      <c r="C14" s="1">
        <v>42593</v>
      </c>
      <c r="G14">
        <v>17.8</v>
      </c>
      <c r="H14">
        <v>13.6</v>
      </c>
      <c r="I14">
        <v>22.8</v>
      </c>
      <c r="M14">
        <v>0</v>
      </c>
      <c r="N14">
        <v>2.5</v>
      </c>
      <c r="O14">
        <f t="shared" si="0"/>
        <v>-2.5</v>
      </c>
      <c r="P14">
        <v>0</v>
      </c>
      <c r="S14">
        <f t="shared" si="1"/>
        <v>0</v>
      </c>
      <c r="T14">
        <f t="shared" si="2"/>
        <v>0</v>
      </c>
      <c r="W14">
        <v>996.6</v>
      </c>
    </row>
    <row r="15" spans="1:26" x14ac:dyDescent="0.35">
      <c r="A15">
        <v>2920</v>
      </c>
      <c r="B15">
        <v>23610</v>
      </c>
      <c r="C15" s="1">
        <v>42594</v>
      </c>
      <c r="G15">
        <v>17.600000000000001</v>
      </c>
      <c r="H15">
        <v>9.9</v>
      </c>
      <c r="I15">
        <v>24.6</v>
      </c>
      <c r="M15">
        <v>0</v>
      </c>
      <c r="N15">
        <v>4.8</v>
      </c>
      <c r="O15">
        <f t="shared" si="0"/>
        <v>-4.8</v>
      </c>
      <c r="P15">
        <v>0</v>
      </c>
      <c r="S15">
        <f t="shared" si="1"/>
        <v>0</v>
      </c>
      <c r="T15">
        <f t="shared" si="2"/>
        <v>0</v>
      </c>
      <c r="W15">
        <v>2479.1999999999998</v>
      </c>
    </row>
    <row r="16" spans="1:26" x14ac:dyDescent="0.35">
      <c r="A16">
        <v>2920</v>
      </c>
      <c r="B16">
        <v>23610</v>
      </c>
      <c r="C16" s="1">
        <v>42595</v>
      </c>
      <c r="G16">
        <v>19</v>
      </c>
      <c r="H16">
        <v>12.5</v>
      </c>
      <c r="I16">
        <v>25.6</v>
      </c>
      <c r="M16">
        <v>0</v>
      </c>
      <c r="N16">
        <v>4.4000000000000004</v>
      </c>
      <c r="O16">
        <f t="shared" si="0"/>
        <v>-4.4000000000000004</v>
      </c>
      <c r="P16">
        <v>0</v>
      </c>
      <c r="S16">
        <f t="shared" si="1"/>
        <v>0</v>
      </c>
      <c r="T16">
        <f t="shared" si="2"/>
        <v>0</v>
      </c>
      <c r="W16">
        <v>2053.1</v>
      </c>
    </row>
    <row r="17" spans="1:23" x14ac:dyDescent="0.35">
      <c r="A17">
        <v>2920</v>
      </c>
      <c r="B17">
        <v>23610</v>
      </c>
      <c r="C17" s="1">
        <v>42596</v>
      </c>
      <c r="G17">
        <v>20.2</v>
      </c>
      <c r="H17">
        <v>13.6</v>
      </c>
      <c r="I17">
        <v>26.3</v>
      </c>
      <c r="M17">
        <v>0</v>
      </c>
      <c r="N17">
        <v>5.3</v>
      </c>
      <c r="O17">
        <f t="shared" si="0"/>
        <v>-5.3</v>
      </c>
      <c r="P17">
        <v>0</v>
      </c>
      <c r="S17">
        <f t="shared" si="1"/>
        <v>0</v>
      </c>
      <c r="T17">
        <f t="shared" si="2"/>
        <v>0</v>
      </c>
      <c r="W17">
        <v>2604.6</v>
      </c>
    </row>
    <row r="18" spans="1:23" x14ac:dyDescent="0.35">
      <c r="A18">
        <v>2920</v>
      </c>
      <c r="B18">
        <v>23610</v>
      </c>
      <c r="C18" s="1">
        <v>42597</v>
      </c>
      <c r="G18">
        <v>21.8</v>
      </c>
      <c r="H18">
        <v>14.8</v>
      </c>
      <c r="I18">
        <v>28.1</v>
      </c>
      <c r="M18">
        <v>0</v>
      </c>
      <c r="N18">
        <v>5.8</v>
      </c>
      <c r="O18">
        <f t="shared" si="0"/>
        <v>-5.8</v>
      </c>
      <c r="P18">
        <v>0</v>
      </c>
      <c r="S18">
        <f t="shared" si="1"/>
        <v>0</v>
      </c>
      <c r="T18">
        <f t="shared" si="2"/>
        <v>0</v>
      </c>
      <c r="W18">
        <v>2695.8</v>
      </c>
    </row>
    <row r="19" spans="1:23" x14ac:dyDescent="0.35">
      <c r="A19">
        <v>2920</v>
      </c>
      <c r="B19">
        <v>23610</v>
      </c>
      <c r="C19" s="1">
        <v>42598</v>
      </c>
      <c r="G19">
        <v>21.7</v>
      </c>
      <c r="H19">
        <v>13.8</v>
      </c>
      <c r="I19">
        <v>29.1</v>
      </c>
      <c r="M19">
        <v>0</v>
      </c>
      <c r="N19">
        <v>5.8</v>
      </c>
      <c r="O19">
        <f t="shared" si="0"/>
        <v>-5.8</v>
      </c>
      <c r="P19">
        <v>0</v>
      </c>
      <c r="S19">
        <f t="shared" si="1"/>
        <v>0</v>
      </c>
      <c r="T19">
        <f t="shared" si="2"/>
        <v>0</v>
      </c>
      <c r="W19">
        <v>2668.1</v>
      </c>
    </row>
    <row r="20" spans="1:23" x14ac:dyDescent="0.35">
      <c r="A20">
        <v>2920</v>
      </c>
      <c r="B20">
        <v>23610</v>
      </c>
      <c r="C20" s="1">
        <v>42599</v>
      </c>
      <c r="G20">
        <v>20.9</v>
      </c>
      <c r="H20">
        <v>13.2</v>
      </c>
      <c r="I20">
        <v>29.4</v>
      </c>
      <c r="M20">
        <v>3.2</v>
      </c>
      <c r="N20">
        <v>4.0999999999999996</v>
      </c>
      <c r="O20">
        <f t="shared" si="0"/>
        <v>-0.89999999999999947</v>
      </c>
      <c r="P20">
        <v>0</v>
      </c>
      <c r="S20">
        <f t="shared" si="1"/>
        <v>0</v>
      </c>
      <c r="T20">
        <f t="shared" si="2"/>
        <v>3.2</v>
      </c>
      <c r="W20">
        <v>1653.1</v>
      </c>
    </row>
    <row r="21" spans="1:23" x14ac:dyDescent="0.35">
      <c r="A21">
        <v>2920</v>
      </c>
      <c r="B21">
        <v>23610</v>
      </c>
      <c r="C21" s="1">
        <v>42600</v>
      </c>
      <c r="G21">
        <v>18.899999999999999</v>
      </c>
      <c r="H21">
        <v>16.3</v>
      </c>
      <c r="I21">
        <v>22.2</v>
      </c>
      <c r="M21">
        <v>0.1</v>
      </c>
      <c r="N21">
        <v>1.2</v>
      </c>
      <c r="O21">
        <f t="shared" si="0"/>
        <v>-1.0999999999999999</v>
      </c>
      <c r="P21">
        <v>0</v>
      </c>
      <c r="S21">
        <f t="shared" si="1"/>
        <v>0</v>
      </c>
      <c r="T21">
        <f t="shared" si="2"/>
        <v>0.1</v>
      </c>
      <c r="W21">
        <v>660.2</v>
      </c>
    </row>
    <row r="22" spans="1:23" x14ac:dyDescent="0.35">
      <c r="A22">
        <v>2920</v>
      </c>
      <c r="B22">
        <v>23610</v>
      </c>
      <c r="C22" s="1">
        <v>42601</v>
      </c>
      <c r="G22">
        <v>17.100000000000001</v>
      </c>
      <c r="H22">
        <v>14.6</v>
      </c>
      <c r="I22">
        <v>21</v>
      </c>
      <c r="M22">
        <v>3.3</v>
      </c>
      <c r="N22">
        <v>1.9</v>
      </c>
      <c r="O22">
        <f t="shared" si="0"/>
        <v>1.4</v>
      </c>
      <c r="P22">
        <f>P21+O22</f>
        <v>1.4</v>
      </c>
      <c r="S22">
        <f t="shared" si="1"/>
        <v>0</v>
      </c>
      <c r="T22">
        <f t="shared" si="2"/>
        <v>3.3</v>
      </c>
      <c r="W22">
        <v>832.2</v>
      </c>
    </row>
    <row r="23" spans="1:23" x14ac:dyDescent="0.35">
      <c r="A23">
        <v>2920</v>
      </c>
      <c r="B23">
        <v>23610</v>
      </c>
      <c r="C23" s="1">
        <v>42602</v>
      </c>
      <c r="G23">
        <v>17.7</v>
      </c>
      <c r="H23">
        <v>14.2</v>
      </c>
      <c r="I23">
        <v>22.6</v>
      </c>
      <c r="M23">
        <v>0.2</v>
      </c>
      <c r="N23">
        <v>4.5</v>
      </c>
      <c r="O23">
        <f t="shared" si="0"/>
        <v>-4.3</v>
      </c>
      <c r="P23">
        <v>0</v>
      </c>
      <c r="S23">
        <f t="shared" si="1"/>
        <v>0</v>
      </c>
      <c r="T23">
        <f t="shared" si="2"/>
        <v>0.2</v>
      </c>
      <c r="W23">
        <v>1955.6</v>
      </c>
    </row>
    <row r="24" spans="1:23" x14ac:dyDescent="0.35">
      <c r="A24">
        <v>2920</v>
      </c>
      <c r="B24">
        <v>23610</v>
      </c>
      <c r="C24" s="1">
        <v>42603</v>
      </c>
      <c r="G24">
        <v>17.5</v>
      </c>
      <c r="H24">
        <v>12.2</v>
      </c>
      <c r="I24">
        <v>22.4</v>
      </c>
      <c r="M24">
        <v>0</v>
      </c>
      <c r="N24">
        <v>3.7</v>
      </c>
      <c r="O24">
        <f t="shared" si="0"/>
        <v>-3.7</v>
      </c>
      <c r="P24">
        <v>0</v>
      </c>
      <c r="S24">
        <f t="shared" si="1"/>
        <v>0</v>
      </c>
      <c r="T24">
        <f t="shared" si="2"/>
        <v>0</v>
      </c>
      <c r="W24">
        <v>1829.2</v>
      </c>
    </row>
    <row r="25" spans="1:23" x14ac:dyDescent="0.35">
      <c r="A25">
        <v>2920</v>
      </c>
      <c r="B25">
        <v>23610</v>
      </c>
      <c r="C25" s="1">
        <v>42604</v>
      </c>
      <c r="G25">
        <v>20.3</v>
      </c>
      <c r="H25">
        <v>12.8</v>
      </c>
      <c r="I25">
        <v>27</v>
      </c>
      <c r="M25">
        <v>0</v>
      </c>
      <c r="N25">
        <v>5.0999999999999996</v>
      </c>
      <c r="O25">
        <f t="shared" si="0"/>
        <v>-5.0999999999999996</v>
      </c>
      <c r="P25">
        <v>0</v>
      </c>
      <c r="S25">
        <f t="shared" si="1"/>
        <v>0</v>
      </c>
      <c r="T25">
        <f t="shared" si="2"/>
        <v>0</v>
      </c>
      <c r="W25">
        <v>2384.4</v>
      </c>
    </row>
    <row r="26" spans="1:23" x14ac:dyDescent="0.35">
      <c r="A26">
        <v>2920</v>
      </c>
      <c r="B26">
        <v>23610</v>
      </c>
      <c r="C26" s="1">
        <v>42605</v>
      </c>
      <c r="G26">
        <v>25.3</v>
      </c>
      <c r="H26">
        <v>17.5</v>
      </c>
      <c r="I26">
        <v>33.4</v>
      </c>
      <c r="M26">
        <v>0</v>
      </c>
      <c r="N26">
        <v>6.7</v>
      </c>
      <c r="O26">
        <f t="shared" si="0"/>
        <v>-6.7</v>
      </c>
      <c r="P26">
        <v>0</v>
      </c>
      <c r="S26">
        <f t="shared" si="1"/>
        <v>0</v>
      </c>
      <c r="T26">
        <f t="shared" si="2"/>
        <v>0</v>
      </c>
      <c r="W26">
        <v>2576.9</v>
      </c>
    </row>
    <row r="27" spans="1:23" x14ac:dyDescent="0.35">
      <c r="A27">
        <v>2920</v>
      </c>
      <c r="B27">
        <v>23610</v>
      </c>
      <c r="C27" s="1">
        <v>42606</v>
      </c>
      <c r="G27">
        <v>20.8</v>
      </c>
      <c r="H27">
        <v>15</v>
      </c>
      <c r="I27">
        <v>27.9</v>
      </c>
      <c r="M27">
        <v>0</v>
      </c>
      <c r="N27">
        <v>5</v>
      </c>
      <c r="O27">
        <f t="shared" si="0"/>
        <v>-5</v>
      </c>
      <c r="P27">
        <v>0</v>
      </c>
      <c r="S27">
        <f t="shared" si="1"/>
        <v>0</v>
      </c>
      <c r="T27">
        <f t="shared" si="2"/>
        <v>0</v>
      </c>
      <c r="W27">
        <v>2295.4</v>
      </c>
    </row>
    <row r="28" spans="1:23" x14ac:dyDescent="0.35">
      <c r="A28">
        <v>2920</v>
      </c>
      <c r="B28">
        <v>23610</v>
      </c>
      <c r="C28" s="1">
        <v>42607</v>
      </c>
      <c r="G28">
        <v>23.1</v>
      </c>
      <c r="H28">
        <v>15.8</v>
      </c>
      <c r="I28">
        <v>29.7</v>
      </c>
      <c r="M28">
        <v>0</v>
      </c>
      <c r="N28">
        <v>2.8</v>
      </c>
      <c r="O28">
        <f t="shared" si="0"/>
        <v>-2.8</v>
      </c>
      <c r="P28">
        <v>0</v>
      </c>
      <c r="S28">
        <f t="shared" si="1"/>
        <v>0</v>
      </c>
      <c r="T28">
        <f t="shared" si="2"/>
        <v>0</v>
      </c>
      <c r="W28">
        <v>1208.5</v>
      </c>
    </row>
    <row r="29" spans="1:23" x14ac:dyDescent="0.35">
      <c r="A29">
        <v>2920</v>
      </c>
      <c r="B29">
        <v>23610</v>
      </c>
      <c r="C29" s="1">
        <v>42608</v>
      </c>
      <c r="G29">
        <v>20.8</v>
      </c>
      <c r="H29">
        <v>16.899999999999999</v>
      </c>
      <c r="I29">
        <v>24.8</v>
      </c>
      <c r="M29">
        <v>0</v>
      </c>
      <c r="N29">
        <v>2.5</v>
      </c>
      <c r="O29">
        <f t="shared" si="0"/>
        <v>-2.5</v>
      </c>
      <c r="P29">
        <v>0</v>
      </c>
      <c r="S29">
        <f t="shared" si="1"/>
        <v>0</v>
      </c>
      <c r="T29">
        <f t="shared" si="2"/>
        <v>0</v>
      </c>
      <c r="W29">
        <v>856.8</v>
      </c>
    </row>
    <row r="30" spans="1:23" x14ac:dyDescent="0.35">
      <c r="A30">
        <v>2920</v>
      </c>
      <c r="B30">
        <v>23610</v>
      </c>
      <c r="C30" s="1">
        <v>42609</v>
      </c>
      <c r="G30">
        <v>21.9</v>
      </c>
      <c r="H30">
        <v>14.9</v>
      </c>
      <c r="I30">
        <v>30.7</v>
      </c>
      <c r="M30">
        <v>0</v>
      </c>
      <c r="N30">
        <v>5.5</v>
      </c>
      <c r="O30">
        <f t="shared" si="0"/>
        <v>-5.5</v>
      </c>
      <c r="P30">
        <v>0</v>
      </c>
      <c r="S30">
        <f t="shared" si="1"/>
        <v>0</v>
      </c>
      <c r="T30">
        <f t="shared" si="2"/>
        <v>0</v>
      </c>
      <c r="W30">
        <v>2275.3000000000002</v>
      </c>
    </row>
    <row r="31" spans="1:23" x14ac:dyDescent="0.35">
      <c r="A31">
        <v>2920</v>
      </c>
      <c r="B31">
        <v>23610</v>
      </c>
      <c r="C31" s="1">
        <v>42610</v>
      </c>
      <c r="G31">
        <v>19.2</v>
      </c>
      <c r="H31">
        <v>15.7</v>
      </c>
      <c r="I31">
        <v>24.3</v>
      </c>
      <c r="M31">
        <v>0</v>
      </c>
      <c r="N31">
        <v>3.3</v>
      </c>
      <c r="O31">
        <f t="shared" si="0"/>
        <v>-3.3</v>
      </c>
      <c r="P31">
        <v>0</v>
      </c>
      <c r="S31">
        <f t="shared" si="1"/>
        <v>0</v>
      </c>
      <c r="T31">
        <f t="shared" si="2"/>
        <v>0</v>
      </c>
      <c r="W31">
        <v>1251.5999999999999</v>
      </c>
    </row>
    <row r="32" spans="1:23" x14ac:dyDescent="0.35">
      <c r="A32">
        <v>2920</v>
      </c>
      <c r="B32">
        <v>23610</v>
      </c>
      <c r="C32" s="1">
        <v>42611</v>
      </c>
      <c r="G32">
        <v>18.899999999999999</v>
      </c>
      <c r="H32">
        <v>16.399999999999999</v>
      </c>
      <c r="I32">
        <v>23.4</v>
      </c>
      <c r="M32">
        <v>0.2</v>
      </c>
      <c r="N32">
        <v>3.6</v>
      </c>
      <c r="O32">
        <f t="shared" si="0"/>
        <v>-3.4</v>
      </c>
      <c r="P32">
        <v>0</v>
      </c>
      <c r="S32">
        <f t="shared" si="1"/>
        <v>0</v>
      </c>
      <c r="T32">
        <f t="shared" si="2"/>
        <v>0.2</v>
      </c>
      <c r="W32">
        <v>1249.0999999999999</v>
      </c>
    </row>
    <row r="33" spans="1:23" x14ac:dyDescent="0.35">
      <c r="A33">
        <v>2920</v>
      </c>
      <c r="B33">
        <v>23610</v>
      </c>
      <c r="C33" s="1">
        <v>42612</v>
      </c>
      <c r="G33">
        <v>18.600000000000001</v>
      </c>
      <c r="H33">
        <v>12.8</v>
      </c>
      <c r="I33">
        <v>24.3</v>
      </c>
      <c r="M33">
        <v>0.1</v>
      </c>
      <c r="N33">
        <v>3.6</v>
      </c>
      <c r="O33">
        <f t="shared" si="0"/>
        <v>-3.5</v>
      </c>
      <c r="P33">
        <v>0</v>
      </c>
      <c r="S33">
        <f t="shared" si="1"/>
        <v>0</v>
      </c>
      <c r="T33">
        <f t="shared" si="2"/>
        <v>0.1</v>
      </c>
      <c r="W33">
        <v>1749.6</v>
      </c>
    </row>
    <row r="34" spans="1:23" x14ac:dyDescent="0.35">
      <c r="A34">
        <v>2920</v>
      </c>
      <c r="B34">
        <v>23610</v>
      </c>
      <c r="C34" s="1">
        <v>42613</v>
      </c>
      <c r="G34">
        <v>19</v>
      </c>
      <c r="H34">
        <v>13.7</v>
      </c>
      <c r="I34">
        <v>25.6</v>
      </c>
      <c r="M34">
        <v>0</v>
      </c>
      <c r="N34">
        <v>4.2</v>
      </c>
      <c r="O34">
        <f t="shared" si="0"/>
        <v>-4.2</v>
      </c>
      <c r="P34">
        <v>0</v>
      </c>
      <c r="S34">
        <f t="shared" si="1"/>
        <v>0</v>
      </c>
      <c r="T34">
        <f t="shared" si="2"/>
        <v>0</v>
      </c>
      <c r="W34">
        <v>1919.2</v>
      </c>
    </row>
    <row r="35" spans="1:23" x14ac:dyDescent="0.35">
      <c r="A35">
        <v>2920</v>
      </c>
      <c r="B35">
        <v>23610</v>
      </c>
      <c r="C35" s="1">
        <v>42614</v>
      </c>
      <c r="G35">
        <v>18.899999999999999</v>
      </c>
      <c r="H35">
        <v>13.5</v>
      </c>
      <c r="I35">
        <v>24.1</v>
      </c>
      <c r="M35">
        <v>0</v>
      </c>
      <c r="N35">
        <v>3.3</v>
      </c>
      <c r="O35">
        <f t="shared" si="0"/>
        <v>-3.3</v>
      </c>
      <c r="P35">
        <v>0</v>
      </c>
      <c r="S35">
        <f t="shared" si="1"/>
        <v>0</v>
      </c>
      <c r="T35">
        <f t="shared" si="2"/>
        <v>0</v>
      </c>
      <c r="W35">
        <v>1694.7</v>
      </c>
    </row>
    <row r="36" spans="1:23" x14ac:dyDescent="0.35">
      <c r="A36">
        <v>2920</v>
      </c>
      <c r="B36">
        <v>23610</v>
      </c>
      <c r="C36" s="1">
        <v>42615</v>
      </c>
      <c r="G36">
        <v>18.100000000000001</v>
      </c>
      <c r="H36">
        <v>10.6</v>
      </c>
      <c r="I36">
        <v>24.7</v>
      </c>
      <c r="M36">
        <v>0</v>
      </c>
      <c r="N36">
        <v>3.6</v>
      </c>
      <c r="O36">
        <f t="shared" si="0"/>
        <v>-3.6</v>
      </c>
      <c r="P36">
        <v>0</v>
      </c>
      <c r="S36">
        <f t="shared" si="1"/>
        <v>0</v>
      </c>
      <c r="T36">
        <f t="shared" si="2"/>
        <v>0</v>
      </c>
      <c r="W36">
        <v>1862.5</v>
      </c>
    </row>
    <row r="37" spans="1:23" x14ac:dyDescent="0.35">
      <c r="A37">
        <v>2920</v>
      </c>
      <c r="B37">
        <v>23610</v>
      </c>
      <c r="C37" s="1">
        <v>42616</v>
      </c>
      <c r="G37">
        <v>19.3</v>
      </c>
      <c r="H37">
        <v>12.2</v>
      </c>
      <c r="I37">
        <v>26</v>
      </c>
      <c r="M37">
        <v>0.2</v>
      </c>
      <c r="N37">
        <v>3.9</v>
      </c>
      <c r="O37">
        <f t="shared" si="0"/>
        <v>-3.6999999999999997</v>
      </c>
      <c r="P37">
        <v>0</v>
      </c>
      <c r="S37">
        <f t="shared" si="1"/>
        <v>0</v>
      </c>
      <c r="T37">
        <f t="shared" si="2"/>
        <v>0.2</v>
      </c>
      <c r="W37">
        <v>1872.7</v>
      </c>
    </row>
    <row r="38" spans="1:23" x14ac:dyDescent="0.35">
      <c r="A38">
        <v>2920</v>
      </c>
      <c r="B38">
        <v>23610</v>
      </c>
      <c r="C38" s="1">
        <v>42617</v>
      </c>
      <c r="G38">
        <v>20.399999999999999</v>
      </c>
      <c r="H38">
        <v>17.8</v>
      </c>
      <c r="I38">
        <v>22.7</v>
      </c>
      <c r="M38">
        <v>2.1</v>
      </c>
      <c r="N38">
        <v>0.9</v>
      </c>
      <c r="O38">
        <f t="shared" si="0"/>
        <v>1.2000000000000002</v>
      </c>
      <c r="P38">
        <f t="shared" ref="P38:P56" si="3">P37+O38</f>
        <v>1.2000000000000002</v>
      </c>
      <c r="S38">
        <f t="shared" si="1"/>
        <v>0</v>
      </c>
      <c r="T38">
        <f t="shared" si="2"/>
        <v>2.1</v>
      </c>
      <c r="W38">
        <v>357.2</v>
      </c>
    </row>
    <row r="39" spans="1:23" x14ac:dyDescent="0.35">
      <c r="A39">
        <v>2920</v>
      </c>
      <c r="B39">
        <v>23610</v>
      </c>
      <c r="C39" s="1">
        <v>42618</v>
      </c>
      <c r="G39">
        <v>21.1</v>
      </c>
      <c r="H39">
        <v>19.2</v>
      </c>
      <c r="I39">
        <v>23</v>
      </c>
      <c r="M39">
        <v>0</v>
      </c>
      <c r="N39">
        <v>1.6</v>
      </c>
      <c r="O39">
        <f t="shared" si="0"/>
        <v>-1.6</v>
      </c>
      <c r="P39">
        <v>0</v>
      </c>
      <c r="S39">
        <f t="shared" si="1"/>
        <v>0</v>
      </c>
      <c r="T39">
        <f t="shared" si="2"/>
        <v>0</v>
      </c>
      <c r="W39">
        <v>503.5</v>
      </c>
    </row>
    <row r="40" spans="1:23" x14ac:dyDescent="0.35">
      <c r="A40">
        <v>2920</v>
      </c>
      <c r="B40">
        <v>23610</v>
      </c>
      <c r="C40" s="1">
        <v>42619</v>
      </c>
      <c r="G40">
        <v>23</v>
      </c>
      <c r="H40">
        <v>19</v>
      </c>
      <c r="I40">
        <v>26.7</v>
      </c>
      <c r="M40">
        <v>0</v>
      </c>
      <c r="N40">
        <v>3.5</v>
      </c>
      <c r="O40">
        <f t="shared" si="0"/>
        <v>-3.5</v>
      </c>
      <c r="P40">
        <v>0</v>
      </c>
      <c r="S40">
        <f t="shared" si="1"/>
        <v>0</v>
      </c>
      <c r="T40">
        <f t="shared" si="2"/>
        <v>0</v>
      </c>
      <c r="W40">
        <v>1227</v>
      </c>
    </row>
    <row r="41" spans="1:23" x14ac:dyDescent="0.35">
      <c r="A41">
        <v>2920</v>
      </c>
      <c r="B41">
        <v>23610</v>
      </c>
      <c r="C41" s="1">
        <v>42620</v>
      </c>
      <c r="G41">
        <v>22.4</v>
      </c>
      <c r="H41">
        <v>16.5</v>
      </c>
      <c r="I41">
        <v>28.3</v>
      </c>
      <c r="M41">
        <v>0</v>
      </c>
      <c r="N41">
        <v>5.3</v>
      </c>
      <c r="O41">
        <f t="shared" si="0"/>
        <v>-5.3</v>
      </c>
      <c r="P41">
        <v>0</v>
      </c>
      <c r="S41">
        <f t="shared" si="1"/>
        <v>0</v>
      </c>
      <c r="T41">
        <f t="shared" si="2"/>
        <v>0</v>
      </c>
      <c r="W41">
        <v>2054.1</v>
      </c>
    </row>
    <row r="42" spans="1:23" x14ac:dyDescent="0.35">
      <c r="A42">
        <v>2920</v>
      </c>
      <c r="B42">
        <v>23610</v>
      </c>
      <c r="C42" s="1">
        <v>42621</v>
      </c>
      <c r="G42">
        <v>18.899999999999999</v>
      </c>
      <c r="H42">
        <v>16</v>
      </c>
      <c r="I42">
        <v>23.3</v>
      </c>
      <c r="M42">
        <v>0</v>
      </c>
      <c r="N42">
        <v>3.6</v>
      </c>
      <c r="O42">
        <f t="shared" si="0"/>
        <v>-3.6</v>
      </c>
      <c r="P42">
        <v>0</v>
      </c>
      <c r="S42">
        <f t="shared" si="1"/>
        <v>0</v>
      </c>
      <c r="T42">
        <f t="shared" si="2"/>
        <v>0</v>
      </c>
      <c r="W42">
        <v>1109</v>
      </c>
    </row>
    <row r="43" spans="1:23" x14ac:dyDescent="0.35">
      <c r="A43">
        <v>2920</v>
      </c>
      <c r="B43">
        <v>23610</v>
      </c>
      <c r="C43" s="1">
        <v>42622</v>
      </c>
      <c r="G43">
        <v>17.2</v>
      </c>
      <c r="H43">
        <v>11.3</v>
      </c>
      <c r="I43">
        <v>22.8</v>
      </c>
      <c r="M43">
        <v>0</v>
      </c>
      <c r="N43">
        <v>2.7</v>
      </c>
      <c r="O43">
        <f t="shared" si="0"/>
        <v>-2.7</v>
      </c>
      <c r="P43">
        <v>0</v>
      </c>
      <c r="S43">
        <f t="shared" si="1"/>
        <v>0</v>
      </c>
      <c r="T43">
        <f t="shared" si="2"/>
        <v>0</v>
      </c>
      <c r="W43">
        <v>1163.3</v>
      </c>
    </row>
    <row r="44" spans="1:23" x14ac:dyDescent="0.35">
      <c r="A44">
        <v>2920</v>
      </c>
      <c r="B44">
        <v>23610</v>
      </c>
      <c r="C44" s="1">
        <v>42623</v>
      </c>
      <c r="G44">
        <v>18.7</v>
      </c>
      <c r="H44">
        <v>14.9</v>
      </c>
      <c r="I44">
        <v>25.1</v>
      </c>
      <c r="M44">
        <v>0.3</v>
      </c>
      <c r="N44">
        <v>2.4</v>
      </c>
      <c r="O44">
        <f t="shared" si="0"/>
        <v>-2.1</v>
      </c>
      <c r="P44">
        <v>0</v>
      </c>
      <c r="S44">
        <f t="shared" si="1"/>
        <v>0</v>
      </c>
      <c r="T44">
        <f t="shared" si="2"/>
        <v>0.3</v>
      </c>
      <c r="W44">
        <v>505.6</v>
      </c>
    </row>
    <row r="45" spans="1:23" x14ac:dyDescent="0.35">
      <c r="A45">
        <v>2920</v>
      </c>
      <c r="B45">
        <v>23610</v>
      </c>
      <c r="C45" s="1">
        <v>42624</v>
      </c>
      <c r="G45">
        <v>17.8</v>
      </c>
      <c r="H45">
        <v>13.5</v>
      </c>
      <c r="I45">
        <v>21.5</v>
      </c>
      <c r="M45">
        <v>0</v>
      </c>
      <c r="N45">
        <v>1.4</v>
      </c>
      <c r="O45">
        <f t="shared" si="0"/>
        <v>-1.4</v>
      </c>
      <c r="P45">
        <v>0</v>
      </c>
      <c r="S45">
        <f t="shared" si="1"/>
        <v>0</v>
      </c>
      <c r="T45">
        <f t="shared" si="2"/>
        <v>0</v>
      </c>
      <c r="W45">
        <v>715.1</v>
      </c>
    </row>
    <row r="46" spans="1:23" x14ac:dyDescent="0.35">
      <c r="A46">
        <v>2920</v>
      </c>
      <c r="B46">
        <v>23610</v>
      </c>
      <c r="C46" s="1">
        <v>42625</v>
      </c>
      <c r="G46">
        <v>20.7</v>
      </c>
      <c r="H46">
        <v>14.4</v>
      </c>
      <c r="I46">
        <v>26.3</v>
      </c>
      <c r="M46">
        <v>0</v>
      </c>
      <c r="N46">
        <v>1.7</v>
      </c>
      <c r="O46">
        <f t="shared" si="0"/>
        <v>-1.7</v>
      </c>
      <c r="P46">
        <v>0</v>
      </c>
      <c r="S46">
        <f t="shared" si="1"/>
        <v>0</v>
      </c>
      <c r="T46">
        <f t="shared" si="2"/>
        <v>0</v>
      </c>
      <c r="W46">
        <v>553.1</v>
      </c>
    </row>
    <row r="47" spans="1:23" x14ac:dyDescent="0.35">
      <c r="A47">
        <v>2920</v>
      </c>
      <c r="B47">
        <v>23610</v>
      </c>
      <c r="C47" s="1">
        <v>42626</v>
      </c>
      <c r="G47">
        <v>20.6</v>
      </c>
      <c r="H47">
        <v>17.600000000000001</v>
      </c>
      <c r="I47">
        <v>23.5</v>
      </c>
      <c r="M47">
        <v>9.4</v>
      </c>
      <c r="N47">
        <v>2.7</v>
      </c>
      <c r="O47">
        <f t="shared" si="0"/>
        <v>6.7</v>
      </c>
      <c r="P47">
        <f t="shared" si="3"/>
        <v>6.7</v>
      </c>
      <c r="S47">
        <f t="shared" si="1"/>
        <v>0</v>
      </c>
      <c r="T47">
        <f t="shared" si="2"/>
        <v>9.4</v>
      </c>
      <c r="W47">
        <v>1495.2</v>
      </c>
    </row>
    <row r="48" spans="1:23" x14ac:dyDescent="0.35">
      <c r="A48">
        <v>2920</v>
      </c>
      <c r="B48">
        <v>23610</v>
      </c>
      <c r="C48" s="1">
        <v>42627</v>
      </c>
      <c r="G48">
        <v>18.899999999999999</v>
      </c>
      <c r="H48">
        <v>16.3</v>
      </c>
      <c r="I48">
        <v>22.7</v>
      </c>
      <c r="M48">
        <v>0.5</v>
      </c>
      <c r="N48">
        <v>2.1</v>
      </c>
      <c r="O48">
        <f t="shared" si="0"/>
        <v>-1.6</v>
      </c>
      <c r="P48">
        <f t="shared" si="3"/>
        <v>5.0999999999999996</v>
      </c>
      <c r="S48">
        <f t="shared" si="1"/>
        <v>0</v>
      </c>
      <c r="T48">
        <f t="shared" si="2"/>
        <v>0.5</v>
      </c>
      <c r="W48">
        <v>945.1</v>
      </c>
    </row>
    <row r="49" spans="1:26" x14ac:dyDescent="0.35">
      <c r="A49">
        <v>2920</v>
      </c>
      <c r="B49">
        <v>23610</v>
      </c>
      <c r="C49" s="1">
        <v>42628</v>
      </c>
      <c r="G49">
        <v>17.2</v>
      </c>
      <c r="H49">
        <v>15.2</v>
      </c>
      <c r="I49">
        <v>19.600000000000001</v>
      </c>
      <c r="M49">
        <v>15.1</v>
      </c>
      <c r="N49">
        <v>1.9</v>
      </c>
      <c r="O49">
        <f t="shared" si="0"/>
        <v>13.2</v>
      </c>
      <c r="P49">
        <f t="shared" si="3"/>
        <v>18.299999999999997</v>
      </c>
      <c r="S49">
        <f t="shared" si="1"/>
        <v>0</v>
      </c>
      <c r="T49">
        <f t="shared" si="2"/>
        <v>15.1</v>
      </c>
      <c r="W49">
        <v>1023.2</v>
      </c>
    </row>
    <row r="50" spans="1:26" x14ac:dyDescent="0.35">
      <c r="A50">
        <v>2920</v>
      </c>
      <c r="B50">
        <v>23610</v>
      </c>
      <c r="C50" s="1">
        <v>42629</v>
      </c>
      <c r="G50">
        <v>15.7</v>
      </c>
      <c r="H50">
        <v>14.8</v>
      </c>
      <c r="I50">
        <v>17.8</v>
      </c>
      <c r="M50">
        <v>4.7</v>
      </c>
      <c r="N50">
        <v>1.7</v>
      </c>
      <c r="O50">
        <f t="shared" si="0"/>
        <v>3</v>
      </c>
      <c r="P50">
        <f t="shared" si="3"/>
        <v>21.299999999999997</v>
      </c>
      <c r="S50">
        <f t="shared" si="1"/>
        <v>0</v>
      </c>
      <c r="T50">
        <f t="shared" si="2"/>
        <v>4.7</v>
      </c>
      <c r="W50">
        <v>416.9</v>
      </c>
    </row>
    <row r="51" spans="1:26" x14ac:dyDescent="0.35">
      <c r="A51">
        <v>2920</v>
      </c>
      <c r="B51">
        <v>23610</v>
      </c>
      <c r="C51" s="1">
        <v>42630</v>
      </c>
      <c r="G51">
        <v>15.1</v>
      </c>
      <c r="H51">
        <v>11.6</v>
      </c>
      <c r="I51">
        <v>18.899999999999999</v>
      </c>
      <c r="M51">
        <v>0.4</v>
      </c>
      <c r="N51">
        <v>2.4</v>
      </c>
      <c r="O51">
        <f t="shared" si="0"/>
        <v>-2</v>
      </c>
      <c r="P51">
        <f t="shared" si="3"/>
        <v>19.299999999999997</v>
      </c>
      <c r="S51">
        <f t="shared" si="1"/>
        <v>0</v>
      </c>
      <c r="T51">
        <f t="shared" si="2"/>
        <v>0.4</v>
      </c>
      <c r="W51">
        <v>1048.5999999999999</v>
      </c>
    </row>
    <row r="52" spans="1:26" x14ac:dyDescent="0.35">
      <c r="A52">
        <v>2920</v>
      </c>
      <c r="B52">
        <v>23610</v>
      </c>
      <c r="C52" s="1">
        <v>42631</v>
      </c>
      <c r="G52">
        <v>16.2</v>
      </c>
      <c r="H52">
        <v>13.9</v>
      </c>
      <c r="I52">
        <v>19.7</v>
      </c>
      <c r="M52">
        <v>0</v>
      </c>
      <c r="N52">
        <v>1.9</v>
      </c>
      <c r="O52">
        <f t="shared" si="0"/>
        <v>-1.9</v>
      </c>
      <c r="P52">
        <f t="shared" si="3"/>
        <v>17.399999999999999</v>
      </c>
      <c r="S52">
        <f t="shared" si="1"/>
        <v>0</v>
      </c>
      <c r="T52">
        <f t="shared" si="2"/>
        <v>0</v>
      </c>
      <c r="W52">
        <v>890.4</v>
      </c>
    </row>
    <row r="53" spans="1:26" x14ac:dyDescent="0.35">
      <c r="A53">
        <v>2920</v>
      </c>
      <c r="B53">
        <v>23610</v>
      </c>
      <c r="C53" s="1">
        <v>42632</v>
      </c>
      <c r="G53">
        <v>15.1</v>
      </c>
      <c r="H53">
        <v>12</v>
      </c>
      <c r="I53">
        <v>18.8</v>
      </c>
      <c r="M53">
        <v>0.1</v>
      </c>
      <c r="N53">
        <v>1.5</v>
      </c>
      <c r="O53">
        <f t="shared" si="0"/>
        <v>-1.4</v>
      </c>
      <c r="P53">
        <f t="shared" si="3"/>
        <v>15.999999999999998</v>
      </c>
      <c r="S53">
        <f t="shared" si="1"/>
        <v>0</v>
      </c>
      <c r="T53">
        <f t="shared" si="2"/>
        <v>0.1</v>
      </c>
      <c r="W53">
        <v>849.9</v>
      </c>
    </row>
    <row r="54" spans="1:26" x14ac:dyDescent="0.35">
      <c r="A54">
        <v>2920</v>
      </c>
      <c r="B54">
        <v>23610</v>
      </c>
      <c r="C54" s="1">
        <v>42633</v>
      </c>
      <c r="G54">
        <v>15.5</v>
      </c>
      <c r="H54">
        <v>10.6</v>
      </c>
      <c r="I54">
        <v>20.100000000000001</v>
      </c>
      <c r="M54">
        <v>0</v>
      </c>
      <c r="N54">
        <v>1.6</v>
      </c>
      <c r="O54">
        <f t="shared" si="0"/>
        <v>-1.6</v>
      </c>
      <c r="P54">
        <f t="shared" si="3"/>
        <v>14.399999999999999</v>
      </c>
      <c r="S54">
        <f t="shared" si="1"/>
        <v>0</v>
      </c>
      <c r="T54">
        <f t="shared" si="2"/>
        <v>0</v>
      </c>
      <c r="W54">
        <v>786.9</v>
      </c>
    </row>
    <row r="55" spans="1:26" x14ac:dyDescent="0.35">
      <c r="A55">
        <v>2920</v>
      </c>
      <c r="B55">
        <v>23610</v>
      </c>
      <c r="C55" s="1">
        <v>42634</v>
      </c>
      <c r="G55">
        <v>16.3</v>
      </c>
      <c r="H55">
        <v>10.7</v>
      </c>
      <c r="I55">
        <v>21.9</v>
      </c>
      <c r="M55">
        <v>0</v>
      </c>
      <c r="N55">
        <v>1.7</v>
      </c>
      <c r="O55">
        <f t="shared" si="0"/>
        <v>-1.7</v>
      </c>
      <c r="P55">
        <f t="shared" si="3"/>
        <v>12.7</v>
      </c>
      <c r="S55">
        <f t="shared" si="1"/>
        <v>0</v>
      </c>
      <c r="T55">
        <f t="shared" si="2"/>
        <v>0</v>
      </c>
      <c r="W55">
        <v>988.3</v>
      </c>
    </row>
    <row r="56" spans="1:26" s="4" customFormat="1" ht="15" thickBot="1" x14ac:dyDescent="0.4">
      <c r="A56" s="4">
        <v>2920</v>
      </c>
      <c r="B56" s="4">
        <v>23610</v>
      </c>
      <c r="C56" s="5">
        <v>42635</v>
      </c>
      <c r="G56" s="4">
        <v>15.6</v>
      </c>
      <c r="H56" s="4">
        <v>11.3</v>
      </c>
      <c r="I56" s="4">
        <v>20.100000000000001</v>
      </c>
      <c r="M56" s="4">
        <v>0</v>
      </c>
      <c r="N56" s="4">
        <v>2.1</v>
      </c>
      <c r="O56" s="4">
        <f t="shared" si="0"/>
        <v>-2.1</v>
      </c>
      <c r="P56" s="6">
        <f t="shared" si="3"/>
        <v>10.6</v>
      </c>
      <c r="S56" s="4">
        <f t="shared" si="1"/>
        <v>0</v>
      </c>
      <c r="T56" s="4">
        <f t="shared" si="2"/>
        <v>0</v>
      </c>
      <c r="W56" s="4">
        <v>1128.2</v>
      </c>
    </row>
    <row r="57" spans="1:26" x14ac:dyDescent="0.35">
      <c r="A57">
        <v>2920</v>
      </c>
      <c r="B57">
        <v>23610</v>
      </c>
      <c r="C57" s="1">
        <v>42636</v>
      </c>
      <c r="D57" t="s">
        <v>31</v>
      </c>
      <c r="F57" s="46" t="s">
        <v>52</v>
      </c>
      <c r="G57">
        <v>15.1</v>
      </c>
      <c r="H57">
        <v>10</v>
      </c>
      <c r="I57">
        <v>21</v>
      </c>
      <c r="J57">
        <f>G57</f>
        <v>15.1</v>
      </c>
      <c r="K57">
        <f>G57</f>
        <v>15.1</v>
      </c>
      <c r="L57" s="7" t="s">
        <v>36</v>
      </c>
      <c r="M57">
        <v>0.1</v>
      </c>
      <c r="N57">
        <v>2.9</v>
      </c>
      <c r="O57">
        <f t="shared" si="0"/>
        <v>-2.8</v>
      </c>
      <c r="Q57">
        <v>1</v>
      </c>
      <c r="R57">
        <v>0.35</v>
      </c>
      <c r="S57">
        <f t="shared" si="1"/>
        <v>1.0149999999999999</v>
      </c>
      <c r="T57">
        <f t="shared" si="2"/>
        <v>-0.91499999999999992</v>
      </c>
      <c r="U57">
        <f>P56+T58</f>
        <v>9.5749999999999993</v>
      </c>
      <c r="V57" s="24" t="s">
        <v>43</v>
      </c>
      <c r="W57">
        <v>1478.2</v>
      </c>
      <c r="X57">
        <f>W57</f>
        <v>1478.2</v>
      </c>
      <c r="Y57">
        <v>11.850054156310808</v>
      </c>
      <c r="Z57" s="24" t="s">
        <v>48</v>
      </c>
    </row>
    <row r="58" spans="1:26" x14ac:dyDescent="0.35">
      <c r="A58">
        <v>2920</v>
      </c>
      <c r="B58">
        <v>23610</v>
      </c>
      <c r="C58" s="1">
        <v>42637</v>
      </c>
      <c r="F58" s="47"/>
      <c r="G58">
        <v>17.2</v>
      </c>
      <c r="H58">
        <v>9.6999999999999993</v>
      </c>
      <c r="I58">
        <v>23.5</v>
      </c>
      <c r="J58">
        <f>J57+G58</f>
        <v>32.299999999999997</v>
      </c>
      <c r="K58">
        <f>K57+G58</f>
        <v>32.299999999999997</v>
      </c>
      <c r="L58" s="8">
        <v>693.6</v>
      </c>
      <c r="M58">
        <v>0.2</v>
      </c>
      <c r="N58">
        <v>3.5</v>
      </c>
      <c r="O58">
        <f t="shared" si="0"/>
        <v>-3.3</v>
      </c>
      <c r="Q58">
        <v>2</v>
      </c>
      <c r="R58">
        <v>0.35</v>
      </c>
      <c r="S58">
        <f t="shared" si="1"/>
        <v>1.2249999999999999</v>
      </c>
      <c r="T58">
        <f t="shared" si="2"/>
        <v>-1.0249999999999999</v>
      </c>
      <c r="U58">
        <f>MIN(U57+T58,197.4)</f>
        <v>8.5499999999999989</v>
      </c>
      <c r="V58">
        <v>6</v>
      </c>
      <c r="W58">
        <v>1678.8</v>
      </c>
      <c r="X58">
        <f>X57+W58</f>
        <v>3157</v>
      </c>
      <c r="Y58">
        <v>11.790104294887646</v>
      </c>
      <c r="Z58">
        <v>43458</v>
      </c>
    </row>
    <row r="59" spans="1:26" x14ac:dyDescent="0.35">
      <c r="A59">
        <v>2920</v>
      </c>
      <c r="B59">
        <v>23610</v>
      </c>
      <c r="C59" s="1">
        <v>42638</v>
      </c>
      <c r="F59" s="47"/>
      <c r="G59">
        <v>16.100000000000001</v>
      </c>
      <c r="H59">
        <v>14.6</v>
      </c>
      <c r="I59">
        <v>20.399999999999999</v>
      </c>
      <c r="J59">
        <f t="shared" ref="J59:J122" si="4">J58+G59</f>
        <v>48.4</v>
      </c>
      <c r="K59">
        <f t="shared" ref="K59:K122" si="5">K58+G59</f>
        <v>48.4</v>
      </c>
      <c r="L59" s="7" t="s">
        <v>37</v>
      </c>
      <c r="M59">
        <v>0</v>
      </c>
      <c r="N59">
        <v>2.9</v>
      </c>
      <c r="O59">
        <f t="shared" si="0"/>
        <v>-2.9</v>
      </c>
      <c r="Q59">
        <v>3</v>
      </c>
      <c r="R59">
        <v>0.35</v>
      </c>
      <c r="S59">
        <f t="shared" si="1"/>
        <v>1.0149999999999999</v>
      </c>
      <c r="T59">
        <f t="shared" si="2"/>
        <v>-1.0149999999999999</v>
      </c>
      <c r="U59">
        <f t="shared" ref="U59:U122" si="6">MIN(U58+T59,197.4)</f>
        <v>7.5349999999999993</v>
      </c>
      <c r="V59" s="24" t="s">
        <v>44</v>
      </c>
      <c r="W59">
        <v>1081.5999999999999</v>
      </c>
      <c r="X59">
        <f t="shared" ref="X59:X122" si="7">X58+W59</f>
        <v>4238.6000000000004</v>
      </c>
      <c r="Y59">
        <v>11.730182973532362</v>
      </c>
      <c r="Z59" s="24" t="s">
        <v>49</v>
      </c>
    </row>
    <row r="60" spans="1:26" x14ac:dyDescent="0.35">
      <c r="A60">
        <v>2920</v>
      </c>
      <c r="B60">
        <v>23610</v>
      </c>
      <c r="C60" s="1">
        <v>42639</v>
      </c>
      <c r="F60" s="47"/>
      <c r="G60">
        <v>15.5</v>
      </c>
      <c r="H60">
        <v>10.7</v>
      </c>
      <c r="I60">
        <v>19.399999999999999</v>
      </c>
      <c r="J60">
        <f t="shared" si="4"/>
        <v>63.9</v>
      </c>
      <c r="K60">
        <f t="shared" si="5"/>
        <v>63.9</v>
      </c>
      <c r="L60" s="9">
        <f>AVERAGE(G57:G122)</f>
        <v>10.509090909090906</v>
      </c>
      <c r="M60">
        <v>0</v>
      </c>
      <c r="N60">
        <v>2.1</v>
      </c>
      <c r="O60">
        <f t="shared" si="0"/>
        <v>-2.1</v>
      </c>
      <c r="Q60">
        <v>4</v>
      </c>
      <c r="R60">
        <v>0.35</v>
      </c>
      <c r="S60">
        <f t="shared" si="1"/>
        <v>0.73499999999999999</v>
      </c>
      <c r="T60">
        <f t="shared" si="2"/>
        <v>-0.73499999999999999</v>
      </c>
      <c r="U60">
        <f t="shared" si="6"/>
        <v>6.7999999999999989</v>
      </c>
      <c r="V60">
        <v>55</v>
      </c>
      <c r="W60">
        <v>1045.8</v>
      </c>
      <c r="X60">
        <f t="shared" si="7"/>
        <v>5284.4000000000005</v>
      </c>
      <c r="Y60">
        <v>11.67029843795485</v>
      </c>
      <c r="Z60">
        <f>(Z58/100)/L58</f>
        <v>0.6265570934256055</v>
      </c>
    </row>
    <row r="61" spans="1:26" x14ac:dyDescent="0.35">
      <c r="A61">
        <v>2920</v>
      </c>
      <c r="B61">
        <v>23610</v>
      </c>
      <c r="C61" s="1">
        <v>42640</v>
      </c>
      <c r="D61" t="s">
        <v>33</v>
      </c>
      <c r="F61" s="47"/>
      <c r="G61">
        <v>17.5</v>
      </c>
      <c r="H61">
        <v>15.9</v>
      </c>
      <c r="I61">
        <v>19.2</v>
      </c>
      <c r="J61">
        <f t="shared" si="4"/>
        <v>81.400000000000006</v>
      </c>
      <c r="K61">
        <f t="shared" si="5"/>
        <v>81.400000000000006</v>
      </c>
      <c r="L61" s="7" t="s">
        <v>38</v>
      </c>
      <c r="M61">
        <v>0.7</v>
      </c>
      <c r="N61">
        <v>0.9</v>
      </c>
      <c r="O61">
        <f t="shared" si="0"/>
        <v>-0.20000000000000007</v>
      </c>
      <c r="Q61">
        <v>5</v>
      </c>
      <c r="R61">
        <v>0.35</v>
      </c>
      <c r="S61">
        <f t="shared" si="1"/>
        <v>0.315</v>
      </c>
      <c r="T61">
        <f t="shared" si="2"/>
        <v>0.38499999999999995</v>
      </c>
      <c r="U61">
        <f t="shared" si="6"/>
        <v>7.1849999999999987</v>
      </c>
      <c r="V61" s="24" t="s">
        <v>45</v>
      </c>
      <c r="W61">
        <v>241.2</v>
      </c>
      <c r="X61">
        <f t="shared" si="7"/>
        <v>5525.6</v>
      </c>
      <c r="Y61">
        <v>11.610459002338031</v>
      </c>
      <c r="Z61" s="24" t="s">
        <v>50</v>
      </c>
    </row>
    <row r="62" spans="1:26" x14ac:dyDescent="0.35">
      <c r="A62">
        <v>2920</v>
      </c>
      <c r="B62">
        <v>23610</v>
      </c>
      <c r="C62" s="1">
        <v>42641</v>
      </c>
      <c r="F62" s="47"/>
      <c r="G62">
        <v>17.5</v>
      </c>
      <c r="H62">
        <v>15.1</v>
      </c>
      <c r="I62">
        <v>21.6</v>
      </c>
      <c r="J62">
        <f t="shared" si="4"/>
        <v>98.9</v>
      </c>
      <c r="K62">
        <f t="shared" si="5"/>
        <v>98.9</v>
      </c>
      <c r="L62" s="8">
        <f>MIN(H57:H122)</f>
        <v>-0.7</v>
      </c>
      <c r="M62">
        <v>0.5</v>
      </c>
      <c r="N62">
        <v>2.8</v>
      </c>
      <c r="O62">
        <f t="shared" si="0"/>
        <v>-2.2999999999999998</v>
      </c>
      <c r="Q62">
        <v>6</v>
      </c>
      <c r="R62">
        <f>0.35+((Q62-5)/61)*(1-0.35)</f>
        <v>0.36065573770491799</v>
      </c>
      <c r="S62">
        <f t="shared" si="1"/>
        <v>1.0098360655737704</v>
      </c>
      <c r="T62">
        <f t="shared" si="2"/>
        <v>-0.50983606557377037</v>
      </c>
      <c r="U62">
        <f t="shared" si="6"/>
        <v>6.6751639344262284</v>
      </c>
      <c r="V62" s="17">
        <f>MIN(U57:U122)</f>
        <v>0</v>
      </c>
      <c r="W62">
        <v>1333.6</v>
      </c>
      <c r="X62">
        <f t="shared" si="7"/>
        <v>6859.2000000000007</v>
      </c>
      <c r="Y62">
        <v>11.550673064463327</v>
      </c>
      <c r="Z62">
        <v>45</v>
      </c>
    </row>
    <row r="63" spans="1:26" x14ac:dyDescent="0.35">
      <c r="A63">
        <v>2920</v>
      </c>
      <c r="B63">
        <v>23610</v>
      </c>
      <c r="C63" s="1">
        <v>42642</v>
      </c>
      <c r="F63" s="47"/>
      <c r="G63">
        <v>15.4</v>
      </c>
      <c r="H63">
        <v>14.3</v>
      </c>
      <c r="I63">
        <v>20.5</v>
      </c>
      <c r="J63">
        <f t="shared" si="4"/>
        <v>114.30000000000001</v>
      </c>
      <c r="K63">
        <f t="shared" si="5"/>
        <v>114.30000000000001</v>
      </c>
      <c r="L63" s="7" t="s">
        <v>39</v>
      </c>
      <c r="M63">
        <v>1.5</v>
      </c>
      <c r="N63">
        <v>1.5</v>
      </c>
      <c r="O63">
        <f t="shared" si="0"/>
        <v>0</v>
      </c>
      <c r="Q63">
        <v>7</v>
      </c>
      <c r="R63">
        <f t="shared" ref="R63:R122" si="8">0.35+((Q63-5)/61)*(1-0.35)</f>
        <v>0.37131147540983606</v>
      </c>
      <c r="S63">
        <f t="shared" si="1"/>
        <v>0.55696721311475406</v>
      </c>
      <c r="T63">
        <f t="shared" si="2"/>
        <v>0.94303278688524594</v>
      </c>
      <c r="U63">
        <f t="shared" si="6"/>
        <v>7.6181967213114739</v>
      </c>
      <c r="V63" s="24" t="s">
        <v>46</v>
      </c>
      <c r="W63">
        <v>321.89999999999998</v>
      </c>
      <c r="X63">
        <f t="shared" si="7"/>
        <v>7181.1</v>
      </c>
      <c r="Y63">
        <v>11.490949120780177</v>
      </c>
    </row>
    <row r="64" spans="1:26" x14ac:dyDescent="0.35">
      <c r="A64">
        <v>2920</v>
      </c>
      <c r="B64">
        <v>23610</v>
      </c>
      <c r="C64" s="1">
        <v>42643</v>
      </c>
      <c r="F64" s="47"/>
      <c r="G64">
        <v>12.8</v>
      </c>
      <c r="H64">
        <v>10.5</v>
      </c>
      <c r="I64">
        <v>18.3</v>
      </c>
      <c r="J64">
        <f t="shared" si="4"/>
        <v>127.10000000000001</v>
      </c>
      <c r="K64">
        <f t="shared" si="5"/>
        <v>127.10000000000001</v>
      </c>
      <c r="L64" s="8">
        <f>MAX(I57:I122)</f>
        <v>23.5</v>
      </c>
      <c r="M64">
        <v>0.1</v>
      </c>
      <c r="N64">
        <v>2.5</v>
      </c>
      <c r="O64">
        <f t="shared" si="0"/>
        <v>-2.4</v>
      </c>
      <c r="Q64">
        <v>8</v>
      </c>
      <c r="R64">
        <f t="shared" si="8"/>
        <v>0.38196721311475407</v>
      </c>
      <c r="S64">
        <f t="shared" si="1"/>
        <v>0.95491803278688514</v>
      </c>
      <c r="T64">
        <f t="shared" si="2"/>
        <v>-0.85491803278688516</v>
      </c>
      <c r="U64">
        <f t="shared" si="6"/>
        <v>6.763278688524589</v>
      </c>
      <c r="V64" s="17">
        <f>MAX(U57:U122)</f>
        <v>68.991721311475416</v>
      </c>
      <c r="W64">
        <v>1305.0999999999999</v>
      </c>
      <c r="X64">
        <f t="shared" si="7"/>
        <v>8486.2000000000007</v>
      </c>
      <c r="Y64">
        <v>11.431295781407767</v>
      </c>
    </row>
    <row r="65" spans="1:25" x14ac:dyDescent="0.35">
      <c r="A65">
        <v>2920</v>
      </c>
      <c r="B65">
        <v>23610</v>
      </c>
      <c r="C65" s="1">
        <v>42644</v>
      </c>
      <c r="F65" s="47"/>
      <c r="G65">
        <v>12.6</v>
      </c>
      <c r="H65">
        <v>9.6</v>
      </c>
      <c r="I65">
        <v>17.399999999999999</v>
      </c>
      <c r="J65">
        <f t="shared" si="4"/>
        <v>139.70000000000002</v>
      </c>
      <c r="K65">
        <f t="shared" si="5"/>
        <v>139.70000000000002</v>
      </c>
      <c r="L65" s="7" t="s">
        <v>40</v>
      </c>
      <c r="M65">
        <v>0.2</v>
      </c>
      <c r="N65">
        <v>1.9</v>
      </c>
      <c r="O65">
        <f t="shared" si="0"/>
        <v>-1.7</v>
      </c>
      <c r="Q65">
        <v>9</v>
      </c>
      <c r="R65">
        <f t="shared" si="8"/>
        <v>0.39262295081967213</v>
      </c>
      <c r="S65">
        <f t="shared" si="1"/>
        <v>0.74598360655737705</v>
      </c>
      <c r="T65">
        <f t="shared" si="2"/>
        <v>-0.5459836065573771</v>
      </c>
      <c r="U65">
        <f t="shared" si="6"/>
        <v>6.2172950819672117</v>
      </c>
      <c r="V65" s="24" t="s">
        <v>47</v>
      </c>
      <c r="W65">
        <v>917.9</v>
      </c>
      <c r="X65">
        <f t="shared" si="7"/>
        <v>9404.1</v>
      </c>
      <c r="Y65">
        <v>11.371721785056641</v>
      </c>
    </row>
    <row r="66" spans="1:25" x14ac:dyDescent="0.35">
      <c r="A66">
        <v>2920</v>
      </c>
      <c r="B66">
        <v>23610</v>
      </c>
      <c r="C66" s="1">
        <v>42645</v>
      </c>
      <c r="F66" s="47"/>
      <c r="G66">
        <v>11.6</v>
      </c>
      <c r="H66">
        <v>6.5</v>
      </c>
      <c r="I66">
        <v>17.2</v>
      </c>
      <c r="J66">
        <f t="shared" si="4"/>
        <v>151.30000000000001</v>
      </c>
      <c r="K66">
        <f t="shared" si="5"/>
        <v>151.30000000000001</v>
      </c>
      <c r="L66" s="8">
        <v>0</v>
      </c>
      <c r="M66">
        <v>0</v>
      </c>
      <c r="N66">
        <v>1.3</v>
      </c>
      <c r="O66">
        <f t="shared" si="0"/>
        <v>-1.3</v>
      </c>
      <c r="Q66">
        <v>10</v>
      </c>
      <c r="R66">
        <f t="shared" si="8"/>
        <v>0.40327868852459015</v>
      </c>
      <c r="S66">
        <f t="shared" si="1"/>
        <v>0.5242622950819672</v>
      </c>
      <c r="T66">
        <f t="shared" si="2"/>
        <v>-0.5242622950819672</v>
      </c>
      <c r="U66">
        <f t="shared" si="6"/>
        <v>5.6930327868852446</v>
      </c>
      <c r="V66" s="17">
        <f>AVERAGE(U57:U122)</f>
        <v>21.119515648286143</v>
      </c>
      <c r="W66">
        <v>693.5</v>
      </c>
      <c r="X66">
        <f t="shared" si="7"/>
        <v>10097.6</v>
      </c>
      <c r="Y66">
        <v>11.312236013856966</v>
      </c>
    </row>
    <row r="67" spans="1:25" x14ac:dyDescent="0.35">
      <c r="A67">
        <v>2920</v>
      </c>
      <c r="B67">
        <v>23610</v>
      </c>
      <c r="C67" s="1">
        <v>42646</v>
      </c>
      <c r="F67" s="47"/>
      <c r="G67">
        <v>12.5</v>
      </c>
      <c r="H67">
        <v>5.8</v>
      </c>
      <c r="I67">
        <v>18.7</v>
      </c>
      <c r="J67">
        <f t="shared" si="4"/>
        <v>163.80000000000001</v>
      </c>
      <c r="K67">
        <f t="shared" si="5"/>
        <v>163.80000000000001</v>
      </c>
      <c r="L67" s="7" t="s">
        <v>41</v>
      </c>
      <c r="M67">
        <v>0</v>
      </c>
      <c r="N67">
        <v>2.4</v>
      </c>
      <c r="O67">
        <f t="shared" si="0"/>
        <v>-2.4</v>
      </c>
      <c r="Q67">
        <v>11</v>
      </c>
      <c r="R67">
        <f t="shared" si="8"/>
        <v>0.41393442622950816</v>
      </c>
      <c r="S67">
        <f t="shared" si="1"/>
        <v>0.99344262295081953</v>
      </c>
      <c r="T67">
        <f t="shared" si="2"/>
        <v>-0.99344262295081953</v>
      </c>
      <c r="U67">
        <f t="shared" si="6"/>
        <v>4.6995901639344249</v>
      </c>
      <c r="W67">
        <v>1312.8</v>
      </c>
      <c r="X67">
        <f t="shared" si="7"/>
        <v>11410.4</v>
      </c>
      <c r="Y67">
        <v>11.252847508079137</v>
      </c>
    </row>
    <row r="68" spans="1:25" x14ac:dyDescent="0.35">
      <c r="A68">
        <v>2920</v>
      </c>
      <c r="B68">
        <v>23610</v>
      </c>
      <c r="C68" s="1">
        <v>42647</v>
      </c>
      <c r="F68" s="47"/>
      <c r="G68">
        <v>14.3</v>
      </c>
      <c r="H68">
        <v>9.6999999999999993</v>
      </c>
      <c r="I68">
        <v>18.399999999999999</v>
      </c>
      <c r="J68">
        <f t="shared" si="4"/>
        <v>178.10000000000002</v>
      </c>
      <c r="K68">
        <f t="shared" si="5"/>
        <v>178.10000000000002</v>
      </c>
      <c r="L68" s="8">
        <v>17</v>
      </c>
      <c r="M68">
        <v>0</v>
      </c>
      <c r="N68">
        <v>2.8</v>
      </c>
      <c r="O68">
        <f t="shared" si="0"/>
        <v>-2.8</v>
      </c>
      <c r="Q68">
        <v>12</v>
      </c>
      <c r="R68">
        <f t="shared" si="8"/>
        <v>0.42459016393442622</v>
      </c>
      <c r="S68">
        <f t="shared" si="1"/>
        <v>1.1888524590163934</v>
      </c>
      <c r="T68">
        <f t="shared" si="2"/>
        <v>-1.1888524590163934</v>
      </c>
      <c r="U68">
        <f t="shared" si="6"/>
        <v>3.5107377049180313</v>
      </c>
      <c r="V68" s="18">
        <f>(V66*100)/197.4</f>
        <v>10.6988427802868</v>
      </c>
      <c r="W68">
        <v>1201.0999999999999</v>
      </c>
      <c r="X68">
        <f t="shared" si="7"/>
        <v>12611.5</v>
      </c>
      <c r="Y68">
        <v>11.193565480731463</v>
      </c>
    </row>
    <row r="69" spans="1:25" x14ac:dyDescent="0.35">
      <c r="A69">
        <v>2920</v>
      </c>
      <c r="B69">
        <v>23610</v>
      </c>
      <c r="C69" s="1">
        <v>42648</v>
      </c>
      <c r="F69" s="47"/>
      <c r="G69">
        <v>14</v>
      </c>
      <c r="H69">
        <v>11</v>
      </c>
      <c r="I69">
        <v>18.3</v>
      </c>
      <c r="J69">
        <f t="shared" si="4"/>
        <v>192.10000000000002</v>
      </c>
      <c r="K69">
        <f t="shared" si="5"/>
        <v>192.10000000000002</v>
      </c>
      <c r="L69" s="7" t="s">
        <v>42</v>
      </c>
      <c r="M69">
        <v>0</v>
      </c>
      <c r="N69">
        <v>3</v>
      </c>
      <c r="O69">
        <f t="shared" si="0"/>
        <v>-3</v>
      </c>
      <c r="Q69">
        <v>13</v>
      </c>
      <c r="R69">
        <f t="shared" si="8"/>
        <v>0.43524590163934423</v>
      </c>
      <c r="S69">
        <f t="shared" si="1"/>
        <v>1.3057377049180328</v>
      </c>
      <c r="T69">
        <f t="shared" si="2"/>
        <v>-1.3057377049180328</v>
      </c>
      <c r="U69">
        <f t="shared" si="6"/>
        <v>2.2049999999999983</v>
      </c>
      <c r="W69">
        <v>1464.2</v>
      </c>
      <c r="X69">
        <f t="shared" si="7"/>
        <v>14075.7</v>
      </c>
      <c r="Y69">
        <v>11.134399332018457</v>
      </c>
    </row>
    <row r="70" spans="1:25" x14ac:dyDescent="0.35">
      <c r="A70">
        <v>2920</v>
      </c>
      <c r="B70">
        <v>23610</v>
      </c>
      <c r="C70" s="1">
        <v>42649</v>
      </c>
      <c r="F70" s="47"/>
      <c r="G70">
        <v>10.4</v>
      </c>
      <c r="H70">
        <v>5.9</v>
      </c>
      <c r="I70">
        <v>15.6</v>
      </c>
      <c r="J70">
        <f t="shared" si="4"/>
        <v>202.50000000000003</v>
      </c>
      <c r="K70">
        <f t="shared" si="5"/>
        <v>202.50000000000003</v>
      </c>
      <c r="L70" s="8">
        <v>1</v>
      </c>
      <c r="M70">
        <v>0</v>
      </c>
      <c r="N70">
        <v>3.2</v>
      </c>
      <c r="O70">
        <f t="shared" ref="O70:O133" si="9">M70-N70</f>
        <v>-3.2</v>
      </c>
      <c r="Q70">
        <v>14</v>
      </c>
      <c r="R70">
        <f t="shared" si="8"/>
        <v>0.4459016393442623</v>
      </c>
      <c r="S70">
        <f t="shared" ref="S70:S133" si="10">R70*N70</f>
        <v>1.4268852459016395</v>
      </c>
      <c r="T70">
        <f t="shared" ref="T70:T133" si="11">M70-S70</f>
        <v>-1.4268852459016395</v>
      </c>
      <c r="U70">
        <f t="shared" si="6"/>
        <v>0.77811475409835884</v>
      </c>
      <c r="W70">
        <v>1620.8</v>
      </c>
      <c r="X70">
        <f t="shared" si="7"/>
        <v>15696.5</v>
      </c>
      <c r="Y70">
        <v>11.075358663641881</v>
      </c>
    </row>
    <row r="71" spans="1:25" x14ac:dyDescent="0.35">
      <c r="A71">
        <v>2920</v>
      </c>
      <c r="B71">
        <v>23610</v>
      </c>
      <c r="C71" s="1">
        <v>42650</v>
      </c>
      <c r="F71" s="47"/>
      <c r="G71">
        <v>9.9</v>
      </c>
      <c r="H71">
        <v>4.7</v>
      </c>
      <c r="I71">
        <v>12.9</v>
      </c>
      <c r="J71">
        <f t="shared" si="4"/>
        <v>212.40000000000003</v>
      </c>
      <c r="K71">
        <f t="shared" si="5"/>
        <v>212.40000000000003</v>
      </c>
      <c r="M71">
        <v>0</v>
      </c>
      <c r="N71">
        <v>0.9</v>
      </c>
      <c r="O71">
        <f t="shared" si="9"/>
        <v>-0.9</v>
      </c>
      <c r="Q71">
        <v>15</v>
      </c>
      <c r="R71">
        <f t="shared" si="8"/>
        <v>0.45655737704918031</v>
      </c>
      <c r="S71">
        <f t="shared" si="10"/>
        <v>0.41090163934426227</v>
      </c>
      <c r="T71">
        <f t="shared" si="11"/>
        <v>-0.41090163934426227</v>
      </c>
      <c r="U71">
        <f t="shared" si="6"/>
        <v>0.36721311475409657</v>
      </c>
      <c r="W71">
        <v>577.20000000000005</v>
      </c>
      <c r="X71">
        <f t="shared" si="7"/>
        <v>16273.7</v>
      </c>
      <c r="Y71">
        <v>11.01645329292538</v>
      </c>
    </row>
    <row r="72" spans="1:25" x14ac:dyDescent="0.35">
      <c r="A72">
        <v>2920</v>
      </c>
      <c r="B72">
        <v>23610</v>
      </c>
      <c r="C72" s="1">
        <v>42651</v>
      </c>
      <c r="F72" s="47"/>
      <c r="G72">
        <v>12.5</v>
      </c>
      <c r="H72">
        <v>10.7</v>
      </c>
      <c r="I72">
        <v>16.2</v>
      </c>
      <c r="J72">
        <f t="shared" si="4"/>
        <v>224.90000000000003</v>
      </c>
      <c r="K72">
        <f t="shared" si="5"/>
        <v>224.90000000000003</v>
      </c>
      <c r="M72">
        <v>0</v>
      </c>
      <c r="N72">
        <v>1.5</v>
      </c>
      <c r="O72">
        <f t="shared" si="9"/>
        <v>-1.5</v>
      </c>
      <c r="Q72">
        <v>16</v>
      </c>
      <c r="R72">
        <f t="shared" si="8"/>
        <v>0.46721311475409832</v>
      </c>
      <c r="S72">
        <f t="shared" si="10"/>
        <v>0.70081967213114749</v>
      </c>
      <c r="T72">
        <f t="shared" si="11"/>
        <v>-0.70081967213114749</v>
      </c>
      <c r="U72">
        <v>0</v>
      </c>
      <c r="W72">
        <v>619</v>
      </c>
      <c r="X72">
        <f t="shared" si="7"/>
        <v>16892.7</v>
      </c>
      <c r="Y72">
        <v>10.95769326674192</v>
      </c>
    </row>
    <row r="73" spans="1:25" x14ac:dyDescent="0.35">
      <c r="A73">
        <v>2920</v>
      </c>
      <c r="B73">
        <v>23610</v>
      </c>
      <c r="C73" s="1">
        <v>42652</v>
      </c>
      <c r="F73" s="47"/>
      <c r="G73">
        <v>10.5</v>
      </c>
      <c r="H73">
        <v>5.7</v>
      </c>
      <c r="I73">
        <v>16.399999999999999</v>
      </c>
      <c r="J73">
        <f t="shared" si="4"/>
        <v>235.40000000000003</v>
      </c>
      <c r="K73">
        <f t="shared" si="5"/>
        <v>235.40000000000003</v>
      </c>
      <c r="M73">
        <v>0</v>
      </c>
      <c r="N73">
        <v>1.6</v>
      </c>
      <c r="O73">
        <f t="shared" si="9"/>
        <v>-1.6</v>
      </c>
      <c r="Q73">
        <v>17</v>
      </c>
      <c r="R73">
        <f t="shared" si="8"/>
        <v>0.47786885245901634</v>
      </c>
      <c r="S73">
        <f t="shared" si="10"/>
        <v>0.76459016393442614</v>
      </c>
      <c r="T73">
        <f t="shared" si="11"/>
        <v>-0.76459016393442614</v>
      </c>
      <c r="U73">
        <v>0</v>
      </c>
      <c r="W73">
        <v>1036.3</v>
      </c>
      <c r="X73">
        <f t="shared" si="7"/>
        <v>17929</v>
      </c>
      <c r="Y73">
        <v>10.899088875221722</v>
      </c>
    </row>
    <row r="74" spans="1:25" x14ac:dyDescent="0.35">
      <c r="A74">
        <v>2920</v>
      </c>
      <c r="B74">
        <v>23610</v>
      </c>
      <c r="C74" s="1">
        <v>42653</v>
      </c>
      <c r="F74" s="47"/>
      <c r="G74">
        <v>10</v>
      </c>
      <c r="H74">
        <v>3</v>
      </c>
      <c r="I74">
        <v>16.399999999999999</v>
      </c>
      <c r="J74">
        <f t="shared" si="4"/>
        <v>245.40000000000003</v>
      </c>
      <c r="K74">
        <f t="shared" si="5"/>
        <v>245.40000000000003</v>
      </c>
      <c r="M74">
        <v>0</v>
      </c>
      <c r="N74">
        <v>1.8</v>
      </c>
      <c r="O74">
        <f t="shared" si="9"/>
        <v>-1.8</v>
      </c>
      <c r="Q74">
        <v>18</v>
      </c>
      <c r="R74">
        <f t="shared" si="8"/>
        <v>0.4885245901639344</v>
      </c>
      <c r="S74">
        <f t="shared" si="10"/>
        <v>0.87934426229508189</v>
      </c>
      <c r="T74">
        <f t="shared" si="11"/>
        <v>-0.87934426229508189</v>
      </c>
      <c r="U74">
        <v>0</v>
      </c>
      <c r="W74">
        <v>1078.4000000000001</v>
      </c>
      <c r="X74">
        <f t="shared" si="7"/>
        <v>19007.400000000001</v>
      </c>
      <c r="Y74">
        <v>10.840650665216574</v>
      </c>
    </row>
    <row r="75" spans="1:25" x14ac:dyDescent="0.35">
      <c r="A75">
        <v>2920</v>
      </c>
      <c r="B75">
        <v>23610</v>
      </c>
      <c r="C75" s="1">
        <v>42654</v>
      </c>
      <c r="F75" s="47"/>
      <c r="G75">
        <v>9.4</v>
      </c>
      <c r="H75">
        <v>3.7</v>
      </c>
      <c r="I75">
        <v>15.3</v>
      </c>
      <c r="J75">
        <f t="shared" si="4"/>
        <v>254.80000000000004</v>
      </c>
      <c r="K75">
        <f t="shared" si="5"/>
        <v>254.80000000000004</v>
      </c>
      <c r="M75">
        <v>0</v>
      </c>
      <c r="N75">
        <v>1.8</v>
      </c>
      <c r="O75">
        <f t="shared" si="9"/>
        <v>-1.8</v>
      </c>
      <c r="Q75">
        <v>19</v>
      </c>
      <c r="R75">
        <f t="shared" si="8"/>
        <v>0.49918032786885247</v>
      </c>
      <c r="S75">
        <f t="shared" si="10"/>
        <v>0.89852459016393449</v>
      </c>
      <c r="T75">
        <f t="shared" si="11"/>
        <v>-0.89852459016393449</v>
      </c>
      <c r="U75">
        <v>0</v>
      </c>
      <c r="W75">
        <v>1023.6</v>
      </c>
      <c r="X75">
        <f t="shared" si="7"/>
        <v>20031</v>
      </c>
      <c r="Y75">
        <v>10.782389453494581</v>
      </c>
    </row>
    <row r="76" spans="1:25" x14ac:dyDescent="0.35">
      <c r="A76">
        <v>2920</v>
      </c>
      <c r="B76">
        <v>23610</v>
      </c>
      <c r="C76" s="1">
        <v>42655</v>
      </c>
      <c r="F76" s="47"/>
      <c r="G76">
        <v>9.3000000000000007</v>
      </c>
      <c r="H76">
        <v>4.5</v>
      </c>
      <c r="I76">
        <v>14.2</v>
      </c>
      <c r="J76">
        <f t="shared" si="4"/>
        <v>264.10000000000002</v>
      </c>
      <c r="K76">
        <f t="shared" si="5"/>
        <v>264.10000000000002</v>
      </c>
      <c r="M76">
        <v>0</v>
      </c>
      <c r="N76">
        <v>2.2999999999999998</v>
      </c>
      <c r="O76">
        <f t="shared" si="9"/>
        <v>-2.2999999999999998</v>
      </c>
      <c r="Q76">
        <v>20</v>
      </c>
      <c r="R76">
        <f t="shared" si="8"/>
        <v>0.50983606557377048</v>
      </c>
      <c r="S76">
        <f t="shared" si="10"/>
        <v>1.1726229508196719</v>
      </c>
      <c r="T76">
        <f t="shared" si="11"/>
        <v>-1.1726229508196719</v>
      </c>
      <c r="U76">
        <v>0</v>
      </c>
      <c r="W76">
        <v>1238.0999999999999</v>
      </c>
      <c r="X76">
        <f t="shared" si="7"/>
        <v>21269.1</v>
      </c>
      <c r="Y76">
        <v>10.724316339637516</v>
      </c>
    </row>
    <row r="77" spans="1:25" x14ac:dyDescent="0.35">
      <c r="A77">
        <v>2920</v>
      </c>
      <c r="B77">
        <v>23610</v>
      </c>
      <c r="C77" s="1">
        <v>42656</v>
      </c>
      <c r="F77" s="47"/>
      <c r="G77">
        <v>9.8000000000000007</v>
      </c>
      <c r="H77">
        <v>5.5</v>
      </c>
      <c r="I77">
        <v>13</v>
      </c>
      <c r="J77">
        <f t="shared" si="4"/>
        <v>273.90000000000003</v>
      </c>
      <c r="K77">
        <f t="shared" si="5"/>
        <v>273.90000000000003</v>
      </c>
      <c r="M77">
        <v>0</v>
      </c>
      <c r="N77">
        <v>1.4</v>
      </c>
      <c r="O77">
        <f t="shared" si="9"/>
        <v>-1.4</v>
      </c>
      <c r="Q77">
        <v>21</v>
      </c>
      <c r="R77">
        <f t="shared" si="8"/>
        <v>0.52049180327868849</v>
      </c>
      <c r="S77">
        <f t="shared" si="10"/>
        <v>0.72868852459016387</v>
      </c>
      <c r="T77">
        <f t="shared" si="11"/>
        <v>-0.72868852459016387</v>
      </c>
      <c r="U77">
        <v>0</v>
      </c>
      <c r="W77">
        <v>920.8</v>
      </c>
      <c r="X77">
        <f t="shared" si="7"/>
        <v>22189.899999999998</v>
      </c>
      <c r="Y77">
        <v>10.66644271861089</v>
      </c>
    </row>
    <row r="78" spans="1:25" x14ac:dyDescent="0.35">
      <c r="A78">
        <v>2920</v>
      </c>
      <c r="B78">
        <v>23610</v>
      </c>
      <c r="C78" s="1">
        <v>42657</v>
      </c>
      <c r="F78" s="47"/>
      <c r="G78">
        <v>8.9</v>
      </c>
      <c r="H78">
        <v>8.1999999999999993</v>
      </c>
      <c r="I78">
        <v>10.5</v>
      </c>
      <c r="J78">
        <f t="shared" si="4"/>
        <v>282.8</v>
      </c>
      <c r="K78">
        <f t="shared" si="5"/>
        <v>282.8</v>
      </c>
      <c r="M78">
        <v>0.9</v>
      </c>
      <c r="N78">
        <v>0.6</v>
      </c>
      <c r="O78">
        <f t="shared" si="9"/>
        <v>0.30000000000000004</v>
      </c>
      <c r="Q78">
        <v>22</v>
      </c>
      <c r="R78">
        <f t="shared" si="8"/>
        <v>0.5311475409836065</v>
      </c>
      <c r="S78">
        <f t="shared" si="10"/>
        <v>0.31868852459016389</v>
      </c>
      <c r="T78">
        <f t="shared" si="11"/>
        <v>0.58131147540983608</v>
      </c>
      <c r="U78">
        <f t="shared" si="6"/>
        <v>0.58131147540983608</v>
      </c>
      <c r="W78">
        <v>325.2</v>
      </c>
      <c r="X78">
        <f t="shared" si="7"/>
        <v>22515.1</v>
      </c>
      <c r="Y78">
        <v>10.608780292974748</v>
      </c>
    </row>
    <row r="79" spans="1:25" x14ac:dyDescent="0.35">
      <c r="A79">
        <v>2920</v>
      </c>
      <c r="B79">
        <v>23610</v>
      </c>
      <c r="C79" s="1">
        <v>42658</v>
      </c>
      <c r="F79" s="47"/>
      <c r="G79">
        <v>11.2</v>
      </c>
      <c r="H79">
        <v>5.5</v>
      </c>
      <c r="I79">
        <v>14.4</v>
      </c>
      <c r="J79">
        <f t="shared" si="4"/>
        <v>294</v>
      </c>
      <c r="K79">
        <f t="shared" si="5"/>
        <v>294</v>
      </c>
      <c r="M79">
        <v>8</v>
      </c>
      <c r="N79">
        <v>0.4</v>
      </c>
      <c r="O79">
        <f t="shared" si="9"/>
        <v>7.6</v>
      </c>
      <c r="Q79">
        <v>23</v>
      </c>
      <c r="R79">
        <f t="shared" si="8"/>
        <v>0.54180327868852451</v>
      </c>
      <c r="S79">
        <f t="shared" si="10"/>
        <v>0.21672131147540982</v>
      </c>
      <c r="T79">
        <f t="shared" si="11"/>
        <v>7.7832786885245904</v>
      </c>
      <c r="U79">
        <f t="shared" si="6"/>
        <v>8.3645901639344267</v>
      </c>
      <c r="W79">
        <v>407.7</v>
      </c>
      <c r="X79">
        <f t="shared" si="7"/>
        <v>22922.799999999999</v>
      </c>
      <c r="Y79">
        <v>10.551341084701024</v>
      </c>
    </row>
    <row r="80" spans="1:25" x14ac:dyDescent="0.35">
      <c r="A80">
        <v>2920</v>
      </c>
      <c r="B80">
        <v>23610</v>
      </c>
      <c r="C80" s="1">
        <v>42659</v>
      </c>
      <c r="F80" s="47"/>
      <c r="G80">
        <v>13.8</v>
      </c>
      <c r="H80">
        <v>11.9</v>
      </c>
      <c r="I80">
        <v>17.3</v>
      </c>
      <c r="J80">
        <f t="shared" si="4"/>
        <v>307.8</v>
      </c>
      <c r="K80">
        <f t="shared" si="5"/>
        <v>307.8</v>
      </c>
      <c r="M80">
        <v>3.4</v>
      </c>
      <c r="N80">
        <v>1.1000000000000001</v>
      </c>
      <c r="O80">
        <f t="shared" si="9"/>
        <v>2.2999999999999998</v>
      </c>
      <c r="Q80">
        <v>24</v>
      </c>
      <c r="R80">
        <f t="shared" si="8"/>
        <v>0.55245901639344264</v>
      </c>
      <c r="S80">
        <f t="shared" si="10"/>
        <v>0.60770491803278692</v>
      </c>
      <c r="T80">
        <f t="shared" si="11"/>
        <v>2.7922950819672128</v>
      </c>
      <c r="U80">
        <f t="shared" si="6"/>
        <v>11.156885245901639</v>
      </c>
      <c r="W80">
        <v>522.5</v>
      </c>
      <c r="X80">
        <f t="shared" si="7"/>
        <v>23445.3</v>
      </c>
      <c r="Y80">
        <v>10.494137446560973</v>
      </c>
    </row>
    <row r="81" spans="1:25" x14ac:dyDescent="0.35">
      <c r="A81">
        <v>2920</v>
      </c>
      <c r="B81">
        <v>23610</v>
      </c>
      <c r="C81" s="1">
        <v>42660</v>
      </c>
      <c r="F81" s="47"/>
      <c r="G81">
        <v>12.9</v>
      </c>
      <c r="H81">
        <v>11.2</v>
      </c>
      <c r="I81">
        <v>17.100000000000001</v>
      </c>
      <c r="J81">
        <f t="shared" si="4"/>
        <v>320.7</v>
      </c>
      <c r="K81">
        <f t="shared" si="5"/>
        <v>320.7</v>
      </c>
      <c r="M81">
        <v>0.1</v>
      </c>
      <c r="N81">
        <v>2</v>
      </c>
      <c r="O81">
        <f t="shared" si="9"/>
        <v>-1.9</v>
      </c>
      <c r="Q81">
        <v>25</v>
      </c>
      <c r="R81">
        <f t="shared" si="8"/>
        <v>0.56311475409836065</v>
      </c>
      <c r="S81">
        <f t="shared" si="10"/>
        <v>1.1262295081967213</v>
      </c>
      <c r="T81">
        <f t="shared" si="11"/>
        <v>-1.0262295081967212</v>
      </c>
      <c r="U81">
        <f t="shared" si="6"/>
        <v>10.130655737704918</v>
      </c>
      <c r="W81">
        <v>1083.2</v>
      </c>
      <c r="X81">
        <f t="shared" si="7"/>
        <v>24528.5</v>
      </c>
      <c r="Y81">
        <v>10.437182073043973</v>
      </c>
    </row>
    <row r="82" spans="1:25" x14ac:dyDescent="0.35">
      <c r="A82">
        <v>2920</v>
      </c>
      <c r="B82">
        <v>23610</v>
      </c>
      <c r="C82" s="1">
        <v>42661</v>
      </c>
      <c r="F82" s="47"/>
      <c r="G82">
        <v>10</v>
      </c>
      <c r="H82">
        <v>5.6</v>
      </c>
      <c r="I82">
        <v>15.4</v>
      </c>
      <c r="J82">
        <f t="shared" si="4"/>
        <v>330.7</v>
      </c>
      <c r="K82">
        <f t="shared" si="5"/>
        <v>330.7</v>
      </c>
      <c r="M82">
        <v>0.5</v>
      </c>
      <c r="N82">
        <v>1.2</v>
      </c>
      <c r="O82">
        <f t="shared" si="9"/>
        <v>-0.7</v>
      </c>
      <c r="Q82">
        <v>26</v>
      </c>
      <c r="R82">
        <f t="shared" si="8"/>
        <v>0.57377049180327866</v>
      </c>
      <c r="S82">
        <f t="shared" si="10"/>
        <v>0.68852459016393441</v>
      </c>
      <c r="T82">
        <f t="shared" si="11"/>
        <v>-0.18852459016393441</v>
      </c>
      <c r="U82">
        <f t="shared" si="6"/>
        <v>9.9421311475409837</v>
      </c>
      <c r="W82">
        <v>895</v>
      </c>
      <c r="X82">
        <f t="shared" si="7"/>
        <v>25423.5</v>
      </c>
      <c r="Y82">
        <v>10.380488010766509</v>
      </c>
    </row>
    <row r="83" spans="1:25" x14ac:dyDescent="0.35">
      <c r="A83">
        <v>2920</v>
      </c>
      <c r="B83">
        <v>23610</v>
      </c>
      <c r="C83" s="1">
        <v>42662</v>
      </c>
      <c r="F83" s="47"/>
      <c r="G83">
        <v>9.4</v>
      </c>
      <c r="H83">
        <v>5.8</v>
      </c>
      <c r="I83">
        <v>12.4</v>
      </c>
      <c r="J83">
        <f t="shared" si="4"/>
        <v>340.09999999999997</v>
      </c>
      <c r="K83">
        <f t="shared" si="5"/>
        <v>340.09999999999997</v>
      </c>
      <c r="M83">
        <v>0.4</v>
      </c>
      <c r="N83">
        <v>0.4</v>
      </c>
      <c r="O83">
        <f t="shared" si="9"/>
        <v>0</v>
      </c>
      <c r="Q83">
        <v>27</v>
      </c>
      <c r="R83">
        <f t="shared" si="8"/>
        <v>0.58442622950819678</v>
      </c>
      <c r="S83">
        <f t="shared" si="10"/>
        <v>0.23377049180327872</v>
      </c>
      <c r="T83">
        <f t="shared" si="11"/>
        <v>0.1662295081967213</v>
      </c>
      <c r="U83">
        <f t="shared" si="6"/>
        <v>10.108360655737705</v>
      </c>
      <c r="W83">
        <v>243</v>
      </c>
      <c r="X83">
        <f t="shared" si="7"/>
        <v>25666.5</v>
      </c>
      <c r="Y83">
        <v>10.32406866832776</v>
      </c>
    </row>
    <row r="84" spans="1:25" x14ac:dyDescent="0.35">
      <c r="A84">
        <v>2920</v>
      </c>
      <c r="B84">
        <v>23610</v>
      </c>
      <c r="C84" s="1">
        <v>42663</v>
      </c>
      <c r="F84" s="47"/>
      <c r="G84">
        <v>10.6</v>
      </c>
      <c r="H84">
        <v>8.1</v>
      </c>
      <c r="I84">
        <v>14.5</v>
      </c>
      <c r="J84">
        <f t="shared" si="4"/>
        <v>350.7</v>
      </c>
      <c r="K84">
        <f t="shared" si="5"/>
        <v>350.7</v>
      </c>
      <c r="M84">
        <v>0.1</v>
      </c>
      <c r="N84">
        <v>1.4</v>
      </c>
      <c r="O84">
        <f t="shared" si="9"/>
        <v>-1.2999999999999998</v>
      </c>
      <c r="Q84">
        <v>28</v>
      </c>
      <c r="R84">
        <f t="shared" si="8"/>
        <v>0.59508196721311468</v>
      </c>
      <c r="S84">
        <f t="shared" si="10"/>
        <v>0.83311475409836055</v>
      </c>
      <c r="T84">
        <f t="shared" si="11"/>
        <v>-0.73311475409836058</v>
      </c>
      <c r="U84">
        <f t="shared" si="6"/>
        <v>9.3752459016393441</v>
      </c>
      <c r="W84">
        <v>885.6</v>
      </c>
      <c r="X84">
        <f t="shared" si="7"/>
        <v>26552.1</v>
      </c>
      <c r="Y84">
        <v>10.267937825565793</v>
      </c>
    </row>
    <row r="85" spans="1:25" x14ac:dyDescent="0.35">
      <c r="A85">
        <v>2920</v>
      </c>
      <c r="B85">
        <v>23610</v>
      </c>
      <c r="C85" s="1">
        <v>42664</v>
      </c>
      <c r="F85" s="47"/>
      <c r="G85">
        <v>8.9</v>
      </c>
      <c r="H85">
        <v>5.5</v>
      </c>
      <c r="I85">
        <v>14</v>
      </c>
      <c r="J85">
        <f t="shared" si="4"/>
        <v>359.59999999999997</v>
      </c>
      <c r="K85">
        <f t="shared" si="5"/>
        <v>359.59999999999997</v>
      </c>
      <c r="M85">
        <v>0</v>
      </c>
      <c r="N85">
        <v>1.2</v>
      </c>
      <c r="O85">
        <f t="shared" si="9"/>
        <v>-1.2</v>
      </c>
      <c r="Q85">
        <v>29</v>
      </c>
      <c r="R85">
        <f t="shared" si="8"/>
        <v>0.6057377049180328</v>
      </c>
      <c r="S85">
        <f t="shared" si="10"/>
        <v>0.72688524590163939</v>
      </c>
      <c r="T85">
        <f t="shared" si="11"/>
        <v>-0.72688524590163939</v>
      </c>
      <c r="U85">
        <f t="shared" si="6"/>
        <v>8.6483606557377044</v>
      </c>
      <c r="W85">
        <v>725.4</v>
      </c>
      <c r="X85">
        <f t="shared" si="7"/>
        <v>27277.5</v>
      </c>
      <c r="Y85">
        <v>10.212109642165881</v>
      </c>
    </row>
    <row r="86" spans="1:25" x14ac:dyDescent="0.35">
      <c r="A86">
        <v>2920</v>
      </c>
      <c r="B86">
        <v>23610</v>
      </c>
      <c r="C86" s="1">
        <v>42665</v>
      </c>
      <c r="F86" s="47"/>
      <c r="G86">
        <v>7.9</v>
      </c>
      <c r="H86">
        <v>1.9</v>
      </c>
      <c r="I86">
        <v>13.7</v>
      </c>
      <c r="J86">
        <f t="shared" si="4"/>
        <v>367.49999999999994</v>
      </c>
      <c r="K86">
        <f t="shared" si="5"/>
        <v>367.49999999999994</v>
      </c>
      <c r="M86">
        <v>0</v>
      </c>
      <c r="N86">
        <v>0.9</v>
      </c>
      <c r="O86">
        <f t="shared" si="9"/>
        <v>-0.9</v>
      </c>
      <c r="Q86">
        <v>30</v>
      </c>
      <c r="R86">
        <f t="shared" si="8"/>
        <v>0.61639344262295082</v>
      </c>
      <c r="S86">
        <f t="shared" si="10"/>
        <v>0.5547540983606557</v>
      </c>
      <c r="T86">
        <f t="shared" si="11"/>
        <v>-0.5547540983606557</v>
      </c>
      <c r="U86">
        <f t="shared" si="6"/>
        <v>8.0936065573770488</v>
      </c>
      <c r="W86">
        <v>633.1</v>
      </c>
      <c r="X86">
        <f t="shared" si="7"/>
        <v>27910.6</v>
      </c>
      <c r="Y86">
        <v>10.156598665570007</v>
      </c>
    </row>
    <row r="87" spans="1:25" x14ac:dyDescent="0.35">
      <c r="A87">
        <v>2920</v>
      </c>
      <c r="B87">
        <v>23610</v>
      </c>
      <c r="C87" s="1">
        <v>42666</v>
      </c>
      <c r="F87" s="47"/>
      <c r="G87">
        <v>8.5</v>
      </c>
      <c r="H87">
        <v>6.7</v>
      </c>
      <c r="I87">
        <v>10.1</v>
      </c>
      <c r="J87">
        <f t="shared" si="4"/>
        <v>375.99999999999994</v>
      </c>
      <c r="K87">
        <f t="shared" si="5"/>
        <v>375.99999999999994</v>
      </c>
      <c r="M87">
        <v>9.5</v>
      </c>
      <c r="N87">
        <v>0.7</v>
      </c>
      <c r="O87">
        <f t="shared" si="9"/>
        <v>8.8000000000000007</v>
      </c>
      <c r="Q87">
        <v>31</v>
      </c>
      <c r="R87">
        <f t="shared" si="8"/>
        <v>0.62704918032786883</v>
      </c>
      <c r="S87">
        <f t="shared" si="10"/>
        <v>0.43893442622950812</v>
      </c>
      <c r="T87">
        <f t="shared" si="11"/>
        <v>9.0610655737704917</v>
      </c>
      <c r="U87">
        <f t="shared" si="6"/>
        <v>17.154672131147542</v>
      </c>
      <c r="W87">
        <v>290.3</v>
      </c>
      <c r="X87">
        <f t="shared" si="7"/>
        <v>28200.899999999998</v>
      </c>
      <c r="Y87">
        <v>10.101419838134126</v>
      </c>
    </row>
    <row r="88" spans="1:25" x14ac:dyDescent="0.35">
      <c r="A88">
        <v>2920</v>
      </c>
      <c r="B88">
        <v>23610</v>
      </c>
      <c r="C88" s="1">
        <v>42667</v>
      </c>
      <c r="F88" s="47"/>
      <c r="G88">
        <v>12</v>
      </c>
      <c r="H88">
        <v>9.6999999999999993</v>
      </c>
      <c r="I88">
        <v>14.1</v>
      </c>
      <c r="J88">
        <f t="shared" si="4"/>
        <v>387.99999999999994</v>
      </c>
      <c r="K88">
        <f t="shared" si="5"/>
        <v>387.99999999999994</v>
      </c>
      <c r="M88">
        <v>1.1000000000000001</v>
      </c>
      <c r="N88">
        <v>0.9</v>
      </c>
      <c r="O88">
        <f t="shared" si="9"/>
        <v>0.20000000000000007</v>
      </c>
      <c r="Q88">
        <v>32</v>
      </c>
      <c r="R88">
        <f t="shared" si="8"/>
        <v>0.63770491803278695</v>
      </c>
      <c r="S88">
        <f t="shared" si="10"/>
        <v>0.5739344262295083</v>
      </c>
      <c r="T88">
        <f t="shared" si="11"/>
        <v>0.52606557377049179</v>
      </c>
      <c r="U88">
        <f t="shared" si="6"/>
        <v>17.680737704918034</v>
      </c>
      <c r="W88">
        <v>547.20000000000005</v>
      </c>
      <c r="X88">
        <f t="shared" si="7"/>
        <v>28748.1</v>
      </c>
      <c r="Y88">
        <v>10.046588503477551</v>
      </c>
    </row>
    <row r="89" spans="1:25" x14ac:dyDescent="0.35">
      <c r="A89">
        <v>2920</v>
      </c>
      <c r="B89">
        <v>23610</v>
      </c>
      <c r="C89" s="1">
        <v>42668</v>
      </c>
      <c r="F89" s="47"/>
      <c r="G89">
        <v>10.3</v>
      </c>
      <c r="H89">
        <v>9.3000000000000007</v>
      </c>
      <c r="I89">
        <v>11.9</v>
      </c>
      <c r="J89">
        <f t="shared" si="4"/>
        <v>398.29999999999995</v>
      </c>
      <c r="K89">
        <f t="shared" si="5"/>
        <v>398.29999999999995</v>
      </c>
      <c r="M89">
        <v>0.3</v>
      </c>
      <c r="N89">
        <v>0.8</v>
      </c>
      <c r="O89">
        <f t="shared" si="9"/>
        <v>-0.5</v>
      </c>
      <c r="Q89">
        <v>33</v>
      </c>
      <c r="R89">
        <f t="shared" si="8"/>
        <v>0.64836065573770485</v>
      </c>
      <c r="S89">
        <f t="shared" si="10"/>
        <v>0.5186885245901639</v>
      </c>
      <c r="T89">
        <f t="shared" si="11"/>
        <v>-0.21868852459016391</v>
      </c>
      <c r="U89">
        <f t="shared" si="6"/>
        <v>17.46204918032787</v>
      </c>
      <c r="W89">
        <v>320.5</v>
      </c>
      <c r="X89">
        <f t="shared" si="7"/>
        <v>29068.6</v>
      </c>
      <c r="Y89">
        <v>9.9921204119662548</v>
      </c>
    </row>
    <row r="90" spans="1:25" x14ac:dyDescent="0.35">
      <c r="A90">
        <v>2920</v>
      </c>
      <c r="B90">
        <v>23610</v>
      </c>
      <c r="C90" s="1">
        <v>42669</v>
      </c>
      <c r="F90" s="47"/>
      <c r="G90">
        <v>9.6999999999999993</v>
      </c>
      <c r="H90">
        <v>7.4</v>
      </c>
      <c r="I90">
        <v>11.5</v>
      </c>
      <c r="J90">
        <f t="shared" si="4"/>
        <v>407.99999999999994</v>
      </c>
      <c r="K90">
        <f t="shared" si="5"/>
        <v>407.99999999999994</v>
      </c>
      <c r="M90">
        <v>0.2</v>
      </c>
      <c r="N90">
        <v>0.7</v>
      </c>
      <c r="O90">
        <f t="shared" si="9"/>
        <v>-0.49999999999999994</v>
      </c>
      <c r="Q90">
        <v>34</v>
      </c>
      <c r="R90">
        <f t="shared" si="8"/>
        <v>0.65901639344262297</v>
      </c>
      <c r="S90">
        <f t="shared" si="10"/>
        <v>0.46131147540983602</v>
      </c>
      <c r="T90">
        <f t="shared" si="11"/>
        <v>-0.26131147540983601</v>
      </c>
      <c r="U90">
        <f t="shared" si="6"/>
        <v>17.200737704918033</v>
      </c>
      <c r="W90">
        <v>350.1</v>
      </c>
      <c r="X90">
        <f t="shared" si="7"/>
        <v>29418.699999999997</v>
      </c>
      <c r="Y90">
        <v>9.9380317252698891</v>
      </c>
    </row>
    <row r="91" spans="1:25" x14ac:dyDescent="0.35">
      <c r="A91">
        <v>2920</v>
      </c>
      <c r="B91">
        <v>23610</v>
      </c>
      <c r="C91" s="1">
        <v>42670</v>
      </c>
      <c r="F91" s="47"/>
      <c r="G91">
        <v>9.8000000000000007</v>
      </c>
      <c r="H91">
        <v>9</v>
      </c>
      <c r="I91">
        <v>10.7</v>
      </c>
      <c r="J91">
        <f t="shared" si="4"/>
        <v>417.79999999999995</v>
      </c>
      <c r="K91">
        <f t="shared" si="5"/>
        <v>417.79999999999995</v>
      </c>
      <c r="M91">
        <v>0.1</v>
      </c>
      <c r="N91">
        <v>0.6</v>
      </c>
      <c r="O91">
        <f t="shared" si="9"/>
        <v>-0.5</v>
      </c>
      <c r="Q91">
        <v>35</v>
      </c>
      <c r="R91">
        <f t="shared" si="8"/>
        <v>0.66967213114754098</v>
      </c>
      <c r="S91">
        <f t="shared" si="10"/>
        <v>0.40180327868852456</v>
      </c>
      <c r="T91">
        <f t="shared" si="11"/>
        <v>-0.30180327868852452</v>
      </c>
      <c r="U91">
        <f t="shared" si="6"/>
        <v>16.898934426229509</v>
      </c>
      <c r="W91">
        <v>210.1</v>
      </c>
      <c r="X91">
        <f t="shared" si="7"/>
        <v>29628.799999999996</v>
      </c>
      <c r="Y91">
        <v>9.8843390199300991</v>
      </c>
    </row>
    <row r="92" spans="1:25" x14ac:dyDescent="0.35">
      <c r="A92">
        <v>2920</v>
      </c>
      <c r="B92">
        <v>23610</v>
      </c>
      <c r="C92" s="1">
        <v>42671</v>
      </c>
      <c r="F92" s="47"/>
      <c r="G92">
        <v>9.6</v>
      </c>
      <c r="H92">
        <v>8.1999999999999993</v>
      </c>
      <c r="I92">
        <v>11.6</v>
      </c>
      <c r="J92">
        <f t="shared" si="4"/>
        <v>427.4</v>
      </c>
      <c r="K92">
        <f t="shared" si="5"/>
        <v>427.4</v>
      </c>
      <c r="M92">
        <v>0.1</v>
      </c>
      <c r="N92">
        <v>0.8</v>
      </c>
      <c r="O92">
        <f t="shared" si="9"/>
        <v>-0.70000000000000007</v>
      </c>
      <c r="Q92">
        <v>36</v>
      </c>
      <c r="R92">
        <f t="shared" si="8"/>
        <v>0.68032786885245899</v>
      </c>
      <c r="S92">
        <f t="shared" si="10"/>
        <v>0.54426229508196722</v>
      </c>
      <c r="T92">
        <f t="shared" si="11"/>
        <v>-0.44426229508196724</v>
      </c>
      <c r="U92">
        <f t="shared" si="6"/>
        <v>16.454672131147543</v>
      </c>
      <c r="W92">
        <v>392.2</v>
      </c>
      <c r="X92">
        <f t="shared" si="7"/>
        <v>30020.999999999996</v>
      </c>
      <c r="Y92">
        <v>9.8310592898758404</v>
      </c>
    </row>
    <row r="93" spans="1:25" x14ac:dyDescent="0.35">
      <c r="A93">
        <v>2920</v>
      </c>
      <c r="B93">
        <v>23610</v>
      </c>
      <c r="C93" s="1">
        <v>42672</v>
      </c>
      <c r="F93" s="47"/>
      <c r="G93">
        <v>10.3</v>
      </c>
      <c r="H93">
        <v>6.3</v>
      </c>
      <c r="I93">
        <v>12.6</v>
      </c>
      <c r="J93">
        <f t="shared" si="4"/>
        <v>437.7</v>
      </c>
      <c r="K93">
        <f t="shared" si="5"/>
        <v>437.7</v>
      </c>
      <c r="M93">
        <v>0</v>
      </c>
      <c r="N93">
        <v>0.6</v>
      </c>
      <c r="O93">
        <f t="shared" si="9"/>
        <v>-0.6</v>
      </c>
      <c r="Q93">
        <v>37</v>
      </c>
      <c r="R93">
        <f t="shared" si="8"/>
        <v>0.69098360655737712</v>
      </c>
      <c r="S93">
        <f t="shared" si="10"/>
        <v>0.41459016393442627</v>
      </c>
      <c r="T93">
        <f t="shared" si="11"/>
        <v>-0.41459016393442627</v>
      </c>
      <c r="U93">
        <f t="shared" si="6"/>
        <v>16.040081967213116</v>
      </c>
      <c r="W93">
        <v>370.7</v>
      </c>
      <c r="X93">
        <f t="shared" si="7"/>
        <v>30391.699999999997</v>
      </c>
      <c r="Y93">
        <v>9.778209947819624</v>
      </c>
    </row>
    <row r="94" spans="1:25" x14ac:dyDescent="0.35">
      <c r="A94">
        <v>2920</v>
      </c>
      <c r="B94">
        <v>23610</v>
      </c>
      <c r="C94" s="1">
        <v>42673</v>
      </c>
      <c r="F94" s="47"/>
      <c r="G94">
        <v>11.7</v>
      </c>
      <c r="H94">
        <v>8.3000000000000007</v>
      </c>
      <c r="I94">
        <v>16.5</v>
      </c>
      <c r="J94">
        <f t="shared" si="4"/>
        <v>449.4</v>
      </c>
      <c r="K94">
        <f t="shared" si="5"/>
        <v>449.4</v>
      </c>
      <c r="M94">
        <v>0</v>
      </c>
      <c r="N94">
        <v>1.8</v>
      </c>
      <c r="O94">
        <f t="shared" si="9"/>
        <v>-1.8</v>
      </c>
      <c r="Q94">
        <v>38</v>
      </c>
      <c r="R94">
        <f t="shared" si="8"/>
        <v>0.70163934426229513</v>
      </c>
      <c r="S94">
        <f t="shared" si="10"/>
        <v>1.2629508196721313</v>
      </c>
      <c r="T94">
        <f t="shared" si="11"/>
        <v>-1.2629508196721313</v>
      </c>
      <c r="U94">
        <f t="shared" si="6"/>
        <v>14.777131147540985</v>
      </c>
      <c r="W94">
        <v>1083.2</v>
      </c>
      <c r="X94">
        <f t="shared" si="7"/>
        <v>31474.899999999998</v>
      </c>
      <c r="Y94">
        <v>9.7258088254671407</v>
      </c>
    </row>
    <row r="95" spans="1:25" x14ac:dyDescent="0.35">
      <c r="A95">
        <v>2920</v>
      </c>
      <c r="B95">
        <v>23610</v>
      </c>
      <c r="C95" s="1">
        <v>42674</v>
      </c>
      <c r="F95" s="47"/>
      <c r="G95">
        <v>10.7</v>
      </c>
      <c r="H95">
        <v>4.5</v>
      </c>
      <c r="I95">
        <v>17.899999999999999</v>
      </c>
      <c r="J95">
        <f t="shared" si="4"/>
        <v>460.09999999999997</v>
      </c>
      <c r="K95">
        <f t="shared" si="5"/>
        <v>460.09999999999997</v>
      </c>
      <c r="M95">
        <v>0.1</v>
      </c>
      <c r="N95">
        <v>1.8</v>
      </c>
      <c r="O95">
        <f t="shared" si="9"/>
        <v>-1.7</v>
      </c>
      <c r="Q95">
        <v>39</v>
      </c>
      <c r="R95">
        <f t="shared" si="8"/>
        <v>0.71229508196721314</v>
      </c>
      <c r="S95">
        <f t="shared" si="10"/>
        <v>1.2821311475409838</v>
      </c>
      <c r="T95">
        <f t="shared" si="11"/>
        <v>-1.1821311475409837</v>
      </c>
      <c r="U95">
        <f t="shared" si="6"/>
        <v>13.595000000000001</v>
      </c>
      <c r="W95">
        <v>1081.3</v>
      </c>
      <c r="X95">
        <f t="shared" si="7"/>
        <v>32556.199999999997</v>
      </c>
      <c r="Y95">
        <v>9.6738741724714572</v>
      </c>
    </row>
    <row r="96" spans="1:25" x14ac:dyDescent="0.35">
      <c r="A96">
        <v>2920</v>
      </c>
      <c r="B96">
        <v>23610</v>
      </c>
      <c r="C96" s="1">
        <v>42675</v>
      </c>
      <c r="F96" s="47"/>
      <c r="G96">
        <v>8.4</v>
      </c>
      <c r="H96">
        <v>2.7</v>
      </c>
      <c r="I96">
        <v>13.5</v>
      </c>
      <c r="J96">
        <f t="shared" si="4"/>
        <v>468.49999999999994</v>
      </c>
      <c r="K96">
        <f t="shared" si="5"/>
        <v>468.49999999999994</v>
      </c>
      <c r="M96">
        <v>0.2</v>
      </c>
      <c r="N96">
        <v>1.3</v>
      </c>
      <c r="O96">
        <f t="shared" si="9"/>
        <v>-1.1000000000000001</v>
      </c>
      <c r="Q96">
        <v>40</v>
      </c>
      <c r="R96">
        <f t="shared" si="8"/>
        <v>0.72295081967213104</v>
      </c>
      <c r="S96">
        <f t="shared" si="10"/>
        <v>0.93983606557377042</v>
      </c>
      <c r="T96">
        <f t="shared" si="11"/>
        <v>-0.73983606557377035</v>
      </c>
      <c r="U96">
        <f t="shared" si="6"/>
        <v>12.85516393442623</v>
      </c>
      <c r="W96">
        <v>935.8</v>
      </c>
      <c r="X96">
        <f t="shared" si="7"/>
        <v>33492</v>
      </c>
      <c r="Y96">
        <v>9.6224246540620815</v>
      </c>
    </row>
    <row r="97" spans="1:25" x14ac:dyDescent="0.35">
      <c r="A97">
        <v>2920</v>
      </c>
      <c r="B97">
        <v>23610</v>
      </c>
      <c r="C97" s="1">
        <v>42676</v>
      </c>
      <c r="F97" s="47"/>
      <c r="G97">
        <v>8.1999999999999993</v>
      </c>
      <c r="H97">
        <v>7.2</v>
      </c>
      <c r="I97">
        <v>11.6</v>
      </c>
      <c r="J97">
        <f t="shared" si="4"/>
        <v>476.69999999999993</v>
      </c>
      <c r="K97">
        <f t="shared" si="5"/>
        <v>476.69999999999993</v>
      </c>
      <c r="M97">
        <v>0.1</v>
      </c>
      <c r="N97">
        <v>0.5</v>
      </c>
      <c r="O97">
        <f t="shared" si="9"/>
        <v>-0.4</v>
      </c>
      <c r="Q97">
        <v>41</v>
      </c>
      <c r="R97">
        <f t="shared" si="8"/>
        <v>0.73360655737704916</v>
      </c>
      <c r="S97">
        <f t="shared" si="10"/>
        <v>0.36680327868852458</v>
      </c>
      <c r="T97">
        <f t="shared" si="11"/>
        <v>-0.2668032786885246</v>
      </c>
      <c r="U97">
        <f t="shared" si="6"/>
        <v>12.588360655737706</v>
      </c>
      <c r="W97">
        <v>290.10000000000002</v>
      </c>
      <c r="X97">
        <f t="shared" si="7"/>
        <v>33782.1</v>
      </c>
      <c r="Y97">
        <v>9.5714793472785473</v>
      </c>
    </row>
    <row r="98" spans="1:25" x14ac:dyDescent="0.35">
      <c r="A98">
        <v>2920</v>
      </c>
      <c r="B98">
        <v>23610</v>
      </c>
      <c r="C98" s="1">
        <v>42677</v>
      </c>
      <c r="F98" s="47"/>
      <c r="G98">
        <v>5</v>
      </c>
      <c r="H98">
        <v>-0.7</v>
      </c>
      <c r="I98">
        <v>10.199999999999999</v>
      </c>
      <c r="J98">
        <f t="shared" si="4"/>
        <v>481.69999999999993</v>
      </c>
      <c r="K98">
        <f t="shared" si="5"/>
        <v>481.69999999999993</v>
      </c>
      <c r="M98">
        <v>0.9</v>
      </c>
      <c r="N98">
        <v>1.1000000000000001</v>
      </c>
      <c r="O98">
        <f t="shared" si="9"/>
        <v>-0.20000000000000007</v>
      </c>
      <c r="Q98">
        <v>42</v>
      </c>
      <c r="R98">
        <f t="shared" si="8"/>
        <v>0.74426229508196728</v>
      </c>
      <c r="S98">
        <f t="shared" si="10"/>
        <v>0.81868852459016406</v>
      </c>
      <c r="T98">
        <f t="shared" si="11"/>
        <v>8.1311475409835965E-2</v>
      </c>
      <c r="U98">
        <f t="shared" si="6"/>
        <v>12.669672131147541</v>
      </c>
      <c r="W98">
        <v>934.4</v>
      </c>
      <c r="X98">
        <f t="shared" si="7"/>
        <v>34716.5</v>
      </c>
      <c r="Y98">
        <v>9.521057735738184</v>
      </c>
    </row>
    <row r="99" spans="1:25" x14ac:dyDescent="0.35">
      <c r="A99">
        <v>2920</v>
      </c>
      <c r="B99">
        <v>23610</v>
      </c>
      <c r="C99" s="1">
        <v>42678</v>
      </c>
      <c r="F99" s="47"/>
      <c r="G99">
        <v>7.3</v>
      </c>
      <c r="H99">
        <v>3.9</v>
      </c>
      <c r="I99">
        <v>9.9</v>
      </c>
      <c r="J99">
        <f t="shared" si="4"/>
        <v>488.99999999999994</v>
      </c>
      <c r="K99">
        <f t="shared" si="5"/>
        <v>488.99999999999994</v>
      </c>
      <c r="M99">
        <v>2.4</v>
      </c>
      <c r="N99">
        <v>0.7</v>
      </c>
      <c r="O99">
        <f t="shared" si="9"/>
        <v>1.7</v>
      </c>
      <c r="Q99">
        <v>43</v>
      </c>
      <c r="R99">
        <f t="shared" si="8"/>
        <v>0.75491803278688518</v>
      </c>
      <c r="S99">
        <f t="shared" si="10"/>
        <v>0.52844262295081956</v>
      </c>
      <c r="T99">
        <f t="shared" si="11"/>
        <v>1.8715573770491805</v>
      </c>
      <c r="U99">
        <f t="shared" si="6"/>
        <v>14.541229508196722</v>
      </c>
      <c r="W99">
        <v>576</v>
      </c>
      <c r="X99">
        <f t="shared" si="7"/>
        <v>35292.5</v>
      </c>
      <c r="Y99">
        <v>9.4711797028677687</v>
      </c>
    </row>
    <row r="100" spans="1:25" x14ac:dyDescent="0.35">
      <c r="A100">
        <v>2920</v>
      </c>
      <c r="B100">
        <v>23610</v>
      </c>
      <c r="C100" s="1">
        <v>42679</v>
      </c>
      <c r="F100" s="47"/>
      <c r="G100">
        <v>7.3</v>
      </c>
      <c r="H100">
        <v>4.8</v>
      </c>
      <c r="I100">
        <v>11.9</v>
      </c>
      <c r="J100">
        <f t="shared" si="4"/>
        <v>496.29999999999995</v>
      </c>
      <c r="K100">
        <f t="shared" si="5"/>
        <v>496.29999999999995</v>
      </c>
      <c r="M100">
        <v>2.4</v>
      </c>
      <c r="N100">
        <v>1.3</v>
      </c>
      <c r="O100">
        <f t="shared" si="9"/>
        <v>1.0999999999999999</v>
      </c>
      <c r="Q100">
        <v>44</v>
      </c>
      <c r="R100">
        <f t="shared" si="8"/>
        <v>0.76557377049180331</v>
      </c>
      <c r="S100">
        <f t="shared" si="10"/>
        <v>0.99524590163934434</v>
      </c>
      <c r="T100">
        <f t="shared" si="11"/>
        <v>1.4047540983606557</v>
      </c>
      <c r="U100">
        <f t="shared" si="6"/>
        <v>15.945983606557377</v>
      </c>
      <c r="W100">
        <v>794.4</v>
      </c>
      <c r="X100">
        <f t="shared" si="7"/>
        <v>36086.9</v>
      </c>
      <c r="Y100">
        <v>9.4218655235298758</v>
      </c>
    </row>
    <row r="101" spans="1:25" x14ac:dyDescent="0.35">
      <c r="A101">
        <v>2920</v>
      </c>
      <c r="B101">
        <v>23610</v>
      </c>
      <c r="C101" s="1">
        <v>42680</v>
      </c>
      <c r="F101" s="47"/>
      <c r="G101">
        <v>4.8</v>
      </c>
      <c r="H101">
        <v>4.2</v>
      </c>
      <c r="I101">
        <v>7.6</v>
      </c>
      <c r="J101">
        <f t="shared" si="4"/>
        <v>501.09999999999997</v>
      </c>
      <c r="K101">
        <f t="shared" si="5"/>
        <v>501.09999999999997</v>
      </c>
      <c r="M101">
        <v>2.4</v>
      </c>
      <c r="N101">
        <v>0.7</v>
      </c>
      <c r="O101">
        <f t="shared" si="9"/>
        <v>1.7</v>
      </c>
      <c r="Q101">
        <v>45</v>
      </c>
      <c r="R101">
        <f t="shared" si="8"/>
        <v>0.77622950819672121</v>
      </c>
      <c r="S101">
        <f t="shared" si="10"/>
        <v>0.54336065573770476</v>
      </c>
      <c r="T101">
        <f t="shared" si="11"/>
        <v>1.856639344262295</v>
      </c>
      <c r="U101">
        <f t="shared" si="6"/>
        <v>17.802622950819671</v>
      </c>
      <c r="W101">
        <v>459.7</v>
      </c>
      <c r="X101">
        <f t="shared" si="7"/>
        <v>36546.6</v>
      </c>
      <c r="Y101">
        <v>9.3731358539758194</v>
      </c>
    </row>
    <row r="102" spans="1:25" x14ac:dyDescent="0.35">
      <c r="A102">
        <v>2920</v>
      </c>
      <c r="B102">
        <v>23610</v>
      </c>
      <c r="C102" s="1">
        <v>42681</v>
      </c>
      <c r="F102" s="47"/>
      <c r="G102">
        <v>5.8</v>
      </c>
      <c r="H102">
        <v>2.1</v>
      </c>
      <c r="I102">
        <v>9.8000000000000007</v>
      </c>
      <c r="J102">
        <f t="shared" si="4"/>
        <v>506.9</v>
      </c>
      <c r="K102">
        <f t="shared" si="5"/>
        <v>506.9</v>
      </c>
      <c r="M102">
        <v>0.6</v>
      </c>
      <c r="N102">
        <v>0.8</v>
      </c>
      <c r="O102">
        <f t="shared" si="9"/>
        <v>-0.20000000000000007</v>
      </c>
      <c r="Q102">
        <v>46</v>
      </c>
      <c r="R102">
        <f t="shared" si="8"/>
        <v>0.78688524590163933</v>
      </c>
      <c r="S102">
        <f t="shared" si="10"/>
        <v>0.62950819672131153</v>
      </c>
      <c r="T102">
        <f t="shared" si="11"/>
        <v>-2.9508196721311553E-2</v>
      </c>
      <c r="U102">
        <f t="shared" si="6"/>
        <v>17.773114754098359</v>
      </c>
      <c r="W102">
        <v>606.20000000000005</v>
      </c>
      <c r="X102">
        <f t="shared" si="7"/>
        <v>37152.799999999996</v>
      </c>
      <c r="Y102">
        <v>9.3250117200592744</v>
      </c>
    </row>
    <row r="103" spans="1:25" x14ac:dyDescent="0.35">
      <c r="A103">
        <v>2920</v>
      </c>
      <c r="B103">
        <v>23610</v>
      </c>
      <c r="C103" s="1">
        <v>42682</v>
      </c>
      <c r="F103" s="47"/>
      <c r="G103">
        <v>7.2</v>
      </c>
      <c r="H103">
        <v>3</v>
      </c>
      <c r="I103">
        <v>9.9</v>
      </c>
      <c r="J103">
        <f t="shared" si="4"/>
        <v>514.1</v>
      </c>
      <c r="K103">
        <f t="shared" si="5"/>
        <v>514.1</v>
      </c>
      <c r="M103">
        <v>15</v>
      </c>
      <c r="N103">
        <v>0.7</v>
      </c>
      <c r="O103">
        <f t="shared" si="9"/>
        <v>14.3</v>
      </c>
      <c r="Q103">
        <v>47</v>
      </c>
      <c r="R103">
        <f t="shared" si="8"/>
        <v>0.79754098360655734</v>
      </c>
      <c r="S103">
        <f t="shared" si="10"/>
        <v>0.55827868852459006</v>
      </c>
      <c r="T103">
        <f t="shared" si="11"/>
        <v>14.44172131147541</v>
      </c>
      <c r="U103">
        <f t="shared" si="6"/>
        <v>32.21483606557377</v>
      </c>
      <c r="W103">
        <v>614.70000000000005</v>
      </c>
      <c r="X103">
        <f t="shared" si="7"/>
        <v>37767.499999999993</v>
      </c>
      <c r="Y103">
        <v>9.2775145036471933</v>
      </c>
    </row>
    <row r="104" spans="1:25" x14ac:dyDescent="0.35">
      <c r="A104">
        <v>2920</v>
      </c>
      <c r="B104">
        <v>23610</v>
      </c>
      <c r="C104" s="1">
        <v>42683</v>
      </c>
      <c r="F104" s="47"/>
      <c r="G104">
        <v>9.6999999999999993</v>
      </c>
      <c r="H104">
        <v>8</v>
      </c>
      <c r="I104">
        <v>12.1</v>
      </c>
      <c r="J104">
        <f t="shared" si="4"/>
        <v>523.80000000000007</v>
      </c>
      <c r="K104">
        <f t="shared" si="5"/>
        <v>523.80000000000007</v>
      </c>
      <c r="M104">
        <v>1.5</v>
      </c>
      <c r="N104">
        <v>1.5</v>
      </c>
      <c r="O104">
        <f t="shared" si="9"/>
        <v>0</v>
      </c>
      <c r="Q104">
        <v>48</v>
      </c>
      <c r="R104">
        <f t="shared" si="8"/>
        <v>0.80819672131147535</v>
      </c>
      <c r="S104">
        <f t="shared" si="10"/>
        <v>1.2122950819672131</v>
      </c>
      <c r="T104">
        <f t="shared" si="11"/>
        <v>0.28770491803278686</v>
      </c>
      <c r="U104">
        <f t="shared" si="6"/>
        <v>32.502540983606558</v>
      </c>
      <c r="W104">
        <v>321</v>
      </c>
      <c r="X104">
        <f t="shared" si="7"/>
        <v>38088.499999999993</v>
      </c>
      <c r="Y104">
        <v>9.2306659271680385</v>
      </c>
    </row>
    <row r="105" spans="1:25" x14ac:dyDescent="0.35">
      <c r="A105">
        <v>2920</v>
      </c>
      <c r="B105">
        <v>23610</v>
      </c>
      <c r="C105" s="1">
        <v>42684</v>
      </c>
      <c r="F105" s="47"/>
      <c r="G105">
        <v>10.5</v>
      </c>
      <c r="H105">
        <v>9.3000000000000007</v>
      </c>
      <c r="I105">
        <v>12.6</v>
      </c>
      <c r="J105">
        <f t="shared" si="4"/>
        <v>534.30000000000007</v>
      </c>
      <c r="K105">
        <f t="shared" si="5"/>
        <v>534.30000000000007</v>
      </c>
      <c r="M105">
        <v>1.1000000000000001</v>
      </c>
      <c r="N105">
        <v>1.1000000000000001</v>
      </c>
      <c r="O105">
        <f t="shared" si="9"/>
        <v>0</v>
      </c>
      <c r="Q105">
        <v>49</v>
      </c>
      <c r="R105">
        <f t="shared" si="8"/>
        <v>0.81885245901639347</v>
      </c>
      <c r="S105">
        <f t="shared" si="10"/>
        <v>0.90073770491803284</v>
      </c>
      <c r="T105">
        <f t="shared" si="11"/>
        <v>0.19926229508196724</v>
      </c>
      <c r="U105">
        <f t="shared" si="6"/>
        <v>32.701803278688523</v>
      </c>
      <c r="W105">
        <v>130</v>
      </c>
      <c r="X105">
        <f t="shared" si="7"/>
        <v>38218.499999999993</v>
      </c>
      <c r="Y105">
        <v>9.1844880362415182</v>
      </c>
    </row>
    <row r="106" spans="1:25" x14ac:dyDescent="0.35">
      <c r="A106">
        <v>2920</v>
      </c>
      <c r="B106">
        <v>23610</v>
      </c>
      <c r="C106" s="1">
        <v>42685</v>
      </c>
      <c r="F106" s="47"/>
      <c r="G106">
        <v>8.3000000000000007</v>
      </c>
      <c r="H106">
        <v>4.9000000000000004</v>
      </c>
      <c r="I106">
        <v>12.3</v>
      </c>
      <c r="J106">
        <f t="shared" si="4"/>
        <v>542.6</v>
      </c>
      <c r="K106">
        <f t="shared" si="5"/>
        <v>542.6</v>
      </c>
      <c r="M106">
        <v>0.9</v>
      </c>
      <c r="N106">
        <v>0.9</v>
      </c>
      <c r="O106">
        <f t="shared" si="9"/>
        <v>0</v>
      </c>
      <c r="Q106">
        <v>50</v>
      </c>
      <c r="R106">
        <f t="shared" si="8"/>
        <v>0.82950819672131149</v>
      </c>
      <c r="S106">
        <f t="shared" si="10"/>
        <v>0.74655737704918035</v>
      </c>
      <c r="T106">
        <f t="shared" si="11"/>
        <v>0.15344262295081967</v>
      </c>
      <c r="U106">
        <f t="shared" si="6"/>
        <v>32.855245901639343</v>
      </c>
      <c r="W106">
        <v>658.4</v>
      </c>
      <c r="X106">
        <f t="shared" si="7"/>
        <v>38876.899999999994</v>
      </c>
      <c r="Y106">
        <v>9.1390031803389036</v>
      </c>
    </row>
    <row r="107" spans="1:25" x14ac:dyDescent="0.35">
      <c r="A107">
        <v>2920</v>
      </c>
      <c r="B107">
        <v>23610</v>
      </c>
      <c r="C107" s="1">
        <v>42686</v>
      </c>
      <c r="F107" s="47"/>
      <c r="G107">
        <v>9.9</v>
      </c>
      <c r="H107">
        <v>6.6</v>
      </c>
      <c r="I107">
        <v>11.6</v>
      </c>
      <c r="J107">
        <f t="shared" si="4"/>
        <v>552.5</v>
      </c>
      <c r="K107">
        <f t="shared" si="5"/>
        <v>552.5</v>
      </c>
      <c r="M107">
        <v>5.7</v>
      </c>
      <c r="N107">
        <v>0.3</v>
      </c>
      <c r="O107">
        <f t="shared" si="9"/>
        <v>5.4</v>
      </c>
      <c r="Q107">
        <v>51</v>
      </c>
      <c r="R107">
        <f t="shared" si="8"/>
        <v>0.8401639344262295</v>
      </c>
      <c r="S107">
        <f t="shared" si="10"/>
        <v>0.25204918032786883</v>
      </c>
      <c r="T107">
        <f t="shared" si="11"/>
        <v>5.4479508196721316</v>
      </c>
      <c r="U107">
        <f t="shared" si="6"/>
        <v>38.303196721311473</v>
      </c>
      <c r="W107">
        <v>140.5</v>
      </c>
      <c r="X107">
        <f t="shared" si="7"/>
        <v>39017.399999999994</v>
      </c>
      <c r="Y107">
        <v>9.0942339914289434</v>
      </c>
    </row>
    <row r="108" spans="1:25" x14ac:dyDescent="0.35">
      <c r="A108">
        <v>2920</v>
      </c>
      <c r="B108">
        <v>23610</v>
      </c>
      <c r="C108" s="1">
        <v>42687</v>
      </c>
      <c r="F108" s="47"/>
      <c r="G108">
        <v>9.9</v>
      </c>
      <c r="H108">
        <v>8.1999999999999993</v>
      </c>
      <c r="I108">
        <v>13</v>
      </c>
      <c r="J108">
        <f t="shared" si="4"/>
        <v>562.4</v>
      </c>
      <c r="K108">
        <f t="shared" si="5"/>
        <v>562.4</v>
      </c>
      <c r="M108">
        <v>0</v>
      </c>
      <c r="N108">
        <v>1</v>
      </c>
      <c r="O108">
        <f t="shared" si="9"/>
        <v>-1</v>
      </c>
      <c r="Q108">
        <v>52</v>
      </c>
      <c r="R108">
        <f t="shared" si="8"/>
        <v>0.85081967213114751</v>
      </c>
      <c r="S108">
        <f t="shared" si="10"/>
        <v>0.85081967213114751</v>
      </c>
      <c r="T108">
        <f t="shared" si="11"/>
        <v>-0.85081967213114751</v>
      </c>
      <c r="U108">
        <f t="shared" si="6"/>
        <v>37.452377049180328</v>
      </c>
      <c r="W108">
        <v>654.20000000000005</v>
      </c>
      <c r="X108">
        <f t="shared" si="7"/>
        <v>39671.599999999991</v>
      </c>
      <c r="Y108">
        <v>9.0502033605709933</v>
      </c>
    </row>
    <row r="109" spans="1:25" x14ac:dyDescent="0.35">
      <c r="A109">
        <v>2920</v>
      </c>
      <c r="B109">
        <v>23610</v>
      </c>
      <c r="C109" s="1">
        <v>42688</v>
      </c>
      <c r="F109" s="47"/>
      <c r="G109">
        <v>8.3000000000000007</v>
      </c>
      <c r="H109">
        <v>3.7</v>
      </c>
      <c r="I109">
        <v>11.8</v>
      </c>
      <c r="J109">
        <f t="shared" si="4"/>
        <v>570.69999999999993</v>
      </c>
      <c r="K109">
        <f t="shared" si="5"/>
        <v>570.69999999999993</v>
      </c>
      <c r="M109">
        <v>0.9</v>
      </c>
      <c r="N109">
        <v>0.7</v>
      </c>
      <c r="O109">
        <f t="shared" si="9"/>
        <v>0.20000000000000007</v>
      </c>
      <c r="Q109">
        <v>53</v>
      </c>
      <c r="R109">
        <f t="shared" si="8"/>
        <v>0.86147540983606552</v>
      </c>
      <c r="S109">
        <f t="shared" si="10"/>
        <v>0.60303278688524586</v>
      </c>
      <c r="T109">
        <f t="shared" si="11"/>
        <v>0.29696721311475416</v>
      </c>
      <c r="U109">
        <f t="shared" si="6"/>
        <v>37.749344262295082</v>
      </c>
      <c r="W109">
        <v>389.7</v>
      </c>
      <c r="X109">
        <f t="shared" si="7"/>
        <v>40061.299999999988</v>
      </c>
      <c r="Y109">
        <v>9.0069344124247763</v>
      </c>
    </row>
    <row r="110" spans="1:25" x14ac:dyDescent="0.35">
      <c r="A110">
        <v>2920</v>
      </c>
      <c r="B110">
        <v>23610</v>
      </c>
      <c r="C110" s="1">
        <v>42689</v>
      </c>
      <c r="F110" s="47"/>
      <c r="G110">
        <v>11.8</v>
      </c>
      <c r="H110">
        <v>9.6</v>
      </c>
      <c r="I110">
        <v>12.7</v>
      </c>
      <c r="J110">
        <f t="shared" si="4"/>
        <v>582.49999999999989</v>
      </c>
      <c r="K110">
        <f t="shared" si="5"/>
        <v>582.49999999999989</v>
      </c>
      <c r="M110">
        <v>2.2000000000000002</v>
      </c>
      <c r="N110">
        <v>0.3</v>
      </c>
      <c r="O110">
        <f t="shared" si="9"/>
        <v>1.9000000000000001</v>
      </c>
      <c r="Q110">
        <v>54</v>
      </c>
      <c r="R110">
        <f t="shared" si="8"/>
        <v>0.87213114754098364</v>
      </c>
      <c r="S110">
        <f t="shared" si="10"/>
        <v>0.26163934426229507</v>
      </c>
      <c r="T110">
        <f t="shared" si="11"/>
        <v>1.9383606557377051</v>
      </c>
      <c r="U110">
        <f t="shared" si="6"/>
        <v>39.687704918032786</v>
      </c>
      <c r="W110">
        <v>102.6</v>
      </c>
      <c r="X110">
        <f t="shared" si="7"/>
        <v>40163.899999999987</v>
      </c>
      <c r="Y110">
        <v>8.9644504776547578</v>
      </c>
    </row>
    <row r="111" spans="1:25" x14ac:dyDescent="0.35">
      <c r="A111">
        <v>2920</v>
      </c>
      <c r="B111">
        <v>23610</v>
      </c>
      <c r="C111" s="1">
        <v>42690</v>
      </c>
      <c r="F111" s="47"/>
      <c r="G111">
        <v>11.5</v>
      </c>
      <c r="H111">
        <v>11.1</v>
      </c>
      <c r="I111">
        <v>12.6</v>
      </c>
      <c r="J111">
        <f t="shared" si="4"/>
        <v>593.99999999999989</v>
      </c>
      <c r="K111">
        <f t="shared" si="5"/>
        <v>593.99999999999989</v>
      </c>
      <c r="M111">
        <v>1.6</v>
      </c>
      <c r="N111">
        <v>0.5</v>
      </c>
      <c r="O111">
        <f t="shared" si="9"/>
        <v>1.1000000000000001</v>
      </c>
      <c r="Q111">
        <v>55</v>
      </c>
      <c r="R111">
        <f t="shared" si="8"/>
        <v>0.88278688524590165</v>
      </c>
      <c r="S111">
        <f t="shared" si="10"/>
        <v>0.44139344262295083</v>
      </c>
      <c r="T111">
        <f t="shared" si="11"/>
        <v>1.1586065573770492</v>
      </c>
      <c r="U111">
        <f t="shared" si="6"/>
        <v>40.846311475409834</v>
      </c>
      <c r="W111">
        <v>138.80000000000001</v>
      </c>
      <c r="X111">
        <f t="shared" si="7"/>
        <v>40302.69999999999</v>
      </c>
      <c r="Y111">
        <v>8.9227750632167773</v>
      </c>
    </row>
    <row r="112" spans="1:25" x14ac:dyDescent="0.35">
      <c r="A112">
        <v>2920</v>
      </c>
      <c r="B112">
        <v>23610</v>
      </c>
      <c r="C112" s="1">
        <v>42691</v>
      </c>
      <c r="F112" s="47"/>
      <c r="G112">
        <v>11.8</v>
      </c>
      <c r="H112">
        <v>8.6</v>
      </c>
      <c r="I112">
        <v>13.9</v>
      </c>
      <c r="J112">
        <f t="shared" si="4"/>
        <v>605.79999999999984</v>
      </c>
      <c r="K112">
        <f t="shared" si="5"/>
        <v>605.79999999999984</v>
      </c>
      <c r="M112">
        <v>2.5</v>
      </c>
      <c r="N112">
        <v>0.8</v>
      </c>
      <c r="O112">
        <f t="shared" si="9"/>
        <v>1.7</v>
      </c>
      <c r="Q112">
        <v>56</v>
      </c>
      <c r="R112">
        <f t="shared" si="8"/>
        <v>0.89344262295081966</v>
      </c>
      <c r="S112">
        <f t="shared" si="10"/>
        <v>0.71475409836065573</v>
      </c>
      <c r="T112">
        <f t="shared" si="11"/>
        <v>1.7852459016393443</v>
      </c>
      <c r="U112">
        <f t="shared" si="6"/>
        <v>42.631557377049177</v>
      </c>
      <c r="W112">
        <v>423.9</v>
      </c>
      <c r="X112">
        <f t="shared" si="7"/>
        <v>40726.599999999991</v>
      </c>
      <c r="Y112">
        <v>8.8819318205252102</v>
      </c>
    </row>
    <row r="113" spans="1:26" x14ac:dyDescent="0.35">
      <c r="A113">
        <v>2920</v>
      </c>
      <c r="B113">
        <v>23610</v>
      </c>
      <c r="C113" s="1">
        <v>42692</v>
      </c>
      <c r="F113" s="47"/>
      <c r="G113">
        <v>7.6</v>
      </c>
      <c r="H113">
        <v>5.9</v>
      </c>
      <c r="I113">
        <v>9.6999999999999993</v>
      </c>
      <c r="J113">
        <f t="shared" si="4"/>
        <v>613.39999999999986</v>
      </c>
      <c r="K113">
        <f t="shared" si="5"/>
        <v>613.39999999999986</v>
      </c>
      <c r="M113">
        <v>0.8</v>
      </c>
      <c r="N113">
        <v>1.1000000000000001</v>
      </c>
      <c r="O113">
        <f t="shared" si="9"/>
        <v>-0.30000000000000004</v>
      </c>
      <c r="Q113">
        <v>57</v>
      </c>
      <c r="R113">
        <f t="shared" si="8"/>
        <v>0.90409836065573768</v>
      </c>
      <c r="S113">
        <f t="shared" si="10"/>
        <v>0.99450819672131152</v>
      </c>
      <c r="T113">
        <f t="shared" si="11"/>
        <v>-0.19450819672131148</v>
      </c>
      <c r="U113">
        <f t="shared" si="6"/>
        <v>42.437049180327868</v>
      </c>
      <c r="W113">
        <v>279.10000000000002</v>
      </c>
      <c r="X113">
        <f t="shared" si="7"/>
        <v>41005.69999999999</v>
      </c>
      <c r="Y113">
        <v>8.8419445115105368</v>
      </c>
    </row>
    <row r="114" spans="1:26" x14ac:dyDescent="0.35">
      <c r="A114">
        <v>2920</v>
      </c>
      <c r="B114">
        <v>23610</v>
      </c>
      <c r="C114" s="1">
        <v>42693</v>
      </c>
      <c r="F114" s="47"/>
      <c r="G114">
        <v>7.5</v>
      </c>
      <c r="H114">
        <v>3.3</v>
      </c>
      <c r="I114">
        <v>10.8</v>
      </c>
      <c r="J114">
        <f t="shared" si="4"/>
        <v>620.89999999999986</v>
      </c>
      <c r="K114">
        <f t="shared" si="5"/>
        <v>620.89999999999986</v>
      </c>
      <c r="M114">
        <v>8.8000000000000007</v>
      </c>
      <c r="N114">
        <v>0.9</v>
      </c>
      <c r="O114">
        <f t="shared" si="9"/>
        <v>7.9</v>
      </c>
      <c r="Q114">
        <v>58</v>
      </c>
      <c r="R114">
        <f t="shared" si="8"/>
        <v>0.91475409836065569</v>
      </c>
      <c r="S114">
        <f t="shared" si="10"/>
        <v>0.82327868852459019</v>
      </c>
      <c r="T114">
        <f t="shared" si="11"/>
        <v>7.9767213114754103</v>
      </c>
      <c r="U114">
        <f t="shared" si="6"/>
        <v>50.413770491803277</v>
      </c>
      <c r="W114">
        <v>581.20000000000005</v>
      </c>
      <c r="X114">
        <f t="shared" si="7"/>
        <v>41586.899999999987</v>
      </c>
      <c r="Y114">
        <v>8.802836972589775</v>
      </c>
    </row>
    <row r="115" spans="1:26" x14ac:dyDescent="0.35">
      <c r="A115">
        <v>2920</v>
      </c>
      <c r="B115">
        <v>23610</v>
      </c>
      <c r="C115" s="1">
        <v>42694</v>
      </c>
      <c r="F115" s="47"/>
      <c r="G115">
        <v>11.3</v>
      </c>
      <c r="H115">
        <v>9</v>
      </c>
      <c r="I115">
        <v>12.4</v>
      </c>
      <c r="J115">
        <f t="shared" si="4"/>
        <v>632.19999999999982</v>
      </c>
      <c r="K115">
        <f t="shared" si="5"/>
        <v>632.19999999999982</v>
      </c>
      <c r="M115">
        <v>4.0999999999999996</v>
      </c>
      <c r="N115">
        <v>0.6</v>
      </c>
      <c r="O115">
        <f t="shared" si="9"/>
        <v>3.4999999999999996</v>
      </c>
      <c r="Q115">
        <v>59</v>
      </c>
      <c r="R115">
        <f t="shared" si="8"/>
        <v>0.92540983606557381</v>
      </c>
      <c r="S115">
        <f t="shared" si="10"/>
        <v>0.55524590163934429</v>
      </c>
      <c r="T115">
        <f t="shared" si="11"/>
        <v>3.5447540983606554</v>
      </c>
      <c r="U115">
        <f t="shared" si="6"/>
        <v>53.958524590163933</v>
      </c>
      <c r="W115">
        <v>148.80000000000001</v>
      </c>
      <c r="X115">
        <f t="shared" si="7"/>
        <v>41735.69999999999</v>
      </c>
      <c r="Y115">
        <v>8.7646330765858078</v>
      </c>
    </row>
    <row r="116" spans="1:26" x14ac:dyDescent="0.35">
      <c r="A116">
        <v>2920</v>
      </c>
      <c r="B116">
        <v>23610</v>
      </c>
      <c r="C116" s="1">
        <v>42695</v>
      </c>
      <c r="F116" s="47"/>
      <c r="G116">
        <v>11.1</v>
      </c>
      <c r="H116">
        <v>11.2</v>
      </c>
      <c r="I116">
        <v>11.5</v>
      </c>
      <c r="J116">
        <f t="shared" si="4"/>
        <v>643.29999999999984</v>
      </c>
      <c r="K116">
        <f t="shared" si="5"/>
        <v>643.29999999999984</v>
      </c>
      <c r="M116">
        <v>12.7</v>
      </c>
      <c r="N116">
        <v>1</v>
      </c>
      <c r="O116">
        <f t="shared" si="9"/>
        <v>11.7</v>
      </c>
      <c r="Q116">
        <v>60</v>
      </c>
      <c r="R116">
        <f t="shared" si="8"/>
        <v>0.93606557377049182</v>
      </c>
      <c r="S116">
        <f t="shared" si="10"/>
        <v>0.93606557377049182</v>
      </c>
      <c r="T116">
        <f t="shared" si="11"/>
        <v>11.763934426229508</v>
      </c>
      <c r="U116">
        <f t="shared" si="6"/>
        <v>65.722459016393444</v>
      </c>
      <c r="W116">
        <v>113.9</v>
      </c>
      <c r="X116">
        <f t="shared" si="7"/>
        <v>41849.599999999991</v>
      </c>
      <c r="Y116">
        <v>8.7273566926459516</v>
      </c>
    </row>
    <row r="117" spans="1:26" x14ac:dyDescent="0.35">
      <c r="A117">
        <v>2920</v>
      </c>
      <c r="B117">
        <v>23610</v>
      </c>
      <c r="C117" s="1">
        <v>42696</v>
      </c>
      <c r="F117" s="47"/>
      <c r="G117">
        <v>7.7</v>
      </c>
      <c r="H117">
        <v>6.3</v>
      </c>
      <c r="I117">
        <v>11.2</v>
      </c>
      <c r="J117">
        <f t="shared" si="4"/>
        <v>650.99999999999989</v>
      </c>
      <c r="K117">
        <f t="shared" si="5"/>
        <v>650.99999999999989</v>
      </c>
      <c r="M117">
        <v>0</v>
      </c>
      <c r="N117">
        <v>0.9</v>
      </c>
      <c r="O117">
        <f t="shared" si="9"/>
        <v>-0.9</v>
      </c>
      <c r="Q117">
        <v>61</v>
      </c>
      <c r="R117">
        <f t="shared" si="8"/>
        <v>0.94672131147540983</v>
      </c>
      <c r="S117">
        <f t="shared" si="10"/>
        <v>0.85204918032786892</v>
      </c>
      <c r="T117">
        <f t="shared" si="11"/>
        <v>-0.85204918032786892</v>
      </c>
      <c r="U117">
        <f t="shared" si="6"/>
        <v>64.870409836065576</v>
      </c>
      <c r="W117">
        <v>518.70000000000005</v>
      </c>
      <c r="X117">
        <f t="shared" si="7"/>
        <v>42368.299999999988</v>
      </c>
      <c r="Y117">
        <v>8.6910316442254913</v>
      </c>
    </row>
    <row r="118" spans="1:26" x14ac:dyDescent="0.35">
      <c r="A118">
        <v>2920</v>
      </c>
      <c r="B118">
        <v>23610</v>
      </c>
      <c r="C118" s="1">
        <v>42697</v>
      </c>
      <c r="F118" s="47"/>
      <c r="G118">
        <v>8.1</v>
      </c>
      <c r="H118">
        <v>3.8</v>
      </c>
      <c r="I118">
        <v>11.8</v>
      </c>
      <c r="J118">
        <f t="shared" si="4"/>
        <v>659.09999999999991</v>
      </c>
      <c r="K118">
        <f t="shared" si="5"/>
        <v>659.09999999999991</v>
      </c>
      <c r="M118">
        <v>4.5999999999999996</v>
      </c>
      <c r="N118">
        <v>0.5</v>
      </c>
      <c r="O118">
        <f t="shared" si="9"/>
        <v>4.0999999999999996</v>
      </c>
      <c r="Q118">
        <v>62</v>
      </c>
      <c r="R118">
        <f t="shared" si="8"/>
        <v>0.95737704918032784</v>
      </c>
      <c r="S118">
        <f t="shared" si="10"/>
        <v>0.47868852459016392</v>
      </c>
      <c r="T118">
        <f t="shared" si="11"/>
        <v>4.1213114754098354</v>
      </c>
      <c r="U118">
        <f t="shared" si="6"/>
        <v>68.991721311475416</v>
      </c>
      <c r="W118">
        <v>113</v>
      </c>
      <c r="X118">
        <f t="shared" si="7"/>
        <v>42481.299999999988</v>
      </c>
      <c r="Y118">
        <v>8.6556816652176938</v>
      </c>
    </row>
    <row r="119" spans="1:26" x14ac:dyDescent="0.35">
      <c r="A119">
        <v>2920</v>
      </c>
      <c r="B119">
        <v>23610</v>
      </c>
      <c r="C119" s="1">
        <v>42698</v>
      </c>
      <c r="F119" s="47"/>
      <c r="G119">
        <v>10.8</v>
      </c>
      <c r="H119">
        <v>10</v>
      </c>
      <c r="I119">
        <v>11.5</v>
      </c>
      <c r="J119">
        <f t="shared" si="4"/>
        <v>669.89999999999986</v>
      </c>
      <c r="K119">
        <f t="shared" si="5"/>
        <v>669.89999999999986</v>
      </c>
      <c r="M119">
        <v>0</v>
      </c>
      <c r="N119">
        <v>0.9</v>
      </c>
      <c r="O119">
        <f t="shared" si="9"/>
        <v>-0.9</v>
      </c>
      <c r="Q119">
        <v>63</v>
      </c>
      <c r="R119">
        <f t="shared" si="8"/>
        <v>0.96803278688524586</v>
      </c>
      <c r="S119">
        <f t="shared" si="10"/>
        <v>0.87122950819672129</v>
      </c>
      <c r="T119">
        <f t="shared" si="11"/>
        <v>-0.87122950819672129</v>
      </c>
      <c r="U119">
        <f t="shared" si="6"/>
        <v>68.120491803278696</v>
      </c>
      <c r="W119">
        <v>196</v>
      </c>
      <c r="X119">
        <f t="shared" si="7"/>
        <v>42677.299999999988</v>
      </c>
      <c r="Y119">
        <v>8.6213303543285988</v>
      </c>
    </row>
    <row r="120" spans="1:26" x14ac:dyDescent="0.35">
      <c r="A120">
        <v>2920</v>
      </c>
      <c r="B120">
        <v>23610</v>
      </c>
      <c r="C120" s="1">
        <v>42699</v>
      </c>
      <c r="F120" s="47"/>
      <c r="G120">
        <v>8</v>
      </c>
      <c r="H120">
        <v>7.5</v>
      </c>
      <c r="I120">
        <v>8.4</v>
      </c>
      <c r="J120">
        <f t="shared" si="4"/>
        <v>677.89999999999986</v>
      </c>
      <c r="K120">
        <f t="shared" si="5"/>
        <v>677.89999999999986</v>
      </c>
      <c r="M120">
        <v>0</v>
      </c>
      <c r="N120">
        <v>0.6</v>
      </c>
      <c r="O120">
        <f t="shared" si="9"/>
        <v>-0.6</v>
      </c>
      <c r="Q120">
        <v>64</v>
      </c>
      <c r="R120">
        <f t="shared" si="8"/>
        <v>0.97868852459016387</v>
      </c>
      <c r="S120">
        <f t="shared" si="10"/>
        <v>0.58721311475409832</v>
      </c>
      <c r="T120">
        <f t="shared" si="11"/>
        <v>-0.58721311475409832</v>
      </c>
      <c r="U120">
        <f t="shared" si="6"/>
        <v>67.533278688524604</v>
      </c>
      <c r="W120">
        <v>109.2</v>
      </c>
      <c r="X120">
        <f t="shared" si="7"/>
        <v>42786.499999999985</v>
      </c>
      <c r="Y120">
        <v>8.5880011278118555</v>
      </c>
    </row>
    <row r="121" spans="1:26" x14ac:dyDescent="0.35">
      <c r="A121">
        <v>2920</v>
      </c>
      <c r="B121">
        <v>23610</v>
      </c>
      <c r="C121" s="1">
        <v>42700</v>
      </c>
      <c r="F121" s="47"/>
      <c r="G121">
        <v>8.8000000000000007</v>
      </c>
      <c r="H121">
        <v>7.7</v>
      </c>
      <c r="I121">
        <v>11</v>
      </c>
      <c r="J121">
        <f t="shared" si="4"/>
        <v>686.69999999999982</v>
      </c>
      <c r="K121">
        <f t="shared" si="5"/>
        <v>686.69999999999982</v>
      </c>
      <c r="M121">
        <v>0</v>
      </c>
      <c r="N121">
        <v>0.7</v>
      </c>
      <c r="O121">
        <f t="shared" si="9"/>
        <v>-0.7</v>
      </c>
      <c r="Q121">
        <v>65</v>
      </c>
      <c r="R121">
        <f t="shared" si="8"/>
        <v>0.98934426229508199</v>
      </c>
      <c r="S121">
        <f t="shared" si="10"/>
        <v>0.69254098360655736</v>
      </c>
      <c r="T121">
        <f t="shared" si="11"/>
        <v>-0.69254098360655736</v>
      </c>
      <c r="U121">
        <f t="shared" si="6"/>
        <v>66.840737704918041</v>
      </c>
      <c r="W121">
        <v>95.2</v>
      </c>
      <c r="X121">
        <f t="shared" si="7"/>
        <v>42881.699999999983</v>
      </c>
      <c r="Y121">
        <v>8.5557171706963366</v>
      </c>
    </row>
    <row r="122" spans="1:26" s="4" customFormat="1" ht="15" thickBot="1" x14ac:dyDescent="0.4">
      <c r="A122" s="4">
        <v>2920</v>
      </c>
      <c r="B122" s="4">
        <v>23610</v>
      </c>
      <c r="C122" s="5">
        <v>42701</v>
      </c>
      <c r="F122" s="48"/>
      <c r="G122" s="4">
        <v>6.9</v>
      </c>
      <c r="H122" s="4">
        <v>3.6</v>
      </c>
      <c r="I122" s="4">
        <v>10.1</v>
      </c>
      <c r="J122" s="4">
        <f t="shared" si="4"/>
        <v>693.5999999999998</v>
      </c>
      <c r="K122" s="4">
        <f t="shared" si="5"/>
        <v>693.5999999999998</v>
      </c>
      <c r="M122" s="4">
        <v>0</v>
      </c>
      <c r="N122" s="4">
        <v>0.8</v>
      </c>
      <c r="O122" s="4">
        <f t="shared" si="9"/>
        <v>-0.8</v>
      </c>
      <c r="Q122" s="4">
        <v>66</v>
      </c>
      <c r="R122" s="4">
        <f t="shared" si="8"/>
        <v>1</v>
      </c>
      <c r="S122" s="4">
        <f t="shared" si="10"/>
        <v>0.8</v>
      </c>
      <c r="T122" s="4">
        <f t="shared" si="11"/>
        <v>-0.8</v>
      </c>
      <c r="U122" s="4">
        <f t="shared" si="6"/>
        <v>66.040737704918044</v>
      </c>
      <c r="W122" s="4">
        <v>576.29999999999995</v>
      </c>
      <c r="X122" s="4">
        <f t="shared" si="7"/>
        <v>43457.999999999985</v>
      </c>
      <c r="Y122" s="4">
        <v>8.5245013866569721</v>
      </c>
    </row>
    <row r="123" spans="1:26" x14ac:dyDescent="0.35">
      <c r="A123">
        <v>2920</v>
      </c>
      <c r="B123">
        <v>23610</v>
      </c>
      <c r="C123" s="1">
        <v>42702</v>
      </c>
      <c r="D123" t="s">
        <v>34</v>
      </c>
      <c r="E123">
        <v>1</v>
      </c>
      <c r="F123" s="49" t="s">
        <v>53</v>
      </c>
      <c r="G123">
        <v>4.8</v>
      </c>
      <c r="H123">
        <v>4</v>
      </c>
      <c r="I123">
        <v>8.1</v>
      </c>
      <c r="J123">
        <f t="shared" ref="J123:J186" si="12">J122+G123</f>
        <v>698.39999999999975</v>
      </c>
      <c r="K123">
        <f>G123</f>
        <v>4.8</v>
      </c>
      <c r="L123" s="10" t="s">
        <v>36</v>
      </c>
      <c r="M123">
        <v>0</v>
      </c>
      <c r="N123">
        <v>1.8</v>
      </c>
      <c r="O123">
        <f t="shared" si="9"/>
        <v>-1.8</v>
      </c>
      <c r="Q123">
        <v>67</v>
      </c>
      <c r="R123">
        <v>1</v>
      </c>
      <c r="S123">
        <f t="shared" si="10"/>
        <v>1.8</v>
      </c>
      <c r="T123">
        <f t="shared" si="11"/>
        <v>-1.8</v>
      </c>
      <c r="U123">
        <f t="shared" ref="U123:U186" si="13">MIN(U122+T123,197.4)</f>
        <v>64.240737704918047</v>
      </c>
      <c r="V123" s="23" t="s">
        <v>43</v>
      </c>
      <c r="W123">
        <v>781.5</v>
      </c>
      <c r="X123">
        <f>W123</f>
        <v>781.5</v>
      </c>
      <c r="Y123">
        <v>8.494376346696825</v>
      </c>
      <c r="Z123" s="23" t="s">
        <v>48</v>
      </c>
    </row>
    <row r="124" spans="1:26" x14ac:dyDescent="0.35">
      <c r="A124">
        <v>2920</v>
      </c>
      <c r="B124">
        <v>23610</v>
      </c>
      <c r="C124" s="1">
        <v>42703</v>
      </c>
      <c r="E124">
        <v>2</v>
      </c>
      <c r="F124" s="50"/>
      <c r="G124">
        <v>0.7</v>
      </c>
      <c r="H124">
        <v>-2.2000000000000002</v>
      </c>
      <c r="I124">
        <v>4</v>
      </c>
      <c r="J124">
        <f t="shared" si="12"/>
        <v>699.0999999999998</v>
      </c>
      <c r="K124">
        <f t="shared" ref="K124:K186" si="14">K123+G124</f>
        <v>5.5</v>
      </c>
      <c r="L124" s="8">
        <v>261.7</v>
      </c>
      <c r="M124">
        <v>0</v>
      </c>
      <c r="N124">
        <v>1.1000000000000001</v>
      </c>
      <c r="O124">
        <f t="shared" si="9"/>
        <v>-1.1000000000000001</v>
      </c>
      <c r="Q124">
        <v>68</v>
      </c>
      <c r="R124">
        <v>1</v>
      </c>
      <c r="S124">
        <f t="shared" si="10"/>
        <v>1.1000000000000001</v>
      </c>
      <c r="T124">
        <f t="shared" si="11"/>
        <v>-1.1000000000000001</v>
      </c>
      <c r="U124">
        <f t="shared" si="13"/>
        <v>63.140737704918045</v>
      </c>
      <c r="V124">
        <v>0</v>
      </c>
      <c r="W124">
        <v>753.1</v>
      </c>
      <c r="X124">
        <f t="shared" ref="X124:X187" si="15">X123+W124</f>
        <v>1534.6</v>
      </c>
      <c r="Y124">
        <v>8.4653642368258453</v>
      </c>
      <c r="Z124">
        <v>22516.5</v>
      </c>
    </row>
    <row r="125" spans="1:26" x14ac:dyDescent="0.35">
      <c r="A125">
        <v>2920</v>
      </c>
      <c r="B125">
        <v>23610</v>
      </c>
      <c r="C125" s="1">
        <v>42704</v>
      </c>
      <c r="E125">
        <v>3</v>
      </c>
      <c r="F125" s="50"/>
      <c r="G125">
        <v>2.2999999999999998</v>
      </c>
      <c r="H125">
        <v>-1</v>
      </c>
      <c r="I125">
        <v>5.9</v>
      </c>
      <c r="J125">
        <f t="shared" si="12"/>
        <v>701.39999999999975</v>
      </c>
      <c r="K125">
        <f t="shared" si="14"/>
        <v>7.8</v>
      </c>
      <c r="L125" s="10" t="s">
        <v>37</v>
      </c>
      <c r="M125">
        <v>0</v>
      </c>
      <c r="N125">
        <v>0.7</v>
      </c>
      <c r="O125">
        <f t="shared" si="9"/>
        <v>-0.7</v>
      </c>
      <c r="Q125">
        <v>69</v>
      </c>
      <c r="R125">
        <v>1</v>
      </c>
      <c r="S125">
        <f t="shared" si="10"/>
        <v>0.7</v>
      </c>
      <c r="T125">
        <f t="shared" si="11"/>
        <v>-0.7</v>
      </c>
      <c r="U125">
        <f t="shared" si="13"/>
        <v>62.440737704918043</v>
      </c>
      <c r="V125" s="23" t="s">
        <v>44</v>
      </c>
      <c r="W125">
        <v>466.5</v>
      </c>
      <c r="X125">
        <f t="shared" si="15"/>
        <v>2001.1</v>
      </c>
      <c r="Y125">
        <v>8.4374868049388372</v>
      </c>
      <c r="Z125" s="23" t="s">
        <v>49</v>
      </c>
    </row>
    <row r="126" spans="1:26" x14ac:dyDescent="0.35">
      <c r="A126">
        <v>2920</v>
      </c>
      <c r="B126">
        <v>23610</v>
      </c>
      <c r="C126" s="1">
        <v>42705</v>
      </c>
      <c r="E126">
        <v>4</v>
      </c>
      <c r="F126" s="50"/>
      <c r="G126">
        <v>2.7</v>
      </c>
      <c r="H126">
        <v>-1.7</v>
      </c>
      <c r="I126">
        <v>8.1</v>
      </c>
      <c r="J126">
        <f t="shared" si="12"/>
        <v>704.0999999999998</v>
      </c>
      <c r="K126">
        <f t="shared" si="14"/>
        <v>10.5</v>
      </c>
      <c r="L126" s="9">
        <f>AVERAGE(G123:G183)</f>
        <v>3.9344262295081958</v>
      </c>
      <c r="M126">
        <v>0.2</v>
      </c>
      <c r="N126">
        <v>0.9</v>
      </c>
      <c r="O126">
        <f t="shared" si="9"/>
        <v>-0.7</v>
      </c>
      <c r="Q126">
        <v>70</v>
      </c>
      <c r="R126">
        <v>1</v>
      </c>
      <c r="S126">
        <f t="shared" si="10"/>
        <v>0.9</v>
      </c>
      <c r="T126">
        <f t="shared" si="11"/>
        <v>-0.7</v>
      </c>
      <c r="U126">
        <f t="shared" si="13"/>
        <v>61.74073770491804</v>
      </c>
      <c r="V126">
        <v>27</v>
      </c>
      <c r="W126">
        <v>705.9</v>
      </c>
      <c r="X126">
        <f t="shared" si="15"/>
        <v>2707</v>
      </c>
      <c r="Y126">
        <v>8.4107653071114026</v>
      </c>
      <c r="Z126">
        <f>(Z124/100)/L124</f>
        <v>0.86039358043561331</v>
      </c>
    </row>
    <row r="127" spans="1:26" x14ac:dyDescent="0.35">
      <c r="A127">
        <v>2920</v>
      </c>
      <c r="B127">
        <v>23610</v>
      </c>
      <c r="C127" s="1">
        <v>42706</v>
      </c>
      <c r="E127">
        <v>5</v>
      </c>
      <c r="F127" s="50"/>
      <c r="G127">
        <v>3.1</v>
      </c>
      <c r="H127">
        <v>1.1000000000000001</v>
      </c>
      <c r="I127">
        <v>4.5</v>
      </c>
      <c r="J127">
        <f t="shared" si="12"/>
        <v>707.19999999999982</v>
      </c>
      <c r="K127">
        <f t="shared" si="14"/>
        <v>13.6</v>
      </c>
      <c r="L127" s="10" t="s">
        <v>38</v>
      </c>
      <c r="M127">
        <v>0</v>
      </c>
      <c r="N127">
        <v>0.2</v>
      </c>
      <c r="O127">
        <f t="shared" si="9"/>
        <v>-0.2</v>
      </c>
      <c r="Q127">
        <v>71</v>
      </c>
      <c r="R127">
        <v>1</v>
      </c>
      <c r="S127">
        <f t="shared" si="10"/>
        <v>0.2</v>
      </c>
      <c r="T127">
        <f t="shared" si="11"/>
        <v>-0.2</v>
      </c>
      <c r="U127">
        <f t="shared" si="13"/>
        <v>61.540737704918037</v>
      </c>
      <c r="V127" s="23" t="s">
        <v>45</v>
      </c>
      <c r="W127">
        <v>164.8</v>
      </c>
      <c r="X127">
        <f t="shared" si="15"/>
        <v>2871.8</v>
      </c>
      <c r="Y127">
        <v>8.385220453548154</v>
      </c>
      <c r="Z127" s="23" t="s">
        <v>50</v>
      </c>
    </row>
    <row r="128" spans="1:26" x14ac:dyDescent="0.35">
      <c r="A128">
        <v>2920</v>
      </c>
      <c r="B128">
        <v>23610</v>
      </c>
      <c r="C128" s="1">
        <v>42707</v>
      </c>
      <c r="E128">
        <v>6</v>
      </c>
      <c r="F128" s="50"/>
      <c r="G128">
        <v>5</v>
      </c>
      <c r="H128">
        <v>3.3</v>
      </c>
      <c r="I128">
        <v>7.8</v>
      </c>
      <c r="J128">
        <f t="shared" si="12"/>
        <v>712.19999999999982</v>
      </c>
      <c r="K128">
        <f t="shared" si="14"/>
        <v>18.600000000000001</v>
      </c>
      <c r="L128" s="8">
        <f>MIN(H123:H183)</f>
        <v>-6.5</v>
      </c>
      <c r="M128">
        <v>0</v>
      </c>
      <c r="N128">
        <v>1.1000000000000001</v>
      </c>
      <c r="O128">
        <f t="shared" si="9"/>
        <v>-1.1000000000000001</v>
      </c>
      <c r="Q128">
        <v>72</v>
      </c>
      <c r="R128">
        <v>1</v>
      </c>
      <c r="S128">
        <f t="shared" si="10"/>
        <v>1.1000000000000001</v>
      </c>
      <c r="T128">
        <f t="shared" si="11"/>
        <v>-1.1000000000000001</v>
      </c>
      <c r="U128">
        <f t="shared" si="13"/>
        <v>60.440737704918035</v>
      </c>
      <c r="V128" s="17">
        <f>MIN(U123:U183)</f>
        <v>57.340737704918034</v>
      </c>
      <c r="W128">
        <v>214.3</v>
      </c>
      <c r="X128">
        <f t="shared" si="15"/>
        <v>3086.1000000000004</v>
      </c>
      <c r="Y128">
        <v>8.3608723544317325</v>
      </c>
      <c r="Z128">
        <v>61</v>
      </c>
    </row>
    <row r="129" spans="1:26" x14ac:dyDescent="0.35">
      <c r="A129">
        <v>2920</v>
      </c>
      <c r="B129">
        <v>23610</v>
      </c>
      <c r="C129" s="1">
        <v>42708</v>
      </c>
      <c r="E129">
        <v>7</v>
      </c>
      <c r="F129" s="50"/>
      <c r="G129">
        <v>2.5</v>
      </c>
      <c r="H129">
        <v>1.5</v>
      </c>
      <c r="I129">
        <v>3.3</v>
      </c>
      <c r="J129">
        <f t="shared" si="12"/>
        <v>714.69999999999982</v>
      </c>
      <c r="K129">
        <f t="shared" si="14"/>
        <v>21.1</v>
      </c>
      <c r="L129" s="10" t="s">
        <v>39</v>
      </c>
      <c r="M129">
        <v>0</v>
      </c>
      <c r="N129">
        <v>0.5</v>
      </c>
      <c r="O129">
        <f t="shared" si="9"/>
        <v>-0.5</v>
      </c>
      <c r="Q129">
        <v>73</v>
      </c>
      <c r="R129">
        <v>1</v>
      </c>
      <c r="S129">
        <f t="shared" si="10"/>
        <v>0.5</v>
      </c>
      <c r="T129">
        <f t="shared" si="11"/>
        <v>-0.5</v>
      </c>
      <c r="U129">
        <f t="shared" si="13"/>
        <v>59.940737704918035</v>
      </c>
      <c r="V129" s="23" t="s">
        <v>46</v>
      </c>
      <c r="W129">
        <v>146.6</v>
      </c>
      <c r="X129">
        <f t="shared" si="15"/>
        <v>3232.7000000000003</v>
      </c>
      <c r="Y129">
        <v>8.3377404659340169</v>
      </c>
      <c r="Z129" t="s">
        <v>51</v>
      </c>
    </row>
    <row r="130" spans="1:26" x14ac:dyDescent="0.35">
      <c r="A130">
        <v>2920</v>
      </c>
      <c r="B130">
        <v>23610</v>
      </c>
      <c r="C130" s="1">
        <v>42709</v>
      </c>
      <c r="F130" s="50"/>
      <c r="G130">
        <v>5.9</v>
      </c>
      <c r="H130">
        <v>1.8</v>
      </c>
      <c r="I130">
        <v>9.1</v>
      </c>
      <c r="J130">
        <f t="shared" si="12"/>
        <v>720.5999999999998</v>
      </c>
      <c r="K130">
        <f t="shared" si="14"/>
        <v>27</v>
      </c>
      <c r="L130" s="8">
        <f>MAX(I123:I183)</f>
        <v>12.4</v>
      </c>
      <c r="M130">
        <v>0.7</v>
      </c>
      <c r="N130">
        <v>0.3</v>
      </c>
      <c r="O130">
        <f t="shared" si="9"/>
        <v>0.39999999999999997</v>
      </c>
      <c r="Q130">
        <v>74</v>
      </c>
      <c r="R130">
        <v>1</v>
      </c>
      <c r="S130">
        <f t="shared" si="10"/>
        <v>0.3</v>
      </c>
      <c r="T130">
        <f t="shared" si="11"/>
        <v>0.39999999999999997</v>
      </c>
      <c r="U130">
        <f t="shared" si="13"/>
        <v>60.340737704918034</v>
      </c>
      <c r="V130" s="17">
        <f>MAX(U123:U183)</f>
        <v>92.640737704918038</v>
      </c>
      <c r="W130">
        <v>218.4</v>
      </c>
      <c r="X130">
        <f t="shared" si="15"/>
        <v>3451.1000000000004</v>
      </c>
      <c r="Y130">
        <v>8.3158435366621202</v>
      </c>
      <c r="Z130">
        <v>35</v>
      </c>
    </row>
    <row r="131" spans="1:26" x14ac:dyDescent="0.35">
      <c r="A131">
        <v>2920</v>
      </c>
      <c r="B131">
        <v>23610</v>
      </c>
      <c r="C131" s="1">
        <v>42710</v>
      </c>
      <c r="F131" s="50"/>
      <c r="G131">
        <v>8.1</v>
      </c>
      <c r="H131">
        <v>4.7</v>
      </c>
      <c r="I131">
        <v>11.8</v>
      </c>
      <c r="J131">
        <f t="shared" si="12"/>
        <v>728.69999999999982</v>
      </c>
      <c r="K131">
        <f t="shared" si="14"/>
        <v>35.1</v>
      </c>
      <c r="L131" s="10" t="s">
        <v>40</v>
      </c>
      <c r="M131">
        <v>0.3</v>
      </c>
      <c r="N131">
        <v>0.9</v>
      </c>
      <c r="O131">
        <f t="shared" si="9"/>
        <v>-0.60000000000000009</v>
      </c>
      <c r="Q131">
        <v>75</v>
      </c>
      <c r="R131">
        <v>1</v>
      </c>
      <c r="S131">
        <f t="shared" si="10"/>
        <v>0.9</v>
      </c>
      <c r="T131">
        <f t="shared" si="11"/>
        <v>-0.60000000000000009</v>
      </c>
      <c r="U131">
        <f t="shared" si="13"/>
        <v>59.740737704918033</v>
      </c>
      <c r="V131" s="23" t="s">
        <v>47</v>
      </c>
      <c r="W131">
        <v>628.1</v>
      </c>
      <c r="X131">
        <f t="shared" si="15"/>
        <v>4079.2000000000003</v>
      </c>
      <c r="Y131">
        <v>8.2951995548210622</v>
      </c>
    </row>
    <row r="132" spans="1:26" x14ac:dyDescent="0.35">
      <c r="A132">
        <v>2920</v>
      </c>
      <c r="B132">
        <v>23610</v>
      </c>
      <c r="C132" s="1">
        <v>42711</v>
      </c>
      <c r="F132" s="50"/>
      <c r="G132">
        <v>8.3000000000000007</v>
      </c>
      <c r="H132">
        <v>5.3</v>
      </c>
      <c r="I132">
        <v>11.7</v>
      </c>
      <c r="J132">
        <f t="shared" si="12"/>
        <v>736.99999999999977</v>
      </c>
      <c r="K132">
        <f t="shared" si="14"/>
        <v>43.400000000000006</v>
      </c>
      <c r="L132" s="8">
        <v>0</v>
      </c>
      <c r="M132">
        <v>0.1</v>
      </c>
      <c r="N132">
        <v>0.9</v>
      </c>
      <c r="O132">
        <f t="shared" si="9"/>
        <v>-0.8</v>
      </c>
      <c r="Q132">
        <v>76</v>
      </c>
      <c r="R132">
        <v>1</v>
      </c>
      <c r="S132">
        <f t="shared" si="10"/>
        <v>0.9</v>
      </c>
      <c r="T132">
        <f t="shared" si="11"/>
        <v>-0.8</v>
      </c>
      <c r="U132">
        <f t="shared" si="13"/>
        <v>58.940737704918035</v>
      </c>
      <c r="V132" s="17">
        <f>AVERAGE(U123:U183)</f>
        <v>70.265327868852495</v>
      </c>
      <c r="W132">
        <v>560.29999999999995</v>
      </c>
      <c r="X132">
        <f t="shared" si="15"/>
        <v>4639.5</v>
      </c>
      <c r="Y132">
        <v>8.2758256963820163</v>
      </c>
    </row>
    <row r="133" spans="1:26" x14ac:dyDescent="0.35">
      <c r="A133">
        <v>2920</v>
      </c>
      <c r="B133">
        <v>23610</v>
      </c>
      <c r="C133" s="1">
        <v>42712</v>
      </c>
      <c r="F133" s="50"/>
      <c r="G133">
        <v>8.3000000000000007</v>
      </c>
      <c r="H133">
        <v>4.8</v>
      </c>
      <c r="I133">
        <v>11</v>
      </c>
      <c r="J133">
        <f t="shared" si="12"/>
        <v>745.29999999999973</v>
      </c>
      <c r="K133">
        <f t="shared" si="14"/>
        <v>51.7</v>
      </c>
      <c r="L133" s="10" t="s">
        <v>41</v>
      </c>
      <c r="M133">
        <v>0.1</v>
      </c>
      <c r="N133">
        <v>0.8</v>
      </c>
      <c r="O133">
        <f t="shared" si="9"/>
        <v>-0.70000000000000007</v>
      </c>
      <c r="Q133">
        <v>77</v>
      </c>
      <c r="R133">
        <v>1</v>
      </c>
      <c r="S133">
        <f t="shared" si="10"/>
        <v>0.8</v>
      </c>
      <c r="T133">
        <f t="shared" si="11"/>
        <v>-0.70000000000000007</v>
      </c>
      <c r="U133">
        <f t="shared" si="13"/>
        <v>58.240737704918033</v>
      </c>
      <c r="W133">
        <v>553.6</v>
      </c>
      <c r="X133">
        <f t="shared" si="15"/>
        <v>5193.1000000000004</v>
      </c>
      <c r="Y133">
        <v>8.2577382745499577</v>
      </c>
    </row>
    <row r="134" spans="1:26" x14ac:dyDescent="0.35">
      <c r="A134">
        <v>2920</v>
      </c>
      <c r="B134">
        <v>23610</v>
      </c>
      <c r="C134" s="1">
        <v>42713</v>
      </c>
      <c r="F134" s="50"/>
      <c r="G134">
        <v>9.1999999999999993</v>
      </c>
      <c r="H134">
        <v>7.8</v>
      </c>
      <c r="I134">
        <v>10.7</v>
      </c>
      <c r="J134">
        <f t="shared" si="12"/>
        <v>754.49999999999977</v>
      </c>
      <c r="K134">
        <f t="shared" si="14"/>
        <v>60.900000000000006</v>
      </c>
      <c r="L134" s="8">
        <v>23</v>
      </c>
      <c r="M134">
        <v>0</v>
      </c>
      <c r="N134">
        <v>0.8</v>
      </c>
      <c r="O134">
        <f t="shared" ref="O134:O197" si="16">M134-N134</f>
        <v>-0.8</v>
      </c>
      <c r="Q134">
        <v>78</v>
      </c>
      <c r="R134">
        <v>1</v>
      </c>
      <c r="S134">
        <f t="shared" ref="S134:S197" si="17">R134*N134</f>
        <v>0.8</v>
      </c>
      <c r="T134">
        <f t="shared" ref="T134:T197" si="18">M134-S134</f>
        <v>-0.8</v>
      </c>
      <c r="U134">
        <f t="shared" si="13"/>
        <v>57.440737704918035</v>
      </c>
      <c r="V134" s="18">
        <f>(V132*100)/197.4</f>
        <v>35.595404188881709</v>
      </c>
      <c r="W134">
        <v>526.20000000000005</v>
      </c>
      <c r="X134">
        <f t="shared" si="15"/>
        <v>5719.3</v>
      </c>
      <c r="Y134">
        <v>8.2409526908265018</v>
      </c>
    </row>
    <row r="135" spans="1:26" x14ac:dyDescent="0.35">
      <c r="A135">
        <v>2920</v>
      </c>
      <c r="B135">
        <v>23610</v>
      </c>
      <c r="C135" s="1">
        <v>42714</v>
      </c>
      <c r="F135" s="50"/>
      <c r="G135">
        <v>7.5</v>
      </c>
      <c r="H135">
        <v>6.8</v>
      </c>
      <c r="I135">
        <v>8.8000000000000007</v>
      </c>
      <c r="J135">
        <f t="shared" si="12"/>
        <v>761.99999999999977</v>
      </c>
      <c r="K135">
        <f t="shared" si="14"/>
        <v>68.400000000000006</v>
      </c>
      <c r="L135" s="10" t="s">
        <v>42</v>
      </c>
      <c r="M135">
        <v>0.3</v>
      </c>
      <c r="N135">
        <v>0.4</v>
      </c>
      <c r="O135">
        <f t="shared" si="16"/>
        <v>-0.10000000000000003</v>
      </c>
      <c r="Q135">
        <v>79</v>
      </c>
      <c r="R135">
        <v>1</v>
      </c>
      <c r="S135">
        <f t="shared" si="17"/>
        <v>0.4</v>
      </c>
      <c r="T135">
        <f t="shared" si="18"/>
        <v>-0.10000000000000003</v>
      </c>
      <c r="U135">
        <f t="shared" si="13"/>
        <v>57.340737704918034</v>
      </c>
      <c r="W135">
        <v>178.9</v>
      </c>
      <c r="X135">
        <f t="shared" si="15"/>
        <v>5898.2</v>
      </c>
      <c r="Y135">
        <v>8.2254833879633473</v>
      </c>
    </row>
    <row r="136" spans="1:26" x14ac:dyDescent="0.35">
      <c r="A136">
        <v>2920</v>
      </c>
      <c r="B136">
        <v>23610</v>
      </c>
      <c r="C136" s="1">
        <v>42715</v>
      </c>
      <c r="F136" s="50"/>
      <c r="G136">
        <v>7.7</v>
      </c>
      <c r="H136">
        <v>7.4</v>
      </c>
      <c r="I136">
        <v>8.5</v>
      </c>
      <c r="J136">
        <f t="shared" si="12"/>
        <v>769.69999999999982</v>
      </c>
      <c r="K136">
        <f t="shared" si="14"/>
        <v>76.100000000000009</v>
      </c>
      <c r="L136" s="8">
        <v>22</v>
      </c>
      <c r="M136">
        <v>2.2999999999999998</v>
      </c>
      <c r="N136">
        <v>0.4</v>
      </c>
      <c r="O136">
        <f t="shared" si="16"/>
        <v>1.9</v>
      </c>
      <c r="Q136">
        <v>80</v>
      </c>
      <c r="R136">
        <v>1</v>
      </c>
      <c r="S136">
        <f t="shared" si="17"/>
        <v>0.4</v>
      </c>
      <c r="T136">
        <f t="shared" si="18"/>
        <v>1.9</v>
      </c>
      <c r="U136">
        <f t="shared" si="13"/>
        <v>59.240737704918033</v>
      </c>
      <c r="W136">
        <v>174.2</v>
      </c>
      <c r="X136">
        <f t="shared" si="15"/>
        <v>6072.4</v>
      </c>
      <c r="Y136">
        <v>8.2113438050981795</v>
      </c>
    </row>
    <row r="137" spans="1:26" x14ac:dyDescent="0.35">
      <c r="A137">
        <v>2920</v>
      </c>
      <c r="B137">
        <v>23610</v>
      </c>
      <c r="C137" s="1">
        <v>42716</v>
      </c>
      <c r="F137" s="50"/>
      <c r="G137">
        <v>10.1</v>
      </c>
      <c r="H137">
        <v>7.1</v>
      </c>
      <c r="I137">
        <v>11.6</v>
      </c>
      <c r="J137">
        <f t="shared" si="12"/>
        <v>779.79999999999984</v>
      </c>
      <c r="K137">
        <f t="shared" si="14"/>
        <v>86.2</v>
      </c>
      <c r="M137">
        <v>4</v>
      </c>
      <c r="N137">
        <v>0.3</v>
      </c>
      <c r="O137">
        <f t="shared" si="16"/>
        <v>3.7</v>
      </c>
      <c r="Q137">
        <v>81</v>
      </c>
      <c r="R137">
        <v>1</v>
      </c>
      <c r="S137">
        <f t="shared" si="17"/>
        <v>0.3</v>
      </c>
      <c r="T137">
        <f t="shared" si="18"/>
        <v>3.7</v>
      </c>
      <c r="U137">
        <f t="shared" si="13"/>
        <v>62.940737704918035</v>
      </c>
      <c r="W137">
        <v>179.5</v>
      </c>
      <c r="X137">
        <f t="shared" si="15"/>
        <v>6251.9</v>
      </c>
      <c r="Y137">
        <v>8.1985463353585555</v>
      </c>
    </row>
    <row r="138" spans="1:26" x14ac:dyDescent="0.35">
      <c r="A138">
        <v>2920</v>
      </c>
      <c r="B138">
        <v>23610</v>
      </c>
      <c r="C138" s="1">
        <v>42717</v>
      </c>
      <c r="F138" s="50"/>
      <c r="G138">
        <v>9.8000000000000007</v>
      </c>
      <c r="H138">
        <v>8.9</v>
      </c>
      <c r="I138">
        <v>10.8</v>
      </c>
      <c r="J138">
        <f t="shared" si="12"/>
        <v>789.5999999999998</v>
      </c>
      <c r="K138">
        <f t="shared" si="14"/>
        <v>96</v>
      </c>
      <c r="M138">
        <v>0.1</v>
      </c>
      <c r="N138">
        <v>0.3</v>
      </c>
      <c r="O138">
        <f t="shared" si="16"/>
        <v>-0.19999999999999998</v>
      </c>
      <c r="Q138">
        <v>82</v>
      </c>
      <c r="R138">
        <v>1</v>
      </c>
      <c r="S138">
        <f t="shared" si="17"/>
        <v>0.3</v>
      </c>
      <c r="T138">
        <f t="shared" si="18"/>
        <v>-0.19999999999999998</v>
      </c>
      <c r="U138">
        <f t="shared" si="13"/>
        <v>62.740737704918033</v>
      </c>
      <c r="W138">
        <v>186.7</v>
      </c>
      <c r="X138">
        <f t="shared" si="15"/>
        <v>6438.5999999999995</v>
      </c>
      <c r="Y138">
        <v>8.187102286209953</v>
      </c>
    </row>
    <row r="139" spans="1:26" x14ac:dyDescent="0.35">
      <c r="A139">
        <v>2920</v>
      </c>
      <c r="B139">
        <v>23610</v>
      </c>
      <c r="C139" s="1">
        <v>42718</v>
      </c>
      <c r="F139" s="50"/>
      <c r="G139">
        <v>6.4</v>
      </c>
      <c r="H139">
        <v>3</v>
      </c>
      <c r="I139">
        <v>9.1999999999999993</v>
      </c>
      <c r="J139">
        <f t="shared" si="12"/>
        <v>795.99999999999977</v>
      </c>
      <c r="K139">
        <f t="shared" si="14"/>
        <v>102.4</v>
      </c>
      <c r="M139">
        <v>0.2</v>
      </c>
      <c r="N139">
        <v>0.5</v>
      </c>
      <c r="O139">
        <f t="shared" si="16"/>
        <v>-0.3</v>
      </c>
      <c r="Q139">
        <v>83</v>
      </c>
      <c r="R139">
        <v>1</v>
      </c>
      <c r="S139">
        <f t="shared" si="17"/>
        <v>0.5</v>
      </c>
      <c r="T139">
        <f t="shared" si="18"/>
        <v>-0.3</v>
      </c>
      <c r="U139">
        <f t="shared" si="13"/>
        <v>62.440737704918035</v>
      </c>
      <c r="W139">
        <v>546.29999999999995</v>
      </c>
      <c r="X139">
        <f t="shared" si="15"/>
        <v>6984.9</v>
      </c>
      <c r="Y139">
        <v>8.1770218428116213</v>
      </c>
    </row>
    <row r="140" spans="1:26" x14ac:dyDescent="0.35">
      <c r="A140">
        <v>2920</v>
      </c>
      <c r="B140">
        <v>23610</v>
      </c>
      <c r="C140" s="1">
        <v>42719</v>
      </c>
      <c r="F140" s="50"/>
      <c r="G140">
        <v>7.5</v>
      </c>
      <c r="H140">
        <v>4.5999999999999996</v>
      </c>
      <c r="I140">
        <v>9.4</v>
      </c>
      <c r="J140">
        <f t="shared" si="12"/>
        <v>803.49999999999977</v>
      </c>
      <c r="K140">
        <f t="shared" si="14"/>
        <v>109.9</v>
      </c>
      <c r="M140">
        <v>0</v>
      </c>
      <c r="N140">
        <v>0.2</v>
      </c>
      <c r="O140">
        <f t="shared" si="16"/>
        <v>-0.2</v>
      </c>
      <c r="Q140">
        <v>84</v>
      </c>
      <c r="R140">
        <v>1</v>
      </c>
      <c r="S140">
        <f t="shared" si="17"/>
        <v>0.2</v>
      </c>
      <c r="T140">
        <f t="shared" si="18"/>
        <v>-0.2</v>
      </c>
      <c r="U140">
        <f t="shared" si="13"/>
        <v>62.240737704918033</v>
      </c>
      <c r="W140">
        <v>189.3</v>
      </c>
      <c r="X140">
        <f t="shared" si="15"/>
        <v>7174.2</v>
      </c>
      <c r="Y140">
        <v>8.1683140346286738</v>
      </c>
    </row>
    <row r="141" spans="1:26" x14ac:dyDescent="0.35">
      <c r="A141">
        <v>2920</v>
      </c>
      <c r="B141">
        <v>23610</v>
      </c>
      <c r="C141" s="1">
        <v>42720</v>
      </c>
      <c r="F141" s="50"/>
      <c r="G141">
        <v>7.6</v>
      </c>
      <c r="H141">
        <v>7.6</v>
      </c>
      <c r="I141">
        <v>10</v>
      </c>
      <c r="J141">
        <f t="shared" si="12"/>
        <v>811.0999999999998</v>
      </c>
      <c r="K141">
        <f t="shared" si="14"/>
        <v>117.5</v>
      </c>
      <c r="M141">
        <v>0.2</v>
      </c>
      <c r="N141">
        <v>0.8</v>
      </c>
      <c r="O141">
        <f t="shared" si="16"/>
        <v>-0.60000000000000009</v>
      </c>
      <c r="Q141">
        <v>85</v>
      </c>
      <c r="R141">
        <v>1</v>
      </c>
      <c r="S141">
        <f t="shared" si="17"/>
        <v>0.8</v>
      </c>
      <c r="T141">
        <f t="shared" si="18"/>
        <v>-0.60000000000000009</v>
      </c>
      <c r="U141">
        <f t="shared" si="13"/>
        <v>61.640737704918031</v>
      </c>
      <c r="W141">
        <v>373.1</v>
      </c>
      <c r="X141">
        <f t="shared" si="15"/>
        <v>7547.3</v>
      </c>
      <c r="Y141">
        <v>8.1609867055304228</v>
      </c>
    </row>
    <row r="142" spans="1:26" x14ac:dyDescent="0.35">
      <c r="A142">
        <v>2920</v>
      </c>
      <c r="B142">
        <v>23610</v>
      </c>
      <c r="C142" s="1">
        <v>42721</v>
      </c>
      <c r="E142">
        <v>8</v>
      </c>
      <c r="F142" s="50"/>
      <c r="G142">
        <v>3.7</v>
      </c>
      <c r="H142">
        <v>1.3</v>
      </c>
      <c r="I142">
        <v>5.7</v>
      </c>
      <c r="J142">
        <f t="shared" si="12"/>
        <v>814.79999999999984</v>
      </c>
      <c r="K142">
        <f t="shared" si="14"/>
        <v>121.2</v>
      </c>
      <c r="M142">
        <v>0.4</v>
      </c>
      <c r="N142">
        <v>0.6</v>
      </c>
      <c r="O142">
        <f t="shared" si="16"/>
        <v>-0.19999999999999996</v>
      </c>
      <c r="Q142">
        <v>86</v>
      </c>
      <c r="R142">
        <v>1</v>
      </c>
      <c r="S142">
        <f t="shared" si="17"/>
        <v>0.6</v>
      </c>
      <c r="T142">
        <f t="shared" si="18"/>
        <v>-0.19999999999999996</v>
      </c>
      <c r="U142">
        <f t="shared" si="13"/>
        <v>61.440737704918028</v>
      </c>
      <c r="W142">
        <v>250.1</v>
      </c>
      <c r="X142">
        <f t="shared" si="15"/>
        <v>7797.4000000000005</v>
      </c>
      <c r="Y142">
        <v>8.1550464875842312</v>
      </c>
    </row>
    <row r="143" spans="1:26" x14ac:dyDescent="0.35">
      <c r="A143">
        <v>2920</v>
      </c>
      <c r="B143">
        <v>23610</v>
      </c>
      <c r="C143" s="1">
        <v>42722</v>
      </c>
      <c r="E143">
        <v>9</v>
      </c>
      <c r="F143" s="50"/>
      <c r="G143">
        <v>3.5</v>
      </c>
      <c r="H143">
        <v>3</v>
      </c>
      <c r="I143">
        <v>3.8</v>
      </c>
      <c r="J143">
        <f t="shared" si="12"/>
        <v>818.29999999999984</v>
      </c>
      <c r="K143">
        <f t="shared" si="14"/>
        <v>124.7</v>
      </c>
      <c r="M143">
        <v>0.3</v>
      </c>
      <c r="N143">
        <v>0.3</v>
      </c>
      <c r="O143">
        <f t="shared" si="16"/>
        <v>0</v>
      </c>
      <c r="Q143">
        <v>87</v>
      </c>
      <c r="R143">
        <v>1</v>
      </c>
      <c r="S143">
        <f t="shared" si="17"/>
        <v>0.3</v>
      </c>
      <c r="T143">
        <f t="shared" si="18"/>
        <v>0</v>
      </c>
      <c r="U143">
        <f t="shared" si="13"/>
        <v>61.440737704918028</v>
      </c>
      <c r="W143">
        <v>258.7</v>
      </c>
      <c r="X143">
        <f t="shared" si="15"/>
        <v>8056.1</v>
      </c>
      <c r="Y143">
        <v>8.1504987787304159</v>
      </c>
    </row>
    <row r="144" spans="1:26" x14ac:dyDescent="0.35">
      <c r="A144">
        <v>2920</v>
      </c>
      <c r="B144">
        <v>23610</v>
      </c>
      <c r="C144" s="1">
        <v>42723</v>
      </c>
      <c r="E144">
        <v>10</v>
      </c>
      <c r="F144" s="50"/>
      <c r="G144">
        <v>3.3</v>
      </c>
      <c r="H144">
        <v>2</v>
      </c>
      <c r="I144">
        <v>4.3</v>
      </c>
      <c r="J144">
        <f t="shared" si="12"/>
        <v>821.5999999999998</v>
      </c>
      <c r="K144">
        <f t="shared" si="14"/>
        <v>128</v>
      </c>
      <c r="M144">
        <v>0.7</v>
      </c>
      <c r="N144">
        <v>0.1</v>
      </c>
      <c r="O144">
        <f t="shared" si="16"/>
        <v>0.6</v>
      </c>
      <c r="Q144">
        <v>88</v>
      </c>
      <c r="R144">
        <v>1</v>
      </c>
      <c r="S144">
        <f t="shared" si="17"/>
        <v>0.1</v>
      </c>
      <c r="T144">
        <f t="shared" si="18"/>
        <v>0.6</v>
      </c>
      <c r="U144">
        <f t="shared" si="13"/>
        <v>62.04073770491803</v>
      </c>
      <c r="W144">
        <v>32.299999999999997</v>
      </c>
      <c r="X144">
        <f t="shared" si="15"/>
        <v>8088.4000000000005</v>
      </c>
      <c r="Y144">
        <v>8.1473477244981485</v>
      </c>
    </row>
    <row r="145" spans="1:25" x14ac:dyDescent="0.35">
      <c r="A145">
        <v>2920</v>
      </c>
      <c r="B145">
        <v>23610</v>
      </c>
      <c r="C145" s="1">
        <v>42724</v>
      </c>
      <c r="E145">
        <v>12</v>
      </c>
      <c r="F145" s="50"/>
      <c r="G145">
        <v>3.1</v>
      </c>
      <c r="H145">
        <v>1.4</v>
      </c>
      <c r="I145">
        <v>4.4000000000000004</v>
      </c>
      <c r="J145">
        <f t="shared" si="12"/>
        <v>824.69999999999982</v>
      </c>
      <c r="K145">
        <f t="shared" si="14"/>
        <v>131.1</v>
      </c>
      <c r="M145">
        <v>0.3</v>
      </c>
      <c r="N145">
        <v>0.4</v>
      </c>
      <c r="O145">
        <f t="shared" si="16"/>
        <v>-0.10000000000000003</v>
      </c>
      <c r="Q145">
        <v>89</v>
      </c>
      <c r="R145">
        <v>1</v>
      </c>
      <c r="S145">
        <f t="shared" si="17"/>
        <v>0.4</v>
      </c>
      <c r="T145">
        <f t="shared" si="18"/>
        <v>-0.10000000000000003</v>
      </c>
      <c r="U145">
        <f t="shared" si="13"/>
        <v>61.940737704918028</v>
      </c>
      <c r="W145">
        <v>363.1</v>
      </c>
      <c r="X145">
        <f t="shared" si="15"/>
        <v>8451.5</v>
      </c>
      <c r="Y145">
        <v>8.1455962038944758</v>
      </c>
    </row>
    <row r="146" spans="1:25" x14ac:dyDescent="0.35">
      <c r="A146">
        <v>2920</v>
      </c>
      <c r="B146">
        <v>23610</v>
      </c>
      <c r="C146" s="1">
        <v>42725</v>
      </c>
      <c r="F146" s="50"/>
      <c r="G146">
        <v>7.5</v>
      </c>
      <c r="H146">
        <v>4.3</v>
      </c>
      <c r="I146">
        <v>10.4</v>
      </c>
      <c r="J146">
        <f t="shared" si="12"/>
        <v>832.19999999999982</v>
      </c>
      <c r="K146">
        <f t="shared" si="14"/>
        <v>138.6</v>
      </c>
      <c r="M146">
        <v>8.1999999999999993</v>
      </c>
      <c r="N146">
        <v>0.4</v>
      </c>
      <c r="O146">
        <f t="shared" si="16"/>
        <v>7.7999999999999989</v>
      </c>
      <c r="Q146">
        <v>90</v>
      </c>
      <c r="R146">
        <v>1</v>
      </c>
      <c r="S146">
        <f t="shared" si="17"/>
        <v>0.4</v>
      </c>
      <c r="T146">
        <f t="shared" si="18"/>
        <v>7.7999999999999989</v>
      </c>
      <c r="U146">
        <f t="shared" si="13"/>
        <v>69.740737704918033</v>
      </c>
      <c r="W146">
        <v>64.5</v>
      </c>
      <c r="X146">
        <f t="shared" si="15"/>
        <v>8516</v>
      </c>
      <c r="Y146">
        <v>8.1452458195690891</v>
      </c>
    </row>
    <row r="147" spans="1:25" x14ac:dyDescent="0.35">
      <c r="A147">
        <v>2920</v>
      </c>
      <c r="B147">
        <v>23610</v>
      </c>
      <c r="C147" s="1">
        <v>42726</v>
      </c>
      <c r="F147" s="50"/>
      <c r="G147">
        <v>7.2</v>
      </c>
      <c r="H147">
        <v>5.7</v>
      </c>
      <c r="I147">
        <v>9.1</v>
      </c>
      <c r="J147">
        <f t="shared" si="12"/>
        <v>839.39999999999986</v>
      </c>
      <c r="K147">
        <f t="shared" si="14"/>
        <v>145.79999999999998</v>
      </c>
      <c r="M147">
        <v>0.2</v>
      </c>
      <c r="N147">
        <v>0.4</v>
      </c>
      <c r="O147">
        <f t="shared" si="16"/>
        <v>-0.2</v>
      </c>
      <c r="Q147">
        <v>91</v>
      </c>
      <c r="R147">
        <v>1</v>
      </c>
      <c r="S147">
        <f t="shared" si="17"/>
        <v>0.4</v>
      </c>
      <c r="T147">
        <f t="shared" si="18"/>
        <v>-0.2</v>
      </c>
      <c r="U147">
        <f t="shared" si="13"/>
        <v>69.54073770491803</v>
      </c>
      <c r="W147">
        <v>189.2</v>
      </c>
      <c r="X147">
        <f t="shared" si="15"/>
        <v>8705.2000000000007</v>
      </c>
      <c r="Y147">
        <v>8.1462968923268395</v>
      </c>
    </row>
    <row r="148" spans="1:25" x14ac:dyDescent="0.35">
      <c r="A148">
        <v>2920</v>
      </c>
      <c r="B148">
        <v>23610</v>
      </c>
      <c r="C148" s="1">
        <v>42727</v>
      </c>
      <c r="F148" s="50"/>
      <c r="G148">
        <v>6</v>
      </c>
      <c r="H148">
        <v>2.1</v>
      </c>
      <c r="I148">
        <v>11.6</v>
      </c>
      <c r="J148">
        <f t="shared" si="12"/>
        <v>845.39999999999986</v>
      </c>
      <c r="K148">
        <f t="shared" si="14"/>
        <v>151.79999999999998</v>
      </c>
      <c r="M148">
        <v>0.7</v>
      </c>
      <c r="N148">
        <v>0.5</v>
      </c>
      <c r="O148">
        <f t="shared" si="16"/>
        <v>0.19999999999999996</v>
      </c>
      <c r="Q148">
        <v>92</v>
      </c>
      <c r="R148">
        <v>1</v>
      </c>
      <c r="S148">
        <f t="shared" si="17"/>
        <v>0.5</v>
      </c>
      <c r="T148">
        <f t="shared" si="18"/>
        <v>0.19999999999999996</v>
      </c>
      <c r="U148">
        <f t="shared" si="13"/>
        <v>69.740737704918033</v>
      </c>
      <c r="W148">
        <v>187.9</v>
      </c>
      <c r="X148">
        <f t="shared" si="15"/>
        <v>8893.1</v>
      </c>
      <c r="Y148">
        <v>8.148748460028191</v>
      </c>
    </row>
    <row r="149" spans="1:25" x14ac:dyDescent="0.35">
      <c r="A149">
        <v>2920</v>
      </c>
      <c r="B149">
        <v>23610</v>
      </c>
      <c r="C149" s="1">
        <v>42728</v>
      </c>
      <c r="F149" s="50"/>
      <c r="G149">
        <v>8</v>
      </c>
      <c r="H149">
        <v>5.5</v>
      </c>
      <c r="I149">
        <v>10.5</v>
      </c>
      <c r="J149">
        <f t="shared" si="12"/>
        <v>853.39999999999986</v>
      </c>
      <c r="K149">
        <f t="shared" si="14"/>
        <v>159.79999999999998</v>
      </c>
      <c r="M149">
        <v>0.1</v>
      </c>
      <c r="N149">
        <v>0.4</v>
      </c>
      <c r="O149">
        <f t="shared" si="16"/>
        <v>-0.30000000000000004</v>
      </c>
      <c r="Q149">
        <v>93</v>
      </c>
      <c r="R149">
        <v>1</v>
      </c>
      <c r="S149">
        <f t="shared" si="17"/>
        <v>0.4</v>
      </c>
      <c r="T149">
        <f t="shared" si="18"/>
        <v>-0.30000000000000004</v>
      </c>
      <c r="U149">
        <f t="shared" si="13"/>
        <v>69.440737704918035</v>
      </c>
      <c r="W149">
        <v>215.6</v>
      </c>
      <c r="X149">
        <f t="shared" si="15"/>
        <v>9108.7000000000007</v>
      </c>
      <c r="Y149">
        <v>8.1525982808857957</v>
      </c>
    </row>
    <row r="150" spans="1:25" x14ac:dyDescent="0.35">
      <c r="A150">
        <v>2920</v>
      </c>
      <c r="B150">
        <v>23610</v>
      </c>
      <c r="C150" s="1">
        <v>42729</v>
      </c>
      <c r="F150" s="50"/>
      <c r="G150">
        <v>10.5</v>
      </c>
      <c r="H150">
        <v>6.8</v>
      </c>
      <c r="I150">
        <v>12.4</v>
      </c>
      <c r="J150">
        <f t="shared" si="12"/>
        <v>863.89999999999986</v>
      </c>
      <c r="K150">
        <f t="shared" si="14"/>
        <v>170.29999999999998</v>
      </c>
      <c r="M150">
        <v>0.6</v>
      </c>
      <c r="N150">
        <v>0.2</v>
      </c>
      <c r="O150">
        <f t="shared" si="16"/>
        <v>0.39999999999999997</v>
      </c>
      <c r="Q150">
        <v>94</v>
      </c>
      <c r="R150">
        <v>1</v>
      </c>
      <c r="S150">
        <f t="shared" si="17"/>
        <v>0.2</v>
      </c>
      <c r="T150">
        <f t="shared" si="18"/>
        <v>0.39999999999999997</v>
      </c>
      <c r="U150">
        <f t="shared" si="13"/>
        <v>69.840737704918041</v>
      </c>
      <c r="W150">
        <v>130.6</v>
      </c>
      <c r="X150">
        <f t="shared" si="15"/>
        <v>9239.3000000000011</v>
      </c>
      <c r="Y150">
        <v>8.1578428411328474</v>
      </c>
    </row>
    <row r="151" spans="1:25" x14ac:dyDescent="0.35">
      <c r="A151">
        <v>2920</v>
      </c>
      <c r="B151">
        <v>23610</v>
      </c>
      <c r="C151" s="1">
        <v>42730</v>
      </c>
      <c r="F151" s="50"/>
      <c r="G151">
        <v>8.8000000000000007</v>
      </c>
      <c r="H151">
        <v>7</v>
      </c>
      <c r="I151">
        <v>11.3</v>
      </c>
      <c r="J151">
        <f t="shared" si="12"/>
        <v>872.69999999999982</v>
      </c>
      <c r="K151">
        <f t="shared" si="14"/>
        <v>179.1</v>
      </c>
      <c r="M151">
        <v>0.3</v>
      </c>
      <c r="N151">
        <v>0.5</v>
      </c>
      <c r="O151">
        <f t="shared" si="16"/>
        <v>-0.2</v>
      </c>
      <c r="Q151">
        <v>95</v>
      </c>
      <c r="R151">
        <v>1</v>
      </c>
      <c r="S151">
        <f t="shared" si="17"/>
        <v>0.5</v>
      </c>
      <c r="T151">
        <f t="shared" si="18"/>
        <v>-0.2</v>
      </c>
      <c r="U151">
        <f t="shared" si="13"/>
        <v>69.640737704918038</v>
      </c>
      <c r="W151">
        <v>193.1</v>
      </c>
      <c r="X151">
        <f t="shared" si="15"/>
        <v>9432.4000000000015</v>
      </c>
      <c r="Y151">
        <v>8.1644773670071498</v>
      </c>
    </row>
    <row r="152" spans="1:25" x14ac:dyDescent="0.35">
      <c r="A152">
        <v>2920</v>
      </c>
      <c r="B152">
        <v>23610</v>
      </c>
      <c r="C152" s="1">
        <v>42731</v>
      </c>
      <c r="E152">
        <v>12</v>
      </c>
      <c r="F152" s="50"/>
      <c r="G152">
        <v>3</v>
      </c>
      <c r="H152">
        <v>-0.8</v>
      </c>
      <c r="I152">
        <v>6.5</v>
      </c>
      <c r="J152">
        <f t="shared" si="12"/>
        <v>875.69999999999982</v>
      </c>
      <c r="K152">
        <f t="shared" si="14"/>
        <v>182.1</v>
      </c>
      <c r="M152">
        <v>0</v>
      </c>
      <c r="N152">
        <v>0.6</v>
      </c>
      <c r="O152">
        <f t="shared" si="16"/>
        <v>-0.6</v>
      </c>
      <c r="Q152">
        <v>96</v>
      </c>
      <c r="R152">
        <v>1</v>
      </c>
      <c r="S152">
        <f t="shared" si="17"/>
        <v>0.6</v>
      </c>
      <c r="T152">
        <f t="shared" si="18"/>
        <v>-0.6</v>
      </c>
      <c r="U152">
        <f t="shared" si="13"/>
        <v>69.040737704918044</v>
      </c>
      <c r="W152">
        <v>618.5</v>
      </c>
      <c r="X152">
        <f t="shared" si="15"/>
        <v>10050.900000000001</v>
      </c>
      <c r="Y152">
        <v>8.1724958409633626</v>
      </c>
    </row>
    <row r="153" spans="1:25" x14ac:dyDescent="0.35">
      <c r="A153">
        <v>2920</v>
      </c>
      <c r="B153">
        <v>23610</v>
      </c>
      <c r="C153" s="1">
        <v>42732</v>
      </c>
      <c r="E153">
        <v>13</v>
      </c>
      <c r="F153" s="50"/>
      <c r="G153">
        <v>2.4</v>
      </c>
      <c r="H153">
        <v>1.2</v>
      </c>
      <c r="I153">
        <v>4.5999999999999996</v>
      </c>
      <c r="J153">
        <f t="shared" si="12"/>
        <v>878.0999999999998</v>
      </c>
      <c r="K153">
        <f t="shared" si="14"/>
        <v>184.5</v>
      </c>
      <c r="M153">
        <v>0</v>
      </c>
      <c r="N153">
        <v>0.6</v>
      </c>
      <c r="O153">
        <f t="shared" si="16"/>
        <v>-0.6</v>
      </c>
      <c r="Q153">
        <v>97</v>
      </c>
      <c r="R153">
        <v>1</v>
      </c>
      <c r="S153">
        <f t="shared" si="17"/>
        <v>0.6</v>
      </c>
      <c r="T153">
        <f t="shared" si="18"/>
        <v>-0.6</v>
      </c>
      <c r="U153">
        <f t="shared" si="13"/>
        <v>68.44073770491805</v>
      </c>
      <c r="W153">
        <v>523.79999999999995</v>
      </c>
      <c r="X153">
        <f t="shared" si="15"/>
        <v>10574.7</v>
      </c>
      <c r="Y153">
        <v>8.1818910219958845</v>
      </c>
    </row>
    <row r="154" spans="1:25" x14ac:dyDescent="0.35">
      <c r="A154">
        <v>2920</v>
      </c>
      <c r="B154">
        <v>23610</v>
      </c>
      <c r="C154" s="1">
        <v>42733</v>
      </c>
      <c r="E154">
        <v>14</v>
      </c>
      <c r="F154" s="50"/>
      <c r="G154">
        <v>0.9</v>
      </c>
      <c r="H154">
        <v>-2.2000000000000002</v>
      </c>
      <c r="I154">
        <v>5.2</v>
      </c>
      <c r="J154">
        <f t="shared" si="12"/>
        <v>878.99999999999977</v>
      </c>
      <c r="K154">
        <f t="shared" si="14"/>
        <v>185.4</v>
      </c>
      <c r="M154">
        <v>0</v>
      </c>
      <c r="N154">
        <v>0.7</v>
      </c>
      <c r="O154">
        <f t="shared" si="16"/>
        <v>-0.7</v>
      </c>
      <c r="Q154">
        <v>98</v>
      </c>
      <c r="R154">
        <v>1</v>
      </c>
      <c r="S154">
        <f t="shared" si="17"/>
        <v>0.7</v>
      </c>
      <c r="T154">
        <f t="shared" si="18"/>
        <v>-0.7</v>
      </c>
      <c r="U154">
        <f t="shared" si="13"/>
        <v>67.740737704918047</v>
      </c>
      <c r="W154">
        <v>649.5</v>
      </c>
      <c r="X154">
        <f t="shared" si="15"/>
        <v>11224.2</v>
      </c>
      <c r="Y154">
        <v>8.1926544699261221</v>
      </c>
    </row>
    <row r="155" spans="1:25" x14ac:dyDescent="0.35">
      <c r="A155">
        <v>2920</v>
      </c>
      <c r="B155">
        <v>23610</v>
      </c>
      <c r="C155" s="1">
        <v>42734</v>
      </c>
      <c r="E155">
        <v>15</v>
      </c>
      <c r="F155" s="50"/>
      <c r="G155">
        <v>-3.5</v>
      </c>
      <c r="H155">
        <v>-4.5999999999999996</v>
      </c>
      <c r="I155">
        <v>-2.9</v>
      </c>
      <c r="J155">
        <v>879</v>
      </c>
      <c r="K155">
        <v>185.4</v>
      </c>
      <c r="M155">
        <v>0</v>
      </c>
      <c r="N155">
        <v>0.3</v>
      </c>
      <c r="O155">
        <f t="shared" si="16"/>
        <v>-0.3</v>
      </c>
      <c r="Q155">
        <v>99</v>
      </c>
      <c r="R155">
        <v>1</v>
      </c>
      <c r="S155">
        <f t="shared" si="17"/>
        <v>0.3</v>
      </c>
      <c r="T155">
        <f t="shared" si="18"/>
        <v>-0.3</v>
      </c>
      <c r="U155">
        <f t="shared" si="13"/>
        <v>67.44073770491805</v>
      </c>
      <c r="W155">
        <v>302.10000000000002</v>
      </c>
      <c r="X155">
        <f t="shared" si="15"/>
        <v>11526.300000000001</v>
      </c>
      <c r="Y155">
        <v>8.2047765734811406</v>
      </c>
    </row>
    <row r="156" spans="1:25" x14ac:dyDescent="0.35">
      <c r="A156">
        <v>2920</v>
      </c>
      <c r="B156">
        <v>23610</v>
      </c>
      <c r="C156" s="1">
        <v>42735</v>
      </c>
      <c r="E156">
        <v>16</v>
      </c>
      <c r="F156" s="50"/>
      <c r="G156">
        <v>-4.3</v>
      </c>
      <c r="H156">
        <v>-5.0999999999999996</v>
      </c>
      <c r="I156">
        <v>-3.1</v>
      </c>
      <c r="J156">
        <v>879</v>
      </c>
      <c r="K156">
        <v>185.4</v>
      </c>
      <c r="M156">
        <v>0</v>
      </c>
      <c r="N156">
        <v>0.3</v>
      </c>
      <c r="O156">
        <f t="shared" si="16"/>
        <v>-0.3</v>
      </c>
      <c r="Q156">
        <v>100</v>
      </c>
      <c r="R156">
        <v>1</v>
      </c>
      <c r="S156">
        <f t="shared" si="17"/>
        <v>0.3</v>
      </c>
      <c r="T156">
        <f t="shared" si="18"/>
        <v>-0.3</v>
      </c>
      <c r="U156">
        <f t="shared" si="13"/>
        <v>67.140737704918052</v>
      </c>
      <c r="W156">
        <v>202.3</v>
      </c>
      <c r="X156">
        <f t="shared" si="15"/>
        <v>11728.6</v>
      </c>
      <c r="Y156">
        <v>8.2182465819659498</v>
      </c>
    </row>
    <row r="157" spans="1:25" x14ac:dyDescent="0.35">
      <c r="A157">
        <v>2920</v>
      </c>
      <c r="B157">
        <v>23610</v>
      </c>
      <c r="C157" s="1">
        <v>42736</v>
      </c>
      <c r="E157">
        <v>17</v>
      </c>
      <c r="F157" s="50"/>
      <c r="G157">
        <v>-0.4</v>
      </c>
      <c r="H157">
        <v>-3.9</v>
      </c>
      <c r="I157">
        <v>2.2999999999999998</v>
      </c>
      <c r="J157">
        <v>879</v>
      </c>
      <c r="K157">
        <v>185.4</v>
      </c>
      <c r="M157">
        <v>0</v>
      </c>
      <c r="N157">
        <v>0.1</v>
      </c>
      <c r="O157">
        <f t="shared" si="16"/>
        <v>-0.1</v>
      </c>
      <c r="Q157">
        <v>101</v>
      </c>
      <c r="R157">
        <v>1</v>
      </c>
      <c r="S157">
        <f t="shared" si="17"/>
        <v>0.1</v>
      </c>
      <c r="T157">
        <f t="shared" si="18"/>
        <v>-0.1</v>
      </c>
      <c r="U157">
        <f t="shared" si="13"/>
        <v>67.040737704918058</v>
      </c>
      <c r="W157">
        <v>63.7</v>
      </c>
      <c r="X157">
        <f t="shared" si="15"/>
        <v>11792.300000000001</v>
      </c>
      <c r="Y157">
        <v>8.2330526403095128</v>
      </c>
    </row>
    <row r="158" spans="1:25" x14ac:dyDescent="0.35">
      <c r="A158">
        <v>2920</v>
      </c>
      <c r="B158">
        <v>23610</v>
      </c>
      <c r="C158" s="1">
        <v>42737</v>
      </c>
      <c r="E158">
        <v>18</v>
      </c>
      <c r="F158" s="50"/>
      <c r="G158">
        <v>2.2000000000000002</v>
      </c>
      <c r="H158">
        <v>1.9</v>
      </c>
      <c r="I158">
        <v>3.8</v>
      </c>
      <c r="J158">
        <f t="shared" si="12"/>
        <v>881.2</v>
      </c>
      <c r="K158">
        <f t="shared" si="14"/>
        <v>187.6</v>
      </c>
      <c r="M158">
        <v>0</v>
      </c>
      <c r="N158">
        <v>0.3</v>
      </c>
      <c r="O158">
        <f t="shared" si="16"/>
        <v>-0.3</v>
      </c>
      <c r="Q158">
        <v>102</v>
      </c>
      <c r="R158">
        <v>1</v>
      </c>
      <c r="S158">
        <f t="shared" si="17"/>
        <v>0.3</v>
      </c>
      <c r="T158">
        <f t="shared" si="18"/>
        <v>-0.3</v>
      </c>
      <c r="U158">
        <f t="shared" si="13"/>
        <v>66.740737704918061</v>
      </c>
      <c r="W158">
        <v>167.7</v>
      </c>
      <c r="X158">
        <f t="shared" si="15"/>
        <v>11960.000000000002</v>
      </c>
      <c r="Y158">
        <v>8.2491818272448576</v>
      </c>
    </row>
    <row r="159" spans="1:25" x14ac:dyDescent="0.35">
      <c r="A159">
        <v>2920</v>
      </c>
      <c r="B159">
        <v>23610</v>
      </c>
      <c r="C159" s="1">
        <v>42738</v>
      </c>
      <c r="E159">
        <v>19</v>
      </c>
      <c r="F159" s="50"/>
      <c r="G159">
        <v>-1.4</v>
      </c>
      <c r="H159">
        <v>-2</v>
      </c>
      <c r="I159">
        <v>-0.6</v>
      </c>
      <c r="J159">
        <v>881.2</v>
      </c>
      <c r="K159">
        <v>187.6</v>
      </c>
      <c r="M159">
        <v>0</v>
      </c>
      <c r="N159">
        <v>0.3</v>
      </c>
      <c r="O159">
        <f t="shared" si="16"/>
        <v>-0.3</v>
      </c>
      <c r="Q159">
        <v>103</v>
      </c>
      <c r="R159">
        <v>1</v>
      </c>
      <c r="S159">
        <f t="shared" si="17"/>
        <v>0.3</v>
      </c>
      <c r="T159">
        <f t="shared" si="18"/>
        <v>-0.3</v>
      </c>
      <c r="U159">
        <f t="shared" si="13"/>
        <v>66.440737704918064</v>
      </c>
      <c r="W159">
        <v>286.60000000000002</v>
      </c>
      <c r="X159">
        <f t="shared" si="15"/>
        <v>12246.600000000002</v>
      </c>
      <c r="Y159">
        <v>8.2666201963669401</v>
      </c>
    </row>
    <row r="160" spans="1:25" x14ac:dyDescent="0.35">
      <c r="A160">
        <v>2920</v>
      </c>
      <c r="B160">
        <v>23610</v>
      </c>
      <c r="C160" s="1">
        <v>42739</v>
      </c>
      <c r="E160">
        <v>20</v>
      </c>
      <c r="F160" s="50"/>
      <c r="G160">
        <v>1.8</v>
      </c>
      <c r="H160">
        <v>-2.7</v>
      </c>
      <c r="I160">
        <v>4.7</v>
      </c>
      <c r="J160">
        <f t="shared" si="12"/>
        <v>883</v>
      </c>
      <c r="K160">
        <f t="shared" si="14"/>
        <v>189.4</v>
      </c>
      <c r="M160">
        <v>0</v>
      </c>
      <c r="N160">
        <v>0.1</v>
      </c>
      <c r="O160">
        <f t="shared" si="16"/>
        <v>-0.1</v>
      </c>
      <c r="Q160">
        <v>104</v>
      </c>
      <c r="R160">
        <v>1</v>
      </c>
      <c r="S160">
        <f t="shared" si="17"/>
        <v>0.1</v>
      </c>
      <c r="T160">
        <f t="shared" si="18"/>
        <v>-0.1</v>
      </c>
      <c r="U160">
        <f t="shared" si="13"/>
        <v>66.34073770491807</v>
      </c>
      <c r="W160">
        <v>87.4</v>
      </c>
      <c r="X160">
        <f t="shared" si="15"/>
        <v>12334.000000000002</v>
      </c>
      <c r="Y160">
        <v>8.2853528197978985</v>
      </c>
    </row>
    <row r="161" spans="1:25" x14ac:dyDescent="0.35">
      <c r="A161">
        <v>2920</v>
      </c>
      <c r="B161">
        <v>23610</v>
      </c>
      <c r="C161" s="1">
        <v>42740</v>
      </c>
      <c r="E161">
        <v>21</v>
      </c>
      <c r="F161" s="50"/>
      <c r="G161">
        <v>3</v>
      </c>
      <c r="H161">
        <v>2.1</v>
      </c>
      <c r="I161">
        <v>6.8</v>
      </c>
      <c r="J161">
        <f t="shared" si="12"/>
        <v>886</v>
      </c>
      <c r="K161">
        <f t="shared" si="14"/>
        <v>192.4</v>
      </c>
      <c r="M161">
        <v>0</v>
      </c>
      <c r="N161">
        <v>0.9</v>
      </c>
      <c r="O161">
        <f t="shared" si="16"/>
        <v>-0.9</v>
      </c>
      <c r="Q161">
        <v>105</v>
      </c>
      <c r="R161">
        <v>1</v>
      </c>
      <c r="S161">
        <f t="shared" si="17"/>
        <v>0.9</v>
      </c>
      <c r="T161">
        <f t="shared" si="18"/>
        <v>-0.9</v>
      </c>
      <c r="U161">
        <f t="shared" si="13"/>
        <v>65.440737704918064</v>
      </c>
      <c r="W161">
        <v>630.79999999999995</v>
      </c>
      <c r="X161">
        <f t="shared" si="15"/>
        <v>12964.800000000001</v>
      </c>
      <c r="Y161">
        <v>8.3053638341785643</v>
      </c>
    </row>
    <row r="162" spans="1:25" x14ac:dyDescent="0.35">
      <c r="A162">
        <v>2920</v>
      </c>
      <c r="B162">
        <v>23610</v>
      </c>
      <c r="C162" s="1">
        <v>42741</v>
      </c>
      <c r="E162">
        <v>22</v>
      </c>
      <c r="F162" s="50"/>
      <c r="G162">
        <v>-2</v>
      </c>
      <c r="H162">
        <v>-4.3</v>
      </c>
      <c r="I162">
        <v>0.1</v>
      </c>
      <c r="J162">
        <v>886</v>
      </c>
      <c r="K162">
        <v>192.4</v>
      </c>
      <c r="M162">
        <v>0</v>
      </c>
      <c r="N162">
        <v>0.4</v>
      </c>
      <c r="O162">
        <f t="shared" si="16"/>
        <v>-0.4</v>
      </c>
      <c r="Q162">
        <v>106</v>
      </c>
      <c r="R162">
        <v>1</v>
      </c>
      <c r="S162">
        <f t="shared" si="17"/>
        <v>0.4</v>
      </c>
      <c r="T162">
        <f t="shared" si="18"/>
        <v>-0.4</v>
      </c>
      <c r="U162">
        <f t="shared" si="13"/>
        <v>65.040737704918058</v>
      </c>
      <c r="W162">
        <v>317.8</v>
      </c>
      <c r="X162">
        <f t="shared" si="15"/>
        <v>13282.6</v>
      </c>
      <c r="Y162">
        <v>8.3266364886970745</v>
      </c>
    </row>
    <row r="163" spans="1:25" x14ac:dyDescent="0.35">
      <c r="A163">
        <v>2920</v>
      </c>
      <c r="B163">
        <v>23610</v>
      </c>
      <c r="C163" s="1">
        <v>42742</v>
      </c>
      <c r="E163">
        <v>23</v>
      </c>
      <c r="F163" s="50"/>
      <c r="G163">
        <v>1</v>
      </c>
      <c r="H163">
        <v>-2.7</v>
      </c>
      <c r="I163">
        <v>6.9</v>
      </c>
      <c r="J163">
        <f t="shared" si="12"/>
        <v>887</v>
      </c>
      <c r="K163">
        <f t="shared" si="14"/>
        <v>193.4</v>
      </c>
      <c r="M163">
        <v>0</v>
      </c>
      <c r="N163">
        <v>0.4</v>
      </c>
      <c r="O163">
        <f t="shared" si="16"/>
        <v>-0.4</v>
      </c>
      <c r="Q163">
        <v>107</v>
      </c>
      <c r="R163">
        <v>1</v>
      </c>
      <c r="S163">
        <f t="shared" si="17"/>
        <v>0.4</v>
      </c>
      <c r="T163">
        <f t="shared" si="18"/>
        <v>-0.4</v>
      </c>
      <c r="U163">
        <f t="shared" si="13"/>
        <v>64.640737704918052</v>
      </c>
      <c r="W163">
        <v>103.3</v>
      </c>
      <c r="X163">
        <f t="shared" si="15"/>
        <v>13385.9</v>
      </c>
      <c r="Y163">
        <v>8.349153194860655</v>
      </c>
    </row>
    <row r="164" spans="1:25" x14ac:dyDescent="0.35">
      <c r="A164">
        <v>2920</v>
      </c>
      <c r="B164">
        <v>23610</v>
      </c>
      <c r="C164" s="1">
        <v>42743</v>
      </c>
      <c r="F164" s="50"/>
      <c r="G164">
        <v>7.8</v>
      </c>
      <c r="H164">
        <v>3.8</v>
      </c>
      <c r="I164">
        <v>9.1999999999999993</v>
      </c>
      <c r="J164">
        <f t="shared" si="12"/>
        <v>894.8</v>
      </c>
      <c r="K164">
        <f t="shared" si="14"/>
        <v>201.20000000000002</v>
      </c>
      <c r="M164">
        <v>0.6</v>
      </c>
      <c r="N164">
        <v>0.2</v>
      </c>
      <c r="O164">
        <f t="shared" si="16"/>
        <v>0.39999999999999997</v>
      </c>
      <c r="Q164">
        <v>108</v>
      </c>
      <c r="R164">
        <v>1</v>
      </c>
      <c r="S164">
        <f t="shared" si="17"/>
        <v>0.2</v>
      </c>
      <c r="T164">
        <f t="shared" si="18"/>
        <v>0.39999999999999997</v>
      </c>
      <c r="U164">
        <f t="shared" si="13"/>
        <v>65.040737704918058</v>
      </c>
      <c r="W164">
        <v>126.8</v>
      </c>
      <c r="X164">
        <f t="shared" si="15"/>
        <v>13512.699999999999</v>
      </c>
      <c r="Y164">
        <v>8.3728955777145835</v>
      </c>
    </row>
    <row r="165" spans="1:25" x14ac:dyDescent="0.35">
      <c r="A165">
        <v>2920</v>
      </c>
      <c r="B165">
        <v>23610</v>
      </c>
      <c r="C165" s="1">
        <v>42744</v>
      </c>
      <c r="F165" s="50"/>
      <c r="G165">
        <v>7.5</v>
      </c>
      <c r="H165">
        <v>6</v>
      </c>
      <c r="I165">
        <v>9</v>
      </c>
      <c r="J165">
        <f t="shared" si="12"/>
        <v>902.3</v>
      </c>
      <c r="K165">
        <f t="shared" si="14"/>
        <v>208.70000000000002</v>
      </c>
      <c r="M165">
        <v>3</v>
      </c>
      <c r="N165">
        <v>0.3</v>
      </c>
      <c r="O165">
        <f t="shared" si="16"/>
        <v>2.7</v>
      </c>
      <c r="Q165">
        <v>109</v>
      </c>
      <c r="R165">
        <v>1</v>
      </c>
      <c r="S165">
        <f t="shared" si="17"/>
        <v>0.3</v>
      </c>
      <c r="T165">
        <f t="shared" si="18"/>
        <v>2.7</v>
      </c>
      <c r="U165">
        <f t="shared" si="13"/>
        <v>67.740737704918061</v>
      </c>
      <c r="W165">
        <v>86.3</v>
      </c>
      <c r="X165">
        <f t="shared" si="15"/>
        <v>13598.999999999998</v>
      </c>
      <c r="Y165">
        <v>8.3978445282131968</v>
      </c>
    </row>
    <row r="166" spans="1:25" x14ac:dyDescent="0.35">
      <c r="A166">
        <v>2920</v>
      </c>
      <c r="B166">
        <v>23610</v>
      </c>
      <c r="C166" s="1">
        <v>42745</v>
      </c>
      <c r="F166" s="50"/>
      <c r="G166">
        <v>7.5</v>
      </c>
      <c r="H166">
        <v>6.3</v>
      </c>
      <c r="I166">
        <v>8.8000000000000007</v>
      </c>
      <c r="J166">
        <f t="shared" si="12"/>
        <v>909.8</v>
      </c>
      <c r="K166">
        <f t="shared" si="14"/>
        <v>216.20000000000002</v>
      </c>
      <c r="M166">
        <v>1.4</v>
      </c>
      <c r="N166">
        <v>0.3</v>
      </c>
      <c r="O166">
        <f t="shared" si="16"/>
        <v>1.0999999999999999</v>
      </c>
      <c r="Q166">
        <v>110</v>
      </c>
      <c r="R166">
        <v>1</v>
      </c>
      <c r="S166">
        <f t="shared" si="17"/>
        <v>0.3</v>
      </c>
      <c r="T166">
        <f t="shared" si="18"/>
        <v>1.0999999999999999</v>
      </c>
      <c r="U166">
        <f t="shared" si="13"/>
        <v>68.840737704918055</v>
      </c>
      <c r="W166">
        <v>165.1</v>
      </c>
      <c r="X166">
        <f t="shared" si="15"/>
        <v>13764.099999999999</v>
      </c>
      <c r="Y166">
        <v>8.423980256451312</v>
      </c>
    </row>
    <row r="167" spans="1:25" x14ac:dyDescent="0.35">
      <c r="A167">
        <v>2920</v>
      </c>
      <c r="B167">
        <v>23610</v>
      </c>
      <c r="C167" s="1">
        <v>42746</v>
      </c>
      <c r="F167" s="50"/>
      <c r="G167">
        <v>9.1</v>
      </c>
      <c r="H167">
        <v>7.6</v>
      </c>
      <c r="I167">
        <v>11.1</v>
      </c>
      <c r="J167">
        <f t="shared" si="12"/>
        <v>918.9</v>
      </c>
      <c r="K167">
        <f t="shared" si="14"/>
        <v>225.3</v>
      </c>
      <c r="M167">
        <v>0.6</v>
      </c>
      <c r="N167">
        <v>0.6</v>
      </c>
      <c r="O167">
        <f t="shared" si="16"/>
        <v>0</v>
      </c>
      <c r="Q167">
        <v>111</v>
      </c>
      <c r="R167">
        <v>1</v>
      </c>
      <c r="S167">
        <f t="shared" si="17"/>
        <v>0.6</v>
      </c>
      <c r="T167">
        <f t="shared" si="18"/>
        <v>0</v>
      </c>
      <c r="U167">
        <f t="shared" si="13"/>
        <v>68.840737704918055</v>
      </c>
      <c r="W167">
        <v>112.2</v>
      </c>
      <c r="X167">
        <f t="shared" si="15"/>
        <v>13876.3</v>
      </c>
      <c r="Y167">
        <v>8.451282345470295</v>
      </c>
    </row>
    <row r="168" spans="1:25" x14ac:dyDescent="0.35">
      <c r="A168">
        <v>2920</v>
      </c>
      <c r="B168">
        <v>23610</v>
      </c>
      <c r="C168" s="1">
        <v>42747</v>
      </c>
      <c r="F168" s="50"/>
      <c r="G168">
        <v>6.5</v>
      </c>
      <c r="H168">
        <v>5.9</v>
      </c>
      <c r="I168">
        <v>7.9</v>
      </c>
      <c r="J168">
        <f t="shared" si="12"/>
        <v>925.4</v>
      </c>
      <c r="K168">
        <f t="shared" si="14"/>
        <v>231.8</v>
      </c>
      <c r="M168">
        <v>10.4</v>
      </c>
      <c r="N168">
        <v>0.6</v>
      </c>
      <c r="O168">
        <f t="shared" si="16"/>
        <v>9.8000000000000007</v>
      </c>
      <c r="Q168">
        <v>112</v>
      </c>
      <c r="R168">
        <v>1</v>
      </c>
      <c r="S168">
        <f t="shared" si="17"/>
        <v>0.6</v>
      </c>
      <c r="T168">
        <f t="shared" si="18"/>
        <v>9.8000000000000007</v>
      </c>
      <c r="U168">
        <f t="shared" si="13"/>
        <v>78.640737704918052</v>
      </c>
      <c r="W168">
        <v>101.4</v>
      </c>
      <c r="X168">
        <f t="shared" si="15"/>
        <v>13977.699999999999</v>
      </c>
      <c r="Y168">
        <v>8.4797298053613801</v>
      </c>
    </row>
    <row r="169" spans="1:25" x14ac:dyDescent="0.35">
      <c r="A169">
        <v>2920</v>
      </c>
      <c r="B169">
        <v>23610</v>
      </c>
      <c r="C169" s="1">
        <v>42748</v>
      </c>
      <c r="E169">
        <v>24</v>
      </c>
      <c r="F169" s="50"/>
      <c r="G169">
        <v>3.7</v>
      </c>
      <c r="H169">
        <v>2.5</v>
      </c>
      <c r="I169">
        <v>6.3</v>
      </c>
      <c r="J169">
        <f t="shared" si="12"/>
        <v>929.1</v>
      </c>
      <c r="K169">
        <f t="shared" si="14"/>
        <v>235.5</v>
      </c>
      <c r="M169">
        <v>1.6</v>
      </c>
      <c r="N169">
        <v>1.1000000000000001</v>
      </c>
      <c r="O169">
        <f t="shared" si="16"/>
        <v>0.5</v>
      </c>
      <c r="Q169">
        <v>113</v>
      </c>
      <c r="R169">
        <v>1</v>
      </c>
      <c r="S169">
        <f t="shared" si="17"/>
        <v>1.1000000000000001</v>
      </c>
      <c r="T169">
        <f t="shared" si="18"/>
        <v>0.5</v>
      </c>
      <c r="U169">
        <f t="shared" si="13"/>
        <v>79.140737704918052</v>
      </c>
      <c r="W169">
        <v>332.3</v>
      </c>
      <c r="X169">
        <f t="shared" si="15"/>
        <v>14309.999999999998</v>
      </c>
      <c r="Y169">
        <v>8.5093011273989667</v>
      </c>
    </row>
    <row r="170" spans="1:25" x14ac:dyDescent="0.35">
      <c r="A170">
        <v>2920</v>
      </c>
      <c r="B170">
        <v>23610</v>
      </c>
      <c r="C170" s="1">
        <v>42749</v>
      </c>
      <c r="E170">
        <v>25</v>
      </c>
      <c r="F170" s="50"/>
      <c r="G170">
        <v>4.3</v>
      </c>
      <c r="H170">
        <v>1.3</v>
      </c>
      <c r="I170">
        <v>6.2</v>
      </c>
      <c r="J170">
        <f t="shared" si="12"/>
        <v>933.4</v>
      </c>
      <c r="K170">
        <f t="shared" si="14"/>
        <v>239.8</v>
      </c>
      <c r="M170">
        <v>3.4</v>
      </c>
      <c r="N170">
        <v>0.3</v>
      </c>
      <c r="O170">
        <f t="shared" si="16"/>
        <v>3.1</v>
      </c>
      <c r="Q170">
        <v>114</v>
      </c>
      <c r="R170">
        <v>1</v>
      </c>
      <c r="S170">
        <f t="shared" si="17"/>
        <v>0.3</v>
      </c>
      <c r="T170">
        <f t="shared" si="18"/>
        <v>3.1</v>
      </c>
      <c r="U170">
        <f t="shared" si="13"/>
        <v>82.240737704918047</v>
      </c>
      <c r="W170">
        <v>141.9</v>
      </c>
      <c r="X170">
        <f t="shared" si="15"/>
        <v>14451.899999999998</v>
      </c>
      <c r="Y170">
        <v>8.5399743379487294</v>
      </c>
    </row>
    <row r="171" spans="1:25" x14ac:dyDescent="0.35">
      <c r="A171">
        <v>2920</v>
      </c>
      <c r="B171">
        <v>23610</v>
      </c>
      <c r="C171" s="1">
        <v>42750</v>
      </c>
      <c r="F171" s="50"/>
      <c r="G171">
        <v>7</v>
      </c>
      <c r="H171">
        <v>4.4000000000000004</v>
      </c>
      <c r="I171">
        <v>8.9</v>
      </c>
      <c r="J171">
        <f t="shared" si="12"/>
        <v>940.4</v>
      </c>
      <c r="K171">
        <f t="shared" si="14"/>
        <v>246.8</v>
      </c>
      <c r="M171">
        <v>7.3</v>
      </c>
      <c r="N171">
        <v>0.2</v>
      </c>
      <c r="O171">
        <f t="shared" si="16"/>
        <v>7.1</v>
      </c>
      <c r="Q171">
        <v>115</v>
      </c>
      <c r="R171">
        <v>1</v>
      </c>
      <c r="S171">
        <f t="shared" si="17"/>
        <v>0.2</v>
      </c>
      <c r="T171">
        <f t="shared" si="18"/>
        <v>7.1</v>
      </c>
      <c r="U171">
        <f t="shared" si="13"/>
        <v>89.340737704918041</v>
      </c>
      <c r="W171">
        <v>85.3</v>
      </c>
      <c r="X171">
        <f t="shared" si="15"/>
        <v>14537.199999999997</v>
      </c>
      <c r="Y171">
        <v>8.571727051909015</v>
      </c>
    </row>
    <row r="172" spans="1:25" x14ac:dyDescent="0.35">
      <c r="A172">
        <v>2920</v>
      </c>
      <c r="B172">
        <v>23610</v>
      </c>
      <c r="C172" s="1">
        <v>42751</v>
      </c>
      <c r="F172" s="50"/>
      <c r="G172">
        <v>7.7</v>
      </c>
      <c r="H172">
        <v>6.7</v>
      </c>
      <c r="I172">
        <v>9.3000000000000007</v>
      </c>
      <c r="J172">
        <f t="shared" si="12"/>
        <v>948.1</v>
      </c>
      <c r="K172">
        <f t="shared" si="14"/>
        <v>254.5</v>
      </c>
      <c r="M172">
        <v>3.6</v>
      </c>
      <c r="N172">
        <v>0.3</v>
      </c>
      <c r="O172">
        <f t="shared" si="16"/>
        <v>3.3000000000000003</v>
      </c>
      <c r="Q172">
        <v>116</v>
      </c>
      <c r="R172">
        <v>1</v>
      </c>
      <c r="S172">
        <f t="shared" si="17"/>
        <v>0.3</v>
      </c>
      <c r="T172">
        <f t="shared" si="18"/>
        <v>3.3000000000000003</v>
      </c>
      <c r="U172">
        <f t="shared" si="13"/>
        <v>92.640737704918038</v>
      </c>
      <c r="W172">
        <v>103</v>
      </c>
      <c r="X172">
        <f t="shared" si="15"/>
        <v>14640.199999999997</v>
      </c>
      <c r="Y172">
        <v>8.6045365254588315</v>
      </c>
    </row>
    <row r="173" spans="1:25" x14ac:dyDescent="0.35">
      <c r="A173">
        <v>2920</v>
      </c>
      <c r="B173">
        <v>23610</v>
      </c>
      <c r="C173" s="1">
        <v>42752</v>
      </c>
      <c r="E173">
        <v>26</v>
      </c>
      <c r="F173" s="50"/>
      <c r="G173">
        <v>1.1000000000000001</v>
      </c>
      <c r="H173">
        <v>-0.6</v>
      </c>
      <c r="I173">
        <v>3.2</v>
      </c>
      <c r="J173">
        <f t="shared" si="12"/>
        <v>949.2</v>
      </c>
      <c r="K173">
        <f t="shared" si="14"/>
        <v>255.6</v>
      </c>
      <c r="M173">
        <v>0</v>
      </c>
      <c r="N173">
        <v>0.6</v>
      </c>
      <c r="O173">
        <f t="shared" si="16"/>
        <v>-0.6</v>
      </c>
      <c r="Q173">
        <v>117</v>
      </c>
      <c r="R173">
        <v>1</v>
      </c>
      <c r="S173">
        <f t="shared" si="17"/>
        <v>0.6</v>
      </c>
      <c r="T173">
        <f t="shared" si="18"/>
        <v>-0.6</v>
      </c>
      <c r="U173">
        <f t="shared" si="13"/>
        <v>92.040737704918044</v>
      </c>
      <c r="W173">
        <v>795.8</v>
      </c>
      <c r="X173">
        <f t="shared" si="15"/>
        <v>15435.999999999996</v>
      </c>
      <c r="Y173">
        <v>8.6383797079016862</v>
      </c>
    </row>
    <row r="174" spans="1:25" x14ac:dyDescent="0.35">
      <c r="A174">
        <v>2920</v>
      </c>
      <c r="B174">
        <v>23610</v>
      </c>
      <c r="C174" s="1">
        <v>42753</v>
      </c>
      <c r="E174">
        <v>27</v>
      </c>
      <c r="F174" s="50"/>
      <c r="G174">
        <v>-0.6</v>
      </c>
      <c r="H174">
        <v>-4.0999999999999996</v>
      </c>
      <c r="I174">
        <v>2.8</v>
      </c>
      <c r="J174">
        <v>949.2</v>
      </c>
      <c r="K174">
        <v>255.6</v>
      </c>
      <c r="M174">
        <v>0</v>
      </c>
      <c r="N174">
        <v>1</v>
      </c>
      <c r="O174">
        <f t="shared" si="16"/>
        <v>-1</v>
      </c>
      <c r="Q174">
        <v>118</v>
      </c>
      <c r="R174">
        <v>1</v>
      </c>
      <c r="S174">
        <f t="shared" si="17"/>
        <v>1</v>
      </c>
      <c r="T174">
        <f t="shared" si="18"/>
        <v>-1</v>
      </c>
      <c r="U174">
        <f t="shared" si="13"/>
        <v>91.040737704918044</v>
      </c>
      <c r="W174">
        <v>837.6</v>
      </c>
      <c r="X174">
        <f t="shared" si="15"/>
        <v>16273.599999999997</v>
      </c>
      <c r="Y174">
        <v>8.6732332924112434</v>
      </c>
    </row>
    <row r="175" spans="1:25" x14ac:dyDescent="0.35">
      <c r="A175">
        <v>2920</v>
      </c>
      <c r="B175">
        <v>23610</v>
      </c>
      <c r="C175" s="1">
        <v>42754</v>
      </c>
      <c r="E175">
        <v>28</v>
      </c>
      <c r="F175" s="50"/>
      <c r="G175">
        <v>-2</v>
      </c>
      <c r="H175">
        <v>-3.8</v>
      </c>
      <c r="I175">
        <v>0.6</v>
      </c>
      <c r="J175">
        <v>949.2</v>
      </c>
      <c r="K175">
        <v>255.6</v>
      </c>
      <c r="M175">
        <v>0</v>
      </c>
      <c r="N175">
        <v>0.8</v>
      </c>
      <c r="O175">
        <f t="shared" si="16"/>
        <v>-0.8</v>
      </c>
      <c r="Q175">
        <v>119</v>
      </c>
      <c r="R175">
        <v>1</v>
      </c>
      <c r="S175">
        <f t="shared" si="17"/>
        <v>0.8</v>
      </c>
      <c r="T175">
        <f t="shared" si="18"/>
        <v>-0.8</v>
      </c>
      <c r="U175">
        <f t="shared" si="13"/>
        <v>90.240737704918047</v>
      </c>
      <c r="W175">
        <v>851.8</v>
      </c>
      <c r="X175">
        <f t="shared" si="15"/>
        <v>17125.399999999998</v>
      </c>
      <c r="Y175">
        <v>8.7090737655019961</v>
      </c>
    </row>
    <row r="176" spans="1:25" x14ac:dyDescent="0.35">
      <c r="A176">
        <v>2920</v>
      </c>
      <c r="B176">
        <v>23610</v>
      </c>
      <c r="C176" s="1">
        <v>42755</v>
      </c>
      <c r="E176">
        <v>29</v>
      </c>
      <c r="F176" s="50"/>
      <c r="G176">
        <v>-2.8</v>
      </c>
      <c r="H176">
        <v>-5.3</v>
      </c>
      <c r="I176">
        <v>0.1</v>
      </c>
      <c r="J176">
        <v>949.2</v>
      </c>
      <c r="K176">
        <v>255.6</v>
      </c>
      <c r="M176">
        <v>0</v>
      </c>
      <c r="N176">
        <v>0.6</v>
      </c>
      <c r="O176">
        <f t="shared" si="16"/>
        <v>-0.6</v>
      </c>
      <c r="Q176">
        <v>120</v>
      </c>
      <c r="R176">
        <v>1</v>
      </c>
      <c r="S176">
        <f t="shared" si="17"/>
        <v>0.6</v>
      </c>
      <c r="T176">
        <f t="shared" si="18"/>
        <v>-0.6</v>
      </c>
      <c r="U176">
        <f t="shared" si="13"/>
        <v>89.640737704918052</v>
      </c>
      <c r="W176">
        <v>838.3</v>
      </c>
      <c r="X176">
        <f t="shared" si="15"/>
        <v>17963.699999999997</v>
      </c>
      <c r="Y176">
        <v>8.745877455065731</v>
      </c>
    </row>
    <row r="177" spans="1:26" x14ac:dyDescent="0.35">
      <c r="A177">
        <v>2920</v>
      </c>
      <c r="B177">
        <v>23610</v>
      </c>
      <c r="C177" s="1">
        <v>42756</v>
      </c>
      <c r="E177">
        <v>30</v>
      </c>
      <c r="F177" s="50"/>
      <c r="G177">
        <v>-2.4</v>
      </c>
      <c r="H177">
        <v>-6.5</v>
      </c>
      <c r="I177">
        <v>0.9</v>
      </c>
      <c r="J177">
        <v>949.2</v>
      </c>
      <c r="K177">
        <v>255.6</v>
      </c>
      <c r="M177">
        <v>0</v>
      </c>
      <c r="N177">
        <v>0.6</v>
      </c>
      <c r="O177">
        <f t="shared" si="16"/>
        <v>-0.6</v>
      </c>
      <c r="Q177">
        <v>121</v>
      </c>
      <c r="R177">
        <v>1</v>
      </c>
      <c r="S177">
        <f t="shared" si="17"/>
        <v>0.6</v>
      </c>
      <c r="T177">
        <f t="shared" si="18"/>
        <v>-0.6</v>
      </c>
      <c r="U177">
        <f t="shared" si="13"/>
        <v>89.040737704918058</v>
      </c>
      <c r="W177">
        <v>800.3</v>
      </c>
      <c r="X177">
        <f t="shared" si="15"/>
        <v>18763.999999999996</v>
      </c>
      <c r="Y177">
        <v>8.7836205768322237</v>
      </c>
    </row>
    <row r="178" spans="1:26" x14ac:dyDescent="0.35">
      <c r="A178">
        <v>2920</v>
      </c>
      <c r="B178">
        <v>23610</v>
      </c>
      <c r="C178" s="1">
        <v>42757</v>
      </c>
      <c r="E178">
        <v>31</v>
      </c>
      <c r="F178" s="50"/>
      <c r="G178">
        <v>0.2</v>
      </c>
      <c r="H178">
        <v>-4.8</v>
      </c>
      <c r="I178">
        <v>5.0999999999999996</v>
      </c>
      <c r="J178">
        <f t="shared" si="12"/>
        <v>949.40000000000009</v>
      </c>
      <c r="K178">
        <f t="shared" si="14"/>
        <v>255.79999999999998</v>
      </c>
      <c r="M178">
        <v>0</v>
      </c>
      <c r="N178">
        <v>0.9</v>
      </c>
      <c r="O178">
        <f t="shared" si="16"/>
        <v>-0.9</v>
      </c>
      <c r="Q178">
        <v>122</v>
      </c>
      <c r="R178">
        <v>1</v>
      </c>
      <c r="S178">
        <f t="shared" si="17"/>
        <v>0.9</v>
      </c>
      <c r="T178">
        <f t="shared" si="18"/>
        <v>-0.9</v>
      </c>
      <c r="U178">
        <f t="shared" si="13"/>
        <v>88.140737704918052</v>
      </c>
      <c r="W178">
        <v>840.1</v>
      </c>
      <c r="X178">
        <f t="shared" si="15"/>
        <v>19604.099999999995</v>
      </c>
      <c r="Y178">
        <v>8.8222792791301696</v>
      </c>
    </row>
    <row r="179" spans="1:26" x14ac:dyDescent="0.35">
      <c r="A179">
        <v>2920</v>
      </c>
      <c r="B179">
        <v>23610</v>
      </c>
      <c r="C179" s="1">
        <v>42758</v>
      </c>
      <c r="E179">
        <v>32</v>
      </c>
      <c r="F179" s="50"/>
      <c r="G179">
        <v>1.2</v>
      </c>
      <c r="H179">
        <v>-3.9</v>
      </c>
      <c r="I179">
        <v>7</v>
      </c>
      <c r="J179">
        <f t="shared" si="12"/>
        <v>950.60000000000014</v>
      </c>
      <c r="K179">
        <f t="shared" si="14"/>
        <v>257</v>
      </c>
      <c r="M179">
        <v>0</v>
      </c>
      <c r="N179">
        <v>1</v>
      </c>
      <c r="O179">
        <f t="shared" si="16"/>
        <v>-1</v>
      </c>
      <c r="Q179">
        <v>123</v>
      </c>
      <c r="R179">
        <v>1</v>
      </c>
      <c r="S179">
        <f t="shared" si="17"/>
        <v>1</v>
      </c>
      <c r="T179">
        <f t="shared" si="18"/>
        <v>-1</v>
      </c>
      <c r="U179">
        <f t="shared" si="13"/>
        <v>87.140737704918052</v>
      </c>
      <c r="W179">
        <v>880.3</v>
      </c>
      <c r="X179">
        <f t="shared" si="15"/>
        <v>20484.399999999994</v>
      </c>
      <c r="Y179">
        <v>8.8618296858416272</v>
      </c>
    </row>
    <row r="180" spans="1:26" x14ac:dyDescent="0.35">
      <c r="A180">
        <v>2920</v>
      </c>
      <c r="B180">
        <v>23610</v>
      </c>
      <c r="C180" s="1">
        <v>42759</v>
      </c>
      <c r="E180">
        <v>33</v>
      </c>
      <c r="F180" s="50"/>
      <c r="G180">
        <v>0.2</v>
      </c>
      <c r="H180">
        <v>-4.7</v>
      </c>
      <c r="I180">
        <v>5.2</v>
      </c>
      <c r="J180">
        <f t="shared" si="12"/>
        <v>950.80000000000018</v>
      </c>
      <c r="K180">
        <f t="shared" si="14"/>
        <v>257.2</v>
      </c>
      <c r="M180">
        <v>0</v>
      </c>
      <c r="N180">
        <v>0.8</v>
      </c>
      <c r="O180">
        <f t="shared" si="16"/>
        <v>-0.8</v>
      </c>
      <c r="Q180">
        <v>124</v>
      </c>
      <c r="R180">
        <v>1</v>
      </c>
      <c r="S180">
        <f t="shared" si="17"/>
        <v>0.8</v>
      </c>
      <c r="T180">
        <f t="shared" si="18"/>
        <v>-0.8</v>
      </c>
      <c r="U180">
        <f t="shared" si="13"/>
        <v>86.340737704918055</v>
      </c>
      <c r="W180">
        <v>786.6</v>
      </c>
      <c r="X180">
        <f t="shared" si="15"/>
        <v>21270.999999999993</v>
      </c>
      <c r="Y180">
        <v>8.9022479374601531</v>
      </c>
    </row>
    <row r="181" spans="1:26" x14ac:dyDescent="0.35">
      <c r="A181">
        <v>2920</v>
      </c>
      <c r="B181">
        <v>23610</v>
      </c>
      <c r="C181" s="1">
        <v>42760</v>
      </c>
      <c r="E181">
        <v>34</v>
      </c>
      <c r="F181" s="50"/>
      <c r="G181">
        <v>-1.7</v>
      </c>
      <c r="H181">
        <v>-4.7</v>
      </c>
      <c r="I181">
        <v>0.8</v>
      </c>
      <c r="J181">
        <v>950.8</v>
      </c>
      <c r="K181">
        <v>257.2</v>
      </c>
      <c r="M181">
        <v>0</v>
      </c>
      <c r="N181">
        <v>0.4</v>
      </c>
      <c r="O181">
        <f t="shared" si="16"/>
        <v>-0.4</v>
      </c>
      <c r="Q181">
        <v>125</v>
      </c>
      <c r="R181">
        <v>1</v>
      </c>
      <c r="S181">
        <f t="shared" si="17"/>
        <v>0.4</v>
      </c>
      <c r="T181">
        <f t="shared" si="18"/>
        <v>-0.4</v>
      </c>
      <c r="U181">
        <f t="shared" si="13"/>
        <v>85.94073770491805</v>
      </c>
      <c r="W181">
        <v>262.5</v>
      </c>
      <c r="X181">
        <f t="shared" si="15"/>
        <v>21533.499999999993</v>
      </c>
      <c r="Y181">
        <v>8.9435102301791058</v>
      </c>
    </row>
    <row r="182" spans="1:26" x14ac:dyDescent="0.35">
      <c r="A182">
        <v>2920</v>
      </c>
      <c r="B182">
        <v>23610</v>
      </c>
      <c r="C182" s="1">
        <v>42761</v>
      </c>
      <c r="E182">
        <v>35</v>
      </c>
      <c r="F182" s="50"/>
      <c r="G182">
        <v>-0.6</v>
      </c>
      <c r="H182">
        <v>-3.9</v>
      </c>
      <c r="I182">
        <v>2.1</v>
      </c>
      <c r="J182">
        <v>950.8</v>
      </c>
      <c r="K182">
        <v>257.2</v>
      </c>
      <c r="M182">
        <v>0.1</v>
      </c>
      <c r="N182">
        <v>0.9</v>
      </c>
      <c r="O182">
        <f t="shared" si="16"/>
        <v>-0.8</v>
      </c>
      <c r="Q182">
        <v>126</v>
      </c>
      <c r="R182">
        <v>1</v>
      </c>
      <c r="S182">
        <f t="shared" si="17"/>
        <v>0.9</v>
      </c>
      <c r="T182">
        <f t="shared" si="18"/>
        <v>-0.8</v>
      </c>
      <c r="U182">
        <f t="shared" si="13"/>
        <v>85.140737704918052</v>
      </c>
      <c r="W182">
        <v>825</v>
      </c>
      <c r="X182">
        <f t="shared" si="15"/>
        <v>22358.499999999993</v>
      </c>
      <c r="Y182">
        <v>8.9855928529521272</v>
      </c>
    </row>
    <row r="183" spans="1:26" s="4" customFormat="1" ht="15" thickBot="1" x14ac:dyDescent="0.4">
      <c r="A183" s="4">
        <v>2920</v>
      </c>
      <c r="B183" s="4">
        <v>23610</v>
      </c>
      <c r="C183" s="5">
        <v>42762</v>
      </c>
      <c r="D183" s="4" t="s">
        <v>35</v>
      </c>
      <c r="F183" s="51"/>
      <c r="G183" s="4">
        <v>4.5</v>
      </c>
      <c r="H183" s="4">
        <v>0</v>
      </c>
      <c r="I183" s="4">
        <v>7</v>
      </c>
      <c r="J183" s="4">
        <f t="shared" si="12"/>
        <v>955.3</v>
      </c>
      <c r="K183" s="4">
        <f t="shared" si="14"/>
        <v>261.7</v>
      </c>
      <c r="M183" s="4">
        <v>1.3</v>
      </c>
      <c r="N183" s="4">
        <v>0.5</v>
      </c>
      <c r="O183" s="4">
        <f t="shared" si="16"/>
        <v>0.8</v>
      </c>
      <c r="Q183" s="4">
        <v>127</v>
      </c>
      <c r="R183" s="4">
        <v>1</v>
      </c>
      <c r="S183" s="4">
        <f t="shared" si="17"/>
        <v>0.5</v>
      </c>
      <c r="T183" s="4">
        <f t="shared" si="18"/>
        <v>0.8</v>
      </c>
      <c r="U183" s="4">
        <f t="shared" si="13"/>
        <v>85.94073770491805</v>
      </c>
      <c r="W183" s="4">
        <v>158</v>
      </c>
      <c r="X183" s="4">
        <f t="shared" si="15"/>
        <v>22516.499999999993</v>
      </c>
      <c r="Y183" s="4">
        <v>9.0284722224827778</v>
      </c>
    </row>
    <row r="184" spans="1:26" x14ac:dyDescent="0.35">
      <c r="A184">
        <v>2920</v>
      </c>
      <c r="B184">
        <v>23610</v>
      </c>
      <c r="C184" s="1">
        <v>42763</v>
      </c>
      <c r="F184" s="30" t="s">
        <v>54</v>
      </c>
      <c r="G184">
        <v>5.9</v>
      </c>
      <c r="H184">
        <v>3.6</v>
      </c>
      <c r="I184">
        <v>10.1</v>
      </c>
      <c r="J184">
        <f t="shared" si="12"/>
        <v>961.19999999999993</v>
      </c>
      <c r="K184">
        <f>G184</f>
        <v>5.9</v>
      </c>
      <c r="L184" s="11" t="s">
        <v>36</v>
      </c>
      <c r="M184">
        <v>0.8</v>
      </c>
      <c r="N184">
        <v>1.1000000000000001</v>
      </c>
      <c r="O184">
        <f t="shared" si="16"/>
        <v>-0.30000000000000004</v>
      </c>
      <c r="Q184">
        <v>128</v>
      </c>
      <c r="R184">
        <f>1+((Q184-127)/61)*(1.15-1)</f>
        <v>1.0024590163934426</v>
      </c>
      <c r="S184">
        <f t="shared" si="17"/>
        <v>1.102704918032787</v>
      </c>
      <c r="T184">
        <f t="shared" si="18"/>
        <v>-0.30270491803278698</v>
      </c>
      <c r="U184">
        <f t="shared" si="13"/>
        <v>85.638032786885262</v>
      </c>
      <c r="V184" s="22" t="s">
        <v>43</v>
      </c>
      <c r="W184">
        <v>671</v>
      </c>
      <c r="X184">
        <f>W184</f>
        <v>671</v>
      </c>
      <c r="Y184">
        <v>9.0721249161141788</v>
      </c>
      <c r="Z184" s="22" t="s">
        <v>48</v>
      </c>
    </row>
    <row r="185" spans="1:26" x14ac:dyDescent="0.35">
      <c r="A185">
        <v>2920</v>
      </c>
      <c r="B185">
        <v>23610</v>
      </c>
      <c r="C185" s="1">
        <v>42764</v>
      </c>
      <c r="F185" s="31"/>
      <c r="G185">
        <v>6.9</v>
      </c>
      <c r="H185">
        <v>2.5</v>
      </c>
      <c r="I185">
        <v>10.3</v>
      </c>
      <c r="J185">
        <f t="shared" si="12"/>
        <v>968.09999999999991</v>
      </c>
      <c r="K185">
        <f t="shared" si="14"/>
        <v>12.8</v>
      </c>
      <c r="L185" s="8">
        <v>515.70000000000005</v>
      </c>
      <c r="M185">
        <v>1.3</v>
      </c>
      <c r="N185">
        <v>0.2</v>
      </c>
      <c r="O185">
        <f t="shared" si="16"/>
        <v>1.1000000000000001</v>
      </c>
      <c r="Q185">
        <v>129</v>
      </c>
      <c r="R185">
        <f t="shared" ref="R185:R244" si="19">1+((Q185-127)/61)*(1.15-1)</f>
        <v>1.0049180327868852</v>
      </c>
      <c r="S185">
        <f t="shared" si="17"/>
        <v>0.20098360655737704</v>
      </c>
      <c r="T185">
        <f t="shared" si="18"/>
        <v>1.0990163934426229</v>
      </c>
      <c r="U185">
        <f t="shared" si="13"/>
        <v>86.737049180327887</v>
      </c>
      <c r="V185">
        <v>0</v>
      </c>
      <c r="W185">
        <v>226.5</v>
      </c>
      <c r="X185">
        <f t="shared" si="15"/>
        <v>897.5</v>
      </c>
      <c r="Y185">
        <v>9.1165277026025908</v>
      </c>
      <c r="Z185">
        <v>35549.800000000003</v>
      </c>
    </row>
    <row r="186" spans="1:26" x14ac:dyDescent="0.35">
      <c r="A186">
        <v>2920</v>
      </c>
      <c r="B186">
        <v>23610</v>
      </c>
      <c r="C186" s="1">
        <v>42765</v>
      </c>
      <c r="F186" s="31"/>
      <c r="G186">
        <v>11</v>
      </c>
      <c r="H186">
        <v>9</v>
      </c>
      <c r="I186">
        <v>11.6</v>
      </c>
      <c r="J186">
        <f t="shared" si="12"/>
        <v>979.09999999999991</v>
      </c>
      <c r="K186">
        <f t="shared" si="14"/>
        <v>23.8</v>
      </c>
      <c r="L186" s="11" t="s">
        <v>37</v>
      </c>
      <c r="M186">
        <v>5.9</v>
      </c>
      <c r="N186">
        <v>0.1</v>
      </c>
      <c r="O186">
        <f t="shared" si="16"/>
        <v>5.8000000000000007</v>
      </c>
      <c r="Q186">
        <v>130</v>
      </c>
      <c r="R186">
        <f t="shared" si="19"/>
        <v>1.0073770491803278</v>
      </c>
      <c r="S186">
        <f t="shared" si="17"/>
        <v>0.10073770491803279</v>
      </c>
      <c r="T186">
        <f t="shared" si="18"/>
        <v>5.7992622950819674</v>
      </c>
      <c r="U186">
        <f t="shared" si="13"/>
        <v>92.53631147540986</v>
      </c>
      <c r="V186" s="22" t="s">
        <v>44</v>
      </c>
      <c r="W186">
        <v>145.6</v>
      </c>
      <c r="X186">
        <f t="shared" si="15"/>
        <v>1043.0999999999999</v>
      </c>
      <c r="Y186">
        <v>9.1616575707710179</v>
      </c>
      <c r="Z186" s="22" t="s">
        <v>49</v>
      </c>
    </row>
    <row r="187" spans="1:26" x14ac:dyDescent="0.35">
      <c r="A187">
        <v>2920</v>
      </c>
      <c r="B187">
        <v>23610</v>
      </c>
      <c r="C187" s="1">
        <v>42766</v>
      </c>
      <c r="F187" s="31"/>
      <c r="G187">
        <v>11.3</v>
      </c>
      <c r="H187">
        <v>11</v>
      </c>
      <c r="I187">
        <v>12.4</v>
      </c>
      <c r="J187">
        <f t="shared" ref="J187:J250" si="20">J186+G187</f>
        <v>990.39999999999986</v>
      </c>
      <c r="K187">
        <f t="shared" ref="K187:K250" si="21">K186+G187</f>
        <v>35.1</v>
      </c>
      <c r="L187" s="9">
        <f>AVERAGE(G184:G244)</f>
        <v>8.4540983606557383</v>
      </c>
      <c r="M187">
        <v>3.9</v>
      </c>
      <c r="N187">
        <v>0.3</v>
      </c>
      <c r="O187">
        <f t="shared" si="16"/>
        <v>3.6</v>
      </c>
      <c r="Q187">
        <v>131</v>
      </c>
      <c r="R187">
        <f t="shared" si="19"/>
        <v>1.0098360655737706</v>
      </c>
      <c r="S187">
        <f t="shared" si="17"/>
        <v>0.30295081967213117</v>
      </c>
      <c r="T187">
        <f t="shared" si="18"/>
        <v>3.5970491803278688</v>
      </c>
      <c r="U187">
        <f t="shared" ref="U187:U250" si="22">MIN(U186+T187,197.4)</f>
        <v>96.133360655737732</v>
      </c>
      <c r="V187">
        <v>0</v>
      </c>
      <c r="W187">
        <v>116.4</v>
      </c>
      <c r="X187">
        <f t="shared" si="15"/>
        <v>1159.5</v>
      </c>
      <c r="Y187">
        <v>9.2074917560499596</v>
      </c>
      <c r="Z187">
        <f>(Z185/100)/L185</f>
        <v>0.68935039751793681</v>
      </c>
    </row>
    <row r="188" spans="1:26" x14ac:dyDescent="0.35">
      <c r="A188">
        <v>2920</v>
      </c>
      <c r="B188">
        <v>23610</v>
      </c>
      <c r="C188" s="1">
        <v>42767</v>
      </c>
      <c r="F188" s="31"/>
      <c r="G188">
        <v>10.5</v>
      </c>
      <c r="H188">
        <v>9.6999999999999993</v>
      </c>
      <c r="I188">
        <v>11.1</v>
      </c>
      <c r="J188">
        <f t="shared" si="20"/>
        <v>1000.8999999999999</v>
      </c>
      <c r="K188">
        <f t="shared" si="21"/>
        <v>45.6</v>
      </c>
      <c r="L188" s="11" t="s">
        <v>38</v>
      </c>
      <c r="M188">
        <v>2</v>
      </c>
      <c r="N188">
        <v>0.3</v>
      </c>
      <c r="O188">
        <f t="shared" si="16"/>
        <v>1.7</v>
      </c>
      <c r="Q188">
        <v>132</v>
      </c>
      <c r="R188">
        <f t="shared" si="19"/>
        <v>1.0122950819672132</v>
      </c>
      <c r="S188">
        <f t="shared" si="17"/>
        <v>0.30368852459016393</v>
      </c>
      <c r="T188">
        <f t="shared" si="18"/>
        <v>1.6963114754098361</v>
      </c>
      <c r="U188">
        <f t="shared" si="22"/>
        <v>97.829672131147575</v>
      </c>
      <c r="V188" s="22" t="s">
        <v>45</v>
      </c>
      <c r="W188">
        <v>189.6</v>
      </c>
      <c r="X188">
        <f t="shared" ref="X188:X251" si="23">X187+W188</f>
        <v>1349.1</v>
      </c>
      <c r="Y188">
        <v>9.25400776492266</v>
      </c>
      <c r="Z188" s="22" t="s">
        <v>50</v>
      </c>
    </row>
    <row r="189" spans="1:26" x14ac:dyDescent="0.35">
      <c r="A189">
        <v>2920</v>
      </c>
      <c r="B189">
        <v>23610</v>
      </c>
      <c r="C189" s="1">
        <v>42768</v>
      </c>
      <c r="F189" s="31"/>
      <c r="G189">
        <v>10</v>
      </c>
      <c r="H189">
        <v>9.9</v>
      </c>
      <c r="I189">
        <v>11.7</v>
      </c>
      <c r="J189">
        <f t="shared" si="20"/>
        <v>1010.8999999999999</v>
      </c>
      <c r="K189">
        <f t="shared" si="21"/>
        <v>55.6</v>
      </c>
      <c r="L189" s="8">
        <f>MIN(H184:H244)</f>
        <v>-2</v>
      </c>
      <c r="M189">
        <v>4.8</v>
      </c>
      <c r="N189">
        <v>1</v>
      </c>
      <c r="O189">
        <f t="shared" si="16"/>
        <v>3.8</v>
      </c>
      <c r="Q189">
        <v>133</v>
      </c>
      <c r="R189">
        <f t="shared" si="19"/>
        <v>1.0147540983606558</v>
      </c>
      <c r="S189">
        <f t="shared" si="17"/>
        <v>1.0147540983606558</v>
      </c>
      <c r="T189">
        <f t="shared" si="18"/>
        <v>3.7852459016393443</v>
      </c>
      <c r="U189">
        <f t="shared" si="22"/>
        <v>101.61491803278692</v>
      </c>
      <c r="V189" s="17">
        <f>MIN(U184:U244)</f>
        <v>85.638032786885262</v>
      </c>
      <c r="W189">
        <v>134.69999999999999</v>
      </c>
      <c r="X189">
        <f t="shared" si="23"/>
        <v>1483.8</v>
      </c>
      <c r="Y189">
        <v>9.3011833973012479</v>
      </c>
      <c r="Z189">
        <v>49</v>
      </c>
    </row>
    <row r="190" spans="1:26" x14ac:dyDescent="0.35">
      <c r="A190">
        <v>2920</v>
      </c>
      <c r="B190">
        <v>23610</v>
      </c>
      <c r="C190" s="1">
        <v>42769</v>
      </c>
      <c r="F190" s="31"/>
      <c r="G190">
        <v>7.2</v>
      </c>
      <c r="H190">
        <v>6.4</v>
      </c>
      <c r="I190">
        <v>8.8000000000000007</v>
      </c>
      <c r="J190">
        <f t="shared" si="20"/>
        <v>1018.0999999999999</v>
      </c>
      <c r="K190">
        <f t="shared" si="21"/>
        <v>62.800000000000004</v>
      </c>
      <c r="L190" s="11" t="s">
        <v>39</v>
      </c>
      <c r="M190">
        <v>15</v>
      </c>
      <c r="N190">
        <v>0.7</v>
      </c>
      <c r="O190">
        <f t="shared" si="16"/>
        <v>14.3</v>
      </c>
      <c r="Q190">
        <v>134</v>
      </c>
      <c r="R190">
        <f t="shared" si="19"/>
        <v>1.0172131147540984</v>
      </c>
      <c r="S190">
        <f t="shared" si="17"/>
        <v>0.71204918032786879</v>
      </c>
      <c r="T190">
        <f t="shared" si="18"/>
        <v>14.287950819672131</v>
      </c>
      <c r="U190">
        <f t="shared" si="22"/>
        <v>115.90286885245905</v>
      </c>
      <c r="V190" s="22" t="s">
        <v>46</v>
      </c>
      <c r="W190">
        <v>241.3</v>
      </c>
      <c r="X190">
        <f t="shared" si="23"/>
        <v>1725.1</v>
      </c>
      <c r="Y190">
        <v>9.3489967668683942</v>
      </c>
    </row>
    <row r="191" spans="1:26" x14ac:dyDescent="0.35">
      <c r="A191">
        <v>2920</v>
      </c>
      <c r="B191">
        <v>23610</v>
      </c>
      <c r="C191" s="1">
        <v>42770</v>
      </c>
      <c r="F191" s="31"/>
      <c r="G191">
        <v>7.4</v>
      </c>
      <c r="H191">
        <v>6</v>
      </c>
      <c r="I191">
        <v>10</v>
      </c>
      <c r="J191">
        <f t="shared" si="20"/>
        <v>1025.5</v>
      </c>
      <c r="K191">
        <f t="shared" si="21"/>
        <v>70.2</v>
      </c>
      <c r="L191" s="8">
        <f>MAX(I184:I244)</f>
        <v>19.399999999999999</v>
      </c>
      <c r="M191">
        <v>10.8</v>
      </c>
      <c r="N191">
        <v>0.9</v>
      </c>
      <c r="O191">
        <f t="shared" si="16"/>
        <v>9.9</v>
      </c>
      <c r="Q191">
        <v>135</v>
      </c>
      <c r="R191">
        <f t="shared" si="19"/>
        <v>1.019672131147541</v>
      </c>
      <c r="S191">
        <f t="shared" si="17"/>
        <v>0.91770491803278686</v>
      </c>
      <c r="T191">
        <f t="shared" si="18"/>
        <v>9.8822950819672144</v>
      </c>
      <c r="U191">
        <f t="shared" si="22"/>
        <v>125.78516393442627</v>
      </c>
      <c r="V191" s="17">
        <f>MAX(U184:U244)</f>
        <v>155.50008196721322</v>
      </c>
      <c r="W191">
        <v>301.10000000000002</v>
      </c>
      <c r="X191">
        <f t="shared" si="23"/>
        <v>2026.1999999999998</v>
      </c>
      <c r="Y191">
        <v>9.3974263194262733</v>
      </c>
    </row>
    <row r="192" spans="1:26" x14ac:dyDescent="0.35">
      <c r="A192">
        <v>2920</v>
      </c>
      <c r="B192">
        <v>23610</v>
      </c>
      <c r="C192" s="1">
        <v>42771</v>
      </c>
      <c r="F192" s="31"/>
      <c r="G192">
        <v>6</v>
      </c>
      <c r="H192">
        <v>5.7</v>
      </c>
      <c r="I192">
        <v>7.2</v>
      </c>
      <c r="J192">
        <f t="shared" si="20"/>
        <v>1031.5</v>
      </c>
      <c r="K192">
        <f t="shared" si="21"/>
        <v>76.2</v>
      </c>
      <c r="L192" s="11" t="s">
        <v>40</v>
      </c>
      <c r="M192">
        <v>3.1</v>
      </c>
      <c r="N192">
        <v>0.6</v>
      </c>
      <c r="O192">
        <f t="shared" si="16"/>
        <v>2.5</v>
      </c>
      <c r="Q192">
        <v>136</v>
      </c>
      <c r="R192">
        <f t="shared" si="19"/>
        <v>1.0221311475409836</v>
      </c>
      <c r="S192">
        <f t="shared" si="17"/>
        <v>0.61327868852459011</v>
      </c>
      <c r="T192">
        <f t="shared" si="18"/>
        <v>2.4867213114754101</v>
      </c>
      <c r="U192">
        <f t="shared" si="22"/>
        <v>128.27188524590167</v>
      </c>
      <c r="V192" s="22" t="s">
        <v>47</v>
      </c>
      <c r="W192">
        <v>132.19999999999999</v>
      </c>
      <c r="X192">
        <f t="shared" si="23"/>
        <v>2158.3999999999996</v>
      </c>
      <c r="Y192">
        <v>9.4464508493008772</v>
      </c>
    </row>
    <row r="193" spans="1:25" x14ac:dyDescent="0.35">
      <c r="A193">
        <v>2920</v>
      </c>
      <c r="B193">
        <v>23610</v>
      </c>
      <c r="C193" s="1">
        <v>42772</v>
      </c>
      <c r="F193" s="31"/>
      <c r="G193">
        <v>5.0999999999999996</v>
      </c>
      <c r="H193">
        <v>1.6</v>
      </c>
      <c r="I193">
        <v>7.2</v>
      </c>
      <c r="J193">
        <f t="shared" si="20"/>
        <v>1036.5999999999999</v>
      </c>
      <c r="K193">
        <f t="shared" si="21"/>
        <v>81.3</v>
      </c>
      <c r="L193" s="8">
        <v>0</v>
      </c>
      <c r="M193">
        <v>4.5</v>
      </c>
      <c r="N193">
        <v>0.2</v>
      </c>
      <c r="O193">
        <f t="shared" si="16"/>
        <v>4.3</v>
      </c>
      <c r="Q193">
        <v>137</v>
      </c>
      <c r="R193">
        <f t="shared" si="19"/>
        <v>1.0245901639344261</v>
      </c>
      <c r="S193">
        <f t="shared" si="17"/>
        <v>0.20491803278688525</v>
      </c>
      <c r="T193">
        <f t="shared" si="18"/>
        <v>4.2950819672131146</v>
      </c>
      <c r="U193">
        <f t="shared" si="22"/>
        <v>132.56696721311479</v>
      </c>
      <c r="V193" s="17">
        <f>AVERAGE(U184:U244)</f>
        <v>134.53320343993556</v>
      </c>
      <c r="W193">
        <v>142.30000000000001</v>
      </c>
      <c r="X193">
        <f t="shared" si="23"/>
        <v>2300.6999999999998</v>
      </c>
      <c r="Y193">
        <v>9.4960495138551924</v>
      </c>
    </row>
    <row r="194" spans="1:25" x14ac:dyDescent="0.35">
      <c r="A194">
        <v>2920</v>
      </c>
      <c r="B194">
        <v>23610</v>
      </c>
      <c r="C194" s="1">
        <v>42773</v>
      </c>
      <c r="F194" s="31"/>
      <c r="G194">
        <v>7.2</v>
      </c>
      <c r="H194">
        <v>5.6</v>
      </c>
      <c r="I194">
        <v>11.4</v>
      </c>
      <c r="J194">
        <f t="shared" si="20"/>
        <v>1043.8</v>
      </c>
      <c r="K194">
        <f t="shared" si="21"/>
        <v>88.5</v>
      </c>
      <c r="L194" s="11" t="s">
        <v>41</v>
      </c>
      <c r="M194">
        <v>3.1</v>
      </c>
      <c r="N194">
        <v>1.2</v>
      </c>
      <c r="O194">
        <f t="shared" si="16"/>
        <v>1.9000000000000001</v>
      </c>
      <c r="Q194">
        <v>138</v>
      </c>
      <c r="R194">
        <f t="shared" si="19"/>
        <v>1.0270491803278687</v>
      </c>
      <c r="S194">
        <f t="shared" si="17"/>
        <v>1.2324590163934424</v>
      </c>
      <c r="T194">
        <f t="shared" si="18"/>
        <v>1.8675409836065577</v>
      </c>
      <c r="U194">
        <f t="shared" si="22"/>
        <v>134.43450819672134</v>
      </c>
      <c r="W194">
        <v>762.5</v>
      </c>
      <c r="X194">
        <f t="shared" si="23"/>
        <v>3063.2</v>
      </c>
      <c r="Y194">
        <v>9.5462018461692093</v>
      </c>
    </row>
    <row r="195" spans="1:25" x14ac:dyDescent="0.35">
      <c r="A195">
        <v>2920</v>
      </c>
      <c r="B195">
        <v>23610</v>
      </c>
      <c r="C195" s="1">
        <v>42774</v>
      </c>
      <c r="F195" s="31"/>
      <c r="G195">
        <v>4.5</v>
      </c>
      <c r="H195">
        <v>2.6</v>
      </c>
      <c r="I195">
        <v>8.1999999999999993</v>
      </c>
      <c r="J195">
        <f t="shared" si="20"/>
        <v>1048.3</v>
      </c>
      <c r="K195">
        <f t="shared" si="21"/>
        <v>93</v>
      </c>
      <c r="L195" s="8">
        <v>18</v>
      </c>
      <c r="M195">
        <v>0.1</v>
      </c>
      <c r="N195">
        <v>0.7</v>
      </c>
      <c r="O195">
        <f t="shared" si="16"/>
        <v>-0.6</v>
      </c>
      <c r="Q195">
        <v>139</v>
      </c>
      <c r="R195">
        <f t="shared" si="19"/>
        <v>1.0295081967213116</v>
      </c>
      <c r="S195">
        <f t="shared" si="17"/>
        <v>0.72065573770491809</v>
      </c>
      <c r="T195">
        <f t="shared" si="18"/>
        <v>-0.62065573770491811</v>
      </c>
      <c r="U195">
        <f t="shared" si="22"/>
        <v>133.81385245901643</v>
      </c>
      <c r="V195" s="18">
        <f>(V193*100)/197.4</f>
        <v>68.152585329248012</v>
      </c>
      <c r="W195">
        <v>348.3</v>
      </c>
      <c r="X195">
        <f t="shared" si="23"/>
        <v>3411.5</v>
      </c>
      <c r="Y195">
        <v>9.596887765948523</v>
      </c>
    </row>
    <row r="196" spans="1:25" x14ac:dyDescent="0.35">
      <c r="A196">
        <v>2920</v>
      </c>
      <c r="B196">
        <v>23610</v>
      </c>
      <c r="C196" s="1">
        <v>42775</v>
      </c>
      <c r="F196" s="31"/>
      <c r="G196">
        <v>3.2</v>
      </c>
      <c r="H196">
        <v>-0.4</v>
      </c>
      <c r="I196">
        <v>6.4</v>
      </c>
      <c r="J196">
        <f t="shared" si="20"/>
        <v>1051.5</v>
      </c>
      <c r="K196">
        <f t="shared" si="21"/>
        <v>96.2</v>
      </c>
      <c r="L196" s="11" t="s">
        <v>42</v>
      </c>
      <c r="M196">
        <v>0</v>
      </c>
      <c r="N196">
        <v>0.9</v>
      </c>
      <c r="O196">
        <f t="shared" si="16"/>
        <v>-0.9</v>
      </c>
      <c r="Q196">
        <v>140</v>
      </c>
      <c r="R196">
        <f t="shared" si="19"/>
        <v>1.0319672131147541</v>
      </c>
      <c r="S196">
        <f t="shared" si="17"/>
        <v>0.92877049180327875</v>
      </c>
      <c r="T196">
        <f t="shared" si="18"/>
        <v>-0.92877049180327875</v>
      </c>
      <c r="U196">
        <f t="shared" si="22"/>
        <v>132.88508196721315</v>
      </c>
      <c r="W196">
        <v>824.1</v>
      </c>
      <c r="X196">
        <f t="shared" si="23"/>
        <v>4235.6000000000004</v>
      </c>
      <c r="Y196">
        <v>9.6480875887263213</v>
      </c>
    </row>
    <row r="197" spans="1:25" x14ac:dyDescent="0.35">
      <c r="A197">
        <v>2920</v>
      </c>
      <c r="B197">
        <v>23610</v>
      </c>
      <c r="C197" s="1">
        <v>42776</v>
      </c>
      <c r="F197" s="31"/>
      <c r="G197">
        <v>1.4</v>
      </c>
      <c r="H197">
        <v>-0.7</v>
      </c>
      <c r="I197">
        <v>3.6</v>
      </c>
      <c r="J197">
        <f t="shared" si="20"/>
        <v>1052.9000000000001</v>
      </c>
      <c r="K197">
        <f t="shared" si="21"/>
        <v>97.600000000000009</v>
      </c>
      <c r="L197" s="8">
        <v>5</v>
      </c>
      <c r="M197">
        <v>0</v>
      </c>
      <c r="N197">
        <v>0.6</v>
      </c>
      <c r="O197">
        <f t="shared" si="16"/>
        <v>-0.6</v>
      </c>
      <c r="Q197">
        <v>141</v>
      </c>
      <c r="R197">
        <f t="shared" si="19"/>
        <v>1.0344262295081967</v>
      </c>
      <c r="S197">
        <f t="shared" si="17"/>
        <v>0.620655737704918</v>
      </c>
      <c r="T197">
        <f t="shared" si="18"/>
        <v>-0.620655737704918</v>
      </c>
      <c r="U197">
        <f t="shared" si="22"/>
        <v>132.26442622950825</v>
      </c>
      <c r="W197">
        <v>390</v>
      </c>
      <c r="X197">
        <f t="shared" si="23"/>
        <v>4625.6000000000004</v>
      </c>
      <c r="Y197">
        <v>9.6997820334257749</v>
      </c>
    </row>
    <row r="198" spans="1:25" x14ac:dyDescent="0.35">
      <c r="A198">
        <v>2920</v>
      </c>
      <c r="B198">
        <v>23610</v>
      </c>
      <c r="C198" s="1">
        <v>42777</v>
      </c>
      <c r="F198" s="31"/>
      <c r="G198">
        <v>1.8</v>
      </c>
      <c r="H198">
        <v>-0.2</v>
      </c>
      <c r="I198">
        <v>3.6</v>
      </c>
      <c r="J198">
        <f t="shared" si="20"/>
        <v>1054.7</v>
      </c>
      <c r="K198">
        <f t="shared" si="21"/>
        <v>99.4</v>
      </c>
      <c r="M198">
        <v>0</v>
      </c>
      <c r="N198">
        <v>0.3</v>
      </c>
      <c r="O198">
        <f t="shared" ref="O198:O261" si="24">M198-N198</f>
        <v>-0.3</v>
      </c>
      <c r="Q198">
        <v>142</v>
      </c>
      <c r="R198">
        <f t="shared" si="19"/>
        <v>1.0368852459016393</v>
      </c>
      <c r="S198">
        <f t="shared" ref="S198:S261" si="25">R198*N198</f>
        <v>0.31106557377049177</v>
      </c>
      <c r="T198">
        <f t="shared" ref="T198:T261" si="26">M198-S198</f>
        <v>-0.31106557377049177</v>
      </c>
      <c r="U198">
        <f t="shared" si="22"/>
        <v>131.95336065573775</v>
      </c>
      <c r="W198">
        <v>277.3</v>
      </c>
      <c r="X198">
        <f t="shared" si="23"/>
        <v>4902.9000000000005</v>
      </c>
      <c r="Y198">
        <v>9.7519522283515983</v>
      </c>
    </row>
    <row r="199" spans="1:25" x14ac:dyDescent="0.35">
      <c r="A199">
        <v>2920</v>
      </c>
      <c r="B199">
        <v>23610</v>
      </c>
      <c r="C199" s="1">
        <v>42778</v>
      </c>
      <c r="F199" s="31"/>
      <c r="G199">
        <v>2.6</v>
      </c>
      <c r="H199">
        <v>-2</v>
      </c>
      <c r="I199">
        <v>8.5</v>
      </c>
      <c r="J199">
        <f t="shared" si="20"/>
        <v>1057.3</v>
      </c>
      <c r="K199">
        <f t="shared" si="21"/>
        <v>102</v>
      </c>
      <c r="M199">
        <v>0.3</v>
      </c>
      <c r="N199">
        <v>0.9</v>
      </c>
      <c r="O199">
        <f t="shared" si="24"/>
        <v>-0.60000000000000009</v>
      </c>
      <c r="Q199">
        <v>143</v>
      </c>
      <c r="R199">
        <f t="shared" si="19"/>
        <v>1.0393442622950819</v>
      </c>
      <c r="S199">
        <f t="shared" si="25"/>
        <v>0.93540983606557371</v>
      </c>
      <c r="T199">
        <f t="shared" si="26"/>
        <v>-0.63540983606557377</v>
      </c>
      <c r="U199">
        <f t="shared" si="22"/>
        <v>131.31795081967218</v>
      </c>
      <c r="W199">
        <v>238.5</v>
      </c>
      <c r="X199">
        <f t="shared" si="23"/>
        <v>5141.4000000000005</v>
      </c>
      <c r="Y199">
        <v>9.8045797156805676</v>
      </c>
    </row>
    <row r="200" spans="1:25" x14ac:dyDescent="0.35">
      <c r="A200">
        <v>2920</v>
      </c>
      <c r="B200">
        <v>23610</v>
      </c>
      <c r="C200" s="1">
        <v>42779</v>
      </c>
      <c r="F200" s="31"/>
      <c r="G200">
        <v>10.5</v>
      </c>
      <c r="H200">
        <v>5.0999999999999996</v>
      </c>
      <c r="I200">
        <v>12.5</v>
      </c>
      <c r="J200">
        <f t="shared" si="20"/>
        <v>1067.8</v>
      </c>
      <c r="K200">
        <f t="shared" si="21"/>
        <v>112.5</v>
      </c>
      <c r="M200">
        <v>0.7</v>
      </c>
      <c r="N200">
        <v>1.3</v>
      </c>
      <c r="O200">
        <f t="shared" si="24"/>
        <v>-0.60000000000000009</v>
      </c>
      <c r="Q200">
        <v>144</v>
      </c>
      <c r="R200">
        <f t="shared" si="19"/>
        <v>1.0418032786885245</v>
      </c>
      <c r="S200">
        <f t="shared" si="25"/>
        <v>1.3543442622950819</v>
      </c>
      <c r="T200">
        <f t="shared" si="26"/>
        <v>-0.65434426229508191</v>
      </c>
      <c r="U200">
        <f t="shared" si="22"/>
        <v>130.66360655737711</v>
      </c>
      <c r="W200">
        <v>798.1</v>
      </c>
      <c r="X200">
        <f t="shared" si="23"/>
        <v>5939.5000000000009</v>
      </c>
      <c r="Y200">
        <v>9.8576464545214026</v>
      </c>
    </row>
    <row r="201" spans="1:25" x14ac:dyDescent="0.35">
      <c r="A201">
        <v>2920</v>
      </c>
      <c r="B201">
        <v>23610</v>
      </c>
      <c r="C201" s="1">
        <v>42780</v>
      </c>
      <c r="F201" s="31"/>
      <c r="G201">
        <v>9.6</v>
      </c>
      <c r="H201">
        <v>8.9</v>
      </c>
      <c r="I201">
        <v>11.2</v>
      </c>
      <c r="J201">
        <f t="shared" si="20"/>
        <v>1077.3999999999999</v>
      </c>
      <c r="K201">
        <f t="shared" si="21"/>
        <v>122.1</v>
      </c>
      <c r="M201">
        <v>0.3</v>
      </c>
      <c r="N201">
        <v>0.5</v>
      </c>
      <c r="O201">
        <f t="shared" si="24"/>
        <v>-0.2</v>
      </c>
      <c r="Q201">
        <v>145</v>
      </c>
      <c r="R201">
        <f t="shared" si="19"/>
        <v>1.0442622950819671</v>
      </c>
      <c r="S201">
        <f t="shared" si="25"/>
        <v>0.52213114754098355</v>
      </c>
      <c r="T201">
        <f t="shared" si="26"/>
        <v>-0.22213114754098356</v>
      </c>
      <c r="U201">
        <f t="shared" si="22"/>
        <v>130.44147540983613</v>
      </c>
      <c r="W201">
        <v>261.8</v>
      </c>
      <c r="X201">
        <f t="shared" si="23"/>
        <v>6201.3000000000011</v>
      </c>
      <c r="Y201">
        <v>9.9111348226143665</v>
      </c>
    </row>
    <row r="202" spans="1:25" x14ac:dyDescent="0.35">
      <c r="A202">
        <v>2920</v>
      </c>
      <c r="B202">
        <v>23610</v>
      </c>
      <c r="C202" s="1">
        <v>42781</v>
      </c>
      <c r="F202" s="31"/>
      <c r="G202">
        <v>9.1</v>
      </c>
      <c r="H202">
        <v>7.4</v>
      </c>
      <c r="I202">
        <v>12.6</v>
      </c>
      <c r="J202">
        <f t="shared" si="20"/>
        <v>1086.4999999999998</v>
      </c>
      <c r="K202">
        <f t="shared" si="21"/>
        <v>131.19999999999999</v>
      </c>
      <c r="M202">
        <v>1.5</v>
      </c>
      <c r="N202">
        <v>0.9</v>
      </c>
      <c r="O202">
        <f t="shared" si="24"/>
        <v>0.6</v>
      </c>
      <c r="Q202">
        <v>146</v>
      </c>
      <c r="R202">
        <f t="shared" si="19"/>
        <v>1.0467213114754097</v>
      </c>
      <c r="S202">
        <f t="shared" si="25"/>
        <v>0.94204918032786877</v>
      </c>
      <c r="T202">
        <f t="shared" si="26"/>
        <v>0.55795081967213123</v>
      </c>
      <c r="U202">
        <f t="shared" si="22"/>
        <v>130.99942622950826</v>
      </c>
      <c r="W202">
        <v>407.5</v>
      </c>
      <c r="X202">
        <f t="shared" si="23"/>
        <v>6608.8000000000011</v>
      </c>
      <c r="Y202">
        <v>9.9650276167406915</v>
      </c>
    </row>
    <row r="203" spans="1:25" x14ac:dyDescent="0.35">
      <c r="A203">
        <v>2920</v>
      </c>
      <c r="B203">
        <v>23610</v>
      </c>
      <c r="C203" s="1">
        <v>42782</v>
      </c>
      <c r="F203" s="31"/>
      <c r="G203">
        <v>6.4</v>
      </c>
      <c r="H203">
        <v>4.2</v>
      </c>
      <c r="I203">
        <v>9.3000000000000007</v>
      </c>
      <c r="J203">
        <f t="shared" si="20"/>
        <v>1092.8999999999999</v>
      </c>
      <c r="K203">
        <f t="shared" si="21"/>
        <v>137.6</v>
      </c>
      <c r="M203">
        <v>0.1</v>
      </c>
      <c r="N203">
        <v>1</v>
      </c>
      <c r="O203">
        <f t="shared" si="24"/>
        <v>-0.9</v>
      </c>
      <c r="Q203">
        <v>147</v>
      </c>
      <c r="R203">
        <f t="shared" si="19"/>
        <v>1.0491803278688525</v>
      </c>
      <c r="S203">
        <f t="shared" si="25"/>
        <v>1.0491803278688525</v>
      </c>
      <c r="T203">
        <f t="shared" si="26"/>
        <v>-0.94918032786885254</v>
      </c>
      <c r="U203">
        <f t="shared" si="22"/>
        <v>130.05024590163941</v>
      </c>
      <c r="W203">
        <v>561.1</v>
      </c>
      <c r="X203">
        <f t="shared" si="23"/>
        <v>7169.9000000000015</v>
      </c>
      <c r="Y203">
        <v>10.01930805191112</v>
      </c>
    </row>
    <row r="204" spans="1:25" x14ac:dyDescent="0.35">
      <c r="A204">
        <v>2920</v>
      </c>
      <c r="B204">
        <v>23610</v>
      </c>
      <c r="C204" s="1">
        <v>42783</v>
      </c>
      <c r="F204" s="31"/>
      <c r="G204">
        <v>5.8</v>
      </c>
      <c r="H204">
        <v>0.6</v>
      </c>
      <c r="I204">
        <v>9.6999999999999993</v>
      </c>
      <c r="J204">
        <f t="shared" si="20"/>
        <v>1098.6999999999998</v>
      </c>
      <c r="K204">
        <f t="shared" si="21"/>
        <v>143.4</v>
      </c>
      <c r="M204">
        <v>0.2</v>
      </c>
      <c r="N204">
        <v>1.2</v>
      </c>
      <c r="O204">
        <f t="shared" si="24"/>
        <v>-1</v>
      </c>
      <c r="Q204">
        <v>148</v>
      </c>
      <c r="R204">
        <f t="shared" si="19"/>
        <v>1.0516393442622951</v>
      </c>
      <c r="S204">
        <f t="shared" si="25"/>
        <v>1.2619672131147541</v>
      </c>
      <c r="T204">
        <f t="shared" si="26"/>
        <v>-1.0619672131147542</v>
      </c>
      <c r="U204">
        <f t="shared" si="22"/>
        <v>128.98827868852467</v>
      </c>
      <c r="W204">
        <v>1093.7</v>
      </c>
      <c r="X204">
        <f t="shared" si="23"/>
        <v>8263.6000000000022</v>
      </c>
      <c r="Y204">
        <v>10.073959759401752</v>
      </c>
    </row>
    <row r="205" spans="1:25" x14ac:dyDescent="0.35">
      <c r="A205">
        <v>2920</v>
      </c>
      <c r="B205">
        <v>23610</v>
      </c>
      <c r="C205" s="1">
        <v>42784</v>
      </c>
      <c r="F205" s="31"/>
      <c r="G205">
        <v>6.2</v>
      </c>
      <c r="H205">
        <v>1.4</v>
      </c>
      <c r="I205">
        <v>11.4</v>
      </c>
      <c r="J205">
        <f t="shared" si="20"/>
        <v>1104.8999999999999</v>
      </c>
      <c r="K205">
        <f t="shared" si="21"/>
        <v>149.6</v>
      </c>
      <c r="M205">
        <v>0</v>
      </c>
      <c r="N205">
        <v>1.5</v>
      </c>
      <c r="O205">
        <f t="shared" si="24"/>
        <v>-1.5</v>
      </c>
      <c r="Q205">
        <v>149</v>
      </c>
      <c r="R205">
        <f t="shared" si="19"/>
        <v>1.0540983606557377</v>
      </c>
      <c r="S205">
        <f t="shared" si="25"/>
        <v>1.5811475409836064</v>
      </c>
      <c r="T205">
        <f t="shared" si="26"/>
        <v>-1.5811475409836064</v>
      </c>
      <c r="U205">
        <f t="shared" si="22"/>
        <v>127.40713114754107</v>
      </c>
      <c r="W205">
        <v>1235.5</v>
      </c>
      <c r="X205">
        <f t="shared" si="23"/>
        <v>9499.1000000000022</v>
      </c>
      <c r="Y205">
        <v>10.128966783704099</v>
      </c>
    </row>
    <row r="206" spans="1:25" x14ac:dyDescent="0.35">
      <c r="A206">
        <v>2920</v>
      </c>
      <c r="B206">
        <v>23610</v>
      </c>
      <c r="C206" s="1">
        <v>42785</v>
      </c>
      <c r="F206" s="31"/>
      <c r="G206">
        <v>6.3</v>
      </c>
      <c r="H206">
        <v>-0.9</v>
      </c>
      <c r="I206">
        <v>11.2</v>
      </c>
      <c r="J206">
        <f t="shared" si="20"/>
        <v>1111.1999999999998</v>
      </c>
      <c r="K206">
        <f t="shared" si="21"/>
        <v>155.9</v>
      </c>
      <c r="M206">
        <v>0.5</v>
      </c>
      <c r="N206">
        <v>1.1000000000000001</v>
      </c>
      <c r="O206">
        <f t="shared" si="24"/>
        <v>-0.60000000000000009</v>
      </c>
      <c r="Q206">
        <v>150</v>
      </c>
      <c r="R206">
        <f t="shared" si="19"/>
        <v>1.0565573770491803</v>
      </c>
      <c r="S206">
        <f t="shared" si="25"/>
        <v>1.1622131147540984</v>
      </c>
      <c r="T206">
        <f t="shared" si="26"/>
        <v>-0.66221311475409839</v>
      </c>
      <c r="U206">
        <f t="shared" si="22"/>
        <v>126.74491803278697</v>
      </c>
      <c r="W206">
        <v>1090.0999999999999</v>
      </c>
      <c r="X206">
        <f t="shared" si="23"/>
        <v>10589.200000000003</v>
      </c>
      <c r="Y206">
        <v>10.184313578454478</v>
      </c>
    </row>
    <row r="207" spans="1:25" x14ac:dyDescent="0.35">
      <c r="A207">
        <v>2920</v>
      </c>
      <c r="B207">
        <v>23610</v>
      </c>
      <c r="C207" s="1">
        <v>42786</v>
      </c>
      <c r="F207" s="31"/>
      <c r="G207">
        <v>11.2</v>
      </c>
      <c r="H207">
        <v>8.3000000000000007</v>
      </c>
      <c r="I207">
        <v>13.2</v>
      </c>
      <c r="J207">
        <f t="shared" si="20"/>
        <v>1122.3999999999999</v>
      </c>
      <c r="K207">
        <f t="shared" si="21"/>
        <v>167.1</v>
      </c>
      <c r="M207">
        <v>0.1</v>
      </c>
      <c r="N207">
        <v>0.2</v>
      </c>
      <c r="O207">
        <f t="shared" si="24"/>
        <v>-0.1</v>
      </c>
      <c r="Q207">
        <v>151</v>
      </c>
      <c r="R207">
        <f t="shared" si="19"/>
        <v>1.0590163934426229</v>
      </c>
      <c r="S207">
        <f t="shared" si="25"/>
        <v>0.21180327868852458</v>
      </c>
      <c r="T207">
        <f t="shared" si="26"/>
        <v>-0.11180327868852458</v>
      </c>
      <c r="U207">
        <f t="shared" si="22"/>
        <v>126.63311475409844</v>
      </c>
      <c r="W207">
        <v>186.8</v>
      </c>
      <c r="X207">
        <f t="shared" si="23"/>
        <v>10776.000000000002</v>
      </c>
      <c r="Y207">
        <v>10.239985001406184</v>
      </c>
    </row>
    <row r="208" spans="1:25" x14ac:dyDescent="0.35">
      <c r="A208">
        <v>2920</v>
      </c>
      <c r="B208">
        <v>23610</v>
      </c>
      <c r="C208" s="1">
        <v>42787</v>
      </c>
      <c r="F208" s="31"/>
      <c r="G208">
        <v>10.199999999999999</v>
      </c>
      <c r="H208">
        <v>9</v>
      </c>
      <c r="I208">
        <v>11.3</v>
      </c>
      <c r="J208">
        <f t="shared" si="20"/>
        <v>1132.5999999999999</v>
      </c>
      <c r="K208">
        <f t="shared" si="21"/>
        <v>177.29999999999998</v>
      </c>
      <c r="M208">
        <v>0</v>
      </c>
      <c r="N208">
        <v>0.4</v>
      </c>
      <c r="O208">
        <f t="shared" si="24"/>
        <v>-0.4</v>
      </c>
      <c r="Q208">
        <v>152</v>
      </c>
      <c r="R208">
        <f t="shared" si="19"/>
        <v>1.0614754098360655</v>
      </c>
      <c r="S208">
        <f t="shared" si="25"/>
        <v>0.42459016393442622</v>
      </c>
      <c r="T208">
        <f t="shared" si="26"/>
        <v>-0.42459016393442622</v>
      </c>
      <c r="U208">
        <f t="shared" si="22"/>
        <v>126.20852459016402</v>
      </c>
      <c r="W208">
        <v>192</v>
      </c>
      <c r="X208">
        <f t="shared" si="23"/>
        <v>10968.000000000002</v>
      </c>
      <c r="Y208">
        <v>10.295966308505745</v>
      </c>
    </row>
    <row r="209" spans="1:25" x14ac:dyDescent="0.35">
      <c r="A209">
        <v>2920</v>
      </c>
      <c r="B209">
        <v>23610</v>
      </c>
      <c r="C209" s="1">
        <v>42788</v>
      </c>
      <c r="F209" s="31"/>
      <c r="G209">
        <v>10</v>
      </c>
      <c r="H209">
        <v>9.5</v>
      </c>
      <c r="I209">
        <v>11.4</v>
      </c>
      <c r="J209">
        <f t="shared" si="20"/>
        <v>1142.5999999999999</v>
      </c>
      <c r="K209">
        <f t="shared" si="21"/>
        <v>187.29999999999998</v>
      </c>
      <c r="M209">
        <v>0.3</v>
      </c>
      <c r="N209">
        <v>1.1000000000000001</v>
      </c>
      <c r="O209">
        <f t="shared" si="24"/>
        <v>-0.8</v>
      </c>
      <c r="Q209">
        <v>153</v>
      </c>
      <c r="R209">
        <f t="shared" si="19"/>
        <v>1.0639344262295081</v>
      </c>
      <c r="S209">
        <f t="shared" si="25"/>
        <v>1.170327868852459</v>
      </c>
      <c r="T209">
        <f t="shared" si="26"/>
        <v>-0.87032786885245894</v>
      </c>
      <c r="U209">
        <f t="shared" si="22"/>
        <v>125.33819672131156</v>
      </c>
      <c r="W209">
        <v>210</v>
      </c>
      <c r="X209">
        <f t="shared" si="23"/>
        <v>11178.000000000002</v>
      </c>
      <c r="Y209">
        <v>10.352243147132491</v>
      </c>
    </row>
    <row r="210" spans="1:25" x14ac:dyDescent="0.35">
      <c r="A210">
        <v>2920</v>
      </c>
      <c r="B210">
        <v>23610</v>
      </c>
      <c r="C210" s="1">
        <v>42789</v>
      </c>
      <c r="F210" s="31"/>
      <c r="G210">
        <v>8.9</v>
      </c>
      <c r="H210">
        <v>8.6</v>
      </c>
      <c r="I210">
        <v>11</v>
      </c>
      <c r="J210">
        <f t="shared" si="20"/>
        <v>1151.5</v>
      </c>
      <c r="K210">
        <f t="shared" si="21"/>
        <v>196.2</v>
      </c>
      <c r="M210">
        <v>1.8</v>
      </c>
      <c r="N210">
        <v>1</v>
      </c>
      <c r="O210">
        <f t="shared" si="24"/>
        <v>0.8</v>
      </c>
      <c r="Q210">
        <v>154</v>
      </c>
      <c r="R210">
        <f t="shared" si="19"/>
        <v>1.0663934426229509</v>
      </c>
      <c r="S210">
        <f t="shared" si="25"/>
        <v>1.0663934426229509</v>
      </c>
      <c r="T210">
        <f t="shared" si="26"/>
        <v>0.73360655737704916</v>
      </c>
      <c r="U210">
        <f t="shared" si="22"/>
        <v>126.07180327868861</v>
      </c>
      <c r="W210">
        <v>352.5</v>
      </c>
      <c r="X210">
        <f t="shared" si="23"/>
        <v>11530.500000000002</v>
      </c>
      <c r="Y210">
        <v>10.408801548558333</v>
      </c>
    </row>
    <row r="211" spans="1:25" x14ac:dyDescent="0.35">
      <c r="A211">
        <v>2920</v>
      </c>
      <c r="B211">
        <v>23610</v>
      </c>
      <c r="C211" s="1">
        <v>42790</v>
      </c>
      <c r="F211" s="31"/>
      <c r="G211">
        <v>6</v>
      </c>
      <c r="H211">
        <v>4.0999999999999996</v>
      </c>
      <c r="I211">
        <v>9.5</v>
      </c>
      <c r="J211">
        <f t="shared" si="20"/>
        <v>1157.5</v>
      </c>
      <c r="K211">
        <f t="shared" si="21"/>
        <v>202.2</v>
      </c>
      <c r="M211">
        <v>0.1</v>
      </c>
      <c r="N211">
        <v>1.1000000000000001</v>
      </c>
      <c r="O211">
        <f t="shared" si="24"/>
        <v>-1</v>
      </c>
      <c r="Q211">
        <v>155</v>
      </c>
      <c r="R211">
        <f t="shared" si="19"/>
        <v>1.0688524590163935</v>
      </c>
      <c r="S211">
        <f t="shared" si="25"/>
        <v>1.1757377049180329</v>
      </c>
      <c r="T211">
        <f t="shared" si="26"/>
        <v>-1.0757377049180328</v>
      </c>
      <c r="U211">
        <f t="shared" si="22"/>
        <v>124.99606557377058</v>
      </c>
      <c r="W211">
        <v>737.2</v>
      </c>
      <c r="X211">
        <f t="shared" si="23"/>
        <v>12267.700000000003</v>
      </c>
      <c r="Y211">
        <v>10.465627919682346</v>
      </c>
    </row>
    <row r="212" spans="1:25" x14ac:dyDescent="0.35">
      <c r="A212">
        <v>2920</v>
      </c>
      <c r="B212">
        <v>23610</v>
      </c>
      <c r="C212" s="1">
        <v>42791</v>
      </c>
      <c r="F212" s="31"/>
      <c r="G212">
        <v>6.6</v>
      </c>
      <c r="H212">
        <v>2</v>
      </c>
      <c r="I212">
        <v>10.199999999999999</v>
      </c>
      <c r="J212">
        <f t="shared" si="20"/>
        <v>1164.0999999999999</v>
      </c>
      <c r="K212">
        <f t="shared" si="21"/>
        <v>208.79999999999998</v>
      </c>
      <c r="M212">
        <v>0</v>
      </c>
      <c r="N212">
        <v>0.8</v>
      </c>
      <c r="O212">
        <f t="shared" si="24"/>
        <v>-0.8</v>
      </c>
      <c r="Q212">
        <v>156</v>
      </c>
      <c r="R212">
        <f t="shared" si="19"/>
        <v>1.0713114754098361</v>
      </c>
      <c r="S212">
        <f t="shared" si="25"/>
        <v>0.85704918032786892</v>
      </c>
      <c r="T212">
        <f t="shared" si="26"/>
        <v>-0.85704918032786892</v>
      </c>
      <c r="U212">
        <f t="shared" si="22"/>
        <v>124.13901639344272</v>
      </c>
      <c r="W212">
        <v>568.9</v>
      </c>
      <c r="X212">
        <f t="shared" si="23"/>
        <v>12836.600000000002</v>
      </c>
      <c r="Y212">
        <v>10.522709034092294</v>
      </c>
    </row>
    <row r="213" spans="1:25" x14ac:dyDescent="0.35">
      <c r="A213">
        <v>2920</v>
      </c>
      <c r="B213">
        <v>23610</v>
      </c>
      <c r="C213" s="1">
        <v>42792</v>
      </c>
      <c r="F213" s="31"/>
      <c r="G213">
        <v>10.3</v>
      </c>
      <c r="H213">
        <v>7.8</v>
      </c>
      <c r="I213">
        <v>12.4</v>
      </c>
      <c r="J213">
        <f t="shared" si="20"/>
        <v>1174.3999999999999</v>
      </c>
      <c r="K213">
        <f t="shared" si="21"/>
        <v>219.1</v>
      </c>
      <c r="M213">
        <v>6</v>
      </c>
      <c r="N213">
        <v>0.8</v>
      </c>
      <c r="O213">
        <f t="shared" si="24"/>
        <v>5.2</v>
      </c>
      <c r="Q213">
        <v>157</v>
      </c>
      <c r="R213">
        <f t="shared" si="19"/>
        <v>1.0737704918032787</v>
      </c>
      <c r="S213">
        <f t="shared" si="25"/>
        <v>0.85901639344262293</v>
      </c>
      <c r="T213">
        <f t="shared" si="26"/>
        <v>5.1409836065573771</v>
      </c>
      <c r="U213">
        <f t="shared" si="22"/>
        <v>129.28000000000009</v>
      </c>
      <c r="W213">
        <v>225.7</v>
      </c>
      <c r="X213">
        <f t="shared" si="23"/>
        <v>13062.300000000003</v>
      </c>
      <c r="Y213">
        <v>10.580032022502831</v>
      </c>
    </row>
    <row r="214" spans="1:25" x14ac:dyDescent="0.35">
      <c r="A214">
        <v>2920</v>
      </c>
      <c r="B214">
        <v>23610</v>
      </c>
      <c r="C214" s="1">
        <v>42793</v>
      </c>
      <c r="F214" s="31"/>
      <c r="G214">
        <v>7.6</v>
      </c>
      <c r="H214">
        <v>6.2</v>
      </c>
      <c r="I214">
        <v>9.3000000000000007</v>
      </c>
      <c r="J214">
        <f t="shared" si="20"/>
        <v>1181.9999999999998</v>
      </c>
      <c r="K214">
        <f t="shared" si="21"/>
        <v>226.7</v>
      </c>
      <c r="M214">
        <v>11.6</v>
      </c>
      <c r="N214">
        <v>0.8</v>
      </c>
      <c r="O214">
        <f t="shared" si="24"/>
        <v>10.799999999999999</v>
      </c>
      <c r="Q214">
        <v>158</v>
      </c>
      <c r="R214">
        <f t="shared" si="19"/>
        <v>1.0762295081967213</v>
      </c>
      <c r="S214">
        <f t="shared" si="25"/>
        <v>0.86098360655737705</v>
      </c>
      <c r="T214">
        <f t="shared" si="26"/>
        <v>10.739016393442622</v>
      </c>
      <c r="U214">
        <f t="shared" si="22"/>
        <v>140.01901639344271</v>
      </c>
      <c r="W214">
        <v>433.3</v>
      </c>
      <c r="X214">
        <f t="shared" si="23"/>
        <v>13495.600000000002</v>
      </c>
      <c r="Y214">
        <v>10.637584362617616</v>
      </c>
    </row>
    <row r="215" spans="1:25" x14ac:dyDescent="0.35">
      <c r="A215">
        <v>2920</v>
      </c>
      <c r="B215">
        <v>23610</v>
      </c>
      <c r="C215" s="1">
        <v>42794</v>
      </c>
      <c r="F215" s="31"/>
      <c r="G215">
        <v>6.4</v>
      </c>
      <c r="H215">
        <v>3.7</v>
      </c>
      <c r="I215">
        <v>8.5</v>
      </c>
      <c r="J215">
        <f t="shared" si="20"/>
        <v>1188.3999999999999</v>
      </c>
      <c r="K215">
        <f t="shared" si="21"/>
        <v>233.1</v>
      </c>
      <c r="M215">
        <v>1.2</v>
      </c>
      <c r="N215">
        <v>0.8</v>
      </c>
      <c r="O215">
        <f t="shared" si="24"/>
        <v>0.39999999999999991</v>
      </c>
      <c r="Q215">
        <v>159</v>
      </c>
      <c r="R215">
        <f t="shared" si="19"/>
        <v>1.0786885245901638</v>
      </c>
      <c r="S215">
        <f t="shared" si="25"/>
        <v>0.86295081967213116</v>
      </c>
      <c r="T215">
        <f t="shared" si="26"/>
        <v>0.33704918032786879</v>
      </c>
      <c r="U215">
        <f t="shared" si="22"/>
        <v>140.35606557377059</v>
      </c>
      <c r="W215">
        <v>500.6</v>
      </c>
      <c r="X215">
        <f t="shared" si="23"/>
        <v>13996.200000000003</v>
      </c>
      <c r="Y215">
        <v>10.695353868460133</v>
      </c>
    </row>
    <row r="216" spans="1:25" x14ac:dyDescent="0.35">
      <c r="A216">
        <v>2920</v>
      </c>
      <c r="B216">
        <v>23610</v>
      </c>
      <c r="C216" s="1">
        <v>42795</v>
      </c>
      <c r="F216" s="31"/>
      <c r="G216">
        <v>9.4</v>
      </c>
      <c r="H216">
        <v>7.1</v>
      </c>
      <c r="I216">
        <v>12.3</v>
      </c>
      <c r="J216">
        <f t="shared" si="20"/>
        <v>1197.8</v>
      </c>
      <c r="K216">
        <f t="shared" si="21"/>
        <v>242.5</v>
      </c>
      <c r="M216">
        <v>3.4</v>
      </c>
      <c r="N216">
        <v>0.9</v>
      </c>
      <c r="O216">
        <f t="shared" si="24"/>
        <v>2.5</v>
      </c>
      <c r="Q216">
        <v>160</v>
      </c>
      <c r="R216">
        <f t="shared" si="19"/>
        <v>1.0811475409836064</v>
      </c>
      <c r="S216">
        <f t="shared" si="25"/>
        <v>0.97303278688524586</v>
      </c>
      <c r="T216">
        <f t="shared" si="26"/>
        <v>2.4269672131147542</v>
      </c>
      <c r="U216">
        <f t="shared" si="22"/>
        <v>142.78303278688534</v>
      </c>
      <c r="W216">
        <v>370.9</v>
      </c>
      <c r="X216">
        <f t="shared" si="23"/>
        <v>14367.100000000002</v>
      </c>
      <c r="Y216">
        <v>10.753328679215574</v>
      </c>
    </row>
    <row r="217" spans="1:25" x14ac:dyDescent="0.35">
      <c r="A217">
        <v>2920</v>
      </c>
      <c r="B217">
        <v>23610</v>
      </c>
      <c r="C217" s="1">
        <v>42796</v>
      </c>
      <c r="F217" s="31"/>
      <c r="G217">
        <v>7.8</v>
      </c>
      <c r="H217">
        <v>3.3</v>
      </c>
      <c r="I217">
        <v>11.7</v>
      </c>
      <c r="J217">
        <f t="shared" si="20"/>
        <v>1205.5999999999999</v>
      </c>
      <c r="K217">
        <f t="shared" si="21"/>
        <v>250.3</v>
      </c>
      <c r="M217">
        <v>0.7</v>
      </c>
      <c r="N217">
        <v>1.2</v>
      </c>
      <c r="O217">
        <f t="shared" si="24"/>
        <v>-0.5</v>
      </c>
      <c r="Q217">
        <v>161</v>
      </c>
      <c r="R217">
        <f t="shared" si="19"/>
        <v>1.083606557377049</v>
      </c>
      <c r="S217">
        <f t="shared" si="25"/>
        <v>1.3003278688524589</v>
      </c>
      <c r="T217">
        <f t="shared" si="26"/>
        <v>-0.60032786885245892</v>
      </c>
      <c r="U217">
        <f t="shared" si="22"/>
        <v>142.1827049180329</v>
      </c>
      <c r="W217">
        <v>909.9</v>
      </c>
      <c r="X217">
        <f t="shared" si="23"/>
        <v>15277.000000000002</v>
      </c>
      <c r="Y217">
        <v>10.811497247623747</v>
      </c>
    </row>
    <row r="218" spans="1:25" x14ac:dyDescent="0.35">
      <c r="A218">
        <v>2920</v>
      </c>
      <c r="B218">
        <v>23610</v>
      </c>
      <c r="C218" s="1">
        <v>42797</v>
      </c>
      <c r="F218" s="31"/>
      <c r="G218">
        <v>10.5</v>
      </c>
      <c r="H218">
        <v>7.4</v>
      </c>
      <c r="I218">
        <v>13.1</v>
      </c>
      <c r="J218">
        <f t="shared" si="20"/>
        <v>1216.0999999999999</v>
      </c>
      <c r="K218">
        <f t="shared" si="21"/>
        <v>260.8</v>
      </c>
      <c r="M218">
        <v>0.3</v>
      </c>
      <c r="N218">
        <v>0.9</v>
      </c>
      <c r="O218">
        <f t="shared" si="24"/>
        <v>-0.60000000000000009</v>
      </c>
      <c r="Q218">
        <v>162</v>
      </c>
      <c r="R218">
        <f t="shared" si="19"/>
        <v>1.0860655737704918</v>
      </c>
      <c r="S218">
        <f t="shared" si="25"/>
        <v>0.97745901639344268</v>
      </c>
      <c r="T218">
        <f t="shared" si="26"/>
        <v>-0.67745901639344264</v>
      </c>
      <c r="U218">
        <f t="shared" si="22"/>
        <v>141.50524590163946</v>
      </c>
      <c r="W218">
        <v>686.6</v>
      </c>
      <c r="X218">
        <f t="shared" si="23"/>
        <v>15963.600000000002</v>
      </c>
      <c r="Y218">
        <v>10.869848327960588</v>
      </c>
    </row>
    <row r="219" spans="1:25" x14ac:dyDescent="0.35">
      <c r="A219">
        <v>2920</v>
      </c>
      <c r="B219">
        <v>23610</v>
      </c>
      <c r="C219" s="1">
        <v>42798</v>
      </c>
      <c r="F219" s="31"/>
      <c r="G219">
        <v>7.3</v>
      </c>
      <c r="H219">
        <v>4.8</v>
      </c>
      <c r="I219">
        <v>11.3</v>
      </c>
      <c r="J219">
        <f t="shared" si="20"/>
        <v>1223.3999999999999</v>
      </c>
      <c r="K219">
        <f t="shared" si="21"/>
        <v>268.10000000000002</v>
      </c>
      <c r="M219">
        <v>1.9</v>
      </c>
      <c r="N219">
        <v>1</v>
      </c>
      <c r="O219">
        <f t="shared" si="24"/>
        <v>0.89999999999999991</v>
      </c>
      <c r="Q219">
        <v>163</v>
      </c>
      <c r="R219">
        <f t="shared" si="19"/>
        <v>1.0885245901639344</v>
      </c>
      <c r="S219">
        <f t="shared" si="25"/>
        <v>1.0885245901639344</v>
      </c>
      <c r="T219">
        <f t="shared" si="26"/>
        <v>0.81147540983606548</v>
      </c>
      <c r="U219">
        <f t="shared" si="22"/>
        <v>142.31672131147553</v>
      </c>
      <c r="W219">
        <v>486.9</v>
      </c>
      <c r="X219">
        <f t="shared" si="23"/>
        <v>16450.500000000004</v>
      </c>
      <c r="Y219">
        <v>10.928370963643593</v>
      </c>
    </row>
    <row r="220" spans="1:25" x14ac:dyDescent="0.35">
      <c r="A220">
        <v>2920</v>
      </c>
      <c r="B220">
        <v>23610</v>
      </c>
      <c r="C220" s="1">
        <v>42799</v>
      </c>
      <c r="F220" s="31"/>
      <c r="G220">
        <v>8.1</v>
      </c>
      <c r="H220">
        <v>3.6</v>
      </c>
      <c r="I220">
        <v>9.5</v>
      </c>
      <c r="J220">
        <f t="shared" si="20"/>
        <v>1231.4999999999998</v>
      </c>
      <c r="K220">
        <f t="shared" si="21"/>
        <v>276.20000000000005</v>
      </c>
      <c r="M220">
        <v>5.3</v>
      </c>
      <c r="N220">
        <v>0.6</v>
      </c>
      <c r="O220">
        <f t="shared" si="24"/>
        <v>4.7</v>
      </c>
      <c r="Q220">
        <v>164</v>
      </c>
      <c r="R220">
        <f t="shared" si="19"/>
        <v>1.090983606557377</v>
      </c>
      <c r="S220">
        <f t="shared" si="25"/>
        <v>0.65459016393442615</v>
      </c>
      <c r="T220">
        <f t="shared" si="26"/>
        <v>4.645409836065574</v>
      </c>
      <c r="U220">
        <f t="shared" si="22"/>
        <v>146.9621311475411</v>
      </c>
      <c r="W220">
        <v>374</v>
      </c>
      <c r="X220">
        <f t="shared" si="23"/>
        <v>16824.500000000004</v>
      </c>
      <c r="Y220">
        <v>10.987054474494258</v>
      </c>
    </row>
    <row r="221" spans="1:25" x14ac:dyDescent="0.35">
      <c r="A221">
        <v>2920</v>
      </c>
      <c r="B221">
        <v>23610</v>
      </c>
      <c r="C221" s="1">
        <v>42800</v>
      </c>
      <c r="F221" s="31"/>
      <c r="G221">
        <v>7.7</v>
      </c>
      <c r="H221">
        <v>7.6</v>
      </c>
      <c r="I221">
        <v>8.5</v>
      </c>
      <c r="J221">
        <f t="shared" si="20"/>
        <v>1239.1999999999998</v>
      </c>
      <c r="K221">
        <f t="shared" si="21"/>
        <v>283.90000000000003</v>
      </c>
      <c r="M221">
        <v>4.4000000000000004</v>
      </c>
      <c r="N221">
        <v>1</v>
      </c>
      <c r="O221">
        <f t="shared" si="24"/>
        <v>3.4000000000000004</v>
      </c>
      <c r="Q221">
        <v>165</v>
      </c>
      <c r="R221">
        <f t="shared" si="19"/>
        <v>1.0934426229508196</v>
      </c>
      <c r="S221">
        <f t="shared" si="25"/>
        <v>1.0934426229508196</v>
      </c>
      <c r="T221">
        <f t="shared" si="26"/>
        <v>3.306557377049181</v>
      </c>
      <c r="U221">
        <f t="shared" si="22"/>
        <v>150.26868852459029</v>
      </c>
      <c r="W221">
        <v>322.39999999999998</v>
      </c>
      <c r="X221">
        <f t="shared" si="23"/>
        <v>17146.900000000005</v>
      </c>
      <c r="Y221">
        <v>11.045888443688392</v>
      </c>
    </row>
    <row r="222" spans="1:25" x14ac:dyDescent="0.35">
      <c r="A222">
        <v>2920</v>
      </c>
      <c r="B222">
        <v>23610</v>
      </c>
      <c r="C222" s="1">
        <v>42801</v>
      </c>
      <c r="F222" s="31"/>
      <c r="G222">
        <v>7.3</v>
      </c>
      <c r="H222">
        <v>6.4</v>
      </c>
      <c r="I222">
        <v>11</v>
      </c>
      <c r="J222">
        <f t="shared" si="20"/>
        <v>1246.4999999999998</v>
      </c>
      <c r="K222">
        <f t="shared" si="21"/>
        <v>291.20000000000005</v>
      </c>
      <c r="M222">
        <v>3.2</v>
      </c>
      <c r="N222">
        <v>0.8</v>
      </c>
      <c r="O222">
        <f t="shared" si="24"/>
        <v>2.4000000000000004</v>
      </c>
      <c r="Q222">
        <v>166</v>
      </c>
      <c r="R222">
        <f t="shared" si="19"/>
        <v>1.0959016393442622</v>
      </c>
      <c r="S222">
        <f t="shared" si="25"/>
        <v>0.87672131147540977</v>
      </c>
      <c r="T222">
        <f t="shared" si="26"/>
        <v>2.3232786885245904</v>
      </c>
      <c r="U222">
        <f t="shared" si="22"/>
        <v>152.59196721311488</v>
      </c>
      <c r="W222">
        <v>222.3</v>
      </c>
      <c r="X222">
        <f t="shared" si="23"/>
        <v>17369.200000000004</v>
      </c>
      <c r="Y222">
        <v>11.104862704423253</v>
      </c>
    </row>
    <row r="223" spans="1:25" x14ac:dyDescent="0.35">
      <c r="A223">
        <v>2920</v>
      </c>
      <c r="B223">
        <v>23610</v>
      </c>
      <c r="C223" s="1">
        <v>42802</v>
      </c>
      <c r="F223" s="31"/>
      <c r="G223">
        <v>11.8</v>
      </c>
      <c r="H223">
        <v>7.4</v>
      </c>
      <c r="I223">
        <v>13.6</v>
      </c>
      <c r="J223">
        <f t="shared" si="20"/>
        <v>1258.2999999999997</v>
      </c>
      <c r="K223">
        <f t="shared" si="21"/>
        <v>303.00000000000006</v>
      </c>
      <c r="M223">
        <v>0</v>
      </c>
      <c r="N223">
        <v>0.1</v>
      </c>
      <c r="O223">
        <f t="shared" si="24"/>
        <v>-0.1</v>
      </c>
      <c r="Q223">
        <v>167</v>
      </c>
      <c r="R223">
        <f t="shared" si="19"/>
        <v>1.0983606557377048</v>
      </c>
      <c r="S223">
        <f t="shared" si="25"/>
        <v>0.10983606557377049</v>
      </c>
      <c r="T223">
        <f t="shared" si="26"/>
        <v>-0.10983606557377049</v>
      </c>
      <c r="U223">
        <f t="shared" si="22"/>
        <v>152.48213114754111</v>
      </c>
      <c r="W223">
        <v>257.7</v>
      </c>
      <c r="X223">
        <f t="shared" si="23"/>
        <v>17626.900000000005</v>
      </c>
      <c r="Y223">
        <v>11.16396732632829</v>
      </c>
    </row>
    <row r="224" spans="1:25" x14ac:dyDescent="0.35">
      <c r="A224">
        <v>2920</v>
      </c>
      <c r="B224">
        <v>23610</v>
      </c>
      <c r="C224" s="1">
        <v>42803</v>
      </c>
      <c r="F224" s="31"/>
      <c r="G224">
        <v>12.5</v>
      </c>
      <c r="H224">
        <v>10.7</v>
      </c>
      <c r="I224">
        <v>14.3</v>
      </c>
      <c r="J224">
        <f t="shared" si="20"/>
        <v>1270.7999999999997</v>
      </c>
      <c r="K224">
        <f t="shared" si="21"/>
        <v>315.50000000000006</v>
      </c>
      <c r="M224">
        <v>0.3</v>
      </c>
      <c r="N224">
        <v>0.5</v>
      </c>
      <c r="O224">
        <f t="shared" si="24"/>
        <v>-0.2</v>
      </c>
      <c r="Q224">
        <v>168</v>
      </c>
      <c r="R224">
        <f t="shared" si="19"/>
        <v>1.1008196721311474</v>
      </c>
      <c r="S224">
        <f t="shared" si="25"/>
        <v>0.5504098360655737</v>
      </c>
      <c r="T224">
        <f t="shared" si="26"/>
        <v>-0.25040983606557371</v>
      </c>
      <c r="U224">
        <f t="shared" si="22"/>
        <v>152.23172131147552</v>
      </c>
      <c r="W224">
        <v>287.89999999999998</v>
      </c>
      <c r="X224">
        <f t="shared" si="23"/>
        <v>17914.800000000007</v>
      </c>
      <c r="Y224">
        <v>11.223192601644561</v>
      </c>
    </row>
    <row r="225" spans="1:27" x14ac:dyDescent="0.35">
      <c r="A225">
        <v>2920</v>
      </c>
      <c r="B225">
        <v>23610</v>
      </c>
      <c r="C225" s="1">
        <v>42804</v>
      </c>
      <c r="F225" s="31"/>
      <c r="G225">
        <v>12.5</v>
      </c>
      <c r="H225">
        <v>10.199999999999999</v>
      </c>
      <c r="I225">
        <v>15.2</v>
      </c>
      <c r="J225">
        <f t="shared" si="20"/>
        <v>1283.2999999999997</v>
      </c>
      <c r="K225">
        <f t="shared" si="21"/>
        <v>328.00000000000006</v>
      </c>
      <c r="M225">
        <v>0.1</v>
      </c>
      <c r="N225">
        <v>0.9</v>
      </c>
      <c r="O225">
        <f t="shared" si="24"/>
        <v>-0.8</v>
      </c>
      <c r="Q225">
        <v>169</v>
      </c>
      <c r="R225">
        <f t="shared" si="19"/>
        <v>1.1032786885245902</v>
      </c>
      <c r="S225">
        <f t="shared" si="25"/>
        <v>0.99295081967213117</v>
      </c>
      <c r="T225">
        <f t="shared" si="26"/>
        <v>-0.89295081967213119</v>
      </c>
      <c r="U225">
        <f t="shared" si="22"/>
        <v>151.33877049180339</v>
      </c>
      <c r="W225">
        <v>647.6</v>
      </c>
      <c r="X225">
        <f t="shared" si="23"/>
        <v>18562.400000000005</v>
      </c>
      <c r="Y225">
        <v>11.282529031196002</v>
      </c>
    </row>
    <row r="226" spans="1:27" x14ac:dyDescent="0.35">
      <c r="A226">
        <v>2920</v>
      </c>
      <c r="B226">
        <v>23610</v>
      </c>
      <c r="C226" s="1">
        <v>42805</v>
      </c>
      <c r="F226" s="31"/>
      <c r="G226">
        <v>12</v>
      </c>
      <c r="H226">
        <v>6.4</v>
      </c>
      <c r="I226">
        <v>15.9</v>
      </c>
      <c r="J226">
        <f t="shared" si="20"/>
        <v>1295.2999999999997</v>
      </c>
      <c r="K226">
        <f t="shared" si="21"/>
        <v>340.00000000000006</v>
      </c>
      <c r="M226">
        <v>0.4</v>
      </c>
      <c r="N226">
        <v>0.8</v>
      </c>
      <c r="O226">
        <f t="shared" si="24"/>
        <v>-0.4</v>
      </c>
      <c r="Q226">
        <v>170</v>
      </c>
      <c r="R226">
        <f t="shared" si="19"/>
        <v>1.1057377049180328</v>
      </c>
      <c r="S226">
        <f t="shared" si="25"/>
        <v>0.88459016393442624</v>
      </c>
      <c r="T226">
        <f t="shared" si="26"/>
        <v>-0.48459016393442622</v>
      </c>
      <c r="U226">
        <f t="shared" si="22"/>
        <v>150.85418032786896</v>
      </c>
      <c r="W226">
        <v>604.70000000000005</v>
      </c>
      <c r="X226">
        <f t="shared" si="23"/>
        <v>19167.100000000006</v>
      </c>
      <c r="Y226">
        <v>11.341967310174089</v>
      </c>
    </row>
    <row r="227" spans="1:27" x14ac:dyDescent="0.35">
      <c r="A227">
        <v>2920</v>
      </c>
      <c r="B227">
        <v>23610</v>
      </c>
      <c r="C227" s="1">
        <v>42806</v>
      </c>
      <c r="F227" s="31"/>
      <c r="G227">
        <v>9.9</v>
      </c>
      <c r="H227">
        <v>9</v>
      </c>
      <c r="I227">
        <v>10.8</v>
      </c>
      <c r="J227">
        <f t="shared" si="20"/>
        <v>1305.1999999999998</v>
      </c>
      <c r="K227">
        <f t="shared" si="21"/>
        <v>349.90000000000003</v>
      </c>
      <c r="M227">
        <v>5.2</v>
      </c>
      <c r="N227">
        <v>0.5</v>
      </c>
      <c r="O227">
        <f t="shared" si="24"/>
        <v>4.7</v>
      </c>
      <c r="Q227">
        <v>171</v>
      </c>
      <c r="R227">
        <f t="shared" si="19"/>
        <v>1.1081967213114754</v>
      </c>
      <c r="S227">
        <f t="shared" si="25"/>
        <v>0.5540983606557377</v>
      </c>
      <c r="T227">
        <f t="shared" si="26"/>
        <v>4.6459016393442623</v>
      </c>
      <c r="U227">
        <f t="shared" si="22"/>
        <v>155.50008196721322</v>
      </c>
      <c r="W227">
        <v>240.6</v>
      </c>
      <c r="X227">
        <f t="shared" si="23"/>
        <v>19407.700000000004</v>
      </c>
      <c r="Y227">
        <v>11.401498313755869</v>
      </c>
    </row>
    <row r="228" spans="1:27" x14ac:dyDescent="0.35">
      <c r="A228">
        <v>2920</v>
      </c>
      <c r="B228">
        <v>23610</v>
      </c>
      <c r="C228" s="1">
        <v>42807</v>
      </c>
      <c r="F228" s="31"/>
      <c r="G228">
        <v>9.6999999999999993</v>
      </c>
      <c r="H228">
        <v>8.6</v>
      </c>
      <c r="I228">
        <v>13.4</v>
      </c>
      <c r="J228">
        <f t="shared" si="20"/>
        <v>1314.8999999999999</v>
      </c>
      <c r="K228">
        <f t="shared" si="21"/>
        <v>359.6</v>
      </c>
      <c r="M228">
        <v>0</v>
      </c>
      <c r="N228">
        <v>2.1</v>
      </c>
      <c r="O228">
        <f t="shared" si="24"/>
        <v>-2.1</v>
      </c>
      <c r="Q228">
        <v>172</v>
      </c>
      <c r="R228">
        <f t="shared" si="19"/>
        <v>1.110655737704918</v>
      </c>
      <c r="S228">
        <f t="shared" si="25"/>
        <v>2.332377049180328</v>
      </c>
      <c r="T228">
        <f t="shared" si="26"/>
        <v>-2.332377049180328</v>
      </c>
      <c r="U228">
        <f t="shared" si="22"/>
        <v>153.16770491803288</v>
      </c>
      <c r="W228">
        <v>962</v>
      </c>
      <c r="X228">
        <f t="shared" si="23"/>
        <v>20369.700000000004</v>
      </c>
      <c r="Y228">
        <v>11.461113082573837</v>
      </c>
    </row>
    <row r="229" spans="1:27" x14ac:dyDescent="0.35">
      <c r="A229">
        <v>2920</v>
      </c>
      <c r="B229">
        <v>23610</v>
      </c>
      <c r="C229" s="1">
        <v>42808</v>
      </c>
      <c r="F229" s="31"/>
      <c r="G229">
        <v>7.8</v>
      </c>
      <c r="H229">
        <v>2.6</v>
      </c>
      <c r="I229">
        <v>10.8</v>
      </c>
      <c r="J229">
        <f t="shared" si="20"/>
        <v>1322.6999999999998</v>
      </c>
      <c r="K229">
        <f t="shared" si="21"/>
        <v>367.40000000000003</v>
      </c>
      <c r="M229">
        <v>0</v>
      </c>
      <c r="N229">
        <v>0.4</v>
      </c>
      <c r="O229">
        <f t="shared" si="24"/>
        <v>-0.4</v>
      </c>
      <c r="Q229">
        <v>173</v>
      </c>
      <c r="R229">
        <f t="shared" si="19"/>
        <v>1.1131147540983606</v>
      </c>
      <c r="S229">
        <f t="shared" si="25"/>
        <v>0.44524590163934424</v>
      </c>
      <c r="T229">
        <f t="shared" si="26"/>
        <v>-0.44524590163934424</v>
      </c>
      <c r="U229">
        <f t="shared" si="22"/>
        <v>152.72245901639354</v>
      </c>
      <c r="W229">
        <v>365.4</v>
      </c>
      <c r="X229">
        <f t="shared" si="23"/>
        <v>20735.100000000006</v>
      </c>
      <c r="Y229">
        <v>11.520802808054778</v>
      </c>
    </row>
    <row r="230" spans="1:27" x14ac:dyDescent="0.35">
      <c r="A230">
        <v>2920</v>
      </c>
      <c r="B230">
        <v>23610</v>
      </c>
      <c r="C230" s="1">
        <v>42809</v>
      </c>
      <c r="F230" s="31"/>
      <c r="G230">
        <v>10.199999999999999</v>
      </c>
      <c r="H230">
        <v>9.1999999999999993</v>
      </c>
      <c r="I230">
        <v>12.3</v>
      </c>
      <c r="J230">
        <f t="shared" si="20"/>
        <v>1332.8999999999999</v>
      </c>
      <c r="K230">
        <f t="shared" si="21"/>
        <v>377.6</v>
      </c>
      <c r="M230">
        <v>0.1</v>
      </c>
      <c r="N230">
        <v>0.9</v>
      </c>
      <c r="O230">
        <f t="shared" si="24"/>
        <v>-0.8</v>
      </c>
      <c r="Q230">
        <v>174</v>
      </c>
      <c r="R230">
        <f t="shared" si="19"/>
        <v>1.1155737704918032</v>
      </c>
      <c r="S230">
        <f t="shared" si="25"/>
        <v>1.0040163934426229</v>
      </c>
      <c r="T230">
        <f t="shared" si="26"/>
        <v>-0.90401639344262297</v>
      </c>
      <c r="U230">
        <f t="shared" si="22"/>
        <v>151.81844262295093</v>
      </c>
      <c r="W230">
        <v>378.9</v>
      </c>
      <c r="X230">
        <f t="shared" si="23"/>
        <v>21114.000000000007</v>
      </c>
      <c r="Y230">
        <v>11.580558817643515</v>
      </c>
    </row>
    <row r="231" spans="1:27" x14ac:dyDescent="0.35">
      <c r="A231">
        <v>2920</v>
      </c>
      <c r="B231">
        <v>23610</v>
      </c>
      <c r="C231" s="1">
        <v>42810</v>
      </c>
      <c r="F231" s="31"/>
      <c r="G231">
        <v>10</v>
      </c>
      <c r="H231">
        <v>1.4</v>
      </c>
      <c r="I231">
        <v>15.8</v>
      </c>
      <c r="J231">
        <f t="shared" si="20"/>
        <v>1342.8999999999999</v>
      </c>
      <c r="K231">
        <f t="shared" si="21"/>
        <v>387.6</v>
      </c>
      <c r="M231">
        <v>0</v>
      </c>
      <c r="N231">
        <v>1.9</v>
      </c>
      <c r="O231">
        <f t="shared" si="24"/>
        <v>-1.9</v>
      </c>
      <c r="Q231">
        <v>175</v>
      </c>
      <c r="R231">
        <f t="shared" si="19"/>
        <v>1.1180327868852458</v>
      </c>
      <c r="S231">
        <f t="shared" si="25"/>
        <v>2.1242622950819667</v>
      </c>
      <c r="T231">
        <f t="shared" si="26"/>
        <v>-2.1242622950819667</v>
      </c>
      <c r="U231">
        <f t="shared" si="22"/>
        <v>149.69418032786896</v>
      </c>
      <c r="W231">
        <v>1588.6</v>
      </c>
      <c r="X231">
        <f t="shared" si="23"/>
        <v>22702.600000000006</v>
      </c>
      <c r="Y231">
        <v>11.640372559926252</v>
      </c>
    </row>
    <row r="232" spans="1:27" x14ac:dyDescent="0.35">
      <c r="A232">
        <v>2920</v>
      </c>
      <c r="B232">
        <v>23610</v>
      </c>
      <c r="C232" s="1">
        <v>42811</v>
      </c>
      <c r="F232" s="31"/>
      <c r="G232">
        <v>9.1</v>
      </c>
      <c r="H232">
        <v>8.1999999999999993</v>
      </c>
      <c r="I232">
        <v>12.3</v>
      </c>
      <c r="J232">
        <f t="shared" si="20"/>
        <v>1351.9999999999998</v>
      </c>
      <c r="K232">
        <f t="shared" si="21"/>
        <v>396.70000000000005</v>
      </c>
      <c r="M232" s="28">
        <v>0</v>
      </c>
      <c r="N232">
        <v>1.3</v>
      </c>
      <c r="O232">
        <f t="shared" si="24"/>
        <v>-1.3</v>
      </c>
      <c r="Q232">
        <v>176</v>
      </c>
      <c r="R232">
        <f t="shared" si="19"/>
        <v>1.1204918032786884</v>
      </c>
      <c r="S232">
        <f t="shared" si="25"/>
        <v>1.4566393442622949</v>
      </c>
      <c r="T232">
        <f t="shared" si="26"/>
        <v>-1.4566393442622949</v>
      </c>
      <c r="U232">
        <f t="shared" si="22"/>
        <v>148.23754098360666</v>
      </c>
      <c r="W232">
        <v>710.6</v>
      </c>
      <c r="X232">
        <f t="shared" si="23"/>
        <v>23413.200000000004</v>
      </c>
      <c r="Y232">
        <v>11.700235589667285</v>
      </c>
      <c r="AA232" s="2" t="s">
        <v>62</v>
      </c>
    </row>
    <row r="233" spans="1:27" x14ac:dyDescent="0.35">
      <c r="A233">
        <v>2920</v>
      </c>
      <c r="B233">
        <v>23610</v>
      </c>
      <c r="C233" s="1">
        <v>42812</v>
      </c>
      <c r="F233" s="31"/>
      <c r="G233">
        <v>10.7</v>
      </c>
      <c r="H233">
        <v>5.7</v>
      </c>
      <c r="I233">
        <v>13</v>
      </c>
      <c r="J233">
        <f t="shared" si="20"/>
        <v>1362.6999999999998</v>
      </c>
      <c r="K233">
        <f t="shared" si="21"/>
        <v>407.40000000000003</v>
      </c>
      <c r="M233" s="28">
        <v>0</v>
      </c>
      <c r="N233">
        <v>0.4</v>
      </c>
      <c r="O233">
        <f t="shared" si="24"/>
        <v>-0.4</v>
      </c>
      <c r="Q233">
        <v>177</v>
      </c>
      <c r="R233">
        <f t="shared" si="19"/>
        <v>1.1229508196721312</v>
      </c>
      <c r="S233">
        <f t="shared" si="25"/>
        <v>0.44918032786885248</v>
      </c>
      <c r="T233">
        <f t="shared" si="26"/>
        <v>-0.44918032786885248</v>
      </c>
      <c r="U233">
        <f t="shared" si="22"/>
        <v>147.78836065573782</v>
      </c>
      <c r="W233">
        <v>280.2</v>
      </c>
      <c r="X233">
        <f t="shared" si="23"/>
        <v>23693.400000000005</v>
      </c>
      <c r="Y233">
        <v>11.7601395527719</v>
      </c>
      <c r="AA233" s="17">
        <f>AVERAGE(U239:U252)</f>
        <v>135.2149414519908</v>
      </c>
    </row>
    <row r="234" spans="1:27" x14ac:dyDescent="0.35">
      <c r="A234">
        <v>2920</v>
      </c>
      <c r="B234">
        <v>23610</v>
      </c>
      <c r="C234" s="1">
        <v>42813</v>
      </c>
      <c r="F234" s="31"/>
      <c r="G234">
        <v>11.3</v>
      </c>
      <c r="H234">
        <v>9.1999999999999993</v>
      </c>
      <c r="I234">
        <v>13.4</v>
      </c>
      <c r="J234">
        <f t="shared" si="20"/>
        <v>1373.9999999999998</v>
      </c>
      <c r="K234">
        <f t="shared" si="21"/>
        <v>418.70000000000005</v>
      </c>
      <c r="M234" s="28">
        <v>0</v>
      </c>
      <c r="N234">
        <v>1</v>
      </c>
      <c r="O234">
        <f t="shared" si="24"/>
        <v>-1</v>
      </c>
      <c r="Q234">
        <v>178</v>
      </c>
      <c r="R234">
        <f t="shared" si="19"/>
        <v>1.1254098360655738</v>
      </c>
      <c r="S234">
        <f t="shared" si="25"/>
        <v>1.1254098360655738</v>
      </c>
      <c r="T234">
        <f t="shared" si="26"/>
        <v>-1.1254098360655738</v>
      </c>
      <c r="U234">
        <f t="shared" si="22"/>
        <v>146.66295081967223</v>
      </c>
      <c r="W234">
        <v>244.5</v>
      </c>
      <c r="X234">
        <f t="shared" si="23"/>
        <v>23937.900000000005</v>
      </c>
      <c r="Y234">
        <v>11.820076171187441</v>
      </c>
      <c r="AA234" s="2" t="s">
        <v>63</v>
      </c>
    </row>
    <row r="235" spans="1:27" x14ac:dyDescent="0.35">
      <c r="A235">
        <v>2920</v>
      </c>
      <c r="B235">
        <v>23610</v>
      </c>
      <c r="C235" s="1">
        <v>42814</v>
      </c>
      <c r="F235" s="31"/>
      <c r="G235">
        <v>10.4</v>
      </c>
      <c r="H235">
        <v>9.5</v>
      </c>
      <c r="I235">
        <v>12</v>
      </c>
      <c r="J235">
        <f t="shared" si="20"/>
        <v>1384.3999999999999</v>
      </c>
      <c r="K235">
        <f t="shared" si="21"/>
        <v>429.1</v>
      </c>
      <c r="M235" s="28">
        <v>0.3</v>
      </c>
      <c r="N235">
        <v>1</v>
      </c>
      <c r="O235">
        <f t="shared" si="24"/>
        <v>-0.7</v>
      </c>
      <c r="Q235">
        <v>179</v>
      </c>
      <c r="R235">
        <f t="shared" si="19"/>
        <v>1.1278688524590164</v>
      </c>
      <c r="S235">
        <f t="shared" si="25"/>
        <v>1.1278688524590164</v>
      </c>
      <c r="T235">
        <f t="shared" si="26"/>
        <v>-0.82786885245901631</v>
      </c>
      <c r="U235">
        <f t="shared" si="22"/>
        <v>145.83508196721323</v>
      </c>
      <c r="W235">
        <v>336.5</v>
      </c>
      <c r="X235">
        <f t="shared" si="23"/>
        <v>24274.400000000005</v>
      </c>
      <c r="Y235">
        <v>11.880037227753965</v>
      </c>
      <c r="AA235">
        <v>3</v>
      </c>
    </row>
    <row r="236" spans="1:27" x14ac:dyDescent="0.35">
      <c r="A236">
        <v>2920</v>
      </c>
      <c r="B236">
        <v>23610</v>
      </c>
      <c r="C236" s="1">
        <v>42815</v>
      </c>
      <c r="F236" s="31"/>
      <c r="G236">
        <v>8.6</v>
      </c>
      <c r="H236">
        <v>7</v>
      </c>
      <c r="I236">
        <v>11.2</v>
      </c>
      <c r="J236">
        <f t="shared" si="20"/>
        <v>1392.9999999999998</v>
      </c>
      <c r="K236">
        <f t="shared" si="21"/>
        <v>437.70000000000005</v>
      </c>
      <c r="M236" s="28">
        <v>5.7</v>
      </c>
      <c r="N236">
        <v>1.9</v>
      </c>
      <c r="O236">
        <f t="shared" si="24"/>
        <v>3.8000000000000003</v>
      </c>
      <c r="Q236">
        <v>180</v>
      </c>
      <c r="R236">
        <f t="shared" si="19"/>
        <v>1.130327868852459</v>
      </c>
      <c r="S236">
        <f t="shared" si="25"/>
        <v>2.147622950819672</v>
      </c>
      <c r="T236">
        <f t="shared" si="26"/>
        <v>3.5523770491803282</v>
      </c>
      <c r="U236">
        <f t="shared" si="22"/>
        <v>149.38745901639356</v>
      </c>
      <c r="W236">
        <v>1312</v>
      </c>
      <c r="X236">
        <f t="shared" si="23"/>
        <v>25586.400000000005</v>
      </c>
      <c r="Y236">
        <v>11.940014551015169</v>
      </c>
      <c r="AA236" s="2" t="s">
        <v>64</v>
      </c>
    </row>
    <row r="237" spans="1:27" x14ac:dyDescent="0.35">
      <c r="A237">
        <v>2920</v>
      </c>
      <c r="B237">
        <v>23610</v>
      </c>
      <c r="C237" s="1">
        <v>42816</v>
      </c>
      <c r="F237" s="31"/>
      <c r="G237">
        <v>6.6</v>
      </c>
      <c r="H237">
        <v>5.0999999999999996</v>
      </c>
      <c r="I237">
        <v>9.1999999999999993</v>
      </c>
      <c r="J237">
        <f t="shared" si="20"/>
        <v>1399.5999999999997</v>
      </c>
      <c r="K237">
        <f t="shared" si="21"/>
        <v>444.30000000000007</v>
      </c>
      <c r="M237" s="28">
        <v>0.9</v>
      </c>
      <c r="N237">
        <v>1.4</v>
      </c>
      <c r="O237">
        <f t="shared" si="24"/>
        <v>-0.49999999999999989</v>
      </c>
      <c r="Q237">
        <v>181</v>
      </c>
      <c r="R237">
        <f t="shared" si="19"/>
        <v>1.1327868852459015</v>
      </c>
      <c r="S237">
        <f t="shared" si="25"/>
        <v>1.585901639344262</v>
      </c>
      <c r="T237">
        <f t="shared" si="26"/>
        <v>-0.68590163934426196</v>
      </c>
      <c r="U237">
        <f t="shared" si="22"/>
        <v>148.70155737704931</v>
      </c>
      <c r="W237">
        <v>1040.2</v>
      </c>
      <c r="X237">
        <f t="shared" si="23"/>
        <v>26626.600000000006</v>
      </c>
      <c r="Y237">
        <v>12</v>
      </c>
      <c r="AA237">
        <v>4</v>
      </c>
    </row>
    <row r="238" spans="1:27" x14ac:dyDescent="0.35">
      <c r="A238">
        <v>2920</v>
      </c>
      <c r="B238">
        <v>23610</v>
      </c>
      <c r="C238" s="1">
        <v>42817</v>
      </c>
      <c r="F238" s="31"/>
      <c r="G238">
        <v>6.2</v>
      </c>
      <c r="H238">
        <v>3.2</v>
      </c>
      <c r="I238">
        <v>9.1999999999999993</v>
      </c>
      <c r="J238">
        <f t="shared" si="20"/>
        <v>1405.7999999999997</v>
      </c>
      <c r="K238">
        <f t="shared" si="21"/>
        <v>450.50000000000006</v>
      </c>
      <c r="M238" s="28">
        <v>2.4</v>
      </c>
      <c r="N238">
        <v>0.5</v>
      </c>
      <c r="O238">
        <f t="shared" si="24"/>
        <v>1.9</v>
      </c>
      <c r="Q238">
        <v>182</v>
      </c>
      <c r="R238">
        <f t="shared" si="19"/>
        <v>1.1352459016393441</v>
      </c>
      <c r="S238">
        <f t="shared" si="25"/>
        <v>0.56762295081967207</v>
      </c>
      <c r="T238">
        <f t="shared" si="26"/>
        <v>1.832377049180328</v>
      </c>
      <c r="U238">
        <f t="shared" si="22"/>
        <v>150.53393442622965</v>
      </c>
      <c r="W238">
        <v>560.4</v>
      </c>
      <c r="X238">
        <f t="shared" si="23"/>
        <v>27187.000000000007</v>
      </c>
      <c r="Y238">
        <v>12.059985448984829</v>
      </c>
      <c r="AA238" s="2" t="s">
        <v>65</v>
      </c>
    </row>
    <row r="239" spans="1:27" x14ac:dyDescent="0.35">
      <c r="A239">
        <v>2920</v>
      </c>
      <c r="B239">
        <v>23610</v>
      </c>
      <c r="C239" s="1">
        <v>42818</v>
      </c>
      <c r="F239" s="31"/>
      <c r="G239">
        <v>7.9</v>
      </c>
      <c r="H239">
        <v>2.7</v>
      </c>
      <c r="I239">
        <v>11.2</v>
      </c>
      <c r="J239">
        <f t="shared" si="20"/>
        <v>1413.6999999999998</v>
      </c>
      <c r="K239">
        <f t="shared" si="21"/>
        <v>458.40000000000003</v>
      </c>
      <c r="M239" s="28">
        <v>0</v>
      </c>
      <c r="N239">
        <v>1.7</v>
      </c>
      <c r="O239">
        <f t="shared" si="24"/>
        <v>-1.7</v>
      </c>
      <c r="Q239">
        <v>183</v>
      </c>
      <c r="R239">
        <f t="shared" si="19"/>
        <v>1.1377049180327867</v>
      </c>
      <c r="S239">
        <f t="shared" si="25"/>
        <v>1.9340983606557374</v>
      </c>
      <c r="T239">
        <f t="shared" si="26"/>
        <v>-1.9340983606557374</v>
      </c>
      <c r="U239" s="28">
        <f t="shared" si="22"/>
        <v>148.59983606557392</v>
      </c>
      <c r="W239">
        <v>1692.6</v>
      </c>
      <c r="X239">
        <f t="shared" si="23"/>
        <v>28879.600000000006</v>
      </c>
      <c r="Y239">
        <v>12.119962772246035</v>
      </c>
      <c r="AA239">
        <v>0</v>
      </c>
    </row>
    <row r="240" spans="1:27" x14ac:dyDescent="0.35">
      <c r="A240">
        <v>2920</v>
      </c>
      <c r="B240">
        <v>23610</v>
      </c>
      <c r="C240" s="1">
        <v>42819</v>
      </c>
      <c r="F240" s="31"/>
      <c r="G240">
        <v>11.3</v>
      </c>
      <c r="H240">
        <v>5.8</v>
      </c>
      <c r="I240">
        <v>16.2</v>
      </c>
      <c r="J240">
        <f t="shared" si="20"/>
        <v>1424.9999999999998</v>
      </c>
      <c r="K240">
        <f t="shared" si="21"/>
        <v>469.70000000000005</v>
      </c>
      <c r="M240" s="28">
        <v>0</v>
      </c>
      <c r="N240">
        <v>3.3</v>
      </c>
      <c r="O240">
        <f t="shared" si="24"/>
        <v>-3.3</v>
      </c>
      <c r="Q240">
        <v>184</v>
      </c>
      <c r="R240">
        <f t="shared" si="19"/>
        <v>1.1401639344262295</v>
      </c>
      <c r="S240">
        <f t="shared" si="25"/>
        <v>3.7625409836065571</v>
      </c>
      <c r="T240">
        <f t="shared" si="26"/>
        <v>-3.7625409836065571</v>
      </c>
      <c r="U240" s="28">
        <f t="shared" si="22"/>
        <v>144.83729508196737</v>
      </c>
      <c r="W240">
        <v>2041.4</v>
      </c>
      <c r="X240">
        <f t="shared" si="23"/>
        <v>30921.000000000007</v>
      </c>
      <c r="Y240">
        <v>12.179923828812557</v>
      </c>
      <c r="AA240" s="2" t="s">
        <v>66</v>
      </c>
    </row>
    <row r="241" spans="1:27" x14ac:dyDescent="0.35">
      <c r="A241">
        <v>2920</v>
      </c>
      <c r="B241">
        <v>23610</v>
      </c>
      <c r="C241" s="1">
        <v>42820</v>
      </c>
      <c r="F241" s="31"/>
      <c r="G241">
        <v>9.3000000000000007</v>
      </c>
      <c r="H241">
        <v>5.6</v>
      </c>
      <c r="I241">
        <v>13.1</v>
      </c>
      <c r="J241">
        <f t="shared" si="20"/>
        <v>1434.2999999999997</v>
      </c>
      <c r="K241">
        <f t="shared" si="21"/>
        <v>479.00000000000006</v>
      </c>
      <c r="M241" s="28">
        <v>0</v>
      </c>
      <c r="N241">
        <v>0.9</v>
      </c>
      <c r="O241">
        <f t="shared" si="24"/>
        <v>-0.9</v>
      </c>
      <c r="Q241">
        <v>185</v>
      </c>
      <c r="R241">
        <f t="shared" si="19"/>
        <v>1.1426229508196721</v>
      </c>
      <c r="S241">
        <f t="shared" si="25"/>
        <v>1.028360655737705</v>
      </c>
      <c r="T241">
        <f t="shared" si="26"/>
        <v>-1.028360655737705</v>
      </c>
      <c r="U241" s="28">
        <f t="shared" si="22"/>
        <v>143.80893442622965</v>
      </c>
      <c r="W241">
        <v>573.20000000000005</v>
      </c>
      <c r="X241">
        <f t="shared" si="23"/>
        <v>31494.200000000008</v>
      </c>
      <c r="Y241">
        <v>12.2398604472281</v>
      </c>
      <c r="AA241">
        <f>SUM(M243:M252)</f>
        <v>7.1</v>
      </c>
    </row>
    <row r="242" spans="1:27" s="26" customFormat="1" x14ac:dyDescent="0.35">
      <c r="A242" s="26">
        <v>2920</v>
      </c>
      <c r="B242" s="26">
        <v>23610</v>
      </c>
      <c r="C242" s="27">
        <v>42821</v>
      </c>
      <c r="D242" s="26" t="s">
        <v>61</v>
      </c>
      <c r="F242" s="31"/>
      <c r="G242" s="26">
        <v>11</v>
      </c>
      <c r="H242" s="26">
        <v>2.8</v>
      </c>
      <c r="I242" s="26">
        <v>17.8</v>
      </c>
      <c r="J242" s="26">
        <f t="shared" si="20"/>
        <v>1445.2999999999997</v>
      </c>
      <c r="K242" s="26">
        <f t="shared" si="21"/>
        <v>490.00000000000006</v>
      </c>
      <c r="M242" s="26">
        <v>0</v>
      </c>
      <c r="N242" s="26">
        <v>2.6</v>
      </c>
      <c r="O242" s="26">
        <f t="shared" si="24"/>
        <v>-2.6</v>
      </c>
      <c r="Q242" s="26">
        <v>186</v>
      </c>
      <c r="R242" s="26">
        <f t="shared" si="19"/>
        <v>1.1450819672131147</v>
      </c>
      <c r="S242" s="26">
        <f t="shared" si="25"/>
        <v>2.9772131147540986</v>
      </c>
      <c r="T242" s="26">
        <f t="shared" si="26"/>
        <v>-2.9772131147540986</v>
      </c>
      <c r="U242" s="26">
        <f t="shared" si="22"/>
        <v>140.83172131147555</v>
      </c>
      <c r="W242" s="26">
        <v>1891.5</v>
      </c>
      <c r="X242" s="26">
        <f t="shared" si="23"/>
        <v>33385.700000000012</v>
      </c>
      <c r="Y242" s="26">
        <v>12.299764410332713</v>
      </c>
    </row>
    <row r="243" spans="1:27" ht="15" thickBot="1" x14ac:dyDescent="0.4">
      <c r="A243">
        <v>2920</v>
      </c>
      <c r="B243">
        <v>23610</v>
      </c>
      <c r="C243" s="1">
        <v>42822</v>
      </c>
      <c r="F243" s="31"/>
      <c r="G243">
        <v>11.7</v>
      </c>
      <c r="H243">
        <v>8.1</v>
      </c>
      <c r="I243">
        <v>15.7</v>
      </c>
      <c r="J243">
        <f t="shared" si="20"/>
        <v>1456.9999999999998</v>
      </c>
      <c r="K243">
        <f t="shared" si="21"/>
        <v>501.70000000000005</v>
      </c>
      <c r="M243" s="28">
        <v>0.1</v>
      </c>
      <c r="N243">
        <v>2</v>
      </c>
      <c r="O243">
        <f t="shared" si="24"/>
        <v>-1.9</v>
      </c>
      <c r="Q243">
        <v>187</v>
      </c>
      <c r="R243">
        <f t="shared" si="19"/>
        <v>1.1475409836065573</v>
      </c>
      <c r="S243">
        <f t="shared" si="25"/>
        <v>2.2950819672131146</v>
      </c>
      <c r="T243">
        <f t="shared" si="26"/>
        <v>-2.1950819672131145</v>
      </c>
      <c r="U243" s="28">
        <f t="shared" si="22"/>
        <v>138.63663934426242</v>
      </c>
      <c r="W243">
        <v>1376.3</v>
      </c>
      <c r="X243">
        <f t="shared" si="23"/>
        <v>34762.000000000015</v>
      </c>
      <c r="Y243" s="4">
        <v>12.359627440073748</v>
      </c>
    </row>
    <row r="244" spans="1:27" s="4" customFormat="1" ht="15" thickBot="1" x14ac:dyDescent="0.4">
      <c r="A244" s="4">
        <v>2920</v>
      </c>
      <c r="B244" s="4">
        <v>23610</v>
      </c>
      <c r="C244" s="5">
        <v>42823</v>
      </c>
      <c r="F244" s="32"/>
      <c r="G244" s="4">
        <v>14</v>
      </c>
      <c r="H244" s="4">
        <v>8.8000000000000007</v>
      </c>
      <c r="I244" s="4">
        <v>19.399999999999999</v>
      </c>
      <c r="J244" s="4">
        <f t="shared" si="20"/>
        <v>1470.9999999999998</v>
      </c>
      <c r="K244" s="4">
        <f t="shared" si="21"/>
        <v>515.70000000000005</v>
      </c>
      <c r="M244" s="29">
        <v>0</v>
      </c>
      <c r="N244" s="4">
        <v>2.1</v>
      </c>
      <c r="O244" s="4">
        <f t="shared" si="24"/>
        <v>-2.1</v>
      </c>
      <c r="Q244" s="4">
        <v>188</v>
      </c>
      <c r="R244" s="4">
        <f t="shared" si="19"/>
        <v>1.1499999999999999</v>
      </c>
      <c r="S244" s="4">
        <f t="shared" si="25"/>
        <v>2.415</v>
      </c>
      <c r="T244" s="4">
        <f t="shared" si="26"/>
        <v>-2.415</v>
      </c>
      <c r="U244" s="29">
        <f t="shared" si="22"/>
        <v>136.22163934426243</v>
      </c>
      <c r="W244" s="4">
        <v>787.8</v>
      </c>
      <c r="X244" s="4">
        <f>W244+X243</f>
        <v>35549.800000000017</v>
      </c>
      <c r="Y244">
        <v>12.419441182356485</v>
      </c>
    </row>
    <row r="245" spans="1:27" x14ac:dyDescent="0.35">
      <c r="A245">
        <v>2920</v>
      </c>
      <c r="B245">
        <v>23610</v>
      </c>
      <c r="C245" s="1">
        <v>42824</v>
      </c>
      <c r="D245" t="s">
        <v>29</v>
      </c>
      <c r="F245" s="33" t="s">
        <v>55</v>
      </c>
      <c r="G245">
        <v>15.4</v>
      </c>
      <c r="H245">
        <v>7.6</v>
      </c>
      <c r="I245">
        <v>22</v>
      </c>
      <c r="J245">
        <f t="shared" si="20"/>
        <v>1486.3999999999999</v>
      </c>
      <c r="K245">
        <f>G245</f>
        <v>15.4</v>
      </c>
      <c r="L245" s="12" t="s">
        <v>36</v>
      </c>
      <c r="M245" s="28">
        <v>0</v>
      </c>
      <c r="N245">
        <v>3.3</v>
      </c>
      <c r="O245">
        <f t="shared" si="24"/>
        <v>-3.3</v>
      </c>
      <c r="Q245">
        <v>189</v>
      </c>
      <c r="R245">
        <v>1.1499999999999999</v>
      </c>
      <c r="S245">
        <f t="shared" si="25"/>
        <v>3.7949999999999995</v>
      </c>
      <c r="T245">
        <f t="shared" si="26"/>
        <v>-3.7949999999999995</v>
      </c>
      <c r="U245" s="28">
        <f t="shared" si="22"/>
        <v>132.42663934426244</v>
      </c>
      <c r="V245" s="21" t="s">
        <v>43</v>
      </c>
      <c r="W245">
        <v>1715</v>
      </c>
      <c r="X245">
        <f>W245</f>
        <v>1715</v>
      </c>
      <c r="Y245">
        <v>12.47919719194522</v>
      </c>
      <c r="Z245" s="21" t="s">
        <v>48</v>
      </c>
    </row>
    <row r="246" spans="1:27" x14ac:dyDescent="0.35">
      <c r="A246">
        <v>2920</v>
      </c>
      <c r="B246">
        <v>23610</v>
      </c>
      <c r="C246" s="1">
        <v>42825</v>
      </c>
      <c r="F246" s="34"/>
      <c r="G246">
        <v>12.8</v>
      </c>
      <c r="H246">
        <v>11.8</v>
      </c>
      <c r="I246">
        <v>16.3</v>
      </c>
      <c r="J246">
        <f t="shared" si="20"/>
        <v>1499.1999999999998</v>
      </c>
      <c r="K246">
        <f t="shared" si="21"/>
        <v>28.200000000000003</v>
      </c>
      <c r="L246" s="8">
        <v>221.5</v>
      </c>
      <c r="M246" s="28">
        <v>0.4</v>
      </c>
      <c r="N246">
        <v>2.1</v>
      </c>
      <c r="O246">
        <f t="shared" si="24"/>
        <v>-1.7000000000000002</v>
      </c>
      <c r="Q246">
        <v>190</v>
      </c>
      <c r="R246">
        <v>1.1499999999999999</v>
      </c>
      <c r="S246">
        <f t="shared" si="25"/>
        <v>2.415</v>
      </c>
      <c r="T246">
        <f t="shared" si="26"/>
        <v>-2.0150000000000001</v>
      </c>
      <c r="U246" s="28">
        <f t="shared" si="22"/>
        <v>130.41163934426245</v>
      </c>
      <c r="V246">
        <v>0</v>
      </c>
      <c r="W246">
        <v>658.6</v>
      </c>
      <c r="X246">
        <f t="shared" si="23"/>
        <v>2373.6</v>
      </c>
      <c r="Y246">
        <v>12.538886917426161</v>
      </c>
      <c r="Z246">
        <v>29108.6</v>
      </c>
    </row>
    <row r="247" spans="1:27" x14ac:dyDescent="0.35">
      <c r="A247">
        <v>2920</v>
      </c>
      <c r="B247">
        <v>23610</v>
      </c>
      <c r="C247" s="1">
        <v>42826</v>
      </c>
      <c r="F247" s="34"/>
      <c r="G247">
        <v>9.9</v>
      </c>
      <c r="H247">
        <v>7.4</v>
      </c>
      <c r="I247">
        <v>13.2</v>
      </c>
      <c r="J247">
        <f t="shared" si="20"/>
        <v>1509.1</v>
      </c>
      <c r="K247">
        <f t="shared" si="21"/>
        <v>38.1</v>
      </c>
      <c r="L247" s="12" t="s">
        <v>37</v>
      </c>
      <c r="M247" s="28">
        <v>5.7</v>
      </c>
      <c r="N247">
        <v>1.5</v>
      </c>
      <c r="O247">
        <f t="shared" si="24"/>
        <v>4.2</v>
      </c>
      <c r="Q247">
        <v>191</v>
      </c>
      <c r="R247">
        <v>1.1499999999999999</v>
      </c>
      <c r="S247">
        <f t="shared" si="25"/>
        <v>1.7249999999999999</v>
      </c>
      <c r="T247">
        <f t="shared" si="26"/>
        <v>3.9750000000000005</v>
      </c>
      <c r="U247" s="28">
        <f t="shared" si="22"/>
        <v>134.38663934426245</v>
      </c>
      <c r="V247" s="21" t="s">
        <v>44</v>
      </c>
      <c r="W247">
        <v>1021.7</v>
      </c>
      <c r="X247">
        <f t="shared" si="23"/>
        <v>3395.3</v>
      </c>
      <c r="Y247">
        <v>12.598501686244129</v>
      </c>
      <c r="Z247" s="21" t="s">
        <v>49</v>
      </c>
    </row>
    <row r="248" spans="1:27" x14ac:dyDescent="0.35">
      <c r="A248">
        <v>2920</v>
      </c>
      <c r="B248">
        <v>23610</v>
      </c>
      <c r="C248" s="1">
        <v>42827</v>
      </c>
      <c r="F248" s="34"/>
      <c r="G248">
        <v>10.9</v>
      </c>
      <c r="H248">
        <v>8.6999999999999993</v>
      </c>
      <c r="I248">
        <v>13.8</v>
      </c>
      <c r="J248">
        <f t="shared" si="20"/>
        <v>1520</v>
      </c>
      <c r="K248">
        <f t="shared" si="21"/>
        <v>49</v>
      </c>
      <c r="L248" s="9">
        <f>AVERAGE(G245:G265)</f>
        <v>10.547619047619047</v>
      </c>
      <c r="M248" s="28">
        <v>0.1</v>
      </c>
      <c r="N248">
        <v>1.7</v>
      </c>
      <c r="O248">
        <f t="shared" si="24"/>
        <v>-1.5999999999999999</v>
      </c>
      <c r="Q248">
        <v>192</v>
      </c>
      <c r="R248">
        <v>1.1499999999999999</v>
      </c>
      <c r="S248">
        <f t="shared" si="25"/>
        <v>1.9549999999999998</v>
      </c>
      <c r="T248">
        <f t="shared" si="26"/>
        <v>-1.8549999999999998</v>
      </c>
      <c r="U248" s="28">
        <f t="shared" si="22"/>
        <v>132.53163934426246</v>
      </c>
      <c r="V248">
        <v>0</v>
      </c>
      <c r="W248">
        <v>991.8</v>
      </c>
      <c r="X248">
        <f t="shared" si="23"/>
        <v>4387.1000000000004</v>
      </c>
      <c r="Y248">
        <v>12.658032689825911</v>
      </c>
      <c r="Z248" s="17">
        <f>(Z246/100)/L246</f>
        <v>1.3141580135440181</v>
      </c>
    </row>
    <row r="249" spans="1:27" x14ac:dyDescent="0.35">
      <c r="A249">
        <v>2920</v>
      </c>
      <c r="B249">
        <v>23610</v>
      </c>
      <c r="C249" s="1">
        <v>42828</v>
      </c>
      <c r="F249" s="34"/>
      <c r="G249">
        <v>10.9</v>
      </c>
      <c r="H249">
        <v>5.3</v>
      </c>
      <c r="I249">
        <v>16.5</v>
      </c>
      <c r="J249">
        <f t="shared" si="20"/>
        <v>1530.9</v>
      </c>
      <c r="K249">
        <f t="shared" si="21"/>
        <v>59.9</v>
      </c>
      <c r="L249" s="12" t="s">
        <v>38</v>
      </c>
      <c r="M249" s="28">
        <v>0.1</v>
      </c>
      <c r="N249">
        <v>2.5</v>
      </c>
      <c r="O249">
        <f t="shared" si="24"/>
        <v>-2.4</v>
      </c>
      <c r="Q249">
        <v>193</v>
      </c>
      <c r="R249">
        <v>1.1499999999999999</v>
      </c>
      <c r="S249">
        <f t="shared" si="25"/>
        <v>2.875</v>
      </c>
      <c r="T249">
        <f t="shared" si="26"/>
        <v>-2.7749999999999999</v>
      </c>
      <c r="U249" s="28">
        <f t="shared" si="22"/>
        <v>129.75663934426245</v>
      </c>
      <c r="V249" s="21" t="s">
        <v>45</v>
      </c>
      <c r="W249">
        <v>1628.6</v>
      </c>
      <c r="X249">
        <f t="shared" si="23"/>
        <v>6015.7000000000007</v>
      </c>
      <c r="Y249">
        <v>12.717470968803998</v>
      </c>
      <c r="Z249" s="21" t="s">
        <v>50</v>
      </c>
    </row>
    <row r="250" spans="1:27" x14ac:dyDescent="0.35">
      <c r="A250">
        <v>2920</v>
      </c>
      <c r="B250">
        <v>23610</v>
      </c>
      <c r="C250" s="1">
        <v>42829</v>
      </c>
      <c r="F250" s="34"/>
      <c r="G250">
        <v>10.199999999999999</v>
      </c>
      <c r="H250">
        <v>8.1</v>
      </c>
      <c r="I250">
        <v>12.1</v>
      </c>
      <c r="J250">
        <f t="shared" si="20"/>
        <v>1541.1000000000001</v>
      </c>
      <c r="K250">
        <f t="shared" si="21"/>
        <v>70.099999999999994</v>
      </c>
      <c r="L250" s="8">
        <f>MIN(H245:H265)</f>
        <v>2.4</v>
      </c>
      <c r="M250" s="28">
        <v>0.7</v>
      </c>
      <c r="N250">
        <v>1</v>
      </c>
      <c r="O250">
        <f t="shared" si="24"/>
        <v>-0.30000000000000004</v>
      </c>
      <c r="Q250">
        <v>194</v>
      </c>
      <c r="R250">
        <v>1.1499999999999999</v>
      </c>
      <c r="S250">
        <f t="shared" si="25"/>
        <v>1.1499999999999999</v>
      </c>
      <c r="T250">
        <f t="shared" si="26"/>
        <v>-0.44999999999999996</v>
      </c>
      <c r="U250" s="28">
        <f t="shared" si="22"/>
        <v>129.30663934426246</v>
      </c>
      <c r="V250" s="17">
        <f>MIN(U245:U265)</f>
        <v>89.556639344262479</v>
      </c>
      <c r="W250">
        <v>478.6</v>
      </c>
      <c r="X250">
        <f t="shared" si="23"/>
        <v>6494.3000000000011</v>
      </c>
      <c r="Y250">
        <v>12.776807398355439</v>
      </c>
      <c r="Z250">
        <v>5</v>
      </c>
    </row>
    <row r="251" spans="1:27" x14ac:dyDescent="0.35">
      <c r="A251">
        <v>2920</v>
      </c>
      <c r="B251">
        <v>23610</v>
      </c>
      <c r="C251" s="1">
        <v>42830</v>
      </c>
      <c r="F251" s="34"/>
      <c r="G251">
        <v>11.1</v>
      </c>
      <c r="H251">
        <v>9.1</v>
      </c>
      <c r="I251">
        <v>15.5</v>
      </c>
      <c r="J251">
        <f t="shared" ref="J251:J314" si="27">J250+G251</f>
        <v>1552.2</v>
      </c>
      <c r="K251">
        <f t="shared" ref="K251:K314" si="28">K250+G251</f>
        <v>81.199999999999989</v>
      </c>
      <c r="L251" s="12" t="s">
        <v>39</v>
      </c>
      <c r="M251" s="28">
        <v>0</v>
      </c>
      <c r="N251">
        <v>2.2000000000000002</v>
      </c>
      <c r="O251">
        <f t="shared" si="24"/>
        <v>-2.2000000000000002</v>
      </c>
      <c r="Q251">
        <v>195</v>
      </c>
      <c r="R251">
        <v>1.1499999999999999</v>
      </c>
      <c r="S251">
        <f t="shared" si="25"/>
        <v>2.5299999999999998</v>
      </c>
      <c r="T251">
        <f t="shared" si="26"/>
        <v>-2.5299999999999998</v>
      </c>
      <c r="U251" s="28">
        <f t="shared" ref="U251:U314" si="29">MIN(U250+T251,197.4)</f>
        <v>126.77663934426246</v>
      </c>
      <c r="V251" s="21" t="s">
        <v>46</v>
      </c>
      <c r="W251">
        <v>1230.0999999999999</v>
      </c>
      <c r="X251">
        <f t="shared" si="23"/>
        <v>7724.4000000000015</v>
      </c>
      <c r="Y251">
        <v>12.836032673671708</v>
      </c>
    </row>
    <row r="252" spans="1:27" x14ac:dyDescent="0.35">
      <c r="A252">
        <v>2920</v>
      </c>
      <c r="B252">
        <v>23610</v>
      </c>
      <c r="C252" s="1">
        <v>42831</v>
      </c>
      <c r="F252" s="34"/>
      <c r="G252">
        <v>9.1999999999999993</v>
      </c>
      <c r="H252">
        <v>2.6</v>
      </c>
      <c r="I252">
        <v>15.1</v>
      </c>
      <c r="J252">
        <f t="shared" si="27"/>
        <v>1561.4</v>
      </c>
      <c r="K252">
        <f t="shared" si="28"/>
        <v>90.399999999999991</v>
      </c>
      <c r="L252" s="8">
        <f>MAX(I245:I265)</f>
        <v>23.8</v>
      </c>
      <c r="M252" s="28">
        <v>0</v>
      </c>
      <c r="N252">
        <v>2</v>
      </c>
      <c r="O252">
        <f t="shared" si="24"/>
        <v>-2</v>
      </c>
      <c r="Q252">
        <v>196</v>
      </c>
      <c r="R252">
        <v>1.1499999999999999</v>
      </c>
      <c r="S252">
        <f t="shared" si="25"/>
        <v>2.2999999999999998</v>
      </c>
      <c r="T252">
        <f t="shared" si="26"/>
        <v>-2.2999999999999998</v>
      </c>
      <c r="U252" s="28">
        <f t="shared" si="29"/>
        <v>124.47663934426247</v>
      </c>
      <c r="V252" s="17">
        <f>MAX(U245:U265)</f>
        <v>134.38663934426245</v>
      </c>
      <c r="W252">
        <v>1217.9000000000001</v>
      </c>
      <c r="X252">
        <f t="shared" ref="X252:X315" si="30">X251+W252</f>
        <v>8942.3000000000011</v>
      </c>
      <c r="Y252">
        <v>12.895137295576747</v>
      </c>
    </row>
    <row r="253" spans="1:27" x14ac:dyDescent="0.35">
      <c r="A253">
        <v>2920</v>
      </c>
      <c r="B253">
        <v>23610</v>
      </c>
      <c r="C253" s="1">
        <v>42832</v>
      </c>
      <c r="F253" s="34"/>
      <c r="G253">
        <v>10.8</v>
      </c>
      <c r="H253">
        <v>2.9</v>
      </c>
      <c r="I253">
        <v>17.3</v>
      </c>
      <c r="J253">
        <f t="shared" si="27"/>
        <v>1572.2</v>
      </c>
      <c r="K253">
        <f t="shared" si="28"/>
        <v>101.19999999999999</v>
      </c>
      <c r="L253" s="12" t="s">
        <v>40</v>
      </c>
      <c r="M253">
        <v>0</v>
      </c>
      <c r="N253">
        <v>3</v>
      </c>
      <c r="O253">
        <f t="shared" si="24"/>
        <v>-3</v>
      </c>
      <c r="Q253">
        <v>197</v>
      </c>
      <c r="R253">
        <v>1.1499999999999999</v>
      </c>
      <c r="S253">
        <f t="shared" si="25"/>
        <v>3.4499999999999997</v>
      </c>
      <c r="T253">
        <f t="shared" si="26"/>
        <v>-3.4499999999999997</v>
      </c>
      <c r="U253">
        <f t="shared" si="29"/>
        <v>121.02663934426246</v>
      </c>
      <c r="V253" s="21" t="s">
        <v>47</v>
      </c>
      <c r="W253">
        <v>2255</v>
      </c>
      <c r="X253">
        <f t="shared" si="30"/>
        <v>11197.300000000001</v>
      </c>
      <c r="Y253">
        <v>12.954111556311608</v>
      </c>
    </row>
    <row r="254" spans="1:27" x14ac:dyDescent="0.35">
      <c r="A254">
        <v>2920</v>
      </c>
      <c r="B254">
        <v>23610</v>
      </c>
      <c r="C254" s="1">
        <v>42833</v>
      </c>
      <c r="F254" s="34"/>
      <c r="G254">
        <v>13.9</v>
      </c>
      <c r="H254">
        <v>4.7</v>
      </c>
      <c r="I254">
        <v>20.6</v>
      </c>
      <c r="J254">
        <f t="shared" si="27"/>
        <v>1586.1000000000001</v>
      </c>
      <c r="K254">
        <f t="shared" si="28"/>
        <v>115.1</v>
      </c>
      <c r="L254" s="8">
        <v>0</v>
      </c>
      <c r="M254">
        <v>0</v>
      </c>
      <c r="N254">
        <v>3.4</v>
      </c>
      <c r="O254">
        <f t="shared" si="24"/>
        <v>-3.4</v>
      </c>
      <c r="Q254">
        <v>198</v>
      </c>
      <c r="R254">
        <v>1.1499999999999999</v>
      </c>
      <c r="S254">
        <f t="shared" si="25"/>
        <v>3.9099999999999997</v>
      </c>
      <c r="T254">
        <f t="shared" si="26"/>
        <v>-3.9099999999999997</v>
      </c>
      <c r="U254">
        <f t="shared" si="29"/>
        <v>117.11663934426247</v>
      </c>
      <c r="V254" s="17">
        <f>AVERAGE(U245:U265)</f>
        <v>113.56021077283387</v>
      </c>
      <c r="W254">
        <v>2293.4</v>
      </c>
      <c r="X254">
        <f t="shared" si="30"/>
        <v>13490.7</v>
      </c>
      <c r="Y254">
        <v>13.012945525505742</v>
      </c>
    </row>
    <row r="255" spans="1:27" x14ac:dyDescent="0.35">
      <c r="A255">
        <v>2920</v>
      </c>
      <c r="B255">
        <v>23610</v>
      </c>
      <c r="C255" s="1">
        <v>42834</v>
      </c>
      <c r="F255" s="34"/>
      <c r="G255">
        <v>14.2</v>
      </c>
      <c r="H255">
        <v>8</v>
      </c>
      <c r="I255">
        <v>23.8</v>
      </c>
      <c r="J255">
        <f t="shared" si="27"/>
        <v>1600.3000000000002</v>
      </c>
      <c r="K255">
        <f t="shared" si="28"/>
        <v>129.29999999999998</v>
      </c>
      <c r="L255" s="12" t="s">
        <v>41</v>
      </c>
      <c r="M255">
        <v>0.1</v>
      </c>
      <c r="N255">
        <v>4.2</v>
      </c>
      <c r="O255">
        <f t="shared" si="24"/>
        <v>-4.1000000000000005</v>
      </c>
      <c r="Q255">
        <v>199</v>
      </c>
      <c r="R255">
        <v>1.1499999999999999</v>
      </c>
      <c r="S255">
        <f t="shared" si="25"/>
        <v>4.83</v>
      </c>
      <c r="T255">
        <f t="shared" si="26"/>
        <v>-4.7300000000000004</v>
      </c>
      <c r="U255">
        <f t="shared" si="29"/>
        <v>112.38663934426246</v>
      </c>
      <c r="W255">
        <v>2316.1999999999998</v>
      </c>
      <c r="X255">
        <f t="shared" si="30"/>
        <v>15806.900000000001</v>
      </c>
      <c r="Y255">
        <v>13.071629036356406</v>
      </c>
    </row>
    <row r="256" spans="1:27" x14ac:dyDescent="0.35">
      <c r="A256">
        <v>2920</v>
      </c>
      <c r="B256">
        <v>23610</v>
      </c>
      <c r="C256" s="1">
        <v>42835</v>
      </c>
      <c r="F256" s="34"/>
      <c r="G256">
        <v>10.1</v>
      </c>
      <c r="H256">
        <v>6.1</v>
      </c>
      <c r="I256">
        <v>16.600000000000001</v>
      </c>
      <c r="J256">
        <f t="shared" si="27"/>
        <v>1610.4</v>
      </c>
      <c r="K256">
        <f t="shared" si="28"/>
        <v>139.39999999999998</v>
      </c>
      <c r="L256" s="8">
        <v>9</v>
      </c>
      <c r="M256">
        <v>0</v>
      </c>
      <c r="N256">
        <v>2.2999999999999998</v>
      </c>
      <c r="O256">
        <f t="shared" si="24"/>
        <v>-2.2999999999999998</v>
      </c>
      <c r="Q256">
        <v>200</v>
      </c>
      <c r="R256">
        <v>1.1499999999999999</v>
      </c>
      <c r="S256">
        <f t="shared" si="25"/>
        <v>2.6449999999999996</v>
      </c>
      <c r="T256">
        <f t="shared" si="26"/>
        <v>-2.6449999999999996</v>
      </c>
      <c r="U256">
        <f t="shared" si="29"/>
        <v>109.74163934426247</v>
      </c>
      <c r="V256" s="18">
        <f>(V254*100)/197.4</f>
        <v>57.527968983198512</v>
      </c>
      <c r="W256">
        <v>1284.9000000000001</v>
      </c>
      <c r="X256">
        <f t="shared" si="30"/>
        <v>17091.800000000003</v>
      </c>
      <c r="Y256">
        <v>13.130151672039412</v>
      </c>
    </row>
    <row r="257" spans="1:26" x14ac:dyDescent="0.35">
      <c r="A257">
        <v>2920</v>
      </c>
      <c r="B257">
        <v>23610</v>
      </c>
      <c r="C257" s="1">
        <v>42836</v>
      </c>
      <c r="F257" s="34"/>
      <c r="G257">
        <v>9.4</v>
      </c>
      <c r="H257">
        <v>3.3</v>
      </c>
      <c r="I257">
        <v>15.2</v>
      </c>
      <c r="J257">
        <f t="shared" si="27"/>
        <v>1619.8000000000002</v>
      </c>
      <c r="K257">
        <f t="shared" si="28"/>
        <v>148.79999999999998</v>
      </c>
      <c r="L257" s="12" t="s">
        <v>42</v>
      </c>
      <c r="M257">
        <v>0</v>
      </c>
      <c r="N257">
        <v>3.1</v>
      </c>
      <c r="O257">
        <f t="shared" si="24"/>
        <v>-3.1</v>
      </c>
      <c r="Q257">
        <v>201</v>
      </c>
      <c r="R257">
        <v>1.1499999999999999</v>
      </c>
      <c r="S257">
        <f t="shared" si="25"/>
        <v>3.5649999999999999</v>
      </c>
      <c r="T257">
        <f t="shared" si="26"/>
        <v>-3.5649999999999999</v>
      </c>
      <c r="U257">
        <f t="shared" si="29"/>
        <v>106.17663934426247</v>
      </c>
      <c r="W257">
        <v>2088.6999999999998</v>
      </c>
      <c r="X257">
        <f t="shared" si="30"/>
        <v>19180.500000000004</v>
      </c>
      <c r="Y257">
        <v>13.188502752376252</v>
      </c>
    </row>
    <row r="258" spans="1:26" x14ac:dyDescent="0.35">
      <c r="A258">
        <v>2920</v>
      </c>
      <c r="B258">
        <v>23610</v>
      </c>
      <c r="C258" s="1">
        <v>42837</v>
      </c>
      <c r="F258" s="34"/>
      <c r="G258">
        <v>8.9</v>
      </c>
      <c r="H258">
        <v>2.9</v>
      </c>
      <c r="I258">
        <v>16</v>
      </c>
      <c r="J258">
        <f t="shared" si="27"/>
        <v>1628.7000000000003</v>
      </c>
      <c r="K258">
        <f t="shared" si="28"/>
        <v>157.69999999999999</v>
      </c>
      <c r="L258" s="8">
        <v>0</v>
      </c>
      <c r="M258">
        <v>0</v>
      </c>
      <c r="N258">
        <v>3.2</v>
      </c>
      <c r="O258">
        <f t="shared" si="24"/>
        <v>-3.2</v>
      </c>
      <c r="Q258">
        <v>202</v>
      </c>
      <c r="R258">
        <v>1.1499999999999999</v>
      </c>
      <c r="S258">
        <f t="shared" si="25"/>
        <v>3.6799999999999997</v>
      </c>
      <c r="T258">
        <f t="shared" si="26"/>
        <v>-3.6799999999999997</v>
      </c>
      <c r="U258">
        <f t="shared" si="29"/>
        <v>102.49663934426246</v>
      </c>
      <c r="W258">
        <v>2290.9</v>
      </c>
      <c r="X258">
        <f t="shared" si="30"/>
        <v>21471.400000000005</v>
      </c>
      <c r="Y258">
        <v>13.246671320784426</v>
      </c>
    </row>
    <row r="259" spans="1:26" x14ac:dyDescent="0.35">
      <c r="A259">
        <v>2920</v>
      </c>
      <c r="B259">
        <v>23610</v>
      </c>
      <c r="C259" s="1">
        <v>42838</v>
      </c>
      <c r="F259" s="34"/>
      <c r="G259">
        <v>8.8000000000000007</v>
      </c>
      <c r="H259">
        <v>5.2</v>
      </c>
      <c r="I259">
        <v>12.6</v>
      </c>
      <c r="J259">
        <f t="shared" si="27"/>
        <v>1637.5000000000002</v>
      </c>
      <c r="K259">
        <f t="shared" si="28"/>
        <v>166.5</v>
      </c>
      <c r="M259">
        <v>0.1</v>
      </c>
      <c r="N259">
        <v>1</v>
      </c>
      <c r="O259">
        <f t="shared" si="24"/>
        <v>-0.9</v>
      </c>
      <c r="Q259">
        <v>203</v>
      </c>
      <c r="R259">
        <v>1.1499999999999999</v>
      </c>
      <c r="S259">
        <f t="shared" si="25"/>
        <v>1.1499999999999999</v>
      </c>
      <c r="T259">
        <f t="shared" si="26"/>
        <v>-1.0499999999999998</v>
      </c>
      <c r="U259">
        <f t="shared" si="29"/>
        <v>101.44663934426246</v>
      </c>
      <c r="W259">
        <v>556</v>
      </c>
      <c r="X259">
        <f t="shared" si="30"/>
        <v>22027.400000000005</v>
      </c>
      <c r="Y259">
        <v>13.304646131539867</v>
      </c>
    </row>
    <row r="260" spans="1:26" x14ac:dyDescent="0.35">
      <c r="A260">
        <v>2920</v>
      </c>
      <c r="B260">
        <v>23610</v>
      </c>
      <c r="C260" s="1">
        <v>42839</v>
      </c>
      <c r="F260" s="34"/>
      <c r="G260">
        <v>8.5</v>
      </c>
      <c r="H260">
        <v>4.3</v>
      </c>
      <c r="I260">
        <v>11.4</v>
      </c>
      <c r="J260">
        <f t="shared" si="27"/>
        <v>1646.0000000000002</v>
      </c>
      <c r="K260">
        <f t="shared" si="28"/>
        <v>175</v>
      </c>
      <c r="M260">
        <v>0</v>
      </c>
      <c r="N260">
        <v>0.8</v>
      </c>
      <c r="O260">
        <f t="shared" si="24"/>
        <v>-0.8</v>
      </c>
      <c r="Q260">
        <v>204</v>
      </c>
      <c r="R260">
        <v>1.1499999999999999</v>
      </c>
      <c r="S260">
        <f t="shared" si="25"/>
        <v>0.91999999999999993</v>
      </c>
      <c r="T260">
        <f t="shared" si="26"/>
        <v>-0.91999999999999993</v>
      </c>
      <c r="U260">
        <f t="shared" si="29"/>
        <v>100.52663934426246</v>
      </c>
      <c r="W260">
        <v>650.70000000000005</v>
      </c>
      <c r="X260">
        <f t="shared" si="30"/>
        <v>22678.100000000006</v>
      </c>
      <c r="Y260">
        <v>13.362415637382384</v>
      </c>
    </row>
    <row r="261" spans="1:26" x14ac:dyDescent="0.35">
      <c r="A261">
        <v>2920</v>
      </c>
      <c r="B261">
        <v>23610</v>
      </c>
      <c r="C261" s="1">
        <v>42840</v>
      </c>
      <c r="F261" s="34"/>
      <c r="G261">
        <v>10.8</v>
      </c>
      <c r="H261">
        <v>8.6</v>
      </c>
      <c r="I261">
        <v>14.8</v>
      </c>
      <c r="J261">
        <f t="shared" si="27"/>
        <v>1656.8000000000002</v>
      </c>
      <c r="K261">
        <f t="shared" si="28"/>
        <v>185.8</v>
      </c>
      <c r="M261">
        <v>0.3</v>
      </c>
      <c r="N261">
        <v>1.2</v>
      </c>
      <c r="O261">
        <f t="shared" si="24"/>
        <v>-0.89999999999999991</v>
      </c>
      <c r="Q261">
        <v>205</v>
      </c>
      <c r="R261">
        <v>1.1499999999999999</v>
      </c>
      <c r="S261">
        <f t="shared" si="25"/>
        <v>1.38</v>
      </c>
      <c r="T261">
        <f t="shared" si="26"/>
        <v>-1.0799999999999998</v>
      </c>
      <c r="U261">
        <f t="shared" si="29"/>
        <v>99.446639344262465</v>
      </c>
      <c r="W261">
        <v>724.5</v>
      </c>
      <c r="X261">
        <f t="shared" si="30"/>
        <v>23402.600000000006</v>
      </c>
      <c r="Y261">
        <v>13.419967977497169</v>
      </c>
    </row>
    <row r="262" spans="1:26" x14ac:dyDescent="0.35">
      <c r="A262">
        <v>2920</v>
      </c>
      <c r="B262">
        <v>23610</v>
      </c>
      <c r="C262" s="1">
        <v>42841</v>
      </c>
      <c r="F262" s="34"/>
      <c r="G262">
        <v>10</v>
      </c>
      <c r="H262">
        <v>6.9</v>
      </c>
      <c r="I262">
        <v>14</v>
      </c>
      <c r="J262">
        <f t="shared" si="27"/>
        <v>1666.8000000000002</v>
      </c>
      <c r="K262">
        <f t="shared" si="28"/>
        <v>195.8</v>
      </c>
      <c r="M262">
        <v>0</v>
      </c>
      <c r="N262">
        <v>1.8</v>
      </c>
      <c r="O262">
        <f t="shared" ref="O262:O325" si="31">M262-N262</f>
        <v>-1.8</v>
      </c>
      <c r="Q262">
        <v>206</v>
      </c>
      <c r="R262">
        <v>1.1499999999999999</v>
      </c>
      <c r="S262">
        <f t="shared" ref="S262:S325" si="32">R262*N262</f>
        <v>2.0699999999999998</v>
      </c>
      <c r="T262">
        <f t="shared" ref="T262:T325" si="33">M262-S262</f>
        <v>-2.0699999999999998</v>
      </c>
      <c r="U262">
        <f t="shared" si="29"/>
        <v>97.376639344262472</v>
      </c>
      <c r="W262">
        <v>1047.4000000000001</v>
      </c>
      <c r="X262">
        <f t="shared" si="30"/>
        <v>24450.000000000007</v>
      </c>
      <c r="Y262">
        <v>13.477290965907706</v>
      </c>
    </row>
    <row r="263" spans="1:26" x14ac:dyDescent="0.35">
      <c r="A263">
        <v>2920</v>
      </c>
      <c r="B263">
        <v>23610</v>
      </c>
      <c r="C263" s="1">
        <v>42842</v>
      </c>
      <c r="F263" s="34"/>
      <c r="G263">
        <v>9.4</v>
      </c>
      <c r="H263">
        <v>4.9000000000000004</v>
      </c>
      <c r="I263">
        <v>14.3</v>
      </c>
      <c r="J263">
        <f t="shared" si="27"/>
        <v>1676.2000000000003</v>
      </c>
      <c r="K263">
        <f t="shared" si="28"/>
        <v>205.20000000000002</v>
      </c>
      <c r="M263">
        <v>0</v>
      </c>
      <c r="N263">
        <v>1.8</v>
      </c>
      <c r="O263">
        <f t="shared" si="31"/>
        <v>-1.8</v>
      </c>
      <c r="Q263">
        <v>207</v>
      </c>
      <c r="R263">
        <v>1.1499999999999999</v>
      </c>
      <c r="S263">
        <f t="shared" si="32"/>
        <v>2.0699999999999998</v>
      </c>
      <c r="T263">
        <f t="shared" si="33"/>
        <v>-2.0699999999999998</v>
      </c>
      <c r="U263">
        <f t="shared" si="29"/>
        <v>95.306639344262479</v>
      </c>
      <c r="W263">
        <v>1245.0999999999999</v>
      </c>
      <c r="X263">
        <f t="shared" si="30"/>
        <v>25695.100000000006</v>
      </c>
      <c r="Y263">
        <v>13.534372080317652</v>
      </c>
    </row>
    <row r="264" spans="1:26" ht="15" thickBot="1" x14ac:dyDescent="0.4">
      <c r="A264">
        <v>2920</v>
      </c>
      <c r="B264">
        <v>23610</v>
      </c>
      <c r="C264" s="1">
        <v>42843</v>
      </c>
      <c r="F264" s="34"/>
      <c r="G264">
        <v>8.1999999999999993</v>
      </c>
      <c r="H264">
        <v>2.4</v>
      </c>
      <c r="I264">
        <v>14</v>
      </c>
      <c r="J264">
        <f t="shared" si="27"/>
        <v>1684.4000000000003</v>
      </c>
      <c r="K264">
        <f t="shared" si="28"/>
        <v>213.4</v>
      </c>
      <c r="M264">
        <v>0</v>
      </c>
      <c r="N264">
        <v>2.8</v>
      </c>
      <c r="O264">
        <f t="shared" si="31"/>
        <v>-2.8</v>
      </c>
      <c r="Q264">
        <v>208</v>
      </c>
      <c r="R264">
        <v>1.1499999999999999</v>
      </c>
      <c r="S264">
        <f t="shared" si="32"/>
        <v>3.2199999999999998</v>
      </c>
      <c r="T264">
        <f t="shared" si="33"/>
        <v>-3.2199999999999998</v>
      </c>
      <c r="U264">
        <f t="shared" si="29"/>
        <v>92.08663934426248</v>
      </c>
      <c r="W264">
        <v>2043.7</v>
      </c>
      <c r="X264">
        <f t="shared" si="30"/>
        <v>27738.800000000007</v>
      </c>
      <c r="Y264" s="4">
        <v>13.591198451441665</v>
      </c>
    </row>
    <row r="265" spans="1:26" s="4" customFormat="1" ht="15" thickBot="1" x14ac:dyDescent="0.4">
      <c r="A265" s="4">
        <v>2920</v>
      </c>
      <c r="B265" s="4">
        <v>23610</v>
      </c>
      <c r="C265" s="5">
        <v>42844</v>
      </c>
      <c r="D265" s="4" t="s">
        <v>30</v>
      </c>
      <c r="F265" s="35"/>
      <c r="G265" s="4">
        <v>8.1</v>
      </c>
      <c r="H265" s="4">
        <v>2.9</v>
      </c>
      <c r="I265" s="4">
        <v>12.4</v>
      </c>
      <c r="J265" s="4">
        <f t="shared" si="27"/>
        <v>1692.5000000000002</v>
      </c>
      <c r="K265" s="4">
        <f t="shared" si="28"/>
        <v>221.5</v>
      </c>
      <c r="M265" s="4">
        <v>0</v>
      </c>
      <c r="N265" s="4">
        <v>2.2000000000000002</v>
      </c>
      <c r="O265" s="4">
        <f t="shared" si="31"/>
        <v>-2.2000000000000002</v>
      </c>
      <c r="Q265" s="4">
        <v>209</v>
      </c>
      <c r="R265" s="4">
        <v>1.1499999999999999</v>
      </c>
      <c r="S265" s="4">
        <f t="shared" si="32"/>
        <v>2.5299999999999998</v>
      </c>
      <c r="T265" s="4">
        <f t="shared" si="33"/>
        <v>-2.5299999999999998</v>
      </c>
      <c r="U265" s="4">
        <f t="shared" si="29"/>
        <v>89.556639344262479</v>
      </c>
      <c r="W265" s="4">
        <v>1369.8</v>
      </c>
      <c r="X265" s="4">
        <f>X264+W265</f>
        <v>29108.600000000006</v>
      </c>
      <c r="Y265">
        <v>13.647756852867508</v>
      </c>
    </row>
    <row r="266" spans="1:26" x14ac:dyDescent="0.35">
      <c r="A266">
        <v>2920</v>
      </c>
      <c r="B266">
        <v>23610</v>
      </c>
      <c r="C266" s="1">
        <v>42845</v>
      </c>
      <c r="F266" s="36" t="s">
        <v>56</v>
      </c>
      <c r="G266">
        <v>8.1</v>
      </c>
      <c r="H266">
        <v>1.8</v>
      </c>
      <c r="I266">
        <v>13.1</v>
      </c>
      <c r="J266">
        <f t="shared" si="27"/>
        <v>1700.6000000000001</v>
      </c>
      <c r="K266">
        <f>G266</f>
        <v>8.1</v>
      </c>
      <c r="L266" s="13" t="s">
        <v>36</v>
      </c>
      <c r="M266">
        <v>0</v>
      </c>
      <c r="N266">
        <v>3.6</v>
      </c>
      <c r="O266">
        <f t="shared" si="31"/>
        <v>-3.6</v>
      </c>
      <c r="Q266">
        <v>210</v>
      </c>
      <c r="R266">
        <v>1.1499999999999999</v>
      </c>
      <c r="S266">
        <f t="shared" si="32"/>
        <v>4.1399999999999997</v>
      </c>
      <c r="T266">
        <f t="shared" si="33"/>
        <v>-4.1399999999999997</v>
      </c>
      <c r="U266">
        <f t="shared" si="29"/>
        <v>85.416639344262478</v>
      </c>
      <c r="V266" s="20" t="s">
        <v>43</v>
      </c>
      <c r="W266">
        <v>2678.1</v>
      </c>
      <c r="X266">
        <f>W266</f>
        <v>2678.1</v>
      </c>
      <c r="Y266">
        <v>13.704033691494255</v>
      </c>
      <c r="Z266" s="20" t="s">
        <v>48</v>
      </c>
    </row>
    <row r="267" spans="1:26" x14ac:dyDescent="0.35">
      <c r="A267">
        <v>2920</v>
      </c>
      <c r="B267">
        <v>23610</v>
      </c>
      <c r="C267" s="1">
        <v>42846</v>
      </c>
      <c r="F267" s="37"/>
      <c r="G267">
        <v>9.9</v>
      </c>
      <c r="H267">
        <v>1.3</v>
      </c>
      <c r="I267">
        <v>16.3</v>
      </c>
      <c r="J267">
        <f t="shared" si="27"/>
        <v>1710.5000000000002</v>
      </c>
      <c r="K267">
        <f t="shared" si="28"/>
        <v>18</v>
      </c>
      <c r="L267" s="8">
        <v>312.60000000000002</v>
      </c>
      <c r="M267">
        <v>0</v>
      </c>
      <c r="N267">
        <v>3.7</v>
      </c>
      <c r="O267">
        <f t="shared" si="31"/>
        <v>-3.7</v>
      </c>
      <c r="Q267">
        <v>211</v>
      </c>
      <c r="R267">
        <v>1.1499999999999999</v>
      </c>
      <c r="S267">
        <f t="shared" si="32"/>
        <v>4.2549999999999999</v>
      </c>
      <c r="T267">
        <f t="shared" si="33"/>
        <v>-4.2549999999999999</v>
      </c>
      <c r="U267">
        <f t="shared" si="29"/>
        <v>81.161639344262483</v>
      </c>
      <c r="V267">
        <v>0</v>
      </c>
      <c r="W267">
        <v>2606.1999999999998</v>
      </c>
      <c r="X267">
        <f t="shared" si="30"/>
        <v>5284.2999999999993</v>
      </c>
      <c r="Y267">
        <v>13.760014998593816</v>
      </c>
      <c r="Z267">
        <v>44589.599999999999</v>
      </c>
    </row>
    <row r="268" spans="1:26" x14ac:dyDescent="0.35">
      <c r="A268">
        <v>2920</v>
      </c>
      <c r="B268">
        <v>23610</v>
      </c>
      <c r="C268" s="1">
        <v>42847</v>
      </c>
      <c r="F268" s="37"/>
      <c r="G268">
        <v>11.3</v>
      </c>
      <c r="H268">
        <v>4.2</v>
      </c>
      <c r="I268">
        <v>18.2</v>
      </c>
      <c r="J268">
        <f t="shared" si="27"/>
        <v>1721.8000000000002</v>
      </c>
      <c r="K268">
        <f t="shared" si="28"/>
        <v>29.3</v>
      </c>
      <c r="L268" s="13" t="s">
        <v>37</v>
      </c>
      <c r="M268">
        <v>0</v>
      </c>
      <c r="N268">
        <v>3.8</v>
      </c>
      <c r="O268">
        <f t="shared" si="31"/>
        <v>-3.8</v>
      </c>
      <c r="Q268">
        <v>212</v>
      </c>
      <c r="R268">
        <v>1.1499999999999999</v>
      </c>
      <c r="S268">
        <f t="shared" si="32"/>
        <v>4.3699999999999992</v>
      </c>
      <c r="T268">
        <f t="shared" si="33"/>
        <v>-4.3699999999999992</v>
      </c>
      <c r="U268">
        <f t="shared" si="29"/>
        <v>76.791639344262478</v>
      </c>
      <c r="V268" s="20" t="s">
        <v>44</v>
      </c>
      <c r="W268">
        <v>2565.1</v>
      </c>
      <c r="X268">
        <f t="shared" si="30"/>
        <v>7849.4</v>
      </c>
      <c r="Y268">
        <v>13.81568642154552</v>
      </c>
      <c r="Z268" s="20" t="s">
        <v>49</v>
      </c>
    </row>
    <row r="269" spans="1:26" x14ac:dyDescent="0.35">
      <c r="A269">
        <v>2920</v>
      </c>
      <c r="B269">
        <v>23610</v>
      </c>
      <c r="C269" s="1">
        <v>42848</v>
      </c>
      <c r="F269" s="37"/>
      <c r="G269">
        <v>11.4</v>
      </c>
      <c r="H269">
        <v>6.5</v>
      </c>
      <c r="I269">
        <v>16</v>
      </c>
      <c r="J269">
        <f t="shared" si="27"/>
        <v>1733.2000000000003</v>
      </c>
      <c r="K269">
        <f t="shared" si="28"/>
        <v>40.700000000000003</v>
      </c>
      <c r="L269" s="9">
        <f>AVERAGE(G266:G292)</f>
        <v>11.577777777777779</v>
      </c>
      <c r="M269">
        <v>0</v>
      </c>
      <c r="N269">
        <v>4</v>
      </c>
      <c r="O269">
        <f t="shared" si="31"/>
        <v>-4</v>
      </c>
      <c r="Q269">
        <v>213</v>
      </c>
      <c r="R269">
        <v>1.1499999999999999</v>
      </c>
      <c r="S269">
        <f t="shared" si="32"/>
        <v>4.5999999999999996</v>
      </c>
      <c r="T269">
        <f t="shared" si="33"/>
        <v>-4.5999999999999996</v>
      </c>
      <c r="U269">
        <f t="shared" si="29"/>
        <v>72.191639344262484</v>
      </c>
      <c r="V269">
        <v>2</v>
      </c>
      <c r="W269">
        <v>2637.4</v>
      </c>
      <c r="X269">
        <f t="shared" si="30"/>
        <v>10486.8</v>
      </c>
      <c r="Y269">
        <v>13.871033216295899</v>
      </c>
      <c r="Z269">
        <f>(Z267/100)/L267</f>
        <v>1.4264107485604605</v>
      </c>
    </row>
    <row r="270" spans="1:26" x14ac:dyDescent="0.35">
      <c r="A270">
        <v>2920</v>
      </c>
      <c r="B270">
        <v>23610</v>
      </c>
      <c r="C270" s="1">
        <v>42849</v>
      </c>
      <c r="F270" s="37"/>
      <c r="G270">
        <v>10.3</v>
      </c>
      <c r="H270">
        <v>3.8</v>
      </c>
      <c r="I270">
        <v>16.3</v>
      </c>
      <c r="J270">
        <f t="shared" si="27"/>
        <v>1743.5000000000002</v>
      </c>
      <c r="K270">
        <f t="shared" si="28"/>
        <v>51</v>
      </c>
      <c r="L270" s="13" t="s">
        <v>38</v>
      </c>
      <c r="M270">
        <v>1.2</v>
      </c>
      <c r="N270">
        <v>3.2</v>
      </c>
      <c r="O270">
        <f t="shared" si="31"/>
        <v>-2</v>
      </c>
      <c r="Q270">
        <v>214</v>
      </c>
      <c r="R270">
        <v>1.1499999999999999</v>
      </c>
      <c r="S270">
        <f t="shared" si="32"/>
        <v>3.6799999999999997</v>
      </c>
      <c r="T270">
        <f t="shared" si="33"/>
        <v>-2.4799999999999995</v>
      </c>
      <c r="U270">
        <f t="shared" si="29"/>
        <v>69.71163934426248</v>
      </c>
      <c r="V270" s="20" t="s">
        <v>45</v>
      </c>
      <c r="W270">
        <v>2200.4</v>
      </c>
      <c r="X270">
        <f t="shared" si="30"/>
        <v>12687.199999999999</v>
      </c>
      <c r="Y270">
        <v>13.926040240598248</v>
      </c>
      <c r="Z270" s="20" t="s">
        <v>50</v>
      </c>
    </row>
    <row r="271" spans="1:26" x14ac:dyDescent="0.35">
      <c r="A271">
        <v>2920</v>
      </c>
      <c r="B271">
        <v>23610</v>
      </c>
      <c r="C271" s="1">
        <v>42850</v>
      </c>
      <c r="F271" s="37"/>
      <c r="G271">
        <v>7</v>
      </c>
      <c r="H271">
        <v>6</v>
      </c>
      <c r="I271">
        <v>9.5</v>
      </c>
      <c r="J271">
        <f t="shared" si="27"/>
        <v>1750.5000000000002</v>
      </c>
      <c r="K271">
        <f t="shared" si="28"/>
        <v>58</v>
      </c>
      <c r="L271" s="8">
        <f>MIN(H266:H292)</f>
        <v>0.1</v>
      </c>
      <c r="M271">
        <v>0.2</v>
      </c>
      <c r="N271">
        <v>1.4</v>
      </c>
      <c r="O271">
        <f t="shared" si="31"/>
        <v>-1.2</v>
      </c>
      <c r="Q271">
        <v>215</v>
      </c>
      <c r="R271">
        <v>1.1499999999999999</v>
      </c>
      <c r="S271">
        <f t="shared" si="32"/>
        <v>1.6099999999999999</v>
      </c>
      <c r="T271">
        <f t="shared" si="33"/>
        <v>-1.41</v>
      </c>
      <c r="U271">
        <f t="shared" si="29"/>
        <v>68.301639344262483</v>
      </c>
      <c r="V271" s="17">
        <f>MIN(U266:U292)</f>
        <v>60.591639344262489</v>
      </c>
      <c r="W271">
        <v>664.1</v>
      </c>
      <c r="X271">
        <f t="shared" si="30"/>
        <v>13351.3</v>
      </c>
      <c r="Y271">
        <v>13.98069194808888</v>
      </c>
      <c r="Z271">
        <v>6</v>
      </c>
    </row>
    <row r="272" spans="1:26" x14ac:dyDescent="0.35">
      <c r="A272">
        <v>2920</v>
      </c>
      <c r="B272">
        <v>23610</v>
      </c>
      <c r="C272" s="1">
        <v>42851</v>
      </c>
      <c r="F272" s="37"/>
      <c r="G272">
        <v>4.7</v>
      </c>
      <c r="H272">
        <v>0.1</v>
      </c>
      <c r="I272">
        <v>9.6999999999999993</v>
      </c>
      <c r="J272">
        <f t="shared" si="27"/>
        <v>1755.2000000000003</v>
      </c>
      <c r="K272">
        <f t="shared" si="28"/>
        <v>62.7</v>
      </c>
      <c r="L272" s="13" t="s">
        <v>39</v>
      </c>
      <c r="M272">
        <v>2.6</v>
      </c>
      <c r="N272">
        <v>2.4</v>
      </c>
      <c r="O272">
        <f t="shared" si="31"/>
        <v>0.20000000000000018</v>
      </c>
      <c r="Q272">
        <v>216</v>
      </c>
      <c r="R272">
        <v>1.1499999999999999</v>
      </c>
      <c r="S272">
        <f t="shared" si="32"/>
        <v>2.76</v>
      </c>
      <c r="T272">
        <f t="shared" si="33"/>
        <v>-0.1599999999999997</v>
      </c>
      <c r="U272">
        <f t="shared" si="29"/>
        <v>68.141639344262487</v>
      </c>
      <c r="V272" s="20" t="s">
        <v>46</v>
      </c>
      <c r="W272">
        <v>2208</v>
      </c>
      <c r="X272">
        <f t="shared" si="30"/>
        <v>15559.3</v>
      </c>
      <c r="Y272">
        <v>14.034972383259307</v>
      </c>
    </row>
    <row r="273" spans="1:25" x14ac:dyDescent="0.35">
      <c r="A273">
        <v>2920</v>
      </c>
      <c r="B273">
        <v>23610</v>
      </c>
      <c r="C273" s="1">
        <v>42852</v>
      </c>
      <c r="F273" s="37"/>
      <c r="G273">
        <v>6.4</v>
      </c>
      <c r="H273">
        <v>1.2</v>
      </c>
      <c r="I273">
        <v>10.6</v>
      </c>
      <c r="J273">
        <f t="shared" si="27"/>
        <v>1761.6000000000004</v>
      </c>
      <c r="K273">
        <f t="shared" si="28"/>
        <v>69.100000000000009</v>
      </c>
      <c r="L273" s="8">
        <f>MAX(I266:I292)</f>
        <v>25.2</v>
      </c>
      <c r="M273">
        <v>0.3</v>
      </c>
      <c r="N273">
        <v>2</v>
      </c>
      <c r="O273">
        <f t="shared" si="31"/>
        <v>-1.7</v>
      </c>
      <c r="Q273">
        <v>217</v>
      </c>
      <c r="R273">
        <v>1.1499999999999999</v>
      </c>
      <c r="S273">
        <f t="shared" si="32"/>
        <v>2.2999999999999998</v>
      </c>
      <c r="T273">
        <f t="shared" si="33"/>
        <v>-1.9999999999999998</v>
      </c>
      <c r="U273">
        <f t="shared" si="29"/>
        <v>66.141639344262487</v>
      </c>
      <c r="V273" s="17">
        <f>MAX(U266:U292)</f>
        <v>113.13163934426248</v>
      </c>
      <c r="W273">
        <v>1658.2</v>
      </c>
      <c r="X273">
        <f t="shared" si="30"/>
        <v>17217.5</v>
      </c>
      <c r="Y273">
        <v>14.088865177385633</v>
      </c>
    </row>
    <row r="274" spans="1:25" x14ac:dyDescent="0.35">
      <c r="A274">
        <v>2920</v>
      </c>
      <c r="B274">
        <v>23610</v>
      </c>
      <c r="C274" s="1">
        <v>42853</v>
      </c>
      <c r="F274" s="37"/>
      <c r="G274">
        <v>8.5</v>
      </c>
      <c r="H274">
        <v>4.8</v>
      </c>
      <c r="I274">
        <v>11.9</v>
      </c>
      <c r="J274">
        <f t="shared" si="27"/>
        <v>1770.1000000000004</v>
      </c>
      <c r="K274">
        <f t="shared" si="28"/>
        <v>77.600000000000009</v>
      </c>
      <c r="L274" s="13" t="s">
        <v>40</v>
      </c>
      <c r="M274">
        <v>0.2</v>
      </c>
      <c r="N274">
        <v>2.2999999999999998</v>
      </c>
      <c r="O274">
        <f t="shared" si="31"/>
        <v>-2.0999999999999996</v>
      </c>
      <c r="Q274">
        <v>218</v>
      </c>
      <c r="R274">
        <v>1.1499999999999999</v>
      </c>
      <c r="S274">
        <f t="shared" si="32"/>
        <v>2.6449999999999996</v>
      </c>
      <c r="T274">
        <f t="shared" si="33"/>
        <v>-2.4449999999999994</v>
      </c>
      <c r="U274">
        <f t="shared" si="29"/>
        <v>63.696639344262486</v>
      </c>
      <c r="V274" s="20" t="s">
        <v>47</v>
      </c>
      <c r="W274">
        <v>1961</v>
      </c>
      <c r="X274">
        <f t="shared" si="30"/>
        <v>19178.5</v>
      </c>
      <c r="Y274">
        <v>14.142353545478596</v>
      </c>
    </row>
    <row r="275" spans="1:25" x14ac:dyDescent="0.35">
      <c r="A275">
        <v>2920</v>
      </c>
      <c r="B275">
        <v>23610</v>
      </c>
      <c r="C275" s="1">
        <v>42854</v>
      </c>
      <c r="F275" s="37"/>
      <c r="G275">
        <v>10.5</v>
      </c>
      <c r="H275">
        <v>2.7</v>
      </c>
      <c r="I275">
        <v>16.100000000000001</v>
      </c>
      <c r="J275">
        <f t="shared" si="27"/>
        <v>1780.6000000000004</v>
      </c>
      <c r="K275">
        <f t="shared" si="28"/>
        <v>88.100000000000009</v>
      </c>
      <c r="L275" s="8">
        <v>1</v>
      </c>
      <c r="M275">
        <v>0</v>
      </c>
      <c r="N275">
        <v>2.7</v>
      </c>
      <c r="O275">
        <f t="shared" si="31"/>
        <v>-2.7</v>
      </c>
      <c r="Q275">
        <v>219</v>
      </c>
      <c r="R275">
        <v>1.1499999999999999</v>
      </c>
      <c r="S275">
        <f t="shared" si="32"/>
        <v>3.105</v>
      </c>
      <c r="T275">
        <f t="shared" si="33"/>
        <v>-3.105</v>
      </c>
      <c r="U275">
        <f t="shared" si="29"/>
        <v>60.591639344262489</v>
      </c>
      <c r="V275" s="17">
        <f>AVERAGE(U266:U292)</f>
        <v>88.73293564055875</v>
      </c>
      <c r="W275">
        <v>1649.4</v>
      </c>
      <c r="X275">
        <f t="shared" si="30"/>
        <v>20827.900000000001</v>
      </c>
      <c r="Y275">
        <v>14.195420284319432</v>
      </c>
    </row>
    <row r="276" spans="1:25" x14ac:dyDescent="0.35">
      <c r="A276">
        <v>2920</v>
      </c>
      <c r="B276">
        <v>23610</v>
      </c>
      <c r="C276" s="1">
        <v>42855</v>
      </c>
      <c r="F276" s="37"/>
      <c r="G276">
        <v>10.1</v>
      </c>
      <c r="H276">
        <v>9.6999999999999993</v>
      </c>
      <c r="I276">
        <v>12.6</v>
      </c>
      <c r="J276">
        <f t="shared" si="27"/>
        <v>1790.7000000000003</v>
      </c>
      <c r="K276">
        <f t="shared" si="28"/>
        <v>98.2</v>
      </c>
      <c r="L276" s="13" t="s">
        <v>41</v>
      </c>
      <c r="M276">
        <v>23</v>
      </c>
      <c r="N276">
        <v>1.4</v>
      </c>
      <c r="O276">
        <f t="shared" si="31"/>
        <v>21.6</v>
      </c>
      <c r="Q276">
        <v>220</v>
      </c>
      <c r="R276">
        <v>1.1499999999999999</v>
      </c>
      <c r="S276">
        <f t="shared" si="32"/>
        <v>1.6099999999999999</v>
      </c>
      <c r="T276">
        <f t="shared" si="33"/>
        <v>21.39</v>
      </c>
      <c r="U276">
        <f t="shared" si="29"/>
        <v>81.98163934426249</v>
      </c>
      <c r="W276">
        <v>679.8</v>
      </c>
      <c r="X276">
        <f t="shared" si="30"/>
        <v>21507.7</v>
      </c>
      <c r="Y276">
        <v>14.248047771648402</v>
      </c>
    </row>
    <row r="277" spans="1:25" x14ac:dyDescent="0.35">
      <c r="A277">
        <v>2920</v>
      </c>
      <c r="B277">
        <v>23610</v>
      </c>
      <c r="C277" s="1">
        <v>42856</v>
      </c>
      <c r="F277" s="37"/>
      <c r="G277">
        <v>9.6</v>
      </c>
      <c r="H277">
        <v>6.7</v>
      </c>
      <c r="I277">
        <v>13.6</v>
      </c>
      <c r="J277">
        <f t="shared" si="27"/>
        <v>1800.3000000000002</v>
      </c>
      <c r="K277">
        <f t="shared" si="28"/>
        <v>107.8</v>
      </c>
      <c r="L277" s="8">
        <v>8</v>
      </c>
      <c r="M277">
        <v>15.3</v>
      </c>
      <c r="N277">
        <v>1.9</v>
      </c>
      <c r="O277">
        <f t="shared" si="31"/>
        <v>13.4</v>
      </c>
      <c r="Q277">
        <v>221</v>
      </c>
      <c r="R277">
        <v>1.1499999999999999</v>
      </c>
      <c r="S277">
        <f t="shared" si="32"/>
        <v>2.1849999999999996</v>
      </c>
      <c r="T277">
        <f t="shared" si="33"/>
        <v>13.115000000000002</v>
      </c>
      <c r="U277">
        <f t="shared" si="29"/>
        <v>95.096639344262485</v>
      </c>
      <c r="V277" s="18">
        <f>(V275*100)/197.4</f>
        <v>44.950828591975053</v>
      </c>
      <c r="W277">
        <v>1100.0999999999999</v>
      </c>
      <c r="X277">
        <f t="shared" si="30"/>
        <v>22607.8</v>
      </c>
      <c r="Y277">
        <v>14.300217966574223</v>
      </c>
    </row>
    <row r="278" spans="1:25" x14ac:dyDescent="0.35">
      <c r="A278">
        <v>2920</v>
      </c>
      <c r="B278">
        <v>23610</v>
      </c>
      <c r="C278" s="1">
        <v>42857</v>
      </c>
      <c r="F278" s="37"/>
      <c r="G278">
        <v>11.7</v>
      </c>
      <c r="H278">
        <v>7.8</v>
      </c>
      <c r="I278">
        <v>15.5</v>
      </c>
      <c r="J278">
        <f t="shared" si="27"/>
        <v>1812.0000000000002</v>
      </c>
      <c r="K278">
        <f t="shared" si="28"/>
        <v>119.5</v>
      </c>
      <c r="L278" s="13" t="s">
        <v>42</v>
      </c>
      <c r="M278">
        <v>0.1</v>
      </c>
      <c r="N278">
        <v>2.8</v>
      </c>
      <c r="O278">
        <f t="shared" si="31"/>
        <v>-2.6999999999999997</v>
      </c>
      <c r="Q278">
        <v>222</v>
      </c>
      <c r="R278">
        <v>1.1499999999999999</v>
      </c>
      <c r="S278">
        <f t="shared" si="32"/>
        <v>3.2199999999999998</v>
      </c>
      <c r="T278">
        <f t="shared" si="33"/>
        <v>-3.1199999999999997</v>
      </c>
      <c r="U278">
        <f t="shared" si="29"/>
        <v>91.97663934426248</v>
      </c>
      <c r="W278">
        <v>1952.6</v>
      </c>
      <c r="X278">
        <f t="shared" si="30"/>
        <v>24560.399999999998</v>
      </c>
      <c r="Y278">
        <v>14.351912411273677</v>
      </c>
    </row>
    <row r="279" spans="1:25" x14ac:dyDescent="0.35">
      <c r="A279">
        <v>2920</v>
      </c>
      <c r="B279">
        <v>23610</v>
      </c>
      <c r="C279" s="1">
        <v>42858</v>
      </c>
      <c r="F279" s="37"/>
      <c r="G279">
        <v>10.1</v>
      </c>
      <c r="H279">
        <v>6.1</v>
      </c>
      <c r="I279">
        <v>14.3</v>
      </c>
      <c r="J279">
        <f t="shared" si="27"/>
        <v>1822.1000000000001</v>
      </c>
      <c r="K279">
        <f t="shared" si="28"/>
        <v>129.6</v>
      </c>
      <c r="L279" s="8">
        <v>0</v>
      </c>
      <c r="M279">
        <v>0.2</v>
      </c>
      <c r="N279">
        <v>1.7</v>
      </c>
      <c r="O279">
        <f t="shared" si="31"/>
        <v>-1.5</v>
      </c>
      <c r="Q279">
        <v>223</v>
      </c>
      <c r="R279">
        <v>1.1499999999999999</v>
      </c>
      <c r="S279">
        <f t="shared" si="32"/>
        <v>1.9549999999999998</v>
      </c>
      <c r="T279">
        <f t="shared" si="33"/>
        <v>-1.7549999999999999</v>
      </c>
      <c r="U279">
        <f t="shared" si="29"/>
        <v>90.221639344262485</v>
      </c>
      <c r="W279">
        <v>1042.9000000000001</v>
      </c>
      <c r="X279">
        <f t="shared" si="30"/>
        <v>25603.3</v>
      </c>
      <c r="Y279">
        <v>14.403112234051477</v>
      </c>
    </row>
    <row r="280" spans="1:25" x14ac:dyDescent="0.35">
      <c r="A280">
        <v>2920</v>
      </c>
      <c r="B280">
        <v>23610</v>
      </c>
      <c r="C280" s="1">
        <v>42859</v>
      </c>
      <c r="F280" s="37"/>
      <c r="G280">
        <v>10.6</v>
      </c>
      <c r="H280">
        <v>5.2</v>
      </c>
      <c r="I280">
        <v>15.2</v>
      </c>
      <c r="J280">
        <f t="shared" si="27"/>
        <v>1832.7</v>
      </c>
      <c r="K280">
        <f t="shared" si="28"/>
        <v>140.19999999999999</v>
      </c>
      <c r="M280">
        <v>0.1</v>
      </c>
      <c r="N280">
        <v>2</v>
      </c>
      <c r="O280">
        <f t="shared" si="31"/>
        <v>-1.9</v>
      </c>
      <c r="Q280">
        <v>224</v>
      </c>
      <c r="R280">
        <v>1.1499999999999999</v>
      </c>
      <c r="S280">
        <f t="shared" si="32"/>
        <v>2.2999999999999998</v>
      </c>
      <c r="T280">
        <f t="shared" si="33"/>
        <v>-2.1999999999999997</v>
      </c>
      <c r="U280">
        <f t="shared" si="29"/>
        <v>88.021639344262482</v>
      </c>
      <c r="W280">
        <v>1481.4</v>
      </c>
      <c r="X280">
        <f t="shared" si="30"/>
        <v>27084.7</v>
      </c>
      <c r="Y280">
        <v>14.453798153830791</v>
      </c>
    </row>
    <row r="281" spans="1:25" x14ac:dyDescent="0.35">
      <c r="A281">
        <v>2920</v>
      </c>
      <c r="B281">
        <v>23610</v>
      </c>
      <c r="C281" s="1">
        <v>42860</v>
      </c>
      <c r="F281" s="37"/>
      <c r="G281">
        <v>13.3</v>
      </c>
      <c r="H281">
        <v>8.9</v>
      </c>
      <c r="I281">
        <v>16.8</v>
      </c>
      <c r="J281">
        <f t="shared" si="27"/>
        <v>1846</v>
      </c>
      <c r="K281">
        <f t="shared" si="28"/>
        <v>153.5</v>
      </c>
      <c r="M281">
        <v>24.9</v>
      </c>
      <c r="N281">
        <v>3.2</v>
      </c>
      <c r="O281">
        <f t="shared" si="31"/>
        <v>21.7</v>
      </c>
      <c r="Q281">
        <v>225</v>
      </c>
      <c r="R281">
        <v>1.1499999999999999</v>
      </c>
      <c r="S281">
        <f t="shared" si="32"/>
        <v>3.6799999999999997</v>
      </c>
      <c r="T281">
        <f t="shared" si="33"/>
        <v>21.22</v>
      </c>
      <c r="U281">
        <f t="shared" si="29"/>
        <v>109.24163934426248</v>
      </c>
      <c r="W281">
        <v>2138.3000000000002</v>
      </c>
      <c r="X281">
        <f t="shared" si="30"/>
        <v>29223</v>
      </c>
      <c r="Y281">
        <v>14.503950486144806</v>
      </c>
    </row>
    <row r="282" spans="1:25" x14ac:dyDescent="0.35">
      <c r="A282">
        <v>2920</v>
      </c>
      <c r="B282">
        <v>23610</v>
      </c>
      <c r="C282" s="1">
        <v>42861</v>
      </c>
      <c r="F282" s="37"/>
      <c r="G282">
        <v>13.6</v>
      </c>
      <c r="H282">
        <v>12.1</v>
      </c>
      <c r="I282">
        <v>17.100000000000001</v>
      </c>
      <c r="J282">
        <f t="shared" si="27"/>
        <v>1859.6</v>
      </c>
      <c r="K282">
        <f t="shared" si="28"/>
        <v>167.1</v>
      </c>
      <c r="M282">
        <v>5.5</v>
      </c>
      <c r="N282">
        <v>1.4</v>
      </c>
      <c r="O282">
        <f t="shared" si="31"/>
        <v>4.0999999999999996</v>
      </c>
      <c r="Q282">
        <v>226</v>
      </c>
      <c r="R282">
        <v>1.1499999999999999</v>
      </c>
      <c r="S282">
        <f t="shared" si="32"/>
        <v>1.6099999999999999</v>
      </c>
      <c r="T282">
        <f t="shared" si="33"/>
        <v>3.89</v>
      </c>
      <c r="U282">
        <f t="shared" si="29"/>
        <v>113.13163934426248</v>
      </c>
      <c r="W282">
        <v>658.5</v>
      </c>
      <c r="X282">
        <f t="shared" si="30"/>
        <v>29881.5</v>
      </c>
      <c r="Y282">
        <v>14.553549150699121</v>
      </c>
    </row>
    <row r="283" spans="1:25" x14ac:dyDescent="0.35">
      <c r="A283">
        <v>2920</v>
      </c>
      <c r="B283">
        <v>23610</v>
      </c>
      <c r="C283" s="1">
        <v>42862</v>
      </c>
      <c r="F283" s="37"/>
      <c r="G283">
        <v>12.6</v>
      </c>
      <c r="H283">
        <v>11.1</v>
      </c>
      <c r="I283">
        <v>16.2</v>
      </c>
      <c r="J283">
        <f t="shared" si="27"/>
        <v>1872.1999999999998</v>
      </c>
      <c r="K283">
        <f t="shared" si="28"/>
        <v>179.7</v>
      </c>
      <c r="M283">
        <v>0</v>
      </c>
      <c r="N283">
        <v>2.2000000000000002</v>
      </c>
      <c r="O283">
        <f t="shared" si="31"/>
        <v>-2.2000000000000002</v>
      </c>
      <c r="Q283">
        <v>227</v>
      </c>
      <c r="R283">
        <v>1.1499999999999999</v>
      </c>
      <c r="S283">
        <f t="shared" si="32"/>
        <v>2.5299999999999998</v>
      </c>
      <c r="T283">
        <f t="shared" si="33"/>
        <v>-2.5299999999999998</v>
      </c>
      <c r="U283">
        <f t="shared" si="29"/>
        <v>110.60163934426248</v>
      </c>
      <c r="W283">
        <v>1225.2</v>
      </c>
      <c r="X283">
        <f t="shared" si="30"/>
        <v>31106.7</v>
      </c>
      <c r="Y283">
        <v>14.602573680573725</v>
      </c>
    </row>
    <row r="284" spans="1:25" x14ac:dyDescent="0.35">
      <c r="A284">
        <v>2920</v>
      </c>
      <c r="B284">
        <v>23610</v>
      </c>
      <c r="C284" s="1">
        <v>42863</v>
      </c>
      <c r="F284" s="37"/>
      <c r="G284">
        <v>11</v>
      </c>
      <c r="H284">
        <v>6.2</v>
      </c>
      <c r="I284">
        <v>15.7</v>
      </c>
      <c r="J284">
        <f t="shared" si="27"/>
        <v>1883.1999999999998</v>
      </c>
      <c r="K284">
        <f t="shared" si="28"/>
        <v>190.7</v>
      </c>
      <c r="M284">
        <v>0</v>
      </c>
      <c r="N284">
        <v>1.9</v>
      </c>
      <c r="O284">
        <f t="shared" si="31"/>
        <v>-1.9</v>
      </c>
      <c r="Q284">
        <v>228</v>
      </c>
      <c r="R284">
        <v>1.1499999999999999</v>
      </c>
      <c r="S284">
        <f t="shared" si="32"/>
        <v>2.1849999999999996</v>
      </c>
      <c r="T284">
        <f t="shared" si="33"/>
        <v>-2.1849999999999996</v>
      </c>
      <c r="U284">
        <f t="shared" si="29"/>
        <v>108.41663934426248</v>
      </c>
      <c r="W284">
        <v>1214.5999999999999</v>
      </c>
      <c r="X284">
        <f t="shared" si="30"/>
        <v>32321.3</v>
      </c>
      <c r="Y284">
        <v>14.651003233131604</v>
      </c>
    </row>
    <row r="285" spans="1:25" x14ac:dyDescent="0.35">
      <c r="A285">
        <v>2920</v>
      </c>
      <c r="B285">
        <v>23610</v>
      </c>
      <c r="C285" s="1">
        <v>42864</v>
      </c>
      <c r="F285" s="37"/>
      <c r="G285">
        <v>12.1</v>
      </c>
      <c r="H285">
        <v>7.4</v>
      </c>
      <c r="I285">
        <v>16.2</v>
      </c>
      <c r="J285">
        <f t="shared" si="27"/>
        <v>1895.2999999999997</v>
      </c>
      <c r="K285">
        <f t="shared" si="28"/>
        <v>202.79999999999998</v>
      </c>
      <c r="M285">
        <v>0</v>
      </c>
      <c r="N285">
        <v>4.4000000000000004</v>
      </c>
      <c r="O285">
        <f t="shared" si="31"/>
        <v>-4.4000000000000004</v>
      </c>
      <c r="Q285">
        <v>229</v>
      </c>
      <c r="R285">
        <v>1.1499999999999999</v>
      </c>
      <c r="S285">
        <f t="shared" si="32"/>
        <v>5.0599999999999996</v>
      </c>
      <c r="T285">
        <f t="shared" si="33"/>
        <v>-5.0599999999999996</v>
      </c>
      <c r="U285">
        <f t="shared" si="29"/>
        <v>103.35663934426248</v>
      </c>
      <c r="W285">
        <v>2817.2</v>
      </c>
      <c r="X285">
        <f t="shared" si="30"/>
        <v>35138.5</v>
      </c>
      <c r="Y285">
        <v>14.69881660269875</v>
      </c>
    </row>
    <row r="286" spans="1:25" x14ac:dyDescent="0.35">
      <c r="A286">
        <v>2920</v>
      </c>
      <c r="B286">
        <v>23610</v>
      </c>
      <c r="C286" s="1">
        <v>42865</v>
      </c>
      <c r="F286" s="37"/>
      <c r="G286">
        <v>13.8</v>
      </c>
      <c r="H286">
        <v>8.9</v>
      </c>
      <c r="I286">
        <v>19</v>
      </c>
      <c r="J286">
        <f t="shared" si="27"/>
        <v>1909.0999999999997</v>
      </c>
      <c r="K286">
        <f t="shared" si="28"/>
        <v>216.6</v>
      </c>
      <c r="M286">
        <v>1.4</v>
      </c>
      <c r="N286">
        <v>4</v>
      </c>
      <c r="O286">
        <f t="shared" si="31"/>
        <v>-2.6</v>
      </c>
      <c r="Q286">
        <v>230</v>
      </c>
      <c r="R286">
        <v>1.1499999999999999</v>
      </c>
      <c r="S286">
        <f t="shared" si="32"/>
        <v>4.5999999999999996</v>
      </c>
      <c r="T286">
        <f t="shared" si="33"/>
        <v>-3.1999999999999997</v>
      </c>
      <c r="U286">
        <f t="shared" si="29"/>
        <v>100.15663934426247</v>
      </c>
      <c r="W286">
        <v>2372.5</v>
      </c>
      <c r="X286">
        <f t="shared" si="30"/>
        <v>37511</v>
      </c>
      <c r="Y286">
        <v>14.74599223507734</v>
      </c>
    </row>
    <row r="287" spans="1:25" x14ac:dyDescent="0.35">
      <c r="A287">
        <v>2920</v>
      </c>
      <c r="B287">
        <v>23610</v>
      </c>
      <c r="C287" s="1">
        <v>42866</v>
      </c>
      <c r="F287" s="37"/>
      <c r="G287">
        <v>14.1</v>
      </c>
      <c r="H287">
        <v>13.2</v>
      </c>
      <c r="I287">
        <v>15.6</v>
      </c>
      <c r="J287">
        <f t="shared" si="27"/>
        <v>1923.1999999999996</v>
      </c>
      <c r="K287">
        <f t="shared" si="28"/>
        <v>230.7</v>
      </c>
      <c r="M287">
        <v>3.5</v>
      </c>
      <c r="N287">
        <v>1.6</v>
      </c>
      <c r="O287">
        <f t="shared" si="31"/>
        <v>1.9</v>
      </c>
      <c r="Q287">
        <v>231</v>
      </c>
      <c r="R287">
        <v>1.1499999999999999</v>
      </c>
      <c r="S287">
        <f t="shared" si="32"/>
        <v>1.8399999999999999</v>
      </c>
      <c r="T287">
        <f t="shared" si="33"/>
        <v>1.6600000000000001</v>
      </c>
      <c r="U287">
        <f t="shared" si="29"/>
        <v>101.81663934426247</v>
      </c>
      <c r="W287">
        <v>867</v>
      </c>
      <c r="X287">
        <f t="shared" si="30"/>
        <v>38378</v>
      </c>
      <c r="Y287">
        <v>14.792508243950039</v>
      </c>
    </row>
    <row r="288" spans="1:25" x14ac:dyDescent="0.35">
      <c r="A288">
        <v>2920</v>
      </c>
      <c r="B288">
        <v>23610</v>
      </c>
      <c r="C288" s="1">
        <v>42867</v>
      </c>
      <c r="F288" s="37"/>
      <c r="G288">
        <v>14.8</v>
      </c>
      <c r="H288">
        <v>12.9</v>
      </c>
      <c r="I288">
        <v>17.600000000000001</v>
      </c>
      <c r="J288">
        <f t="shared" si="27"/>
        <v>1937.9999999999995</v>
      </c>
      <c r="K288">
        <f t="shared" si="28"/>
        <v>245.5</v>
      </c>
      <c r="M288">
        <v>2.2000000000000002</v>
      </c>
      <c r="N288">
        <v>1.8</v>
      </c>
      <c r="O288">
        <f t="shared" si="31"/>
        <v>0.40000000000000013</v>
      </c>
      <c r="Q288">
        <v>232</v>
      </c>
      <c r="R288">
        <v>1.1499999999999999</v>
      </c>
      <c r="S288">
        <f t="shared" si="32"/>
        <v>2.0699999999999998</v>
      </c>
      <c r="T288">
        <f t="shared" si="33"/>
        <v>0.13000000000000034</v>
      </c>
      <c r="U288">
        <f t="shared" si="29"/>
        <v>101.94663934426246</v>
      </c>
      <c r="W288">
        <v>807.5</v>
      </c>
      <c r="X288">
        <f t="shared" si="30"/>
        <v>39185.5</v>
      </c>
      <c r="Y288">
        <v>14.838342429228982</v>
      </c>
    </row>
    <row r="289" spans="1:26" x14ac:dyDescent="0.35">
      <c r="A289">
        <v>2920</v>
      </c>
      <c r="B289">
        <v>23610</v>
      </c>
      <c r="C289" s="1">
        <v>42868</v>
      </c>
      <c r="F289" s="37"/>
      <c r="G289">
        <v>14.6</v>
      </c>
      <c r="H289">
        <v>11.6</v>
      </c>
      <c r="I289">
        <v>17.2</v>
      </c>
      <c r="J289">
        <f t="shared" si="27"/>
        <v>1952.5999999999995</v>
      </c>
      <c r="K289">
        <f t="shared" si="28"/>
        <v>260.10000000000002</v>
      </c>
      <c r="M289">
        <v>1.7</v>
      </c>
      <c r="N289">
        <v>1.9</v>
      </c>
      <c r="O289">
        <f t="shared" si="31"/>
        <v>-0.19999999999999996</v>
      </c>
      <c r="Q289">
        <v>233</v>
      </c>
      <c r="R289">
        <v>1.1499999999999999</v>
      </c>
      <c r="S289">
        <f t="shared" si="32"/>
        <v>2.1849999999999996</v>
      </c>
      <c r="T289">
        <f t="shared" si="33"/>
        <v>-0.48499999999999965</v>
      </c>
      <c r="U289">
        <f t="shared" si="29"/>
        <v>101.46163934426247</v>
      </c>
      <c r="W289">
        <v>1069.9000000000001</v>
      </c>
      <c r="X289">
        <f t="shared" si="30"/>
        <v>40255.4</v>
      </c>
      <c r="Y289">
        <v>14.883472297397407</v>
      </c>
    </row>
    <row r="290" spans="1:26" x14ac:dyDescent="0.35">
      <c r="A290">
        <v>2920</v>
      </c>
      <c r="B290">
        <v>23610</v>
      </c>
      <c r="C290" s="1">
        <v>42869</v>
      </c>
      <c r="F290" s="37"/>
      <c r="G290">
        <v>15</v>
      </c>
      <c r="H290">
        <v>12.8</v>
      </c>
      <c r="I290">
        <v>18.100000000000001</v>
      </c>
      <c r="J290">
        <f t="shared" si="27"/>
        <v>1967.5999999999995</v>
      </c>
      <c r="K290">
        <f t="shared" si="28"/>
        <v>275.10000000000002</v>
      </c>
      <c r="M290">
        <v>0</v>
      </c>
      <c r="N290">
        <v>3.5</v>
      </c>
      <c r="O290">
        <f t="shared" si="31"/>
        <v>-3.5</v>
      </c>
      <c r="Q290">
        <v>234</v>
      </c>
      <c r="R290">
        <v>1.1499999999999999</v>
      </c>
      <c r="S290">
        <f t="shared" si="32"/>
        <v>4.0249999999999995</v>
      </c>
      <c r="T290">
        <f t="shared" si="33"/>
        <v>-4.0249999999999995</v>
      </c>
      <c r="U290">
        <f t="shared" si="29"/>
        <v>97.43663934426246</v>
      </c>
      <c r="W290">
        <v>1961</v>
      </c>
      <c r="X290">
        <f t="shared" si="30"/>
        <v>42216.4</v>
      </c>
      <c r="Y290">
        <v>14.927875083885819</v>
      </c>
    </row>
    <row r="291" spans="1:26" ht="15" thickBot="1" x14ac:dyDescent="0.4">
      <c r="A291">
        <v>2920</v>
      </c>
      <c r="B291">
        <v>23610</v>
      </c>
      <c r="C291" s="1">
        <v>42870</v>
      </c>
      <c r="F291" s="37"/>
      <c r="G291">
        <v>16.899999999999999</v>
      </c>
      <c r="H291">
        <v>11.5</v>
      </c>
      <c r="I291">
        <v>20.7</v>
      </c>
      <c r="J291">
        <f t="shared" si="27"/>
        <v>1984.4999999999995</v>
      </c>
      <c r="K291">
        <f t="shared" si="28"/>
        <v>292</v>
      </c>
      <c r="M291">
        <v>0</v>
      </c>
      <c r="N291">
        <v>1.2</v>
      </c>
      <c r="O291">
        <f t="shared" si="31"/>
        <v>-1.2</v>
      </c>
      <c r="Q291">
        <v>235</v>
      </c>
      <c r="R291">
        <v>1.1499999999999999</v>
      </c>
      <c r="S291">
        <f t="shared" si="32"/>
        <v>1.38</v>
      </c>
      <c r="T291">
        <f t="shared" si="33"/>
        <v>-1.38</v>
      </c>
      <c r="U291">
        <f t="shared" si="29"/>
        <v>96.056639344262464</v>
      </c>
      <c r="W291">
        <v>708.6</v>
      </c>
      <c r="X291">
        <f t="shared" si="30"/>
        <v>42925</v>
      </c>
      <c r="Y291" s="4">
        <v>14.97152777751722</v>
      </c>
    </row>
    <row r="292" spans="1:26" s="4" customFormat="1" ht="15" thickBot="1" x14ac:dyDescent="0.4">
      <c r="A292" s="4">
        <v>2920</v>
      </c>
      <c r="B292" s="4">
        <v>23610</v>
      </c>
      <c r="C292" s="5">
        <v>42871</v>
      </c>
      <c r="D292" s="4">
        <v>300</v>
      </c>
      <c r="F292" s="38"/>
      <c r="G292" s="4">
        <v>20.6</v>
      </c>
      <c r="H292" s="4">
        <v>15.4</v>
      </c>
      <c r="I292" s="4">
        <v>25.2</v>
      </c>
      <c r="J292" s="4">
        <f t="shared" si="27"/>
        <v>2005.0999999999995</v>
      </c>
      <c r="K292" s="4">
        <f t="shared" si="28"/>
        <v>312.60000000000002</v>
      </c>
      <c r="M292" s="4">
        <v>0</v>
      </c>
      <c r="N292" s="4">
        <v>2.9</v>
      </c>
      <c r="O292" s="4">
        <f t="shared" si="31"/>
        <v>-2.9</v>
      </c>
      <c r="Q292" s="4">
        <v>236</v>
      </c>
      <c r="R292" s="4">
        <v>1.1499999999999999</v>
      </c>
      <c r="S292" s="4">
        <f t="shared" si="32"/>
        <v>3.3349999999999995</v>
      </c>
      <c r="T292" s="4">
        <f t="shared" si="33"/>
        <v>-3.3349999999999995</v>
      </c>
      <c r="U292" s="4">
        <f t="shared" si="29"/>
        <v>92.721639344262471</v>
      </c>
      <c r="W292" s="4">
        <v>1664.6</v>
      </c>
      <c r="X292" s="4">
        <f>X291+W292</f>
        <v>44589.599999999999</v>
      </c>
      <c r="Y292">
        <v>15.014407147047871</v>
      </c>
    </row>
    <row r="293" spans="1:26" x14ac:dyDescent="0.35">
      <c r="A293">
        <v>2920</v>
      </c>
      <c r="B293">
        <v>23610</v>
      </c>
      <c r="C293" s="1">
        <v>42872</v>
      </c>
      <c r="F293" s="39" t="s">
        <v>57</v>
      </c>
      <c r="G293">
        <v>16.100000000000001</v>
      </c>
      <c r="H293">
        <v>15.8</v>
      </c>
      <c r="I293">
        <v>17.899999999999999</v>
      </c>
      <c r="J293">
        <f t="shared" si="27"/>
        <v>2021.1999999999994</v>
      </c>
      <c r="K293">
        <f>G293</f>
        <v>16.100000000000001</v>
      </c>
      <c r="L293" s="14" t="s">
        <v>36</v>
      </c>
      <c r="M293">
        <v>11.9</v>
      </c>
      <c r="N293">
        <v>1.4</v>
      </c>
      <c r="O293">
        <f t="shared" si="31"/>
        <v>10.5</v>
      </c>
      <c r="Q293">
        <v>237</v>
      </c>
      <c r="R293">
        <f>1.15+((Q293-236)/41)*(0.35-1.15)</f>
        <v>1.1304878048780487</v>
      </c>
      <c r="S293">
        <f t="shared" si="32"/>
        <v>1.5826829268292681</v>
      </c>
      <c r="T293">
        <f t="shared" si="33"/>
        <v>10.317317073170733</v>
      </c>
      <c r="U293">
        <f t="shared" si="29"/>
        <v>103.0389564174332</v>
      </c>
      <c r="V293" s="19" t="s">
        <v>43</v>
      </c>
      <c r="W293">
        <v>701.4</v>
      </c>
      <c r="X293">
        <f>W293</f>
        <v>701.4</v>
      </c>
      <c r="Y293">
        <v>15.056489769820892</v>
      </c>
      <c r="Z293" s="19" t="s">
        <v>48</v>
      </c>
    </row>
    <row r="294" spans="1:26" x14ac:dyDescent="0.35">
      <c r="A294">
        <v>2920</v>
      </c>
      <c r="B294">
        <v>23610</v>
      </c>
      <c r="C294" s="1">
        <v>42873</v>
      </c>
      <c r="F294" s="40"/>
      <c r="G294">
        <v>11.1</v>
      </c>
      <c r="H294">
        <v>9.9</v>
      </c>
      <c r="I294">
        <v>12.4</v>
      </c>
      <c r="J294">
        <f t="shared" si="27"/>
        <v>2032.2999999999993</v>
      </c>
      <c r="K294">
        <f t="shared" si="28"/>
        <v>27.200000000000003</v>
      </c>
      <c r="L294" s="8">
        <v>308.3</v>
      </c>
      <c r="M294">
        <v>1.6</v>
      </c>
      <c r="N294">
        <v>1.2</v>
      </c>
      <c r="O294">
        <f t="shared" si="31"/>
        <v>0.40000000000000013</v>
      </c>
      <c r="Q294">
        <v>238</v>
      </c>
      <c r="R294">
        <f t="shared" ref="R294:R333" si="34">1.15+((Q294-236)/41)*(0.35-1.15)</f>
        <v>1.1109756097560974</v>
      </c>
      <c r="S294">
        <f t="shared" si="32"/>
        <v>1.3331707317073169</v>
      </c>
      <c r="T294">
        <f t="shared" si="33"/>
        <v>0.26682926829268316</v>
      </c>
      <c r="U294">
        <f t="shared" si="29"/>
        <v>103.30578568572588</v>
      </c>
      <c r="V294">
        <v>0</v>
      </c>
      <c r="W294">
        <v>949</v>
      </c>
      <c r="X294">
        <f t="shared" si="30"/>
        <v>1650.4</v>
      </c>
      <c r="Y294">
        <v>15.097752062539845</v>
      </c>
      <c r="Z294">
        <v>31773</v>
      </c>
    </row>
    <row r="295" spans="1:26" x14ac:dyDescent="0.35">
      <c r="A295">
        <v>2920</v>
      </c>
      <c r="B295">
        <v>23610</v>
      </c>
      <c r="C295" s="1">
        <v>42874</v>
      </c>
      <c r="F295" s="40"/>
      <c r="G295">
        <v>10.9</v>
      </c>
      <c r="H295">
        <v>8</v>
      </c>
      <c r="I295">
        <v>14.9</v>
      </c>
      <c r="J295">
        <f t="shared" si="27"/>
        <v>2043.1999999999994</v>
      </c>
      <c r="K295">
        <f t="shared" si="28"/>
        <v>38.1</v>
      </c>
      <c r="L295" s="14" t="s">
        <v>37</v>
      </c>
      <c r="M295">
        <v>5.2</v>
      </c>
      <c r="N295">
        <v>1.9</v>
      </c>
      <c r="O295">
        <f t="shared" si="31"/>
        <v>3.3000000000000003</v>
      </c>
      <c r="Q295">
        <v>239</v>
      </c>
      <c r="R295">
        <f t="shared" si="34"/>
        <v>1.0914634146341462</v>
      </c>
      <c r="S295">
        <f t="shared" si="32"/>
        <v>2.0737804878048776</v>
      </c>
      <c r="T295">
        <f t="shared" si="33"/>
        <v>3.1262195121951226</v>
      </c>
      <c r="U295">
        <f t="shared" si="29"/>
        <v>106.432005197921</v>
      </c>
      <c r="V295" s="19" t="s">
        <v>44</v>
      </c>
      <c r="W295">
        <v>1294.4000000000001</v>
      </c>
      <c r="X295">
        <f t="shared" si="30"/>
        <v>2944.8</v>
      </c>
      <c r="Y295">
        <v>15.138170314158373</v>
      </c>
      <c r="Z295" s="19" t="s">
        <v>49</v>
      </c>
    </row>
    <row r="296" spans="1:26" x14ac:dyDescent="0.35">
      <c r="A296">
        <v>2920</v>
      </c>
      <c r="B296">
        <v>23610</v>
      </c>
      <c r="C296" s="1">
        <v>42875</v>
      </c>
      <c r="F296" s="40"/>
      <c r="G296">
        <v>11.9</v>
      </c>
      <c r="H296">
        <v>7.9</v>
      </c>
      <c r="I296">
        <v>16</v>
      </c>
      <c r="J296">
        <f t="shared" si="27"/>
        <v>2055.0999999999995</v>
      </c>
      <c r="K296">
        <f t="shared" si="28"/>
        <v>50</v>
      </c>
      <c r="L296" s="9">
        <f>AVERAGE(G293:G310)</f>
        <v>17.12777777777778</v>
      </c>
      <c r="M296">
        <v>0.1</v>
      </c>
      <c r="N296">
        <v>2</v>
      </c>
      <c r="O296">
        <f t="shared" si="31"/>
        <v>-1.9</v>
      </c>
      <c r="Q296">
        <v>240</v>
      </c>
      <c r="R296">
        <f t="shared" si="34"/>
        <v>1.071951219512195</v>
      </c>
      <c r="S296">
        <f t="shared" si="32"/>
        <v>2.1439024390243899</v>
      </c>
      <c r="T296">
        <f t="shared" si="33"/>
        <v>-2.0439024390243898</v>
      </c>
      <c r="U296">
        <f t="shared" si="29"/>
        <v>104.38810275889661</v>
      </c>
      <c r="V296">
        <v>0</v>
      </c>
      <c r="W296">
        <v>1225.5</v>
      </c>
      <c r="X296">
        <f t="shared" si="30"/>
        <v>4170.3</v>
      </c>
      <c r="Y296">
        <v>15.177720720869829</v>
      </c>
      <c r="Z296">
        <f>(Z294/100)/L294</f>
        <v>1.03058709049627</v>
      </c>
    </row>
    <row r="297" spans="1:26" x14ac:dyDescent="0.35">
      <c r="A297">
        <v>2920</v>
      </c>
      <c r="B297">
        <v>23610</v>
      </c>
      <c r="C297" s="1">
        <v>42876</v>
      </c>
      <c r="F297" s="40"/>
      <c r="G297">
        <v>14.6</v>
      </c>
      <c r="H297">
        <v>8.4</v>
      </c>
      <c r="I297">
        <v>20.100000000000001</v>
      </c>
      <c r="J297">
        <f t="shared" si="27"/>
        <v>2069.6999999999994</v>
      </c>
      <c r="K297">
        <f t="shared" si="28"/>
        <v>64.599999999999994</v>
      </c>
      <c r="L297" s="14" t="s">
        <v>38</v>
      </c>
      <c r="M297">
        <v>0</v>
      </c>
      <c r="N297">
        <v>4</v>
      </c>
      <c r="O297">
        <f t="shared" si="31"/>
        <v>-4</v>
      </c>
      <c r="Q297">
        <v>241</v>
      </c>
      <c r="R297">
        <f t="shared" si="34"/>
        <v>1.0524390243902437</v>
      </c>
      <c r="S297">
        <f t="shared" si="32"/>
        <v>4.2097560975609749</v>
      </c>
      <c r="T297">
        <f t="shared" si="33"/>
        <v>-4.2097560975609749</v>
      </c>
      <c r="U297">
        <f t="shared" si="29"/>
        <v>100.17834666133564</v>
      </c>
      <c r="V297" s="19" t="s">
        <v>45</v>
      </c>
      <c r="W297">
        <v>2546.4</v>
      </c>
      <c r="X297">
        <f t="shared" si="30"/>
        <v>6716.7000000000007</v>
      </c>
      <c r="Y297">
        <v>15.216379423167773</v>
      </c>
      <c r="Z297" s="19" t="s">
        <v>50</v>
      </c>
    </row>
    <row r="298" spans="1:26" x14ac:dyDescent="0.35">
      <c r="A298">
        <v>2920</v>
      </c>
      <c r="B298">
        <v>23610</v>
      </c>
      <c r="C298" s="1">
        <v>42877</v>
      </c>
      <c r="F298" s="40"/>
      <c r="G298">
        <v>16.8</v>
      </c>
      <c r="H298">
        <v>10.6</v>
      </c>
      <c r="I298">
        <v>24.1</v>
      </c>
      <c r="J298">
        <f t="shared" si="27"/>
        <v>2086.4999999999995</v>
      </c>
      <c r="K298">
        <f t="shared" si="28"/>
        <v>81.399999999999991</v>
      </c>
      <c r="L298" s="8">
        <f>MIN(H293:H310)</f>
        <v>7.9</v>
      </c>
      <c r="M298">
        <v>0</v>
      </c>
      <c r="N298">
        <v>4.5999999999999996</v>
      </c>
      <c r="O298">
        <f t="shared" si="31"/>
        <v>-4.5999999999999996</v>
      </c>
      <c r="Q298">
        <v>242</v>
      </c>
      <c r="R298">
        <f t="shared" si="34"/>
        <v>1.0329268292682927</v>
      </c>
      <c r="S298">
        <f t="shared" si="32"/>
        <v>4.7514634146341459</v>
      </c>
      <c r="T298">
        <f t="shared" si="33"/>
        <v>-4.7514634146341459</v>
      </c>
      <c r="U298">
        <f t="shared" si="29"/>
        <v>95.426883246701493</v>
      </c>
      <c r="V298" s="17">
        <f>MIN(U293:U310)</f>
        <v>70.815907636945397</v>
      </c>
      <c r="W298">
        <v>2566.5</v>
      </c>
      <c r="X298">
        <f t="shared" si="30"/>
        <v>9283.2000000000007</v>
      </c>
      <c r="Y298">
        <v>15.254122544934269</v>
      </c>
      <c r="Z298">
        <v>4</v>
      </c>
    </row>
    <row r="299" spans="1:26" x14ac:dyDescent="0.35">
      <c r="A299">
        <v>2920</v>
      </c>
      <c r="B299">
        <v>23610</v>
      </c>
      <c r="C299" s="1">
        <v>42878</v>
      </c>
      <c r="F299" s="40"/>
      <c r="G299">
        <v>17.100000000000001</v>
      </c>
      <c r="H299">
        <v>12.2</v>
      </c>
      <c r="I299">
        <v>20.9</v>
      </c>
      <c r="J299">
        <f t="shared" si="27"/>
        <v>2103.5999999999995</v>
      </c>
      <c r="K299">
        <f t="shared" si="28"/>
        <v>98.5</v>
      </c>
      <c r="L299" s="14" t="s">
        <v>39</v>
      </c>
      <c r="M299">
        <v>0</v>
      </c>
      <c r="N299">
        <v>3.6</v>
      </c>
      <c r="O299">
        <f t="shared" si="31"/>
        <v>-3.6</v>
      </c>
      <c r="Q299">
        <v>243</v>
      </c>
      <c r="R299">
        <f t="shared" si="34"/>
        <v>1.0134146341463413</v>
      </c>
      <c r="S299">
        <f t="shared" si="32"/>
        <v>3.6482926829268285</v>
      </c>
      <c r="T299">
        <f t="shared" si="33"/>
        <v>-3.6482926829268285</v>
      </c>
      <c r="U299">
        <f t="shared" si="29"/>
        <v>91.778590563774671</v>
      </c>
      <c r="V299" s="19" t="s">
        <v>46</v>
      </c>
      <c r="W299">
        <v>2066.4</v>
      </c>
      <c r="X299">
        <f t="shared" si="30"/>
        <v>11349.6</v>
      </c>
      <c r="Y299">
        <v>15.290926234498</v>
      </c>
    </row>
    <row r="300" spans="1:26" x14ac:dyDescent="0.35">
      <c r="A300">
        <v>2920</v>
      </c>
      <c r="B300">
        <v>23610</v>
      </c>
      <c r="C300" s="1">
        <v>42879</v>
      </c>
      <c r="F300" s="40"/>
      <c r="G300">
        <v>18.399999999999999</v>
      </c>
      <c r="H300">
        <v>14.4</v>
      </c>
      <c r="I300">
        <v>22.9</v>
      </c>
      <c r="J300">
        <f t="shared" si="27"/>
        <v>2121.9999999999995</v>
      </c>
      <c r="K300">
        <f t="shared" si="28"/>
        <v>116.9</v>
      </c>
      <c r="L300" s="8">
        <f>MAX(I293:I310)</f>
        <v>28.6</v>
      </c>
      <c r="M300">
        <v>0</v>
      </c>
      <c r="N300">
        <v>3.3</v>
      </c>
      <c r="O300">
        <f t="shared" si="31"/>
        <v>-3.3</v>
      </c>
      <c r="Q300">
        <v>244</v>
      </c>
      <c r="R300">
        <f t="shared" si="34"/>
        <v>0.99390243902439013</v>
      </c>
      <c r="S300">
        <f t="shared" si="32"/>
        <v>3.2798780487804873</v>
      </c>
      <c r="T300">
        <f t="shared" si="33"/>
        <v>-3.2798780487804873</v>
      </c>
      <c r="U300">
        <f t="shared" si="29"/>
        <v>88.498712514994182</v>
      </c>
      <c r="V300" s="17">
        <f>MAX(U293:U310)</f>
        <v>106.432005197921</v>
      </c>
      <c r="W300">
        <v>1870.4</v>
      </c>
      <c r="X300">
        <f t="shared" si="30"/>
        <v>13220</v>
      </c>
      <c r="Y300">
        <v>15.326766707588753</v>
      </c>
    </row>
    <row r="301" spans="1:26" x14ac:dyDescent="0.35">
      <c r="A301">
        <v>2920</v>
      </c>
      <c r="B301">
        <v>23610</v>
      </c>
      <c r="C301" s="1">
        <v>42880</v>
      </c>
      <c r="F301" s="40"/>
      <c r="G301">
        <v>21.1</v>
      </c>
      <c r="H301">
        <v>15.4</v>
      </c>
      <c r="I301">
        <v>26</v>
      </c>
      <c r="J301">
        <f t="shared" si="27"/>
        <v>2143.0999999999995</v>
      </c>
      <c r="K301">
        <f t="shared" si="28"/>
        <v>138</v>
      </c>
      <c r="L301" s="14" t="s">
        <v>40</v>
      </c>
      <c r="M301">
        <v>0</v>
      </c>
      <c r="N301">
        <v>6.3</v>
      </c>
      <c r="O301">
        <f t="shared" si="31"/>
        <v>-6.3</v>
      </c>
      <c r="Q301">
        <v>245</v>
      </c>
      <c r="R301">
        <f t="shared" si="34"/>
        <v>0.974390243902439</v>
      </c>
      <c r="S301">
        <f t="shared" si="32"/>
        <v>6.1386585365853659</v>
      </c>
      <c r="T301">
        <f t="shared" si="33"/>
        <v>-6.1386585365853659</v>
      </c>
      <c r="U301">
        <f t="shared" si="29"/>
        <v>82.360053978408814</v>
      </c>
      <c r="V301" s="19" t="s">
        <v>47</v>
      </c>
      <c r="W301">
        <v>3081.6</v>
      </c>
      <c r="X301">
        <f t="shared" si="30"/>
        <v>16301.6</v>
      </c>
      <c r="Y301">
        <v>15.361620292098312</v>
      </c>
    </row>
    <row r="302" spans="1:26" x14ac:dyDescent="0.35">
      <c r="A302">
        <v>2920</v>
      </c>
      <c r="B302">
        <v>23610</v>
      </c>
      <c r="C302" s="1">
        <v>42881</v>
      </c>
      <c r="F302" s="40"/>
      <c r="G302">
        <v>23</v>
      </c>
      <c r="H302">
        <v>17.899999999999999</v>
      </c>
      <c r="I302">
        <v>28.6</v>
      </c>
      <c r="J302">
        <f t="shared" si="27"/>
        <v>2166.0999999999995</v>
      </c>
      <c r="K302">
        <f t="shared" si="28"/>
        <v>161</v>
      </c>
      <c r="L302" s="8">
        <v>3</v>
      </c>
      <c r="M302">
        <v>0</v>
      </c>
      <c r="N302">
        <v>6.8</v>
      </c>
      <c r="O302">
        <f t="shared" si="31"/>
        <v>-6.8</v>
      </c>
      <c r="Q302">
        <v>246</v>
      </c>
      <c r="R302">
        <f t="shared" si="34"/>
        <v>0.95487804878048776</v>
      </c>
      <c r="S302">
        <f t="shared" si="32"/>
        <v>6.4931707317073171</v>
      </c>
      <c r="T302">
        <f t="shared" si="33"/>
        <v>-6.4931707317073171</v>
      </c>
      <c r="U302">
        <f t="shared" si="29"/>
        <v>75.866883246701491</v>
      </c>
      <c r="V302" s="17">
        <f>AVERAGE(U293:U310)</f>
        <v>87.77201874805651</v>
      </c>
      <c r="W302">
        <v>3016.8</v>
      </c>
      <c r="X302">
        <f t="shared" si="30"/>
        <v>19318.400000000001</v>
      </c>
      <c r="Y302">
        <v>15.395463474541168</v>
      </c>
    </row>
    <row r="303" spans="1:26" x14ac:dyDescent="0.35">
      <c r="A303">
        <v>2920</v>
      </c>
      <c r="B303">
        <v>23610</v>
      </c>
      <c r="C303" s="1">
        <v>42882</v>
      </c>
      <c r="F303" s="40"/>
      <c r="G303">
        <v>20.399999999999999</v>
      </c>
      <c r="H303">
        <v>17</v>
      </c>
      <c r="I303">
        <v>24.9</v>
      </c>
      <c r="J303">
        <f t="shared" si="27"/>
        <v>2186.4999999999995</v>
      </c>
      <c r="K303">
        <f t="shared" si="28"/>
        <v>181.4</v>
      </c>
      <c r="L303" s="14" t="s">
        <v>41</v>
      </c>
      <c r="M303">
        <v>0</v>
      </c>
      <c r="N303">
        <v>5.4</v>
      </c>
      <c r="O303">
        <f t="shared" si="31"/>
        <v>-5.4</v>
      </c>
      <c r="Q303">
        <v>247</v>
      </c>
      <c r="R303">
        <f t="shared" si="34"/>
        <v>0.93536585365853653</v>
      </c>
      <c r="S303">
        <f t="shared" si="32"/>
        <v>5.0509756097560974</v>
      </c>
      <c r="T303">
        <f t="shared" si="33"/>
        <v>-5.0509756097560974</v>
      </c>
      <c r="U303">
        <f t="shared" si="29"/>
        <v>70.815907636945397</v>
      </c>
      <c r="W303">
        <v>2803.8</v>
      </c>
      <c r="X303">
        <f t="shared" si="30"/>
        <v>22122.2</v>
      </c>
      <c r="Y303">
        <v>15.428272948090985</v>
      </c>
    </row>
    <row r="304" spans="1:26" x14ac:dyDescent="0.35">
      <c r="A304">
        <v>2920</v>
      </c>
      <c r="B304">
        <v>23610</v>
      </c>
      <c r="C304" s="1">
        <v>42883</v>
      </c>
      <c r="F304" s="40"/>
      <c r="G304">
        <v>19.5</v>
      </c>
      <c r="H304">
        <v>14.3</v>
      </c>
      <c r="I304">
        <v>24.4</v>
      </c>
      <c r="J304">
        <f t="shared" si="27"/>
        <v>2205.9999999999995</v>
      </c>
      <c r="K304">
        <f t="shared" si="28"/>
        <v>200.9</v>
      </c>
      <c r="L304" s="8">
        <v>0</v>
      </c>
      <c r="M304">
        <v>5.2</v>
      </c>
      <c r="N304">
        <v>2.8</v>
      </c>
      <c r="O304">
        <f t="shared" si="31"/>
        <v>2.4000000000000004</v>
      </c>
      <c r="Q304">
        <v>248</v>
      </c>
      <c r="R304">
        <f t="shared" si="34"/>
        <v>0.91585365853658529</v>
      </c>
      <c r="S304">
        <f t="shared" si="32"/>
        <v>2.5643902439024386</v>
      </c>
      <c r="T304">
        <f t="shared" si="33"/>
        <v>2.6356097560975615</v>
      </c>
      <c r="U304">
        <f t="shared" si="29"/>
        <v>73.451517393042963</v>
      </c>
      <c r="V304" s="18">
        <f>(V302*100)/197.4</f>
        <v>44.464041918974928</v>
      </c>
      <c r="W304">
        <v>1745.3</v>
      </c>
      <c r="X304">
        <f t="shared" si="30"/>
        <v>23867.5</v>
      </c>
      <c r="Y304">
        <v>15.460025662051269</v>
      </c>
    </row>
    <row r="305" spans="1:26" x14ac:dyDescent="0.35">
      <c r="A305">
        <v>2920</v>
      </c>
      <c r="B305">
        <v>23610</v>
      </c>
      <c r="C305" s="1">
        <v>42884</v>
      </c>
      <c r="F305" s="40"/>
      <c r="G305">
        <v>17.100000000000001</v>
      </c>
      <c r="H305">
        <v>16.2</v>
      </c>
      <c r="I305">
        <v>19.5</v>
      </c>
      <c r="J305">
        <f t="shared" si="27"/>
        <v>2223.0999999999995</v>
      </c>
      <c r="K305">
        <f t="shared" si="28"/>
        <v>218</v>
      </c>
      <c r="L305" s="14" t="s">
        <v>42</v>
      </c>
      <c r="M305">
        <v>14.3</v>
      </c>
      <c r="N305">
        <v>1.4</v>
      </c>
      <c r="O305">
        <f t="shared" si="31"/>
        <v>12.9</v>
      </c>
      <c r="Q305">
        <v>249</v>
      </c>
      <c r="R305">
        <f t="shared" si="34"/>
        <v>0.89634146341463405</v>
      </c>
      <c r="S305">
        <f t="shared" si="32"/>
        <v>1.2548780487804876</v>
      </c>
      <c r="T305">
        <f t="shared" si="33"/>
        <v>13.045121951219514</v>
      </c>
      <c r="U305">
        <f t="shared" si="29"/>
        <v>86.496639344262476</v>
      </c>
      <c r="W305">
        <v>514.70000000000005</v>
      </c>
      <c r="X305">
        <f t="shared" si="30"/>
        <v>24382.2</v>
      </c>
      <c r="Y305">
        <v>15.490698872601032</v>
      </c>
    </row>
    <row r="306" spans="1:26" x14ac:dyDescent="0.35">
      <c r="A306">
        <v>2920</v>
      </c>
      <c r="B306">
        <v>23610</v>
      </c>
      <c r="C306" s="1">
        <v>42885</v>
      </c>
      <c r="F306" s="40"/>
      <c r="G306">
        <v>16.399999999999999</v>
      </c>
      <c r="H306">
        <v>14.1</v>
      </c>
      <c r="I306">
        <v>19.3</v>
      </c>
      <c r="J306">
        <f t="shared" si="27"/>
        <v>2239.4999999999995</v>
      </c>
      <c r="K306">
        <f t="shared" si="28"/>
        <v>234.4</v>
      </c>
      <c r="L306" s="8">
        <v>0</v>
      </c>
      <c r="M306">
        <v>0</v>
      </c>
      <c r="N306">
        <v>1.4</v>
      </c>
      <c r="O306">
        <f t="shared" si="31"/>
        <v>-1.4</v>
      </c>
      <c r="Q306">
        <v>250</v>
      </c>
      <c r="R306">
        <f t="shared" si="34"/>
        <v>0.87682926829268282</v>
      </c>
      <c r="S306">
        <f t="shared" si="32"/>
        <v>1.2275609756097559</v>
      </c>
      <c r="T306">
        <f t="shared" si="33"/>
        <v>-1.2275609756097559</v>
      </c>
      <c r="U306">
        <f t="shared" si="29"/>
        <v>85.269078368652714</v>
      </c>
      <c r="W306">
        <v>659.9</v>
      </c>
      <c r="X306">
        <f t="shared" si="30"/>
        <v>25042.100000000002</v>
      </c>
      <c r="Y306">
        <v>15.520270194638618</v>
      </c>
    </row>
    <row r="307" spans="1:26" x14ac:dyDescent="0.35">
      <c r="A307">
        <v>2920</v>
      </c>
      <c r="B307">
        <v>23610</v>
      </c>
      <c r="C307" s="1">
        <v>42886</v>
      </c>
      <c r="F307" s="40"/>
      <c r="G307">
        <v>18.399999999999999</v>
      </c>
      <c r="H307">
        <v>13.7</v>
      </c>
      <c r="I307">
        <v>22.7</v>
      </c>
      <c r="J307">
        <f t="shared" si="27"/>
        <v>2257.8999999999996</v>
      </c>
      <c r="K307">
        <f t="shared" si="28"/>
        <v>252.8</v>
      </c>
      <c r="M307">
        <v>0</v>
      </c>
      <c r="N307">
        <v>3.6</v>
      </c>
      <c r="O307">
        <f t="shared" si="31"/>
        <v>-3.6</v>
      </c>
      <c r="Q307">
        <v>251</v>
      </c>
      <c r="R307">
        <f t="shared" si="34"/>
        <v>0.85731707317073158</v>
      </c>
      <c r="S307">
        <f t="shared" si="32"/>
        <v>3.0863414634146338</v>
      </c>
      <c r="T307">
        <f t="shared" si="33"/>
        <v>-3.0863414634146338</v>
      </c>
      <c r="U307">
        <f t="shared" si="29"/>
        <v>82.182736905238073</v>
      </c>
      <c r="W307">
        <v>1910.6</v>
      </c>
      <c r="X307">
        <f t="shared" si="30"/>
        <v>26952.7</v>
      </c>
      <c r="Y307">
        <v>15.548717654529707</v>
      </c>
    </row>
    <row r="308" spans="1:26" x14ac:dyDescent="0.35">
      <c r="A308">
        <v>2920</v>
      </c>
      <c r="B308">
        <v>23610</v>
      </c>
      <c r="C308" s="1">
        <v>42887</v>
      </c>
      <c r="F308" s="40"/>
      <c r="G308">
        <v>20.8</v>
      </c>
      <c r="H308">
        <v>14.2</v>
      </c>
      <c r="I308">
        <v>26.9</v>
      </c>
      <c r="J308">
        <f t="shared" si="27"/>
        <v>2278.6999999999998</v>
      </c>
      <c r="K308">
        <f t="shared" si="28"/>
        <v>273.60000000000002</v>
      </c>
      <c r="M308">
        <v>0</v>
      </c>
      <c r="N308">
        <v>2.9</v>
      </c>
      <c r="O308">
        <f t="shared" si="31"/>
        <v>-2.9</v>
      </c>
      <c r="Q308">
        <v>252</v>
      </c>
      <c r="R308">
        <f t="shared" si="34"/>
        <v>0.83780487804878034</v>
      </c>
      <c r="S308">
        <f t="shared" si="32"/>
        <v>2.429634146341463</v>
      </c>
      <c r="T308">
        <f t="shared" si="33"/>
        <v>-2.429634146341463</v>
      </c>
      <c r="U308">
        <f t="shared" si="29"/>
        <v>79.753102758896617</v>
      </c>
      <c r="W308">
        <v>1497.9</v>
      </c>
      <c r="X308">
        <f t="shared" si="30"/>
        <v>28450.600000000002</v>
      </c>
      <c r="Y308">
        <v>15.57601974354869</v>
      </c>
    </row>
    <row r="309" spans="1:26" ht="15" thickBot="1" x14ac:dyDescent="0.4">
      <c r="A309">
        <v>2920</v>
      </c>
      <c r="B309">
        <v>23610</v>
      </c>
      <c r="C309" s="1">
        <v>42888</v>
      </c>
      <c r="F309" s="40"/>
      <c r="G309">
        <v>19.2</v>
      </c>
      <c r="H309">
        <v>15.5</v>
      </c>
      <c r="I309">
        <v>24.5</v>
      </c>
      <c r="J309">
        <f t="shared" si="27"/>
        <v>2297.8999999999996</v>
      </c>
      <c r="K309">
        <f t="shared" si="28"/>
        <v>292.8</v>
      </c>
      <c r="M309">
        <v>0.3</v>
      </c>
      <c r="N309">
        <v>4.8</v>
      </c>
      <c r="O309">
        <f t="shared" si="31"/>
        <v>-4.5</v>
      </c>
      <c r="Q309">
        <v>253</v>
      </c>
      <c r="R309">
        <f t="shared" si="34"/>
        <v>0.81829268292682922</v>
      </c>
      <c r="S309">
        <f t="shared" si="32"/>
        <v>3.92780487804878</v>
      </c>
      <c r="T309">
        <f t="shared" si="33"/>
        <v>-3.6278048780487802</v>
      </c>
      <c r="U309">
        <f t="shared" si="29"/>
        <v>76.125297880847839</v>
      </c>
      <c r="W309">
        <v>2519</v>
      </c>
      <c r="X309">
        <f t="shared" si="30"/>
        <v>30969.600000000002</v>
      </c>
      <c r="Y309" s="4">
        <v>15.6021554717868</v>
      </c>
    </row>
    <row r="310" spans="1:26" s="4" customFormat="1" ht="15" thickBot="1" x14ac:dyDescent="0.4">
      <c r="A310" s="4">
        <v>2920</v>
      </c>
      <c r="B310" s="4">
        <v>23610</v>
      </c>
      <c r="C310" s="5">
        <v>42889</v>
      </c>
      <c r="D310" s="4">
        <v>600</v>
      </c>
      <c r="F310" s="41"/>
      <c r="G310" s="4">
        <v>15.5</v>
      </c>
      <c r="H310" s="4">
        <v>14.7</v>
      </c>
      <c r="I310" s="4">
        <v>18</v>
      </c>
      <c r="J310" s="4">
        <f t="shared" si="27"/>
        <v>2313.3999999999996</v>
      </c>
      <c r="K310" s="4">
        <f t="shared" si="28"/>
        <v>308.3</v>
      </c>
      <c r="M310" s="4">
        <v>0</v>
      </c>
      <c r="N310" s="4">
        <v>2</v>
      </c>
      <c r="O310" s="4">
        <f t="shared" si="31"/>
        <v>-2</v>
      </c>
      <c r="Q310" s="4">
        <v>254</v>
      </c>
      <c r="R310" s="4">
        <f t="shared" si="34"/>
        <v>0.79878048780487798</v>
      </c>
      <c r="S310" s="4">
        <f t="shared" si="32"/>
        <v>1.597560975609756</v>
      </c>
      <c r="T310" s="4">
        <f t="shared" si="33"/>
        <v>-1.597560975609756</v>
      </c>
      <c r="U310" s="4">
        <f t="shared" si="29"/>
        <v>74.527736905238086</v>
      </c>
      <c r="W310" s="4">
        <v>803.4</v>
      </c>
      <c r="X310" s="4">
        <f t="shared" si="30"/>
        <v>31773.000000000004</v>
      </c>
      <c r="Y310">
        <v>15.627104422285417</v>
      </c>
    </row>
    <row r="311" spans="1:26" x14ac:dyDescent="0.35">
      <c r="A311">
        <v>2920</v>
      </c>
      <c r="B311">
        <v>23610</v>
      </c>
      <c r="C311" s="1">
        <v>42890</v>
      </c>
      <c r="F311" s="42" t="s">
        <v>58</v>
      </c>
      <c r="G311">
        <v>15.1</v>
      </c>
      <c r="H311">
        <v>11</v>
      </c>
      <c r="I311">
        <v>19.100000000000001</v>
      </c>
      <c r="J311">
        <f t="shared" si="27"/>
        <v>2328.4999999999995</v>
      </c>
      <c r="K311">
        <f>G311</f>
        <v>15.1</v>
      </c>
      <c r="L311" s="15" t="s">
        <v>36</v>
      </c>
      <c r="M311">
        <v>0</v>
      </c>
      <c r="N311">
        <v>3.1</v>
      </c>
      <c r="O311">
        <f t="shared" si="31"/>
        <v>-3.1</v>
      </c>
      <c r="Q311">
        <v>255</v>
      </c>
      <c r="R311">
        <f t="shared" si="34"/>
        <v>0.77926829268292674</v>
      </c>
      <c r="S311">
        <f t="shared" si="32"/>
        <v>2.415731707317073</v>
      </c>
      <c r="T311">
        <f t="shared" si="33"/>
        <v>-2.415731707317073</v>
      </c>
      <c r="U311">
        <f t="shared" si="29"/>
        <v>72.112005197921007</v>
      </c>
      <c r="V311" s="16" t="s">
        <v>43</v>
      </c>
      <c r="W311">
        <v>1838.2</v>
      </c>
      <c r="X311">
        <f>W311</f>
        <v>1838.2</v>
      </c>
      <c r="Y311">
        <v>15.650846805139345</v>
      </c>
      <c r="Z311" s="16" t="s">
        <v>48</v>
      </c>
    </row>
    <row r="312" spans="1:26" x14ac:dyDescent="0.35">
      <c r="A312">
        <v>2920</v>
      </c>
      <c r="B312">
        <v>23610</v>
      </c>
      <c r="C312" s="1">
        <v>42891</v>
      </c>
      <c r="F312" s="43"/>
      <c r="G312">
        <v>13.9</v>
      </c>
      <c r="H312">
        <v>11.4</v>
      </c>
      <c r="I312">
        <v>18.3</v>
      </c>
      <c r="J312">
        <f t="shared" si="27"/>
        <v>2342.3999999999996</v>
      </c>
      <c r="K312">
        <f t="shared" si="28"/>
        <v>29</v>
      </c>
      <c r="L312" s="8">
        <v>415.3</v>
      </c>
      <c r="M312">
        <v>12.5</v>
      </c>
      <c r="N312">
        <v>2.5</v>
      </c>
      <c r="O312">
        <f t="shared" si="31"/>
        <v>10</v>
      </c>
      <c r="Q312">
        <v>256</v>
      </c>
      <c r="R312">
        <f t="shared" si="34"/>
        <v>0.75975609756097562</v>
      </c>
      <c r="S312">
        <f t="shared" si="32"/>
        <v>1.899390243902439</v>
      </c>
      <c r="T312">
        <f t="shared" si="33"/>
        <v>10.600609756097562</v>
      </c>
      <c r="U312">
        <f t="shared" si="29"/>
        <v>82.712614954018562</v>
      </c>
      <c r="V312">
        <v>0</v>
      </c>
      <c r="W312">
        <v>1096</v>
      </c>
      <c r="X312">
        <f t="shared" si="30"/>
        <v>2934.2</v>
      </c>
      <c r="Y312">
        <v>15.673363511302922</v>
      </c>
      <c r="Z312">
        <v>49649.9</v>
      </c>
    </row>
    <row r="313" spans="1:26" x14ac:dyDescent="0.35">
      <c r="A313">
        <v>2920</v>
      </c>
      <c r="B313">
        <v>23610</v>
      </c>
      <c r="C313" s="1">
        <v>42892</v>
      </c>
      <c r="F313" s="43"/>
      <c r="G313">
        <v>13.4</v>
      </c>
      <c r="H313">
        <v>11.1</v>
      </c>
      <c r="I313">
        <v>15.6</v>
      </c>
      <c r="J313">
        <f t="shared" si="27"/>
        <v>2355.7999999999997</v>
      </c>
      <c r="K313">
        <f t="shared" si="28"/>
        <v>42.4</v>
      </c>
      <c r="L313" s="15" t="s">
        <v>37</v>
      </c>
      <c r="M313">
        <v>3.1</v>
      </c>
      <c r="N313">
        <v>3.2</v>
      </c>
      <c r="O313">
        <f t="shared" si="31"/>
        <v>-0.10000000000000009</v>
      </c>
      <c r="Q313">
        <v>257</v>
      </c>
      <c r="R313">
        <f t="shared" si="34"/>
        <v>0.74024390243902438</v>
      </c>
      <c r="S313">
        <f t="shared" si="32"/>
        <v>2.3687804878048779</v>
      </c>
      <c r="T313">
        <f t="shared" si="33"/>
        <v>0.73121951219512216</v>
      </c>
      <c r="U313">
        <f t="shared" si="29"/>
        <v>83.443834466213687</v>
      </c>
      <c r="V313" s="16" t="s">
        <v>44</v>
      </c>
      <c r="W313">
        <v>2162.6</v>
      </c>
      <c r="X313">
        <f t="shared" si="30"/>
        <v>5096.7999999999993</v>
      </c>
      <c r="Y313">
        <v>15.694636165821434</v>
      </c>
      <c r="Z313" s="16" t="s">
        <v>49</v>
      </c>
    </row>
    <row r="314" spans="1:26" x14ac:dyDescent="0.35">
      <c r="A314">
        <v>2920</v>
      </c>
      <c r="B314">
        <v>23610</v>
      </c>
      <c r="C314" s="1">
        <v>42893</v>
      </c>
      <c r="F314" s="43"/>
      <c r="G314">
        <v>14.6</v>
      </c>
      <c r="H314">
        <v>10.9</v>
      </c>
      <c r="I314">
        <v>18.399999999999999</v>
      </c>
      <c r="J314">
        <f t="shared" si="27"/>
        <v>2370.3999999999996</v>
      </c>
      <c r="K314">
        <f t="shared" si="28"/>
        <v>57</v>
      </c>
      <c r="L314" s="9">
        <f>AVERAGE(G311:G332)</f>
        <v>18.877272727272729</v>
      </c>
      <c r="M314">
        <v>0</v>
      </c>
      <c r="N314">
        <v>3.1</v>
      </c>
      <c r="O314">
        <f t="shared" si="31"/>
        <v>-3.1</v>
      </c>
      <c r="Q314">
        <v>258</v>
      </c>
      <c r="R314">
        <f t="shared" si="34"/>
        <v>0.72073170731707314</v>
      </c>
      <c r="S314">
        <f t="shared" si="32"/>
        <v>2.2342682926829269</v>
      </c>
      <c r="T314">
        <f t="shared" si="33"/>
        <v>-2.2342682926829269</v>
      </c>
      <c r="U314">
        <f t="shared" si="29"/>
        <v>81.20956617353076</v>
      </c>
      <c r="V314">
        <v>12</v>
      </c>
      <c r="W314">
        <v>1721.9</v>
      </c>
      <c r="X314">
        <f t="shared" si="30"/>
        <v>6818.6999999999989</v>
      </c>
      <c r="Y314">
        <v>15.714647180202101</v>
      </c>
      <c r="Z314">
        <f>(Z312/100)/L312</f>
        <v>1.1955189019985553</v>
      </c>
    </row>
    <row r="315" spans="1:26" x14ac:dyDescent="0.35">
      <c r="A315">
        <v>2920</v>
      </c>
      <c r="B315">
        <v>23610</v>
      </c>
      <c r="C315" s="1">
        <v>42894</v>
      </c>
      <c r="F315" s="43"/>
      <c r="G315">
        <v>17.100000000000001</v>
      </c>
      <c r="H315">
        <v>11.8</v>
      </c>
      <c r="I315">
        <v>22.7</v>
      </c>
      <c r="J315">
        <f t="shared" ref="J315:J368" si="35">J314+G315</f>
        <v>2387.4999999999995</v>
      </c>
      <c r="K315">
        <f t="shared" ref="K315:K368" si="36">K314+G315</f>
        <v>74.099999999999994</v>
      </c>
      <c r="L315" s="15" t="s">
        <v>38</v>
      </c>
      <c r="M315">
        <v>0</v>
      </c>
      <c r="N315">
        <v>2.1</v>
      </c>
      <c r="O315">
        <f t="shared" si="31"/>
        <v>-2.1</v>
      </c>
      <c r="Q315">
        <v>259</v>
      </c>
      <c r="R315">
        <f t="shared" si="34"/>
        <v>0.70121951219512191</v>
      </c>
      <c r="S315">
        <f t="shared" si="32"/>
        <v>1.472560975609756</v>
      </c>
      <c r="T315">
        <f t="shared" si="33"/>
        <v>-1.472560975609756</v>
      </c>
      <c r="U315">
        <f t="shared" ref="U315:U368" si="37">MIN(U314+T315,197.4)</f>
        <v>79.737005197921007</v>
      </c>
      <c r="V315" s="16" t="s">
        <v>45</v>
      </c>
      <c r="W315">
        <v>1098.9000000000001</v>
      </c>
      <c r="X315">
        <f t="shared" si="30"/>
        <v>7917.5999999999985</v>
      </c>
      <c r="Y315">
        <v>15.733379803633058</v>
      </c>
      <c r="Z315" s="16" t="s">
        <v>50</v>
      </c>
    </row>
    <row r="316" spans="1:26" x14ac:dyDescent="0.35">
      <c r="A316">
        <v>2920</v>
      </c>
      <c r="B316">
        <v>23610</v>
      </c>
      <c r="C316" s="1">
        <v>42895</v>
      </c>
      <c r="F316" s="43"/>
      <c r="G316">
        <v>17.100000000000001</v>
      </c>
      <c r="H316">
        <v>13.5</v>
      </c>
      <c r="I316">
        <v>20.5</v>
      </c>
      <c r="J316">
        <f t="shared" si="35"/>
        <v>2404.5999999999995</v>
      </c>
      <c r="K316">
        <f t="shared" si="36"/>
        <v>91.199999999999989</v>
      </c>
      <c r="L316" s="8">
        <f>MIN(H311:H332)</f>
        <v>10.5</v>
      </c>
      <c r="M316">
        <v>0</v>
      </c>
      <c r="N316">
        <v>3.4</v>
      </c>
      <c r="O316">
        <f t="shared" si="31"/>
        <v>-3.4</v>
      </c>
      <c r="Q316">
        <v>260</v>
      </c>
      <c r="R316">
        <f t="shared" si="34"/>
        <v>0.68170731707317067</v>
      </c>
      <c r="S316">
        <f t="shared" si="32"/>
        <v>2.3178048780487801</v>
      </c>
      <c r="T316">
        <f t="shared" si="33"/>
        <v>-2.3178048780487801</v>
      </c>
      <c r="U316">
        <f t="shared" si="37"/>
        <v>77.419200319872232</v>
      </c>
      <c r="V316" s="17">
        <f>MIN(U311:U332)</f>
        <v>35.114322271091751</v>
      </c>
      <c r="W316">
        <v>1804.9</v>
      </c>
      <c r="X316">
        <f t="shared" ref="X316:X368" si="38">X315+W316</f>
        <v>9722.4999999999982</v>
      </c>
      <c r="Y316">
        <v>15.750818172755142</v>
      </c>
      <c r="Z316">
        <v>1</v>
      </c>
    </row>
    <row r="317" spans="1:26" x14ac:dyDescent="0.35">
      <c r="A317">
        <v>2920</v>
      </c>
      <c r="B317">
        <v>23610</v>
      </c>
      <c r="C317" s="1">
        <v>42896</v>
      </c>
      <c r="F317" s="43"/>
      <c r="G317">
        <v>18.899999999999999</v>
      </c>
      <c r="H317">
        <v>13.9</v>
      </c>
      <c r="I317">
        <v>23.5</v>
      </c>
      <c r="J317">
        <f t="shared" si="35"/>
        <v>2423.4999999999995</v>
      </c>
      <c r="K317">
        <f t="shared" si="36"/>
        <v>110.1</v>
      </c>
      <c r="L317" s="15" t="s">
        <v>39</v>
      </c>
      <c r="M317">
        <v>0</v>
      </c>
      <c r="N317">
        <v>5.7</v>
      </c>
      <c r="O317">
        <f t="shared" si="31"/>
        <v>-5.7</v>
      </c>
      <c r="Q317">
        <v>261</v>
      </c>
      <c r="R317">
        <f t="shared" si="34"/>
        <v>0.66219512195121943</v>
      </c>
      <c r="S317">
        <f t="shared" si="32"/>
        <v>3.7745121951219507</v>
      </c>
      <c r="T317">
        <f t="shared" si="33"/>
        <v>-3.7745121951219507</v>
      </c>
      <c r="U317">
        <f t="shared" si="37"/>
        <v>73.644688124750274</v>
      </c>
      <c r="V317" s="16" t="s">
        <v>46</v>
      </c>
      <c r="W317">
        <v>3097.5</v>
      </c>
      <c r="X317">
        <f t="shared" si="38"/>
        <v>12819.999999999998</v>
      </c>
      <c r="Y317">
        <v>15.766947359690485</v>
      </c>
    </row>
    <row r="318" spans="1:26" x14ac:dyDescent="0.35">
      <c r="A318">
        <v>2920</v>
      </c>
      <c r="B318">
        <v>23610</v>
      </c>
      <c r="C318" s="1">
        <v>42897</v>
      </c>
      <c r="F318" s="43"/>
      <c r="G318">
        <v>16.7</v>
      </c>
      <c r="H318">
        <v>14.3</v>
      </c>
      <c r="I318">
        <v>21.1</v>
      </c>
      <c r="J318">
        <f t="shared" si="35"/>
        <v>2440.1999999999994</v>
      </c>
      <c r="K318">
        <f t="shared" si="36"/>
        <v>126.8</v>
      </c>
      <c r="L318" s="8">
        <f>MAX(I311:I332)</f>
        <v>33.799999999999997</v>
      </c>
      <c r="M318">
        <v>0.1</v>
      </c>
      <c r="N318">
        <v>2.1</v>
      </c>
      <c r="O318">
        <f t="shared" si="31"/>
        <v>-2</v>
      </c>
      <c r="Q318">
        <v>262</v>
      </c>
      <c r="R318">
        <f t="shared" si="34"/>
        <v>0.6426829268292682</v>
      </c>
      <c r="S318">
        <f t="shared" si="32"/>
        <v>1.3496341463414632</v>
      </c>
      <c r="T318">
        <f t="shared" si="33"/>
        <v>-1.2496341463414631</v>
      </c>
      <c r="U318">
        <f t="shared" si="37"/>
        <v>72.395053978408811</v>
      </c>
      <c r="V318" s="17">
        <f>MAX(U311:U332)</f>
        <v>83.443834466213687</v>
      </c>
      <c r="W318">
        <v>964.2</v>
      </c>
      <c r="X318">
        <f t="shared" si="38"/>
        <v>13784.199999999999</v>
      </c>
      <c r="Y318">
        <v>15.781753418034045</v>
      </c>
    </row>
    <row r="319" spans="1:26" x14ac:dyDescent="0.35">
      <c r="A319">
        <v>2920</v>
      </c>
      <c r="B319">
        <v>23610</v>
      </c>
      <c r="C319" s="1">
        <v>42898</v>
      </c>
      <c r="F319" s="43"/>
      <c r="G319">
        <v>14.9</v>
      </c>
      <c r="H319">
        <v>11.3</v>
      </c>
      <c r="I319">
        <v>19.100000000000001</v>
      </c>
      <c r="J319">
        <f t="shared" si="35"/>
        <v>2455.0999999999995</v>
      </c>
      <c r="K319">
        <f t="shared" si="36"/>
        <v>141.69999999999999</v>
      </c>
      <c r="L319" s="15" t="s">
        <v>40</v>
      </c>
      <c r="M319">
        <v>0</v>
      </c>
      <c r="N319">
        <v>4.3</v>
      </c>
      <c r="O319">
        <f t="shared" si="31"/>
        <v>-4.3</v>
      </c>
      <c r="Q319">
        <v>263</v>
      </c>
      <c r="R319">
        <f t="shared" si="34"/>
        <v>0.62317073170731696</v>
      </c>
      <c r="S319">
        <f t="shared" si="32"/>
        <v>2.679634146341463</v>
      </c>
      <c r="T319">
        <f t="shared" si="33"/>
        <v>-2.679634146341463</v>
      </c>
      <c r="U319">
        <f t="shared" si="37"/>
        <v>69.715419832067354</v>
      </c>
      <c r="V319" s="16" t="s">
        <v>47</v>
      </c>
      <c r="W319">
        <v>2474.5</v>
      </c>
      <c r="X319">
        <f t="shared" si="38"/>
        <v>16258.699999999999</v>
      </c>
      <c r="Y319">
        <v>15.795223426518856</v>
      </c>
    </row>
    <row r="320" spans="1:26" x14ac:dyDescent="0.35">
      <c r="A320">
        <v>2920</v>
      </c>
      <c r="B320">
        <v>23610</v>
      </c>
      <c r="C320" s="1">
        <v>42899</v>
      </c>
      <c r="F320" s="43"/>
      <c r="G320">
        <v>17.5</v>
      </c>
      <c r="H320">
        <v>10.5</v>
      </c>
      <c r="I320">
        <v>22.6</v>
      </c>
      <c r="J320">
        <f t="shared" si="35"/>
        <v>2472.5999999999995</v>
      </c>
      <c r="K320">
        <f t="shared" si="36"/>
        <v>159.19999999999999</v>
      </c>
      <c r="L320" s="8">
        <v>6</v>
      </c>
      <c r="M320">
        <v>0</v>
      </c>
      <c r="N320">
        <v>4.3</v>
      </c>
      <c r="O320">
        <f t="shared" si="31"/>
        <v>-4.3</v>
      </c>
      <c r="Q320">
        <v>264</v>
      </c>
      <c r="R320">
        <f t="shared" si="34"/>
        <v>0.60365853658536572</v>
      </c>
      <c r="S320">
        <f t="shared" si="32"/>
        <v>2.5957317073170727</v>
      </c>
      <c r="T320">
        <f t="shared" si="33"/>
        <v>-2.5957317073170727</v>
      </c>
      <c r="U320">
        <f t="shared" si="37"/>
        <v>67.119688124750283</v>
      </c>
      <c r="V320" s="17">
        <f>AVERAGE(U311:U332)</f>
        <v>60.478734687943195</v>
      </c>
      <c r="W320">
        <v>2580.4</v>
      </c>
      <c r="X320">
        <f t="shared" si="38"/>
        <v>18839.099999999999</v>
      </c>
      <c r="Y320">
        <v>15.807345530073876</v>
      </c>
    </row>
    <row r="321" spans="1:25" x14ac:dyDescent="0.35">
      <c r="A321">
        <v>2920</v>
      </c>
      <c r="B321">
        <v>23610</v>
      </c>
      <c r="C321" s="1">
        <v>42900</v>
      </c>
      <c r="F321" s="43"/>
      <c r="G321">
        <v>21.7</v>
      </c>
      <c r="H321">
        <v>16.2</v>
      </c>
      <c r="I321">
        <v>27.7</v>
      </c>
      <c r="J321">
        <f t="shared" si="35"/>
        <v>2494.2999999999993</v>
      </c>
      <c r="K321">
        <f t="shared" si="36"/>
        <v>180.89999999999998</v>
      </c>
      <c r="L321" s="15" t="s">
        <v>41</v>
      </c>
      <c r="M321">
        <v>0</v>
      </c>
      <c r="N321">
        <v>5</v>
      </c>
      <c r="O321">
        <f t="shared" si="31"/>
        <v>-5</v>
      </c>
      <c r="Q321">
        <v>265</v>
      </c>
      <c r="R321">
        <f t="shared" si="34"/>
        <v>0.5841463414634146</v>
      </c>
      <c r="S321">
        <f t="shared" si="32"/>
        <v>2.9207317073170729</v>
      </c>
      <c r="T321">
        <f t="shared" si="33"/>
        <v>-2.9207317073170729</v>
      </c>
      <c r="U321">
        <f t="shared" si="37"/>
        <v>64.198956417433209</v>
      </c>
      <c r="W321">
        <v>2468.6</v>
      </c>
      <c r="X321">
        <f t="shared" si="38"/>
        <v>21307.699999999997</v>
      </c>
      <c r="Y321">
        <v>15.818108978004114</v>
      </c>
    </row>
    <row r="322" spans="1:25" x14ac:dyDescent="0.35">
      <c r="A322">
        <v>2920</v>
      </c>
      <c r="B322">
        <v>23610</v>
      </c>
      <c r="C322" s="1">
        <v>42901</v>
      </c>
      <c r="F322" s="43"/>
      <c r="G322">
        <v>18.3</v>
      </c>
      <c r="H322">
        <v>15.4</v>
      </c>
      <c r="I322">
        <v>24.6</v>
      </c>
      <c r="J322">
        <f t="shared" si="35"/>
        <v>2512.5999999999995</v>
      </c>
      <c r="K322">
        <f t="shared" si="36"/>
        <v>199.2</v>
      </c>
      <c r="L322" s="8">
        <v>0</v>
      </c>
      <c r="M322">
        <v>0</v>
      </c>
      <c r="N322">
        <v>5.9</v>
      </c>
      <c r="O322">
        <f t="shared" si="31"/>
        <v>-5.9</v>
      </c>
      <c r="Q322">
        <v>266</v>
      </c>
      <c r="R322">
        <f t="shared" si="34"/>
        <v>0.56463414634146336</v>
      </c>
      <c r="S322">
        <f t="shared" si="32"/>
        <v>3.3313414634146339</v>
      </c>
      <c r="T322">
        <f t="shared" si="33"/>
        <v>-3.3313414634146339</v>
      </c>
      <c r="U322">
        <f t="shared" si="37"/>
        <v>60.867614954018578</v>
      </c>
      <c r="V322" s="18">
        <f>(V320*100)/197.4</f>
        <v>30.637656883456533</v>
      </c>
      <c r="W322">
        <v>2895.9</v>
      </c>
      <c r="X322">
        <f t="shared" si="38"/>
        <v>24203.599999999999</v>
      </c>
      <c r="Y322">
        <v>15.827504159036636</v>
      </c>
    </row>
    <row r="323" spans="1:25" x14ac:dyDescent="0.35">
      <c r="A323">
        <v>2920</v>
      </c>
      <c r="B323">
        <v>23610</v>
      </c>
      <c r="C323" s="1">
        <v>42902</v>
      </c>
      <c r="F323" s="43"/>
      <c r="G323">
        <v>16.899999999999999</v>
      </c>
      <c r="H323">
        <v>11.8</v>
      </c>
      <c r="I323">
        <v>21.1</v>
      </c>
      <c r="J323">
        <f t="shared" si="35"/>
        <v>2529.4999999999995</v>
      </c>
      <c r="K323">
        <f t="shared" si="36"/>
        <v>216.1</v>
      </c>
      <c r="L323" s="15" t="s">
        <v>42</v>
      </c>
      <c r="M323">
        <v>0</v>
      </c>
      <c r="N323">
        <v>5.4</v>
      </c>
      <c r="O323">
        <f t="shared" si="31"/>
        <v>-5.4</v>
      </c>
      <c r="Q323">
        <v>267</v>
      </c>
      <c r="R323">
        <f t="shared" si="34"/>
        <v>0.54512195121951212</v>
      </c>
      <c r="S323">
        <f t="shared" si="32"/>
        <v>2.9436585365853656</v>
      </c>
      <c r="T323">
        <f t="shared" si="33"/>
        <v>-2.9436585365853656</v>
      </c>
      <c r="U323">
        <f t="shared" si="37"/>
        <v>57.92395641743321</v>
      </c>
      <c r="W323">
        <v>3073.1</v>
      </c>
      <c r="X323">
        <f t="shared" si="38"/>
        <v>27276.699999999997</v>
      </c>
      <c r="Y323">
        <v>15.83552263299285</v>
      </c>
    </row>
    <row r="324" spans="1:25" x14ac:dyDescent="0.35">
      <c r="A324">
        <v>2920</v>
      </c>
      <c r="B324">
        <v>23610</v>
      </c>
      <c r="C324" s="1">
        <v>42903</v>
      </c>
      <c r="F324" s="43"/>
      <c r="G324">
        <v>20.6</v>
      </c>
      <c r="H324">
        <v>13.4</v>
      </c>
      <c r="I324">
        <v>25.7</v>
      </c>
      <c r="J324">
        <f t="shared" si="35"/>
        <v>2550.0999999999995</v>
      </c>
      <c r="K324">
        <f t="shared" si="36"/>
        <v>236.7</v>
      </c>
      <c r="L324" s="8">
        <v>0</v>
      </c>
      <c r="M324">
        <v>0</v>
      </c>
      <c r="N324">
        <v>6.1</v>
      </c>
      <c r="O324">
        <f t="shared" si="31"/>
        <v>-6.1</v>
      </c>
      <c r="Q324">
        <v>268</v>
      </c>
      <c r="R324">
        <f t="shared" si="34"/>
        <v>0.52560975609756089</v>
      </c>
      <c r="S324">
        <f t="shared" si="32"/>
        <v>3.2062195121951214</v>
      </c>
      <c r="T324">
        <f t="shared" si="33"/>
        <v>-3.2062195121951214</v>
      </c>
      <c r="U324">
        <f t="shared" si="37"/>
        <v>54.717736905238091</v>
      </c>
      <c r="W324">
        <v>3218.3</v>
      </c>
      <c r="X324">
        <f t="shared" si="38"/>
        <v>30494.999999999996</v>
      </c>
      <c r="Y324">
        <v>15.842157158867153</v>
      </c>
    </row>
    <row r="325" spans="1:25" x14ac:dyDescent="0.35">
      <c r="A325">
        <v>2920</v>
      </c>
      <c r="B325">
        <v>23610</v>
      </c>
      <c r="C325" s="1">
        <v>42904</v>
      </c>
      <c r="F325" s="43"/>
      <c r="G325">
        <v>23.9</v>
      </c>
      <c r="H325">
        <v>16.7</v>
      </c>
      <c r="I325">
        <v>30</v>
      </c>
      <c r="J325">
        <f t="shared" si="35"/>
        <v>2573.9999999999995</v>
      </c>
      <c r="K325">
        <f t="shared" si="36"/>
        <v>260.59999999999997</v>
      </c>
      <c r="M325">
        <v>0</v>
      </c>
      <c r="N325">
        <v>6.7</v>
      </c>
      <c r="O325">
        <f t="shared" si="31"/>
        <v>-6.7</v>
      </c>
      <c r="Q325">
        <v>269</v>
      </c>
      <c r="R325">
        <f t="shared" si="34"/>
        <v>0.50609756097560965</v>
      </c>
      <c r="S325">
        <f t="shared" si="32"/>
        <v>3.3908536585365847</v>
      </c>
      <c r="T325">
        <f t="shared" si="33"/>
        <v>-3.3908536585365847</v>
      </c>
      <c r="U325">
        <f t="shared" si="37"/>
        <v>51.326883246701506</v>
      </c>
      <c r="W325">
        <v>2991</v>
      </c>
      <c r="X325">
        <f t="shared" si="38"/>
        <v>33486</v>
      </c>
      <c r="Y325">
        <v>15.847401719114204</v>
      </c>
    </row>
    <row r="326" spans="1:25" x14ac:dyDescent="0.35">
      <c r="A326">
        <v>2920</v>
      </c>
      <c r="B326">
        <v>23610</v>
      </c>
      <c r="C326" s="1">
        <v>42905</v>
      </c>
      <c r="F326" s="43"/>
      <c r="G326">
        <v>26.7</v>
      </c>
      <c r="H326">
        <v>20.5</v>
      </c>
      <c r="I326">
        <v>33</v>
      </c>
      <c r="J326">
        <f t="shared" si="35"/>
        <v>2600.6999999999994</v>
      </c>
      <c r="K326">
        <f t="shared" si="36"/>
        <v>287.29999999999995</v>
      </c>
      <c r="M326">
        <v>0</v>
      </c>
      <c r="N326">
        <v>7.9</v>
      </c>
      <c r="O326">
        <f t="shared" ref="O326:O368" si="39">M326-N326</f>
        <v>-7.9</v>
      </c>
      <c r="Q326">
        <v>270</v>
      </c>
      <c r="R326">
        <f t="shared" si="34"/>
        <v>0.48658536585365852</v>
      </c>
      <c r="S326">
        <f t="shared" ref="S326:S368" si="40">R326*N326</f>
        <v>3.8440243902439026</v>
      </c>
      <c r="T326">
        <f t="shared" ref="T326:T368" si="41">M326-S326</f>
        <v>-3.8440243902439026</v>
      </c>
      <c r="U326">
        <f t="shared" si="37"/>
        <v>47.482858856457604</v>
      </c>
      <c r="W326">
        <v>3256.9</v>
      </c>
      <c r="X326">
        <f t="shared" si="38"/>
        <v>36742.9</v>
      </c>
      <c r="Y326">
        <v>15.851251539971809</v>
      </c>
    </row>
    <row r="327" spans="1:25" x14ac:dyDescent="0.35">
      <c r="A327">
        <v>2920</v>
      </c>
      <c r="B327">
        <v>23610</v>
      </c>
      <c r="C327" s="1">
        <v>42906</v>
      </c>
      <c r="F327" s="43"/>
      <c r="G327">
        <v>27.2</v>
      </c>
      <c r="H327">
        <v>21.4</v>
      </c>
      <c r="I327">
        <v>33.799999999999997</v>
      </c>
      <c r="J327">
        <f t="shared" si="35"/>
        <v>2627.8999999999992</v>
      </c>
      <c r="K327">
        <f t="shared" si="36"/>
        <v>314.49999999999994</v>
      </c>
      <c r="M327">
        <v>0</v>
      </c>
      <c r="N327">
        <v>7.5</v>
      </c>
      <c r="O327">
        <f t="shared" si="39"/>
        <v>-7.5</v>
      </c>
      <c r="Q327">
        <v>271</v>
      </c>
      <c r="R327">
        <f t="shared" si="34"/>
        <v>0.46707317073170729</v>
      </c>
      <c r="S327">
        <f t="shared" si="40"/>
        <v>3.5030487804878048</v>
      </c>
      <c r="T327">
        <f t="shared" si="41"/>
        <v>-3.5030487804878048</v>
      </c>
      <c r="U327">
        <f t="shared" si="37"/>
        <v>43.979810075969802</v>
      </c>
      <c r="W327">
        <v>3163.3</v>
      </c>
      <c r="X327">
        <f t="shared" si="38"/>
        <v>39906.200000000004</v>
      </c>
      <c r="Y327">
        <v>15.85370310767316</v>
      </c>
    </row>
    <row r="328" spans="1:25" x14ac:dyDescent="0.35">
      <c r="A328">
        <v>2920</v>
      </c>
      <c r="B328">
        <v>23610</v>
      </c>
      <c r="C328" s="1">
        <v>42907</v>
      </c>
      <c r="F328" s="43"/>
      <c r="G328">
        <v>23.8</v>
      </c>
      <c r="H328">
        <v>17.2</v>
      </c>
      <c r="I328">
        <v>30.5</v>
      </c>
      <c r="J328">
        <f t="shared" si="35"/>
        <v>2651.6999999999994</v>
      </c>
      <c r="K328">
        <f t="shared" si="36"/>
        <v>338.29999999999995</v>
      </c>
      <c r="M328">
        <v>0</v>
      </c>
      <c r="N328">
        <v>6.8</v>
      </c>
      <c r="O328">
        <f t="shared" si="39"/>
        <v>-6.8</v>
      </c>
      <c r="Q328">
        <v>272</v>
      </c>
      <c r="R328">
        <f t="shared" si="34"/>
        <v>0.44756097560975605</v>
      </c>
      <c r="S328">
        <f t="shared" si="40"/>
        <v>3.0434146341463411</v>
      </c>
      <c r="T328">
        <f t="shared" si="41"/>
        <v>-3.0434146341463411</v>
      </c>
      <c r="U328">
        <f t="shared" si="37"/>
        <v>40.936395441823464</v>
      </c>
      <c r="W328">
        <v>2934.8</v>
      </c>
      <c r="X328">
        <f t="shared" si="38"/>
        <v>42841.000000000007</v>
      </c>
      <c r="Y328">
        <v>15.854754180430909</v>
      </c>
    </row>
    <row r="329" spans="1:25" x14ac:dyDescent="0.35">
      <c r="A329">
        <v>2920</v>
      </c>
      <c r="B329">
        <v>23610</v>
      </c>
      <c r="C329" s="1">
        <v>42908</v>
      </c>
      <c r="F329" s="43"/>
      <c r="G329">
        <v>19.100000000000001</v>
      </c>
      <c r="H329">
        <v>16.3</v>
      </c>
      <c r="I329">
        <v>22.2</v>
      </c>
      <c r="J329">
        <f t="shared" si="35"/>
        <v>2670.7999999999993</v>
      </c>
      <c r="K329">
        <f t="shared" si="36"/>
        <v>357.4</v>
      </c>
      <c r="M329">
        <v>0</v>
      </c>
      <c r="N329">
        <v>3.9</v>
      </c>
      <c r="O329">
        <f t="shared" si="39"/>
        <v>-3.9</v>
      </c>
      <c r="Q329">
        <v>273</v>
      </c>
      <c r="R329">
        <f t="shared" si="34"/>
        <v>0.42804878048780481</v>
      </c>
      <c r="S329">
        <f t="shared" si="40"/>
        <v>1.6693902439024388</v>
      </c>
      <c r="T329">
        <f t="shared" si="41"/>
        <v>-1.6693902439024388</v>
      </c>
      <c r="U329">
        <f t="shared" si="37"/>
        <v>39.267005197921023</v>
      </c>
      <c r="W329">
        <v>1988.3</v>
      </c>
      <c r="X329">
        <f t="shared" si="38"/>
        <v>44829.30000000001</v>
      </c>
      <c r="Y329">
        <v>15.854403796105522</v>
      </c>
    </row>
    <row r="330" spans="1:25" x14ac:dyDescent="0.35">
      <c r="A330">
        <v>2920</v>
      </c>
      <c r="B330">
        <v>23610</v>
      </c>
      <c r="C330" s="1">
        <v>42909</v>
      </c>
      <c r="F330" s="43"/>
      <c r="G330">
        <v>18</v>
      </c>
      <c r="H330">
        <v>14.3</v>
      </c>
      <c r="I330">
        <v>21.6</v>
      </c>
      <c r="J330">
        <f t="shared" si="35"/>
        <v>2688.7999999999993</v>
      </c>
      <c r="K330">
        <f t="shared" si="36"/>
        <v>375.4</v>
      </c>
      <c r="M330">
        <v>0</v>
      </c>
      <c r="N330">
        <v>2.5</v>
      </c>
      <c r="O330">
        <f t="shared" si="39"/>
        <v>-2.5</v>
      </c>
      <c r="Q330">
        <v>274</v>
      </c>
      <c r="R330">
        <f t="shared" si="34"/>
        <v>0.40853658536585358</v>
      </c>
      <c r="S330">
        <f t="shared" si="40"/>
        <v>1.0213414634146338</v>
      </c>
      <c r="T330">
        <f t="shared" si="41"/>
        <v>-1.0213414634146338</v>
      </c>
      <c r="U330">
        <f t="shared" si="37"/>
        <v>38.245663734506387</v>
      </c>
      <c r="W330">
        <v>864.2</v>
      </c>
      <c r="X330">
        <f t="shared" si="38"/>
        <v>45693.500000000007</v>
      </c>
      <c r="Y330">
        <v>15.852652275501848</v>
      </c>
    </row>
    <row r="331" spans="1:25" ht="15" thickBot="1" x14ac:dyDescent="0.4">
      <c r="A331">
        <v>2920</v>
      </c>
      <c r="B331">
        <v>23610</v>
      </c>
      <c r="C331" s="1">
        <v>42910</v>
      </c>
      <c r="F331" s="43"/>
      <c r="G331">
        <v>19.3</v>
      </c>
      <c r="H331">
        <v>15</v>
      </c>
      <c r="I331">
        <v>22.2</v>
      </c>
      <c r="J331">
        <f t="shared" si="35"/>
        <v>2708.0999999999995</v>
      </c>
      <c r="K331">
        <f t="shared" si="36"/>
        <v>394.7</v>
      </c>
      <c r="M331">
        <v>0</v>
      </c>
      <c r="N331">
        <v>3.3</v>
      </c>
      <c r="O331">
        <f t="shared" si="39"/>
        <v>-3.3</v>
      </c>
      <c r="Q331">
        <v>275</v>
      </c>
      <c r="R331">
        <f t="shared" si="34"/>
        <v>0.38902439024390245</v>
      </c>
      <c r="S331">
        <f t="shared" si="40"/>
        <v>1.283780487804878</v>
      </c>
      <c r="T331">
        <f t="shared" si="41"/>
        <v>-1.283780487804878</v>
      </c>
      <c r="U331">
        <f t="shared" si="37"/>
        <v>36.961883246701511</v>
      </c>
      <c r="W331">
        <v>1672.1</v>
      </c>
      <c r="X331">
        <f t="shared" si="38"/>
        <v>47365.600000000006</v>
      </c>
      <c r="Y331" s="4">
        <v>15.849501221269582</v>
      </c>
    </row>
    <row r="332" spans="1:25" s="4" customFormat="1" ht="15" thickBot="1" x14ac:dyDescent="0.4">
      <c r="A332" s="4">
        <v>2920</v>
      </c>
      <c r="B332" s="4">
        <v>23610</v>
      </c>
      <c r="C332" s="5">
        <v>42911</v>
      </c>
      <c r="D332" s="4">
        <v>1000</v>
      </c>
      <c r="F332" s="44"/>
      <c r="G332" s="4">
        <v>20.6</v>
      </c>
      <c r="H332" s="4">
        <v>16.5</v>
      </c>
      <c r="I332" s="4">
        <v>24.4</v>
      </c>
      <c r="J332" s="4">
        <f t="shared" si="35"/>
        <v>2728.6999999999994</v>
      </c>
      <c r="K332" s="4">
        <f t="shared" si="36"/>
        <v>415.3</v>
      </c>
      <c r="M332" s="4">
        <v>0</v>
      </c>
      <c r="N332" s="4">
        <v>5</v>
      </c>
      <c r="O332" s="4">
        <f t="shared" si="39"/>
        <v>-5</v>
      </c>
      <c r="Q332" s="4">
        <v>276</v>
      </c>
      <c r="R332" s="4">
        <f t="shared" si="34"/>
        <v>0.36951219512195121</v>
      </c>
      <c r="S332" s="4">
        <f t="shared" si="40"/>
        <v>1.8475609756097562</v>
      </c>
      <c r="T332" s="4">
        <f t="shared" si="41"/>
        <v>-1.8475609756097562</v>
      </c>
      <c r="U332" s="4">
        <f t="shared" si="37"/>
        <v>35.114322271091751</v>
      </c>
      <c r="W332" s="4">
        <v>2284.3000000000002</v>
      </c>
      <c r="X332" s="4">
        <f t="shared" si="38"/>
        <v>49649.900000000009</v>
      </c>
      <c r="Y332">
        <v>15.844953512415767</v>
      </c>
    </row>
    <row r="333" spans="1:25" s="4" customFormat="1" ht="15" thickBot="1" x14ac:dyDescent="0.4">
      <c r="A333" s="4">
        <v>2920</v>
      </c>
      <c r="B333" s="4">
        <v>23610</v>
      </c>
      <c r="C333" s="5">
        <v>42912</v>
      </c>
      <c r="D333" s="4" t="s">
        <v>32</v>
      </c>
      <c r="G333" s="4">
        <v>20.100000000000001</v>
      </c>
      <c r="H333" s="4">
        <v>16.100000000000001</v>
      </c>
      <c r="I333" s="4">
        <v>24.8</v>
      </c>
      <c r="J333" s="6">
        <f t="shared" si="35"/>
        <v>2748.7999999999993</v>
      </c>
      <c r="K333" s="25">
        <f t="shared" si="36"/>
        <v>435.40000000000003</v>
      </c>
      <c r="M333" s="4">
        <v>0</v>
      </c>
      <c r="N333" s="4">
        <v>3.3</v>
      </c>
      <c r="O333" s="4">
        <f t="shared" si="39"/>
        <v>-3.3</v>
      </c>
      <c r="Q333" s="4">
        <v>277</v>
      </c>
      <c r="R333" s="4">
        <f t="shared" si="34"/>
        <v>0.35</v>
      </c>
      <c r="S333" s="4">
        <f t="shared" si="40"/>
        <v>1.1549999999999998</v>
      </c>
      <c r="T333" s="4">
        <f t="shared" si="41"/>
        <v>-1.1549999999999998</v>
      </c>
      <c r="U333" s="4">
        <f t="shared" si="37"/>
        <v>33.95932227109175</v>
      </c>
      <c r="W333" s="4">
        <v>1487.8</v>
      </c>
      <c r="X333">
        <f t="shared" si="38"/>
        <v>51137.700000000012</v>
      </c>
      <c r="Y333" s="4">
        <v>15.839013294469575</v>
      </c>
    </row>
    <row r="334" spans="1:25" x14ac:dyDescent="0.35">
      <c r="A334">
        <v>2920</v>
      </c>
      <c r="B334">
        <v>23610</v>
      </c>
      <c r="C334" s="1">
        <v>42913</v>
      </c>
      <c r="G334">
        <v>16.399999999999999</v>
      </c>
      <c r="H334">
        <v>15.7</v>
      </c>
      <c r="I334">
        <v>17.2</v>
      </c>
      <c r="J334">
        <f t="shared" si="35"/>
        <v>2765.1999999999994</v>
      </c>
      <c r="K334">
        <f t="shared" si="36"/>
        <v>451.8</v>
      </c>
      <c r="M334">
        <v>5.7</v>
      </c>
      <c r="N334">
        <v>1</v>
      </c>
      <c r="O334">
        <f t="shared" si="39"/>
        <v>4.7</v>
      </c>
      <c r="Q334">
        <v>278</v>
      </c>
      <c r="S334">
        <f t="shared" si="40"/>
        <v>0</v>
      </c>
      <c r="T334">
        <f t="shared" si="41"/>
        <v>5.7</v>
      </c>
      <c r="U334">
        <f t="shared" si="37"/>
        <v>39.659322271091753</v>
      </c>
      <c r="W334">
        <v>518.70000000000005</v>
      </c>
      <c r="X334">
        <f t="shared" si="38"/>
        <v>51656.400000000009</v>
      </c>
    </row>
    <row r="335" spans="1:25" x14ac:dyDescent="0.35">
      <c r="A335">
        <v>2920</v>
      </c>
      <c r="B335">
        <v>23610</v>
      </c>
      <c r="C335" s="1">
        <v>42914</v>
      </c>
      <c r="G335">
        <v>17.2</v>
      </c>
      <c r="H335">
        <v>16.100000000000001</v>
      </c>
      <c r="I335">
        <v>21.1</v>
      </c>
      <c r="J335">
        <f t="shared" si="35"/>
        <v>2782.3999999999992</v>
      </c>
      <c r="K335">
        <f t="shared" si="36"/>
        <v>469</v>
      </c>
      <c r="M335">
        <v>0.8</v>
      </c>
      <c r="N335">
        <v>3.8</v>
      </c>
      <c r="O335">
        <f t="shared" si="39"/>
        <v>-3</v>
      </c>
      <c r="Q335">
        <v>279</v>
      </c>
      <c r="S335">
        <f t="shared" si="40"/>
        <v>0</v>
      </c>
      <c r="T335">
        <f t="shared" si="41"/>
        <v>0.8</v>
      </c>
      <c r="U335">
        <f t="shared" si="37"/>
        <v>40.45932227109175</v>
      </c>
      <c r="W335">
        <v>1875.9</v>
      </c>
      <c r="X335">
        <f t="shared" si="38"/>
        <v>53532.30000000001</v>
      </c>
    </row>
    <row r="336" spans="1:25" x14ac:dyDescent="0.35">
      <c r="A336">
        <v>2920</v>
      </c>
      <c r="B336">
        <v>23610</v>
      </c>
      <c r="C336" s="1">
        <v>42915</v>
      </c>
      <c r="G336">
        <v>15</v>
      </c>
      <c r="H336">
        <v>11.7</v>
      </c>
      <c r="I336">
        <v>18.3</v>
      </c>
      <c r="J336">
        <f t="shared" si="35"/>
        <v>2797.3999999999992</v>
      </c>
      <c r="K336">
        <f t="shared" si="36"/>
        <v>484</v>
      </c>
      <c r="M336">
        <v>7</v>
      </c>
      <c r="N336">
        <v>2.4</v>
      </c>
      <c r="O336">
        <f t="shared" si="39"/>
        <v>4.5999999999999996</v>
      </c>
      <c r="Q336">
        <v>280</v>
      </c>
      <c r="S336">
        <f t="shared" si="40"/>
        <v>0</v>
      </c>
      <c r="T336">
        <f t="shared" si="41"/>
        <v>7</v>
      </c>
      <c r="U336">
        <f t="shared" si="37"/>
        <v>47.45932227109175</v>
      </c>
      <c r="W336">
        <v>1291.5999999999999</v>
      </c>
      <c r="X336">
        <f t="shared" si="38"/>
        <v>54823.900000000009</v>
      </c>
    </row>
    <row r="337" spans="1:24" x14ac:dyDescent="0.35">
      <c r="A337">
        <v>2920</v>
      </c>
      <c r="B337">
        <v>23610</v>
      </c>
      <c r="C337" s="1">
        <v>42916</v>
      </c>
      <c r="G337">
        <v>14</v>
      </c>
      <c r="H337">
        <v>12.7</v>
      </c>
      <c r="I337">
        <v>15.2</v>
      </c>
      <c r="J337">
        <f t="shared" si="35"/>
        <v>2811.3999999999992</v>
      </c>
      <c r="K337">
        <f t="shared" si="36"/>
        <v>498</v>
      </c>
      <c r="M337">
        <v>5.9</v>
      </c>
      <c r="N337">
        <v>1.1000000000000001</v>
      </c>
      <c r="O337">
        <f t="shared" si="39"/>
        <v>4.8000000000000007</v>
      </c>
      <c r="Q337">
        <v>281</v>
      </c>
      <c r="S337">
        <f t="shared" si="40"/>
        <v>0</v>
      </c>
      <c r="T337">
        <f t="shared" si="41"/>
        <v>5.9</v>
      </c>
      <c r="U337">
        <f t="shared" si="37"/>
        <v>53.359322271091749</v>
      </c>
      <c r="W337">
        <v>513.4</v>
      </c>
      <c r="X337">
        <f t="shared" si="38"/>
        <v>55337.30000000001</v>
      </c>
    </row>
    <row r="338" spans="1:24" x14ac:dyDescent="0.35">
      <c r="A338">
        <v>2920</v>
      </c>
      <c r="B338">
        <v>23610</v>
      </c>
      <c r="C338" s="1">
        <v>42917</v>
      </c>
      <c r="G338">
        <v>15.6</v>
      </c>
      <c r="H338">
        <v>13.6</v>
      </c>
      <c r="I338">
        <v>19.5</v>
      </c>
      <c r="J338">
        <f t="shared" si="35"/>
        <v>2826.9999999999991</v>
      </c>
      <c r="K338">
        <f t="shared" si="36"/>
        <v>513.6</v>
      </c>
      <c r="M338">
        <v>0.3</v>
      </c>
      <c r="N338">
        <v>1.9</v>
      </c>
      <c r="O338">
        <f t="shared" si="39"/>
        <v>-1.5999999999999999</v>
      </c>
      <c r="Q338">
        <v>282</v>
      </c>
      <c r="S338">
        <f t="shared" si="40"/>
        <v>0</v>
      </c>
      <c r="T338">
        <f t="shared" si="41"/>
        <v>0.3</v>
      </c>
      <c r="U338">
        <f t="shared" si="37"/>
        <v>53.659322271091746</v>
      </c>
      <c r="W338">
        <v>714.4</v>
      </c>
      <c r="X338">
        <f t="shared" si="38"/>
        <v>56051.700000000012</v>
      </c>
    </row>
    <row r="339" spans="1:24" x14ac:dyDescent="0.35">
      <c r="A339">
        <v>2920</v>
      </c>
      <c r="B339">
        <v>23610</v>
      </c>
      <c r="C339" s="1">
        <v>42918</v>
      </c>
      <c r="G339">
        <v>17.7</v>
      </c>
      <c r="H339">
        <v>12.3</v>
      </c>
      <c r="I339">
        <v>21.4</v>
      </c>
      <c r="J339">
        <f t="shared" si="35"/>
        <v>2844.6999999999989</v>
      </c>
      <c r="K339">
        <f t="shared" si="36"/>
        <v>531.30000000000007</v>
      </c>
      <c r="M339">
        <v>0.1</v>
      </c>
      <c r="N339">
        <v>1.3</v>
      </c>
      <c r="O339">
        <f t="shared" si="39"/>
        <v>-1.2</v>
      </c>
      <c r="Q339">
        <v>283</v>
      </c>
      <c r="S339">
        <f t="shared" si="40"/>
        <v>0</v>
      </c>
      <c r="T339">
        <f t="shared" si="41"/>
        <v>0.1</v>
      </c>
      <c r="U339">
        <f t="shared" si="37"/>
        <v>53.759322271091747</v>
      </c>
      <c r="W339">
        <v>739.5</v>
      </c>
      <c r="X339">
        <f t="shared" si="38"/>
        <v>56791.200000000012</v>
      </c>
    </row>
    <row r="340" spans="1:24" x14ac:dyDescent="0.35">
      <c r="A340">
        <v>2920</v>
      </c>
      <c r="B340">
        <v>23610</v>
      </c>
      <c r="C340" s="1">
        <v>42919</v>
      </c>
      <c r="G340">
        <v>18</v>
      </c>
      <c r="H340">
        <v>15.5</v>
      </c>
      <c r="I340">
        <v>21.8</v>
      </c>
      <c r="J340">
        <f t="shared" si="35"/>
        <v>2862.6999999999989</v>
      </c>
      <c r="K340">
        <f t="shared" si="36"/>
        <v>549.30000000000007</v>
      </c>
      <c r="M340">
        <v>0</v>
      </c>
      <c r="N340">
        <v>3.2</v>
      </c>
      <c r="O340">
        <f t="shared" si="39"/>
        <v>-3.2</v>
      </c>
      <c r="Q340">
        <v>284</v>
      </c>
      <c r="S340">
        <f t="shared" si="40"/>
        <v>0</v>
      </c>
      <c r="T340">
        <f t="shared" si="41"/>
        <v>0</v>
      </c>
      <c r="U340">
        <f t="shared" si="37"/>
        <v>53.759322271091747</v>
      </c>
      <c r="W340">
        <v>1609.9</v>
      </c>
      <c r="X340">
        <f t="shared" si="38"/>
        <v>58401.100000000013</v>
      </c>
    </row>
    <row r="341" spans="1:24" x14ac:dyDescent="0.35">
      <c r="A341">
        <v>2920</v>
      </c>
      <c r="B341">
        <v>23610</v>
      </c>
      <c r="C341" s="1">
        <v>42920</v>
      </c>
      <c r="G341">
        <v>19.899999999999999</v>
      </c>
      <c r="H341">
        <v>12.6</v>
      </c>
      <c r="I341">
        <v>25.7</v>
      </c>
      <c r="J341">
        <f t="shared" si="35"/>
        <v>2882.599999999999</v>
      </c>
      <c r="K341">
        <f t="shared" si="36"/>
        <v>569.20000000000005</v>
      </c>
      <c r="M341">
        <v>0</v>
      </c>
      <c r="N341">
        <v>5.7</v>
      </c>
      <c r="O341">
        <f t="shared" si="39"/>
        <v>-5.7</v>
      </c>
      <c r="Q341">
        <v>285</v>
      </c>
      <c r="S341">
        <f t="shared" si="40"/>
        <v>0</v>
      </c>
      <c r="T341">
        <f t="shared" si="41"/>
        <v>0</v>
      </c>
      <c r="U341">
        <f t="shared" si="37"/>
        <v>53.759322271091747</v>
      </c>
      <c r="W341">
        <v>3064.2</v>
      </c>
      <c r="X341">
        <f t="shared" si="38"/>
        <v>61465.30000000001</v>
      </c>
    </row>
    <row r="342" spans="1:24" x14ac:dyDescent="0.35">
      <c r="A342">
        <v>2920</v>
      </c>
      <c r="B342">
        <v>23610</v>
      </c>
      <c r="C342" s="1">
        <v>42921</v>
      </c>
      <c r="G342">
        <v>24.3</v>
      </c>
      <c r="H342">
        <v>15.9</v>
      </c>
      <c r="I342">
        <v>31.5</v>
      </c>
      <c r="J342">
        <f t="shared" si="35"/>
        <v>2906.8999999999992</v>
      </c>
      <c r="K342">
        <f t="shared" si="36"/>
        <v>593.5</v>
      </c>
      <c r="M342">
        <v>0</v>
      </c>
      <c r="N342">
        <v>4.2</v>
      </c>
      <c r="O342">
        <f t="shared" si="39"/>
        <v>-4.2</v>
      </c>
      <c r="Q342">
        <v>286</v>
      </c>
      <c r="S342">
        <f t="shared" si="40"/>
        <v>0</v>
      </c>
      <c r="T342">
        <f t="shared" si="41"/>
        <v>0</v>
      </c>
      <c r="U342">
        <f t="shared" si="37"/>
        <v>53.759322271091747</v>
      </c>
      <c r="W342">
        <v>1705.6</v>
      </c>
      <c r="X342">
        <f t="shared" si="38"/>
        <v>63170.900000000009</v>
      </c>
    </row>
    <row r="343" spans="1:24" x14ac:dyDescent="0.35">
      <c r="A343">
        <v>2920</v>
      </c>
      <c r="B343">
        <v>23610</v>
      </c>
      <c r="C343" s="1">
        <v>42922</v>
      </c>
      <c r="G343">
        <v>23.9</v>
      </c>
      <c r="H343">
        <v>20.399999999999999</v>
      </c>
      <c r="I343">
        <v>28.9</v>
      </c>
      <c r="J343">
        <f t="shared" si="35"/>
        <v>2930.7999999999993</v>
      </c>
      <c r="K343">
        <f t="shared" si="36"/>
        <v>617.4</v>
      </c>
      <c r="M343">
        <v>0</v>
      </c>
      <c r="N343">
        <v>4.5</v>
      </c>
      <c r="O343">
        <f t="shared" si="39"/>
        <v>-4.5</v>
      </c>
      <c r="Q343">
        <v>287</v>
      </c>
      <c r="S343">
        <f t="shared" si="40"/>
        <v>0</v>
      </c>
      <c r="T343">
        <f t="shared" si="41"/>
        <v>0</v>
      </c>
      <c r="U343">
        <f t="shared" si="37"/>
        <v>53.759322271091747</v>
      </c>
      <c r="W343">
        <v>1763.7</v>
      </c>
      <c r="X343">
        <f t="shared" si="38"/>
        <v>64934.600000000006</v>
      </c>
    </row>
    <row r="344" spans="1:24" x14ac:dyDescent="0.35">
      <c r="A344">
        <v>2920</v>
      </c>
      <c r="B344">
        <v>23610</v>
      </c>
      <c r="C344" s="1">
        <v>42923</v>
      </c>
      <c r="G344">
        <v>21.7</v>
      </c>
      <c r="H344">
        <v>16.600000000000001</v>
      </c>
      <c r="I344">
        <v>28.6</v>
      </c>
      <c r="J344">
        <f t="shared" si="35"/>
        <v>2952.4999999999991</v>
      </c>
      <c r="K344">
        <f t="shared" si="36"/>
        <v>639.1</v>
      </c>
      <c r="M344">
        <v>0</v>
      </c>
      <c r="N344">
        <v>6.9</v>
      </c>
      <c r="O344">
        <f t="shared" si="39"/>
        <v>-6.9</v>
      </c>
      <c r="Q344">
        <v>288</v>
      </c>
      <c r="S344">
        <f t="shared" si="40"/>
        <v>0</v>
      </c>
      <c r="T344">
        <f t="shared" si="41"/>
        <v>0</v>
      </c>
      <c r="U344">
        <f t="shared" si="37"/>
        <v>53.759322271091747</v>
      </c>
      <c r="W344">
        <v>3138.6</v>
      </c>
      <c r="X344">
        <f t="shared" si="38"/>
        <v>68073.200000000012</v>
      </c>
    </row>
    <row r="345" spans="1:24" x14ac:dyDescent="0.35">
      <c r="A345">
        <v>2920</v>
      </c>
      <c r="B345">
        <v>23610</v>
      </c>
      <c r="C345" s="1">
        <v>42924</v>
      </c>
      <c r="G345">
        <v>21.5</v>
      </c>
      <c r="H345">
        <v>15.6</v>
      </c>
      <c r="I345">
        <v>27.2</v>
      </c>
      <c r="J345">
        <f t="shared" si="35"/>
        <v>2973.9999999999991</v>
      </c>
      <c r="K345">
        <f t="shared" si="36"/>
        <v>660.6</v>
      </c>
      <c r="M345">
        <v>0</v>
      </c>
      <c r="N345">
        <v>6.1</v>
      </c>
      <c r="O345">
        <f t="shared" si="39"/>
        <v>-6.1</v>
      </c>
      <c r="Q345">
        <v>289</v>
      </c>
      <c r="S345">
        <f t="shared" si="40"/>
        <v>0</v>
      </c>
      <c r="T345">
        <f t="shared" si="41"/>
        <v>0</v>
      </c>
      <c r="U345">
        <f t="shared" si="37"/>
        <v>53.759322271091747</v>
      </c>
      <c r="W345">
        <v>2881.2</v>
      </c>
      <c r="X345">
        <f t="shared" si="38"/>
        <v>70954.400000000009</v>
      </c>
    </row>
    <row r="346" spans="1:24" x14ac:dyDescent="0.35">
      <c r="A346">
        <v>2920</v>
      </c>
      <c r="B346">
        <v>23610</v>
      </c>
      <c r="C346" s="1">
        <v>42925</v>
      </c>
      <c r="G346">
        <v>20.9</v>
      </c>
      <c r="H346">
        <v>16.2</v>
      </c>
      <c r="I346">
        <v>27.5</v>
      </c>
      <c r="J346">
        <f t="shared" si="35"/>
        <v>2994.8999999999992</v>
      </c>
      <c r="K346">
        <f t="shared" si="36"/>
        <v>681.5</v>
      </c>
      <c r="M346">
        <v>3.9</v>
      </c>
      <c r="N346">
        <v>5.0999999999999996</v>
      </c>
      <c r="O346">
        <f t="shared" si="39"/>
        <v>-1.1999999999999997</v>
      </c>
      <c r="Q346">
        <v>290</v>
      </c>
      <c r="S346">
        <f t="shared" si="40"/>
        <v>0</v>
      </c>
      <c r="T346">
        <f t="shared" si="41"/>
        <v>3.9</v>
      </c>
      <c r="U346">
        <f t="shared" si="37"/>
        <v>57.659322271091746</v>
      </c>
      <c r="W346">
        <v>1953.1</v>
      </c>
      <c r="X346">
        <f t="shared" si="38"/>
        <v>72907.500000000015</v>
      </c>
    </row>
    <row r="347" spans="1:24" x14ac:dyDescent="0.35">
      <c r="A347">
        <v>2920</v>
      </c>
      <c r="B347">
        <v>23610</v>
      </c>
      <c r="C347" s="1">
        <v>42926</v>
      </c>
      <c r="G347">
        <v>18.8</v>
      </c>
      <c r="H347">
        <v>15.4</v>
      </c>
      <c r="I347">
        <v>22.4</v>
      </c>
      <c r="J347">
        <f t="shared" si="35"/>
        <v>3013.6999999999994</v>
      </c>
      <c r="K347">
        <f t="shared" si="36"/>
        <v>700.3</v>
      </c>
      <c r="M347">
        <v>1.2</v>
      </c>
      <c r="N347">
        <v>2.9</v>
      </c>
      <c r="O347">
        <f t="shared" si="39"/>
        <v>-1.7</v>
      </c>
      <c r="Q347">
        <v>291</v>
      </c>
      <c r="S347">
        <f t="shared" si="40"/>
        <v>0</v>
      </c>
      <c r="T347">
        <f t="shared" si="41"/>
        <v>1.2</v>
      </c>
      <c r="U347">
        <f t="shared" si="37"/>
        <v>58.859322271091749</v>
      </c>
      <c r="W347">
        <v>1350.5</v>
      </c>
      <c r="X347">
        <f t="shared" si="38"/>
        <v>74258.000000000015</v>
      </c>
    </row>
    <row r="348" spans="1:24" x14ac:dyDescent="0.35">
      <c r="A348">
        <v>2920</v>
      </c>
      <c r="B348">
        <v>23610</v>
      </c>
      <c r="C348" s="1">
        <v>42927</v>
      </c>
      <c r="G348">
        <v>17.8</v>
      </c>
      <c r="H348">
        <v>15.5</v>
      </c>
      <c r="I348">
        <v>20.2</v>
      </c>
      <c r="J348">
        <f t="shared" si="35"/>
        <v>3031.4999999999995</v>
      </c>
      <c r="K348">
        <f t="shared" si="36"/>
        <v>718.09999999999991</v>
      </c>
      <c r="M348">
        <v>2.7</v>
      </c>
      <c r="N348">
        <v>2.7</v>
      </c>
      <c r="O348">
        <f t="shared" si="39"/>
        <v>0</v>
      </c>
      <c r="Q348">
        <v>292</v>
      </c>
      <c r="S348">
        <f t="shared" si="40"/>
        <v>0</v>
      </c>
      <c r="T348">
        <f t="shared" si="41"/>
        <v>2.7</v>
      </c>
      <c r="U348">
        <f t="shared" si="37"/>
        <v>61.559322271091752</v>
      </c>
      <c r="W348">
        <v>1213.7</v>
      </c>
      <c r="X348">
        <f t="shared" si="38"/>
        <v>75471.700000000012</v>
      </c>
    </row>
    <row r="349" spans="1:24" x14ac:dyDescent="0.35">
      <c r="A349">
        <v>2920</v>
      </c>
      <c r="B349">
        <v>23610</v>
      </c>
      <c r="C349" s="1">
        <v>42928</v>
      </c>
      <c r="G349">
        <v>18.3</v>
      </c>
      <c r="H349">
        <v>16.7</v>
      </c>
      <c r="I349">
        <v>19.600000000000001</v>
      </c>
      <c r="J349">
        <f t="shared" si="35"/>
        <v>3049.7999999999997</v>
      </c>
      <c r="K349">
        <f t="shared" si="36"/>
        <v>736.39999999999986</v>
      </c>
      <c r="M349">
        <v>0</v>
      </c>
      <c r="N349">
        <v>1.4</v>
      </c>
      <c r="O349">
        <f t="shared" si="39"/>
        <v>-1.4</v>
      </c>
      <c r="Q349">
        <v>293</v>
      </c>
      <c r="S349">
        <f t="shared" si="40"/>
        <v>0</v>
      </c>
      <c r="T349">
        <f t="shared" si="41"/>
        <v>0</v>
      </c>
      <c r="U349">
        <f t="shared" si="37"/>
        <v>61.559322271091752</v>
      </c>
      <c r="W349">
        <v>608.9</v>
      </c>
      <c r="X349">
        <f t="shared" si="38"/>
        <v>76080.600000000006</v>
      </c>
    </row>
    <row r="350" spans="1:24" x14ac:dyDescent="0.35">
      <c r="A350">
        <v>2920</v>
      </c>
      <c r="B350">
        <v>23610</v>
      </c>
      <c r="C350" s="1">
        <v>42929</v>
      </c>
      <c r="G350">
        <v>18.8</v>
      </c>
      <c r="H350">
        <v>17</v>
      </c>
      <c r="I350">
        <v>23.1</v>
      </c>
      <c r="J350">
        <f t="shared" si="35"/>
        <v>3068.6</v>
      </c>
      <c r="K350">
        <f t="shared" si="36"/>
        <v>755.19999999999982</v>
      </c>
      <c r="M350">
        <v>0</v>
      </c>
      <c r="N350">
        <v>4.0999999999999996</v>
      </c>
      <c r="O350">
        <f t="shared" si="39"/>
        <v>-4.0999999999999996</v>
      </c>
      <c r="Q350">
        <v>294</v>
      </c>
      <c r="S350">
        <f t="shared" si="40"/>
        <v>0</v>
      </c>
      <c r="T350">
        <f t="shared" si="41"/>
        <v>0</v>
      </c>
      <c r="U350">
        <f t="shared" si="37"/>
        <v>61.559322271091752</v>
      </c>
      <c r="W350">
        <v>1774.5</v>
      </c>
      <c r="X350">
        <f t="shared" si="38"/>
        <v>77855.100000000006</v>
      </c>
    </row>
    <row r="351" spans="1:24" x14ac:dyDescent="0.35">
      <c r="A351">
        <v>2920</v>
      </c>
      <c r="B351">
        <v>23610</v>
      </c>
      <c r="C351" s="1">
        <v>42930</v>
      </c>
      <c r="G351">
        <v>16.399999999999999</v>
      </c>
      <c r="H351">
        <v>12.4</v>
      </c>
      <c r="I351">
        <v>20.3</v>
      </c>
      <c r="J351">
        <f t="shared" si="35"/>
        <v>3085</v>
      </c>
      <c r="K351">
        <f t="shared" si="36"/>
        <v>771.5999999999998</v>
      </c>
      <c r="M351">
        <v>0</v>
      </c>
      <c r="N351">
        <v>2.8</v>
      </c>
      <c r="O351">
        <f t="shared" si="39"/>
        <v>-2.8</v>
      </c>
      <c r="Q351">
        <v>295</v>
      </c>
      <c r="S351">
        <f t="shared" si="40"/>
        <v>0</v>
      </c>
      <c r="T351">
        <f t="shared" si="41"/>
        <v>0</v>
      </c>
      <c r="U351">
        <f t="shared" si="37"/>
        <v>61.559322271091752</v>
      </c>
      <c r="W351">
        <v>1350.2</v>
      </c>
      <c r="X351">
        <f t="shared" si="38"/>
        <v>79205.3</v>
      </c>
    </row>
    <row r="352" spans="1:24" x14ac:dyDescent="0.35">
      <c r="A352">
        <v>2920</v>
      </c>
      <c r="B352">
        <v>23610</v>
      </c>
      <c r="C352" s="1">
        <v>42931</v>
      </c>
      <c r="G352">
        <v>18.600000000000001</v>
      </c>
      <c r="H352">
        <v>10.8</v>
      </c>
      <c r="I352">
        <v>24.5</v>
      </c>
      <c r="J352">
        <f t="shared" si="35"/>
        <v>3103.6</v>
      </c>
      <c r="K352">
        <f t="shared" si="36"/>
        <v>790.19999999999982</v>
      </c>
      <c r="M352">
        <v>0</v>
      </c>
      <c r="N352">
        <v>5.2</v>
      </c>
      <c r="O352">
        <f t="shared" si="39"/>
        <v>-5.2</v>
      </c>
      <c r="Q352">
        <v>296</v>
      </c>
      <c r="S352">
        <f t="shared" si="40"/>
        <v>0</v>
      </c>
      <c r="T352">
        <f t="shared" si="41"/>
        <v>0</v>
      </c>
      <c r="U352">
        <f t="shared" si="37"/>
        <v>61.559322271091752</v>
      </c>
      <c r="W352">
        <v>2729.3</v>
      </c>
      <c r="X352">
        <f t="shared" si="38"/>
        <v>81934.600000000006</v>
      </c>
    </row>
    <row r="353" spans="1:24" x14ac:dyDescent="0.35">
      <c r="A353">
        <v>2920</v>
      </c>
      <c r="B353">
        <v>23610</v>
      </c>
      <c r="C353" s="1">
        <v>42932</v>
      </c>
      <c r="G353">
        <v>19.399999999999999</v>
      </c>
      <c r="H353">
        <v>14.1</v>
      </c>
      <c r="I353">
        <v>23.8</v>
      </c>
      <c r="J353">
        <f t="shared" si="35"/>
        <v>3123</v>
      </c>
      <c r="K353">
        <f t="shared" si="36"/>
        <v>809.5999999999998</v>
      </c>
      <c r="M353">
        <v>0</v>
      </c>
      <c r="N353">
        <v>1.8</v>
      </c>
      <c r="O353">
        <f t="shared" si="39"/>
        <v>-1.8</v>
      </c>
      <c r="Q353">
        <v>297</v>
      </c>
      <c r="S353">
        <f t="shared" si="40"/>
        <v>0</v>
      </c>
      <c r="T353">
        <f t="shared" si="41"/>
        <v>0</v>
      </c>
      <c r="U353">
        <f t="shared" si="37"/>
        <v>61.559322271091752</v>
      </c>
      <c r="W353">
        <v>754.5</v>
      </c>
      <c r="X353">
        <f t="shared" si="38"/>
        <v>82689.100000000006</v>
      </c>
    </row>
    <row r="354" spans="1:24" x14ac:dyDescent="0.35">
      <c r="A354">
        <v>2920</v>
      </c>
      <c r="B354">
        <v>23610</v>
      </c>
      <c r="C354" s="1">
        <v>42933</v>
      </c>
      <c r="G354">
        <v>23.4</v>
      </c>
      <c r="H354">
        <v>16.8</v>
      </c>
      <c r="I354">
        <v>29.4</v>
      </c>
      <c r="J354">
        <f t="shared" si="35"/>
        <v>3146.4</v>
      </c>
      <c r="K354">
        <f t="shared" si="36"/>
        <v>832.99999999999977</v>
      </c>
      <c r="M354">
        <v>0</v>
      </c>
      <c r="N354">
        <v>5</v>
      </c>
      <c r="O354">
        <f t="shared" si="39"/>
        <v>-5</v>
      </c>
      <c r="Q354">
        <v>298</v>
      </c>
      <c r="S354">
        <f t="shared" si="40"/>
        <v>0</v>
      </c>
      <c r="T354">
        <f t="shared" si="41"/>
        <v>0</v>
      </c>
      <c r="U354">
        <f t="shared" si="37"/>
        <v>61.559322271091752</v>
      </c>
      <c r="W354">
        <v>2124.9</v>
      </c>
      <c r="X354">
        <f t="shared" si="38"/>
        <v>84814</v>
      </c>
    </row>
    <row r="355" spans="1:24" x14ac:dyDescent="0.35">
      <c r="A355">
        <v>2920</v>
      </c>
      <c r="B355">
        <v>23610</v>
      </c>
      <c r="C355" s="1">
        <v>42934</v>
      </c>
      <c r="G355">
        <v>24.2</v>
      </c>
      <c r="H355">
        <v>21.2</v>
      </c>
      <c r="I355">
        <v>31.9</v>
      </c>
      <c r="J355">
        <f t="shared" si="35"/>
        <v>3170.6</v>
      </c>
      <c r="K355">
        <f t="shared" si="36"/>
        <v>857.19999999999982</v>
      </c>
      <c r="M355">
        <v>2.7</v>
      </c>
      <c r="N355">
        <v>3.7</v>
      </c>
      <c r="O355">
        <f t="shared" si="39"/>
        <v>-1</v>
      </c>
      <c r="Q355">
        <v>299</v>
      </c>
      <c r="S355">
        <f t="shared" si="40"/>
        <v>0</v>
      </c>
      <c r="T355">
        <f t="shared" si="41"/>
        <v>2.7</v>
      </c>
      <c r="U355">
        <f t="shared" si="37"/>
        <v>64.259322271091747</v>
      </c>
      <c r="W355">
        <v>808.9</v>
      </c>
      <c r="X355">
        <f t="shared" si="38"/>
        <v>85622.9</v>
      </c>
    </row>
    <row r="356" spans="1:24" x14ac:dyDescent="0.35">
      <c r="A356">
        <v>2920</v>
      </c>
      <c r="B356">
        <v>23610</v>
      </c>
      <c r="C356" s="1">
        <v>42935</v>
      </c>
      <c r="G356">
        <v>20.399999999999999</v>
      </c>
      <c r="H356">
        <v>19.3</v>
      </c>
      <c r="I356">
        <v>21.6</v>
      </c>
      <c r="J356">
        <f t="shared" si="35"/>
        <v>3191</v>
      </c>
      <c r="K356">
        <f t="shared" si="36"/>
        <v>877.5999999999998</v>
      </c>
      <c r="M356">
        <v>0.4</v>
      </c>
      <c r="N356">
        <v>1.6</v>
      </c>
      <c r="O356">
        <f t="shared" si="39"/>
        <v>-1.2000000000000002</v>
      </c>
      <c r="Q356">
        <v>300</v>
      </c>
      <c r="S356">
        <f t="shared" si="40"/>
        <v>0</v>
      </c>
      <c r="T356">
        <f t="shared" si="41"/>
        <v>0.4</v>
      </c>
      <c r="U356">
        <f t="shared" si="37"/>
        <v>64.659322271091753</v>
      </c>
      <c r="W356">
        <v>563.29999999999995</v>
      </c>
      <c r="X356">
        <f t="shared" si="38"/>
        <v>86186.2</v>
      </c>
    </row>
    <row r="357" spans="1:24" x14ac:dyDescent="0.35">
      <c r="A357">
        <v>2920</v>
      </c>
      <c r="B357">
        <v>23610</v>
      </c>
      <c r="C357" s="1">
        <v>42936</v>
      </c>
      <c r="G357">
        <v>17.399999999999999</v>
      </c>
      <c r="H357">
        <v>15</v>
      </c>
      <c r="I357">
        <v>20.6</v>
      </c>
      <c r="J357">
        <f t="shared" si="35"/>
        <v>3208.4</v>
      </c>
      <c r="K357">
        <f t="shared" si="36"/>
        <v>894.99999999999977</v>
      </c>
      <c r="M357">
        <v>0</v>
      </c>
      <c r="N357">
        <v>2.2999999999999998</v>
      </c>
      <c r="O357">
        <f t="shared" si="39"/>
        <v>-2.2999999999999998</v>
      </c>
      <c r="Q357">
        <v>301</v>
      </c>
      <c r="S357">
        <f t="shared" si="40"/>
        <v>0</v>
      </c>
      <c r="T357">
        <f t="shared" si="41"/>
        <v>0</v>
      </c>
      <c r="U357">
        <f t="shared" si="37"/>
        <v>64.659322271091753</v>
      </c>
      <c r="W357">
        <v>691.3</v>
      </c>
      <c r="X357">
        <f t="shared" si="38"/>
        <v>86877.5</v>
      </c>
    </row>
    <row r="358" spans="1:24" x14ac:dyDescent="0.35">
      <c r="A358">
        <v>2920</v>
      </c>
      <c r="B358">
        <v>23610</v>
      </c>
      <c r="C358" s="1">
        <v>42937</v>
      </c>
      <c r="G358">
        <v>16.399999999999999</v>
      </c>
      <c r="H358">
        <v>11.9</v>
      </c>
      <c r="I358">
        <v>19.600000000000001</v>
      </c>
      <c r="J358">
        <f t="shared" si="35"/>
        <v>3224.8</v>
      </c>
      <c r="K358">
        <f t="shared" si="36"/>
        <v>911.39999999999975</v>
      </c>
      <c r="M358">
        <v>8.6</v>
      </c>
      <c r="N358">
        <v>2</v>
      </c>
      <c r="O358">
        <f t="shared" si="39"/>
        <v>6.6</v>
      </c>
      <c r="Q358">
        <v>302</v>
      </c>
      <c r="S358">
        <f t="shared" si="40"/>
        <v>0</v>
      </c>
      <c r="T358">
        <f t="shared" si="41"/>
        <v>8.6</v>
      </c>
      <c r="U358">
        <f t="shared" si="37"/>
        <v>73.259322271091747</v>
      </c>
      <c r="W358">
        <v>985.4</v>
      </c>
      <c r="X358">
        <f t="shared" si="38"/>
        <v>87862.9</v>
      </c>
    </row>
    <row r="359" spans="1:24" x14ac:dyDescent="0.35">
      <c r="A359">
        <v>2920</v>
      </c>
      <c r="B359">
        <v>23610</v>
      </c>
      <c r="C359" s="1">
        <v>42938</v>
      </c>
      <c r="G359">
        <v>15.1</v>
      </c>
      <c r="H359">
        <v>13.1</v>
      </c>
      <c r="I359">
        <v>18.3</v>
      </c>
      <c r="J359">
        <f t="shared" si="35"/>
        <v>3239.9</v>
      </c>
      <c r="K359">
        <f t="shared" si="36"/>
        <v>926.49999999999977</v>
      </c>
      <c r="M359">
        <v>3.3</v>
      </c>
      <c r="N359">
        <v>1.7</v>
      </c>
      <c r="O359">
        <f t="shared" si="39"/>
        <v>1.5999999999999999</v>
      </c>
      <c r="Q359">
        <v>303</v>
      </c>
      <c r="S359">
        <f t="shared" si="40"/>
        <v>0</v>
      </c>
      <c r="T359">
        <f t="shared" si="41"/>
        <v>3.3</v>
      </c>
      <c r="U359">
        <f t="shared" si="37"/>
        <v>76.559322271091744</v>
      </c>
      <c r="W359">
        <v>852.6</v>
      </c>
      <c r="X359">
        <f t="shared" si="38"/>
        <v>88715.5</v>
      </c>
    </row>
    <row r="360" spans="1:24" x14ac:dyDescent="0.35">
      <c r="A360">
        <v>2920</v>
      </c>
      <c r="B360">
        <v>23610</v>
      </c>
      <c r="C360" s="1">
        <v>42939</v>
      </c>
      <c r="G360">
        <v>14.5</v>
      </c>
      <c r="H360">
        <v>13.4</v>
      </c>
      <c r="I360">
        <v>15.5</v>
      </c>
      <c r="J360">
        <f t="shared" si="35"/>
        <v>3254.4</v>
      </c>
      <c r="K360">
        <f t="shared" si="36"/>
        <v>940.99999999999977</v>
      </c>
      <c r="M360">
        <v>8.4</v>
      </c>
      <c r="N360">
        <v>1.2</v>
      </c>
      <c r="O360">
        <f t="shared" si="39"/>
        <v>7.2</v>
      </c>
      <c r="Q360">
        <v>304</v>
      </c>
      <c r="S360">
        <f t="shared" si="40"/>
        <v>0</v>
      </c>
      <c r="T360">
        <f t="shared" si="41"/>
        <v>8.4</v>
      </c>
      <c r="U360">
        <f t="shared" si="37"/>
        <v>84.95932227109175</v>
      </c>
      <c r="W360">
        <v>668.8</v>
      </c>
      <c r="X360">
        <f t="shared" si="38"/>
        <v>89384.3</v>
      </c>
    </row>
    <row r="361" spans="1:24" x14ac:dyDescent="0.35">
      <c r="A361">
        <v>2920</v>
      </c>
      <c r="B361">
        <v>23610</v>
      </c>
      <c r="C361" s="1">
        <v>42940</v>
      </c>
      <c r="G361">
        <v>16.899999999999999</v>
      </c>
      <c r="H361">
        <v>12.8</v>
      </c>
      <c r="I361">
        <v>21.5</v>
      </c>
      <c r="J361">
        <f t="shared" si="35"/>
        <v>3271.3</v>
      </c>
      <c r="K361">
        <f t="shared" si="36"/>
        <v>957.89999999999975</v>
      </c>
      <c r="M361">
        <v>0</v>
      </c>
      <c r="N361">
        <v>2.5</v>
      </c>
      <c r="O361">
        <f t="shared" si="39"/>
        <v>-2.5</v>
      </c>
      <c r="Q361">
        <v>305</v>
      </c>
      <c r="S361">
        <f t="shared" si="40"/>
        <v>0</v>
      </c>
      <c r="T361">
        <f t="shared" si="41"/>
        <v>0</v>
      </c>
      <c r="U361">
        <f t="shared" si="37"/>
        <v>84.95932227109175</v>
      </c>
      <c r="W361">
        <v>1202.0999999999999</v>
      </c>
      <c r="X361">
        <f t="shared" si="38"/>
        <v>90586.400000000009</v>
      </c>
    </row>
    <row r="362" spans="1:24" x14ac:dyDescent="0.35">
      <c r="A362">
        <v>2920</v>
      </c>
      <c r="B362">
        <v>23610</v>
      </c>
      <c r="C362" s="1">
        <v>42941</v>
      </c>
      <c r="G362">
        <v>18.7</v>
      </c>
      <c r="H362">
        <v>14</v>
      </c>
      <c r="I362">
        <v>22.9</v>
      </c>
      <c r="J362">
        <f t="shared" si="35"/>
        <v>3290</v>
      </c>
      <c r="K362">
        <f t="shared" si="36"/>
        <v>976.5999999999998</v>
      </c>
      <c r="M362">
        <v>2.6</v>
      </c>
      <c r="N362">
        <v>3.1</v>
      </c>
      <c r="O362">
        <f t="shared" si="39"/>
        <v>-0.5</v>
      </c>
      <c r="Q362">
        <v>306</v>
      </c>
      <c r="S362">
        <f t="shared" si="40"/>
        <v>0</v>
      </c>
      <c r="T362">
        <f t="shared" si="41"/>
        <v>2.6</v>
      </c>
      <c r="U362">
        <f t="shared" si="37"/>
        <v>87.559322271091744</v>
      </c>
      <c r="W362">
        <v>1600.4</v>
      </c>
      <c r="X362">
        <f t="shared" si="38"/>
        <v>92186.8</v>
      </c>
    </row>
    <row r="363" spans="1:24" x14ac:dyDescent="0.35">
      <c r="A363">
        <v>2920</v>
      </c>
      <c r="B363">
        <v>23610</v>
      </c>
      <c r="C363" s="1">
        <v>42942</v>
      </c>
      <c r="G363">
        <v>18</v>
      </c>
      <c r="H363">
        <v>16.5</v>
      </c>
      <c r="I363">
        <v>19.600000000000001</v>
      </c>
      <c r="J363">
        <f t="shared" si="35"/>
        <v>3308</v>
      </c>
      <c r="K363">
        <f t="shared" si="36"/>
        <v>994.5999999999998</v>
      </c>
      <c r="M363">
        <v>4.2</v>
      </c>
      <c r="N363">
        <v>1.1000000000000001</v>
      </c>
      <c r="O363">
        <f t="shared" si="39"/>
        <v>3.1</v>
      </c>
      <c r="Q363">
        <v>307</v>
      </c>
      <c r="S363">
        <f t="shared" si="40"/>
        <v>0</v>
      </c>
      <c r="T363">
        <f t="shared" si="41"/>
        <v>4.2</v>
      </c>
      <c r="U363">
        <f t="shared" si="37"/>
        <v>91.759322271091747</v>
      </c>
      <c r="W363">
        <v>498.8</v>
      </c>
      <c r="X363">
        <f t="shared" si="38"/>
        <v>92685.6</v>
      </c>
    </row>
    <row r="364" spans="1:24" x14ac:dyDescent="0.35">
      <c r="A364">
        <v>2920</v>
      </c>
      <c r="B364">
        <v>23610</v>
      </c>
      <c r="C364" s="1">
        <v>42943</v>
      </c>
      <c r="G364">
        <v>17.8</v>
      </c>
      <c r="H364">
        <v>14.6</v>
      </c>
      <c r="I364">
        <v>20.8</v>
      </c>
      <c r="J364">
        <f t="shared" si="35"/>
        <v>3325.8</v>
      </c>
      <c r="K364">
        <f t="shared" si="36"/>
        <v>1012.3999999999997</v>
      </c>
      <c r="M364">
        <v>0</v>
      </c>
      <c r="N364">
        <v>3.3</v>
      </c>
      <c r="O364">
        <f t="shared" si="39"/>
        <v>-3.3</v>
      </c>
      <c r="Q364">
        <v>308</v>
      </c>
      <c r="S364">
        <f t="shared" si="40"/>
        <v>0</v>
      </c>
      <c r="T364">
        <f t="shared" si="41"/>
        <v>0</v>
      </c>
      <c r="U364">
        <f t="shared" si="37"/>
        <v>91.759322271091747</v>
      </c>
      <c r="W364">
        <v>1877.2</v>
      </c>
      <c r="X364">
        <f t="shared" si="38"/>
        <v>94562.8</v>
      </c>
    </row>
    <row r="365" spans="1:24" x14ac:dyDescent="0.35">
      <c r="A365">
        <v>2920</v>
      </c>
      <c r="B365">
        <v>23610</v>
      </c>
      <c r="C365" s="1">
        <v>42944</v>
      </c>
      <c r="G365">
        <v>18</v>
      </c>
      <c r="H365">
        <v>14.1</v>
      </c>
      <c r="I365">
        <v>20.5</v>
      </c>
      <c r="J365">
        <f t="shared" si="35"/>
        <v>3343.8</v>
      </c>
      <c r="K365">
        <f t="shared" si="36"/>
        <v>1030.3999999999996</v>
      </c>
      <c r="M365">
        <v>0.3</v>
      </c>
      <c r="N365">
        <v>3.2</v>
      </c>
      <c r="O365">
        <f t="shared" si="39"/>
        <v>-2.9000000000000004</v>
      </c>
      <c r="Q365">
        <v>309</v>
      </c>
      <c r="S365">
        <f t="shared" si="40"/>
        <v>0</v>
      </c>
      <c r="T365">
        <f t="shared" si="41"/>
        <v>0.3</v>
      </c>
      <c r="U365">
        <f t="shared" si="37"/>
        <v>92.059322271091744</v>
      </c>
      <c r="W365">
        <v>1702.2</v>
      </c>
      <c r="X365">
        <f t="shared" si="38"/>
        <v>96265</v>
      </c>
    </row>
    <row r="366" spans="1:24" x14ac:dyDescent="0.35">
      <c r="A366">
        <v>2920</v>
      </c>
      <c r="B366">
        <v>23610</v>
      </c>
      <c r="C366" s="1">
        <v>42945</v>
      </c>
      <c r="G366">
        <v>19.7</v>
      </c>
      <c r="H366">
        <v>17.3</v>
      </c>
      <c r="I366">
        <v>21.5</v>
      </c>
      <c r="J366">
        <f t="shared" si="35"/>
        <v>3363.5</v>
      </c>
      <c r="K366">
        <f t="shared" si="36"/>
        <v>1050.0999999999997</v>
      </c>
      <c r="M366">
        <v>0.6</v>
      </c>
      <c r="N366">
        <v>1.6</v>
      </c>
      <c r="O366">
        <f t="shared" si="39"/>
        <v>-1</v>
      </c>
      <c r="Q366">
        <v>310</v>
      </c>
      <c r="S366">
        <f t="shared" si="40"/>
        <v>0</v>
      </c>
      <c r="T366">
        <f t="shared" si="41"/>
        <v>0.6</v>
      </c>
      <c r="U366">
        <f t="shared" si="37"/>
        <v>92.659322271091739</v>
      </c>
      <c r="W366">
        <v>556.9</v>
      </c>
      <c r="X366">
        <f t="shared" si="38"/>
        <v>96821.9</v>
      </c>
    </row>
    <row r="367" spans="1:24" x14ac:dyDescent="0.35">
      <c r="A367">
        <v>2920</v>
      </c>
      <c r="B367">
        <v>23610</v>
      </c>
      <c r="C367" s="1">
        <v>42946</v>
      </c>
      <c r="G367">
        <v>18</v>
      </c>
      <c r="H367">
        <v>15.5</v>
      </c>
      <c r="I367">
        <v>21.1</v>
      </c>
      <c r="J367">
        <f t="shared" si="35"/>
        <v>3381.5</v>
      </c>
      <c r="K367">
        <f t="shared" si="36"/>
        <v>1068.0999999999997</v>
      </c>
      <c r="M367">
        <v>0</v>
      </c>
      <c r="N367">
        <v>3.3</v>
      </c>
      <c r="O367">
        <f t="shared" si="39"/>
        <v>-3.3</v>
      </c>
      <c r="Q367">
        <v>311</v>
      </c>
      <c r="S367">
        <f t="shared" si="40"/>
        <v>0</v>
      </c>
      <c r="T367">
        <f t="shared" si="41"/>
        <v>0</v>
      </c>
      <c r="U367">
        <f t="shared" si="37"/>
        <v>92.659322271091739</v>
      </c>
      <c r="W367">
        <v>1386.1</v>
      </c>
      <c r="X367">
        <f t="shared" si="38"/>
        <v>98208</v>
      </c>
    </row>
    <row r="368" spans="1:24" x14ac:dyDescent="0.35">
      <c r="A368">
        <v>2920</v>
      </c>
      <c r="B368">
        <v>23610</v>
      </c>
      <c r="C368" s="1">
        <v>42947</v>
      </c>
      <c r="G368">
        <v>17.5</v>
      </c>
      <c r="H368">
        <v>13.2</v>
      </c>
      <c r="I368">
        <v>21.7</v>
      </c>
      <c r="J368">
        <f t="shared" si="35"/>
        <v>3399</v>
      </c>
      <c r="K368">
        <f t="shared" si="36"/>
        <v>1085.5999999999997</v>
      </c>
      <c r="M368">
        <v>0</v>
      </c>
      <c r="N368">
        <v>3.2</v>
      </c>
      <c r="O368">
        <f t="shared" si="39"/>
        <v>-3.2</v>
      </c>
      <c r="Q368">
        <v>312</v>
      </c>
      <c r="S368">
        <f t="shared" si="40"/>
        <v>0</v>
      </c>
      <c r="T368">
        <f t="shared" si="41"/>
        <v>0</v>
      </c>
      <c r="U368">
        <f t="shared" si="37"/>
        <v>92.659322271091739</v>
      </c>
      <c r="W368">
        <v>1755.7</v>
      </c>
      <c r="X368">
        <f t="shared" si="38"/>
        <v>99963.7</v>
      </c>
    </row>
  </sheetData>
  <mergeCells count="10">
    <mergeCell ref="M3:V3"/>
    <mergeCell ref="W3:Z3"/>
    <mergeCell ref="F57:F122"/>
    <mergeCell ref="F123:F183"/>
    <mergeCell ref="F184:F244"/>
    <mergeCell ref="F245:F265"/>
    <mergeCell ref="F266:F292"/>
    <mergeCell ref="F293:F310"/>
    <mergeCell ref="F311:F332"/>
    <mergeCell ref="G3:L3"/>
  </mergeCells>
  <conditionalFormatting sqref="G5:I368">
    <cfRule type="cellIs" dxfId="68" priority="26" operator="lessThan">
      <formula>0</formula>
    </cfRule>
    <cfRule type="cellIs" dxfId="67" priority="27" operator="between">
      <formula>5</formula>
      <formula>0</formula>
    </cfRule>
    <cfRule type="cellIs" dxfId="66" priority="28" operator="greaterThanOrEqual">
      <formula>25</formula>
    </cfRule>
  </conditionalFormatting>
  <conditionalFormatting sqref="L58 L66 L68 L70">
    <cfRule type="cellIs" dxfId="65" priority="22" operator="lessThanOrEqual">
      <formula>0</formula>
    </cfRule>
    <cfRule type="cellIs" dxfId="64" priority="23" operator="lessThanOrEqual">
      <formula>5</formula>
    </cfRule>
  </conditionalFormatting>
  <conditionalFormatting sqref="L124 L132 L134 L136">
    <cfRule type="cellIs" dxfId="63" priority="18" operator="lessThanOrEqual">
      <formula>0</formula>
    </cfRule>
    <cfRule type="cellIs" dxfId="62" priority="19" operator="lessThanOrEqual">
      <formula>5</formula>
    </cfRule>
  </conditionalFormatting>
  <conditionalFormatting sqref="L185 L193 L195 L197">
    <cfRule type="cellIs" dxfId="61" priority="15" operator="lessThanOrEqual">
      <formula>0</formula>
    </cfRule>
    <cfRule type="cellIs" dxfId="60" priority="16" operator="lessThanOrEqual">
      <formula>5</formula>
    </cfRule>
  </conditionalFormatting>
  <conditionalFormatting sqref="L246 L254 L256 L258">
    <cfRule type="cellIs" dxfId="59" priority="12" operator="lessThanOrEqual">
      <formula>0</formula>
    </cfRule>
    <cfRule type="cellIs" dxfId="58" priority="13" operator="lessThanOrEqual">
      <formula>5</formula>
    </cfRule>
  </conditionalFormatting>
  <conditionalFormatting sqref="L267 L275 L277 L279">
    <cfRule type="cellIs" dxfId="57" priority="9" operator="lessThanOrEqual">
      <formula>0</formula>
    </cfRule>
    <cfRule type="cellIs" dxfId="56" priority="10" operator="lessThanOrEqual">
      <formula>5</formula>
    </cfRule>
  </conditionalFormatting>
  <conditionalFormatting sqref="L294 L304">
    <cfRule type="cellIs" dxfId="55" priority="6" operator="lessThanOrEqual">
      <formula>0</formula>
    </cfRule>
    <cfRule type="cellIs" dxfId="54" priority="7" operator="lessThanOrEqual">
      <formula>5</formula>
    </cfRule>
  </conditionalFormatting>
  <conditionalFormatting sqref="L312 L322">
    <cfRule type="cellIs" dxfId="53" priority="3" operator="lessThanOrEqual">
      <formula>0</formula>
    </cfRule>
    <cfRule type="cellIs" dxfId="52" priority="4" operator="lessThanOrEqual">
      <formula>5</formula>
    </cfRule>
  </conditionalFormatting>
  <conditionalFormatting sqref="O5:O368">
    <cfRule type="cellIs" dxfId="51" priority="31" operator="lessThan">
      <formula>0</formula>
    </cfRule>
  </conditionalFormatting>
  <conditionalFormatting sqref="T5:T368">
    <cfRule type="cellIs" dxfId="50" priority="30" operator="lessThan">
      <formula>0</formula>
    </cfRule>
  </conditionalFormatting>
  <conditionalFormatting sqref="U57:U368">
    <cfRule type="cellIs" dxfId="49" priority="24" operator="equal">
      <formula>0</formula>
    </cfRule>
    <cfRule type="cellIs" dxfId="48" priority="25" operator="lessThanOrEqual">
      <formula>65.8</formula>
    </cfRule>
  </conditionalFormatting>
  <conditionalFormatting sqref="V58">
    <cfRule type="cellIs" dxfId="47" priority="20" operator="equal">
      <formula>0</formula>
    </cfRule>
    <cfRule type="cellIs" dxfId="46" priority="21" operator="lessThanOrEqual">
      <formula>63.2</formula>
    </cfRule>
  </conditionalFormatting>
  <conditionalFormatting sqref="W5:W368">
    <cfRule type="cellIs" dxfId="45" priority="29" operator="lessThan">
      <formula>900</formula>
    </cfRule>
  </conditionalFormatting>
  <conditionalFormatting sqref="Y57:Y333">
    <cfRule type="cellIs" dxfId="44" priority="1" operator="lessThan">
      <formula>9</formula>
    </cfRule>
  </conditionalFormatting>
  <conditionalFormatting sqref="Z124">
    <cfRule type="cellIs" dxfId="43" priority="17" operator="lessThan">
      <formula>9</formula>
    </cfRule>
  </conditionalFormatting>
  <conditionalFormatting sqref="Z185">
    <cfRule type="cellIs" dxfId="42" priority="14" operator="lessThan">
      <formula>9</formula>
    </cfRule>
  </conditionalFormatting>
  <conditionalFormatting sqref="Z246">
    <cfRule type="cellIs" dxfId="41" priority="11" operator="lessThan">
      <formula>9</formula>
    </cfRule>
  </conditionalFormatting>
  <conditionalFormatting sqref="Z267">
    <cfRule type="cellIs" dxfId="40" priority="8" operator="lessThan">
      <formula>9</formula>
    </cfRule>
  </conditionalFormatting>
  <conditionalFormatting sqref="Z294">
    <cfRule type="cellIs" dxfId="39" priority="5" operator="lessThan">
      <formula>9</formula>
    </cfRule>
  </conditionalFormatting>
  <conditionalFormatting sqref="Z312">
    <cfRule type="cellIs" dxfId="38" priority="2" operator="lessThan">
      <formula>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7"/>
  <sheetViews>
    <sheetView zoomScale="80" zoomScaleNormal="80" workbookViewId="0">
      <pane xSplit="6" ySplit="3" topLeftCell="G114" activePane="bottomRight" state="frozen"/>
      <selection pane="topRight" activeCell="G1" sqref="G1"/>
      <selection pane="bottomLeft" activeCell="A4" sqref="A4"/>
      <selection pane="bottomRight" activeCell="L244" sqref="L244"/>
    </sheetView>
  </sheetViews>
  <sheetFormatPr baseColWidth="10" defaultRowHeight="14.5" x14ac:dyDescent="0.35"/>
  <cols>
    <col min="27" max="27" width="11.453125" customWidth="1"/>
  </cols>
  <sheetData>
    <row r="1" spans="1:26" s="2" customFormat="1" x14ac:dyDescent="0.35">
      <c r="O1" s="2" t="s">
        <v>27</v>
      </c>
      <c r="P1" s="2">
        <v>197.4</v>
      </c>
      <c r="Q1" s="3" t="s">
        <v>28</v>
      </c>
      <c r="R1" s="2">
        <f>P1/3</f>
        <v>65.8</v>
      </c>
    </row>
    <row r="2" spans="1:26" s="2" customFormat="1" x14ac:dyDescent="0.35">
      <c r="G2" s="45" t="s">
        <v>24</v>
      </c>
      <c r="H2" s="45"/>
      <c r="I2" s="45"/>
      <c r="J2" s="45"/>
      <c r="K2" s="45"/>
      <c r="L2" s="45"/>
      <c r="M2" s="45" t="s">
        <v>25</v>
      </c>
      <c r="N2" s="45"/>
      <c r="O2" s="45"/>
      <c r="P2" s="45"/>
      <c r="Q2" s="45"/>
      <c r="R2" s="45"/>
      <c r="S2" s="45"/>
      <c r="T2" s="45"/>
      <c r="U2" s="45"/>
      <c r="V2" s="45"/>
      <c r="W2" s="45" t="s">
        <v>26</v>
      </c>
      <c r="X2" s="45"/>
      <c r="Y2" s="45"/>
      <c r="Z2" s="45"/>
    </row>
    <row r="3" spans="1:26" s="2" customFormat="1" x14ac:dyDescent="0.3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12</v>
      </c>
      <c r="K3" s="2" t="s">
        <v>13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35">
      <c r="A4">
        <v>2920</v>
      </c>
      <c r="B4">
        <v>23610</v>
      </c>
      <c r="C4" s="1">
        <v>42584</v>
      </c>
      <c r="G4">
        <v>19.8</v>
      </c>
      <c r="H4">
        <v>17.100000000000001</v>
      </c>
      <c r="I4">
        <v>21.4</v>
      </c>
      <c r="M4">
        <v>0</v>
      </c>
      <c r="N4">
        <v>2.5</v>
      </c>
      <c r="O4">
        <f>M4-N4</f>
        <v>-2.5</v>
      </c>
      <c r="P4">
        <v>0</v>
      </c>
      <c r="S4">
        <f>R4*N4</f>
        <v>0</v>
      </c>
      <c r="T4">
        <f>M4-S4</f>
        <v>0</v>
      </c>
      <c r="W4">
        <v>933.4</v>
      </c>
    </row>
    <row r="5" spans="1:26" x14ac:dyDescent="0.35">
      <c r="A5">
        <v>2920</v>
      </c>
      <c r="B5">
        <v>23610</v>
      </c>
      <c r="C5" s="1">
        <v>42585</v>
      </c>
      <c r="G5">
        <v>18.899999999999999</v>
      </c>
      <c r="H5">
        <v>18.7</v>
      </c>
      <c r="I5">
        <v>20.399999999999999</v>
      </c>
      <c r="M5">
        <v>1.7</v>
      </c>
      <c r="N5">
        <v>1.8</v>
      </c>
      <c r="O5">
        <f t="shared" ref="O5:O68" si="0">M5-N5</f>
        <v>-0.10000000000000009</v>
      </c>
      <c r="P5">
        <v>0</v>
      </c>
      <c r="S5">
        <f t="shared" ref="S5:S68" si="1">R5*N5</f>
        <v>0</v>
      </c>
      <c r="T5">
        <f t="shared" ref="T5:T68" si="2">M5-S5</f>
        <v>1.7</v>
      </c>
      <c r="W5">
        <v>760.3</v>
      </c>
    </row>
    <row r="6" spans="1:26" x14ac:dyDescent="0.35">
      <c r="A6">
        <v>2920</v>
      </c>
      <c r="B6">
        <v>23610</v>
      </c>
      <c r="C6" s="1">
        <v>42586</v>
      </c>
      <c r="G6">
        <v>16.399999999999999</v>
      </c>
      <c r="H6">
        <v>14</v>
      </c>
      <c r="I6">
        <v>20.8</v>
      </c>
      <c r="M6">
        <v>0.4</v>
      </c>
      <c r="N6">
        <v>2.2000000000000002</v>
      </c>
      <c r="O6">
        <f t="shared" si="0"/>
        <v>-1.8000000000000003</v>
      </c>
      <c r="P6">
        <v>0</v>
      </c>
      <c r="S6">
        <f t="shared" si="1"/>
        <v>0</v>
      </c>
      <c r="T6">
        <f t="shared" si="2"/>
        <v>0.4</v>
      </c>
      <c r="W6">
        <v>1133.5999999999999</v>
      </c>
    </row>
    <row r="7" spans="1:26" x14ac:dyDescent="0.35">
      <c r="A7">
        <v>2920</v>
      </c>
      <c r="B7">
        <v>23610</v>
      </c>
      <c r="C7" s="1">
        <v>42587</v>
      </c>
      <c r="G7">
        <v>16.899999999999999</v>
      </c>
      <c r="H7">
        <v>11.9</v>
      </c>
      <c r="I7">
        <v>21.1</v>
      </c>
      <c r="M7">
        <v>0</v>
      </c>
      <c r="N7">
        <v>3.5</v>
      </c>
      <c r="O7">
        <f t="shared" si="0"/>
        <v>-3.5</v>
      </c>
      <c r="P7">
        <v>0</v>
      </c>
      <c r="S7">
        <f t="shared" si="1"/>
        <v>0</v>
      </c>
      <c r="T7">
        <f t="shared" si="2"/>
        <v>0</v>
      </c>
      <c r="W7">
        <v>1944.1</v>
      </c>
    </row>
    <row r="8" spans="1:26" x14ac:dyDescent="0.35">
      <c r="A8">
        <v>2920</v>
      </c>
      <c r="B8">
        <v>23610</v>
      </c>
      <c r="C8" s="1">
        <v>42588</v>
      </c>
      <c r="G8">
        <v>18.7</v>
      </c>
      <c r="H8">
        <v>13.7</v>
      </c>
      <c r="I8">
        <v>23.4</v>
      </c>
      <c r="M8">
        <v>0</v>
      </c>
      <c r="N8">
        <v>2.9</v>
      </c>
      <c r="O8">
        <f t="shared" si="0"/>
        <v>-2.9</v>
      </c>
      <c r="P8">
        <v>0</v>
      </c>
      <c r="S8">
        <f t="shared" si="1"/>
        <v>0</v>
      </c>
      <c r="T8">
        <f t="shared" si="2"/>
        <v>0</v>
      </c>
      <c r="W8">
        <v>1364.9</v>
      </c>
    </row>
    <row r="9" spans="1:26" x14ac:dyDescent="0.35">
      <c r="A9">
        <v>2920</v>
      </c>
      <c r="B9">
        <v>23610</v>
      </c>
      <c r="C9" s="1">
        <v>42589</v>
      </c>
      <c r="G9">
        <v>21</v>
      </c>
      <c r="H9">
        <v>14.5</v>
      </c>
      <c r="I9">
        <v>27.1</v>
      </c>
      <c r="M9">
        <v>0</v>
      </c>
      <c r="N9">
        <v>4.9000000000000004</v>
      </c>
      <c r="O9">
        <f t="shared" si="0"/>
        <v>-4.9000000000000004</v>
      </c>
      <c r="P9">
        <v>0</v>
      </c>
      <c r="S9">
        <f t="shared" si="1"/>
        <v>0</v>
      </c>
      <c r="T9">
        <f t="shared" si="2"/>
        <v>0</v>
      </c>
      <c r="W9">
        <v>2277.1</v>
      </c>
    </row>
    <row r="10" spans="1:26" x14ac:dyDescent="0.35">
      <c r="A10">
        <v>2920</v>
      </c>
      <c r="B10">
        <v>23610</v>
      </c>
      <c r="C10" s="1">
        <v>42590</v>
      </c>
      <c r="G10">
        <v>17.5</v>
      </c>
      <c r="H10">
        <v>15.2</v>
      </c>
      <c r="I10">
        <v>21.3</v>
      </c>
      <c r="M10">
        <v>0</v>
      </c>
      <c r="N10">
        <v>2</v>
      </c>
      <c r="O10">
        <f t="shared" si="0"/>
        <v>-2</v>
      </c>
      <c r="P10">
        <v>0</v>
      </c>
      <c r="S10">
        <f t="shared" si="1"/>
        <v>0</v>
      </c>
      <c r="T10">
        <f t="shared" si="2"/>
        <v>0</v>
      </c>
      <c r="W10">
        <v>811</v>
      </c>
    </row>
    <row r="11" spans="1:26" x14ac:dyDescent="0.35">
      <c r="A11">
        <v>2920</v>
      </c>
      <c r="B11">
        <v>23610</v>
      </c>
      <c r="C11" s="1">
        <v>42591</v>
      </c>
      <c r="G11">
        <v>15</v>
      </c>
      <c r="H11">
        <v>11.1</v>
      </c>
      <c r="I11">
        <v>19.899999999999999</v>
      </c>
      <c r="M11">
        <v>0</v>
      </c>
      <c r="N11">
        <v>3</v>
      </c>
      <c r="O11">
        <f t="shared" si="0"/>
        <v>-3</v>
      </c>
      <c r="P11">
        <v>0</v>
      </c>
      <c r="S11">
        <f t="shared" si="1"/>
        <v>0</v>
      </c>
      <c r="T11">
        <f t="shared" si="2"/>
        <v>0</v>
      </c>
      <c r="W11">
        <v>1432.6</v>
      </c>
    </row>
    <row r="12" spans="1:26" x14ac:dyDescent="0.35">
      <c r="A12">
        <v>2920</v>
      </c>
      <c r="B12">
        <v>23610</v>
      </c>
      <c r="C12" s="1">
        <v>42592</v>
      </c>
      <c r="G12">
        <v>14.4</v>
      </c>
      <c r="H12">
        <v>10</v>
      </c>
      <c r="I12">
        <v>17.899999999999999</v>
      </c>
      <c r="M12">
        <v>0.2</v>
      </c>
      <c r="N12">
        <v>3</v>
      </c>
      <c r="O12">
        <f t="shared" si="0"/>
        <v>-2.8</v>
      </c>
      <c r="P12">
        <v>0</v>
      </c>
      <c r="S12">
        <f t="shared" si="1"/>
        <v>0</v>
      </c>
      <c r="T12">
        <f t="shared" si="2"/>
        <v>0.2</v>
      </c>
      <c r="W12">
        <v>1804.9</v>
      </c>
    </row>
    <row r="13" spans="1:26" x14ac:dyDescent="0.35">
      <c r="A13">
        <v>2920</v>
      </c>
      <c r="B13">
        <v>23610</v>
      </c>
      <c r="C13" s="1">
        <v>42593</v>
      </c>
      <c r="G13">
        <v>17.8</v>
      </c>
      <c r="H13">
        <v>13.6</v>
      </c>
      <c r="I13">
        <v>22.8</v>
      </c>
      <c r="M13">
        <v>0</v>
      </c>
      <c r="N13">
        <v>2.5</v>
      </c>
      <c r="O13">
        <f t="shared" si="0"/>
        <v>-2.5</v>
      </c>
      <c r="P13">
        <v>0</v>
      </c>
      <c r="S13">
        <f t="shared" si="1"/>
        <v>0</v>
      </c>
      <c r="T13">
        <f t="shared" si="2"/>
        <v>0</v>
      </c>
      <c r="W13">
        <v>996.6</v>
      </c>
    </row>
    <row r="14" spans="1:26" x14ac:dyDescent="0.35">
      <c r="A14">
        <v>2920</v>
      </c>
      <c r="B14">
        <v>23610</v>
      </c>
      <c r="C14" s="1">
        <v>42594</v>
      </c>
      <c r="G14">
        <v>17.600000000000001</v>
      </c>
      <c r="H14">
        <v>9.9</v>
      </c>
      <c r="I14">
        <v>24.6</v>
      </c>
      <c r="M14">
        <v>0</v>
      </c>
      <c r="N14">
        <v>4.8</v>
      </c>
      <c r="O14">
        <f t="shared" si="0"/>
        <v>-4.8</v>
      </c>
      <c r="P14">
        <v>0</v>
      </c>
      <c r="S14">
        <f t="shared" si="1"/>
        <v>0</v>
      </c>
      <c r="T14">
        <f t="shared" si="2"/>
        <v>0</v>
      </c>
      <c r="W14">
        <v>2479.1999999999998</v>
      </c>
    </row>
    <row r="15" spans="1:26" x14ac:dyDescent="0.35">
      <c r="A15">
        <v>2920</v>
      </c>
      <c r="B15">
        <v>23610</v>
      </c>
      <c r="C15" s="1">
        <v>42595</v>
      </c>
      <c r="G15">
        <v>19</v>
      </c>
      <c r="H15">
        <v>12.5</v>
      </c>
      <c r="I15">
        <v>25.6</v>
      </c>
      <c r="M15">
        <v>0</v>
      </c>
      <c r="N15">
        <v>4.4000000000000004</v>
      </c>
      <c r="O15">
        <f t="shared" si="0"/>
        <v>-4.4000000000000004</v>
      </c>
      <c r="P15">
        <v>0</v>
      </c>
      <c r="S15">
        <f t="shared" si="1"/>
        <v>0</v>
      </c>
      <c r="T15">
        <f t="shared" si="2"/>
        <v>0</v>
      </c>
      <c r="W15">
        <v>2053.1</v>
      </c>
    </row>
    <row r="16" spans="1:26" x14ac:dyDescent="0.35">
      <c r="A16">
        <v>2920</v>
      </c>
      <c r="B16">
        <v>23610</v>
      </c>
      <c r="C16" s="1">
        <v>42596</v>
      </c>
      <c r="G16">
        <v>20.2</v>
      </c>
      <c r="H16">
        <v>13.6</v>
      </c>
      <c r="I16">
        <v>26.3</v>
      </c>
      <c r="M16">
        <v>0</v>
      </c>
      <c r="N16">
        <v>5.3</v>
      </c>
      <c r="O16">
        <f t="shared" si="0"/>
        <v>-5.3</v>
      </c>
      <c r="P16">
        <v>0</v>
      </c>
      <c r="S16">
        <f t="shared" si="1"/>
        <v>0</v>
      </c>
      <c r="T16">
        <f t="shared" si="2"/>
        <v>0</v>
      </c>
      <c r="W16">
        <v>2604.6</v>
      </c>
    </row>
    <row r="17" spans="1:23" x14ac:dyDescent="0.35">
      <c r="A17">
        <v>2920</v>
      </c>
      <c r="B17">
        <v>23610</v>
      </c>
      <c r="C17" s="1">
        <v>42597</v>
      </c>
      <c r="G17">
        <v>21.8</v>
      </c>
      <c r="H17">
        <v>14.8</v>
      </c>
      <c r="I17">
        <v>28.1</v>
      </c>
      <c r="M17">
        <v>0</v>
      </c>
      <c r="N17">
        <v>5.8</v>
      </c>
      <c r="O17">
        <f t="shared" si="0"/>
        <v>-5.8</v>
      </c>
      <c r="P17">
        <v>0</v>
      </c>
      <c r="S17">
        <f t="shared" si="1"/>
        <v>0</v>
      </c>
      <c r="T17">
        <f t="shared" si="2"/>
        <v>0</v>
      </c>
      <c r="W17">
        <v>2695.8</v>
      </c>
    </row>
    <row r="18" spans="1:23" x14ac:dyDescent="0.35">
      <c r="A18">
        <v>2920</v>
      </c>
      <c r="B18">
        <v>23610</v>
      </c>
      <c r="C18" s="1">
        <v>42598</v>
      </c>
      <c r="G18">
        <v>21.7</v>
      </c>
      <c r="H18">
        <v>13.8</v>
      </c>
      <c r="I18">
        <v>29.1</v>
      </c>
      <c r="M18">
        <v>0</v>
      </c>
      <c r="N18">
        <v>5.8</v>
      </c>
      <c r="O18">
        <f t="shared" si="0"/>
        <v>-5.8</v>
      </c>
      <c r="P18">
        <v>0</v>
      </c>
      <c r="S18">
        <f t="shared" si="1"/>
        <v>0</v>
      </c>
      <c r="T18">
        <f t="shared" si="2"/>
        <v>0</v>
      </c>
      <c r="W18">
        <v>2668.1</v>
      </c>
    </row>
    <row r="19" spans="1:23" x14ac:dyDescent="0.35">
      <c r="A19">
        <v>2920</v>
      </c>
      <c r="B19">
        <v>23610</v>
      </c>
      <c r="C19" s="1">
        <v>42599</v>
      </c>
      <c r="G19">
        <v>20.9</v>
      </c>
      <c r="H19">
        <v>13.2</v>
      </c>
      <c r="I19">
        <v>29.4</v>
      </c>
      <c r="M19">
        <v>3.2</v>
      </c>
      <c r="N19">
        <v>4.0999999999999996</v>
      </c>
      <c r="O19">
        <f t="shared" si="0"/>
        <v>-0.89999999999999947</v>
      </c>
      <c r="P19">
        <v>0</v>
      </c>
      <c r="S19">
        <f t="shared" si="1"/>
        <v>0</v>
      </c>
      <c r="T19">
        <f t="shared" si="2"/>
        <v>3.2</v>
      </c>
      <c r="W19">
        <v>1653.1</v>
      </c>
    </row>
    <row r="20" spans="1:23" x14ac:dyDescent="0.35">
      <c r="A20">
        <v>2920</v>
      </c>
      <c r="B20">
        <v>23610</v>
      </c>
      <c r="C20" s="1">
        <v>42600</v>
      </c>
      <c r="G20">
        <v>18.899999999999999</v>
      </c>
      <c r="H20">
        <v>16.3</v>
      </c>
      <c r="I20">
        <v>22.2</v>
      </c>
      <c r="M20">
        <v>0.1</v>
      </c>
      <c r="N20">
        <v>1.2</v>
      </c>
      <c r="O20">
        <f t="shared" si="0"/>
        <v>-1.0999999999999999</v>
      </c>
      <c r="P20">
        <v>0</v>
      </c>
      <c r="S20">
        <f t="shared" si="1"/>
        <v>0</v>
      </c>
      <c r="T20">
        <f t="shared" si="2"/>
        <v>0.1</v>
      </c>
      <c r="W20">
        <v>660.2</v>
      </c>
    </row>
    <row r="21" spans="1:23" x14ac:dyDescent="0.35">
      <c r="A21">
        <v>2920</v>
      </c>
      <c r="B21">
        <v>23610</v>
      </c>
      <c r="C21" s="1">
        <v>42601</v>
      </c>
      <c r="G21">
        <v>17.100000000000001</v>
      </c>
      <c r="H21">
        <v>14.6</v>
      </c>
      <c r="I21">
        <v>21</v>
      </c>
      <c r="M21">
        <v>3.3</v>
      </c>
      <c r="N21">
        <v>1.9</v>
      </c>
      <c r="O21">
        <f t="shared" si="0"/>
        <v>1.4</v>
      </c>
      <c r="P21">
        <f>P20+O21</f>
        <v>1.4</v>
      </c>
      <c r="S21">
        <f t="shared" si="1"/>
        <v>0</v>
      </c>
      <c r="T21">
        <f t="shared" si="2"/>
        <v>3.3</v>
      </c>
      <c r="W21">
        <v>832.2</v>
      </c>
    </row>
    <row r="22" spans="1:23" x14ac:dyDescent="0.35">
      <c r="A22">
        <v>2920</v>
      </c>
      <c r="B22">
        <v>23610</v>
      </c>
      <c r="C22" s="1">
        <v>42602</v>
      </c>
      <c r="G22">
        <v>17.7</v>
      </c>
      <c r="H22">
        <v>14.2</v>
      </c>
      <c r="I22">
        <v>22.6</v>
      </c>
      <c r="M22">
        <v>0.2</v>
      </c>
      <c r="N22">
        <v>4.5</v>
      </c>
      <c r="O22">
        <f t="shared" si="0"/>
        <v>-4.3</v>
      </c>
      <c r="P22">
        <v>0</v>
      </c>
      <c r="S22">
        <f t="shared" si="1"/>
        <v>0</v>
      </c>
      <c r="T22">
        <f t="shared" si="2"/>
        <v>0.2</v>
      </c>
      <c r="W22">
        <v>1955.6</v>
      </c>
    </row>
    <row r="23" spans="1:23" x14ac:dyDescent="0.35">
      <c r="A23">
        <v>2920</v>
      </c>
      <c r="B23">
        <v>23610</v>
      </c>
      <c r="C23" s="1">
        <v>42603</v>
      </c>
      <c r="G23">
        <v>17.5</v>
      </c>
      <c r="H23">
        <v>12.2</v>
      </c>
      <c r="I23">
        <v>22.4</v>
      </c>
      <c r="M23">
        <v>0</v>
      </c>
      <c r="N23">
        <v>3.7</v>
      </c>
      <c r="O23">
        <f t="shared" si="0"/>
        <v>-3.7</v>
      </c>
      <c r="P23">
        <v>0</v>
      </c>
      <c r="S23">
        <f t="shared" si="1"/>
        <v>0</v>
      </c>
      <c r="T23">
        <f t="shared" si="2"/>
        <v>0</v>
      </c>
      <c r="W23">
        <v>1829.2</v>
      </c>
    </row>
    <row r="24" spans="1:23" x14ac:dyDescent="0.35">
      <c r="A24">
        <v>2920</v>
      </c>
      <c r="B24">
        <v>23610</v>
      </c>
      <c r="C24" s="1">
        <v>42604</v>
      </c>
      <c r="G24">
        <v>20.3</v>
      </c>
      <c r="H24">
        <v>12.8</v>
      </c>
      <c r="I24">
        <v>27</v>
      </c>
      <c r="M24">
        <v>0</v>
      </c>
      <c r="N24">
        <v>5.0999999999999996</v>
      </c>
      <c r="O24">
        <f t="shared" si="0"/>
        <v>-5.0999999999999996</v>
      </c>
      <c r="P24">
        <v>0</v>
      </c>
      <c r="S24">
        <f t="shared" si="1"/>
        <v>0</v>
      </c>
      <c r="T24">
        <f t="shared" si="2"/>
        <v>0</v>
      </c>
      <c r="W24">
        <v>2384.4</v>
      </c>
    </row>
    <row r="25" spans="1:23" x14ac:dyDescent="0.35">
      <c r="A25">
        <v>2920</v>
      </c>
      <c r="B25">
        <v>23610</v>
      </c>
      <c r="C25" s="1">
        <v>42605</v>
      </c>
      <c r="G25">
        <v>25.3</v>
      </c>
      <c r="H25">
        <v>17.5</v>
      </c>
      <c r="I25">
        <v>33.4</v>
      </c>
      <c r="M25">
        <v>0</v>
      </c>
      <c r="N25">
        <v>6.7</v>
      </c>
      <c r="O25">
        <f t="shared" si="0"/>
        <v>-6.7</v>
      </c>
      <c r="P25">
        <v>0</v>
      </c>
      <c r="S25">
        <f t="shared" si="1"/>
        <v>0</v>
      </c>
      <c r="T25">
        <f t="shared" si="2"/>
        <v>0</v>
      </c>
      <c r="W25">
        <v>2576.9</v>
      </c>
    </row>
    <row r="26" spans="1:23" x14ac:dyDescent="0.35">
      <c r="A26">
        <v>2920</v>
      </c>
      <c r="B26">
        <v>23610</v>
      </c>
      <c r="C26" s="1">
        <v>42606</v>
      </c>
      <c r="G26">
        <v>20.8</v>
      </c>
      <c r="H26">
        <v>15</v>
      </c>
      <c r="I26">
        <v>27.9</v>
      </c>
      <c r="M26">
        <v>0</v>
      </c>
      <c r="N26">
        <v>5</v>
      </c>
      <c r="O26">
        <f t="shared" si="0"/>
        <v>-5</v>
      </c>
      <c r="P26">
        <v>0</v>
      </c>
      <c r="S26">
        <f t="shared" si="1"/>
        <v>0</v>
      </c>
      <c r="T26">
        <f t="shared" si="2"/>
        <v>0</v>
      </c>
      <c r="W26">
        <v>2295.4</v>
      </c>
    </row>
    <row r="27" spans="1:23" x14ac:dyDescent="0.35">
      <c r="A27">
        <v>2920</v>
      </c>
      <c r="B27">
        <v>23610</v>
      </c>
      <c r="C27" s="1">
        <v>42607</v>
      </c>
      <c r="G27">
        <v>23.1</v>
      </c>
      <c r="H27">
        <v>15.8</v>
      </c>
      <c r="I27">
        <v>29.7</v>
      </c>
      <c r="M27">
        <v>0</v>
      </c>
      <c r="N27">
        <v>2.8</v>
      </c>
      <c r="O27">
        <f t="shared" si="0"/>
        <v>-2.8</v>
      </c>
      <c r="P27">
        <v>0</v>
      </c>
      <c r="S27">
        <f t="shared" si="1"/>
        <v>0</v>
      </c>
      <c r="T27">
        <f t="shared" si="2"/>
        <v>0</v>
      </c>
      <c r="W27">
        <v>1208.5</v>
      </c>
    </row>
    <row r="28" spans="1:23" x14ac:dyDescent="0.35">
      <c r="A28">
        <v>2920</v>
      </c>
      <c r="B28">
        <v>23610</v>
      </c>
      <c r="C28" s="1">
        <v>42608</v>
      </c>
      <c r="G28">
        <v>20.8</v>
      </c>
      <c r="H28">
        <v>16.899999999999999</v>
      </c>
      <c r="I28">
        <v>24.8</v>
      </c>
      <c r="M28">
        <v>0</v>
      </c>
      <c r="N28">
        <v>2.5</v>
      </c>
      <c r="O28">
        <f t="shared" si="0"/>
        <v>-2.5</v>
      </c>
      <c r="P28">
        <v>0</v>
      </c>
      <c r="S28">
        <f t="shared" si="1"/>
        <v>0</v>
      </c>
      <c r="T28">
        <f t="shared" si="2"/>
        <v>0</v>
      </c>
      <c r="W28">
        <v>856.8</v>
      </c>
    </row>
    <row r="29" spans="1:23" x14ac:dyDescent="0.35">
      <c r="A29">
        <v>2920</v>
      </c>
      <c r="B29">
        <v>23610</v>
      </c>
      <c r="C29" s="1">
        <v>42609</v>
      </c>
      <c r="G29">
        <v>21.9</v>
      </c>
      <c r="H29">
        <v>14.9</v>
      </c>
      <c r="I29">
        <v>30.7</v>
      </c>
      <c r="M29">
        <v>0</v>
      </c>
      <c r="N29">
        <v>5.5</v>
      </c>
      <c r="O29">
        <f t="shared" si="0"/>
        <v>-5.5</v>
      </c>
      <c r="P29">
        <v>0</v>
      </c>
      <c r="S29">
        <f t="shared" si="1"/>
        <v>0</v>
      </c>
      <c r="T29">
        <f t="shared" si="2"/>
        <v>0</v>
      </c>
      <c r="W29">
        <v>2275.3000000000002</v>
      </c>
    </row>
    <row r="30" spans="1:23" x14ac:dyDescent="0.35">
      <c r="A30">
        <v>2920</v>
      </c>
      <c r="B30">
        <v>23610</v>
      </c>
      <c r="C30" s="1">
        <v>42610</v>
      </c>
      <c r="G30">
        <v>19.2</v>
      </c>
      <c r="H30">
        <v>15.7</v>
      </c>
      <c r="I30">
        <v>24.3</v>
      </c>
      <c r="M30">
        <v>0</v>
      </c>
      <c r="N30">
        <v>3.3</v>
      </c>
      <c r="O30">
        <f t="shared" si="0"/>
        <v>-3.3</v>
      </c>
      <c r="P30">
        <v>0</v>
      </c>
      <c r="S30">
        <f t="shared" si="1"/>
        <v>0</v>
      </c>
      <c r="T30">
        <f t="shared" si="2"/>
        <v>0</v>
      </c>
      <c r="W30">
        <v>1251.5999999999999</v>
      </c>
    </row>
    <row r="31" spans="1:23" x14ac:dyDescent="0.35">
      <c r="A31">
        <v>2920</v>
      </c>
      <c r="B31">
        <v>23610</v>
      </c>
      <c r="C31" s="1">
        <v>42611</v>
      </c>
      <c r="G31">
        <v>18.899999999999999</v>
      </c>
      <c r="H31">
        <v>16.399999999999999</v>
      </c>
      <c r="I31">
        <v>23.4</v>
      </c>
      <c r="M31">
        <v>0.2</v>
      </c>
      <c r="N31">
        <v>3.6</v>
      </c>
      <c r="O31">
        <f t="shared" si="0"/>
        <v>-3.4</v>
      </c>
      <c r="P31">
        <v>0</v>
      </c>
      <c r="S31">
        <f t="shared" si="1"/>
        <v>0</v>
      </c>
      <c r="T31">
        <f t="shared" si="2"/>
        <v>0.2</v>
      </c>
      <c r="W31">
        <v>1249.0999999999999</v>
      </c>
    </row>
    <row r="32" spans="1:23" x14ac:dyDescent="0.35">
      <c r="A32">
        <v>2920</v>
      </c>
      <c r="B32">
        <v>23610</v>
      </c>
      <c r="C32" s="1">
        <v>42612</v>
      </c>
      <c r="G32">
        <v>18.600000000000001</v>
      </c>
      <c r="H32">
        <v>12.8</v>
      </c>
      <c r="I32">
        <v>24.3</v>
      </c>
      <c r="M32">
        <v>0.1</v>
      </c>
      <c r="N32">
        <v>3.6</v>
      </c>
      <c r="O32">
        <f t="shared" si="0"/>
        <v>-3.5</v>
      </c>
      <c r="P32">
        <v>0</v>
      </c>
      <c r="S32">
        <f t="shared" si="1"/>
        <v>0</v>
      </c>
      <c r="T32">
        <f t="shared" si="2"/>
        <v>0.1</v>
      </c>
      <c r="W32">
        <v>1749.6</v>
      </c>
    </row>
    <row r="33" spans="1:23" x14ac:dyDescent="0.35">
      <c r="A33">
        <v>2920</v>
      </c>
      <c r="B33">
        <v>23610</v>
      </c>
      <c r="C33" s="1">
        <v>42613</v>
      </c>
      <c r="G33">
        <v>19</v>
      </c>
      <c r="H33">
        <v>13.7</v>
      </c>
      <c r="I33">
        <v>25.6</v>
      </c>
      <c r="M33">
        <v>0</v>
      </c>
      <c r="N33">
        <v>4.2</v>
      </c>
      <c r="O33">
        <f t="shared" si="0"/>
        <v>-4.2</v>
      </c>
      <c r="P33">
        <v>0</v>
      </c>
      <c r="S33">
        <f t="shared" si="1"/>
        <v>0</v>
      </c>
      <c r="T33">
        <f t="shared" si="2"/>
        <v>0</v>
      </c>
      <c r="W33">
        <v>1919.2</v>
      </c>
    </row>
    <row r="34" spans="1:23" x14ac:dyDescent="0.35">
      <c r="A34">
        <v>2920</v>
      </c>
      <c r="B34">
        <v>23610</v>
      </c>
      <c r="C34" s="1">
        <v>42614</v>
      </c>
      <c r="G34">
        <v>18.899999999999999</v>
      </c>
      <c r="H34">
        <v>13.5</v>
      </c>
      <c r="I34">
        <v>24.1</v>
      </c>
      <c r="M34">
        <v>0</v>
      </c>
      <c r="N34">
        <v>3.3</v>
      </c>
      <c r="O34">
        <f t="shared" si="0"/>
        <v>-3.3</v>
      </c>
      <c r="P34">
        <v>0</v>
      </c>
      <c r="S34">
        <f t="shared" si="1"/>
        <v>0</v>
      </c>
      <c r="T34">
        <f t="shared" si="2"/>
        <v>0</v>
      </c>
      <c r="W34">
        <v>1694.7</v>
      </c>
    </row>
    <row r="35" spans="1:23" x14ac:dyDescent="0.35">
      <c r="A35">
        <v>2920</v>
      </c>
      <c r="B35">
        <v>23610</v>
      </c>
      <c r="C35" s="1">
        <v>42615</v>
      </c>
      <c r="G35">
        <v>18.100000000000001</v>
      </c>
      <c r="H35">
        <v>10.6</v>
      </c>
      <c r="I35">
        <v>24.7</v>
      </c>
      <c r="M35">
        <v>0</v>
      </c>
      <c r="N35">
        <v>3.6</v>
      </c>
      <c r="O35">
        <f t="shared" si="0"/>
        <v>-3.6</v>
      </c>
      <c r="P35">
        <v>0</v>
      </c>
      <c r="S35">
        <f t="shared" si="1"/>
        <v>0</v>
      </c>
      <c r="T35">
        <f t="shared" si="2"/>
        <v>0</v>
      </c>
      <c r="W35">
        <v>1862.5</v>
      </c>
    </row>
    <row r="36" spans="1:23" x14ac:dyDescent="0.35">
      <c r="A36">
        <v>2920</v>
      </c>
      <c r="B36">
        <v>23610</v>
      </c>
      <c r="C36" s="1">
        <v>42616</v>
      </c>
      <c r="G36">
        <v>19.3</v>
      </c>
      <c r="H36">
        <v>12.2</v>
      </c>
      <c r="I36">
        <v>26</v>
      </c>
      <c r="M36">
        <v>0.2</v>
      </c>
      <c r="N36">
        <v>3.9</v>
      </c>
      <c r="O36">
        <f t="shared" si="0"/>
        <v>-3.6999999999999997</v>
      </c>
      <c r="P36">
        <v>0</v>
      </c>
      <c r="S36">
        <f t="shared" si="1"/>
        <v>0</v>
      </c>
      <c r="T36">
        <f t="shared" si="2"/>
        <v>0.2</v>
      </c>
      <c r="W36">
        <v>1872.7</v>
      </c>
    </row>
    <row r="37" spans="1:23" x14ac:dyDescent="0.35">
      <c r="A37">
        <v>2920</v>
      </c>
      <c r="B37">
        <v>23610</v>
      </c>
      <c r="C37" s="1">
        <v>42617</v>
      </c>
      <c r="G37">
        <v>20.399999999999999</v>
      </c>
      <c r="H37">
        <v>17.8</v>
      </c>
      <c r="I37">
        <v>22.7</v>
      </c>
      <c r="M37">
        <v>2.1</v>
      </c>
      <c r="N37">
        <v>0.9</v>
      </c>
      <c r="O37">
        <f t="shared" si="0"/>
        <v>1.2000000000000002</v>
      </c>
      <c r="P37">
        <f t="shared" ref="P37:P55" si="3">P36+O37</f>
        <v>1.2000000000000002</v>
      </c>
      <c r="S37">
        <f t="shared" si="1"/>
        <v>0</v>
      </c>
      <c r="T37">
        <f t="shared" si="2"/>
        <v>2.1</v>
      </c>
      <c r="W37">
        <v>357.2</v>
      </c>
    </row>
    <row r="38" spans="1:23" x14ac:dyDescent="0.35">
      <c r="A38">
        <v>2920</v>
      </c>
      <c r="B38">
        <v>23610</v>
      </c>
      <c r="C38" s="1">
        <v>42618</v>
      </c>
      <c r="G38">
        <v>21.1</v>
      </c>
      <c r="H38">
        <v>19.2</v>
      </c>
      <c r="I38">
        <v>23</v>
      </c>
      <c r="M38">
        <v>0</v>
      </c>
      <c r="N38">
        <v>1.6</v>
      </c>
      <c r="O38">
        <f t="shared" si="0"/>
        <v>-1.6</v>
      </c>
      <c r="P38">
        <v>0</v>
      </c>
      <c r="S38">
        <f t="shared" si="1"/>
        <v>0</v>
      </c>
      <c r="T38">
        <f t="shared" si="2"/>
        <v>0</v>
      </c>
      <c r="W38">
        <v>503.5</v>
      </c>
    </row>
    <row r="39" spans="1:23" x14ac:dyDescent="0.35">
      <c r="A39">
        <v>2920</v>
      </c>
      <c r="B39">
        <v>23610</v>
      </c>
      <c r="C39" s="1">
        <v>42619</v>
      </c>
      <c r="G39">
        <v>23</v>
      </c>
      <c r="H39">
        <v>19</v>
      </c>
      <c r="I39">
        <v>26.7</v>
      </c>
      <c r="M39">
        <v>0</v>
      </c>
      <c r="N39">
        <v>3.5</v>
      </c>
      <c r="O39">
        <f t="shared" si="0"/>
        <v>-3.5</v>
      </c>
      <c r="P39">
        <v>0</v>
      </c>
      <c r="S39">
        <f t="shared" si="1"/>
        <v>0</v>
      </c>
      <c r="T39">
        <f t="shared" si="2"/>
        <v>0</v>
      </c>
      <c r="W39">
        <v>1227</v>
      </c>
    </row>
    <row r="40" spans="1:23" x14ac:dyDescent="0.35">
      <c r="A40">
        <v>2920</v>
      </c>
      <c r="B40">
        <v>23610</v>
      </c>
      <c r="C40" s="1">
        <v>42620</v>
      </c>
      <c r="G40">
        <v>22.4</v>
      </c>
      <c r="H40">
        <v>16.5</v>
      </c>
      <c r="I40">
        <v>28.3</v>
      </c>
      <c r="M40">
        <v>0</v>
      </c>
      <c r="N40">
        <v>5.3</v>
      </c>
      <c r="O40">
        <f t="shared" si="0"/>
        <v>-5.3</v>
      </c>
      <c r="P40">
        <v>0</v>
      </c>
      <c r="S40">
        <f t="shared" si="1"/>
        <v>0</v>
      </c>
      <c r="T40">
        <f t="shared" si="2"/>
        <v>0</v>
      </c>
      <c r="W40">
        <v>2054.1</v>
      </c>
    </row>
    <row r="41" spans="1:23" x14ac:dyDescent="0.35">
      <c r="A41">
        <v>2920</v>
      </c>
      <c r="B41">
        <v>23610</v>
      </c>
      <c r="C41" s="1">
        <v>42621</v>
      </c>
      <c r="G41">
        <v>18.899999999999999</v>
      </c>
      <c r="H41">
        <v>16</v>
      </c>
      <c r="I41">
        <v>23.3</v>
      </c>
      <c r="M41">
        <v>0</v>
      </c>
      <c r="N41">
        <v>3.6</v>
      </c>
      <c r="O41">
        <f t="shared" si="0"/>
        <v>-3.6</v>
      </c>
      <c r="P41">
        <v>0</v>
      </c>
      <c r="S41">
        <f t="shared" si="1"/>
        <v>0</v>
      </c>
      <c r="T41">
        <f t="shared" si="2"/>
        <v>0</v>
      </c>
      <c r="W41">
        <v>1109</v>
      </c>
    </row>
    <row r="42" spans="1:23" x14ac:dyDescent="0.35">
      <c r="A42">
        <v>2920</v>
      </c>
      <c r="B42">
        <v>23610</v>
      </c>
      <c r="C42" s="1">
        <v>42622</v>
      </c>
      <c r="G42">
        <v>17.2</v>
      </c>
      <c r="H42">
        <v>11.3</v>
      </c>
      <c r="I42">
        <v>22.8</v>
      </c>
      <c r="M42">
        <v>0</v>
      </c>
      <c r="N42">
        <v>2.7</v>
      </c>
      <c r="O42">
        <f t="shared" si="0"/>
        <v>-2.7</v>
      </c>
      <c r="P42">
        <v>0</v>
      </c>
      <c r="S42">
        <f t="shared" si="1"/>
        <v>0</v>
      </c>
      <c r="T42">
        <f t="shared" si="2"/>
        <v>0</v>
      </c>
      <c r="W42">
        <v>1163.3</v>
      </c>
    </row>
    <row r="43" spans="1:23" x14ac:dyDescent="0.35">
      <c r="A43">
        <v>2920</v>
      </c>
      <c r="B43">
        <v>23610</v>
      </c>
      <c r="C43" s="1">
        <v>42623</v>
      </c>
      <c r="G43">
        <v>18.7</v>
      </c>
      <c r="H43">
        <v>14.9</v>
      </c>
      <c r="I43">
        <v>25.1</v>
      </c>
      <c r="M43">
        <v>0.3</v>
      </c>
      <c r="N43">
        <v>2.4</v>
      </c>
      <c r="O43">
        <f t="shared" si="0"/>
        <v>-2.1</v>
      </c>
      <c r="P43">
        <v>0</v>
      </c>
      <c r="S43">
        <f t="shared" si="1"/>
        <v>0</v>
      </c>
      <c r="T43">
        <f t="shared" si="2"/>
        <v>0.3</v>
      </c>
      <c r="W43">
        <v>505.6</v>
      </c>
    </row>
    <row r="44" spans="1:23" x14ac:dyDescent="0.35">
      <c r="A44">
        <v>2920</v>
      </c>
      <c r="B44">
        <v>23610</v>
      </c>
      <c r="C44" s="1">
        <v>42624</v>
      </c>
      <c r="G44">
        <v>17.8</v>
      </c>
      <c r="H44">
        <v>13.5</v>
      </c>
      <c r="I44">
        <v>21.5</v>
      </c>
      <c r="M44">
        <v>0</v>
      </c>
      <c r="N44">
        <v>1.4</v>
      </c>
      <c r="O44">
        <f t="shared" si="0"/>
        <v>-1.4</v>
      </c>
      <c r="P44">
        <v>0</v>
      </c>
      <c r="S44">
        <f t="shared" si="1"/>
        <v>0</v>
      </c>
      <c r="T44">
        <f t="shared" si="2"/>
        <v>0</v>
      </c>
      <c r="W44">
        <v>715.1</v>
      </c>
    </row>
    <row r="45" spans="1:23" x14ac:dyDescent="0.35">
      <c r="A45">
        <v>2920</v>
      </c>
      <c r="B45">
        <v>23610</v>
      </c>
      <c r="C45" s="1">
        <v>42625</v>
      </c>
      <c r="G45">
        <v>20.7</v>
      </c>
      <c r="H45">
        <v>14.4</v>
      </c>
      <c r="I45">
        <v>26.3</v>
      </c>
      <c r="M45">
        <v>0</v>
      </c>
      <c r="N45">
        <v>1.7</v>
      </c>
      <c r="O45">
        <f t="shared" si="0"/>
        <v>-1.7</v>
      </c>
      <c r="P45">
        <v>0</v>
      </c>
      <c r="S45">
        <f t="shared" si="1"/>
        <v>0</v>
      </c>
      <c r="T45">
        <f t="shared" si="2"/>
        <v>0</v>
      </c>
      <c r="W45">
        <v>553.1</v>
      </c>
    </row>
    <row r="46" spans="1:23" x14ac:dyDescent="0.35">
      <c r="A46">
        <v>2920</v>
      </c>
      <c r="B46">
        <v>23610</v>
      </c>
      <c r="C46" s="1">
        <v>42626</v>
      </c>
      <c r="G46">
        <v>20.6</v>
      </c>
      <c r="H46">
        <v>17.600000000000001</v>
      </c>
      <c r="I46">
        <v>23.5</v>
      </c>
      <c r="M46">
        <v>9.4</v>
      </c>
      <c r="N46">
        <v>2.7</v>
      </c>
      <c r="O46">
        <f t="shared" si="0"/>
        <v>6.7</v>
      </c>
      <c r="P46">
        <f t="shared" si="3"/>
        <v>6.7</v>
      </c>
      <c r="S46">
        <f t="shared" si="1"/>
        <v>0</v>
      </c>
      <c r="T46">
        <f t="shared" si="2"/>
        <v>9.4</v>
      </c>
      <c r="W46">
        <v>1495.2</v>
      </c>
    </row>
    <row r="47" spans="1:23" x14ac:dyDescent="0.35">
      <c r="A47">
        <v>2920</v>
      </c>
      <c r="B47">
        <v>23610</v>
      </c>
      <c r="C47" s="1">
        <v>42627</v>
      </c>
      <c r="G47">
        <v>18.899999999999999</v>
      </c>
      <c r="H47">
        <v>16.3</v>
      </c>
      <c r="I47">
        <v>22.7</v>
      </c>
      <c r="M47">
        <v>0.5</v>
      </c>
      <c r="N47">
        <v>2.1</v>
      </c>
      <c r="O47">
        <f t="shared" si="0"/>
        <v>-1.6</v>
      </c>
      <c r="P47">
        <f t="shared" si="3"/>
        <v>5.0999999999999996</v>
      </c>
      <c r="S47">
        <f t="shared" si="1"/>
        <v>0</v>
      </c>
      <c r="T47">
        <f t="shared" si="2"/>
        <v>0.5</v>
      </c>
      <c r="W47">
        <v>945.1</v>
      </c>
    </row>
    <row r="48" spans="1:23" x14ac:dyDescent="0.35">
      <c r="A48">
        <v>2920</v>
      </c>
      <c r="B48">
        <v>23610</v>
      </c>
      <c r="C48" s="1">
        <v>42628</v>
      </c>
      <c r="G48">
        <v>17.2</v>
      </c>
      <c r="H48">
        <v>15.2</v>
      </c>
      <c r="I48">
        <v>19.600000000000001</v>
      </c>
      <c r="M48">
        <v>15.1</v>
      </c>
      <c r="N48">
        <v>1.9</v>
      </c>
      <c r="O48">
        <f t="shared" si="0"/>
        <v>13.2</v>
      </c>
      <c r="P48">
        <f t="shared" si="3"/>
        <v>18.299999999999997</v>
      </c>
      <c r="S48">
        <f t="shared" si="1"/>
        <v>0</v>
      </c>
      <c r="T48">
        <f t="shared" si="2"/>
        <v>15.1</v>
      </c>
      <c r="W48">
        <v>1023.2</v>
      </c>
    </row>
    <row r="49" spans="1:26" x14ac:dyDescent="0.35">
      <c r="A49">
        <v>2920</v>
      </c>
      <c r="B49">
        <v>23610</v>
      </c>
      <c r="C49" s="1">
        <v>42629</v>
      </c>
      <c r="G49">
        <v>15.7</v>
      </c>
      <c r="H49">
        <v>14.8</v>
      </c>
      <c r="I49">
        <v>17.8</v>
      </c>
      <c r="M49">
        <v>4.7</v>
      </c>
      <c r="N49">
        <v>1.7</v>
      </c>
      <c r="O49">
        <f t="shared" si="0"/>
        <v>3</v>
      </c>
      <c r="P49">
        <f t="shared" si="3"/>
        <v>21.299999999999997</v>
      </c>
      <c r="S49">
        <f t="shared" si="1"/>
        <v>0</v>
      </c>
      <c r="T49">
        <f t="shared" si="2"/>
        <v>4.7</v>
      </c>
      <c r="W49">
        <v>416.9</v>
      </c>
    </row>
    <row r="50" spans="1:26" x14ac:dyDescent="0.35">
      <c r="A50">
        <v>2920</v>
      </c>
      <c r="B50">
        <v>23610</v>
      </c>
      <c r="C50" s="1">
        <v>42630</v>
      </c>
      <c r="G50">
        <v>15.1</v>
      </c>
      <c r="H50">
        <v>11.6</v>
      </c>
      <c r="I50">
        <v>18.899999999999999</v>
      </c>
      <c r="M50">
        <v>0.4</v>
      </c>
      <c r="N50">
        <v>2.4</v>
      </c>
      <c r="O50">
        <f t="shared" si="0"/>
        <v>-2</v>
      </c>
      <c r="P50">
        <f t="shared" si="3"/>
        <v>19.299999999999997</v>
      </c>
      <c r="S50">
        <f t="shared" si="1"/>
        <v>0</v>
      </c>
      <c r="T50">
        <f t="shared" si="2"/>
        <v>0.4</v>
      </c>
      <c r="W50">
        <v>1048.5999999999999</v>
      </c>
    </row>
    <row r="51" spans="1:26" x14ac:dyDescent="0.35">
      <c r="A51">
        <v>2920</v>
      </c>
      <c r="B51">
        <v>23610</v>
      </c>
      <c r="C51" s="1">
        <v>42631</v>
      </c>
      <c r="G51">
        <v>16.2</v>
      </c>
      <c r="H51">
        <v>13.9</v>
      </c>
      <c r="I51">
        <v>19.7</v>
      </c>
      <c r="M51">
        <v>0</v>
      </c>
      <c r="N51">
        <v>1.9</v>
      </c>
      <c r="O51">
        <f t="shared" si="0"/>
        <v>-1.9</v>
      </c>
      <c r="P51">
        <f t="shared" si="3"/>
        <v>17.399999999999999</v>
      </c>
      <c r="S51">
        <f t="shared" si="1"/>
        <v>0</v>
      </c>
      <c r="T51">
        <f t="shared" si="2"/>
        <v>0</v>
      </c>
      <c r="W51">
        <v>890.4</v>
      </c>
    </row>
    <row r="52" spans="1:26" x14ac:dyDescent="0.35">
      <c r="A52">
        <v>2920</v>
      </c>
      <c r="B52">
        <v>23610</v>
      </c>
      <c r="C52" s="1">
        <v>42632</v>
      </c>
      <c r="G52">
        <v>15.1</v>
      </c>
      <c r="H52">
        <v>12</v>
      </c>
      <c r="I52">
        <v>18.8</v>
      </c>
      <c r="M52">
        <v>0.1</v>
      </c>
      <c r="N52">
        <v>1.5</v>
      </c>
      <c r="O52">
        <f t="shared" si="0"/>
        <v>-1.4</v>
      </c>
      <c r="P52">
        <f t="shared" si="3"/>
        <v>15.999999999999998</v>
      </c>
      <c r="S52">
        <f t="shared" si="1"/>
        <v>0</v>
      </c>
      <c r="T52">
        <f t="shared" si="2"/>
        <v>0.1</v>
      </c>
      <c r="W52">
        <v>849.9</v>
      </c>
    </row>
    <row r="53" spans="1:26" x14ac:dyDescent="0.35">
      <c r="A53">
        <v>2920</v>
      </c>
      <c r="B53">
        <v>23610</v>
      </c>
      <c r="C53" s="1">
        <v>42633</v>
      </c>
      <c r="G53">
        <v>15.5</v>
      </c>
      <c r="H53">
        <v>10.6</v>
      </c>
      <c r="I53">
        <v>20.100000000000001</v>
      </c>
      <c r="M53">
        <v>0</v>
      </c>
      <c r="N53">
        <v>1.6</v>
      </c>
      <c r="O53">
        <f t="shared" si="0"/>
        <v>-1.6</v>
      </c>
      <c r="P53">
        <f t="shared" si="3"/>
        <v>14.399999999999999</v>
      </c>
      <c r="S53">
        <f t="shared" si="1"/>
        <v>0</v>
      </c>
      <c r="T53">
        <f t="shared" si="2"/>
        <v>0</v>
      </c>
      <c r="W53">
        <v>786.9</v>
      </c>
    </row>
    <row r="54" spans="1:26" x14ac:dyDescent="0.35">
      <c r="A54">
        <v>2920</v>
      </c>
      <c r="B54">
        <v>23610</v>
      </c>
      <c r="C54" s="1">
        <v>42634</v>
      </c>
      <c r="G54">
        <v>16.3</v>
      </c>
      <c r="H54">
        <v>10.7</v>
      </c>
      <c r="I54">
        <v>21.9</v>
      </c>
      <c r="M54">
        <v>0</v>
      </c>
      <c r="N54">
        <v>1.7</v>
      </c>
      <c r="O54">
        <f t="shared" si="0"/>
        <v>-1.7</v>
      </c>
      <c r="P54">
        <f t="shared" si="3"/>
        <v>12.7</v>
      </c>
      <c r="S54">
        <f t="shared" si="1"/>
        <v>0</v>
      </c>
      <c r="T54">
        <f t="shared" si="2"/>
        <v>0</v>
      </c>
      <c r="W54">
        <v>988.3</v>
      </c>
    </row>
    <row r="55" spans="1:26" s="4" customFormat="1" ht="15" thickBot="1" x14ac:dyDescent="0.4">
      <c r="A55" s="4">
        <v>2920</v>
      </c>
      <c r="B55" s="4">
        <v>23610</v>
      </c>
      <c r="C55" s="5">
        <v>42635</v>
      </c>
      <c r="G55" s="4">
        <v>15.6</v>
      </c>
      <c r="H55" s="4">
        <v>11.3</v>
      </c>
      <c r="I55" s="4">
        <v>20.100000000000001</v>
      </c>
      <c r="M55" s="4">
        <v>0</v>
      </c>
      <c r="N55" s="4">
        <v>2.1</v>
      </c>
      <c r="O55" s="4">
        <f t="shared" si="0"/>
        <v>-2.1</v>
      </c>
      <c r="P55" s="6">
        <f t="shared" si="3"/>
        <v>10.6</v>
      </c>
      <c r="S55" s="4">
        <f t="shared" si="1"/>
        <v>0</v>
      </c>
      <c r="T55" s="4">
        <f t="shared" si="2"/>
        <v>0</v>
      </c>
      <c r="W55" s="4">
        <v>1128.2</v>
      </c>
    </row>
    <row r="56" spans="1:26" x14ac:dyDescent="0.35">
      <c r="A56">
        <v>2920</v>
      </c>
      <c r="B56">
        <v>23610</v>
      </c>
      <c r="C56" s="1">
        <v>42636</v>
      </c>
      <c r="D56" t="s">
        <v>31</v>
      </c>
      <c r="F56" s="46" t="s">
        <v>52</v>
      </c>
      <c r="G56">
        <v>15.1</v>
      </c>
      <c r="H56">
        <v>10</v>
      </c>
      <c r="I56">
        <v>21</v>
      </c>
      <c r="J56">
        <f>G56</f>
        <v>15.1</v>
      </c>
      <c r="K56">
        <f>G56</f>
        <v>15.1</v>
      </c>
      <c r="L56" s="7" t="s">
        <v>36</v>
      </c>
      <c r="M56">
        <v>0.1</v>
      </c>
      <c r="N56">
        <v>2.9</v>
      </c>
      <c r="O56">
        <f t="shared" si="0"/>
        <v>-2.8</v>
      </c>
      <c r="Q56">
        <v>1</v>
      </c>
      <c r="R56">
        <v>0.35</v>
      </c>
      <c r="S56">
        <f t="shared" si="1"/>
        <v>1.0149999999999999</v>
      </c>
      <c r="T56">
        <f t="shared" si="2"/>
        <v>-0.91499999999999992</v>
      </c>
      <c r="U56">
        <f>P55+T57</f>
        <v>9.5749999999999993</v>
      </c>
      <c r="V56" s="24" t="s">
        <v>43</v>
      </c>
      <c r="W56">
        <v>1478.2</v>
      </c>
      <c r="X56">
        <f>W56</f>
        <v>1478.2</v>
      </c>
      <c r="Y56">
        <v>11.850054156310808</v>
      </c>
      <c r="Z56" s="24" t="s">
        <v>48</v>
      </c>
    </row>
    <row r="57" spans="1:26" x14ac:dyDescent="0.35">
      <c r="A57">
        <v>2920</v>
      </c>
      <c r="B57">
        <v>23610</v>
      </c>
      <c r="C57" s="1">
        <v>42637</v>
      </c>
      <c r="F57" s="47"/>
      <c r="G57">
        <v>17.2</v>
      </c>
      <c r="H57">
        <v>9.6999999999999993</v>
      </c>
      <c r="I57">
        <v>23.5</v>
      </c>
      <c r="J57">
        <f>J56+G57</f>
        <v>32.299999999999997</v>
      </c>
      <c r="K57">
        <f>K56+G57</f>
        <v>32.299999999999997</v>
      </c>
      <c r="L57" s="8">
        <v>693.6</v>
      </c>
      <c r="M57">
        <v>0.2</v>
      </c>
      <c r="N57">
        <v>3.5</v>
      </c>
      <c r="O57">
        <f t="shared" si="0"/>
        <v>-3.3</v>
      </c>
      <c r="Q57">
        <v>2</v>
      </c>
      <c r="R57">
        <v>0.35</v>
      </c>
      <c r="S57">
        <f t="shared" si="1"/>
        <v>1.2249999999999999</v>
      </c>
      <c r="T57">
        <f t="shared" si="2"/>
        <v>-1.0249999999999999</v>
      </c>
      <c r="U57">
        <f>MIN(U56+T57,197.4)</f>
        <v>8.5499999999999989</v>
      </c>
      <c r="V57">
        <v>6</v>
      </c>
      <c r="W57">
        <v>1678.8</v>
      </c>
      <c r="X57">
        <f>X56+W57</f>
        <v>3157</v>
      </c>
      <c r="Y57">
        <v>11.790104294887646</v>
      </c>
      <c r="Z57">
        <v>43458</v>
      </c>
    </row>
    <row r="58" spans="1:26" x14ac:dyDescent="0.35">
      <c r="A58">
        <v>2920</v>
      </c>
      <c r="B58">
        <v>23610</v>
      </c>
      <c r="C58" s="1">
        <v>42638</v>
      </c>
      <c r="F58" s="47"/>
      <c r="G58">
        <v>16.100000000000001</v>
      </c>
      <c r="H58">
        <v>14.6</v>
      </c>
      <c r="I58">
        <v>20.399999999999999</v>
      </c>
      <c r="J58">
        <f t="shared" ref="J58:J121" si="4">J57+G58</f>
        <v>48.4</v>
      </c>
      <c r="K58">
        <f t="shared" ref="K58:K121" si="5">K57+G58</f>
        <v>48.4</v>
      </c>
      <c r="L58" s="7" t="s">
        <v>37</v>
      </c>
      <c r="M58">
        <v>0</v>
      </c>
      <c r="N58">
        <v>2.9</v>
      </c>
      <c r="O58">
        <f t="shared" si="0"/>
        <v>-2.9</v>
      </c>
      <c r="Q58">
        <v>3</v>
      </c>
      <c r="R58">
        <v>0.35</v>
      </c>
      <c r="S58">
        <f t="shared" si="1"/>
        <v>1.0149999999999999</v>
      </c>
      <c r="T58">
        <f t="shared" si="2"/>
        <v>-1.0149999999999999</v>
      </c>
      <c r="U58">
        <f t="shared" ref="U58:U121" si="6">MIN(U57+T58,197.4)</f>
        <v>7.5349999999999993</v>
      </c>
      <c r="V58" s="24" t="s">
        <v>44</v>
      </c>
      <c r="W58">
        <v>1081.5999999999999</v>
      </c>
      <c r="X58">
        <f t="shared" ref="X58:X121" si="7">X57+W58</f>
        <v>4238.6000000000004</v>
      </c>
      <c r="Y58">
        <v>11.730182973532362</v>
      </c>
      <c r="Z58" s="24" t="s">
        <v>49</v>
      </c>
    </row>
    <row r="59" spans="1:26" x14ac:dyDescent="0.35">
      <c r="A59">
        <v>2920</v>
      </c>
      <c r="B59">
        <v>23610</v>
      </c>
      <c r="C59" s="1">
        <v>42639</v>
      </c>
      <c r="F59" s="47"/>
      <c r="G59">
        <v>15.5</v>
      </c>
      <c r="H59">
        <v>10.7</v>
      </c>
      <c r="I59">
        <v>19.399999999999999</v>
      </c>
      <c r="J59">
        <f t="shared" si="4"/>
        <v>63.9</v>
      </c>
      <c r="K59">
        <f t="shared" si="5"/>
        <v>63.9</v>
      </c>
      <c r="L59" s="9">
        <f>AVERAGE(G56:G121)</f>
        <v>10.509090909090906</v>
      </c>
      <c r="M59">
        <v>0</v>
      </c>
      <c r="N59">
        <v>2.1</v>
      </c>
      <c r="O59">
        <f t="shared" si="0"/>
        <v>-2.1</v>
      </c>
      <c r="Q59">
        <v>4</v>
      </c>
      <c r="R59">
        <v>0.35</v>
      </c>
      <c r="S59">
        <f t="shared" si="1"/>
        <v>0.73499999999999999</v>
      </c>
      <c r="T59">
        <f t="shared" si="2"/>
        <v>-0.73499999999999999</v>
      </c>
      <c r="U59">
        <f t="shared" si="6"/>
        <v>6.7999999999999989</v>
      </c>
      <c r="V59">
        <v>55</v>
      </c>
      <c r="W59">
        <v>1045.8</v>
      </c>
      <c r="X59">
        <f t="shared" si="7"/>
        <v>5284.4000000000005</v>
      </c>
      <c r="Y59">
        <v>11.67029843795485</v>
      </c>
      <c r="Z59">
        <f>(Z57/100)/L57</f>
        <v>0.6265570934256055</v>
      </c>
    </row>
    <row r="60" spans="1:26" x14ac:dyDescent="0.35">
      <c r="A60">
        <v>2920</v>
      </c>
      <c r="B60">
        <v>23610</v>
      </c>
      <c r="C60" s="1">
        <v>42640</v>
      </c>
      <c r="D60" t="s">
        <v>33</v>
      </c>
      <c r="F60" s="47"/>
      <c r="G60">
        <v>17.5</v>
      </c>
      <c r="H60">
        <v>15.9</v>
      </c>
      <c r="I60">
        <v>19.2</v>
      </c>
      <c r="J60">
        <f t="shared" si="4"/>
        <v>81.400000000000006</v>
      </c>
      <c r="K60">
        <f t="shared" si="5"/>
        <v>81.400000000000006</v>
      </c>
      <c r="L60" s="7" t="s">
        <v>38</v>
      </c>
      <c r="M60">
        <v>0.7</v>
      </c>
      <c r="N60">
        <v>0.9</v>
      </c>
      <c r="O60">
        <f t="shared" si="0"/>
        <v>-0.20000000000000007</v>
      </c>
      <c r="Q60">
        <v>5</v>
      </c>
      <c r="R60">
        <v>0.35</v>
      </c>
      <c r="S60">
        <f t="shared" si="1"/>
        <v>0.315</v>
      </c>
      <c r="T60">
        <f t="shared" si="2"/>
        <v>0.38499999999999995</v>
      </c>
      <c r="U60">
        <f t="shared" si="6"/>
        <v>7.1849999999999987</v>
      </c>
      <c r="V60" s="24" t="s">
        <v>45</v>
      </c>
      <c r="W60">
        <v>241.2</v>
      </c>
      <c r="X60">
        <f t="shared" si="7"/>
        <v>5525.6</v>
      </c>
      <c r="Y60">
        <v>11.610459002338031</v>
      </c>
      <c r="Z60" s="24" t="s">
        <v>50</v>
      </c>
    </row>
    <row r="61" spans="1:26" x14ac:dyDescent="0.35">
      <c r="A61">
        <v>2920</v>
      </c>
      <c r="B61">
        <v>23610</v>
      </c>
      <c r="C61" s="1">
        <v>42641</v>
      </c>
      <c r="F61" s="47"/>
      <c r="G61">
        <v>17.5</v>
      </c>
      <c r="H61">
        <v>15.1</v>
      </c>
      <c r="I61">
        <v>21.6</v>
      </c>
      <c r="J61">
        <f t="shared" si="4"/>
        <v>98.9</v>
      </c>
      <c r="K61">
        <f t="shared" si="5"/>
        <v>98.9</v>
      </c>
      <c r="L61" s="8">
        <f>MIN(H56:H121)</f>
        <v>-0.7</v>
      </c>
      <c r="M61">
        <v>0.5</v>
      </c>
      <c r="N61">
        <v>2.8</v>
      </c>
      <c r="O61">
        <f t="shared" si="0"/>
        <v>-2.2999999999999998</v>
      </c>
      <c r="Q61">
        <v>6</v>
      </c>
      <c r="R61">
        <f>0.35+((Q61-5)/61)*(1-0.35)</f>
        <v>0.36065573770491799</v>
      </c>
      <c r="S61">
        <f t="shared" si="1"/>
        <v>1.0098360655737704</v>
      </c>
      <c r="T61">
        <f t="shared" si="2"/>
        <v>-0.50983606557377037</v>
      </c>
      <c r="U61">
        <f t="shared" si="6"/>
        <v>6.6751639344262284</v>
      </c>
      <c r="V61" s="17">
        <f>MIN(U56:U121)</f>
        <v>0</v>
      </c>
      <c r="W61">
        <v>1333.6</v>
      </c>
      <c r="X61">
        <f t="shared" si="7"/>
        <v>6859.2000000000007</v>
      </c>
      <c r="Y61">
        <v>11.550673064463327</v>
      </c>
      <c r="Z61">
        <v>45</v>
      </c>
    </row>
    <row r="62" spans="1:26" x14ac:dyDescent="0.35">
      <c r="A62">
        <v>2920</v>
      </c>
      <c r="B62">
        <v>23610</v>
      </c>
      <c r="C62" s="1">
        <v>42642</v>
      </c>
      <c r="F62" s="47"/>
      <c r="G62">
        <v>15.4</v>
      </c>
      <c r="H62">
        <v>14.3</v>
      </c>
      <c r="I62">
        <v>20.5</v>
      </c>
      <c r="J62">
        <f t="shared" si="4"/>
        <v>114.30000000000001</v>
      </c>
      <c r="K62">
        <f t="shared" si="5"/>
        <v>114.30000000000001</v>
      </c>
      <c r="L62" s="7" t="s">
        <v>39</v>
      </c>
      <c r="M62">
        <v>1.5</v>
      </c>
      <c r="N62">
        <v>1.5</v>
      </c>
      <c r="O62">
        <f t="shared" si="0"/>
        <v>0</v>
      </c>
      <c r="Q62">
        <v>7</v>
      </c>
      <c r="R62">
        <f t="shared" ref="R62:R121" si="8">0.35+((Q62-5)/61)*(1-0.35)</f>
        <v>0.37131147540983606</v>
      </c>
      <c r="S62">
        <f t="shared" si="1"/>
        <v>0.55696721311475406</v>
      </c>
      <c r="T62">
        <f t="shared" si="2"/>
        <v>0.94303278688524594</v>
      </c>
      <c r="U62">
        <f t="shared" si="6"/>
        <v>7.6181967213114739</v>
      </c>
      <c r="V62" s="24" t="s">
        <v>46</v>
      </c>
      <c r="W62">
        <v>321.89999999999998</v>
      </c>
      <c r="X62">
        <f t="shared" si="7"/>
        <v>7181.1</v>
      </c>
      <c r="Y62">
        <v>11.490949120780177</v>
      </c>
    </row>
    <row r="63" spans="1:26" x14ac:dyDescent="0.35">
      <c r="A63">
        <v>2920</v>
      </c>
      <c r="B63">
        <v>23610</v>
      </c>
      <c r="C63" s="1">
        <v>42643</v>
      </c>
      <c r="F63" s="47"/>
      <c r="G63">
        <v>12.8</v>
      </c>
      <c r="H63">
        <v>10.5</v>
      </c>
      <c r="I63">
        <v>18.3</v>
      </c>
      <c r="J63">
        <f t="shared" si="4"/>
        <v>127.10000000000001</v>
      </c>
      <c r="K63">
        <f t="shared" si="5"/>
        <v>127.10000000000001</v>
      </c>
      <c r="L63" s="8">
        <f>MAX(I56:I121)</f>
        <v>23.5</v>
      </c>
      <c r="M63">
        <v>0.1</v>
      </c>
      <c r="N63">
        <v>2.5</v>
      </c>
      <c r="O63">
        <f t="shared" si="0"/>
        <v>-2.4</v>
      </c>
      <c r="Q63">
        <v>8</v>
      </c>
      <c r="R63">
        <f t="shared" si="8"/>
        <v>0.38196721311475407</v>
      </c>
      <c r="S63">
        <f t="shared" si="1"/>
        <v>0.95491803278688514</v>
      </c>
      <c r="T63">
        <f t="shared" si="2"/>
        <v>-0.85491803278688516</v>
      </c>
      <c r="U63">
        <f t="shared" si="6"/>
        <v>6.763278688524589</v>
      </c>
      <c r="V63" s="17">
        <f>MAX(U56:U121)</f>
        <v>68.991721311475416</v>
      </c>
      <c r="W63">
        <v>1305.0999999999999</v>
      </c>
      <c r="X63">
        <f t="shared" si="7"/>
        <v>8486.2000000000007</v>
      </c>
      <c r="Y63">
        <v>11.431295781407767</v>
      </c>
    </row>
    <row r="64" spans="1:26" x14ac:dyDescent="0.35">
      <c r="A64">
        <v>2920</v>
      </c>
      <c r="B64">
        <v>23610</v>
      </c>
      <c r="C64" s="1">
        <v>42644</v>
      </c>
      <c r="F64" s="47"/>
      <c r="G64">
        <v>12.6</v>
      </c>
      <c r="H64">
        <v>9.6</v>
      </c>
      <c r="I64">
        <v>17.399999999999999</v>
      </c>
      <c r="J64">
        <f t="shared" si="4"/>
        <v>139.70000000000002</v>
      </c>
      <c r="K64">
        <f t="shared" si="5"/>
        <v>139.70000000000002</v>
      </c>
      <c r="L64" s="7" t="s">
        <v>40</v>
      </c>
      <c r="M64">
        <v>0.2</v>
      </c>
      <c r="N64">
        <v>1.9</v>
      </c>
      <c r="O64">
        <f t="shared" si="0"/>
        <v>-1.7</v>
      </c>
      <c r="Q64">
        <v>9</v>
      </c>
      <c r="R64">
        <f t="shared" si="8"/>
        <v>0.39262295081967213</v>
      </c>
      <c r="S64">
        <f t="shared" si="1"/>
        <v>0.74598360655737705</v>
      </c>
      <c r="T64">
        <f t="shared" si="2"/>
        <v>-0.5459836065573771</v>
      </c>
      <c r="U64">
        <f t="shared" si="6"/>
        <v>6.2172950819672117</v>
      </c>
      <c r="V64" s="24" t="s">
        <v>47</v>
      </c>
      <c r="W64">
        <v>917.9</v>
      </c>
      <c r="X64">
        <f t="shared" si="7"/>
        <v>9404.1</v>
      </c>
      <c r="Y64">
        <v>11.371721785056641</v>
      </c>
    </row>
    <row r="65" spans="1:25" x14ac:dyDescent="0.35">
      <c r="A65">
        <v>2920</v>
      </c>
      <c r="B65">
        <v>23610</v>
      </c>
      <c r="C65" s="1">
        <v>42645</v>
      </c>
      <c r="F65" s="47"/>
      <c r="G65">
        <v>11.6</v>
      </c>
      <c r="H65">
        <v>6.5</v>
      </c>
      <c r="I65">
        <v>17.2</v>
      </c>
      <c r="J65">
        <f t="shared" si="4"/>
        <v>151.30000000000001</v>
      </c>
      <c r="K65">
        <f t="shared" si="5"/>
        <v>151.30000000000001</v>
      </c>
      <c r="L65" s="8">
        <v>0</v>
      </c>
      <c r="M65">
        <v>0</v>
      </c>
      <c r="N65">
        <v>1.3</v>
      </c>
      <c r="O65">
        <f t="shared" si="0"/>
        <v>-1.3</v>
      </c>
      <c r="Q65">
        <v>10</v>
      </c>
      <c r="R65">
        <f t="shared" si="8"/>
        <v>0.40327868852459015</v>
      </c>
      <c r="S65">
        <f t="shared" si="1"/>
        <v>0.5242622950819672</v>
      </c>
      <c r="T65">
        <f t="shared" si="2"/>
        <v>-0.5242622950819672</v>
      </c>
      <c r="U65">
        <f t="shared" si="6"/>
        <v>5.6930327868852446</v>
      </c>
      <c r="V65" s="17">
        <f>AVERAGE(U56:U121)</f>
        <v>21.119515648286143</v>
      </c>
      <c r="W65">
        <v>693.5</v>
      </c>
      <c r="X65">
        <f t="shared" si="7"/>
        <v>10097.6</v>
      </c>
      <c r="Y65">
        <v>11.312236013856966</v>
      </c>
    </row>
    <row r="66" spans="1:25" x14ac:dyDescent="0.35">
      <c r="A66">
        <v>2920</v>
      </c>
      <c r="B66">
        <v>23610</v>
      </c>
      <c r="C66" s="1">
        <v>42646</v>
      </c>
      <c r="F66" s="47"/>
      <c r="G66">
        <v>12.5</v>
      </c>
      <c r="H66">
        <v>5.8</v>
      </c>
      <c r="I66">
        <v>18.7</v>
      </c>
      <c r="J66">
        <f t="shared" si="4"/>
        <v>163.80000000000001</v>
      </c>
      <c r="K66">
        <f t="shared" si="5"/>
        <v>163.80000000000001</v>
      </c>
      <c r="L66" s="7" t="s">
        <v>41</v>
      </c>
      <c r="M66">
        <v>0</v>
      </c>
      <c r="N66">
        <v>2.4</v>
      </c>
      <c r="O66">
        <f t="shared" si="0"/>
        <v>-2.4</v>
      </c>
      <c r="Q66">
        <v>11</v>
      </c>
      <c r="R66">
        <f t="shared" si="8"/>
        <v>0.41393442622950816</v>
      </c>
      <c r="S66">
        <f t="shared" si="1"/>
        <v>0.99344262295081953</v>
      </c>
      <c r="T66">
        <f t="shared" si="2"/>
        <v>-0.99344262295081953</v>
      </c>
      <c r="U66">
        <f t="shared" si="6"/>
        <v>4.6995901639344249</v>
      </c>
      <c r="W66">
        <v>1312.8</v>
      </c>
      <c r="X66">
        <f t="shared" si="7"/>
        <v>11410.4</v>
      </c>
      <c r="Y66">
        <v>11.252847508079137</v>
      </c>
    </row>
    <row r="67" spans="1:25" x14ac:dyDescent="0.35">
      <c r="A67">
        <v>2920</v>
      </c>
      <c r="B67">
        <v>23610</v>
      </c>
      <c r="C67" s="1">
        <v>42647</v>
      </c>
      <c r="F67" s="47"/>
      <c r="G67">
        <v>14.3</v>
      </c>
      <c r="H67">
        <v>9.6999999999999993</v>
      </c>
      <c r="I67">
        <v>18.399999999999999</v>
      </c>
      <c r="J67">
        <f t="shared" si="4"/>
        <v>178.10000000000002</v>
      </c>
      <c r="K67">
        <f t="shared" si="5"/>
        <v>178.10000000000002</v>
      </c>
      <c r="L67" s="8">
        <v>17</v>
      </c>
      <c r="M67">
        <v>0</v>
      </c>
      <c r="N67">
        <v>2.8</v>
      </c>
      <c r="O67">
        <f t="shared" si="0"/>
        <v>-2.8</v>
      </c>
      <c r="Q67">
        <v>12</v>
      </c>
      <c r="R67">
        <f t="shared" si="8"/>
        <v>0.42459016393442622</v>
      </c>
      <c r="S67">
        <f t="shared" si="1"/>
        <v>1.1888524590163934</v>
      </c>
      <c r="T67">
        <f t="shared" si="2"/>
        <v>-1.1888524590163934</v>
      </c>
      <c r="U67">
        <f t="shared" si="6"/>
        <v>3.5107377049180313</v>
      </c>
      <c r="V67" s="18">
        <f>(V65*100)/197.4</f>
        <v>10.6988427802868</v>
      </c>
      <c r="W67">
        <v>1201.0999999999999</v>
      </c>
      <c r="X67">
        <f t="shared" si="7"/>
        <v>12611.5</v>
      </c>
      <c r="Y67">
        <v>11.193565480731463</v>
      </c>
    </row>
    <row r="68" spans="1:25" x14ac:dyDescent="0.35">
      <c r="A68">
        <v>2920</v>
      </c>
      <c r="B68">
        <v>23610</v>
      </c>
      <c r="C68" s="1">
        <v>42648</v>
      </c>
      <c r="F68" s="47"/>
      <c r="G68">
        <v>14</v>
      </c>
      <c r="H68">
        <v>11</v>
      </c>
      <c r="I68">
        <v>18.3</v>
      </c>
      <c r="J68">
        <f t="shared" si="4"/>
        <v>192.10000000000002</v>
      </c>
      <c r="K68">
        <f t="shared" si="5"/>
        <v>192.10000000000002</v>
      </c>
      <c r="L68" s="7" t="s">
        <v>42</v>
      </c>
      <c r="M68">
        <v>0</v>
      </c>
      <c r="N68">
        <v>3</v>
      </c>
      <c r="O68">
        <f t="shared" si="0"/>
        <v>-3</v>
      </c>
      <c r="Q68">
        <v>13</v>
      </c>
      <c r="R68">
        <f t="shared" si="8"/>
        <v>0.43524590163934423</v>
      </c>
      <c r="S68">
        <f t="shared" si="1"/>
        <v>1.3057377049180328</v>
      </c>
      <c r="T68">
        <f t="shared" si="2"/>
        <v>-1.3057377049180328</v>
      </c>
      <c r="U68">
        <f t="shared" si="6"/>
        <v>2.2049999999999983</v>
      </c>
      <c r="W68">
        <v>1464.2</v>
      </c>
      <c r="X68">
        <f t="shared" si="7"/>
        <v>14075.7</v>
      </c>
      <c r="Y68">
        <v>11.134399332018457</v>
      </c>
    </row>
    <row r="69" spans="1:25" x14ac:dyDescent="0.35">
      <c r="A69">
        <v>2920</v>
      </c>
      <c r="B69">
        <v>23610</v>
      </c>
      <c r="C69" s="1">
        <v>42649</v>
      </c>
      <c r="F69" s="47"/>
      <c r="G69">
        <v>10.4</v>
      </c>
      <c r="H69">
        <v>5.9</v>
      </c>
      <c r="I69">
        <v>15.6</v>
      </c>
      <c r="J69">
        <f t="shared" si="4"/>
        <v>202.50000000000003</v>
      </c>
      <c r="K69">
        <f t="shared" si="5"/>
        <v>202.50000000000003</v>
      </c>
      <c r="L69" s="8">
        <v>1</v>
      </c>
      <c r="M69">
        <v>0</v>
      </c>
      <c r="N69">
        <v>3.2</v>
      </c>
      <c r="O69">
        <f t="shared" ref="O69:O132" si="9">M69-N69</f>
        <v>-3.2</v>
      </c>
      <c r="Q69">
        <v>14</v>
      </c>
      <c r="R69">
        <f t="shared" si="8"/>
        <v>0.4459016393442623</v>
      </c>
      <c r="S69">
        <f t="shared" ref="S69:S132" si="10">R69*N69</f>
        <v>1.4268852459016395</v>
      </c>
      <c r="T69">
        <f t="shared" ref="T69:T132" si="11">M69-S69</f>
        <v>-1.4268852459016395</v>
      </c>
      <c r="U69">
        <f t="shared" si="6"/>
        <v>0.77811475409835884</v>
      </c>
      <c r="W69">
        <v>1620.8</v>
      </c>
      <c r="X69">
        <f t="shared" si="7"/>
        <v>15696.5</v>
      </c>
      <c r="Y69">
        <v>11.075358663641881</v>
      </c>
    </row>
    <row r="70" spans="1:25" x14ac:dyDescent="0.35">
      <c r="A70">
        <v>2920</v>
      </c>
      <c r="B70">
        <v>23610</v>
      </c>
      <c r="C70" s="1">
        <v>42650</v>
      </c>
      <c r="F70" s="47"/>
      <c r="G70">
        <v>9.9</v>
      </c>
      <c r="H70">
        <v>4.7</v>
      </c>
      <c r="I70">
        <v>12.9</v>
      </c>
      <c r="J70">
        <f t="shared" si="4"/>
        <v>212.40000000000003</v>
      </c>
      <c r="K70">
        <f t="shared" si="5"/>
        <v>212.40000000000003</v>
      </c>
      <c r="M70">
        <v>0</v>
      </c>
      <c r="N70">
        <v>0.9</v>
      </c>
      <c r="O70">
        <f t="shared" si="9"/>
        <v>-0.9</v>
      </c>
      <c r="Q70">
        <v>15</v>
      </c>
      <c r="R70">
        <f t="shared" si="8"/>
        <v>0.45655737704918031</v>
      </c>
      <c r="S70">
        <f t="shared" si="10"/>
        <v>0.41090163934426227</v>
      </c>
      <c r="T70">
        <f t="shared" si="11"/>
        <v>-0.41090163934426227</v>
      </c>
      <c r="U70">
        <f t="shared" si="6"/>
        <v>0.36721311475409657</v>
      </c>
      <c r="W70">
        <v>577.20000000000005</v>
      </c>
      <c r="X70">
        <f t="shared" si="7"/>
        <v>16273.7</v>
      </c>
      <c r="Y70">
        <v>11.01645329292538</v>
      </c>
    </row>
    <row r="71" spans="1:25" x14ac:dyDescent="0.35">
      <c r="A71">
        <v>2920</v>
      </c>
      <c r="B71">
        <v>23610</v>
      </c>
      <c r="C71" s="1">
        <v>42651</v>
      </c>
      <c r="F71" s="47"/>
      <c r="G71">
        <v>12.5</v>
      </c>
      <c r="H71">
        <v>10.7</v>
      </c>
      <c r="I71">
        <v>16.2</v>
      </c>
      <c r="J71">
        <f t="shared" si="4"/>
        <v>224.90000000000003</v>
      </c>
      <c r="K71">
        <f t="shared" si="5"/>
        <v>224.90000000000003</v>
      </c>
      <c r="M71">
        <v>0</v>
      </c>
      <c r="N71">
        <v>1.5</v>
      </c>
      <c r="O71">
        <f t="shared" si="9"/>
        <v>-1.5</v>
      </c>
      <c r="Q71">
        <v>16</v>
      </c>
      <c r="R71">
        <f t="shared" si="8"/>
        <v>0.46721311475409832</v>
      </c>
      <c r="S71">
        <f t="shared" si="10"/>
        <v>0.70081967213114749</v>
      </c>
      <c r="T71">
        <f t="shared" si="11"/>
        <v>-0.70081967213114749</v>
      </c>
      <c r="U71">
        <v>0</v>
      </c>
      <c r="W71">
        <v>619</v>
      </c>
      <c r="X71">
        <f t="shared" si="7"/>
        <v>16892.7</v>
      </c>
      <c r="Y71">
        <v>10.95769326674192</v>
      </c>
    </row>
    <row r="72" spans="1:25" x14ac:dyDescent="0.35">
      <c r="A72">
        <v>2920</v>
      </c>
      <c r="B72">
        <v>23610</v>
      </c>
      <c r="C72" s="1">
        <v>42652</v>
      </c>
      <c r="F72" s="47"/>
      <c r="G72">
        <v>10.5</v>
      </c>
      <c r="H72">
        <v>5.7</v>
      </c>
      <c r="I72">
        <v>16.399999999999999</v>
      </c>
      <c r="J72">
        <f t="shared" si="4"/>
        <v>235.40000000000003</v>
      </c>
      <c r="K72">
        <f t="shared" si="5"/>
        <v>235.40000000000003</v>
      </c>
      <c r="M72">
        <v>0</v>
      </c>
      <c r="N72">
        <v>1.6</v>
      </c>
      <c r="O72">
        <f t="shared" si="9"/>
        <v>-1.6</v>
      </c>
      <c r="Q72">
        <v>17</v>
      </c>
      <c r="R72">
        <f t="shared" si="8"/>
        <v>0.47786885245901634</v>
      </c>
      <c r="S72">
        <f t="shared" si="10"/>
        <v>0.76459016393442614</v>
      </c>
      <c r="T72">
        <f t="shared" si="11"/>
        <v>-0.76459016393442614</v>
      </c>
      <c r="U72">
        <v>0</v>
      </c>
      <c r="W72">
        <v>1036.3</v>
      </c>
      <c r="X72">
        <f t="shared" si="7"/>
        <v>17929</v>
      </c>
      <c r="Y72">
        <v>10.899088875221722</v>
      </c>
    </row>
    <row r="73" spans="1:25" x14ac:dyDescent="0.35">
      <c r="A73">
        <v>2920</v>
      </c>
      <c r="B73">
        <v>23610</v>
      </c>
      <c r="C73" s="1">
        <v>42653</v>
      </c>
      <c r="F73" s="47"/>
      <c r="G73">
        <v>10</v>
      </c>
      <c r="H73">
        <v>3</v>
      </c>
      <c r="I73">
        <v>16.399999999999999</v>
      </c>
      <c r="J73">
        <f t="shared" si="4"/>
        <v>245.40000000000003</v>
      </c>
      <c r="K73">
        <f t="shared" si="5"/>
        <v>245.40000000000003</v>
      </c>
      <c r="M73">
        <v>0</v>
      </c>
      <c r="N73">
        <v>1.8</v>
      </c>
      <c r="O73">
        <f t="shared" si="9"/>
        <v>-1.8</v>
      </c>
      <c r="Q73">
        <v>18</v>
      </c>
      <c r="R73">
        <f t="shared" si="8"/>
        <v>0.4885245901639344</v>
      </c>
      <c r="S73">
        <f t="shared" si="10"/>
        <v>0.87934426229508189</v>
      </c>
      <c r="T73">
        <f t="shared" si="11"/>
        <v>-0.87934426229508189</v>
      </c>
      <c r="U73">
        <v>0</v>
      </c>
      <c r="W73">
        <v>1078.4000000000001</v>
      </c>
      <c r="X73">
        <f t="shared" si="7"/>
        <v>19007.400000000001</v>
      </c>
      <c r="Y73">
        <v>10.840650665216574</v>
      </c>
    </row>
    <row r="74" spans="1:25" x14ac:dyDescent="0.35">
      <c r="A74">
        <v>2920</v>
      </c>
      <c r="B74">
        <v>23610</v>
      </c>
      <c r="C74" s="1">
        <v>42654</v>
      </c>
      <c r="F74" s="47"/>
      <c r="G74">
        <v>9.4</v>
      </c>
      <c r="H74">
        <v>3.7</v>
      </c>
      <c r="I74">
        <v>15.3</v>
      </c>
      <c r="J74">
        <f t="shared" si="4"/>
        <v>254.80000000000004</v>
      </c>
      <c r="K74">
        <f t="shared" si="5"/>
        <v>254.80000000000004</v>
      </c>
      <c r="M74">
        <v>0</v>
      </c>
      <c r="N74">
        <v>1.8</v>
      </c>
      <c r="O74">
        <f t="shared" si="9"/>
        <v>-1.8</v>
      </c>
      <c r="Q74">
        <v>19</v>
      </c>
      <c r="R74">
        <f t="shared" si="8"/>
        <v>0.49918032786885247</v>
      </c>
      <c r="S74">
        <f t="shared" si="10"/>
        <v>0.89852459016393449</v>
      </c>
      <c r="T74">
        <f t="shared" si="11"/>
        <v>-0.89852459016393449</v>
      </c>
      <c r="U74">
        <v>0</v>
      </c>
      <c r="W74">
        <v>1023.6</v>
      </c>
      <c r="X74">
        <f t="shared" si="7"/>
        <v>20031</v>
      </c>
      <c r="Y74">
        <v>10.782389453494581</v>
      </c>
    </row>
    <row r="75" spans="1:25" x14ac:dyDescent="0.35">
      <c r="A75">
        <v>2920</v>
      </c>
      <c r="B75">
        <v>23610</v>
      </c>
      <c r="C75" s="1">
        <v>42655</v>
      </c>
      <c r="F75" s="47"/>
      <c r="G75">
        <v>9.3000000000000007</v>
      </c>
      <c r="H75">
        <v>4.5</v>
      </c>
      <c r="I75">
        <v>14.2</v>
      </c>
      <c r="J75">
        <f t="shared" si="4"/>
        <v>264.10000000000002</v>
      </c>
      <c r="K75">
        <f t="shared" si="5"/>
        <v>264.10000000000002</v>
      </c>
      <c r="M75">
        <v>0</v>
      </c>
      <c r="N75">
        <v>2.2999999999999998</v>
      </c>
      <c r="O75">
        <f t="shared" si="9"/>
        <v>-2.2999999999999998</v>
      </c>
      <c r="Q75">
        <v>20</v>
      </c>
      <c r="R75">
        <f t="shared" si="8"/>
        <v>0.50983606557377048</v>
      </c>
      <c r="S75">
        <f t="shared" si="10"/>
        <v>1.1726229508196719</v>
      </c>
      <c r="T75">
        <f t="shared" si="11"/>
        <v>-1.1726229508196719</v>
      </c>
      <c r="U75">
        <v>0</v>
      </c>
      <c r="W75">
        <v>1238.0999999999999</v>
      </c>
      <c r="X75">
        <f t="shared" si="7"/>
        <v>21269.1</v>
      </c>
      <c r="Y75">
        <v>10.724316339637516</v>
      </c>
    </row>
    <row r="76" spans="1:25" x14ac:dyDescent="0.35">
      <c r="A76">
        <v>2920</v>
      </c>
      <c r="B76">
        <v>23610</v>
      </c>
      <c r="C76" s="1">
        <v>42656</v>
      </c>
      <c r="F76" s="47"/>
      <c r="G76">
        <v>9.8000000000000007</v>
      </c>
      <c r="H76">
        <v>5.5</v>
      </c>
      <c r="I76">
        <v>13</v>
      </c>
      <c r="J76">
        <f t="shared" si="4"/>
        <v>273.90000000000003</v>
      </c>
      <c r="K76">
        <f t="shared" si="5"/>
        <v>273.90000000000003</v>
      </c>
      <c r="M76">
        <v>0</v>
      </c>
      <c r="N76">
        <v>1.4</v>
      </c>
      <c r="O76">
        <f t="shared" si="9"/>
        <v>-1.4</v>
      </c>
      <c r="Q76">
        <v>21</v>
      </c>
      <c r="R76">
        <f t="shared" si="8"/>
        <v>0.52049180327868849</v>
      </c>
      <c r="S76">
        <f t="shared" si="10"/>
        <v>0.72868852459016387</v>
      </c>
      <c r="T76">
        <f t="shared" si="11"/>
        <v>-0.72868852459016387</v>
      </c>
      <c r="U76">
        <v>0</v>
      </c>
      <c r="W76">
        <v>920.8</v>
      </c>
      <c r="X76">
        <f t="shared" si="7"/>
        <v>22189.899999999998</v>
      </c>
      <c r="Y76">
        <v>10.66644271861089</v>
      </c>
    </row>
    <row r="77" spans="1:25" x14ac:dyDescent="0.35">
      <c r="A77">
        <v>2920</v>
      </c>
      <c r="B77">
        <v>23610</v>
      </c>
      <c r="C77" s="1">
        <v>42657</v>
      </c>
      <c r="F77" s="47"/>
      <c r="G77">
        <v>8.9</v>
      </c>
      <c r="H77">
        <v>8.1999999999999993</v>
      </c>
      <c r="I77">
        <v>10.5</v>
      </c>
      <c r="J77">
        <f t="shared" si="4"/>
        <v>282.8</v>
      </c>
      <c r="K77">
        <f t="shared" si="5"/>
        <v>282.8</v>
      </c>
      <c r="M77">
        <v>0.9</v>
      </c>
      <c r="N77">
        <v>0.6</v>
      </c>
      <c r="O77">
        <f t="shared" si="9"/>
        <v>0.30000000000000004</v>
      </c>
      <c r="Q77">
        <v>22</v>
      </c>
      <c r="R77">
        <f t="shared" si="8"/>
        <v>0.5311475409836065</v>
      </c>
      <c r="S77">
        <f t="shared" si="10"/>
        <v>0.31868852459016389</v>
      </c>
      <c r="T77">
        <f t="shared" si="11"/>
        <v>0.58131147540983608</v>
      </c>
      <c r="U77">
        <f t="shared" si="6"/>
        <v>0.58131147540983608</v>
      </c>
      <c r="W77">
        <v>325.2</v>
      </c>
      <c r="X77">
        <f t="shared" si="7"/>
        <v>22515.1</v>
      </c>
      <c r="Y77">
        <v>10.608780292974748</v>
      </c>
    </row>
    <row r="78" spans="1:25" x14ac:dyDescent="0.35">
      <c r="A78">
        <v>2920</v>
      </c>
      <c r="B78">
        <v>23610</v>
      </c>
      <c r="C78" s="1">
        <v>42658</v>
      </c>
      <c r="F78" s="47"/>
      <c r="G78">
        <v>11.2</v>
      </c>
      <c r="H78">
        <v>5.5</v>
      </c>
      <c r="I78">
        <v>14.4</v>
      </c>
      <c r="J78">
        <f t="shared" si="4"/>
        <v>294</v>
      </c>
      <c r="K78">
        <f t="shared" si="5"/>
        <v>294</v>
      </c>
      <c r="M78">
        <v>8</v>
      </c>
      <c r="N78">
        <v>0.4</v>
      </c>
      <c r="O78">
        <f t="shared" si="9"/>
        <v>7.6</v>
      </c>
      <c r="Q78">
        <v>23</v>
      </c>
      <c r="R78">
        <f t="shared" si="8"/>
        <v>0.54180327868852451</v>
      </c>
      <c r="S78">
        <f t="shared" si="10"/>
        <v>0.21672131147540982</v>
      </c>
      <c r="T78">
        <f t="shared" si="11"/>
        <v>7.7832786885245904</v>
      </c>
      <c r="U78">
        <f t="shared" si="6"/>
        <v>8.3645901639344267</v>
      </c>
      <c r="W78">
        <v>407.7</v>
      </c>
      <c r="X78">
        <f t="shared" si="7"/>
        <v>22922.799999999999</v>
      </c>
      <c r="Y78">
        <v>10.551341084701024</v>
      </c>
    </row>
    <row r="79" spans="1:25" x14ac:dyDescent="0.35">
      <c r="A79">
        <v>2920</v>
      </c>
      <c r="B79">
        <v>23610</v>
      </c>
      <c r="C79" s="1">
        <v>42659</v>
      </c>
      <c r="F79" s="47"/>
      <c r="G79">
        <v>13.8</v>
      </c>
      <c r="H79">
        <v>11.9</v>
      </c>
      <c r="I79">
        <v>17.3</v>
      </c>
      <c r="J79">
        <f t="shared" si="4"/>
        <v>307.8</v>
      </c>
      <c r="K79">
        <f t="shared" si="5"/>
        <v>307.8</v>
      </c>
      <c r="M79">
        <v>3.4</v>
      </c>
      <c r="N79">
        <v>1.1000000000000001</v>
      </c>
      <c r="O79">
        <f t="shared" si="9"/>
        <v>2.2999999999999998</v>
      </c>
      <c r="Q79">
        <v>24</v>
      </c>
      <c r="R79">
        <f t="shared" si="8"/>
        <v>0.55245901639344264</v>
      </c>
      <c r="S79">
        <f t="shared" si="10"/>
        <v>0.60770491803278692</v>
      </c>
      <c r="T79">
        <f t="shared" si="11"/>
        <v>2.7922950819672128</v>
      </c>
      <c r="U79">
        <f t="shared" si="6"/>
        <v>11.156885245901639</v>
      </c>
      <c r="W79">
        <v>522.5</v>
      </c>
      <c r="X79">
        <f t="shared" si="7"/>
        <v>23445.3</v>
      </c>
      <c r="Y79">
        <v>10.494137446560973</v>
      </c>
    </row>
    <row r="80" spans="1:25" x14ac:dyDescent="0.35">
      <c r="A80">
        <v>2920</v>
      </c>
      <c r="B80">
        <v>23610</v>
      </c>
      <c r="C80" s="1">
        <v>42660</v>
      </c>
      <c r="F80" s="47"/>
      <c r="G80">
        <v>12.9</v>
      </c>
      <c r="H80">
        <v>11.2</v>
      </c>
      <c r="I80">
        <v>17.100000000000001</v>
      </c>
      <c r="J80">
        <f t="shared" si="4"/>
        <v>320.7</v>
      </c>
      <c r="K80">
        <f t="shared" si="5"/>
        <v>320.7</v>
      </c>
      <c r="M80">
        <v>0.1</v>
      </c>
      <c r="N80">
        <v>2</v>
      </c>
      <c r="O80">
        <f t="shared" si="9"/>
        <v>-1.9</v>
      </c>
      <c r="Q80">
        <v>25</v>
      </c>
      <c r="R80">
        <f t="shared" si="8"/>
        <v>0.56311475409836065</v>
      </c>
      <c r="S80">
        <f t="shared" si="10"/>
        <v>1.1262295081967213</v>
      </c>
      <c r="T80">
        <f t="shared" si="11"/>
        <v>-1.0262295081967212</v>
      </c>
      <c r="U80">
        <f t="shared" si="6"/>
        <v>10.130655737704918</v>
      </c>
      <c r="W80">
        <v>1083.2</v>
      </c>
      <c r="X80">
        <f t="shared" si="7"/>
        <v>24528.5</v>
      </c>
      <c r="Y80">
        <v>10.437182073043973</v>
      </c>
    </row>
    <row r="81" spans="1:25" x14ac:dyDescent="0.35">
      <c r="A81">
        <v>2920</v>
      </c>
      <c r="B81">
        <v>23610</v>
      </c>
      <c r="C81" s="1">
        <v>42661</v>
      </c>
      <c r="F81" s="47"/>
      <c r="G81">
        <v>10</v>
      </c>
      <c r="H81">
        <v>5.6</v>
      </c>
      <c r="I81">
        <v>15.4</v>
      </c>
      <c r="J81">
        <f t="shared" si="4"/>
        <v>330.7</v>
      </c>
      <c r="K81">
        <f t="shared" si="5"/>
        <v>330.7</v>
      </c>
      <c r="M81">
        <v>0.5</v>
      </c>
      <c r="N81">
        <v>1.2</v>
      </c>
      <c r="O81">
        <f t="shared" si="9"/>
        <v>-0.7</v>
      </c>
      <c r="Q81">
        <v>26</v>
      </c>
      <c r="R81">
        <f t="shared" si="8"/>
        <v>0.57377049180327866</v>
      </c>
      <c r="S81">
        <f t="shared" si="10"/>
        <v>0.68852459016393441</v>
      </c>
      <c r="T81">
        <f t="shared" si="11"/>
        <v>-0.18852459016393441</v>
      </c>
      <c r="U81">
        <f t="shared" si="6"/>
        <v>9.9421311475409837</v>
      </c>
      <c r="W81">
        <v>895</v>
      </c>
      <c r="X81">
        <f t="shared" si="7"/>
        <v>25423.5</v>
      </c>
      <c r="Y81">
        <v>10.380488010766509</v>
      </c>
    </row>
    <row r="82" spans="1:25" x14ac:dyDescent="0.35">
      <c r="A82">
        <v>2920</v>
      </c>
      <c r="B82">
        <v>23610</v>
      </c>
      <c r="C82" s="1">
        <v>42662</v>
      </c>
      <c r="F82" s="47"/>
      <c r="G82">
        <v>9.4</v>
      </c>
      <c r="H82">
        <v>5.8</v>
      </c>
      <c r="I82">
        <v>12.4</v>
      </c>
      <c r="J82">
        <f t="shared" si="4"/>
        <v>340.09999999999997</v>
      </c>
      <c r="K82">
        <f t="shared" si="5"/>
        <v>340.09999999999997</v>
      </c>
      <c r="M82">
        <v>0.4</v>
      </c>
      <c r="N82">
        <v>0.4</v>
      </c>
      <c r="O82">
        <f t="shared" si="9"/>
        <v>0</v>
      </c>
      <c r="Q82">
        <v>27</v>
      </c>
      <c r="R82">
        <f t="shared" si="8"/>
        <v>0.58442622950819678</v>
      </c>
      <c r="S82">
        <f t="shared" si="10"/>
        <v>0.23377049180327872</v>
      </c>
      <c r="T82">
        <f t="shared" si="11"/>
        <v>0.1662295081967213</v>
      </c>
      <c r="U82">
        <f t="shared" si="6"/>
        <v>10.108360655737705</v>
      </c>
      <c r="W82">
        <v>243</v>
      </c>
      <c r="X82">
        <f t="shared" si="7"/>
        <v>25666.5</v>
      </c>
      <c r="Y82">
        <v>10.32406866832776</v>
      </c>
    </row>
    <row r="83" spans="1:25" x14ac:dyDescent="0.35">
      <c r="A83">
        <v>2920</v>
      </c>
      <c r="B83">
        <v>23610</v>
      </c>
      <c r="C83" s="1">
        <v>42663</v>
      </c>
      <c r="F83" s="47"/>
      <c r="G83">
        <v>10.6</v>
      </c>
      <c r="H83">
        <v>8.1</v>
      </c>
      <c r="I83">
        <v>14.5</v>
      </c>
      <c r="J83">
        <f t="shared" si="4"/>
        <v>350.7</v>
      </c>
      <c r="K83">
        <f t="shared" si="5"/>
        <v>350.7</v>
      </c>
      <c r="M83">
        <v>0.1</v>
      </c>
      <c r="N83">
        <v>1.4</v>
      </c>
      <c r="O83">
        <f t="shared" si="9"/>
        <v>-1.2999999999999998</v>
      </c>
      <c r="Q83">
        <v>28</v>
      </c>
      <c r="R83">
        <f t="shared" si="8"/>
        <v>0.59508196721311468</v>
      </c>
      <c r="S83">
        <f t="shared" si="10"/>
        <v>0.83311475409836055</v>
      </c>
      <c r="T83">
        <f t="shared" si="11"/>
        <v>-0.73311475409836058</v>
      </c>
      <c r="U83">
        <f t="shared" si="6"/>
        <v>9.3752459016393441</v>
      </c>
      <c r="W83">
        <v>885.6</v>
      </c>
      <c r="X83">
        <f t="shared" si="7"/>
        <v>26552.1</v>
      </c>
      <c r="Y83">
        <v>10.267937825565793</v>
      </c>
    </row>
    <row r="84" spans="1:25" x14ac:dyDescent="0.35">
      <c r="A84">
        <v>2920</v>
      </c>
      <c r="B84">
        <v>23610</v>
      </c>
      <c r="C84" s="1">
        <v>42664</v>
      </c>
      <c r="F84" s="47"/>
      <c r="G84">
        <v>8.9</v>
      </c>
      <c r="H84">
        <v>5.5</v>
      </c>
      <c r="I84">
        <v>14</v>
      </c>
      <c r="J84">
        <f t="shared" si="4"/>
        <v>359.59999999999997</v>
      </c>
      <c r="K84">
        <f t="shared" si="5"/>
        <v>359.59999999999997</v>
      </c>
      <c r="M84">
        <v>0</v>
      </c>
      <c r="N84">
        <v>1.2</v>
      </c>
      <c r="O84">
        <f t="shared" si="9"/>
        <v>-1.2</v>
      </c>
      <c r="Q84">
        <v>29</v>
      </c>
      <c r="R84">
        <f t="shared" si="8"/>
        <v>0.6057377049180328</v>
      </c>
      <c r="S84">
        <f t="shared" si="10"/>
        <v>0.72688524590163939</v>
      </c>
      <c r="T84">
        <f t="shared" si="11"/>
        <v>-0.72688524590163939</v>
      </c>
      <c r="U84">
        <f t="shared" si="6"/>
        <v>8.6483606557377044</v>
      </c>
      <c r="W84">
        <v>725.4</v>
      </c>
      <c r="X84">
        <f t="shared" si="7"/>
        <v>27277.5</v>
      </c>
      <c r="Y84">
        <v>10.212109642165881</v>
      </c>
    </row>
    <row r="85" spans="1:25" x14ac:dyDescent="0.35">
      <c r="A85">
        <v>2920</v>
      </c>
      <c r="B85">
        <v>23610</v>
      </c>
      <c r="C85" s="1">
        <v>42665</v>
      </c>
      <c r="F85" s="47"/>
      <c r="G85">
        <v>7.9</v>
      </c>
      <c r="H85">
        <v>1.9</v>
      </c>
      <c r="I85">
        <v>13.7</v>
      </c>
      <c r="J85">
        <f t="shared" si="4"/>
        <v>367.49999999999994</v>
      </c>
      <c r="K85">
        <f t="shared" si="5"/>
        <v>367.49999999999994</v>
      </c>
      <c r="M85">
        <v>0</v>
      </c>
      <c r="N85">
        <v>0.9</v>
      </c>
      <c r="O85">
        <f t="shared" si="9"/>
        <v>-0.9</v>
      </c>
      <c r="Q85">
        <v>30</v>
      </c>
      <c r="R85">
        <f t="shared" si="8"/>
        <v>0.61639344262295082</v>
      </c>
      <c r="S85">
        <f t="shared" si="10"/>
        <v>0.5547540983606557</v>
      </c>
      <c r="T85">
        <f t="shared" si="11"/>
        <v>-0.5547540983606557</v>
      </c>
      <c r="U85">
        <f t="shared" si="6"/>
        <v>8.0936065573770488</v>
      </c>
      <c r="W85">
        <v>633.1</v>
      </c>
      <c r="X85">
        <f t="shared" si="7"/>
        <v>27910.6</v>
      </c>
      <c r="Y85">
        <v>10.156598665570007</v>
      </c>
    </row>
    <row r="86" spans="1:25" x14ac:dyDescent="0.35">
      <c r="A86">
        <v>2920</v>
      </c>
      <c r="B86">
        <v>23610</v>
      </c>
      <c r="C86" s="1">
        <v>42666</v>
      </c>
      <c r="F86" s="47"/>
      <c r="G86">
        <v>8.5</v>
      </c>
      <c r="H86">
        <v>6.7</v>
      </c>
      <c r="I86">
        <v>10.1</v>
      </c>
      <c r="J86">
        <f t="shared" si="4"/>
        <v>375.99999999999994</v>
      </c>
      <c r="K86">
        <f t="shared" si="5"/>
        <v>375.99999999999994</v>
      </c>
      <c r="M86">
        <v>9.5</v>
      </c>
      <c r="N86">
        <v>0.7</v>
      </c>
      <c r="O86">
        <f t="shared" si="9"/>
        <v>8.8000000000000007</v>
      </c>
      <c r="Q86">
        <v>31</v>
      </c>
      <c r="R86">
        <f t="shared" si="8"/>
        <v>0.62704918032786883</v>
      </c>
      <c r="S86">
        <f t="shared" si="10"/>
        <v>0.43893442622950812</v>
      </c>
      <c r="T86">
        <f t="shared" si="11"/>
        <v>9.0610655737704917</v>
      </c>
      <c r="U86">
        <f t="shared" si="6"/>
        <v>17.154672131147542</v>
      </c>
      <c r="W86">
        <v>290.3</v>
      </c>
      <c r="X86">
        <f t="shared" si="7"/>
        <v>28200.899999999998</v>
      </c>
      <c r="Y86">
        <v>10.101419838134126</v>
      </c>
    </row>
    <row r="87" spans="1:25" x14ac:dyDescent="0.35">
      <c r="A87">
        <v>2920</v>
      </c>
      <c r="B87">
        <v>23610</v>
      </c>
      <c r="C87" s="1">
        <v>42667</v>
      </c>
      <c r="F87" s="47"/>
      <c r="G87">
        <v>12</v>
      </c>
      <c r="H87">
        <v>9.6999999999999993</v>
      </c>
      <c r="I87">
        <v>14.1</v>
      </c>
      <c r="J87">
        <f t="shared" si="4"/>
        <v>387.99999999999994</v>
      </c>
      <c r="K87">
        <f t="shared" si="5"/>
        <v>387.99999999999994</v>
      </c>
      <c r="M87">
        <v>1.1000000000000001</v>
      </c>
      <c r="N87">
        <v>0.9</v>
      </c>
      <c r="O87">
        <f t="shared" si="9"/>
        <v>0.20000000000000007</v>
      </c>
      <c r="Q87">
        <v>32</v>
      </c>
      <c r="R87">
        <f t="shared" si="8"/>
        <v>0.63770491803278695</v>
      </c>
      <c r="S87">
        <f t="shared" si="10"/>
        <v>0.5739344262295083</v>
      </c>
      <c r="T87">
        <f t="shared" si="11"/>
        <v>0.52606557377049179</v>
      </c>
      <c r="U87">
        <f t="shared" si="6"/>
        <v>17.680737704918034</v>
      </c>
      <c r="W87">
        <v>547.20000000000005</v>
      </c>
      <c r="X87">
        <f t="shared" si="7"/>
        <v>28748.1</v>
      </c>
      <c r="Y87">
        <v>10.046588503477551</v>
      </c>
    </row>
    <row r="88" spans="1:25" x14ac:dyDescent="0.35">
      <c r="A88">
        <v>2920</v>
      </c>
      <c r="B88">
        <v>23610</v>
      </c>
      <c r="C88" s="1">
        <v>42668</v>
      </c>
      <c r="F88" s="47"/>
      <c r="G88">
        <v>10.3</v>
      </c>
      <c r="H88">
        <v>9.3000000000000007</v>
      </c>
      <c r="I88">
        <v>11.9</v>
      </c>
      <c r="J88">
        <f t="shared" si="4"/>
        <v>398.29999999999995</v>
      </c>
      <c r="K88">
        <f t="shared" si="5"/>
        <v>398.29999999999995</v>
      </c>
      <c r="M88">
        <v>0.3</v>
      </c>
      <c r="N88">
        <v>0.8</v>
      </c>
      <c r="O88">
        <f t="shared" si="9"/>
        <v>-0.5</v>
      </c>
      <c r="Q88">
        <v>33</v>
      </c>
      <c r="R88">
        <f t="shared" si="8"/>
        <v>0.64836065573770485</v>
      </c>
      <c r="S88">
        <f t="shared" si="10"/>
        <v>0.5186885245901639</v>
      </c>
      <c r="T88">
        <f t="shared" si="11"/>
        <v>-0.21868852459016391</v>
      </c>
      <c r="U88">
        <f t="shared" si="6"/>
        <v>17.46204918032787</v>
      </c>
      <c r="W88">
        <v>320.5</v>
      </c>
      <c r="X88">
        <f t="shared" si="7"/>
        <v>29068.6</v>
      </c>
      <c r="Y88">
        <v>9.9921204119662548</v>
      </c>
    </row>
    <row r="89" spans="1:25" x14ac:dyDescent="0.35">
      <c r="A89">
        <v>2920</v>
      </c>
      <c r="B89">
        <v>23610</v>
      </c>
      <c r="C89" s="1">
        <v>42669</v>
      </c>
      <c r="F89" s="47"/>
      <c r="G89">
        <v>9.6999999999999993</v>
      </c>
      <c r="H89">
        <v>7.4</v>
      </c>
      <c r="I89">
        <v>11.5</v>
      </c>
      <c r="J89">
        <f t="shared" si="4"/>
        <v>407.99999999999994</v>
      </c>
      <c r="K89">
        <f t="shared" si="5"/>
        <v>407.99999999999994</v>
      </c>
      <c r="M89">
        <v>0.2</v>
      </c>
      <c r="N89">
        <v>0.7</v>
      </c>
      <c r="O89">
        <f t="shared" si="9"/>
        <v>-0.49999999999999994</v>
      </c>
      <c r="Q89">
        <v>34</v>
      </c>
      <c r="R89">
        <f t="shared" si="8"/>
        <v>0.65901639344262297</v>
      </c>
      <c r="S89">
        <f t="shared" si="10"/>
        <v>0.46131147540983602</v>
      </c>
      <c r="T89">
        <f t="shared" si="11"/>
        <v>-0.26131147540983601</v>
      </c>
      <c r="U89">
        <f t="shared" si="6"/>
        <v>17.200737704918033</v>
      </c>
      <c r="W89">
        <v>350.1</v>
      </c>
      <c r="X89">
        <f t="shared" si="7"/>
        <v>29418.699999999997</v>
      </c>
      <c r="Y89">
        <v>9.9380317252698891</v>
      </c>
    </row>
    <row r="90" spans="1:25" x14ac:dyDescent="0.35">
      <c r="A90">
        <v>2920</v>
      </c>
      <c r="B90">
        <v>23610</v>
      </c>
      <c r="C90" s="1">
        <v>42670</v>
      </c>
      <c r="F90" s="47"/>
      <c r="G90">
        <v>9.8000000000000007</v>
      </c>
      <c r="H90">
        <v>9</v>
      </c>
      <c r="I90">
        <v>10.7</v>
      </c>
      <c r="J90">
        <f t="shared" si="4"/>
        <v>417.79999999999995</v>
      </c>
      <c r="K90">
        <f t="shared" si="5"/>
        <v>417.79999999999995</v>
      </c>
      <c r="M90">
        <v>0.1</v>
      </c>
      <c r="N90">
        <v>0.6</v>
      </c>
      <c r="O90">
        <f t="shared" si="9"/>
        <v>-0.5</v>
      </c>
      <c r="Q90">
        <v>35</v>
      </c>
      <c r="R90">
        <f t="shared" si="8"/>
        <v>0.66967213114754098</v>
      </c>
      <c r="S90">
        <f t="shared" si="10"/>
        <v>0.40180327868852456</v>
      </c>
      <c r="T90">
        <f t="shared" si="11"/>
        <v>-0.30180327868852452</v>
      </c>
      <c r="U90">
        <f t="shared" si="6"/>
        <v>16.898934426229509</v>
      </c>
      <c r="W90">
        <v>210.1</v>
      </c>
      <c r="X90">
        <f t="shared" si="7"/>
        <v>29628.799999999996</v>
      </c>
      <c r="Y90">
        <v>9.8843390199300991</v>
      </c>
    </row>
    <row r="91" spans="1:25" x14ac:dyDescent="0.35">
      <c r="A91">
        <v>2920</v>
      </c>
      <c r="B91">
        <v>23610</v>
      </c>
      <c r="C91" s="1">
        <v>42671</v>
      </c>
      <c r="F91" s="47"/>
      <c r="G91">
        <v>9.6</v>
      </c>
      <c r="H91">
        <v>8.1999999999999993</v>
      </c>
      <c r="I91">
        <v>11.6</v>
      </c>
      <c r="J91">
        <f t="shared" si="4"/>
        <v>427.4</v>
      </c>
      <c r="K91">
        <f t="shared" si="5"/>
        <v>427.4</v>
      </c>
      <c r="M91">
        <v>0.1</v>
      </c>
      <c r="N91">
        <v>0.8</v>
      </c>
      <c r="O91">
        <f t="shared" si="9"/>
        <v>-0.70000000000000007</v>
      </c>
      <c r="Q91">
        <v>36</v>
      </c>
      <c r="R91">
        <f t="shared" si="8"/>
        <v>0.68032786885245899</v>
      </c>
      <c r="S91">
        <f t="shared" si="10"/>
        <v>0.54426229508196722</v>
      </c>
      <c r="T91">
        <f t="shared" si="11"/>
        <v>-0.44426229508196724</v>
      </c>
      <c r="U91">
        <f t="shared" si="6"/>
        <v>16.454672131147543</v>
      </c>
      <c r="W91">
        <v>392.2</v>
      </c>
      <c r="X91">
        <f t="shared" si="7"/>
        <v>30020.999999999996</v>
      </c>
      <c r="Y91">
        <v>9.8310592898758404</v>
      </c>
    </row>
    <row r="92" spans="1:25" x14ac:dyDescent="0.35">
      <c r="A92">
        <v>2920</v>
      </c>
      <c r="B92">
        <v>23610</v>
      </c>
      <c r="C92" s="1">
        <v>42672</v>
      </c>
      <c r="F92" s="47"/>
      <c r="G92">
        <v>10.3</v>
      </c>
      <c r="H92">
        <v>6.3</v>
      </c>
      <c r="I92">
        <v>12.6</v>
      </c>
      <c r="J92">
        <f t="shared" si="4"/>
        <v>437.7</v>
      </c>
      <c r="K92">
        <f t="shared" si="5"/>
        <v>437.7</v>
      </c>
      <c r="M92">
        <v>0</v>
      </c>
      <c r="N92">
        <v>0.6</v>
      </c>
      <c r="O92">
        <f t="shared" si="9"/>
        <v>-0.6</v>
      </c>
      <c r="Q92">
        <v>37</v>
      </c>
      <c r="R92">
        <f t="shared" si="8"/>
        <v>0.69098360655737712</v>
      </c>
      <c r="S92">
        <f t="shared" si="10"/>
        <v>0.41459016393442627</v>
      </c>
      <c r="T92">
        <f t="shared" si="11"/>
        <v>-0.41459016393442627</v>
      </c>
      <c r="U92">
        <f t="shared" si="6"/>
        <v>16.040081967213116</v>
      </c>
      <c r="W92">
        <v>370.7</v>
      </c>
      <c r="X92">
        <f t="shared" si="7"/>
        <v>30391.699999999997</v>
      </c>
      <c r="Y92">
        <v>9.778209947819624</v>
      </c>
    </row>
    <row r="93" spans="1:25" x14ac:dyDescent="0.35">
      <c r="A93">
        <v>2920</v>
      </c>
      <c r="B93">
        <v>23610</v>
      </c>
      <c r="C93" s="1">
        <v>42673</v>
      </c>
      <c r="F93" s="47"/>
      <c r="G93">
        <v>11.7</v>
      </c>
      <c r="H93">
        <v>8.3000000000000007</v>
      </c>
      <c r="I93">
        <v>16.5</v>
      </c>
      <c r="J93">
        <f t="shared" si="4"/>
        <v>449.4</v>
      </c>
      <c r="K93">
        <f t="shared" si="5"/>
        <v>449.4</v>
      </c>
      <c r="M93">
        <v>0</v>
      </c>
      <c r="N93">
        <v>1.8</v>
      </c>
      <c r="O93">
        <f t="shared" si="9"/>
        <v>-1.8</v>
      </c>
      <c r="Q93">
        <v>38</v>
      </c>
      <c r="R93">
        <f t="shared" si="8"/>
        <v>0.70163934426229513</v>
      </c>
      <c r="S93">
        <f t="shared" si="10"/>
        <v>1.2629508196721313</v>
      </c>
      <c r="T93">
        <f t="shared" si="11"/>
        <v>-1.2629508196721313</v>
      </c>
      <c r="U93">
        <f t="shared" si="6"/>
        <v>14.777131147540985</v>
      </c>
      <c r="W93">
        <v>1083.2</v>
      </c>
      <c r="X93">
        <f t="shared" si="7"/>
        <v>31474.899999999998</v>
      </c>
      <c r="Y93">
        <v>9.7258088254671407</v>
      </c>
    </row>
    <row r="94" spans="1:25" x14ac:dyDescent="0.35">
      <c r="A94">
        <v>2920</v>
      </c>
      <c r="B94">
        <v>23610</v>
      </c>
      <c r="C94" s="1">
        <v>42674</v>
      </c>
      <c r="F94" s="47"/>
      <c r="G94">
        <v>10.7</v>
      </c>
      <c r="H94">
        <v>4.5</v>
      </c>
      <c r="I94">
        <v>17.899999999999999</v>
      </c>
      <c r="J94">
        <f t="shared" si="4"/>
        <v>460.09999999999997</v>
      </c>
      <c r="K94">
        <f t="shared" si="5"/>
        <v>460.09999999999997</v>
      </c>
      <c r="M94">
        <v>0.1</v>
      </c>
      <c r="N94">
        <v>1.8</v>
      </c>
      <c r="O94">
        <f t="shared" si="9"/>
        <v>-1.7</v>
      </c>
      <c r="Q94">
        <v>39</v>
      </c>
      <c r="R94">
        <f t="shared" si="8"/>
        <v>0.71229508196721314</v>
      </c>
      <c r="S94">
        <f t="shared" si="10"/>
        <v>1.2821311475409838</v>
      </c>
      <c r="T94">
        <f t="shared" si="11"/>
        <v>-1.1821311475409837</v>
      </c>
      <c r="U94">
        <f t="shared" si="6"/>
        <v>13.595000000000001</v>
      </c>
      <c r="W94">
        <v>1081.3</v>
      </c>
      <c r="X94">
        <f t="shared" si="7"/>
        <v>32556.199999999997</v>
      </c>
      <c r="Y94">
        <v>9.6738741724714572</v>
      </c>
    </row>
    <row r="95" spans="1:25" x14ac:dyDescent="0.35">
      <c r="A95">
        <v>2920</v>
      </c>
      <c r="B95">
        <v>23610</v>
      </c>
      <c r="C95" s="1">
        <v>42675</v>
      </c>
      <c r="F95" s="47"/>
      <c r="G95">
        <v>8.4</v>
      </c>
      <c r="H95">
        <v>2.7</v>
      </c>
      <c r="I95">
        <v>13.5</v>
      </c>
      <c r="J95">
        <f t="shared" si="4"/>
        <v>468.49999999999994</v>
      </c>
      <c r="K95">
        <f t="shared" si="5"/>
        <v>468.49999999999994</v>
      </c>
      <c r="M95">
        <v>0.2</v>
      </c>
      <c r="N95">
        <v>1.3</v>
      </c>
      <c r="O95">
        <f t="shared" si="9"/>
        <v>-1.1000000000000001</v>
      </c>
      <c r="Q95">
        <v>40</v>
      </c>
      <c r="R95">
        <f t="shared" si="8"/>
        <v>0.72295081967213104</v>
      </c>
      <c r="S95">
        <f t="shared" si="10"/>
        <v>0.93983606557377042</v>
      </c>
      <c r="T95">
        <f t="shared" si="11"/>
        <v>-0.73983606557377035</v>
      </c>
      <c r="U95">
        <f t="shared" si="6"/>
        <v>12.85516393442623</v>
      </c>
      <c r="W95">
        <v>935.8</v>
      </c>
      <c r="X95">
        <f t="shared" si="7"/>
        <v>33492</v>
      </c>
      <c r="Y95">
        <v>9.6224246540620815</v>
      </c>
    </row>
    <row r="96" spans="1:25" x14ac:dyDescent="0.35">
      <c r="A96">
        <v>2920</v>
      </c>
      <c r="B96">
        <v>23610</v>
      </c>
      <c r="C96" s="1">
        <v>42676</v>
      </c>
      <c r="F96" s="47"/>
      <c r="G96">
        <v>8.1999999999999993</v>
      </c>
      <c r="H96">
        <v>7.2</v>
      </c>
      <c r="I96">
        <v>11.6</v>
      </c>
      <c r="J96">
        <f t="shared" si="4"/>
        <v>476.69999999999993</v>
      </c>
      <c r="K96">
        <f t="shared" si="5"/>
        <v>476.69999999999993</v>
      </c>
      <c r="M96">
        <v>0.1</v>
      </c>
      <c r="N96">
        <v>0.5</v>
      </c>
      <c r="O96">
        <f t="shared" si="9"/>
        <v>-0.4</v>
      </c>
      <c r="Q96">
        <v>41</v>
      </c>
      <c r="R96">
        <f t="shared" si="8"/>
        <v>0.73360655737704916</v>
      </c>
      <c r="S96">
        <f t="shared" si="10"/>
        <v>0.36680327868852458</v>
      </c>
      <c r="T96">
        <f t="shared" si="11"/>
        <v>-0.2668032786885246</v>
      </c>
      <c r="U96">
        <f t="shared" si="6"/>
        <v>12.588360655737706</v>
      </c>
      <c r="W96">
        <v>290.10000000000002</v>
      </c>
      <c r="X96">
        <f t="shared" si="7"/>
        <v>33782.1</v>
      </c>
      <c r="Y96">
        <v>9.5714793472785473</v>
      </c>
    </row>
    <row r="97" spans="1:25" x14ac:dyDescent="0.35">
      <c r="A97">
        <v>2920</v>
      </c>
      <c r="B97">
        <v>23610</v>
      </c>
      <c r="C97" s="1">
        <v>42677</v>
      </c>
      <c r="F97" s="47"/>
      <c r="G97">
        <v>5</v>
      </c>
      <c r="H97">
        <v>-0.7</v>
      </c>
      <c r="I97">
        <v>10.199999999999999</v>
      </c>
      <c r="J97">
        <f t="shared" si="4"/>
        <v>481.69999999999993</v>
      </c>
      <c r="K97">
        <f t="shared" si="5"/>
        <v>481.69999999999993</v>
      </c>
      <c r="M97">
        <v>0.9</v>
      </c>
      <c r="N97">
        <v>1.1000000000000001</v>
      </c>
      <c r="O97">
        <f t="shared" si="9"/>
        <v>-0.20000000000000007</v>
      </c>
      <c r="Q97">
        <v>42</v>
      </c>
      <c r="R97">
        <f t="shared" si="8"/>
        <v>0.74426229508196728</v>
      </c>
      <c r="S97">
        <f t="shared" si="10"/>
        <v>0.81868852459016406</v>
      </c>
      <c r="T97">
        <f t="shared" si="11"/>
        <v>8.1311475409835965E-2</v>
      </c>
      <c r="U97">
        <f t="shared" si="6"/>
        <v>12.669672131147541</v>
      </c>
      <c r="W97">
        <v>934.4</v>
      </c>
      <c r="X97">
        <f t="shared" si="7"/>
        <v>34716.5</v>
      </c>
      <c r="Y97">
        <v>9.521057735738184</v>
      </c>
    </row>
    <row r="98" spans="1:25" x14ac:dyDescent="0.35">
      <c r="A98">
        <v>2920</v>
      </c>
      <c r="B98">
        <v>23610</v>
      </c>
      <c r="C98" s="1">
        <v>42678</v>
      </c>
      <c r="F98" s="47"/>
      <c r="G98">
        <v>7.3</v>
      </c>
      <c r="H98">
        <v>3.9</v>
      </c>
      <c r="I98">
        <v>9.9</v>
      </c>
      <c r="J98">
        <f t="shared" si="4"/>
        <v>488.99999999999994</v>
      </c>
      <c r="K98">
        <f t="shared" si="5"/>
        <v>488.99999999999994</v>
      </c>
      <c r="M98">
        <v>2.4</v>
      </c>
      <c r="N98">
        <v>0.7</v>
      </c>
      <c r="O98">
        <f t="shared" si="9"/>
        <v>1.7</v>
      </c>
      <c r="Q98">
        <v>43</v>
      </c>
      <c r="R98">
        <f t="shared" si="8"/>
        <v>0.75491803278688518</v>
      </c>
      <c r="S98">
        <f t="shared" si="10"/>
        <v>0.52844262295081956</v>
      </c>
      <c r="T98">
        <f t="shared" si="11"/>
        <v>1.8715573770491805</v>
      </c>
      <c r="U98">
        <f t="shared" si="6"/>
        <v>14.541229508196722</v>
      </c>
      <c r="W98">
        <v>576</v>
      </c>
      <c r="X98">
        <f t="shared" si="7"/>
        <v>35292.5</v>
      </c>
      <c r="Y98">
        <v>9.4711797028677687</v>
      </c>
    </row>
    <row r="99" spans="1:25" x14ac:dyDescent="0.35">
      <c r="A99">
        <v>2920</v>
      </c>
      <c r="B99">
        <v>23610</v>
      </c>
      <c r="C99" s="1">
        <v>42679</v>
      </c>
      <c r="F99" s="47"/>
      <c r="G99">
        <v>7.3</v>
      </c>
      <c r="H99">
        <v>4.8</v>
      </c>
      <c r="I99">
        <v>11.9</v>
      </c>
      <c r="J99">
        <f t="shared" si="4"/>
        <v>496.29999999999995</v>
      </c>
      <c r="K99">
        <f t="shared" si="5"/>
        <v>496.29999999999995</v>
      </c>
      <c r="M99">
        <v>2.4</v>
      </c>
      <c r="N99">
        <v>1.3</v>
      </c>
      <c r="O99">
        <f t="shared" si="9"/>
        <v>1.0999999999999999</v>
      </c>
      <c r="Q99">
        <v>44</v>
      </c>
      <c r="R99">
        <f t="shared" si="8"/>
        <v>0.76557377049180331</v>
      </c>
      <c r="S99">
        <f t="shared" si="10"/>
        <v>0.99524590163934434</v>
      </c>
      <c r="T99">
        <f t="shared" si="11"/>
        <v>1.4047540983606557</v>
      </c>
      <c r="U99">
        <f t="shared" si="6"/>
        <v>15.945983606557377</v>
      </c>
      <c r="W99">
        <v>794.4</v>
      </c>
      <c r="X99">
        <f t="shared" si="7"/>
        <v>36086.9</v>
      </c>
      <c r="Y99">
        <v>9.4218655235298758</v>
      </c>
    </row>
    <row r="100" spans="1:25" x14ac:dyDescent="0.35">
      <c r="A100">
        <v>2920</v>
      </c>
      <c r="B100">
        <v>23610</v>
      </c>
      <c r="C100" s="1">
        <v>42680</v>
      </c>
      <c r="F100" s="47"/>
      <c r="G100">
        <v>4.8</v>
      </c>
      <c r="H100">
        <v>4.2</v>
      </c>
      <c r="I100">
        <v>7.6</v>
      </c>
      <c r="J100">
        <f t="shared" si="4"/>
        <v>501.09999999999997</v>
      </c>
      <c r="K100">
        <f t="shared" si="5"/>
        <v>501.09999999999997</v>
      </c>
      <c r="M100">
        <v>2.4</v>
      </c>
      <c r="N100">
        <v>0.7</v>
      </c>
      <c r="O100">
        <f t="shared" si="9"/>
        <v>1.7</v>
      </c>
      <c r="Q100">
        <v>45</v>
      </c>
      <c r="R100">
        <f t="shared" si="8"/>
        <v>0.77622950819672121</v>
      </c>
      <c r="S100">
        <f t="shared" si="10"/>
        <v>0.54336065573770476</v>
      </c>
      <c r="T100">
        <f t="shared" si="11"/>
        <v>1.856639344262295</v>
      </c>
      <c r="U100">
        <f t="shared" si="6"/>
        <v>17.802622950819671</v>
      </c>
      <c r="W100">
        <v>459.7</v>
      </c>
      <c r="X100">
        <f t="shared" si="7"/>
        <v>36546.6</v>
      </c>
      <c r="Y100">
        <v>9.3731358539758194</v>
      </c>
    </row>
    <row r="101" spans="1:25" x14ac:dyDescent="0.35">
      <c r="A101">
        <v>2920</v>
      </c>
      <c r="B101">
        <v>23610</v>
      </c>
      <c r="C101" s="1">
        <v>42681</v>
      </c>
      <c r="F101" s="47"/>
      <c r="G101">
        <v>5.8</v>
      </c>
      <c r="H101">
        <v>2.1</v>
      </c>
      <c r="I101">
        <v>9.8000000000000007</v>
      </c>
      <c r="J101">
        <f t="shared" si="4"/>
        <v>506.9</v>
      </c>
      <c r="K101">
        <f t="shared" si="5"/>
        <v>506.9</v>
      </c>
      <c r="M101">
        <v>0.6</v>
      </c>
      <c r="N101">
        <v>0.8</v>
      </c>
      <c r="O101">
        <f t="shared" si="9"/>
        <v>-0.20000000000000007</v>
      </c>
      <c r="Q101">
        <v>46</v>
      </c>
      <c r="R101">
        <f t="shared" si="8"/>
        <v>0.78688524590163933</v>
      </c>
      <c r="S101">
        <f t="shared" si="10"/>
        <v>0.62950819672131153</v>
      </c>
      <c r="T101">
        <f t="shared" si="11"/>
        <v>-2.9508196721311553E-2</v>
      </c>
      <c r="U101">
        <f t="shared" si="6"/>
        <v>17.773114754098359</v>
      </c>
      <c r="W101">
        <v>606.20000000000005</v>
      </c>
      <c r="X101">
        <f t="shared" si="7"/>
        <v>37152.799999999996</v>
      </c>
      <c r="Y101">
        <v>9.3250117200592744</v>
      </c>
    </row>
    <row r="102" spans="1:25" x14ac:dyDescent="0.35">
      <c r="A102">
        <v>2920</v>
      </c>
      <c r="B102">
        <v>23610</v>
      </c>
      <c r="C102" s="1">
        <v>42682</v>
      </c>
      <c r="F102" s="47"/>
      <c r="G102">
        <v>7.2</v>
      </c>
      <c r="H102">
        <v>3</v>
      </c>
      <c r="I102">
        <v>9.9</v>
      </c>
      <c r="J102">
        <f t="shared" si="4"/>
        <v>514.1</v>
      </c>
      <c r="K102">
        <f t="shared" si="5"/>
        <v>514.1</v>
      </c>
      <c r="M102">
        <v>15</v>
      </c>
      <c r="N102">
        <v>0.7</v>
      </c>
      <c r="O102">
        <f t="shared" si="9"/>
        <v>14.3</v>
      </c>
      <c r="Q102">
        <v>47</v>
      </c>
      <c r="R102">
        <f t="shared" si="8"/>
        <v>0.79754098360655734</v>
      </c>
      <c r="S102">
        <f t="shared" si="10"/>
        <v>0.55827868852459006</v>
      </c>
      <c r="T102">
        <f t="shared" si="11"/>
        <v>14.44172131147541</v>
      </c>
      <c r="U102">
        <f t="shared" si="6"/>
        <v>32.21483606557377</v>
      </c>
      <c r="W102">
        <v>614.70000000000005</v>
      </c>
      <c r="X102">
        <f t="shared" si="7"/>
        <v>37767.499999999993</v>
      </c>
      <c r="Y102">
        <v>9.2775145036471933</v>
      </c>
    </row>
    <row r="103" spans="1:25" x14ac:dyDescent="0.35">
      <c r="A103">
        <v>2920</v>
      </c>
      <c r="B103">
        <v>23610</v>
      </c>
      <c r="C103" s="1">
        <v>42683</v>
      </c>
      <c r="F103" s="47"/>
      <c r="G103">
        <v>9.6999999999999993</v>
      </c>
      <c r="H103">
        <v>8</v>
      </c>
      <c r="I103">
        <v>12.1</v>
      </c>
      <c r="J103">
        <f t="shared" si="4"/>
        <v>523.80000000000007</v>
      </c>
      <c r="K103">
        <f t="shared" si="5"/>
        <v>523.80000000000007</v>
      </c>
      <c r="M103">
        <v>1.5</v>
      </c>
      <c r="N103">
        <v>1.5</v>
      </c>
      <c r="O103">
        <f t="shared" si="9"/>
        <v>0</v>
      </c>
      <c r="Q103">
        <v>48</v>
      </c>
      <c r="R103">
        <f t="shared" si="8"/>
        <v>0.80819672131147535</v>
      </c>
      <c r="S103">
        <f t="shared" si="10"/>
        <v>1.2122950819672131</v>
      </c>
      <c r="T103">
        <f t="shared" si="11"/>
        <v>0.28770491803278686</v>
      </c>
      <c r="U103">
        <f t="shared" si="6"/>
        <v>32.502540983606558</v>
      </c>
      <c r="W103">
        <v>321</v>
      </c>
      <c r="X103">
        <f t="shared" si="7"/>
        <v>38088.499999999993</v>
      </c>
      <c r="Y103">
        <v>9.2306659271680385</v>
      </c>
    </row>
    <row r="104" spans="1:25" x14ac:dyDescent="0.35">
      <c r="A104">
        <v>2920</v>
      </c>
      <c r="B104">
        <v>23610</v>
      </c>
      <c r="C104" s="1">
        <v>42684</v>
      </c>
      <c r="F104" s="47"/>
      <c r="G104">
        <v>10.5</v>
      </c>
      <c r="H104">
        <v>9.3000000000000007</v>
      </c>
      <c r="I104">
        <v>12.6</v>
      </c>
      <c r="J104">
        <f t="shared" si="4"/>
        <v>534.30000000000007</v>
      </c>
      <c r="K104">
        <f t="shared" si="5"/>
        <v>534.30000000000007</v>
      </c>
      <c r="M104">
        <v>1.1000000000000001</v>
      </c>
      <c r="N104">
        <v>1.1000000000000001</v>
      </c>
      <c r="O104">
        <f t="shared" si="9"/>
        <v>0</v>
      </c>
      <c r="Q104">
        <v>49</v>
      </c>
      <c r="R104">
        <f t="shared" si="8"/>
        <v>0.81885245901639347</v>
      </c>
      <c r="S104">
        <f t="shared" si="10"/>
        <v>0.90073770491803284</v>
      </c>
      <c r="T104">
        <f t="shared" si="11"/>
        <v>0.19926229508196724</v>
      </c>
      <c r="U104">
        <f t="shared" si="6"/>
        <v>32.701803278688523</v>
      </c>
      <c r="W104">
        <v>130</v>
      </c>
      <c r="X104">
        <f t="shared" si="7"/>
        <v>38218.499999999993</v>
      </c>
      <c r="Y104">
        <v>9.1844880362415182</v>
      </c>
    </row>
    <row r="105" spans="1:25" x14ac:dyDescent="0.35">
      <c r="A105">
        <v>2920</v>
      </c>
      <c r="B105">
        <v>23610</v>
      </c>
      <c r="C105" s="1">
        <v>42685</v>
      </c>
      <c r="F105" s="47"/>
      <c r="G105">
        <v>8.3000000000000007</v>
      </c>
      <c r="H105">
        <v>4.9000000000000004</v>
      </c>
      <c r="I105">
        <v>12.3</v>
      </c>
      <c r="J105">
        <f t="shared" si="4"/>
        <v>542.6</v>
      </c>
      <c r="K105">
        <f t="shared" si="5"/>
        <v>542.6</v>
      </c>
      <c r="M105">
        <v>0.9</v>
      </c>
      <c r="N105">
        <v>0.9</v>
      </c>
      <c r="O105">
        <f t="shared" si="9"/>
        <v>0</v>
      </c>
      <c r="Q105">
        <v>50</v>
      </c>
      <c r="R105">
        <f t="shared" si="8"/>
        <v>0.82950819672131149</v>
      </c>
      <c r="S105">
        <f t="shared" si="10"/>
        <v>0.74655737704918035</v>
      </c>
      <c r="T105">
        <f t="shared" si="11"/>
        <v>0.15344262295081967</v>
      </c>
      <c r="U105">
        <f t="shared" si="6"/>
        <v>32.855245901639343</v>
      </c>
      <c r="W105">
        <v>658.4</v>
      </c>
      <c r="X105">
        <f t="shared" si="7"/>
        <v>38876.899999999994</v>
      </c>
      <c r="Y105">
        <v>9.1390031803389036</v>
      </c>
    </row>
    <row r="106" spans="1:25" x14ac:dyDescent="0.35">
      <c r="A106">
        <v>2920</v>
      </c>
      <c r="B106">
        <v>23610</v>
      </c>
      <c r="C106" s="1">
        <v>42686</v>
      </c>
      <c r="F106" s="47"/>
      <c r="G106">
        <v>9.9</v>
      </c>
      <c r="H106">
        <v>6.6</v>
      </c>
      <c r="I106">
        <v>11.6</v>
      </c>
      <c r="J106">
        <f t="shared" si="4"/>
        <v>552.5</v>
      </c>
      <c r="K106">
        <f t="shared" si="5"/>
        <v>552.5</v>
      </c>
      <c r="M106">
        <v>5.7</v>
      </c>
      <c r="N106">
        <v>0.3</v>
      </c>
      <c r="O106">
        <f t="shared" si="9"/>
        <v>5.4</v>
      </c>
      <c r="Q106">
        <v>51</v>
      </c>
      <c r="R106">
        <f t="shared" si="8"/>
        <v>0.8401639344262295</v>
      </c>
      <c r="S106">
        <f t="shared" si="10"/>
        <v>0.25204918032786883</v>
      </c>
      <c r="T106">
        <f t="shared" si="11"/>
        <v>5.4479508196721316</v>
      </c>
      <c r="U106">
        <f t="shared" si="6"/>
        <v>38.303196721311473</v>
      </c>
      <c r="W106">
        <v>140.5</v>
      </c>
      <c r="X106">
        <f t="shared" si="7"/>
        <v>39017.399999999994</v>
      </c>
      <c r="Y106">
        <v>9.0942339914289434</v>
      </c>
    </row>
    <row r="107" spans="1:25" x14ac:dyDescent="0.35">
      <c r="A107">
        <v>2920</v>
      </c>
      <c r="B107">
        <v>23610</v>
      </c>
      <c r="C107" s="1">
        <v>42687</v>
      </c>
      <c r="F107" s="47"/>
      <c r="G107">
        <v>9.9</v>
      </c>
      <c r="H107">
        <v>8.1999999999999993</v>
      </c>
      <c r="I107">
        <v>13</v>
      </c>
      <c r="J107">
        <f t="shared" si="4"/>
        <v>562.4</v>
      </c>
      <c r="K107">
        <f t="shared" si="5"/>
        <v>562.4</v>
      </c>
      <c r="M107">
        <v>0</v>
      </c>
      <c r="N107">
        <v>1</v>
      </c>
      <c r="O107">
        <f t="shared" si="9"/>
        <v>-1</v>
      </c>
      <c r="Q107">
        <v>52</v>
      </c>
      <c r="R107">
        <f t="shared" si="8"/>
        <v>0.85081967213114751</v>
      </c>
      <c r="S107">
        <f t="shared" si="10"/>
        <v>0.85081967213114751</v>
      </c>
      <c r="T107">
        <f t="shared" si="11"/>
        <v>-0.85081967213114751</v>
      </c>
      <c r="U107">
        <f t="shared" si="6"/>
        <v>37.452377049180328</v>
      </c>
      <c r="W107">
        <v>654.20000000000005</v>
      </c>
      <c r="X107">
        <f t="shared" si="7"/>
        <v>39671.599999999991</v>
      </c>
      <c r="Y107">
        <v>9.0502033605709933</v>
      </c>
    </row>
    <row r="108" spans="1:25" x14ac:dyDescent="0.35">
      <c r="A108">
        <v>2920</v>
      </c>
      <c r="B108">
        <v>23610</v>
      </c>
      <c r="C108" s="1">
        <v>42688</v>
      </c>
      <c r="F108" s="47"/>
      <c r="G108">
        <v>8.3000000000000007</v>
      </c>
      <c r="H108">
        <v>3.7</v>
      </c>
      <c r="I108">
        <v>11.8</v>
      </c>
      <c r="J108">
        <f t="shared" si="4"/>
        <v>570.69999999999993</v>
      </c>
      <c r="K108">
        <f t="shared" si="5"/>
        <v>570.69999999999993</v>
      </c>
      <c r="M108">
        <v>0.9</v>
      </c>
      <c r="N108">
        <v>0.7</v>
      </c>
      <c r="O108">
        <f t="shared" si="9"/>
        <v>0.20000000000000007</v>
      </c>
      <c r="Q108">
        <v>53</v>
      </c>
      <c r="R108">
        <f t="shared" si="8"/>
        <v>0.86147540983606552</v>
      </c>
      <c r="S108">
        <f t="shared" si="10"/>
        <v>0.60303278688524586</v>
      </c>
      <c r="T108">
        <f t="shared" si="11"/>
        <v>0.29696721311475416</v>
      </c>
      <c r="U108">
        <f t="shared" si="6"/>
        <v>37.749344262295082</v>
      </c>
      <c r="W108">
        <v>389.7</v>
      </c>
      <c r="X108">
        <f t="shared" si="7"/>
        <v>40061.299999999988</v>
      </c>
      <c r="Y108">
        <v>9.0069344124247763</v>
      </c>
    </row>
    <row r="109" spans="1:25" x14ac:dyDescent="0.35">
      <c r="A109">
        <v>2920</v>
      </c>
      <c r="B109">
        <v>23610</v>
      </c>
      <c r="C109" s="1">
        <v>42689</v>
      </c>
      <c r="E109" t="s">
        <v>59</v>
      </c>
      <c r="F109" s="47"/>
      <c r="G109">
        <v>11.8</v>
      </c>
      <c r="H109">
        <v>9.6</v>
      </c>
      <c r="I109">
        <v>12.7</v>
      </c>
      <c r="J109">
        <f t="shared" si="4"/>
        <v>582.49999999999989</v>
      </c>
      <c r="K109">
        <f t="shared" si="5"/>
        <v>582.49999999999989</v>
      </c>
      <c r="M109">
        <v>2.2000000000000002</v>
      </c>
      <c r="N109">
        <v>0.3</v>
      </c>
      <c r="O109">
        <f t="shared" si="9"/>
        <v>1.9000000000000001</v>
      </c>
      <c r="Q109">
        <v>54</v>
      </c>
      <c r="R109">
        <f t="shared" si="8"/>
        <v>0.87213114754098364</v>
      </c>
      <c r="S109">
        <f t="shared" si="10"/>
        <v>0.26163934426229507</v>
      </c>
      <c r="T109">
        <f t="shared" si="11"/>
        <v>1.9383606557377051</v>
      </c>
      <c r="U109">
        <f t="shared" si="6"/>
        <v>39.687704918032786</v>
      </c>
      <c r="W109">
        <v>102.6</v>
      </c>
      <c r="X109">
        <f t="shared" si="7"/>
        <v>40163.899999999987</v>
      </c>
      <c r="Y109">
        <v>8.9644504776547578</v>
      </c>
    </row>
    <row r="110" spans="1:25" x14ac:dyDescent="0.35">
      <c r="A110">
        <v>2920</v>
      </c>
      <c r="B110">
        <v>23610</v>
      </c>
      <c r="C110" s="1">
        <v>42690</v>
      </c>
      <c r="F110" s="47"/>
      <c r="G110">
        <v>11.5</v>
      </c>
      <c r="H110">
        <v>11.1</v>
      </c>
      <c r="I110">
        <v>12.6</v>
      </c>
      <c r="J110">
        <f t="shared" si="4"/>
        <v>593.99999999999989</v>
      </c>
      <c r="K110">
        <f t="shared" si="5"/>
        <v>593.99999999999989</v>
      </c>
      <c r="M110">
        <v>1.6</v>
      </c>
      <c r="N110">
        <v>0.5</v>
      </c>
      <c r="O110">
        <f t="shared" si="9"/>
        <v>1.1000000000000001</v>
      </c>
      <c r="Q110">
        <v>55</v>
      </c>
      <c r="R110">
        <f t="shared" si="8"/>
        <v>0.88278688524590165</v>
      </c>
      <c r="S110">
        <f t="shared" si="10"/>
        <v>0.44139344262295083</v>
      </c>
      <c r="T110">
        <f t="shared" si="11"/>
        <v>1.1586065573770492</v>
      </c>
      <c r="U110">
        <f t="shared" si="6"/>
        <v>40.846311475409834</v>
      </c>
      <c r="W110">
        <v>138.80000000000001</v>
      </c>
      <c r="X110">
        <f t="shared" si="7"/>
        <v>40302.69999999999</v>
      </c>
      <c r="Y110">
        <v>8.9227750632167773</v>
      </c>
    </row>
    <row r="111" spans="1:25" x14ac:dyDescent="0.35">
      <c r="A111">
        <v>2920</v>
      </c>
      <c r="B111">
        <v>23610</v>
      </c>
      <c r="C111" s="1">
        <v>42691</v>
      </c>
      <c r="F111" s="47"/>
      <c r="G111">
        <v>11.8</v>
      </c>
      <c r="H111">
        <v>8.6</v>
      </c>
      <c r="I111">
        <v>13.9</v>
      </c>
      <c r="J111">
        <f t="shared" si="4"/>
        <v>605.79999999999984</v>
      </c>
      <c r="K111">
        <f t="shared" si="5"/>
        <v>605.79999999999984</v>
      </c>
      <c r="M111">
        <v>2.5</v>
      </c>
      <c r="N111">
        <v>0.8</v>
      </c>
      <c r="O111">
        <f t="shared" si="9"/>
        <v>1.7</v>
      </c>
      <c r="Q111">
        <v>56</v>
      </c>
      <c r="R111">
        <f t="shared" si="8"/>
        <v>0.89344262295081966</v>
      </c>
      <c r="S111">
        <f t="shared" si="10"/>
        <v>0.71475409836065573</v>
      </c>
      <c r="T111">
        <f t="shared" si="11"/>
        <v>1.7852459016393443</v>
      </c>
      <c r="U111">
        <f t="shared" si="6"/>
        <v>42.631557377049177</v>
      </c>
      <c r="W111">
        <v>423.9</v>
      </c>
      <c r="X111">
        <f t="shared" si="7"/>
        <v>40726.599999999991</v>
      </c>
      <c r="Y111">
        <v>8.8819318205252102</v>
      </c>
    </row>
    <row r="112" spans="1:25" x14ac:dyDescent="0.35">
      <c r="A112">
        <v>2920</v>
      </c>
      <c r="B112">
        <v>23610</v>
      </c>
      <c r="C112" s="1">
        <v>42692</v>
      </c>
      <c r="F112" s="47"/>
      <c r="G112">
        <v>7.6</v>
      </c>
      <c r="H112">
        <v>5.9</v>
      </c>
      <c r="I112">
        <v>9.6999999999999993</v>
      </c>
      <c r="J112">
        <f t="shared" si="4"/>
        <v>613.39999999999986</v>
      </c>
      <c r="K112">
        <f t="shared" si="5"/>
        <v>613.39999999999986</v>
      </c>
      <c r="M112">
        <v>0.8</v>
      </c>
      <c r="N112">
        <v>1.1000000000000001</v>
      </c>
      <c r="O112">
        <f t="shared" si="9"/>
        <v>-0.30000000000000004</v>
      </c>
      <c r="Q112">
        <v>57</v>
      </c>
      <c r="R112">
        <f t="shared" si="8"/>
        <v>0.90409836065573768</v>
      </c>
      <c r="S112">
        <f t="shared" si="10"/>
        <v>0.99450819672131152</v>
      </c>
      <c r="T112">
        <f t="shared" si="11"/>
        <v>-0.19450819672131148</v>
      </c>
      <c r="U112">
        <f t="shared" si="6"/>
        <v>42.437049180327868</v>
      </c>
      <c r="W112">
        <v>279.10000000000002</v>
      </c>
      <c r="X112">
        <f t="shared" si="7"/>
        <v>41005.69999999999</v>
      </c>
      <c r="Y112">
        <v>8.8419445115105368</v>
      </c>
    </row>
    <row r="113" spans="1:26" x14ac:dyDescent="0.35">
      <c r="A113">
        <v>2920</v>
      </c>
      <c r="B113">
        <v>23610</v>
      </c>
      <c r="C113" s="1">
        <v>42693</v>
      </c>
      <c r="F113" s="47"/>
      <c r="G113">
        <v>7.5</v>
      </c>
      <c r="H113">
        <v>3.3</v>
      </c>
      <c r="I113">
        <v>10.8</v>
      </c>
      <c r="J113">
        <f t="shared" si="4"/>
        <v>620.89999999999986</v>
      </c>
      <c r="K113">
        <f t="shared" si="5"/>
        <v>620.89999999999986</v>
      </c>
      <c r="M113">
        <v>8.8000000000000007</v>
      </c>
      <c r="N113">
        <v>0.9</v>
      </c>
      <c r="O113">
        <f t="shared" si="9"/>
        <v>7.9</v>
      </c>
      <c r="Q113">
        <v>58</v>
      </c>
      <c r="R113">
        <f t="shared" si="8"/>
        <v>0.91475409836065569</v>
      </c>
      <c r="S113">
        <f t="shared" si="10"/>
        <v>0.82327868852459019</v>
      </c>
      <c r="T113">
        <f t="shared" si="11"/>
        <v>7.9767213114754103</v>
      </c>
      <c r="U113">
        <f t="shared" si="6"/>
        <v>50.413770491803277</v>
      </c>
      <c r="W113">
        <v>581.20000000000005</v>
      </c>
      <c r="X113">
        <f t="shared" si="7"/>
        <v>41586.899999999987</v>
      </c>
      <c r="Y113">
        <v>8.802836972589775</v>
      </c>
    </row>
    <row r="114" spans="1:26" x14ac:dyDescent="0.35">
      <c r="A114">
        <v>2920</v>
      </c>
      <c r="B114">
        <v>23610</v>
      </c>
      <c r="C114" s="1">
        <v>42694</v>
      </c>
      <c r="F114" s="47"/>
      <c r="G114">
        <v>11.3</v>
      </c>
      <c r="H114">
        <v>9</v>
      </c>
      <c r="I114">
        <v>12.4</v>
      </c>
      <c r="J114">
        <f t="shared" si="4"/>
        <v>632.19999999999982</v>
      </c>
      <c r="K114">
        <f t="shared" si="5"/>
        <v>632.19999999999982</v>
      </c>
      <c r="M114">
        <v>4.0999999999999996</v>
      </c>
      <c r="N114">
        <v>0.6</v>
      </c>
      <c r="O114">
        <f t="shared" si="9"/>
        <v>3.4999999999999996</v>
      </c>
      <c r="Q114">
        <v>59</v>
      </c>
      <c r="R114">
        <f t="shared" si="8"/>
        <v>0.92540983606557381</v>
      </c>
      <c r="S114">
        <f t="shared" si="10"/>
        <v>0.55524590163934429</v>
      </c>
      <c r="T114">
        <f t="shared" si="11"/>
        <v>3.5447540983606554</v>
      </c>
      <c r="U114">
        <f t="shared" si="6"/>
        <v>53.958524590163933</v>
      </c>
      <c r="W114">
        <v>148.80000000000001</v>
      </c>
      <c r="X114">
        <f t="shared" si="7"/>
        <v>41735.69999999999</v>
      </c>
      <c r="Y114">
        <v>8.7646330765858078</v>
      </c>
    </row>
    <row r="115" spans="1:26" x14ac:dyDescent="0.35">
      <c r="A115">
        <v>2920</v>
      </c>
      <c r="B115">
        <v>23610</v>
      </c>
      <c r="C115" s="1">
        <v>42695</v>
      </c>
      <c r="F115" s="47"/>
      <c r="G115">
        <v>11.1</v>
      </c>
      <c r="H115">
        <v>11.2</v>
      </c>
      <c r="I115">
        <v>11.5</v>
      </c>
      <c r="J115">
        <f t="shared" si="4"/>
        <v>643.29999999999984</v>
      </c>
      <c r="K115">
        <f t="shared" si="5"/>
        <v>643.29999999999984</v>
      </c>
      <c r="M115">
        <v>12.7</v>
      </c>
      <c r="N115">
        <v>1</v>
      </c>
      <c r="O115">
        <f t="shared" si="9"/>
        <v>11.7</v>
      </c>
      <c r="Q115">
        <v>60</v>
      </c>
      <c r="R115">
        <f t="shared" si="8"/>
        <v>0.93606557377049182</v>
      </c>
      <c r="S115">
        <f t="shared" si="10"/>
        <v>0.93606557377049182</v>
      </c>
      <c r="T115">
        <f t="shared" si="11"/>
        <v>11.763934426229508</v>
      </c>
      <c r="U115">
        <f t="shared" si="6"/>
        <v>65.722459016393444</v>
      </c>
      <c r="W115">
        <v>113.9</v>
      </c>
      <c r="X115">
        <f t="shared" si="7"/>
        <v>41849.599999999991</v>
      </c>
      <c r="Y115">
        <v>8.7273566926459516</v>
      </c>
    </row>
    <row r="116" spans="1:26" x14ac:dyDescent="0.35">
      <c r="A116">
        <v>2920</v>
      </c>
      <c r="B116">
        <v>23610</v>
      </c>
      <c r="C116" s="1">
        <v>42696</v>
      </c>
      <c r="F116" s="47"/>
      <c r="G116">
        <v>7.7</v>
      </c>
      <c r="H116">
        <v>6.3</v>
      </c>
      <c r="I116">
        <v>11.2</v>
      </c>
      <c r="J116">
        <f t="shared" si="4"/>
        <v>650.99999999999989</v>
      </c>
      <c r="K116">
        <f t="shared" si="5"/>
        <v>650.99999999999989</v>
      </c>
      <c r="M116">
        <v>0</v>
      </c>
      <c r="N116">
        <v>0.9</v>
      </c>
      <c r="O116">
        <f t="shared" si="9"/>
        <v>-0.9</v>
      </c>
      <c r="Q116">
        <v>61</v>
      </c>
      <c r="R116">
        <f t="shared" si="8"/>
        <v>0.94672131147540983</v>
      </c>
      <c r="S116">
        <f t="shared" si="10"/>
        <v>0.85204918032786892</v>
      </c>
      <c r="T116">
        <f t="shared" si="11"/>
        <v>-0.85204918032786892</v>
      </c>
      <c r="U116">
        <f t="shared" si="6"/>
        <v>64.870409836065576</v>
      </c>
      <c r="W116">
        <v>518.70000000000005</v>
      </c>
      <c r="X116">
        <f t="shared" si="7"/>
        <v>42368.299999999988</v>
      </c>
      <c r="Y116">
        <v>8.6910316442254913</v>
      </c>
    </row>
    <row r="117" spans="1:26" x14ac:dyDescent="0.35">
      <c r="A117">
        <v>2920</v>
      </c>
      <c r="B117">
        <v>23610</v>
      </c>
      <c r="C117" s="1">
        <v>42697</v>
      </c>
      <c r="F117" s="47"/>
      <c r="G117">
        <v>8.1</v>
      </c>
      <c r="H117">
        <v>3.8</v>
      </c>
      <c r="I117">
        <v>11.8</v>
      </c>
      <c r="J117">
        <f t="shared" si="4"/>
        <v>659.09999999999991</v>
      </c>
      <c r="K117">
        <f t="shared" si="5"/>
        <v>659.09999999999991</v>
      </c>
      <c r="M117">
        <v>4.5999999999999996</v>
      </c>
      <c r="N117">
        <v>0.5</v>
      </c>
      <c r="O117">
        <f t="shared" si="9"/>
        <v>4.0999999999999996</v>
      </c>
      <c r="Q117">
        <v>62</v>
      </c>
      <c r="R117">
        <f t="shared" si="8"/>
        <v>0.95737704918032784</v>
      </c>
      <c r="S117">
        <f t="shared" si="10"/>
        <v>0.47868852459016392</v>
      </c>
      <c r="T117">
        <f t="shared" si="11"/>
        <v>4.1213114754098354</v>
      </c>
      <c r="U117">
        <f t="shared" si="6"/>
        <v>68.991721311475416</v>
      </c>
      <c r="W117">
        <v>113</v>
      </c>
      <c r="X117">
        <f t="shared" si="7"/>
        <v>42481.299999999988</v>
      </c>
      <c r="Y117">
        <v>8.6556816652176938</v>
      </c>
    </row>
    <row r="118" spans="1:26" x14ac:dyDescent="0.35">
      <c r="A118">
        <v>2920</v>
      </c>
      <c r="B118">
        <v>23610</v>
      </c>
      <c r="C118" s="1">
        <v>42698</v>
      </c>
      <c r="F118" s="47"/>
      <c r="G118">
        <v>10.8</v>
      </c>
      <c r="H118">
        <v>10</v>
      </c>
      <c r="I118">
        <v>11.5</v>
      </c>
      <c r="J118">
        <f t="shared" si="4"/>
        <v>669.89999999999986</v>
      </c>
      <c r="K118">
        <f t="shared" si="5"/>
        <v>669.89999999999986</v>
      </c>
      <c r="M118">
        <v>0</v>
      </c>
      <c r="N118">
        <v>0.9</v>
      </c>
      <c r="O118">
        <f t="shared" si="9"/>
        <v>-0.9</v>
      </c>
      <c r="Q118">
        <v>63</v>
      </c>
      <c r="R118">
        <f t="shared" si="8"/>
        <v>0.96803278688524586</v>
      </c>
      <c r="S118">
        <f t="shared" si="10"/>
        <v>0.87122950819672129</v>
      </c>
      <c r="T118">
        <f t="shared" si="11"/>
        <v>-0.87122950819672129</v>
      </c>
      <c r="U118">
        <f t="shared" si="6"/>
        <v>68.120491803278696</v>
      </c>
      <c r="W118">
        <v>196</v>
      </c>
      <c r="X118">
        <f t="shared" si="7"/>
        <v>42677.299999999988</v>
      </c>
      <c r="Y118">
        <v>8.6213303543285988</v>
      </c>
    </row>
    <row r="119" spans="1:26" x14ac:dyDescent="0.35">
      <c r="A119">
        <v>2920</v>
      </c>
      <c r="B119">
        <v>23610</v>
      </c>
      <c r="C119" s="1">
        <v>42699</v>
      </c>
      <c r="F119" s="47"/>
      <c r="G119">
        <v>8</v>
      </c>
      <c r="H119">
        <v>7.5</v>
      </c>
      <c r="I119">
        <v>8.4</v>
      </c>
      <c r="J119">
        <f t="shared" si="4"/>
        <v>677.89999999999986</v>
      </c>
      <c r="K119">
        <f t="shared" si="5"/>
        <v>677.89999999999986</v>
      </c>
      <c r="M119">
        <v>0</v>
      </c>
      <c r="N119">
        <v>0.6</v>
      </c>
      <c r="O119">
        <f t="shared" si="9"/>
        <v>-0.6</v>
      </c>
      <c r="Q119">
        <v>64</v>
      </c>
      <c r="R119">
        <f t="shared" si="8"/>
        <v>0.97868852459016387</v>
      </c>
      <c r="S119">
        <f t="shared" si="10"/>
        <v>0.58721311475409832</v>
      </c>
      <c r="T119">
        <f t="shared" si="11"/>
        <v>-0.58721311475409832</v>
      </c>
      <c r="U119">
        <f t="shared" si="6"/>
        <v>67.533278688524604</v>
      </c>
      <c r="W119">
        <v>109.2</v>
      </c>
      <c r="X119">
        <f t="shared" si="7"/>
        <v>42786.499999999985</v>
      </c>
      <c r="Y119">
        <v>8.5880011278118555</v>
      </c>
    </row>
    <row r="120" spans="1:26" x14ac:dyDescent="0.35">
      <c r="A120">
        <v>2920</v>
      </c>
      <c r="B120">
        <v>23610</v>
      </c>
      <c r="C120" s="1">
        <v>42700</v>
      </c>
      <c r="F120" s="47"/>
      <c r="G120">
        <v>8.8000000000000007</v>
      </c>
      <c r="H120">
        <v>7.7</v>
      </c>
      <c r="I120">
        <v>11</v>
      </c>
      <c r="J120">
        <f t="shared" si="4"/>
        <v>686.69999999999982</v>
      </c>
      <c r="K120">
        <f t="shared" si="5"/>
        <v>686.69999999999982</v>
      </c>
      <c r="M120">
        <v>0</v>
      </c>
      <c r="N120">
        <v>0.7</v>
      </c>
      <c r="O120">
        <f t="shared" si="9"/>
        <v>-0.7</v>
      </c>
      <c r="Q120">
        <v>65</v>
      </c>
      <c r="R120">
        <f t="shared" si="8"/>
        <v>0.98934426229508199</v>
      </c>
      <c r="S120">
        <f t="shared" si="10"/>
        <v>0.69254098360655736</v>
      </c>
      <c r="T120">
        <f t="shared" si="11"/>
        <v>-0.69254098360655736</v>
      </c>
      <c r="U120">
        <f t="shared" si="6"/>
        <v>66.840737704918041</v>
      </c>
      <c r="W120">
        <v>95.2</v>
      </c>
      <c r="X120">
        <f t="shared" si="7"/>
        <v>42881.699999999983</v>
      </c>
      <c r="Y120">
        <v>8.5557171706963366</v>
      </c>
    </row>
    <row r="121" spans="1:26" s="4" customFormat="1" ht="15" thickBot="1" x14ac:dyDescent="0.4">
      <c r="A121" s="4">
        <v>2920</v>
      </c>
      <c r="B121" s="4">
        <v>23610</v>
      </c>
      <c r="C121" s="5">
        <v>42701</v>
      </c>
      <c r="F121" s="48"/>
      <c r="G121" s="4">
        <v>6.9</v>
      </c>
      <c r="H121" s="4">
        <v>3.6</v>
      </c>
      <c r="I121" s="4">
        <v>10.1</v>
      </c>
      <c r="J121" s="4">
        <f t="shared" si="4"/>
        <v>693.5999999999998</v>
      </c>
      <c r="K121" s="4">
        <f t="shared" si="5"/>
        <v>693.5999999999998</v>
      </c>
      <c r="M121" s="4">
        <v>0</v>
      </c>
      <c r="N121" s="4">
        <v>0.8</v>
      </c>
      <c r="O121" s="4">
        <f t="shared" si="9"/>
        <v>-0.8</v>
      </c>
      <c r="Q121" s="4">
        <v>66</v>
      </c>
      <c r="R121" s="4">
        <f t="shared" si="8"/>
        <v>1</v>
      </c>
      <c r="S121" s="4">
        <f t="shared" si="10"/>
        <v>0.8</v>
      </c>
      <c r="T121" s="4">
        <f t="shared" si="11"/>
        <v>-0.8</v>
      </c>
      <c r="U121" s="4">
        <f t="shared" si="6"/>
        <v>66.040737704918044</v>
      </c>
      <c r="W121" s="4">
        <v>576.29999999999995</v>
      </c>
      <c r="X121" s="4">
        <f t="shared" si="7"/>
        <v>43457.999999999985</v>
      </c>
      <c r="Y121" s="4">
        <v>8.5245013866569721</v>
      </c>
    </row>
    <row r="122" spans="1:26" x14ac:dyDescent="0.35">
      <c r="A122">
        <v>2920</v>
      </c>
      <c r="B122">
        <v>23610</v>
      </c>
      <c r="C122" s="1">
        <v>42702</v>
      </c>
      <c r="D122" t="s">
        <v>34</v>
      </c>
      <c r="E122">
        <v>1</v>
      </c>
      <c r="F122" s="49" t="s">
        <v>53</v>
      </c>
      <c r="G122">
        <v>4.8</v>
      </c>
      <c r="H122">
        <v>4</v>
      </c>
      <c r="I122">
        <v>8.1</v>
      </c>
      <c r="J122">
        <f t="shared" ref="J122:J185" si="12">J121+G122</f>
        <v>698.39999999999975</v>
      </c>
      <c r="K122">
        <f>G122</f>
        <v>4.8</v>
      </c>
      <c r="L122" s="10" t="s">
        <v>36</v>
      </c>
      <c r="M122">
        <v>0</v>
      </c>
      <c r="N122">
        <v>1.8</v>
      </c>
      <c r="O122">
        <f t="shared" si="9"/>
        <v>-1.8</v>
      </c>
      <c r="Q122">
        <v>67</v>
      </c>
      <c r="R122">
        <v>1</v>
      </c>
      <c r="S122">
        <f t="shared" si="10"/>
        <v>1.8</v>
      </c>
      <c r="T122">
        <f t="shared" si="11"/>
        <v>-1.8</v>
      </c>
      <c r="U122">
        <f t="shared" ref="U122:U185" si="13">MIN(U121+T122,197.4)</f>
        <v>64.240737704918047</v>
      </c>
      <c r="V122" s="23" t="s">
        <v>43</v>
      </c>
      <c r="W122">
        <v>781.5</v>
      </c>
      <c r="X122">
        <f>W122</f>
        <v>781.5</v>
      </c>
      <c r="Y122">
        <v>8.494376346696825</v>
      </c>
      <c r="Z122" s="23" t="s">
        <v>48</v>
      </c>
    </row>
    <row r="123" spans="1:26" x14ac:dyDescent="0.35">
      <c r="A123">
        <v>2920</v>
      </c>
      <c r="B123">
        <v>23610</v>
      </c>
      <c r="C123" s="1">
        <v>42703</v>
      </c>
      <c r="E123">
        <v>2</v>
      </c>
      <c r="F123" s="50"/>
      <c r="G123">
        <v>0.7</v>
      </c>
      <c r="H123">
        <v>-2.2000000000000002</v>
      </c>
      <c r="I123">
        <v>4</v>
      </c>
      <c r="J123">
        <f t="shared" si="12"/>
        <v>699.0999999999998</v>
      </c>
      <c r="K123">
        <f t="shared" ref="K123:K185" si="14">K122+G123</f>
        <v>5.5</v>
      </c>
      <c r="L123" s="8">
        <v>261.7</v>
      </c>
      <c r="M123">
        <v>0</v>
      </c>
      <c r="N123">
        <v>1.1000000000000001</v>
      </c>
      <c r="O123">
        <f t="shared" si="9"/>
        <v>-1.1000000000000001</v>
      </c>
      <c r="Q123">
        <v>68</v>
      </c>
      <c r="R123">
        <v>1</v>
      </c>
      <c r="S123">
        <f t="shared" si="10"/>
        <v>1.1000000000000001</v>
      </c>
      <c r="T123">
        <f t="shared" si="11"/>
        <v>-1.1000000000000001</v>
      </c>
      <c r="U123">
        <f t="shared" si="13"/>
        <v>63.140737704918045</v>
      </c>
      <c r="V123">
        <v>0</v>
      </c>
      <c r="W123">
        <v>753.1</v>
      </c>
      <c r="X123">
        <f t="shared" ref="X123:X185" si="15">X122+W123</f>
        <v>1534.6</v>
      </c>
      <c r="Y123">
        <v>8.4653642368258453</v>
      </c>
      <c r="Z123">
        <v>22516.5</v>
      </c>
    </row>
    <row r="124" spans="1:26" x14ac:dyDescent="0.35">
      <c r="A124">
        <v>2920</v>
      </c>
      <c r="B124">
        <v>23610</v>
      </c>
      <c r="C124" s="1">
        <v>42704</v>
      </c>
      <c r="E124">
        <v>3</v>
      </c>
      <c r="F124" s="50"/>
      <c r="G124">
        <v>2.2999999999999998</v>
      </c>
      <c r="H124">
        <v>-1</v>
      </c>
      <c r="I124">
        <v>5.9</v>
      </c>
      <c r="J124">
        <f t="shared" si="12"/>
        <v>701.39999999999975</v>
      </c>
      <c r="K124">
        <f t="shared" si="14"/>
        <v>7.8</v>
      </c>
      <c r="L124" s="10" t="s">
        <v>37</v>
      </c>
      <c r="M124">
        <v>0</v>
      </c>
      <c r="N124">
        <v>0.7</v>
      </c>
      <c r="O124">
        <f t="shared" si="9"/>
        <v>-0.7</v>
      </c>
      <c r="Q124">
        <v>69</v>
      </c>
      <c r="R124">
        <v>1</v>
      </c>
      <c r="S124">
        <f t="shared" si="10"/>
        <v>0.7</v>
      </c>
      <c r="T124">
        <f t="shared" si="11"/>
        <v>-0.7</v>
      </c>
      <c r="U124">
        <f t="shared" si="13"/>
        <v>62.440737704918043</v>
      </c>
      <c r="V124" s="23" t="s">
        <v>44</v>
      </c>
      <c r="W124">
        <v>466.5</v>
      </c>
      <c r="X124">
        <f t="shared" si="15"/>
        <v>2001.1</v>
      </c>
      <c r="Y124">
        <v>8.4374868049388372</v>
      </c>
      <c r="Z124" s="23" t="s">
        <v>49</v>
      </c>
    </row>
    <row r="125" spans="1:26" x14ac:dyDescent="0.35">
      <c r="A125">
        <v>2920</v>
      </c>
      <c r="B125">
        <v>23610</v>
      </c>
      <c r="C125" s="1">
        <v>42705</v>
      </c>
      <c r="E125">
        <v>4</v>
      </c>
      <c r="F125" s="50"/>
      <c r="G125">
        <v>2.7</v>
      </c>
      <c r="H125">
        <v>-1.7</v>
      </c>
      <c r="I125">
        <v>8.1</v>
      </c>
      <c r="J125">
        <f t="shared" si="12"/>
        <v>704.0999999999998</v>
      </c>
      <c r="K125">
        <f t="shared" si="14"/>
        <v>10.5</v>
      </c>
      <c r="L125" s="9">
        <f>AVERAGE(G122:G182)</f>
        <v>3.9344262295081958</v>
      </c>
      <c r="M125">
        <v>0.2</v>
      </c>
      <c r="N125">
        <v>0.9</v>
      </c>
      <c r="O125">
        <f t="shared" si="9"/>
        <v>-0.7</v>
      </c>
      <c r="Q125">
        <v>70</v>
      </c>
      <c r="R125">
        <v>1</v>
      </c>
      <c r="S125">
        <f t="shared" si="10"/>
        <v>0.9</v>
      </c>
      <c r="T125">
        <f t="shared" si="11"/>
        <v>-0.7</v>
      </c>
      <c r="U125">
        <f t="shared" si="13"/>
        <v>61.74073770491804</v>
      </c>
      <c r="V125">
        <v>27</v>
      </c>
      <c r="W125">
        <v>705.9</v>
      </c>
      <c r="X125">
        <f t="shared" si="15"/>
        <v>2707</v>
      </c>
      <c r="Y125">
        <v>8.4107653071114026</v>
      </c>
      <c r="Z125">
        <f>(Z123/100)/L123</f>
        <v>0.86039358043561331</v>
      </c>
    </row>
    <row r="126" spans="1:26" x14ac:dyDescent="0.35">
      <c r="A126">
        <v>2920</v>
      </c>
      <c r="B126">
        <v>23610</v>
      </c>
      <c r="C126" s="1">
        <v>42706</v>
      </c>
      <c r="E126">
        <v>5</v>
      </c>
      <c r="F126" s="50"/>
      <c r="G126">
        <v>3.1</v>
      </c>
      <c r="H126">
        <v>1.1000000000000001</v>
      </c>
      <c r="I126">
        <v>4.5</v>
      </c>
      <c r="J126">
        <f t="shared" si="12"/>
        <v>707.19999999999982</v>
      </c>
      <c r="K126">
        <f t="shared" si="14"/>
        <v>13.6</v>
      </c>
      <c r="L126" s="10" t="s">
        <v>38</v>
      </c>
      <c r="M126">
        <v>0</v>
      </c>
      <c r="N126">
        <v>0.2</v>
      </c>
      <c r="O126">
        <f t="shared" si="9"/>
        <v>-0.2</v>
      </c>
      <c r="Q126">
        <v>71</v>
      </c>
      <c r="R126">
        <v>1</v>
      </c>
      <c r="S126">
        <f t="shared" si="10"/>
        <v>0.2</v>
      </c>
      <c r="T126">
        <f t="shared" si="11"/>
        <v>-0.2</v>
      </c>
      <c r="U126">
        <f t="shared" si="13"/>
        <v>61.540737704918037</v>
      </c>
      <c r="V126" s="23" t="s">
        <v>45</v>
      </c>
      <c r="W126">
        <v>164.8</v>
      </c>
      <c r="X126">
        <f t="shared" si="15"/>
        <v>2871.8</v>
      </c>
      <c r="Y126">
        <v>8.385220453548154</v>
      </c>
      <c r="Z126" s="23" t="s">
        <v>50</v>
      </c>
    </row>
    <row r="127" spans="1:26" x14ac:dyDescent="0.35">
      <c r="A127">
        <v>2920</v>
      </c>
      <c r="B127">
        <v>23610</v>
      </c>
      <c r="C127" s="1">
        <v>42707</v>
      </c>
      <c r="E127">
        <v>6</v>
      </c>
      <c r="F127" s="50"/>
      <c r="G127">
        <v>5</v>
      </c>
      <c r="H127">
        <v>3.3</v>
      </c>
      <c r="I127">
        <v>7.8</v>
      </c>
      <c r="J127">
        <f t="shared" si="12"/>
        <v>712.19999999999982</v>
      </c>
      <c r="K127">
        <f t="shared" si="14"/>
        <v>18.600000000000001</v>
      </c>
      <c r="L127" s="8">
        <f>MIN(H122:H182)</f>
        <v>-6.5</v>
      </c>
      <c r="M127">
        <v>0</v>
      </c>
      <c r="N127">
        <v>1.1000000000000001</v>
      </c>
      <c r="O127">
        <f t="shared" si="9"/>
        <v>-1.1000000000000001</v>
      </c>
      <c r="Q127">
        <v>72</v>
      </c>
      <c r="R127">
        <v>1</v>
      </c>
      <c r="S127">
        <f t="shared" si="10"/>
        <v>1.1000000000000001</v>
      </c>
      <c r="T127">
        <f t="shared" si="11"/>
        <v>-1.1000000000000001</v>
      </c>
      <c r="U127">
        <f t="shared" si="13"/>
        <v>60.440737704918035</v>
      </c>
      <c r="V127" s="17">
        <f>MIN(U122:U182)</f>
        <v>57.340737704918034</v>
      </c>
      <c r="W127">
        <v>214.3</v>
      </c>
      <c r="X127">
        <f t="shared" si="15"/>
        <v>3086.1000000000004</v>
      </c>
      <c r="Y127">
        <v>8.3608723544317325</v>
      </c>
      <c r="Z127">
        <v>61</v>
      </c>
    </row>
    <row r="128" spans="1:26" x14ac:dyDescent="0.35">
      <c r="A128">
        <v>2920</v>
      </c>
      <c r="B128">
        <v>23610</v>
      </c>
      <c r="C128" s="1">
        <v>42708</v>
      </c>
      <c r="E128">
        <v>7</v>
      </c>
      <c r="F128" s="50"/>
      <c r="G128">
        <v>2.5</v>
      </c>
      <c r="H128">
        <v>1.5</v>
      </c>
      <c r="I128">
        <v>3.3</v>
      </c>
      <c r="J128">
        <f t="shared" si="12"/>
        <v>714.69999999999982</v>
      </c>
      <c r="K128">
        <f t="shared" si="14"/>
        <v>21.1</v>
      </c>
      <c r="L128" s="10" t="s">
        <v>39</v>
      </c>
      <c r="M128">
        <v>0</v>
      </c>
      <c r="N128">
        <v>0.5</v>
      </c>
      <c r="O128">
        <f t="shared" si="9"/>
        <v>-0.5</v>
      </c>
      <c r="Q128">
        <v>73</v>
      </c>
      <c r="R128">
        <v>1</v>
      </c>
      <c r="S128">
        <f t="shared" si="10"/>
        <v>0.5</v>
      </c>
      <c r="T128">
        <f t="shared" si="11"/>
        <v>-0.5</v>
      </c>
      <c r="U128">
        <f t="shared" si="13"/>
        <v>59.940737704918035</v>
      </c>
      <c r="V128" s="23" t="s">
        <v>46</v>
      </c>
      <c r="W128">
        <v>146.6</v>
      </c>
      <c r="X128">
        <f t="shared" si="15"/>
        <v>3232.7000000000003</v>
      </c>
      <c r="Y128">
        <v>8.3377404659340169</v>
      </c>
      <c r="Z128" t="s">
        <v>51</v>
      </c>
    </row>
    <row r="129" spans="1:26" x14ac:dyDescent="0.35">
      <c r="A129">
        <v>2920</v>
      </c>
      <c r="B129">
        <v>23610</v>
      </c>
      <c r="C129" s="1">
        <v>42709</v>
      </c>
      <c r="F129" s="50"/>
      <c r="G129">
        <v>5.9</v>
      </c>
      <c r="H129">
        <v>1.8</v>
      </c>
      <c r="I129">
        <v>9.1</v>
      </c>
      <c r="J129">
        <f t="shared" si="12"/>
        <v>720.5999999999998</v>
      </c>
      <c r="K129">
        <f t="shared" si="14"/>
        <v>27</v>
      </c>
      <c r="L129" s="8">
        <f>MAX(I122:I182)</f>
        <v>12.4</v>
      </c>
      <c r="M129">
        <v>0.7</v>
      </c>
      <c r="N129">
        <v>0.3</v>
      </c>
      <c r="O129">
        <f t="shared" si="9"/>
        <v>0.39999999999999997</v>
      </c>
      <c r="Q129">
        <v>74</v>
      </c>
      <c r="R129">
        <v>1</v>
      </c>
      <c r="S129">
        <f t="shared" si="10"/>
        <v>0.3</v>
      </c>
      <c r="T129">
        <f t="shared" si="11"/>
        <v>0.39999999999999997</v>
      </c>
      <c r="U129">
        <f t="shared" si="13"/>
        <v>60.340737704918034</v>
      </c>
      <c r="V129" s="17">
        <f>MAX(U122:U182)</f>
        <v>92.640737704918038</v>
      </c>
      <c r="W129">
        <v>218.4</v>
      </c>
      <c r="X129">
        <f t="shared" si="15"/>
        <v>3451.1000000000004</v>
      </c>
      <c r="Y129">
        <v>8.3158435366621202</v>
      </c>
      <c r="Z129">
        <v>35</v>
      </c>
    </row>
    <row r="130" spans="1:26" x14ac:dyDescent="0.35">
      <c r="A130">
        <v>2920</v>
      </c>
      <c r="B130">
        <v>23610</v>
      </c>
      <c r="C130" s="1">
        <v>42710</v>
      </c>
      <c r="F130" s="50"/>
      <c r="G130">
        <v>8.1</v>
      </c>
      <c r="H130">
        <v>4.7</v>
      </c>
      <c r="I130">
        <v>11.8</v>
      </c>
      <c r="J130">
        <f t="shared" si="12"/>
        <v>728.69999999999982</v>
      </c>
      <c r="K130">
        <f t="shared" si="14"/>
        <v>35.1</v>
      </c>
      <c r="L130" s="10" t="s">
        <v>40</v>
      </c>
      <c r="M130">
        <v>0.3</v>
      </c>
      <c r="N130">
        <v>0.9</v>
      </c>
      <c r="O130">
        <f t="shared" si="9"/>
        <v>-0.60000000000000009</v>
      </c>
      <c r="Q130">
        <v>75</v>
      </c>
      <c r="R130">
        <v>1</v>
      </c>
      <c r="S130">
        <f t="shared" si="10"/>
        <v>0.9</v>
      </c>
      <c r="T130">
        <f t="shared" si="11"/>
        <v>-0.60000000000000009</v>
      </c>
      <c r="U130">
        <f t="shared" si="13"/>
        <v>59.740737704918033</v>
      </c>
      <c r="V130" s="23" t="s">
        <v>47</v>
      </c>
      <c r="W130">
        <v>628.1</v>
      </c>
      <c r="X130">
        <f t="shared" si="15"/>
        <v>4079.2000000000003</v>
      </c>
      <c r="Y130">
        <v>8.2951995548210622</v>
      </c>
    </row>
    <row r="131" spans="1:26" x14ac:dyDescent="0.35">
      <c r="A131">
        <v>2920</v>
      </c>
      <c r="B131">
        <v>23610</v>
      </c>
      <c r="C131" s="1">
        <v>42711</v>
      </c>
      <c r="F131" s="50"/>
      <c r="G131">
        <v>8.3000000000000007</v>
      </c>
      <c r="H131">
        <v>5.3</v>
      </c>
      <c r="I131">
        <v>11.7</v>
      </c>
      <c r="J131">
        <f t="shared" si="12"/>
        <v>736.99999999999977</v>
      </c>
      <c r="K131">
        <f t="shared" si="14"/>
        <v>43.400000000000006</v>
      </c>
      <c r="L131" s="8">
        <v>0</v>
      </c>
      <c r="M131">
        <v>0.1</v>
      </c>
      <c r="N131">
        <v>0.9</v>
      </c>
      <c r="O131">
        <f t="shared" si="9"/>
        <v>-0.8</v>
      </c>
      <c r="Q131">
        <v>76</v>
      </c>
      <c r="R131">
        <v>1</v>
      </c>
      <c r="S131">
        <f t="shared" si="10"/>
        <v>0.9</v>
      </c>
      <c r="T131">
        <f t="shared" si="11"/>
        <v>-0.8</v>
      </c>
      <c r="U131">
        <f t="shared" si="13"/>
        <v>58.940737704918035</v>
      </c>
      <c r="V131" s="17">
        <f>AVERAGE(U122:U182)</f>
        <v>70.265327868852495</v>
      </c>
      <c r="W131">
        <v>560.29999999999995</v>
      </c>
      <c r="X131">
        <f t="shared" si="15"/>
        <v>4639.5</v>
      </c>
      <c r="Y131">
        <v>8.2758256963820163</v>
      </c>
    </row>
    <row r="132" spans="1:26" x14ac:dyDescent="0.35">
      <c r="A132">
        <v>2920</v>
      </c>
      <c r="B132">
        <v>23610</v>
      </c>
      <c r="C132" s="1">
        <v>42712</v>
      </c>
      <c r="F132" s="50"/>
      <c r="G132">
        <v>8.3000000000000007</v>
      </c>
      <c r="H132">
        <v>4.8</v>
      </c>
      <c r="I132">
        <v>11</v>
      </c>
      <c r="J132">
        <f t="shared" si="12"/>
        <v>745.29999999999973</v>
      </c>
      <c r="K132">
        <f t="shared" si="14"/>
        <v>51.7</v>
      </c>
      <c r="L132" s="10" t="s">
        <v>41</v>
      </c>
      <c r="M132">
        <v>0.1</v>
      </c>
      <c r="N132">
        <v>0.8</v>
      </c>
      <c r="O132">
        <f t="shared" si="9"/>
        <v>-0.70000000000000007</v>
      </c>
      <c r="Q132">
        <v>77</v>
      </c>
      <c r="R132">
        <v>1</v>
      </c>
      <c r="S132">
        <f t="shared" si="10"/>
        <v>0.8</v>
      </c>
      <c r="T132">
        <f t="shared" si="11"/>
        <v>-0.70000000000000007</v>
      </c>
      <c r="U132">
        <f t="shared" si="13"/>
        <v>58.240737704918033</v>
      </c>
      <c r="W132">
        <v>553.6</v>
      </c>
      <c r="X132">
        <f t="shared" si="15"/>
        <v>5193.1000000000004</v>
      </c>
      <c r="Y132">
        <v>8.2577382745499577</v>
      </c>
    </row>
    <row r="133" spans="1:26" x14ac:dyDescent="0.35">
      <c r="A133">
        <v>2920</v>
      </c>
      <c r="B133">
        <v>23610</v>
      </c>
      <c r="C133" s="1">
        <v>42713</v>
      </c>
      <c r="F133" s="50"/>
      <c r="G133">
        <v>9.1999999999999993</v>
      </c>
      <c r="H133">
        <v>7.8</v>
      </c>
      <c r="I133">
        <v>10.7</v>
      </c>
      <c r="J133">
        <f t="shared" si="12"/>
        <v>754.49999999999977</v>
      </c>
      <c r="K133">
        <f t="shared" si="14"/>
        <v>60.900000000000006</v>
      </c>
      <c r="L133" s="8">
        <v>23</v>
      </c>
      <c r="M133">
        <v>0</v>
      </c>
      <c r="N133">
        <v>0.8</v>
      </c>
      <c r="O133">
        <f t="shared" ref="O133:O196" si="16">M133-N133</f>
        <v>-0.8</v>
      </c>
      <c r="Q133">
        <v>78</v>
      </c>
      <c r="R133">
        <v>1</v>
      </c>
      <c r="S133">
        <f t="shared" ref="S133:S196" si="17">R133*N133</f>
        <v>0.8</v>
      </c>
      <c r="T133">
        <f t="shared" ref="T133:T196" si="18">M133-S133</f>
        <v>-0.8</v>
      </c>
      <c r="U133">
        <f t="shared" si="13"/>
        <v>57.440737704918035</v>
      </c>
      <c r="V133" s="18">
        <f>(V131*100)/197.4</f>
        <v>35.595404188881709</v>
      </c>
      <c r="W133">
        <v>526.20000000000005</v>
      </c>
      <c r="X133">
        <f t="shared" si="15"/>
        <v>5719.3</v>
      </c>
      <c r="Y133">
        <v>8.2409526908265018</v>
      </c>
    </row>
    <row r="134" spans="1:26" x14ac:dyDescent="0.35">
      <c r="A134">
        <v>2920</v>
      </c>
      <c r="B134">
        <v>23610</v>
      </c>
      <c r="C134" s="1">
        <v>42714</v>
      </c>
      <c r="F134" s="50"/>
      <c r="G134">
        <v>7.5</v>
      </c>
      <c r="H134">
        <v>6.8</v>
      </c>
      <c r="I134">
        <v>8.8000000000000007</v>
      </c>
      <c r="J134">
        <f t="shared" si="12"/>
        <v>761.99999999999977</v>
      </c>
      <c r="K134">
        <f t="shared" si="14"/>
        <v>68.400000000000006</v>
      </c>
      <c r="L134" s="10" t="s">
        <v>42</v>
      </c>
      <c r="M134">
        <v>0.3</v>
      </c>
      <c r="N134">
        <v>0.4</v>
      </c>
      <c r="O134">
        <f t="shared" si="16"/>
        <v>-0.10000000000000003</v>
      </c>
      <c r="Q134">
        <v>79</v>
      </c>
      <c r="R134">
        <v>1</v>
      </c>
      <c r="S134">
        <f t="shared" si="17"/>
        <v>0.4</v>
      </c>
      <c r="T134">
        <f t="shared" si="18"/>
        <v>-0.10000000000000003</v>
      </c>
      <c r="U134">
        <f t="shared" si="13"/>
        <v>57.340737704918034</v>
      </c>
      <c r="W134">
        <v>178.9</v>
      </c>
      <c r="X134">
        <f t="shared" si="15"/>
        <v>5898.2</v>
      </c>
      <c r="Y134">
        <v>8.2254833879633473</v>
      </c>
    </row>
    <row r="135" spans="1:26" x14ac:dyDescent="0.35">
      <c r="A135">
        <v>2920</v>
      </c>
      <c r="B135">
        <v>23610</v>
      </c>
      <c r="C135" s="1">
        <v>42715</v>
      </c>
      <c r="F135" s="50"/>
      <c r="G135">
        <v>7.7</v>
      </c>
      <c r="H135">
        <v>7.4</v>
      </c>
      <c r="I135">
        <v>8.5</v>
      </c>
      <c r="J135">
        <f t="shared" si="12"/>
        <v>769.69999999999982</v>
      </c>
      <c r="K135">
        <f t="shared" si="14"/>
        <v>76.100000000000009</v>
      </c>
      <c r="L135" s="8">
        <v>22</v>
      </c>
      <c r="M135">
        <v>2.2999999999999998</v>
      </c>
      <c r="N135">
        <v>0.4</v>
      </c>
      <c r="O135">
        <f t="shared" si="16"/>
        <v>1.9</v>
      </c>
      <c r="Q135">
        <v>80</v>
      </c>
      <c r="R135">
        <v>1</v>
      </c>
      <c r="S135">
        <f t="shared" si="17"/>
        <v>0.4</v>
      </c>
      <c r="T135">
        <f t="shared" si="18"/>
        <v>1.9</v>
      </c>
      <c r="U135">
        <f t="shared" si="13"/>
        <v>59.240737704918033</v>
      </c>
      <c r="W135">
        <v>174.2</v>
      </c>
      <c r="X135">
        <f t="shared" si="15"/>
        <v>6072.4</v>
      </c>
      <c r="Y135">
        <v>8.2113438050981795</v>
      </c>
    </row>
    <row r="136" spans="1:26" x14ac:dyDescent="0.35">
      <c r="A136">
        <v>2920</v>
      </c>
      <c r="B136">
        <v>23610</v>
      </c>
      <c r="C136" s="1">
        <v>42716</v>
      </c>
      <c r="F136" s="50"/>
      <c r="G136">
        <v>10.1</v>
      </c>
      <c r="H136">
        <v>7.1</v>
      </c>
      <c r="I136">
        <v>11.6</v>
      </c>
      <c r="J136">
        <f t="shared" si="12"/>
        <v>779.79999999999984</v>
      </c>
      <c r="K136">
        <f t="shared" si="14"/>
        <v>86.2</v>
      </c>
      <c r="M136">
        <v>4</v>
      </c>
      <c r="N136">
        <v>0.3</v>
      </c>
      <c r="O136">
        <f t="shared" si="16"/>
        <v>3.7</v>
      </c>
      <c r="Q136">
        <v>81</v>
      </c>
      <c r="R136">
        <v>1</v>
      </c>
      <c r="S136">
        <f t="shared" si="17"/>
        <v>0.3</v>
      </c>
      <c r="T136">
        <f t="shared" si="18"/>
        <v>3.7</v>
      </c>
      <c r="U136">
        <f t="shared" si="13"/>
        <v>62.940737704918035</v>
      </c>
      <c r="W136">
        <v>179.5</v>
      </c>
      <c r="X136">
        <f t="shared" si="15"/>
        <v>6251.9</v>
      </c>
      <c r="Y136">
        <v>8.1985463353585555</v>
      </c>
    </row>
    <row r="137" spans="1:26" x14ac:dyDescent="0.35">
      <c r="A137">
        <v>2920</v>
      </c>
      <c r="B137">
        <v>23610</v>
      </c>
      <c r="C137" s="1">
        <v>42717</v>
      </c>
      <c r="F137" s="50"/>
      <c r="G137">
        <v>9.8000000000000007</v>
      </c>
      <c r="H137">
        <v>8.9</v>
      </c>
      <c r="I137">
        <v>10.8</v>
      </c>
      <c r="J137">
        <f t="shared" si="12"/>
        <v>789.5999999999998</v>
      </c>
      <c r="K137">
        <f t="shared" si="14"/>
        <v>96</v>
      </c>
      <c r="M137">
        <v>0.1</v>
      </c>
      <c r="N137">
        <v>0.3</v>
      </c>
      <c r="O137">
        <f t="shared" si="16"/>
        <v>-0.19999999999999998</v>
      </c>
      <c r="Q137">
        <v>82</v>
      </c>
      <c r="R137">
        <v>1</v>
      </c>
      <c r="S137">
        <f t="shared" si="17"/>
        <v>0.3</v>
      </c>
      <c r="T137">
        <f t="shared" si="18"/>
        <v>-0.19999999999999998</v>
      </c>
      <c r="U137">
        <f t="shared" si="13"/>
        <v>62.740737704918033</v>
      </c>
      <c r="W137">
        <v>186.7</v>
      </c>
      <c r="X137">
        <f t="shared" si="15"/>
        <v>6438.5999999999995</v>
      </c>
      <c r="Y137">
        <v>8.187102286209953</v>
      </c>
    </row>
    <row r="138" spans="1:26" x14ac:dyDescent="0.35">
      <c r="A138">
        <v>2920</v>
      </c>
      <c r="B138">
        <v>23610</v>
      </c>
      <c r="C138" s="1">
        <v>42718</v>
      </c>
      <c r="F138" s="50"/>
      <c r="G138">
        <v>6.4</v>
      </c>
      <c r="H138">
        <v>3</v>
      </c>
      <c r="I138">
        <v>9.1999999999999993</v>
      </c>
      <c r="J138">
        <f t="shared" si="12"/>
        <v>795.99999999999977</v>
      </c>
      <c r="K138">
        <f t="shared" si="14"/>
        <v>102.4</v>
      </c>
      <c r="M138">
        <v>0.2</v>
      </c>
      <c r="N138">
        <v>0.5</v>
      </c>
      <c r="O138">
        <f t="shared" si="16"/>
        <v>-0.3</v>
      </c>
      <c r="Q138">
        <v>83</v>
      </c>
      <c r="R138">
        <v>1</v>
      </c>
      <c r="S138">
        <f t="shared" si="17"/>
        <v>0.5</v>
      </c>
      <c r="T138">
        <f t="shared" si="18"/>
        <v>-0.3</v>
      </c>
      <c r="U138">
        <f t="shared" si="13"/>
        <v>62.440737704918035</v>
      </c>
      <c r="W138">
        <v>546.29999999999995</v>
      </c>
      <c r="X138">
        <f t="shared" si="15"/>
        <v>6984.9</v>
      </c>
      <c r="Y138">
        <v>8.1770218428116213</v>
      </c>
    </row>
    <row r="139" spans="1:26" x14ac:dyDescent="0.35">
      <c r="A139">
        <v>2920</v>
      </c>
      <c r="B139">
        <v>23610</v>
      </c>
      <c r="C139" s="1">
        <v>42719</v>
      </c>
      <c r="F139" s="50"/>
      <c r="G139">
        <v>7.5</v>
      </c>
      <c r="H139">
        <v>4.5999999999999996</v>
      </c>
      <c r="I139">
        <v>9.4</v>
      </c>
      <c r="J139">
        <f t="shared" si="12"/>
        <v>803.49999999999977</v>
      </c>
      <c r="K139">
        <f t="shared" si="14"/>
        <v>109.9</v>
      </c>
      <c r="M139">
        <v>0</v>
      </c>
      <c r="N139">
        <v>0.2</v>
      </c>
      <c r="O139">
        <f t="shared" si="16"/>
        <v>-0.2</v>
      </c>
      <c r="Q139">
        <v>84</v>
      </c>
      <c r="R139">
        <v>1</v>
      </c>
      <c r="S139">
        <f t="shared" si="17"/>
        <v>0.2</v>
      </c>
      <c r="T139">
        <f t="shared" si="18"/>
        <v>-0.2</v>
      </c>
      <c r="U139">
        <f t="shared" si="13"/>
        <v>62.240737704918033</v>
      </c>
      <c r="W139">
        <v>189.3</v>
      </c>
      <c r="X139">
        <f t="shared" si="15"/>
        <v>7174.2</v>
      </c>
      <c r="Y139">
        <v>8.1683140346286738</v>
      </c>
    </row>
    <row r="140" spans="1:26" x14ac:dyDescent="0.35">
      <c r="A140">
        <v>2920</v>
      </c>
      <c r="B140">
        <v>23610</v>
      </c>
      <c r="C140" s="1">
        <v>42720</v>
      </c>
      <c r="F140" s="50"/>
      <c r="G140">
        <v>7.6</v>
      </c>
      <c r="H140">
        <v>7.6</v>
      </c>
      <c r="I140">
        <v>10</v>
      </c>
      <c r="J140">
        <f t="shared" si="12"/>
        <v>811.0999999999998</v>
      </c>
      <c r="K140">
        <f t="shared" si="14"/>
        <v>117.5</v>
      </c>
      <c r="M140">
        <v>0.2</v>
      </c>
      <c r="N140">
        <v>0.8</v>
      </c>
      <c r="O140">
        <f t="shared" si="16"/>
        <v>-0.60000000000000009</v>
      </c>
      <c r="Q140">
        <v>85</v>
      </c>
      <c r="R140">
        <v>1</v>
      </c>
      <c r="S140">
        <f t="shared" si="17"/>
        <v>0.8</v>
      </c>
      <c r="T140">
        <f t="shared" si="18"/>
        <v>-0.60000000000000009</v>
      </c>
      <c r="U140">
        <f t="shared" si="13"/>
        <v>61.640737704918031</v>
      </c>
      <c r="W140">
        <v>373.1</v>
      </c>
      <c r="X140">
        <f t="shared" si="15"/>
        <v>7547.3</v>
      </c>
      <c r="Y140">
        <v>8.1609867055304228</v>
      </c>
    </row>
    <row r="141" spans="1:26" x14ac:dyDescent="0.35">
      <c r="A141">
        <v>2920</v>
      </c>
      <c r="B141">
        <v>23610</v>
      </c>
      <c r="C141" s="1">
        <v>42721</v>
      </c>
      <c r="E141">
        <v>8</v>
      </c>
      <c r="F141" s="50"/>
      <c r="G141">
        <v>3.7</v>
      </c>
      <c r="H141">
        <v>1.3</v>
      </c>
      <c r="I141">
        <v>5.7</v>
      </c>
      <c r="J141">
        <f t="shared" si="12"/>
        <v>814.79999999999984</v>
      </c>
      <c r="K141">
        <f t="shared" si="14"/>
        <v>121.2</v>
      </c>
      <c r="M141">
        <v>0.4</v>
      </c>
      <c r="N141">
        <v>0.6</v>
      </c>
      <c r="O141">
        <f t="shared" si="16"/>
        <v>-0.19999999999999996</v>
      </c>
      <c r="Q141">
        <v>86</v>
      </c>
      <c r="R141">
        <v>1</v>
      </c>
      <c r="S141">
        <f t="shared" si="17"/>
        <v>0.6</v>
      </c>
      <c r="T141">
        <f t="shared" si="18"/>
        <v>-0.19999999999999996</v>
      </c>
      <c r="U141">
        <f t="shared" si="13"/>
        <v>61.440737704918028</v>
      </c>
      <c r="W141">
        <v>250.1</v>
      </c>
      <c r="X141">
        <f t="shared" si="15"/>
        <v>7797.4000000000005</v>
      </c>
      <c r="Y141">
        <v>8.1550464875842312</v>
      </c>
    </row>
    <row r="142" spans="1:26" x14ac:dyDescent="0.35">
      <c r="A142">
        <v>2920</v>
      </c>
      <c r="B142">
        <v>23610</v>
      </c>
      <c r="C142" s="1">
        <v>42722</v>
      </c>
      <c r="E142">
        <v>9</v>
      </c>
      <c r="F142" s="50"/>
      <c r="G142">
        <v>3.5</v>
      </c>
      <c r="H142">
        <v>3</v>
      </c>
      <c r="I142">
        <v>3.8</v>
      </c>
      <c r="J142">
        <f t="shared" si="12"/>
        <v>818.29999999999984</v>
      </c>
      <c r="K142">
        <f t="shared" si="14"/>
        <v>124.7</v>
      </c>
      <c r="M142">
        <v>0.3</v>
      </c>
      <c r="N142">
        <v>0.3</v>
      </c>
      <c r="O142">
        <f t="shared" si="16"/>
        <v>0</v>
      </c>
      <c r="Q142">
        <v>87</v>
      </c>
      <c r="R142">
        <v>1</v>
      </c>
      <c r="S142">
        <f t="shared" si="17"/>
        <v>0.3</v>
      </c>
      <c r="T142">
        <f t="shared" si="18"/>
        <v>0</v>
      </c>
      <c r="U142">
        <f t="shared" si="13"/>
        <v>61.440737704918028</v>
      </c>
      <c r="W142">
        <v>258.7</v>
      </c>
      <c r="X142">
        <f t="shared" si="15"/>
        <v>8056.1</v>
      </c>
      <c r="Y142">
        <v>8.1504987787304159</v>
      </c>
    </row>
    <row r="143" spans="1:26" x14ac:dyDescent="0.35">
      <c r="A143">
        <v>2920</v>
      </c>
      <c r="B143">
        <v>23610</v>
      </c>
      <c r="C143" s="1">
        <v>42723</v>
      </c>
      <c r="E143">
        <v>10</v>
      </c>
      <c r="F143" s="50"/>
      <c r="G143">
        <v>3.3</v>
      </c>
      <c r="H143">
        <v>2</v>
      </c>
      <c r="I143">
        <v>4.3</v>
      </c>
      <c r="J143">
        <f t="shared" si="12"/>
        <v>821.5999999999998</v>
      </c>
      <c r="K143">
        <f t="shared" si="14"/>
        <v>128</v>
      </c>
      <c r="M143">
        <v>0.7</v>
      </c>
      <c r="N143">
        <v>0.1</v>
      </c>
      <c r="O143">
        <f t="shared" si="16"/>
        <v>0.6</v>
      </c>
      <c r="Q143">
        <v>88</v>
      </c>
      <c r="R143">
        <v>1</v>
      </c>
      <c r="S143">
        <f t="shared" si="17"/>
        <v>0.1</v>
      </c>
      <c r="T143">
        <f t="shared" si="18"/>
        <v>0.6</v>
      </c>
      <c r="U143">
        <f t="shared" si="13"/>
        <v>62.04073770491803</v>
      </c>
      <c r="W143">
        <v>32.299999999999997</v>
      </c>
      <c r="X143">
        <f t="shared" si="15"/>
        <v>8088.4000000000005</v>
      </c>
      <c r="Y143">
        <v>8.1473477244981485</v>
      </c>
    </row>
    <row r="144" spans="1:26" x14ac:dyDescent="0.35">
      <c r="A144">
        <v>2920</v>
      </c>
      <c r="B144">
        <v>23610</v>
      </c>
      <c r="C144" s="1">
        <v>42724</v>
      </c>
      <c r="E144">
        <v>11</v>
      </c>
      <c r="F144" s="50"/>
      <c r="G144">
        <v>3.1</v>
      </c>
      <c r="H144">
        <v>1.4</v>
      </c>
      <c r="I144">
        <v>4.4000000000000004</v>
      </c>
      <c r="J144">
        <f t="shared" si="12"/>
        <v>824.69999999999982</v>
      </c>
      <c r="K144">
        <f t="shared" si="14"/>
        <v>131.1</v>
      </c>
      <c r="M144">
        <v>0.3</v>
      </c>
      <c r="N144">
        <v>0.4</v>
      </c>
      <c r="O144">
        <f t="shared" si="16"/>
        <v>-0.10000000000000003</v>
      </c>
      <c r="Q144">
        <v>89</v>
      </c>
      <c r="R144">
        <v>1</v>
      </c>
      <c r="S144">
        <f t="shared" si="17"/>
        <v>0.4</v>
      </c>
      <c r="T144">
        <f t="shared" si="18"/>
        <v>-0.10000000000000003</v>
      </c>
      <c r="U144">
        <f t="shared" si="13"/>
        <v>61.940737704918028</v>
      </c>
      <c r="W144">
        <v>363.1</v>
      </c>
      <c r="X144">
        <f t="shared" si="15"/>
        <v>8451.5</v>
      </c>
      <c r="Y144">
        <v>8.1455962038944758</v>
      </c>
    </row>
    <row r="145" spans="1:25" x14ac:dyDescent="0.35">
      <c r="A145">
        <v>2920</v>
      </c>
      <c r="B145">
        <v>23610</v>
      </c>
      <c r="C145" s="1">
        <v>42725</v>
      </c>
      <c r="F145" s="50"/>
      <c r="G145">
        <v>7.5</v>
      </c>
      <c r="H145">
        <v>4.3</v>
      </c>
      <c r="I145">
        <v>10.4</v>
      </c>
      <c r="J145">
        <f t="shared" si="12"/>
        <v>832.19999999999982</v>
      </c>
      <c r="K145">
        <f t="shared" si="14"/>
        <v>138.6</v>
      </c>
      <c r="M145">
        <v>8.1999999999999993</v>
      </c>
      <c r="N145">
        <v>0.4</v>
      </c>
      <c r="O145">
        <f t="shared" si="16"/>
        <v>7.7999999999999989</v>
      </c>
      <c r="Q145">
        <v>90</v>
      </c>
      <c r="R145">
        <v>1</v>
      </c>
      <c r="S145">
        <f t="shared" si="17"/>
        <v>0.4</v>
      </c>
      <c r="T145">
        <f t="shared" si="18"/>
        <v>7.7999999999999989</v>
      </c>
      <c r="U145">
        <f t="shared" si="13"/>
        <v>69.740737704918033</v>
      </c>
      <c r="W145">
        <v>64.5</v>
      </c>
      <c r="X145">
        <f t="shared" si="15"/>
        <v>8516</v>
      </c>
      <c r="Y145">
        <v>8.1452458195690891</v>
      </c>
    </row>
    <row r="146" spans="1:25" x14ac:dyDescent="0.35">
      <c r="A146">
        <v>2920</v>
      </c>
      <c r="B146">
        <v>23610</v>
      </c>
      <c r="C146" s="1">
        <v>42726</v>
      </c>
      <c r="F146" s="50"/>
      <c r="G146">
        <v>7.2</v>
      </c>
      <c r="H146">
        <v>5.7</v>
      </c>
      <c r="I146">
        <v>9.1</v>
      </c>
      <c r="J146">
        <f t="shared" si="12"/>
        <v>839.39999999999986</v>
      </c>
      <c r="K146">
        <f t="shared" si="14"/>
        <v>145.79999999999998</v>
      </c>
      <c r="M146">
        <v>0.2</v>
      </c>
      <c r="N146">
        <v>0.4</v>
      </c>
      <c r="O146">
        <f t="shared" si="16"/>
        <v>-0.2</v>
      </c>
      <c r="Q146">
        <v>91</v>
      </c>
      <c r="R146">
        <v>1</v>
      </c>
      <c r="S146">
        <f t="shared" si="17"/>
        <v>0.4</v>
      </c>
      <c r="T146">
        <f t="shared" si="18"/>
        <v>-0.2</v>
      </c>
      <c r="U146">
        <f t="shared" si="13"/>
        <v>69.54073770491803</v>
      </c>
      <c r="W146">
        <v>189.2</v>
      </c>
      <c r="X146">
        <f t="shared" si="15"/>
        <v>8705.2000000000007</v>
      </c>
      <c r="Y146">
        <v>8.1462968923268395</v>
      </c>
    </row>
    <row r="147" spans="1:25" x14ac:dyDescent="0.35">
      <c r="A147">
        <v>2920</v>
      </c>
      <c r="B147">
        <v>23610</v>
      </c>
      <c r="C147" s="1">
        <v>42727</v>
      </c>
      <c r="F147" s="50"/>
      <c r="G147">
        <v>6</v>
      </c>
      <c r="H147">
        <v>2.1</v>
      </c>
      <c r="I147">
        <v>11.6</v>
      </c>
      <c r="J147">
        <f t="shared" si="12"/>
        <v>845.39999999999986</v>
      </c>
      <c r="K147">
        <f t="shared" si="14"/>
        <v>151.79999999999998</v>
      </c>
      <c r="M147">
        <v>0.7</v>
      </c>
      <c r="N147">
        <v>0.5</v>
      </c>
      <c r="O147">
        <f t="shared" si="16"/>
        <v>0.19999999999999996</v>
      </c>
      <c r="Q147">
        <v>92</v>
      </c>
      <c r="R147">
        <v>1</v>
      </c>
      <c r="S147">
        <f t="shared" si="17"/>
        <v>0.5</v>
      </c>
      <c r="T147">
        <f t="shared" si="18"/>
        <v>0.19999999999999996</v>
      </c>
      <c r="U147">
        <f t="shared" si="13"/>
        <v>69.740737704918033</v>
      </c>
      <c r="W147">
        <v>187.9</v>
      </c>
      <c r="X147">
        <f t="shared" si="15"/>
        <v>8893.1</v>
      </c>
      <c r="Y147">
        <v>8.148748460028191</v>
      </c>
    </row>
    <row r="148" spans="1:25" x14ac:dyDescent="0.35">
      <c r="A148">
        <v>2920</v>
      </c>
      <c r="B148">
        <v>23610</v>
      </c>
      <c r="C148" s="1">
        <v>42728</v>
      </c>
      <c r="F148" s="50"/>
      <c r="G148">
        <v>8</v>
      </c>
      <c r="H148">
        <v>5.5</v>
      </c>
      <c r="I148">
        <v>10.5</v>
      </c>
      <c r="J148">
        <f t="shared" si="12"/>
        <v>853.39999999999986</v>
      </c>
      <c r="K148">
        <f t="shared" si="14"/>
        <v>159.79999999999998</v>
      </c>
      <c r="M148">
        <v>0.1</v>
      </c>
      <c r="N148">
        <v>0.4</v>
      </c>
      <c r="O148">
        <f t="shared" si="16"/>
        <v>-0.30000000000000004</v>
      </c>
      <c r="Q148">
        <v>93</v>
      </c>
      <c r="R148">
        <v>1</v>
      </c>
      <c r="S148">
        <f t="shared" si="17"/>
        <v>0.4</v>
      </c>
      <c r="T148">
        <f t="shared" si="18"/>
        <v>-0.30000000000000004</v>
      </c>
      <c r="U148">
        <f t="shared" si="13"/>
        <v>69.440737704918035</v>
      </c>
      <c r="W148">
        <v>215.6</v>
      </c>
      <c r="X148">
        <f t="shared" si="15"/>
        <v>9108.7000000000007</v>
      </c>
      <c r="Y148">
        <v>8.1525982808857957</v>
      </c>
    </row>
    <row r="149" spans="1:25" x14ac:dyDescent="0.35">
      <c r="A149">
        <v>2920</v>
      </c>
      <c r="B149">
        <v>23610</v>
      </c>
      <c r="C149" s="1">
        <v>42729</v>
      </c>
      <c r="F149" s="50"/>
      <c r="G149">
        <v>10.5</v>
      </c>
      <c r="H149">
        <v>6.8</v>
      </c>
      <c r="I149">
        <v>12.4</v>
      </c>
      <c r="J149">
        <f t="shared" si="12"/>
        <v>863.89999999999986</v>
      </c>
      <c r="K149">
        <f t="shared" si="14"/>
        <v>170.29999999999998</v>
      </c>
      <c r="M149">
        <v>0.6</v>
      </c>
      <c r="N149">
        <v>0.2</v>
      </c>
      <c r="O149">
        <f t="shared" si="16"/>
        <v>0.39999999999999997</v>
      </c>
      <c r="Q149">
        <v>94</v>
      </c>
      <c r="R149">
        <v>1</v>
      </c>
      <c r="S149">
        <f t="shared" si="17"/>
        <v>0.2</v>
      </c>
      <c r="T149">
        <f t="shared" si="18"/>
        <v>0.39999999999999997</v>
      </c>
      <c r="U149">
        <f t="shared" si="13"/>
        <v>69.840737704918041</v>
      </c>
      <c r="W149">
        <v>130.6</v>
      </c>
      <c r="X149">
        <f t="shared" si="15"/>
        <v>9239.3000000000011</v>
      </c>
      <c r="Y149">
        <v>8.1578428411328474</v>
      </c>
    </row>
    <row r="150" spans="1:25" x14ac:dyDescent="0.35">
      <c r="A150">
        <v>2920</v>
      </c>
      <c r="B150">
        <v>23610</v>
      </c>
      <c r="C150" s="1">
        <v>42730</v>
      </c>
      <c r="F150" s="50"/>
      <c r="G150">
        <v>8.8000000000000007</v>
      </c>
      <c r="H150">
        <v>7</v>
      </c>
      <c r="I150">
        <v>11.3</v>
      </c>
      <c r="J150">
        <f t="shared" si="12"/>
        <v>872.69999999999982</v>
      </c>
      <c r="K150">
        <f t="shared" si="14"/>
        <v>179.1</v>
      </c>
      <c r="M150">
        <v>0.3</v>
      </c>
      <c r="N150">
        <v>0.5</v>
      </c>
      <c r="O150">
        <f t="shared" si="16"/>
        <v>-0.2</v>
      </c>
      <c r="Q150">
        <v>95</v>
      </c>
      <c r="R150">
        <v>1</v>
      </c>
      <c r="S150">
        <f t="shared" si="17"/>
        <v>0.5</v>
      </c>
      <c r="T150">
        <f t="shared" si="18"/>
        <v>-0.2</v>
      </c>
      <c r="U150">
        <f t="shared" si="13"/>
        <v>69.640737704918038</v>
      </c>
      <c r="W150">
        <v>193.1</v>
      </c>
      <c r="X150">
        <f t="shared" si="15"/>
        <v>9432.4000000000015</v>
      </c>
      <c r="Y150">
        <v>8.1644773670071498</v>
      </c>
    </row>
    <row r="151" spans="1:25" x14ac:dyDescent="0.35">
      <c r="A151">
        <v>2920</v>
      </c>
      <c r="B151">
        <v>23610</v>
      </c>
      <c r="C151" s="1">
        <v>42731</v>
      </c>
      <c r="E151">
        <v>12</v>
      </c>
      <c r="F151" s="50"/>
      <c r="G151">
        <v>3</v>
      </c>
      <c r="H151">
        <v>-0.8</v>
      </c>
      <c r="I151">
        <v>6.5</v>
      </c>
      <c r="J151">
        <f t="shared" si="12"/>
        <v>875.69999999999982</v>
      </c>
      <c r="K151">
        <f t="shared" si="14"/>
        <v>182.1</v>
      </c>
      <c r="M151">
        <v>0</v>
      </c>
      <c r="N151">
        <v>0.6</v>
      </c>
      <c r="O151">
        <f t="shared" si="16"/>
        <v>-0.6</v>
      </c>
      <c r="Q151">
        <v>96</v>
      </c>
      <c r="R151">
        <v>1</v>
      </c>
      <c r="S151">
        <f t="shared" si="17"/>
        <v>0.6</v>
      </c>
      <c r="T151">
        <f t="shared" si="18"/>
        <v>-0.6</v>
      </c>
      <c r="U151">
        <f t="shared" si="13"/>
        <v>69.040737704918044</v>
      </c>
      <c r="W151">
        <v>618.5</v>
      </c>
      <c r="X151">
        <f t="shared" si="15"/>
        <v>10050.900000000001</v>
      </c>
      <c r="Y151">
        <v>8.1724958409633626</v>
      </c>
    </row>
    <row r="152" spans="1:25" x14ac:dyDescent="0.35">
      <c r="A152">
        <v>2920</v>
      </c>
      <c r="B152">
        <v>23610</v>
      </c>
      <c r="C152" s="1">
        <v>42732</v>
      </c>
      <c r="E152">
        <v>13</v>
      </c>
      <c r="F152" s="50"/>
      <c r="G152">
        <v>2.4</v>
      </c>
      <c r="H152">
        <v>1.2</v>
      </c>
      <c r="I152">
        <v>4.5999999999999996</v>
      </c>
      <c r="J152">
        <f t="shared" si="12"/>
        <v>878.0999999999998</v>
      </c>
      <c r="K152">
        <f t="shared" si="14"/>
        <v>184.5</v>
      </c>
      <c r="M152">
        <v>0</v>
      </c>
      <c r="N152">
        <v>0.6</v>
      </c>
      <c r="O152">
        <f t="shared" si="16"/>
        <v>-0.6</v>
      </c>
      <c r="Q152">
        <v>97</v>
      </c>
      <c r="R152">
        <v>1</v>
      </c>
      <c r="S152">
        <f t="shared" si="17"/>
        <v>0.6</v>
      </c>
      <c r="T152">
        <f t="shared" si="18"/>
        <v>-0.6</v>
      </c>
      <c r="U152">
        <f t="shared" si="13"/>
        <v>68.44073770491805</v>
      </c>
      <c r="W152">
        <v>523.79999999999995</v>
      </c>
      <c r="X152">
        <f t="shared" si="15"/>
        <v>10574.7</v>
      </c>
      <c r="Y152">
        <v>8.1818910219958845</v>
      </c>
    </row>
    <row r="153" spans="1:25" x14ac:dyDescent="0.35">
      <c r="A153">
        <v>2920</v>
      </c>
      <c r="B153">
        <v>23610</v>
      </c>
      <c r="C153" s="1">
        <v>42733</v>
      </c>
      <c r="E153">
        <v>14</v>
      </c>
      <c r="F153" s="50"/>
      <c r="G153">
        <v>0.9</v>
      </c>
      <c r="H153">
        <v>-2.2000000000000002</v>
      </c>
      <c r="I153">
        <v>5.2</v>
      </c>
      <c r="J153">
        <f t="shared" si="12"/>
        <v>878.99999999999977</v>
      </c>
      <c r="K153">
        <f t="shared" si="14"/>
        <v>185.4</v>
      </c>
      <c r="M153">
        <v>0</v>
      </c>
      <c r="N153">
        <v>0.7</v>
      </c>
      <c r="O153">
        <f t="shared" si="16"/>
        <v>-0.7</v>
      </c>
      <c r="Q153">
        <v>98</v>
      </c>
      <c r="R153">
        <v>1</v>
      </c>
      <c r="S153">
        <f t="shared" si="17"/>
        <v>0.7</v>
      </c>
      <c r="T153">
        <f t="shared" si="18"/>
        <v>-0.7</v>
      </c>
      <c r="U153">
        <f t="shared" si="13"/>
        <v>67.740737704918047</v>
      </c>
      <c r="W153">
        <v>649.5</v>
      </c>
      <c r="X153">
        <f t="shared" si="15"/>
        <v>11224.2</v>
      </c>
      <c r="Y153">
        <v>8.1926544699261221</v>
      </c>
    </row>
    <row r="154" spans="1:25" x14ac:dyDescent="0.35">
      <c r="A154">
        <v>2920</v>
      </c>
      <c r="B154">
        <v>23610</v>
      </c>
      <c r="C154" s="1">
        <v>42734</v>
      </c>
      <c r="E154">
        <v>15</v>
      </c>
      <c r="F154" s="50"/>
      <c r="G154">
        <v>-3.5</v>
      </c>
      <c r="H154">
        <v>-4.5999999999999996</v>
      </c>
      <c r="I154">
        <v>-2.9</v>
      </c>
      <c r="J154">
        <v>879</v>
      </c>
      <c r="K154">
        <v>185.4</v>
      </c>
      <c r="M154">
        <v>0</v>
      </c>
      <c r="N154">
        <v>0.3</v>
      </c>
      <c r="O154">
        <f t="shared" si="16"/>
        <v>-0.3</v>
      </c>
      <c r="Q154">
        <v>99</v>
      </c>
      <c r="R154">
        <v>1</v>
      </c>
      <c r="S154">
        <f t="shared" si="17"/>
        <v>0.3</v>
      </c>
      <c r="T154">
        <f t="shared" si="18"/>
        <v>-0.3</v>
      </c>
      <c r="U154">
        <f t="shared" si="13"/>
        <v>67.44073770491805</v>
      </c>
      <c r="W154">
        <v>302.10000000000002</v>
      </c>
      <c r="X154">
        <f t="shared" si="15"/>
        <v>11526.300000000001</v>
      </c>
      <c r="Y154">
        <v>8.2047765734811406</v>
      </c>
    </row>
    <row r="155" spans="1:25" x14ac:dyDescent="0.35">
      <c r="A155">
        <v>2920</v>
      </c>
      <c r="B155">
        <v>23610</v>
      </c>
      <c r="C155" s="1">
        <v>42735</v>
      </c>
      <c r="E155">
        <v>16</v>
      </c>
      <c r="F155" s="50"/>
      <c r="G155">
        <v>-4.3</v>
      </c>
      <c r="H155">
        <v>-5.0999999999999996</v>
      </c>
      <c r="I155">
        <v>-3.1</v>
      </c>
      <c r="J155">
        <v>879</v>
      </c>
      <c r="K155">
        <v>185.4</v>
      </c>
      <c r="M155">
        <v>0</v>
      </c>
      <c r="N155">
        <v>0.3</v>
      </c>
      <c r="O155">
        <f t="shared" si="16"/>
        <v>-0.3</v>
      </c>
      <c r="Q155">
        <v>100</v>
      </c>
      <c r="R155">
        <v>1</v>
      </c>
      <c r="S155">
        <f t="shared" si="17"/>
        <v>0.3</v>
      </c>
      <c r="T155">
        <f t="shared" si="18"/>
        <v>-0.3</v>
      </c>
      <c r="U155">
        <f t="shared" si="13"/>
        <v>67.140737704918052</v>
      </c>
      <c r="W155">
        <v>202.3</v>
      </c>
      <c r="X155">
        <f t="shared" si="15"/>
        <v>11728.6</v>
      </c>
      <c r="Y155">
        <v>8.2182465819659498</v>
      </c>
    </row>
    <row r="156" spans="1:25" x14ac:dyDescent="0.35">
      <c r="A156">
        <v>2920</v>
      </c>
      <c r="B156">
        <v>23610</v>
      </c>
      <c r="C156" s="1">
        <v>42736</v>
      </c>
      <c r="E156">
        <v>17</v>
      </c>
      <c r="F156" s="50"/>
      <c r="G156">
        <v>-0.4</v>
      </c>
      <c r="H156">
        <v>-3.9</v>
      </c>
      <c r="I156">
        <v>2.2999999999999998</v>
      </c>
      <c r="J156">
        <v>879</v>
      </c>
      <c r="K156">
        <v>185.4</v>
      </c>
      <c r="M156">
        <v>0</v>
      </c>
      <c r="N156">
        <v>0.1</v>
      </c>
      <c r="O156">
        <f t="shared" si="16"/>
        <v>-0.1</v>
      </c>
      <c r="Q156">
        <v>101</v>
      </c>
      <c r="R156">
        <v>1</v>
      </c>
      <c r="S156">
        <f t="shared" si="17"/>
        <v>0.1</v>
      </c>
      <c r="T156">
        <f t="shared" si="18"/>
        <v>-0.1</v>
      </c>
      <c r="U156">
        <f t="shared" si="13"/>
        <v>67.040737704918058</v>
      </c>
      <c r="W156">
        <v>63.7</v>
      </c>
      <c r="X156">
        <f t="shared" si="15"/>
        <v>11792.300000000001</v>
      </c>
      <c r="Y156">
        <v>8.2330526403095128</v>
      </c>
    </row>
    <row r="157" spans="1:25" x14ac:dyDescent="0.35">
      <c r="A157">
        <v>2920</v>
      </c>
      <c r="B157">
        <v>23610</v>
      </c>
      <c r="C157" s="1">
        <v>42737</v>
      </c>
      <c r="E157">
        <v>18</v>
      </c>
      <c r="F157" s="50"/>
      <c r="G157">
        <v>2.2000000000000002</v>
      </c>
      <c r="H157">
        <v>1.9</v>
      </c>
      <c r="I157">
        <v>3.8</v>
      </c>
      <c r="J157">
        <f t="shared" si="12"/>
        <v>881.2</v>
      </c>
      <c r="K157">
        <f t="shared" si="14"/>
        <v>187.6</v>
      </c>
      <c r="M157">
        <v>0</v>
      </c>
      <c r="N157">
        <v>0.3</v>
      </c>
      <c r="O157">
        <f t="shared" si="16"/>
        <v>-0.3</v>
      </c>
      <c r="Q157">
        <v>102</v>
      </c>
      <c r="R157">
        <v>1</v>
      </c>
      <c r="S157">
        <f t="shared" si="17"/>
        <v>0.3</v>
      </c>
      <c r="T157">
        <f t="shared" si="18"/>
        <v>-0.3</v>
      </c>
      <c r="U157">
        <f t="shared" si="13"/>
        <v>66.740737704918061</v>
      </c>
      <c r="W157">
        <v>167.7</v>
      </c>
      <c r="X157">
        <f t="shared" si="15"/>
        <v>11960.000000000002</v>
      </c>
      <c r="Y157">
        <v>8.2491818272448576</v>
      </c>
    </row>
    <row r="158" spans="1:25" x14ac:dyDescent="0.35">
      <c r="A158">
        <v>2920</v>
      </c>
      <c r="B158">
        <v>23610</v>
      </c>
      <c r="C158" s="1">
        <v>42738</v>
      </c>
      <c r="E158">
        <v>19</v>
      </c>
      <c r="F158" s="50"/>
      <c r="G158">
        <v>-1.4</v>
      </c>
      <c r="H158">
        <v>-2</v>
      </c>
      <c r="I158">
        <v>-0.6</v>
      </c>
      <c r="J158">
        <v>881.2</v>
      </c>
      <c r="K158">
        <v>187.6</v>
      </c>
      <c r="M158">
        <v>0</v>
      </c>
      <c r="N158">
        <v>0.3</v>
      </c>
      <c r="O158">
        <f t="shared" si="16"/>
        <v>-0.3</v>
      </c>
      <c r="Q158">
        <v>103</v>
      </c>
      <c r="R158">
        <v>1</v>
      </c>
      <c r="S158">
        <f t="shared" si="17"/>
        <v>0.3</v>
      </c>
      <c r="T158">
        <f t="shared" si="18"/>
        <v>-0.3</v>
      </c>
      <c r="U158">
        <f t="shared" si="13"/>
        <v>66.440737704918064</v>
      </c>
      <c r="W158">
        <v>286.60000000000002</v>
      </c>
      <c r="X158">
        <f t="shared" si="15"/>
        <v>12246.600000000002</v>
      </c>
      <c r="Y158">
        <v>8.2666201963669401</v>
      </c>
    </row>
    <row r="159" spans="1:25" x14ac:dyDescent="0.35">
      <c r="A159">
        <v>2920</v>
      </c>
      <c r="B159">
        <v>23610</v>
      </c>
      <c r="C159" s="1">
        <v>42739</v>
      </c>
      <c r="E159">
        <v>20</v>
      </c>
      <c r="F159" s="50"/>
      <c r="G159">
        <v>1.8</v>
      </c>
      <c r="H159">
        <v>-2.7</v>
      </c>
      <c r="I159">
        <v>4.7</v>
      </c>
      <c r="J159">
        <f t="shared" si="12"/>
        <v>883</v>
      </c>
      <c r="K159">
        <f t="shared" si="14"/>
        <v>189.4</v>
      </c>
      <c r="M159">
        <v>0</v>
      </c>
      <c r="N159">
        <v>0.1</v>
      </c>
      <c r="O159">
        <f t="shared" si="16"/>
        <v>-0.1</v>
      </c>
      <c r="Q159">
        <v>104</v>
      </c>
      <c r="R159">
        <v>1</v>
      </c>
      <c r="S159">
        <f t="shared" si="17"/>
        <v>0.1</v>
      </c>
      <c r="T159">
        <f t="shared" si="18"/>
        <v>-0.1</v>
      </c>
      <c r="U159">
        <f t="shared" si="13"/>
        <v>66.34073770491807</v>
      </c>
      <c r="W159">
        <v>87.4</v>
      </c>
      <c r="X159">
        <f t="shared" si="15"/>
        <v>12334.000000000002</v>
      </c>
      <c r="Y159">
        <v>8.2853528197978985</v>
      </c>
    </row>
    <row r="160" spans="1:25" x14ac:dyDescent="0.35">
      <c r="A160">
        <v>2920</v>
      </c>
      <c r="B160">
        <v>23610</v>
      </c>
      <c r="C160" s="1">
        <v>42740</v>
      </c>
      <c r="E160">
        <v>21</v>
      </c>
      <c r="F160" s="50"/>
      <c r="G160">
        <v>3</v>
      </c>
      <c r="H160">
        <v>2.1</v>
      </c>
      <c r="I160">
        <v>6.8</v>
      </c>
      <c r="J160">
        <f t="shared" si="12"/>
        <v>886</v>
      </c>
      <c r="K160">
        <f t="shared" si="14"/>
        <v>192.4</v>
      </c>
      <c r="M160">
        <v>0</v>
      </c>
      <c r="N160">
        <v>0.9</v>
      </c>
      <c r="O160">
        <f t="shared" si="16"/>
        <v>-0.9</v>
      </c>
      <c r="Q160">
        <v>105</v>
      </c>
      <c r="R160">
        <v>1</v>
      </c>
      <c r="S160">
        <f t="shared" si="17"/>
        <v>0.9</v>
      </c>
      <c r="T160">
        <f t="shared" si="18"/>
        <v>-0.9</v>
      </c>
      <c r="U160">
        <f t="shared" si="13"/>
        <v>65.440737704918064</v>
      </c>
      <c r="W160">
        <v>630.79999999999995</v>
      </c>
      <c r="X160">
        <f t="shared" si="15"/>
        <v>12964.800000000001</v>
      </c>
      <c r="Y160">
        <v>8.3053638341785643</v>
      </c>
    </row>
    <row r="161" spans="1:25" x14ac:dyDescent="0.35">
      <c r="A161">
        <v>2920</v>
      </c>
      <c r="B161">
        <v>23610</v>
      </c>
      <c r="C161" s="1">
        <v>42741</v>
      </c>
      <c r="E161">
        <v>22</v>
      </c>
      <c r="F161" s="50"/>
      <c r="G161">
        <v>-2</v>
      </c>
      <c r="H161">
        <v>-4.3</v>
      </c>
      <c r="I161">
        <v>0.1</v>
      </c>
      <c r="J161">
        <v>886</v>
      </c>
      <c r="K161">
        <v>192.4</v>
      </c>
      <c r="M161">
        <v>0</v>
      </c>
      <c r="N161">
        <v>0.4</v>
      </c>
      <c r="O161">
        <f t="shared" si="16"/>
        <v>-0.4</v>
      </c>
      <c r="Q161">
        <v>106</v>
      </c>
      <c r="R161">
        <v>1</v>
      </c>
      <c r="S161">
        <f t="shared" si="17"/>
        <v>0.4</v>
      </c>
      <c r="T161">
        <f t="shared" si="18"/>
        <v>-0.4</v>
      </c>
      <c r="U161">
        <f t="shared" si="13"/>
        <v>65.040737704918058</v>
      </c>
      <c r="W161">
        <v>317.8</v>
      </c>
      <c r="X161">
        <f t="shared" si="15"/>
        <v>13282.6</v>
      </c>
      <c r="Y161">
        <v>8.3266364886970745</v>
      </c>
    </row>
    <row r="162" spans="1:25" x14ac:dyDescent="0.35">
      <c r="A162">
        <v>2920</v>
      </c>
      <c r="B162">
        <v>23610</v>
      </c>
      <c r="C162" s="1">
        <v>42742</v>
      </c>
      <c r="E162">
        <v>23</v>
      </c>
      <c r="F162" s="50"/>
      <c r="G162">
        <v>1</v>
      </c>
      <c r="H162">
        <v>-2.7</v>
      </c>
      <c r="I162">
        <v>6.9</v>
      </c>
      <c r="J162">
        <f t="shared" si="12"/>
        <v>887</v>
      </c>
      <c r="K162">
        <f t="shared" si="14"/>
        <v>193.4</v>
      </c>
      <c r="M162">
        <v>0</v>
      </c>
      <c r="N162">
        <v>0.4</v>
      </c>
      <c r="O162">
        <f t="shared" si="16"/>
        <v>-0.4</v>
      </c>
      <c r="Q162">
        <v>107</v>
      </c>
      <c r="R162">
        <v>1</v>
      </c>
      <c r="S162">
        <f t="shared" si="17"/>
        <v>0.4</v>
      </c>
      <c r="T162">
        <f t="shared" si="18"/>
        <v>-0.4</v>
      </c>
      <c r="U162">
        <f t="shared" si="13"/>
        <v>64.640737704918052</v>
      </c>
      <c r="W162">
        <v>103.3</v>
      </c>
      <c r="X162">
        <f t="shared" si="15"/>
        <v>13385.9</v>
      </c>
      <c r="Y162">
        <v>8.349153194860655</v>
      </c>
    </row>
    <row r="163" spans="1:25" x14ac:dyDescent="0.35">
      <c r="A163">
        <v>2920</v>
      </c>
      <c r="B163">
        <v>23610</v>
      </c>
      <c r="C163" s="1">
        <v>42743</v>
      </c>
      <c r="F163" s="50"/>
      <c r="G163">
        <v>7.8</v>
      </c>
      <c r="H163">
        <v>3.8</v>
      </c>
      <c r="I163">
        <v>9.1999999999999993</v>
      </c>
      <c r="J163">
        <f t="shared" si="12"/>
        <v>894.8</v>
      </c>
      <c r="K163">
        <f t="shared" si="14"/>
        <v>201.20000000000002</v>
      </c>
      <c r="M163">
        <v>0.6</v>
      </c>
      <c r="N163">
        <v>0.2</v>
      </c>
      <c r="O163">
        <f t="shared" si="16"/>
        <v>0.39999999999999997</v>
      </c>
      <c r="Q163">
        <v>108</v>
      </c>
      <c r="R163">
        <v>1</v>
      </c>
      <c r="S163">
        <f t="shared" si="17"/>
        <v>0.2</v>
      </c>
      <c r="T163">
        <f t="shared" si="18"/>
        <v>0.39999999999999997</v>
      </c>
      <c r="U163">
        <f t="shared" si="13"/>
        <v>65.040737704918058</v>
      </c>
      <c r="W163">
        <v>126.8</v>
      </c>
      <c r="X163">
        <f t="shared" si="15"/>
        <v>13512.699999999999</v>
      </c>
      <c r="Y163">
        <v>8.3728955777145835</v>
      </c>
    </row>
    <row r="164" spans="1:25" x14ac:dyDescent="0.35">
      <c r="A164">
        <v>2920</v>
      </c>
      <c r="B164">
        <v>23610</v>
      </c>
      <c r="C164" s="1">
        <v>42744</v>
      </c>
      <c r="F164" s="50"/>
      <c r="G164">
        <v>7.5</v>
      </c>
      <c r="H164">
        <v>6</v>
      </c>
      <c r="I164">
        <v>9</v>
      </c>
      <c r="J164">
        <f t="shared" si="12"/>
        <v>902.3</v>
      </c>
      <c r="K164">
        <f t="shared" si="14"/>
        <v>208.70000000000002</v>
      </c>
      <c r="M164">
        <v>3</v>
      </c>
      <c r="N164">
        <v>0.3</v>
      </c>
      <c r="O164">
        <f t="shared" si="16"/>
        <v>2.7</v>
      </c>
      <c r="Q164">
        <v>109</v>
      </c>
      <c r="R164">
        <v>1</v>
      </c>
      <c r="S164">
        <f t="shared" si="17"/>
        <v>0.3</v>
      </c>
      <c r="T164">
        <f t="shared" si="18"/>
        <v>2.7</v>
      </c>
      <c r="U164">
        <f t="shared" si="13"/>
        <v>67.740737704918061</v>
      </c>
      <c r="W164">
        <v>86.3</v>
      </c>
      <c r="X164">
        <f t="shared" si="15"/>
        <v>13598.999999999998</v>
      </c>
      <c r="Y164">
        <v>8.3978445282131968</v>
      </c>
    </row>
    <row r="165" spans="1:25" x14ac:dyDescent="0.35">
      <c r="A165">
        <v>2920</v>
      </c>
      <c r="B165">
        <v>23610</v>
      </c>
      <c r="C165" s="1">
        <v>42745</v>
      </c>
      <c r="F165" s="50"/>
      <c r="G165">
        <v>7.5</v>
      </c>
      <c r="H165">
        <v>6.3</v>
      </c>
      <c r="I165">
        <v>8.8000000000000007</v>
      </c>
      <c r="J165">
        <f t="shared" si="12"/>
        <v>909.8</v>
      </c>
      <c r="K165">
        <f t="shared" si="14"/>
        <v>216.20000000000002</v>
      </c>
      <c r="M165">
        <v>1.4</v>
      </c>
      <c r="N165">
        <v>0.3</v>
      </c>
      <c r="O165">
        <f t="shared" si="16"/>
        <v>1.0999999999999999</v>
      </c>
      <c r="Q165">
        <v>110</v>
      </c>
      <c r="R165">
        <v>1</v>
      </c>
      <c r="S165">
        <f t="shared" si="17"/>
        <v>0.3</v>
      </c>
      <c r="T165">
        <f t="shared" si="18"/>
        <v>1.0999999999999999</v>
      </c>
      <c r="U165">
        <f t="shared" si="13"/>
        <v>68.840737704918055</v>
      </c>
      <c r="W165">
        <v>165.1</v>
      </c>
      <c r="X165">
        <f t="shared" si="15"/>
        <v>13764.099999999999</v>
      </c>
      <c r="Y165">
        <v>8.423980256451312</v>
      </c>
    </row>
    <row r="166" spans="1:25" x14ac:dyDescent="0.35">
      <c r="A166">
        <v>2920</v>
      </c>
      <c r="B166">
        <v>23610</v>
      </c>
      <c r="C166" s="1">
        <v>42746</v>
      </c>
      <c r="F166" s="50"/>
      <c r="G166">
        <v>9.1</v>
      </c>
      <c r="H166">
        <v>7.6</v>
      </c>
      <c r="I166">
        <v>11.1</v>
      </c>
      <c r="J166">
        <f t="shared" si="12"/>
        <v>918.9</v>
      </c>
      <c r="K166">
        <f t="shared" si="14"/>
        <v>225.3</v>
      </c>
      <c r="M166">
        <v>0.6</v>
      </c>
      <c r="N166">
        <v>0.6</v>
      </c>
      <c r="O166">
        <f t="shared" si="16"/>
        <v>0</v>
      </c>
      <c r="Q166">
        <v>111</v>
      </c>
      <c r="R166">
        <v>1</v>
      </c>
      <c r="S166">
        <f t="shared" si="17"/>
        <v>0.6</v>
      </c>
      <c r="T166">
        <f t="shared" si="18"/>
        <v>0</v>
      </c>
      <c r="U166">
        <f t="shared" si="13"/>
        <v>68.840737704918055</v>
      </c>
      <c r="W166">
        <v>112.2</v>
      </c>
      <c r="X166">
        <f t="shared" si="15"/>
        <v>13876.3</v>
      </c>
      <c r="Y166">
        <v>8.451282345470295</v>
      </c>
    </row>
    <row r="167" spans="1:25" x14ac:dyDescent="0.35">
      <c r="A167">
        <v>2920</v>
      </c>
      <c r="B167">
        <v>23610</v>
      </c>
      <c r="C167" s="1">
        <v>42747</v>
      </c>
      <c r="F167" s="50"/>
      <c r="G167">
        <v>6.5</v>
      </c>
      <c r="H167">
        <v>5.9</v>
      </c>
      <c r="I167">
        <v>7.9</v>
      </c>
      <c r="J167">
        <f t="shared" si="12"/>
        <v>925.4</v>
      </c>
      <c r="K167">
        <f t="shared" si="14"/>
        <v>231.8</v>
      </c>
      <c r="M167">
        <v>10.4</v>
      </c>
      <c r="N167">
        <v>0.6</v>
      </c>
      <c r="O167">
        <f t="shared" si="16"/>
        <v>9.8000000000000007</v>
      </c>
      <c r="Q167">
        <v>112</v>
      </c>
      <c r="R167">
        <v>1</v>
      </c>
      <c r="S167">
        <f t="shared" si="17"/>
        <v>0.6</v>
      </c>
      <c r="T167">
        <f t="shared" si="18"/>
        <v>9.8000000000000007</v>
      </c>
      <c r="U167">
        <f t="shared" si="13"/>
        <v>78.640737704918052</v>
      </c>
      <c r="W167">
        <v>101.4</v>
      </c>
      <c r="X167">
        <f t="shared" si="15"/>
        <v>13977.699999999999</v>
      </c>
      <c r="Y167">
        <v>8.4797298053613801</v>
      </c>
    </row>
    <row r="168" spans="1:25" x14ac:dyDescent="0.35">
      <c r="A168">
        <v>2920</v>
      </c>
      <c r="B168">
        <v>23610</v>
      </c>
      <c r="C168" s="1">
        <v>42748</v>
      </c>
      <c r="E168">
        <v>24</v>
      </c>
      <c r="F168" s="50"/>
      <c r="G168">
        <v>3.7</v>
      </c>
      <c r="H168">
        <v>2.5</v>
      </c>
      <c r="I168">
        <v>6.3</v>
      </c>
      <c r="J168">
        <f t="shared" si="12"/>
        <v>929.1</v>
      </c>
      <c r="K168">
        <f t="shared" si="14"/>
        <v>235.5</v>
      </c>
      <c r="M168">
        <v>1.6</v>
      </c>
      <c r="N168">
        <v>1.1000000000000001</v>
      </c>
      <c r="O168">
        <f t="shared" si="16"/>
        <v>0.5</v>
      </c>
      <c r="Q168">
        <v>113</v>
      </c>
      <c r="R168">
        <v>1</v>
      </c>
      <c r="S168">
        <f t="shared" si="17"/>
        <v>1.1000000000000001</v>
      </c>
      <c r="T168">
        <f t="shared" si="18"/>
        <v>0.5</v>
      </c>
      <c r="U168">
        <f t="shared" si="13"/>
        <v>79.140737704918052</v>
      </c>
      <c r="W168">
        <v>332.3</v>
      </c>
      <c r="X168">
        <f t="shared" si="15"/>
        <v>14309.999999999998</v>
      </c>
      <c r="Y168">
        <v>8.5093011273989667</v>
      </c>
    </row>
    <row r="169" spans="1:25" x14ac:dyDescent="0.35">
      <c r="A169">
        <v>2920</v>
      </c>
      <c r="B169">
        <v>23610</v>
      </c>
      <c r="C169" s="1">
        <v>42749</v>
      </c>
      <c r="E169">
        <v>25</v>
      </c>
      <c r="F169" s="50"/>
      <c r="G169">
        <v>4.3</v>
      </c>
      <c r="H169">
        <v>1.3</v>
      </c>
      <c r="I169">
        <v>6.2</v>
      </c>
      <c r="J169">
        <f t="shared" si="12"/>
        <v>933.4</v>
      </c>
      <c r="K169">
        <f t="shared" si="14"/>
        <v>239.8</v>
      </c>
      <c r="M169">
        <v>3.4</v>
      </c>
      <c r="N169">
        <v>0.3</v>
      </c>
      <c r="O169">
        <f t="shared" si="16"/>
        <v>3.1</v>
      </c>
      <c r="Q169">
        <v>114</v>
      </c>
      <c r="R169">
        <v>1</v>
      </c>
      <c r="S169">
        <f t="shared" si="17"/>
        <v>0.3</v>
      </c>
      <c r="T169">
        <f t="shared" si="18"/>
        <v>3.1</v>
      </c>
      <c r="U169">
        <f t="shared" si="13"/>
        <v>82.240737704918047</v>
      </c>
      <c r="W169">
        <v>141.9</v>
      </c>
      <c r="X169">
        <f t="shared" si="15"/>
        <v>14451.899999999998</v>
      </c>
      <c r="Y169">
        <v>8.5399743379487294</v>
      </c>
    </row>
    <row r="170" spans="1:25" x14ac:dyDescent="0.35">
      <c r="A170">
        <v>2920</v>
      </c>
      <c r="B170">
        <v>23610</v>
      </c>
      <c r="C170" s="1">
        <v>42750</v>
      </c>
      <c r="F170" s="50"/>
      <c r="G170">
        <v>7</v>
      </c>
      <c r="H170">
        <v>4.4000000000000004</v>
      </c>
      <c r="I170">
        <v>8.9</v>
      </c>
      <c r="J170">
        <f t="shared" si="12"/>
        <v>940.4</v>
      </c>
      <c r="K170">
        <f t="shared" si="14"/>
        <v>246.8</v>
      </c>
      <c r="M170">
        <v>7.3</v>
      </c>
      <c r="N170">
        <v>0.2</v>
      </c>
      <c r="O170">
        <f t="shared" si="16"/>
        <v>7.1</v>
      </c>
      <c r="Q170">
        <v>115</v>
      </c>
      <c r="R170">
        <v>1</v>
      </c>
      <c r="S170">
        <f t="shared" si="17"/>
        <v>0.2</v>
      </c>
      <c r="T170">
        <f t="shared" si="18"/>
        <v>7.1</v>
      </c>
      <c r="U170">
        <f t="shared" si="13"/>
        <v>89.340737704918041</v>
      </c>
      <c r="W170">
        <v>85.3</v>
      </c>
      <c r="X170">
        <f t="shared" si="15"/>
        <v>14537.199999999997</v>
      </c>
      <c r="Y170">
        <v>8.571727051909015</v>
      </c>
    </row>
    <row r="171" spans="1:25" x14ac:dyDescent="0.35">
      <c r="A171">
        <v>2920</v>
      </c>
      <c r="B171">
        <v>23610</v>
      </c>
      <c r="C171" s="1">
        <v>42751</v>
      </c>
      <c r="F171" s="50"/>
      <c r="G171">
        <v>7.7</v>
      </c>
      <c r="H171">
        <v>6.7</v>
      </c>
      <c r="I171">
        <v>9.3000000000000007</v>
      </c>
      <c r="J171">
        <f t="shared" si="12"/>
        <v>948.1</v>
      </c>
      <c r="K171">
        <f t="shared" si="14"/>
        <v>254.5</v>
      </c>
      <c r="M171">
        <v>3.6</v>
      </c>
      <c r="N171">
        <v>0.3</v>
      </c>
      <c r="O171">
        <f t="shared" si="16"/>
        <v>3.3000000000000003</v>
      </c>
      <c r="Q171">
        <v>116</v>
      </c>
      <c r="R171">
        <v>1</v>
      </c>
      <c r="S171">
        <f t="shared" si="17"/>
        <v>0.3</v>
      </c>
      <c r="T171">
        <f t="shared" si="18"/>
        <v>3.3000000000000003</v>
      </c>
      <c r="U171">
        <f t="shared" si="13"/>
        <v>92.640737704918038</v>
      </c>
      <c r="W171">
        <v>103</v>
      </c>
      <c r="X171">
        <f t="shared" si="15"/>
        <v>14640.199999999997</v>
      </c>
      <c r="Y171">
        <v>8.6045365254588315</v>
      </c>
    </row>
    <row r="172" spans="1:25" x14ac:dyDescent="0.35">
      <c r="A172">
        <v>2920</v>
      </c>
      <c r="B172">
        <v>23610</v>
      </c>
      <c r="C172" s="1">
        <v>42752</v>
      </c>
      <c r="E172">
        <v>26</v>
      </c>
      <c r="F172" s="50"/>
      <c r="G172">
        <v>1.1000000000000001</v>
      </c>
      <c r="H172">
        <v>-0.6</v>
      </c>
      <c r="I172">
        <v>3.2</v>
      </c>
      <c r="J172">
        <f t="shared" si="12"/>
        <v>949.2</v>
      </c>
      <c r="K172">
        <f t="shared" si="14"/>
        <v>255.6</v>
      </c>
      <c r="M172">
        <v>0</v>
      </c>
      <c r="N172">
        <v>0.6</v>
      </c>
      <c r="O172">
        <f t="shared" si="16"/>
        <v>-0.6</v>
      </c>
      <c r="Q172">
        <v>117</v>
      </c>
      <c r="R172">
        <v>1</v>
      </c>
      <c r="S172">
        <f t="shared" si="17"/>
        <v>0.6</v>
      </c>
      <c r="T172">
        <f t="shared" si="18"/>
        <v>-0.6</v>
      </c>
      <c r="U172">
        <f t="shared" si="13"/>
        <v>92.040737704918044</v>
      </c>
      <c r="W172">
        <v>795.8</v>
      </c>
      <c r="X172">
        <f t="shared" si="15"/>
        <v>15435.999999999996</v>
      </c>
      <c r="Y172">
        <v>8.6383797079016862</v>
      </c>
    </row>
    <row r="173" spans="1:25" x14ac:dyDescent="0.35">
      <c r="A173">
        <v>2920</v>
      </c>
      <c r="B173">
        <v>23610</v>
      </c>
      <c r="C173" s="1">
        <v>42753</v>
      </c>
      <c r="E173">
        <v>27</v>
      </c>
      <c r="F173" s="50"/>
      <c r="G173">
        <v>-0.6</v>
      </c>
      <c r="H173">
        <v>-4.0999999999999996</v>
      </c>
      <c r="I173">
        <v>2.8</v>
      </c>
      <c r="J173">
        <v>949.2</v>
      </c>
      <c r="K173">
        <v>255.6</v>
      </c>
      <c r="M173">
        <v>0</v>
      </c>
      <c r="N173">
        <v>1</v>
      </c>
      <c r="O173">
        <f t="shared" si="16"/>
        <v>-1</v>
      </c>
      <c r="Q173">
        <v>118</v>
      </c>
      <c r="R173">
        <v>1</v>
      </c>
      <c r="S173">
        <f t="shared" si="17"/>
        <v>1</v>
      </c>
      <c r="T173">
        <f t="shared" si="18"/>
        <v>-1</v>
      </c>
      <c r="U173">
        <f t="shared" si="13"/>
        <v>91.040737704918044</v>
      </c>
      <c r="W173">
        <v>837.6</v>
      </c>
      <c r="X173">
        <f t="shared" si="15"/>
        <v>16273.599999999997</v>
      </c>
      <c r="Y173">
        <v>8.6732332924112434</v>
      </c>
    </row>
    <row r="174" spans="1:25" x14ac:dyDescent="0.35">
      <c r="A174">
        <v>2920</v>
      </c>
      <c r="B174">
        <v>23610</v>
      </c>
      <c r="C174" s="1">
        <v>42754</v>
      </c>
      <c r="E174">
        <v>28</v>
      </c>
      <c r="F174" s="50"/>
      <c r="G174">
        <v>-2</v>
      </c>
      <c r="H174">
        <v>-3.8</v>
      </c>
      <c r="I174">
        <v>0.6</v>
      </c>
      <c r="J174">
        <v>949.2</v>
      </c>
      <c r="K174">
        <v>255.6</v>
      </c>
      <c r="M174">
        <v>0</v>
      </c>
      <c r="N174">
        <v>0.8</v>
      </c>
      <c r="O174">
        <f t="shared" si="16"/>
        <v>-0.8</v>
      </c>
      <c r="Q174">
        <v>119</v>
      </c>
      <c r="R174">
        <v>1</v>
      </c>
      <c r="S174">
        <f t="shared" si="17"/>
        <v>0.8</v>
      </c>
      <c r="T174">
        <f t="shared" si="18"/>
        <v>-0.8</v>
      </c>
      <c r="U174">
        <f t="shared" si="13"/>
        <v>90.240737704918047</v>
      </c>
      <c r="W174">
        <v>851.8</v>
      </c>
      <c r="X174">
        <f t="shared" si="15"/>
        <v>17125.399999999998</v>
      </c>
      <c r="Y174">
        <v>8.7090737655019961</v>
      </c>
    </row>
    <row r="175" spans="1:25" x14ac:dyDescent="0.35">
      <c r="A175">
        <v>2920</v>
      </c>
      <c r="B175">
        <v>23610</v>
      </c>
      <c r="C175" s="1">
        <v>42755</v>
      </c>
      <c r="E175">
        <v>29</v>
      </c>
      <c r="F175" s="50"/>
      <c r="G175">
        <v>-2.8</v>
      </c>
      <c r="H175">
        <v>-5.3</v>
      </c>
      <c r="I175">
        <v>0.1</v>
      </c>
      <c r="J175">
        <v>949.2</v>
      </c>
      <c r="K175">
        <v>255.6</v>
      </c>
      <c r="M175">
        <v>0</v>
      </c>
      <c r="N175">
        <v>0.6</v>
      </c>
      <c r="O175">
        <f t="shared" si="16"/>
        <v>-0.6</v>
      </c>
      <c r="Q175">
        <v>120</v>
      </c>
      <c r="R175">
        <v>1</v>
      </c>
      <c r="S175">
        <f t="shared" si="17"/>
        <v>0.6</v>
      </c>
      <c r="T175">
        <f t="shared" si="18"/>
        <v>-0.6</v>
      </c>
      <c r="U175">
        <f t="shared" si="13"/>
        <v>89.640737704918052</v>
      </c>
      <c r="W175">
        <v>838.3</v>
      </c>
      <c r="X175">
        <f t="shared" si="15"/>
        <v>17963.699999999997</v>
      </c>
      <c r="Y175">
        <v>8.745877455065731</v>
      </c>
    </row>
    <row r="176" spans="1:25" x14ac:dyDescent="0.35">
      <c r="A176">
        <v>2920</v>
      </c>
      <c r="B176">
        <v>23610</v>
      </c>
      <c r="C176" s="1">
        <v>42756</v>
      </c>
      <c r="E176">
        <v>30</v>
      </c>
      <c r="F176" s="50"/>
      <c r="G176">
        <v>-2.4</v>
      </c>
      <c r="H176">
        <v>-6.5</v>
      </c>
      <c r="I176">
        <v>0.9</v>
      </c>
      <c r="J176">
        <v>949.2</v>
      </c>
      <c r="K176">
        <v>255.6</v>
      </c>
      <c r="M176">
        <v>0</v>
      </c>
      <c r="N176">
        <v>0.6</v>
      </c>
      <c r="O176">
        <f t="shared" si="16"/>
        <v>-0.6</v>
      </c>
      <c r="Q176">
        <v>121</v>
      </c>
      <c r="R176">
        <v>1</v>
      </c>
      <c r="S176">
        <f t="shared" si="17"/>
        <v>0.6</v>
      </c>
      <c r="T176">
        <f t="shared" si="18"/>
        <v>-0.6</v>
      </c>
      <c r="U176">
        <f t="shared" si="13"/>
        <v>89.040737704918058</v>
      </c>
      <c r="W176">
        <v>800.3</v>
      </c>
      <c r="X176">
        <f t="shared" si="15"/>
        <v>18763.999999999996</v>
      </c>
      <c r="Y176">
        <v>8.7836205768322237</v>
      </c>
    </row>
    <row r="177" spans="1:26" x14ac:dyDescent="0.35">
      <c r="A177">
        <v>2920</v>
      </c>
      <c r="B177">
        <v>23610</v>
      </c>
      <c r="C177" s="1">
        <v>42757</v>
      </c>
      <c r="E177">
        <v>31</v>
      </c>
      <c r="F177" s="50"/>
      <c r="G177">
        <v>0.2</v>
      </c>
      <c r="H177">
        <v>-4.8</v>
      </c>
      <c r="I177">
        <v>5.0999999999999996</v>
      </c>
      <c r="J177">
        <f t="shared" si="12"/>
        <v>949.40000000000009</v>
      </c>
      <c r="K177">
        <f t="shared" si="14"/>
        <v>255.79999999999998</v>
      </c>
      <c r="M177">
        <v>0</v>
      </c>
      <c r="N177">
        <v>0.9</v>
      </c>
      <c r="O177">
        <f t="shared" si="16"/>
        <v>-0.9</v>
      </c>
      <c r="Q177">
        <v>122</v>
      </c>
      <c r="R177">
        <v>1</v>
      </c>
      <c r="S177">
        <f t="shared" si="17"/>
        <v>0.9</v>
      </c>
      <c r="T177">
        <f t="shared" si="18"/>
        <v>-0.9</v>
      </c>
      <c r="U177">
        <f t="shared" si="13"/>
        <v>88.140737704918052</v>
      </c>
      <c r="W177">
        <v>840.1</v>
      </c>
      <c r="X177">
        <f t="shared" si="15"/>
        <v>19604.099999999995</v>
      </c>
      <c r="Y177">
        <v>8.8222792791301696</v>
      </c>
    </row>
    <row r="178" spans="1:26" x14ac:dyDescent="0.35">
      <c r="A178">
        <v>2920</v>
      </c>
      <c r="B178">
        <v>23610</v>
      </c>
      <c r="C178" s="1">
        <v>42758</v>
      </c>
      <c r="E178">
        <v>32</v>
      </c>
      <c r="F178" s="50"/>
      <c r="G178">
        <v>1.2</v>
      </c>
      <c r="H178">
        <v>-3.9</v>
      </c>
      <c r="I178">
        <v>7</v>
      </c>
      <c r="J178">
        <f t="shared" si="12"/>
        <v>950.60000000000014</v>
      </c>
      <c r="K178">
        <f t="shared" si="14"/>
        <v>257</v>
      </c>
      <c r="M178">
        <v>0</v>
      </c>
      <c r="N178">
        <v>1</v>
      </c>
      <c r="O178">
        <f t="shared" si="16"/>
        <v>-1</v>
      </c>
      <c r="Q178">
        <v>123</v>
      </c>
      <c r="R178">
        <v>1</v>
      </c>
      <c r="S178">
        <f t="shared" si="17"/>
        <v>1</v>
      </c>
      <c r="T178">
        <f t="shared" si="18"/>
        <v>-1</v>
      </c>
      <c r="U178">
        <f t="shared" si="13"/>
        <v>87.140737704918052</v>
      </c>
      <c r="W178">
        <v>880.3</v>
      </c>
      <c r="X178">
        <f t="shared" si="15"/>
        <v>20484.399999999994</v>
      </c>
      <c r="Y178">
        <v>8.8618296858416272</v>
      </c>
    </row>
    <row r="179" spans="1:26" x14ac:dyDescent="0.35">
      <c r="A179">
        <v>2920</v>
      </c>
      <c r="B179">
        <v>23610</v>
      </c>
      <c r="C179" s="1">
        <v>42759</v>
      </c>
      <c r="E179">
        <v>33</v>
      </c>
      <c r="F179" s="50"/>
      <c r="G179">
        <v>0.2</v>
      </c>
      <c r="H179">
        <v>-4.7</v>
      </c>
      <c r="I179">
        <v>5.2</v>
      </c>
      <c r="J179">
        <f t="shared" si="12"/>
        <v>950.80000000000018</v>
      </c>
      <c r="K179">
        <f t="shared" si="14"/>
        <v>257.2</v>
      </c>
      <c r="M179">
        <v>0</v>
      </c>
      <c r="N179">
        <v>0.8</v>
      </c>
      <c r="O179">
        <f t="shared" si="16"/>
        <v>-0.8</v>
      </c>
      <c r="Q179">
        <v>124</v>
      </c>
      <c r="R179">
        <v>1</v>
      </c>
      <c r="S179">
        <f t="shared" si="17"/>
        <v>0.8</v>
      </c>
      <c r="T179">
        <f t="shared" si="18"/>
        <v>-0.8</v>
      </c>
      <c r="U179">
        <f t="shared" si="13"/>
        <v>86.340737704918055</v>
      </c>
      <c r="W179">
        <v>786.6</v>
      </c>
      <c r="X179">
        <f t="shared" si="15"/>
        <v>21270.999999999993</v>
      </c>
      <c r="Y179">
        <v>8.9022479374601531</v>
      </c>
    </row>
    <row r="180" spans="1:26" x14ac:dyDescent="0.35">
      <c r="A180">
        <v>2920</v>
      </c>
      <c r="B180">
        <v>23610</v>
      </c>
      <c r="C180" s="1">
        <v>42760</v>
      </c>
      <c r="E180">
        <v>34</v>
      </c>
      <c r="F180" s="50"/>
      <c r="G180">
        <v>-1.7</v>
      </c>
      <c r="H180">
        <v>-4.7</v>
      </c>
      <c r="I180">
        <v>0.8</v>
      </c>
      <c r="J180">
        <v>950.8</v>
      </c>
      <c r="K180">
        <v>257.2</v>
      </c>
      <c r="M180">
        <v>0</v>
      </c>
      <c r="N180">
        <v>0.4</v>
      </c>
      <c r="O180">
        <f t="shared" si="16"/>
        <v>-0.4</v>
      </c>
      <c r="Q180">
        <v>125</v>
      </c>
      <c r="R180">
        <v>1</v>
      </c>
      <c r="S180">
        <f t="shared" si="17"/>
        <v>0.4</v>
      </c>
      <c r="T180">
        <f t="shared" si="18"/>
        <v>-0.4</v>
      </c>
      <c r="U180">
        <f t="shared" si="13"/>
        <v>85.94073770491805</v>
      </c>
      <c r="W180">
        <v>262.5</v>
      </c>
      <c r="X180">
        <f t="shared" si="15"/>
        <v>21533.499999999993</v>
      </c>
      <c r="Y180">
        <v>8.9435102301791058</v>
      </c>
    </row>
    <row r="181" spans="1:26" x14ac:dyDescent="0.35">
      <c r="A181">
        <v>2920</v>
      </c>
      <c r="B181">
        <v>23610</v>
      </c>
      <c r="C181" s="1">
        <v>42761</v>
      </c>
      <c r="D181" t="s">
        <v>60</v>
      </c>
      <c r="E181">
        <v>35</v>
      </c>
      <c r="F181" s="50"/>
      <c r="G181">
        <v>-0.6</v>
      </c>
      <c r="H181">
        <v>-3.9</v>
      </c>
      <c r="I181">
        <v>2.1</v>
      </c>
      <c r="J181">
        <v>950.8</v>
      </c>
      <c r="K181">
        <v>257.2</v>
      </c>
      <c r="M181">
        <v>0.1</v>
      </c>
      <c r="N181">
        <v>0.9</v>
      </c>
      <c r="O181">
        <f t="shared" si="16"/>
        <v>-0.8</v>
      </c>
      <c r="Q181">
        <v>126</v>
      </c>
      <c r="R181">
        <v>1</v>
      </c>
      <c r="S181">
        <f t="shared" si="17"/>
        <v>0.9</v>
      </c>
      <c r="T181">
        <f t="shared" si="18"/>
        <v>-0.8</v>
      </c>
      <c r="U181">
        <f t="shared" si="13"/>
        <v>85.140737704918052</v>
      </c>
      <c r="W181">
        <v>825</v>
      </c>
      <c r="X181">
        <f t="shared" si="15"/>
        <v>22358.499999999993</v>
      </c>
      <c r="Y181">
        <v>8.9855928529521272</v>
      </c>
    </row>
    <row r="182" spans="1:26" s="4" customFormat="1" ht="15" thickBot="1" x14ac:dyDescent="0.4">
      <c r="A182" s="4">
        <v>2920</v>
      </c>
      <c r="B182" s="4">
        <v>23610</v>
      </c>
      <c r="C182" s="5">
        <v>42762</v>
      </c>
      <c r="D182" s="4" t="s">
        <v>35</v>
      </c>
      <c r="F182" s="51"/>
      <c r="G182" s="4">
        <v>4.5</v>
      </c>
      <c r="H182" s="4">
        <v>0</v>
      </c>
      <c r="I182" s="4">
        <v>7</v>
      </c>
      <c r="J182" s="4">
        <f t="shared" si="12"/>
        <v>955.3</v>
      </c>
      <c r="K182" s="4">
        <f t="shared" si="14"/>
        <v>261.7</v>
      </c>
      <c r="M182" s="4">
        <v>1.3</v>
      </c>
      <c r="N182" s="4">
        <v>0.5</v>
      </c>
      <c r="O182" s="4">
        <f t="shared" si="16"/>
        <v>0.8</v>
      </c>
      <c r="Q182" s="4">
        <v>127</v>
      </c>
      <c r="R182" s="4">
        <v>1</v>
      </c>
      <c r="S182" s="4">
        <f t="shared" si="17"/>
        <v>0.5</v>
      </c>
      <c r="T182" s="4">
        <f t="shared" si="18"/>
        <v>0.8</v>
      </c>
      <c r="U182" s="4">
        <f t="shared" si="13"/>
        <v>85.94073770491805</v>
      </c>
      <c r="W182" s="4">
        <v>158</v>
      </c>
      <c r="X182" s="4">
        <f t="shared" si="15"/>
        <v>22516.499999999993</v>
      </c>
      <c r="Y182" s="4">
        <v>9.0284722224827778</v>
      </c>
    </row>
    <row r="183" spans="1:26" x14ac:dyDescent="0.35">
      <c r="A183">
        <v>2920</v>
      </c>
      <c r="B183">
        <v>23610</v>
      </c>
      <c r="C183" s="1">
        <v>42763</v>
      </c>
      <c r="F183" s="30" t="s">
        <v>54</v>
      </c>
      <c r="G183">
        <v>5.9</v>
      </c>
      <c r="H183">
        <v>3.6</v>
      </c>
      <c r="I183">
        <v>10.1</v>
      </c>
      <c r="J183">
        <f t="shared" si="12"/>
        <v>961.19999999999993</v>
      </c>
      <c r="K183">
        <f>G183</f>
        <v>5.9</v>
      </c>
      <c r="L183" s="11" t="s">
        <v>36</v>
      </c>
      <c r="M183">
        <v>0.8</v>
      </c>
      <c r="N183">
        <v>1.1000000000000001</v>
      </c>
      <c r="O183">
        <f t="shared" si="16"/>
        <v>-0.30000000000000004</v>
      </c>
      <c r="Q183">
        <v>128</v>
      </c>
      <c r="R183">
        <f>1+((Q183-127)/60)*(1.15-1)</f>
        <v>1.0024999999999999</v>
      </c>
      <c r="S183">
        <f t="shared" si="17"/>
        <v>1.1027500000000001</v>
      </c>
      <c r="T183">
        <f t="shared" si="18"/>
        <v>-0.30275000000000007</v>
      </c>
      <c r="U183">
        <f t="shared" si="13"/>
        <v>85.637987704918046</v>
      </c>
      <c r="V183" s="22" t="s">
        <v>43</v>
      </c>
      <c r="W183">
        <v>671</v>
      </c>
      <c r="X183">
        <f>W183</f>
        <v>671</v>
      </c>
      <c r="Y183">
        <v>9.0721249161141788</v>
      </c>
      <c r="Z183" s="22" t="s">
        <v>48</v>
      </c>
    </row>
    <row r="184" spans="1:26" x14ac:dyDescent="0.35">
      <c r="A184">
        <v>2920</v>
      </c>
      <c r="B184">
        <v>23610</v>
      </c>
      <c r="C184" s="1">
        <v>42764</v>
      </c>
      <c r="F184" s="31"/>
      <c r="G184">
        <v>6.9</v>
      </c>
      <c r="H184">
        <v>2.5</v>
      </c>
      <c r="I184">
        <v>10.3</v>
      </c>
      <c r="J184">
        <f t="shared" si="12"/>
        <v>968.09999999999991</v>
      </c>
      <c r="K184">
        <f t="shared" si="14"/>
        <v>12.8</v>
      </c>
      <c r="L184" s="8">
        <v>501.7</v>
      </c>
      <c r="M184">
        <v>1.3</v>
      </c>
      <c r="N184">
        <v>0.2</v>
      </c>
      <c r="O184">
        <f t="shared" si="16"/>
        <v>1.1000000000000001</v>
      </c>
      <c r="Q184">
        <v>129</v>
      </c>
      <c r="R184">
        <f t="shared" ref="R184:R242" si="19">1+((Q184-127)/60)*(1.15-1)</f>
        <v>1.0049999999999999</v>
      </c>
      <c r="S184">
        <f t="shared" si="17"/>
        <v>0.20099999999999998</v>
      </c>
      <c r="T184">
        <f t="shared" si="18"/>
        <v>1.099</v>
      </c>
      <c r="U184">
        <f t="shared" si="13"/>
        <v>86.73698770491805</v>
      </c>
      <c r="V184">
        <v>0</v>
      </c>
      <c r="W184">
        <v>226.5</v>
      </c>
      <c r="X184">
        <f t="shared" si="15"/>
        <v>897.5</v>
      </c>
      <c r="Y184">
        <v>9.1165277026025908</v>
      </c>
      <c r="Z184">
        <v>34762</v>
      </c>
    </row>
    <row r="185" spans="1:26" x14ac:dyDescent="0.35">
      <c r="A185">
        <v>2920</v>
      </c>
      <c r="B185">
        <v>23610</v>
      </c>
      <c r="C185" s="1">
        <v>42765</v>
      </c>
      <c r="F185" s="31"/>
      <c r="G185">
        <v>11</v>
      </c>
      <c r="H185">
        <v>9</v>
      </c>
      <c r="I185">
        <v>11.6</v>
      </c>
      <c r="J185">
        <f t="shared" si="12"/>
        <v>979.09999999999991</v>
      </c>
      <c r="K185">
        <f t="shared" si="14"/>
        <v>23.8</v>
      </c>
      <c r="L185" s="11" t="s">
        <v>37</v>
      </c>
      <c r="M185">
        <v>5.9</v>
      </c>
      <c r="N185">
        <v>0.1</v>
      </c>
      <c r="O185">
        <f t="shared" si="16"/>
        <v>5.8000000000000007</v>
      </c>
      <c r="Q185">
        <v>130</v>
      </c>
      <c r="R185">
        <f t="shared" si="19"/>
        <v>1.0075000000000001</v>
      </c>
      <c r="S185">
        <f t="shared" si="17"/>
        <v>0.10075000000000001</v>
      </c>
      <c r="T185">
        <f t="shared" si="18"/>
        <v>5.7992500000000007</v>
      </c>
      <c r="U185">
        <f t="shared" si="13"/>
        <v>92.536237704918051</v>
      </c>
      <c r="V185" s="22" t="s">
        <v>44</v>
      </c>
      <c r="W185">
        <v>145.6</v>
      </c>
      <c r="X185">
        <f t="shared" si="15"/>
        <v>1043.0999999999999</v>
      </c>
      <c r="Y185">
        <v>9.1616575707710179</v>
      </c>
      <c r="Z185" s="22" t="s">
        <v>49</v>
      </c>
    </row>
    <row r="186" spans="1:26" x14ac:dyDescent="0.35">
      <c r="A186">
        <v>2920</v>
      </c>
      <c r="B186">
        <v>23610</v>
      </c>
      <c r="C186" s="1">
        <v>42766</v>
      </c>
      <c r="F186" s="31"/>
      <c r="G186">
        <v>11.3</v>
      </c>
      <c r="H186">
        <v>11</v>
      </c>
      <c r="I186">
        <v>12.4</v>
      </c>
      <c r="J186">
        <f t="shared" ref="J186:J249" si="20">J185+G186</f>
        <v>990.39999999999986</v>
      </c>
      <c r="K186">
        <f t="shared" ref="K186:K249" si="21">K185+G186</f>
        <v>35.1</v>
      </c>
      <c r="L186" s="9">
        <f>AVERAGE(G183:G242)</f>
        <v>8.3616666666666681</v>
      </c>
      <c r="M186">
        <v>3.9</v>
      </c>
      <c r="N186">
        <v>0.3</v>
      </c>
      <c r="O186">
        <f t="shared" si="16"/>
        <v>3.6</v>
      </c>
      <c r="Q186">
        <v>131</v>
      </c>
      <c r="R186">
        <f t="shared" si="19"/>
        <v>1.01</v>
      </c>
      <c r="S186">
        <f t="shared" si="17"/>
        <v>0.30299999999999999</v>
      </c>
      <c r="T186">
        <f t="shared" si="18"/>
        <v>3.597</v>
      </c>
      <c r="U186">
        <f t="shared" ref="U186:U249" si="22">MIN(U185+T186,197.4)</f>
        <v>96.133237704918045</v>
      </c>
      <c r="V186">
        <v>0</v>
      </c>
      <c r="W186">
        <v>116.4</v>
      </c>
      <c r="X186">
        <f t="shared" ref="X186:X249" si="23">X185+W186</f>
        <v>1159.5</v>
      </c>
      <c r="Y186">
        <v>9.2074917560499596</v>
      </c>
      <c r="Z186">
        <f>(Z184/100)/L184</f>
        <v>0.69288419374127963</v>
      </c>
    </row>
    <row r="187" spans="1:26" x14ac:dyDescent="0.35">
      <c r="A187">
        <v>2920</v>
      </c>
      <c r="B187">
        <v>23610</v>
      </c>
      <c r="C187" s="1">
        <v>42767</v>
      </c>
      <c r="F187" s="31"/>
      <c r="G187">
        <v>10.5</v>
      </c>
      <c r="H187">
        <v>9.6999999999999993</v>
      </c>
      <c r="I187">
        <v>11.1</v>
      </c>
      <c r="J187">
        <f t="shared" si="20"/>
        <v>1000.8999999999999</v>
      </c>
      <c r="K187">
        <f t="shared" si="21"/>
        <v>45.6</v>
      </c>
      <c r="L187" s="11" t="s">
        <v>38</v>
      </c>
      <c r="M187">
        <v>2</v>
      </c>
      <c r="N187">
        <v>0.3</v>
      </c>
      <c r="O187">
        <f t="shared" si="16"/>
        <v>1.7</v>
      </c>
      <c r="Q187">
        <v>132</v>
      </c>
      <c r="R187">
        <f t="shared" si="19"/>
        <v>1.0125</v>
      </c>
      <c r="S187">
        <f t="shared" si="17"/>
        <v>0.30374999999999996</v>
      </c>
      <c r="T187">
        <f t="shared" si="18"/>
        <v>1.69625</v>
      </c>
      <c r="U187">
        <f t="shared" si="22"/>
        <v>97.829487704918051</v>
      </c>
      <c r="V187" s="22" t="s">
        <v>45</v>
      </c>
      <c r="W187">
        <v>189.6</v>
      </c>
      <c r="X187">
        <f t="shared" si="23"/>
        <v>1349.1</v>
      </c>
      <c r="Y187">
        <v>9.25400776492266</v>
      </c>
      <c r="Z187" s="22" t="s">
        <v>50</v>
      </c>
    </row>
    <row r="188" spans="1:26" x14ac:dyDescent="0.35">
      <c r="A188">
        <v>2920</v>
      </c>
      <c r="B188">
        <v>23610</v>
      </c>
      <c r="C188" s="1">
        <v>42768</v>
      </c>
      <c r="F188" s="31"/>
      <c r="G188">
        <v>10</v>
      </c>
      <c r="H188">
        <v>9.9</v>
      </c>
      <c r="I188">
        <v>11.7</v>
      </c>
      <c r="J188">
        <f t="shared" si="20"/>
        <v>1010.8999999999999</v>
      </c>
      <c r="K188">
        <f t="shared" si="21"/>
        <v>55.6</v>
      </c>
      <c r="L188" s="8">
        <f>MIN(H183:H242)</f>
        <v>-2</v>
      </c>
      <c r="M188">
        <v>4.8</v>
      </c>
      <c r="N188">
        <v>1</v>
      </c>
      <c r="O188">
        <f t="shared" si="16"/>
        <v>3.8</v>
      </c>
      <c r="Q188">
        <v>133</v>
      </c>
      <c r="R188">
        <f t="shared" si="19"/>
        <v>1.0149999999999999</v>
      </c>
      <c r="S188">
        <f t="shared" si="17"/>
        <v>1.0149999999999999</v>
      </c>
      <c r="T188">
        <f t="shared" si="18"/>
        <v>3.7850000000000001</v>
      </c>
      <c r="U188">
        <f t="shared" si="22"/>
        <v>101.61448770491805</v>
      </c>
      <c r="V188" s="17">
        <f>MIN(U183:U242)</f>
        <v>85.637987704918046</v>
      </c>
      <c r="W188">
        <v>134.69999999999999</v>
      </c>
      <c r="X188">
        <f t="shared" si="23"/>
        <v>1483.8</v>
      </c>
      <c r="Y188">
        <v>9.3011833973012479</v>
      </c>
      <c r="Z188">
        <v>48</v>
      </c>
    </row>
    <row r="189" spans="1:26" x14ac:dyDescent="0.35">
      <c r="A189">
        <v>2920</v>
      </c>
      <c r="B189">
        <v>23610</v>
      </c>
      <c r="C189" s="1">
        <v>42769</v>
      </c>
      <c r="F189" s="31"/>
      <c r="G189">
        <v>7.2</v>
      </c>
      <c r="H189">
        <v>6.4</v>
      </c>
      <c r="I189">
        <v>8.8000000000000007</v>
      </c>
      <c r="J189">
        <f t="shared" si="20"/>
        <v>1018.0999999999999</v>
      </c>
      <c r="K189">
        <f t="shared" si="21"/>
        <v>62.800000000000004</v>
      </c>
      <c r="L189" s="11" t="s">
        <v>39</v>
      </c>
      <c r="M189">
        <v>15</v>
      </c>
      <c r="N189">
        <v>0.7</v>
      </c>
      <c r="O189">
        <f t="shared" si="16"/>
        <v>14.3</v>
      </c>
      <c r="Q189">
        <v>134</v>
      </c>
      <c r="R189">
        <f t="shared" si="19"/>
        <v>1.0175000000000001</v>
      </c>
      <c r="S189">
        <f t="shared" si="17"/>
        <v>0.71225000000000005</v>
      </c>
      <c r="T189">
        <f t="shared" si="18"/>
        <v>14.287749999999999</v>
      </c>
      <c r="U189">
        <f t="shared" si="22"/>
        <v>115.90223770491805</v>
      </c>
      <c r="V189" s="22" t="s">
        <v>46</v>
      </c>
      <c r="W189">
        <v>241.3</v>
      </c>
      <c r="X189">
        <f t="shared" si="23"/>
        <v>1725.1</v>
      </c>
      <c r="Y189">
        <v>9.3489967668683942</v>
      </c>
    </row>
    <row r="190" spans="1:26" x14ac:dyDescent="0.35">
      <c r="A190">
        <v>2920</v>
      </c>
      <c r="B190">
        <v>23610</v>
      </c>
      <c r="C190" s="1">
        <v>42770</v>
      </c>
      <c r="F190" s="31"/>
      <c r="G190">
        <v>7.4</v>
      </c>
      <c r="H190">
        <v>6</v>
      </c>
      <c r="I190">
        <v>10</v>
      </c>
      <c r="J190">
        <f t="shared" si="20"/>
        <v>1025.5</v>
      </c>
      <c r="K190">
        <f t="shared" si="21"/>
        <v>70.2</v>
      </c>
      <c r="L190" s="8">
        <f>MAX(I183:I242)</f>
        <v>17.8</v>
      </c>
      <c r="M190">
        <v>10.8</v>
      </c>
      <c r="N190">
        <v>0.9</v>
      </c>
      <c r="O190">
        <f t="shared" si="16"/>
        <v>9.9</v>
      </c>
      <c r="Q190">
        <v>135</v>
      </c>
      <c r="R190">
        <f t="shared" si="19"/>
        <v>1.02</v>
      </c>
      <c r="S190">
        <f t="shared" si="17"/>
        <v>0.91800000000000004</v>
      </c>
      <c r="T190">
        <f t="shared" si="18"/>
        <v>9.8820000000000014</v>
      </c>
      <c r="U190">
        <f t="shared" si="22"/>
        <v>125.78423770491806</v>
      </c>
      <c r="V190" s="17">
        <f>MAX(U183:U242)</f>
        <v>155.46773770491808</v>
      </c>
      <c r="W190">
        <v>301.10000000000002</v>
      </c>
      <c r="X190">
        <f t="shared" si="23"/>
        <v>2026.1999999999998</v>
      </c>
      <c r="Y190">
        <v>9.3974263194262733</v>
      </c>
    </row>
    <row r="191" spans="1:26" x14ac:dyDescent="0.35">
      <c r="A191">
        <v>2920</v>
      </c>
      <c r="B191">
        <v>23610</v>
      </c>
      <c r="C191" s="1">
        <v>42771</v>
      </c>
      <c r="F191" s="31"/>
      <c r="G191">
        <v>6</v>
      </c>
      <c r="H191">
        <v>5.7</v>
      </c>
      <c r="I191">
        <v>7.2</v>
      </c>
      <c r="J191">
        <f t="shared" si="20"/>
        <v>1031.5</v>
      </c>
      <c r="K191">
        <f t="shared" si="21"/>
        <v>76.2</v>
      </c>
      <c r="L191" s="11" t="s">
        <v>40</v>
      </c>
      <c r="M191">
        <v>3.1</v>
      </c>
      <c r="N191">
        <v>0.6</v>
      </c>
      <c r="O191">
        <f t="shared" si="16"/>
        <v>2.5</v>
      </c>
      <c r="Q191">
        <v>136</v>
      </c>
      <c r="R191">
        <f t="shared" si="19"/>
        <v>1.0225</v>
      </c>
      <c r="S191">
        <f t="shared" si="17"/>
        <v>0.61349999999999993</v>
      </c>
      <c r="T191">
        <f t="shared" si="18"/>
        <v>2.4865000000000004</v>
      </c>
      <c r="U191">
        <f t="shared" si="22"/>
        <v>128.27073770491805</v>
      </c>
      <c r="V191" s="22" t="s">
        <v>47</v>
      </c>
      <c r="W191">
        <v>132.19999999999999</v>
      </c>
      <c r="X191">
        <f t="shared" si="23"/>
        <v>2158.3999999999996</v>
      </c>
      <c r="Y191">
        <v>9.4464508493008772</v>
      </c>
    </row>
    <row r="192" spans="1:26" x14ac:dyDescent="0.35">
      <c r="A192">
        <v>2920</v>
      </c>
      <c r="B192">
        <v>23610</v>
      </c>
      <c r="C192" s="1">
        <v>42772</v>
      </c>
      <c r="F192" s="31"/>
      <c r="G192">
        <v>5.0999999999999996</v>
      </c>
      <c r="H192">
        <v>1.6</v>
      </c>
      <c r="I192">
        <v>7.2</v>
      </c>
      <c r="J192">
        <f t="shared" si="20"/>
        <v>1036.5999999999999</v>
      </c>
      <c r="K192">
        <f t="shared" si="21"/>
        <v>81.3</v>
      </c>
      <c r="L192" s="8">
        <v>0</v>
      </c>
      <c r="M192">
        <v>4.5</v>
      </c>
      <c r="N192">
        <v>0.2</v>
      </c>
      <c r="O192">
        <f t="shared" si="16"/>
        <v>4.3</v>
      </c>
      <c r="Q192">
        <v>137</v>
      </c>
      <c r="R192">
        <f t="shared" si="19"/>
        <v>1.0249999999999999</v>
      </c>
      <c r="S192">
        <f t="shared" si="17"/>
        <v>0.20499999999999999</v>
      </c>
      <c r="T192">
        <f t="shared" si="18"/>
        <v>4.2949999999999999</v>
      </c>
      <c r="U192">
        <f t="shared" si="22"/>
        <v>132.56573770491804</v>
      </c>
      <c r="V192" s="17">
        <f>AVERAGE(U183:U242)</f>
        <v>134.48191270491807</v>
      </c>
      <c r="W192">
        <v>142.30000000000001</v>
      </c>
      <c r="X192">
        <f t="shared" si="23"/>
        <v>2300.6999999999998</v>
      </c>
      <c r="Y192">
        <v>9.4960495138551924</v>
      </c>
    </row>
    <row r="193" spans="1:25" x14ac:dyDescent="0.35">
      <c r="A193">
        <v>2920</v>
      </c>
      <c r="B193">
        <v>23610</v>
      </c>
      <c r="C193" s="1">
        <v>42773</v>
      </c>
      <c r="F193" s="31"/>
      <c r="G193">
        <v>7.2</v>
      </c>
      <c r="H193">
        <v>5.6</v>
      </c>
      <c r="I193">
        <v>11.4</v>
      </c>
      <c r="J193">
        <f t="shared" si="20"/>
        <v>1043.8</v>
      </c>
      <c r="K193">
        <f t="shared" si="21"/>
        <v>88.5</v>
      </c>
      <c r="L193" s="11" t="s">
        <v>41</v>
      </c>
      <c r="M193">
        <v>3.1</v>
      </c>
      <c r="N193">
        <v>1.2</v>
      </c>
      <c r="O193">
        <f t="shared" si="16"/>
        <v>1.9000000000000001</v>
      </c>
      <c r="Q193">
        <v>138</v>
      </c>
      <c r="R193">
        <f t="shared" si="19"/>
        <v>1.0275000000000001</v>
      </c>
      <c r="S193">
        <f t="shared" si="17"/>
        <v>1.2330000000000001</v>
      </c>
      <c r="T193">
        <f t="shared" si="18"/>
        <v>1.867</v>
      </c>
      <c r="U193">
        <f t="shared" si="22"/>
        <v>134.43273770491803</v>
      </c>
      <c r="W193">
        <v>762.5</v>
      </c>
      <c r="X193">
        <f t="shared" si="23"/>
        <v>3063.2</v>
      </c>
      <c r="Y193">
        <v>9.5462018461692093</v>
      </c>
    </row>
    <row r="194" spans="1:25" x14ac:dyDescent="0.35">
      <c r="A194">
        <v>2920</v>
      </c>
      <c r="B194">
        <v>23610</v>
      </c>
      <c r="C194" s="1">
        <v>42774</v>
      </c>
      <c r="F194" s="31"/>
      <c r="G194">
        <v>4.5</v>
      </c>
      <c r="H194">
        <v>2.6</v>
      </c>
      <c r="I194">
        <v>8.1999999999999993</v>
      </c>
      <c r="J194">
        <f t="shared" si="20"/>
        <v>1048.3</v>
      </c>
      <c r="K194">
        <f t="shared" si="21"/>
        <v>93</v>
      </c>
      <c r="L194" s="8">
        <v>18</v>
      </c>
      <c r="M194">
        <v>0.1</v>
      </c>
      <c r="N194">
        <v>0.7</v>
      </c>
      <c r="O194">
        <f t="shared" si="16"/>
        <v>-0.6</v>
      </c>
      <c r="Q194">
        <v>139</v>
      </c>
      <c r="R194">
        <f t="shared" si="19"/>
        <v>1.03</v>
      </c>
      <c r="S194">
        <f t="shared" si="17"/>
        <v>0.72099999999999997</v>
      </c>
      <c r="T194">
        <f t="shared" si="18"/>
        <v>-0.621</v>
      </c>
      <c r="U194">
        <f t="shared" si="22"/>
        <v>133.81173770491802</v>
      </c>
      <c r="V194" s="18">
        <f>(V192*100)/197.4</f>
        <v>68.126602180809556</v>
      </c>
      <c r="W194">
        <v>348.3</v>
      </c>
      <c r="X194">
        <f t="shared" si="23"/>
        <v>3411.5</v>
      </c>
      <c r="Y194">
        <v>9.596887765948523</v>
      </c>
    </row>
    <row r="195" spans="1:25" x14ac:dyDescent="0.35">
      <c r="A195">
        <v>2920</v>
      </c>
      <c r="B195">
        <v>23610</v>
      </c>
      <c r="C195" s="1">
        <v>42775</v>
      </c>
      <c r="F195" s="31"/>
      <c r="G195">
        <v>3.2</v>
      </c>
      <c r="H195">
        <v>-0.4</v>
      </c>
      <c r="I195">
        <v>6.4</v>
      </c>
      <c r="J195">
        <f t="shared" si="20"/>
        <v>1051.5</v>
      </c>
      <c r="K195">
        <f t="shared" si="21"/>
        <v>96.2</v>
      </c>
      <c r="L195" s="11" t="s">
        <v>42</v>
      </c>
      <c r="M195">
        <v>0</v>
      </c>
      <c r="N195">
        <v>0.9</v>
      </c>
      <c r="O195">
        <f t="shared" si="16"/>
        <v>-0.9</v>
      </c>
      <c r="Q195">
        <v>140</v>
      </c>
      <c r="R195">
        <f t="shared" si="19"/>
        <v>1.0325</v>
      </c>
      <c r="S195">
        <f t="shared" si="17"/>
        <v>0.92925000000000002</v>
      </c>
      <c r="T195">
        <f t="shared" si="18"/>
        <v>-0.92925000000000002</v>
      </c>
      <c r="U195">
        <f t="shared" si="22"/>
        <v>132.88248770491802</v>
      </c>
      <c r="W195">
        <v>824.1</v>
      </c>
      <c r="X195">
        <f t="shared" si="23"/>
        <v>4235.6000000000004</v>
      </c>
      <c r="Y195">
        <v>9.6480875887263213</v>
      </c>
    </row>
    <row r="196" spans="1:25" x14ac:dyDescent="0.35">
      <c r="A196">
        <v>2920</v>
      </c>
      <c r="B196">
        <v>23610</v>
      </c>
      <c r="C196" s="1">
        <v>42776</v>
      </c>
      <c r="F196" s="31"/>
      <c r="G196">
        <v>1.4</v>
      </c>
      <c r="H196">
        <v>-0.7</v>
      </c>
      <c r="I196">
        <v>3.6</v>
      </c>
      <c r="J196">
        <f t="shared" si="20"/>
        <v>1052.9000000000001</v>
      </c>
      <c r="K196">
        <f t="shared" si="21"/>
        <v>97.600000000000009</v>
      </c>
      <c r="L196" s="8">
        <v>5</v>
      </c>
      <c r="M196">
        <v>0</v>
      </c>
      <c r="N196">
        <v>0.6</v>
      </c>
      <c r="O196">
        <f t="shared" si="16"/>
        <v>-0.6</v>
      </c>
      <c r="Q196">
        <v>141</v>
      </c>
      <c r="R196">
        <f t="shared" si="19"/>
        <v>1.0349999999999999</v>
      </c>
      <c r="S196">
        <f t="shared" si="17"/>
        <v>0.62099999999999989</v>
      </c>
      <c r="T196">
        <f t="shared" si="18"/>
        <v>-0.62099999999999989</v>
      </c>
      <c r="U196">
        <f t="shared" si="22"/>
        <v>132.26148770491801</v>
      </c>
      <c r="W196">
        <v>390</v>
      </c>
      <c r="X196">
        <f t="shared" si="23"/>
        <v>4625.6000000000004</v>
      </c>
      <c r="Y196">
        <v>9.6997820334257749</v>
      </c>
    </row>
    <row r="197" spans="1:25" x14ac:dyDescent="0.35">
      <c r="A197">
        <v>2920</v>
      </c>
      <c r="B197">
        <v>23610</v>
      </c>
      <c r="C197" s="1">
        <v>42777</v>
      </c>
      <c r="F197" s="31"/>
      <c r="G197">
        <v>1.8</v>
      </c>
      <c r="H197">
        <v>-0.2</v>
      </c>
      <c r="I197">
        <v>3.6</v>
      </c>
      <c r="J197">
        <f t="shared" si="20"/>
        <v>1054.7</v>
      </c>
      <c r="K197">
        <f t="shared" si="21"/>
        <v>99.4</v>
      </c>
      <c r="M197">
        <v>0</v>
      </c>
      <c r="N197">
        <v>0.3</v>
      </c>
      <c r="O197">
        <f t="shared" ref="O197:O260" si="24">M197-N197</f>
        <v>-0.3</v>
      </c>
      <c r="Q197">
        <v>142</v>
      </c>
      <c r="R197">
        <f t="shared" si="19"/>
        <v>1.0375000000000001</v>
      </c>
      <c r="S197">
        <f t="shared" ref="S197:S260" si="25">R197*N197</f>
        <v>0.31125000000000003</v>
      </c>
      <c r="T197">
        <f t="shared" ref="T197:T260" si="26">M197-S197</f>
        <v>-0.31125000000000003</v>
      </c>
      <c r="U197">
        <f t="shared" si="22"/>
        <v>131.95023770491801</v>
      </c>
      <c r="W197">
        <v>277.3</v>
      </c>
      <c r="X197">
        <f t="shared" si="23"/>
        <v>4902.9000000000005</v>
      </c>
      <c r="Y197">
        <v>9.7519522283515983</v>
      </c>
    </row>
    <row r="198" spans="1:25" x14ac:dyDescent="0.35">
      <c r="A198">
        <v>2920</v>
      </c>
      <c r="B198">
        <v>23610</v>
      </c>
      <c r="C198" s="1">
        <v>42778</v>
      </c>
      <c r="F198" s="31"/>
      <c r="G198">
        <v>2.6</v>
      </c>
      <c r="H198">
        <v>-2</v>
      </c>
      <c r="I198">
        <v>8.5</v>
      </c>
      <c r="J198">
        <f t="shared" si="20"/>
        <v>1057.3</v>
      </c>
      <c r="K198">
        <f t="shared" si="21"/>
        <v>102</v>
      </c>
      <c r="M198">
        <v>0.3</v>
      </c>
      <c r="N198">
        <v>0.9</v>
      </c>
      <c r="O198">
        <f t="shared" si="24"/>
        <v>-0.60000000000000009</v>
      </c>
      <c r="Q198">
        <v>143</v>
      </c>
      <c r="R198">
        <f t="shared" si="19"/>
        <v>1.04</v>
      </c>
      <c r="S198">
        <f t="shared" si="25"/>
        <v>0.93600000000000005</v>
      </c>
      <c r="T198">
        <f t="shared" si="26"/>
        <v>-0.63600000000000012</v>
      </c>
      <c r="U198">
        <f t="shared" si="22"/>
        <v>131.31423770491801</v>
      </c>
      <c r="W198">
        <v>238.5</v>
      </c>
      <c r="X198">
        <f t="shared" si="23"/>
        <v>5141.4000000000005</v>
      </c>
      <c r="Y198">
        <v>9.8045797156805676</v>
      </c>
    </row>
    <row r="199" spans="1:25" x14ac:dyDescent="0.35">
      <c r="A199">
        <v>2920</v>
      </c>
      <c r="B199">
        <v>23610</v>
      </c>
      <c r="C199" s="1">
        <v>42779</v>
      </c>
      <c r="F199" s="31"/>
      <c r="G199">
        <v>10.5</v>
      </c>
      <c r="H199">
        <v>5.0999999999999996</v>
      </c>
      <c r="I199">
        <v>12.5</v>
      </c>
      <c r="J199">
        <f t="shared" si="20"/>
        <v>1067.8</v>
      </c>
      <c r="K199">
        <f t="shared" si="21"/>
        <v>112.5</v>
      </c>
      <c r="M199">
        <v>0.7</v>
      </c>
      <c r="N199">
        <v>1.3</v>
      </c>
      <c r="O199">
        <f t="shared" si="24"/>
        <v>-0.60000000000000009</v>
      </c>
      <c r="Q199">
        <v>144</v>
      </c>
      <c r="R199">
        <f t="shared" si="19"/>
        <v>1.0425</v>
      </c>
      <c r="S199">
        <f t="shared" si="25"/>
        <v>1.3552500000000001</v>
      </c>
      <c r="T199">
        <f t="shared" si="26"/>
        <v>-0.65525000000000011</v>
      </c>
      <c r="U199">
        <f t="shared" si="22"/>
        <v>130.65898770491802</v>
      </c>
      <c r="W199">
        <v>798.1</v>
      </c>
      <c r="X199">
        <f t="shared" si="23"/>
        <v>5939.5000000000009</v>
      </c>
      <c r="Y199">
        <v>9.8576464545214026</v>
      </c>
    </row>
    <row r="200" spans="1:25" x14ac:dyDescent="0.35">
      <c r="A200">
        <v>2920</v>
      </c>
      <c r="B200">
        <v>23610</v>
      </c>
      <c r="C200" s="1">
        <v>42780</v>
      </c>
      <c r="F200" s="31"/>
      <c r="G200">
        <v>9.6</v>
      </c>
      <c r="H200">
        <v>8.9</v>
      </c>
      <c r="I200">
        <v>11.2</v>
      </c>
      <c r="J200">
        <f t="shared" si="20"/>
        <v>1077.3999999999999</v>
      </c>
      <c r="K200">
        <f t="shared" si="21"/>
        <v>122.1</v>
      </c>
      <c r="M200">
        <v>0.3</v>
      </c>
      <c r="N200">
        <v>0.5</v>
      </c>
      <c r="O200">
        <f t="shared" si="24"/>
        <v>-0.2</v>
      </c>
      <c r="Q200">
        <v>145</v>
      </c>
      <c r="R200">
        <f t="shared" si="19"/>
        <v>1.0449999999999999</v>
      </c>
      <c r="S200">
        <f t="shared" si="25"/>
        <v>0.52249999999999996</v>
      </c>
      <c r="T200">
        <f t="shared" si="26"/>
        <v>-0.22249999999999998</v>
      </c>
      <c r="U200">
        <f t="shared" si="22"/>
        <v>130.43648770491802</v>
      </c>
      <c r="W200">
        <v>261.8</v>
      </c>
      <c r="X200">
        <f t="shared" si="23"/>
        <v>6201.3000000000011</v>
      </c>
      <c r="Y200">
        <v>9.9111348226143665</v>
      </c>
    </row>
    <row r="201" spans="1:25" x14ac:dyDescent="0.35">
      <c r="A201">
        <v>2920</v>
      </c>
      <c r="B201">
        <v>23610</v>
      </c>
      <c r="C201" s="1">
        <v>42781</v>
      </c>
      <c r="F201" s="31"/>
      <c r="G201">
        <v>9.1</v>
      </c>
      <c r="H201">
        <v>7.4</v>
      </c>
      <c r="I201">
        <v>12.6</v>
      </c>
      <c r="J201">
        <f t="shared" si="20"/>
        <v>1086.4999999999998</v>
      </c>
      <c r="K201">
        <f t="shared" si="21"/>
        <v>131.19999999999999</v>
      </c>
      <c r="M201">
        <v>1.5</v>
      </c>
      <c r="N201">
        <v>0.9</v>
      </c>
      <c r="O201">
        <f t="shared" si="24"/>
        <v>0.6</v>
      </c>
      <c r="Q201">
        <v>146</v>
      </c>
      <c r="R201">
        <f t="shared" si="19"/>
        <v>1.0474999999999999</v>
      </c>
      <c r="S201">
        <f t="shared" si="25"/>
        <v>0.94274999999999987</v>
      </c>
      <c r="T201">
        <f t="shared" si="26"/>
        <v>0.55725000000000013</v>
      </c>
      <c r="U201">
        <f t="shared" si="22"/>
        <v>130.99373770491803</v>
      </c>
      <c r="W201">
        <v>407.5</v>
      </c>
      <c r="X201">
        <f t="shared" si="23"/>
        <v>6608.8000000000011</v>
      </c>
      <c r="Y201">
        <v>9.9650276167406915</v>
      </c>
    </row>
    <row r="202" spans="1:25" x14ac:dyDescent="0.35">
      <c r="A202">
        <v>2920</v>
      </c>
      <c r="B202">
        <v>23610</v>
      </c>
      <c r="C202" s="1">
        <v>42782</v>
      </c>
      <c r="F202" s="31"/>
      <c r="G202">
        <v>6.4</v>
      </c>
      <c r="H202">
        <v>4.2</v>
      </c>
      <c r="I202">
        <v>9.3000000000000007</v>
      </c>
      <c r="J202">
        <f t="shared" si="20"/>
        <v>1092.8999999999999</v>
      </c>
      <c r="K202">
        <f t="shared" si="21"/>
        <v>137.6</v>
      </c>
      <c r="M202">
        <v>0.1</v>
      </c>
      <c r="N202">
        <v>1</v>
      </c>
      <c r="O202">
        <f t="shared" si="24"/>
        <v>-0.9</v>
      </c>
      <c r="Q202">
        <v>147</v>
      </c>
      <c r="R202">
        <f t="shared" si="19"/>
        <v>1.05</v>
      </c>
      <c r="S202">
        <f t="shared" si="25"/>
        <v>1.05</v>
      </c>
      <c r="T202">
        <f t="shared" si="26"/>
        <v>-0.95000000000000007</v>
      </c>
      <c r="U202">
        <f t="shared" si="22"/>
        <v>130.04373770491804</v>
      </c>
      <c r="W202">
        <v>561.1</v>
      </c>
      <c r="X202">
        <f t="shared" si="23"/>
        <v>7169.9000000000015</v>
      </c>
      <c r="Y202">
        <v>10.01930805191112</v>
      </c>
    </row>
    <row r="203" spans="1:25" x14ac:dyDescent="0.35">
      <c r="A203">
        <v>2920</v>
      </c>
      <c r="B203">
        <v>23610</v>
      </c>
      <c r="C203" s="1">
        <v>42783</v>
      </c>
      <c r="F203" s="31"/>
      <c r="G203">
        <v>5.8</v>
      </c>
      <c r="H203">
        <v>0.6</v>
      </c>
      <c r="I203">
        <v>9.6999999999999993</v>
      </c>
      <c r="J203">
        <f t="shared" si="20"/>
        <v>1098.6999999999998</v>
      </c>
      <c r="K203">
        <f t="shared" si="21"/>
        <v>143.4</v>
      </c>
      <c r="M203">
        <v>0.2</v>
      </c>
      <c r="N203">
        <v>1.2</v>
      </c>
      <c r="O203">
        <f t="shared" si="24"/>
        <v>-1</v>
      </c>
      <c r="Q203">
        <v>148</v>
      </c>
      <c r="R203">
        <f t="shared" si="19"/>
        <v>1.0525</v>
      </c>
      <c r="S203">
        <f t="shared" si="25"/>
        <v>1.2629999999999999</v>
      </c>
      <c r="T203">
        <f t="shared" si="26"/>
        <v>-1.0629999999999999</v>
      </c>
      <c r="U203">
        <f t="shared" si="22"/>
        <v>128.98073770491806</v>
      </c>
      <c r="W203">
        <v>1093.7</v>
      </c>
      <c r="X203">
        <f t="shared" si="23"/>
        <v>8263.6000000000022</v>
      </c>
      <c r="Y203">
        <v>10.073959759401752</v>
      </c>
    </row>
    <row r="204" spans="1:25" x14ac:dyDescent="0.35">
      <c r="A204">
        <v>2920</v>
      </c>
      <c r="B204">
        <v>23610</v>
      </c>
      <c r="C204" s="1">
        <v>42784</v>
      </c>
      <c r="F204" s="31"/>
      <c r="G204">
        <v>6.2</v>
      </c>
      <c r="H204">
        <v>1.4</v>
      </c>
      <c r="I204">
        <v>11.4</v>
      </c>
      <c r="J204">
        <f t="shared" si="20"/>
        <v>1104.8999999999999</v>
      </c>
      <c r="K204">
        <f t="shared" si="21"/>
        <v>149.6</v>
      </c>
      <c r="M204">
        <v>0</v>
      </c>
      <c r="N204">
        <v>1.5</v>
      </c>
      <c r="O204">
        <f t="shared" si="24"/>
        <v>-1.5</v>
      </c>
      <c r="Q204">
        <v>149</v>
      </c>
      <c r="R204">
        <f t="shared" si="19"/>
        <v>1.0549999999999999</v>
      </c>
      <c r="S204">
        <f t="shared" si="25"/>
        <v>1.5825</v>
      </c>
      <c r="T204">
        <f t="shared" si="26"/>
        <v>-1.5825</v>
      </c>
      <c r="U204">
        <f t="shared" si="22"/>
        <v>127.39823770491806</v>
      </c>
      <c r="W204">
        <v>1235.5</v>
      </c>
      <c r="X204">
        <f t="shared" si="23"/>
        <v>9499.1000000000022</v>
      </c>
      <c r="Y204">
        <v>10.128966783704099</v>
      </c>
    </row>
    <row r="205" spans="1:25" x14ac:dyDescent="0.35">
      <c r="A205">
        <v>2920</v>
      </c>
      <c r="B205">
        <v>23610</v>
      </c>
      <c r="C205" s="1">
        <v>42785</v>
      </c>
      <c r="F205" s="31"/>
      <c r="G205">
        <v>6.3</v>
      </c>
      <c r="H205">
        <v>-0.9</v>
      </c>
      <c r="I205">
        <v>11.2</v>
      </c>
      <c r="J205">
        <f t="shared" si="20"/>
        <v>1111.1999999999998</v>
      </c>
      <c r="K205">
        <f t="shared" si="21"/>
        <v>155.9</v>
      </c>
      <c r="M205">
        <v>0.5</v>
      </c>
      <c r="N205">
        <v>1.1000000000000001</v>
      </c>
      <c r="O205">
        <f t="shared" si="24"/>
        <v>-0.60000000000000009</v>
      </c>
      <c r="Q205">
        <v>150</v>
      </c>
      <c r="R205">
        <f t="shared" si="19"/>
        <v>1.0574999999999999</v>
      </c>
      <c r="S205">
        <f t="shared" si="25"/>
        <v>1.1632499999999999</v>
      </c>
      <c r="T205">
        <f t="shared" si="26"/>
        <v>-0.6632499999999999</v>
      </c>
      <c r="U205">
        <f t="shared" si="22"/>
        <v>126.73498770491805</v>
      </c>
      <c r="W205">
        <v>1090.0999999999999</v>
      </c>
      <c r="X205">
        <f t="shared" si="23"/>
        <v>10589.200000000003</v>
      </c>
      <c r="Y205">
        <v>10.184313578454478</v>
      </c>
    </row>
    <row r="206" spans="1:25" x14ac:dyDescent="0.35">
      <c r="A206">
        <v>2920</v>
      </c>
      <c r="B206">
        <v>23610</v>
      </c>
      <c r="C206" s="1">
        <v>42786</v>
      </c>
      <c r="F206" s="31"/>
      <c r="G206">
        <v>11.2</v>
      </c>
      <c r="H206">
        <v>8.3000000000000007</v>
      </c>
      <c r="I206">
        <v>13.2</v>
      </c>
      <c r="J206">
        <f t="shared" si="20"/>
        <v>1122.3999999999999</v>
      </c>
      <c r="K206">
        <f t="shared" si="21"/>
        <v>167.1</v>
      </c>
      <c r="M206">
        <v>0.1</v>
      </c>
      <c r="N206">
        <v>0.2</v>
      </c>
      <c r="O206">
        <f t="shared" si="24"/>
        <v>-0.1</v>
      </c>
      <c r="Q206">
        <v>151</v>
      </c>
      <c r="R206">
        <f t="shared" si="19"/>
        <v>1.06</v>
      </c>
      <c r="S206">
        <f t="shared" si="25"/>
        <v>0.21200000000000002</v>
      </c>
      <c r="T206">
        <f t="shared" si="26"/>
        <v>-0.11200000000000002</v>
      </c>
      <c r="U206">
        <f t="shared" si="22"/>
        <v>126.62298770491806</v>
      </c>
      <c r="W206">
        <v>186.8</v>
      </c>
      <c r="X206">
        <f t="shared" si="23"/>
        <v>10776.000000000002</v>
      </c>
      <c r="Y206">
        <v>10.239985001406184</v>
      </c>
    </row>
    <row r="207" spans="1:25" x14ac:dyDescent="0.35">
      <c r="A207">
        <v>2920</v>
      </c>
      <c r="B207">
        <v>23610</v>
      </c>
      <c r="C207" s="1">
        <v>42787</v>
      </c>
      <c r="F207" s="31"/>
      <c r="G207">
        <v>10.199999999999999</v>
      </c>
      <c r="H207">
        <v>9</v>
      </c>
      <c r="I207">
        <v>11.3</v>
      </c>
      <c r="J207">
        <f t="shared" si="20"/>
        <v>1132.5999999999999</v>
      </c>
      <c r="K207">
        <f t="shared" si="21"/>
        <v>177.29999999999998</v>
      </c>
      <c r="M207">
        <v>0</v>
      </c>
      <c r="N207">
        <v>0.4</v>
      </c>
      <c r="O207">
        <f t="shared" si="24"/>
        <v>-0.4</v>
      </c>
      <c r="Q207">
        <v>152</v>
      </c>
      <c r="R207">
        <f t="shared" si="19"/>
        <v>1.0625</v>
      </c>
      <c r="S207">
        <f t="shared" si="25"/>
        <v>0.42500000000000004</v>
      </c>
      <c r="T207">
        <f t="shared" si="26"/>
        <v>-0.42500000000000004</v>
      </c>
      <c r="U207">
        <f t="shared" si="22"/>
        <v>126.19798770491806</v>
      </c>
      <c r="W207">
        <v>192</v>
      </c>
      <c r="X207">
        <f t="shared" si="23"/>
        <v>10968.000000000002</v>
      </c>
      <c r="Y207">
        <v>10.295966308505745</v>
      </c>
    </row>
    <row r="208" spans="1:25" x14ac:dyDescent="0.35">
      <c r="A208">
        <v>2920</v>
      </c>
      <c r="B208">
        <v>23610</v>
      </c>
      <c r="C208" s="1">
        <v>42788</v>
      </c>
      <c r="F208" s="31"/>
      <c r="G208">
        <v>10</v>
      </c>
      <c r="H208">
        <v>9.5</v>
      </c>
      <c r="I208">
        <v>11.4</v>
      </c>
      <c r="J208">
        <f t="shared" si="20"/>
        <v>1142.5999999999999</v>
      </c>
      <c r="K208">
        <f t="shared" si="21"/>
        <v>187.29999999999998</v>
      </c>
      <c r="M208">
        <v>0.3</v>
      </c>
      <c r="N208">
        <v>1.1000000000000001</v>
      </c>
      <c r="O208">
        <f t="shared" si="24"/>
        <v>-0.8</v>
      </c>
      <c r="Q208">
        <v>153</v>
      </c>
      <c r="R208">
        <f t="shared" si="19"/>
        <v>1.0649999999999999</v>
      </c>
      <c r="S208">
        <f t="shared" si="25"/>
        <v>1.1715</v>
      </c>
      <c r="T208">
        <f t="shared" si="26"/>
        <v>-0.87149999999999994</v>
      </c>
      <c r="U208">
        <f t="shared" si="22"/>
        <v>125.32648770491807</v>
      </c>
      <c r="W208">
        <v>210</v>
      </c>
      <c r="X208">
        <f t="shared" si="23"/>
        <v>11178.000000000002</v>
      </c>
      <c r="Y208">
        <v>10.352243147132491</v>
      </c>
    </row>
    <row r="209" spans="1:25" x14ac:dyDescent="0.35">
      <c r="A209">
        <v>2920</v>
      </c>
      <c r="B209">
        <v>23610</v>
      </c>
      <c r="C209" s="1">
        <v>42789</v>
      </c>
      <c r="F209" s="31"/>
      <c r="G209">
        <v>8.9</v>
      </c>
      <c r="H209">
        <v>8.6</v>
      </c>
      <c r="I209">
        <v>11</v>
      </c>
      <c r="J209">
        <f t="shared" si="20"/>
        <v>1151.5</v>
      </c>
      <c r="K209">
        <f t="shared" si="21"/>
        <v>196.2</v>
      </c>
      <c r="M209">
        <v>1.8</v>
      </c>
      <c r="N209">
        <v>1</v>
      </c>
      <c r="O209">
        <f t="shared" si="24"/>
        <v>0.8</v>
      </c>
      <c r="Q209">
        <v>154</v>
      </c>
      <c r="R209">
        <f t="shared" si="19"/>
        <v>1.0674999999999999</v>
      </c>
      <c r="S209">
        <f t="shared" si="25"/>
        <v>1.0674999999999999</v>
      </c>
      <c r="T209">
        <f t="shared" si="26"/>
        <v>0.73250000000000015</v>
      </c>
      <c r="U209">
        <f t="shared" si="22"/>
        <v>126.05898770491807</v>
      </c>
      <c r="W209">
        <v>352.5</v>
      </c>
      <c r="X209">
        <f t="shared" si="23"/>
        <v>11530.500000000002</v>
      </c>
      <c r="Y209">
        <v>10.408801548558333</v>
      </c>
    </row>
    <row r="210" spans="1:25" x14ac:dyDescent="0.35">
      <c r="A210">
        <v>2920</v>
      </c>
      <c r="B210">
        <v>23610</v>
      </c>
      <c r="C210" s="1">
        <v>42790</v>
      </c>
      <c r="F210" s="31"/>
      <c r="G210">
        <v>6</v>
      </c>
      <c r="H210">
        <v>4.0999999999999996</v>
      </c>
      <c r="I210">
        <v>9.5</v>
      </c>
      <c r="J210">
        <f t="shared" si="20"/>
        <v>1157.5</v>
      </c>
      <c r="K210">
        <f t="shared" si="21"/>
        <v>202.2</v>
      </c>
      <c r="M210">
        <v>0.1</v>
      </c>
      <c r="N210">
        <v>1.1000000000000001</v>
      </c>
      <c r="O210">
        <f t="shared" si="24"/>
        <v>-1</v>
      </c>
      <c r="Q210">
        <v>155</v>
      </c>
      <c r="R210">
        <f t="shared" si="19"/>
        <v>1.07</v>
      </c>
      <c r="S210">
        <f t="shared" si="25"/>
        <v>1.1770000000000003</v>
      </c>
      <c r="T210">
        <f t="shared" si="26"/>
        <v>-1.0770000000000002</v>
      </c>
      <c r="U210">
        <f t="shared" si="22"/>
        <v>124.98198770491807</v>
      </c>
      <c r="W210">
        <v>737.2</v>
      </c>
      <c r="X210">
        <f t="shared" si="23"/>
        <v>12267.700000000003</v>
      </c>
      <c r="Y210">
        <v>10.465627919682346</v>
      </c>
    </row>
    <row r="211" spans="1:25" x14ac:dyDescent="0.35">
      <c r="A211">
        <v>2920</v>
      </c>
      <c r="B211">
        <v>23610</v>
      </c>
      <c r="C211" s="1">
        <v>42791</v>
      </c>
      <c r="F211" s="31"/>
      <c r="G211">
        <v>6.6</v>
      </c>
      <c r="H211">
        <v>2</v>
      </c>
      <c r="I211">
        <v>10.199999999999999</v>
      </c>
      <c r="J211">
        <f t="shared" si="20"/>
        <v>1164.0999999999999</v>
      </c>
      <c r="K211">
        <f t="shared" si="21"/>
        <v>208.79999999999998</v>
      </c>
      <c r="M211">
        <v>0</v>
      </c>
      <c r="N211">
        <v>0.8</v>
      </c>
      <c r="O211">
        <f t="shared" si="24"/>
        <v>-0.8</v>
      </c>
      <c r="Q211">
        <v>156</v>
      </c>
      <c r="R211">
        <f t="shared" si="19"/>
        <v>1.0725</v>
      </c>
      <c r="S211">
        <f t="shared" si="25"/>
        <v>0.8580000000000001</v>
      </c>
      <c r="T211">
        <f t="shared" si="26"/>
        <v>-0.8580000000000001</v>
      </c>
      <c r="U211">
        <f t="shared" si="22"/>
        <v>124.12398770491806</v>
      </c>
      <c r="W211">
        <v>568.9</v>
      </c>
      <c r="X211">
        <f t="shared" si="23"/>
        <v>12836.600000000002</v>
      </c>
      <c r="Y211">
        <v>10.522709034092294</v>
      </c>
    </row>
    <row r="212" spans="1:25" x14ac:dyDescent="0.35">
      <c r="A212">
        <v>2920</v>
      </c>
      <c r="B212">
        <v>23610</v>
      </c>
      <c r="C212" s="1">
        <v>42792</v>
      </c>
      <c r="F212" s="31"/>
      <c r="G212">
        <v>10.3</v>
      </c>
      <c r="H212">
        <v>7.8</v>
      </c>
      <c r="I212">
        <v>12.4</v>
      </c>
      <c r="J212">
        <f t="shared" si="20"/>
        <v>1174.3999999999999</v>
      </c>
      <c r="K212">
        <f t="shared" si="21"/>
        <v>219.1</v>
      </c>
      <c r="M212">
        <v>6</v>
      </c>
      <c r="N212">
        <v>0.8</v>
      </c>
      <c r="O212">
        <f t="shared" si="24"/>
        <v>5.2</v>
      </c>
      <c r="Q212">
        <v>157</v>
      </c>
      <c r="R212">
        <f t="shared" si="19"/>
        <v>1.075</v>
      </c>
      <c r="S212">
        <f t="shared" si="25"/>
        <v>0.86</v>
      </c>
      <c r="T212">
        <f t="shared" si="26"/>
        <v>5.14</v>
      </c>
      <c r="U212">
        <f t="shared" si="22"/>
        <v>129.26398770491807</v>
      </c>
      <c r="W212">
        <v>225.7</v>
      </c>
      <c r="X212">
        <f t="shared" si="23"/>
        <v>13062.300000000003</v>
      </c>
      <c r="Y212">
        <v>10.580032022502831</v>
      </c>
    </row>
    <row r="213" spans="1:25" x14ac:dyDescent="0.35">
      <c r="A213">
        <v>2920</v>
      </c>
      <c r="B213">
        <v>23610</v>
      </c>
      <c r="C213" s="1">
        <v>42793</v>
      </c>
      <c r="F213" s="31"/>
      <c r="G213">
        <v>7.6</v>
      </c>
      <c r="H213">
        <v>6.2</v>
      </c>
      <c r="I213">
        <v>9.3000000000000007</v>
      </c>
      <c r="J213">
        <f t="shared" si="20"/>
        <v>1181.9999999999998</v>
      </c>
      <c r="K213">
        <f t="shared" si="21"/>
        <v>226.7</v>
      </c>
      <c r="M213">
        <v>11.6</v>
      </c>
      <c r="N213">
        <v>0.8</v>
      </c>
      <c r="O213">
        <f t="shared" si="24"/>
        <v>10.799999999999999</v>
      </c>
      <c r="Q213">
        <v>158</v>
      </c>
      <c r="R213">
        <f t="shared" si="19"/>
        <v>1.0774999999999999</v>
      </c>
      <c r="S213">
        <f t="shared" si="25"/>
        <v>0.86199999999999999</v>
      </c>
      <c r="T213">
        <f t="shared" si="26"/>
        <v>10.738</v>
      </c>
      <c r="U213">
        <f t="shared" si="22"/>
        <v>140.00198770491806</v>
      </c>
      <c r="W213">
        <v>433.3</v>
      </c>
      <c r="X213">
        <f t="shared" si="23"/>
        <v>13495.600000000002</v>
      </c>
      <c r="Y213">
        <v>10.637584362617616</v>
      </c>
    </row>
    <row r="214" spans="1:25" x14ac:dyDescent="0.35">
      <c r="A214">
        <v>2920</v>
      </c>
      <c r="B214">
        <v>23610</v>
      </c>
      <c r="C214" s="1">
        <v>42794</v>
      </c>
      <c r="F214" s="31"/>
      <c r="G214">
        <v>6.4</v>
      </c>
      <c r="H214">
        <v>3.7</v>
      </c>
      <c r="I214">
        <v>8.5</v>
      </c>
      <c r="J214">
        <f t="shared" si="20"/>
        <v>1188.3999999999999</v>
      </c>
      <c r="K214">
        <f t="shared" si="21"/>
        <v>233.1</v>
      </c>
      <c r="M214">
        <v>1.2</v>
      </c>
      <c r="N214">
        <v>0.8</v>
      </c>
      <c r="O214">
        <f t="shared" si="24"/>
        <v>0.39999999999999991</v>
      </c>
      <c r="Q214">
        <v>159</v>
      </c>
      <c r="R214">
        <f t="shared" si="19"/>
        <v>1.0799999999999998</v>
      </c>
      <c r="S214">
        <f t="shared" si="25"/>
        <v>0.86399999999999988</v>
      </c>
      <c r="T214">
        <f t="shared" si="26"/>
        <v>0.33600000000000008</v>
      </c>
      <c r="U214">
        <f t="shared" si="22"/>
        <v>140.33798770491808</v>
      </c>
      <c r="W214">
        <v>500.6</v>
      </c>
      <c r="X214">
        <f t="shared" si="23"/>
        <v>13996.200000000003</v>
      </c>
      <c r="Y214">
        <v>10.695353868460133</v>
      </c>
    </row>
    <row r="215" spans="1:25" x14ac:dyDescent="0.35">
      <c r="A215">
        <v>2920</v>
      </c>
      <c r="B215">
        <v>23610</v>
      </c>
      <c r="C215" s="1">
        <v>42795</v>
      </c>
      <c r="F215" s="31"/>
      <c r="G215">
        <v>9.4</v>
      </c>
      <c r="H215">
        <v>7.1</v>
      </c>
      <c r="I215">
        <v>12.3</v>
      </c>
      <c r="J215">
        <f t="shared" si="20"/>
        <v>1197.8</v>
      </c>
      <c r="K215">
        <f t="shared" si="21"/>
        <v>242.5</v>
      </c>
      <c r="M215">
        <v>3.4</v>
      </c>
      <c r="N215">
        <v>0.9</v>
      </c>
      <c r="O215">
        <f t="shared" si="24"/>
        <v>2.5</v>
      </c>
      <c r="Q215">
        <v>160</v>
      </c>
      <c r="R215">
        <f t="shared" si="19"/>
        <v>1.0825</v>
      </c>
      <c r="S215">
        <f t="shared" si="25"/>
        <v>0.97425000000000006</v>
      </c>
      <c r="T215">
        <f t="shared" si="26"/>
        <v>2.4257499999999999</v>
      </c>
      <c r="U215">
        <f t="shared" si="22"/>
        <v>142.76373770491807</v>
      </c>
      <c r="W215">
        <v>370.9</v>
      </c>
      <c r="X215">
        <f t="shared" si="23"/>
        <v>14367.100000000002</v>
      </c>
      <c r="Y215">
        <v>10.753328679215574</v>
      </c>
    </row>
    <row r="216" spans="1:25" x14ac:dyDescent="0.35">
      <c r="A216">
        <v>2920</v>
      </c>
      <c r="B216">
        <v>23610</v>
      </c>
      <c r="C216" s="1">
        <v>42796</v>
      </c>
      <c r="F216" s="31"/>
      <c r="G216">
        <v>7.8</v>
      </c>
      <c r="H216">
        <v>3.3</v>
      </c>
      <c r="I216">
        <v>11.7</v>
      </c>
      <c r="J216">
        <f t="shared" si="20"/>
        <v>1205.5999999999999</v>
      </c>
      <c r="K216">
        <f t="shared" si="21"/>
        <v>250.3</v>
      </c>
      <c r="M216">
        <v>0.7</v>
      </c>
      <c r="N216">
        <v>1.2</v>
      </c>
      <c r="O216">
        <f t="shared" si="24"/>
        <v>-0.5</v>
      </c>
      <c r="Q216">
        <v>161</v>
      </c>
      <c r="R216">
        <f t="shared" si="19"/>
        <v>1.085</v>
      </c>
      <c r="S216">
        <f t="shared" si="25"/>
        <v>1.3019999999999998</v>
      </c>
      <c r="T216">
        <f t="shared" si="26"/>
        <v>-0.60199999999999987</v>
      </c>
      <c r="U216">
        <f t="shared" si="22"/>
        <v>142.16173770491807</v>
      </c>
      <c r="W216">
        <v>909.9</v>
      </c>
      <c r="X216">
        <f t="shared" si="23"/>
        <v>15277.000000000002</v>
      </c>
      <c r="Y216">
        <v>10.811497247623747</v>
      </c>
    </row>
    <row r="217" spans="1:25" x14ac:dyDescent="0.35">
      <c r="A217">
        <v>2920</v>
      </c>
      <c r="B217">
        <v>23610</v>
      </c>
      <c r="C217" s="1">
        <v>42797</v>
      </c>
      <c r="F217" s="31"/>
      <c r="G217">
        <v>10.5</v>
      </c>
      <c r="H217">
        <v>7.4</v>
      </c>
      <c r="I217">
        <v>13.1</v>
      </c>
      <c r="J217">
        <f t="shared" si="20"/>
        <v>1216.0999999999999</v>
      </c>
      <c r="K217">
        <f t="shared" si="21"/>
        <v>260.8</v>
      </c>
      <c r="M217">
        <v>0.3</v>
      </c>
      <c r="N217">
        <v>0.9</v>
      </c>
      <c r="O217">
        <f t="shared" si="24"/>
        <v>-0.60000000000000009</v>
      </c>
      <c r="Q217">
        <v>162</v>
      </c>
      <c r="R217">
        <f t="shared" si="19"/>
        <v>1.0874999999999999</v>
      </c>
      <c r="S217">
        <f t="shared" si="25"/>
        <v>0.9787499999999999</v>
      </c>
      <c r="T217">
        <f t="shared" si="26"/>
        <v>-0.67874999999999996</v>
      </c>
      <c r="U217">
        <f t="shared" si="22"/>
        <v>141.48298770491806</v>
      </c>
      <c r="W217">
        <v>686.6</v>
      </c>
      <c r="X217">
        <f t="shared" si="23"/>
        <v>15963.600000000002</v>
      </c>
      <c r="Y217">
        <v>10.869848327960588</v>
      </c>
    </row>
    <row r="218" spans="1:25" x14ac:dyDescent="0.35">
      <c r="A218">
        <v>2920</v>
      </c>
      <c r="B218">
        <v>23610</v>
      </c>
      <c r="C218" s="1">
        <v>42798</v>
      </c>
      <c r="F218" s="31"/>
      <c r="G218">
        <v>7.3</v>
      </c>
      <c r="H218">
        <v>4.8</v>
      </c>
      <c r="I218">
        <v>11.3</v>
      </c>
      <c r="J218">
        <f t="shared" si="20"/>
        <v>1223.3999999999999</v>
      </c>
      <c r="K218">
        <f t="shared" si="21"/>
        <v>268.10000000000002</v>
      </c>
      <c r="M218">
        <v>1.9</v>
      </c>
      <c r="N218">
        <v>1</v>
      </c>
      <c r="O218">
        <f t="shared" si="24"/>
        <v>0.89999999999999991</v>
      </c>
      <c r="Q218">
        <v>163</v>
      </c>
      <c r="R218">
        <f t="shared" si="19"/>
        <v>1.0899999999999999</v>
      </c>
      <c r="S218">
        <f t="shared" si="25"/>
        <v>1.0899999999999999</v>
      </c>
      <c r="T218">
        <f t="shared" si="26"/>
        <v>0.81</v>
      </c>
      <c r="U218">
        <f t="shared" si="22"/>
        <v>142.29298770491806</v>
      </c>
      <c r="W218">
        <v>486.9</v>
      </c>
      <c r="X218">
        <f t="shared" si="23"/>
        <v>16450.500000000004</v>
      </c>
      <c r="Y218">
        <v>10.928370963643593</v>
      </c>
    </row>
    <row r="219" spans="1:25" x14ac:dyDescent="0.35">
      <c r="A219">
        <v>2920</v>
      </c>
      <c r="B219">
        <v>23610</v>
      </c>
      <c r="C219" s="1">
        <v>42799</v>
      </c>
      <c r="F219" s="31"/>
      <c r="G219">
        <v>8.1</v>
      </c>
      <c r="H219">
        <v>3.6</v>
      </c>
      <c r="I219">
        <v>9.5</v>
      </c>
      <c r="J219">
        <f t="shared" si="20"/>
        <v>1231.4999999999998</v>
      </c>
      <c r="K219">
        <f t="shared" si="21"/>
        <v>276.20000000000005</v>
      </c>
      <c r="M219">
        <v>5.3</v>
      </c>
      <c r="N219">
        <v>0.6</v>
      </c>
      <c r="O219">
        <f t="shared" si="24"/>
        <v>4.7</v>
      </c>
      <c r="Q219">
        <v>164</v>
      </c>
      <c r="R219">
        <f t="shared" si="19"/>
        <v>1.0925</v>
      </c>
      <c r="S219">
        <f t="shared" si="25"/>
        <v>0.65549999999999997</v>
      </c>
      <c r="T219">
        <f t="shared" si="26"/>
        <v>4.6444999999999999</v>
      </c>
      <c r="U219">
        <f t="shared" si="22"/>
        <v>146.93748770491806</v>
      </c>
      <c r="W219">
        <v>374</v>
      </c>
      <c r="X219">
        <f t="shared" si="23"/>
        <v>16824.500000000004</v>
      </c>
      <c r="Y219">
        <v>10.987054474494258</v>
      </c>
    </row>
    <row r="220" spans="1:25" x14ac:dyDescent="0.35">
      <c r="A220">
        <v>2920</v>
      </c>
      <c r="B220">
        <v>23610</v>
      </c>
      <c r="C220" s="1">
        <v>42800</v>
      </c>
      <c r="F220" s="31"/>
      <c r="G220">
        <v>7.7</v>
      </c>
      <c r="H220">
        <v>7.6</v>
      </c>
      <c r="I220">
        <v>8.5</v>
      </c>
      <c r="J220">
        <f t="shared" si="20"/>
        <v>1239.1999999999998</v>
      </c>
      <c r="K220">
        <f t="shared" si="21"/>
        <v>283.90000000000003</v>
      </c>
      <c r="M220">
        <v>4.4000000000000004</v>
      </c>
      <c r="N220">
        <v>1</v>
      </c>
      <c r="O220">
        <f t="shared" si="24"/>
        <v>3.4000000000000004</v>
      </c>
      <c r="Q220">
        <v>165</v>
      </c>
      <c r="R220">
        <f t="shared" si="19"/>
        <v>1.095</v>
      </c>
      <c r="S220">
        <f t="shared" si="25"/>
        <v>1.095</v>
      </c>
      <c r="T220">
        <f t="shared" si="26"/>
        <v>3.3050000000000006</v>
      </c>
      <c r="U220">
        <f t="shared" si="22"/>
        <v>150.24248770491806</v>
      </c>
      <c r="W220">
        <v>322.39999999999998</v>
      </c>
      <c r="X220">
        <f t="shared" si="23"/>
        <v>17146.900000000005</v>
      </c>
      <c r="Y220">
        <v>11.045888443688392</v>
      </c>
    </row>
    <row r="221" spans="1:25" x14ac:dyDescent="0.35">
      <c r="A221">
        <v>2920</v>
      </c>
      <c r="B221">
        <v>23610</v>
      </c>
      <c r="C221" s="1">
        <v>42801</v>
      </c>
      <c r="F221" s="31"/>
      <c r="G221">
        <v>7.3</v>
      </c>
      <c r="H221">
        <v>6.4</v>
      </c>
      <c r="I221">
        <v>11</v>
      </c>
      <c r="J221">
        <f t="shared" si="20"/>
        <v>1246.4999999999998</v>
      </c>
      <c r="K221">
        <f t="shared" si="21"/>
        <v>291.20000000000005</v>
      </c>
      <c r="M221">
        <v>3.2</v>
      </c>
      <c r="N221">
        <v>0.8</v>
      </c>
      <c r="O221">
        <f t="shared" si="24"/>
        <v>2.4000000000000004</v>
      </c>
      <c r="Q221">
        <v>166</v>
      </c>
      <c r="R221">
        <f t="shared" si="19"/>
        <v>1.0974999999999999</v>
      </c>
      <c r="S221">
        <f t="shared" si="25"/>
        <v>0.878</v>
      </c>
      <c r="T221">
        <f t="shared" si="26"/>
        <v>2.3220000000000001</v>
      </c>
      <c r="U221">
        <f t="shared" si="22"/>
        <v>152.56448770491806</v>
      </c>
      <c r="W221">
        <v>222.3</v>
      </c>
      <c r="X221">
        <f t="shared" si="23"/>
        <v>17369.200000000004</v>
      </c>
      <c r="Y221">
        <v>11.104862704423253</v>
      </c>
    </row>
    <row r="222" spans="1:25" x14ac:dyDescent="0.35">
      <c r="A222">
        <v>2920</v>
      </c>
      <c r="B222">
        <v>23610</v>
      </c>
      <c r="C222" s="1">
        <v>42802</v>
      </c>
      <c r="F222" s="31"/>
      <c r="G222">
        <v>11.8</v>
      </c>
      <c r="H222">
        <v>7.4</v>
      </c>
      <c r="I222">
        <v>13.6</v>
      </c>
      <c r="J222">
        <f t="shared" si="20"/>
        <v>1258.2999999999997</v>
      </c>
      <c r="K222">
        <f t="shared" si="21"/>
        <v>303.00000000000006</v>
      </c>
      <c r="M222">
        <v>0</v>
      </c>
      <c r="N222">
        <v>0.1</v>
      </c>
      <c r="O222">
        <f t="shared" si="24"/>
        <v>-0.1</v>
      </c>
      <c r="Q222">
        <v>167</v>
      </c>
      <c r="R222">
        <f t="shared" si="19"/>
        <v>1.0999999999999999</v>
      </c>
      <c r="S222">
        <f t="shared" si="25"/>
        <v>0.10999999999999999</v>
      </c>
      <c r="T222">
        <f t="shared" si="26"/>
        <v>-0.10999999999999999</v>
      </c>
      <c r="U222">
        <f t="shared" si="22"/>
        <v>152.45448770491805</v>
      </c>
      <c r="W222">
        <v>257.7</v>
      </c>
      <c r="X222">
        <f t="shared" si="23"/>
        <v>17626.900000000005</v>
      </c>
      <c r="Y222">
        <v>11.16396732632829</v>
      </c>
    </row>
    <row r="223" spans="1:25" x14ac:dyDescent="0.35">
      <c r="A223">
        <v>2920</v>
      </c>
      <c r="B223">
        <v>23610</v>
      </c>
      <c r="C223" s="1">
        <v>42803</v>
      </c>
      <c r="F223" s="31"/>
      <c r="G223">
        <v>12.5</v>
      </c>
      <c r="H223">
        <v>10.7</v>
      </c>
      <c r="I223">
        <v>14.3</v>
      </c>
      <c r="J223">
        <f t="shared" si="20"/>
        <v>1270.7999999999997</v>
      </c>
      <c r="K223">
        <f t="shared" si="21"/>
        <v>315.50000000000006</v>
      </c>
      <c r="M223">
        <v>0.3</v>
      </c>
      <c r="N223">
        <v>0.5</v>
      </c>
      <c r="O223">
        <f t="shared" si="24"/>
        <v>-0.2</v>
      </c>
      <c r="Q223">
        <v>168</v>
      </c>
      <c r="R223">
        <f t="shared" si="19"/>
        <v>1.1025</v>
      </c>
      <c r="S223">
        <f t="shared" si="25"/>
        <v>0.55125000000000002</v>
      </c>
      <c r="T223">
        <f t="shared" si="26"/>
        <v>-0.25125000000000003</v>
      </c>
      <c r="U223">
        <f t="shared" si="22"/>
        <v>152.20323770491805</v>
      </c>
      <c r="W223">
        <v>287.89999999999998</v>
      </c>
      <c r="X223">
        <f t="shared" si="23"/>
        <v>17914.800000000007</v>
      </c>
      <c r="Y223">
        <v>11.223192601644561</v>
      </c>
    </row>
    <row r="224" spans="1:25" x14ac:dyDescent="0.35">
      <c r="A224">
        <v>2920</v>
      </c>
      <c r="B224">
        <v>23610</v>
      </c>
      <c r="C224" s="1">
        <v>42804</v>
      </c>
      <c r="F224" s="31"/>
      <c r="G224">
        <v>12.5</v>
      </c>
      <c r="H224">
        <v>10.199999999999999</v>
      </c>
      <c r="I224">
        <v>15.2</v>
      </c>
      <c r="J224">
        <f t="shared" si="20"/>
        <v>1283.2999999999997</v>
      </c>
      <c r="K224">
        <f t="shared" si="21"/>
        <v>328.00000000000006</v>
      </c>
      <c r="M224">
        <v>0.1</v>
      </c>
      <c r="N224">
        <v>0.9</v>
      </c>
      <c r="O224">
        <f t="shared" si="24"/>
        <v>-0.8</v>
      </c>
      <c r="Q224">
        <v>169</v>
      </c>
      <c r="R224">
        <f t="shared" si="19"/>
        <v>1.105</v>
      </c>
      <c r="S224">
        <f t="shared" si="25"/>
        <v>0.99450000000000005</v>
      </c>
      <c r="T224">
        <f t="shared" si="26"/>
        <v>-0.89450000000000007</v>
      </c>
      <c r="U224">
        <f t="shared" si="22"/>
        <v>151.30873770491806</v>
      </c>
      <c r="W224">
        <v>647.6</v>
      </c>
      <c r="X224">
        <f t="shared" si="23"/>
        <v>18562.400000000005</v>
      </c>
      <c r="Y224">
        <v>11.282529031196002</v>
      </c>
    </row>
    <row r="225" spans="1:25" x14ac:dyDescent="0.35">
      <c r="A225">
        <v>2920</v>
      </c>
      <c r="B225">
        <v>23610</v>
      </c>
      <c r="C225" s="1">
        <v>42805</v>
      </c>
      <c r="F225" s="31"/>
      <c r="G225">
        <v>12</v>
      </c>
      <c r="H225">
        <v>6.4</v>
      </c>
      <c r="I225">
        <v>15.9</v>
      </c>
      <c r="J225">
        <f t="shared" si="20"/>
        <v>1295.2999999999997</v>
      </c>
      <c r="K225">
        <f t="shared" si="21"/>
        <v>340.00000000000006</v>
      </c>
      <c r="M225">
        <v>0.4</v>
      </c>
      <c r="N225">
        <v>0.8</v>
      </c>
      <c r="O225">
        <f t="shared" si="24"/>
        <v>-0.4</v>
      </c>
      <c r="Q225">
        <v>170</v>
      </c>
      <c r="R225">
        <f t="shared" si="19"/>
        <v>1.1074999999999999</v>
      </c>
      <c r="S225">
        <f t="shared" si="25"/>
        <v>0.88600000000000001</v>
      </c>
      <c r="T225">
        <f t="shared" si="26"/>
        <v>-0.48599999999999999</v>
      </c>
      <c r="U225">
        <f t="shared" si="22"/>
        <v>150.82273770491807</v>
      </c>
      <c r="W225">
        <v>604.70000000000005</v>
      </c>
      <c r="X225">
        <f t="shared" si="23"/>
        <v>19167.100000000006</v>
      </c>
      <c r="Y225">
        <v>11.341967310174089</v>
      </c>
    </row>
    <row r="226" spans="1:25" x14ac:dyDescent="0.35">
      <c r="A226">
        <v>2920</v>
      </c>
      <c r="B226">
        <v>23610</v>
      </c>
      <c r="C226" s="1">
        <v>42806</v>
      </c>
      <c r="F226" s="31"/>
      <c r="G226">
        <v>9.9</v>
      </c>
      <c r="H226">
        <v>9</v>
      </c>
      <c r="I226">
        <v>10.8</v>
      </c>
      <c r="J226">
        <f t="shared" si="20"/>
        <v>1305.1999999999998</v>
      </c>
      <c r="K226">
        <f t="shared" si="21"/>
        <v>349.90000000000003</v>
      </c>
      <c r="M226">
        <v>5.2</v>
      </c>
      <c r="N226">
        <v>0.5</v>
      </c>
      <c r="O226">
        <f t="shared" si="24"/>
        <v>4.7</v>
      </c>
      <c r="Q226">
        <v>171</v>
      </c>
      <c r="R226">
        <f t="shared" si="19"/>
        <v>1.1099999999999999</v>
      </c>
      <c r="S226">
        <f t="shared" si="25"/>
        <v>0.55499999999999994</v>
      </c>
      <c r="T226">
        <f t="shared" si="26"/>
        <v>4.6450000000000005</v>
      </c>
      <c r="U226">
        <f t="shared" si="22"/>
        <v>155.46773770491808</v>
      </c>
      <c r="W226">
        <v>240.6</v>
      </c>
      <c r="X226">
        <f t="shared" si="23"/>
        <v>19407.700000000004</v>
      </c>
      <c r="Y226">
        <v>11.401498313755869</v>
      </c>
    </row>
    <row r="227" spans="1:25" x14ac:dyDescent="0.35">
      <c r="A227">
        <v>2920</v>
      </c>
      <c r="B227">
        <v>23610</v>
      </c>
      <c r="C227" s="1">
        <v>42807</v>
      </c>
      <c r="F227" s="31"/>
      <c r="G227">
        <v>9.6999999999999993</v>
      </c>
      <c r="H227">
        <v>8.6</v>
      </c>
      <c r="I227">
        <v>13.4</v>
      </c>
      <c r="J227">
        <f t="shared" si="20"/>
        <v>1314.8999999999999</v>
      </c>
      <c r="K227">
        <f t="shared" si="21"/>
        <v>359.6</v>
      </c>
      <c r="M227">
        <v>0</v>
      </c>
      <c r="N227">
        <v>2.1</v>
      </c>
      <c r="O227">
        <f t="shared" si="24"/>
        <v>-2.1</v>
      </c>
      <c r="Q227">
        <v>172</v>
      </c>
      <c r="R227">
        <f t="shared" si="19"/>
        <v>1.1124999999999998</v>
      </c>
      <c r="S227">
        <f t="shared" si="25"/>
        <v>2.3362499999999997</v>
      </c>
      <c r="T227">
        <f t="shared" si="26"/>
        <v>-2.3362499999999997</v>
      </c>
      <c r="U227">
        <f t="shared" si="22"/>
        <v>153.13148770491807</v>
      </c>
      <c r="W227">
        <v>962</v>
      </c>
      <c r="X227">
        <f t="shared" si="23"/>
        <v>20369.700000000004</v>
      </c>
      <c r="Y227">
        <v>11.461113082573837</v>
      </c>
    </row>
    <row r="228" spans="1:25" x14ac:dyDescent="0.35">
      <c r="A228">
        <v>2920</v>
      </c>
      <c r="B228">
        <v>23610</v>
      </c>
      <c r="C228" s="1">
        <v>42808</v>
      </c>
      <c r="F228" s="31"/>
      <c r="G228">
        <v>7.8</v>
      </c>
      <c r="H228">
        <v>2.6</v>
      </c>
      <c r="I228">
        <v>10.8</v>
      </c>
      <c r="J228">
        <f t="shared" si="20"/>
        <v>1322.6999999999998</v>
      </c>
      <c r="K228">
        <f t="shared" si="21"/>
        <v>367.40000000000003</v>
      </c>
      <c r="M228">
        <v>0</v>
      </c>
      <c r="N228">
        <v>0.4</v>
      </c>
      <c r="O228">
        <f t="shared" si="24"/>
        <v>-0.4</v>
      </c>
      <c r="Q228">
        <v>173</v>
      </c>
      <c r="R228">
        <f t="shared" si="19"/>
        <v>1.115</v>
      </c>
      <c r="S228">
        <f t="shared" si="25"/>
        <v>0.44600000000000001</v>
      </c>
      <c r="T228">
        <f t="shared" si="26"/>
        <v>-0.44600000000000001</v>
      </c>
      <c r="U228">
        <f t="shared" si="22"/>
        <v>152.68548770491807</v>
      </c>
      <c r="W228">
        <v>365.4</v>
      </c>
      <c r="X228">
        <f t="shared" si="23"/>
        <v>20735.100000000006</v>
      </c>
      <c r="Y228">
        <v>11.520802808054778</v>
      </c>
    </row>
    <row r="229" spans="1:25" x14ac:dyDescent="0.35">
      <c r="A229">
        <v>2920</v>
      </c>
      <c r="B229">
        <v>23610</v>
      </c>
      <c r="C229" s="1">
        <v>42809</v>
      </c>
      <c r="F229" s="31"/>
      <c r="G229">
        <v>10.199999999999999</v>
      </c>
      <c r="H229">
        <v>9.1999999999999993</v>
      </c>
      <c r="I229">
        <v>12.3</v>
      </c>
      <c r="J229">
        <f t="shared" si="20"/>
        <v>1332.8999999999999</v>
      </c>
      <c r="K229">
        <f t="shared" si="21"/>
        <v>377.6</v>
      </c>
      <c r="M229">
        <v>0.1</v>
      </c>
      <c r="N229">
        <v>0.9</v>
      </c>
      <c r="O229">
        <f t="shared" si="24"/>
        <v>-0.8</v>
      </c>
      <c r="Q229">
        <v>174</v>
      </c>
      <c r="R229">
        <f t="shared" si="19"/>
        <v>1.1174999999999999</v>
      </c>
      <c r="S229">
        <f t="shared" si="25"/>
        <v>1.0057499999999999</v>
      </c>
      <c r="T229">
        <f t="shared" si="26"/>
        <v>-0.90574999999999994</v>
      </c>
      <c r="U229">
        <f t="shared" si="22"/>
        <v>151.77973770491806</v>
      </c>
      <c r="W229">
        <v>378.9</v>
      </c>
      <c r="X229">
        <f t="shared" si="23"/>
        <v>21114.000000000007</v>
      </c>
      <c r="Y229">
        <v>11.580558817643515</v>
      </c>
    </row>
    <row r="230" spans="1:25" x14ac:dyDescent="0.35">
      <c r="A230">
        <v>2920</v>
      </c>
      <c r="B230">
        <v>23610</v>
      </c>
      <c r="C230" s="1">
        <v>42810</v>
      </c>
      <c r="F230" s="31"/>
      <c r="G230">
        <v>10</v>
      </c>
      <c r="H230">
        <v>1.4</v>
      </c>
      <c r="I230">
        <v>15.8</v>
      </c>
      <c r="J230">
        <f t="shared" si="20"/>
        <v>1342.8999999999999</v>
      </c>
      <c r="K230">
        <f t="shared" si="21"/>
        <v>387.6</v>
      </c>
      <c r="M230">
        <v>0</v>
      </c>
      <c r="N230">
        <v>1.9</v>
      </c>
      <c r="O230">
        <f t="shared" si="24"/>
        <v>-1.9</v>
      </c>
      <c r="Q230">
        <v>175</v>
      </c>
      <c r="R230">
        <f t="shared" si="19"/>
        <v>1.1199999999999999</v>
      </c>
      <c r="S230">
        <f t="shared" si="25"/>
        <v>2.1279999999999997</v>
      </c>
      <c r="T230">
        <f t="shared" si="26"/>
        <v>-2.1279999999999997</v>
      </c>
      <c r="U230">
        <f t="shared" si="22"/>
        <v>149.65173770491808</v>
      </c>
      <c r="W230">
        <v>1588.6</v>
      </c>
      <c r="X230">
        <f t="shared" si="23"/>
        <v>22702.600000000006</v>
      </c>
      <c r="Y230">
        <v>11.640372559926252</v>
      </c>
    </row>
    <row r="231" spans="1:25" x14ac:dyDescent="0.35">
      <c r="A231">
        <v>2920</v>
      </c>
      <c r="B231">
        <v>23610</v>
      </c>
      <c r="C231" s="1">
        <v>42811</v>
      </c>
      <c r="F231" s="31"/>
      <c r="G231">
        <v>9.1</v>
      </c>
      <c r="H231">
        <v>8.1999999999999993</v>
      </c>
      <c r="I231">
        <v>12.3</v>
      </c>
      <c r="J231">
        <f t="shared" si="20"/>
        <v>1351.9999999999998</v>
      </c>
      <c r="K231">
        <f t="shared" si="21"/>
        <v>396.70000000000005</v>
      </c>
      <c r="M231">
        <v>0</v>
      </c>
      <c r="N231">
        <v>1.3</v>
      </c>
      <c r="O231">
        <f t="shared" si="24"/>
        <v>-1.3</v>
      </c>
      <c r="Q231">
        <v>176</v>
      </c>
      <c r="R231">
        <f t="shared" si="19"/>
        <v>1.1224999999999998</v>
      </c>
      <c r="S231">
        <f t="shared" si="25"/>
        <v>1.4592499999999999</v>
      </c>
      <c r="T231">
        <f t="shared" si="26"/>
        <v>-1.4592499999999999</v>
      </c>
      <c r="U231">
        <f t="shared" si="22"/>
        <v>148.19248770491808</v>
      </c>
      <c r="W231">
        <v>710.6</v>
      </c>
      <c r="X231">
        <f t="shared" si="23"/>
        <v>23413.200000000004</v>
      </c>
      <c r="Y231">
        <v>11.700235589667285</v>
      </c>
    </row>
    <row r="232" spans="1:25" x14ac:dyDescent="0.35">
      <c r="A232">
        <v>2920</v>
      </c>
      <c r="B232">
        <v>23610</v>
      </c>
      <c r="C232" s="1">
        <v>42812</v>
      </c>
      <c r="F232" s="31"/>
      <c r="G232">
        <v>10.7</v>
      </c>
      <c r="H232">
        <v>5.7</v>
      </c>
      <c r="I232">
        <v>13</v>
      </c>
      <c r="J232">
        <f t="shared" si="20"/>
        <v>1362.6999999999998</v>
      </c>
      <c r="K232">
        <f t="shared" si="21"/>
        <v>407.40000000000003</v>
      </c>
      <c r="M232">
        <v>0</v>
      </c>
      <c r="N232">
        <v>0.4</v>
      </c>
      <c r="O232">
        <f t="shared" si="24"/>
        <v>-0.4</v>
      </c>
      <c r="Q232">
        <v>177</v>
      </c>
      <c r="R232">
        <f t="shared" si="19"/>
        <v>1.125</v>
      </c>
      <c r="S232">
        <f t="shared" si="25"/>
        <v>0.45</v>
      </c>
      <c r="T232">
        <f t="shared" si="26"/>
        <v>-0.45</v>
      </c>
      <c r="U232">
        <f t="shared" si="22"/>
        <v>147.74248770491809</v>
      </c>
      <c r="W232">
        <v>280.2</v>
      </c>
      <c r="X232">
        <f t="shared" si="23"/>
        <v>23693.400000000005</v>
      </c>
      <c r="Y232">
        <v>11.7601395527719</v>
      </c>
    </row>
    <row r="233" spans="1:25" x14ac:dyDescent="0.35">
      <c r="A233">
        <v>2920</v>
      </c>
      <c r="B233">
        <v>23610</v>
      </c>
      <c r="C233" s="1">
        <v>42813</v>
      </c>
      <c r="F233" s="31"/>
      <c r="G233">
        <v>11.3</v>
      </c>
      <c r="H233">
        <v>9.1999999999999993</v>
      </c>
      <c r="I233">
        <v>13.4</v>
      </c>
      <c r="J233">
        <f t="shared" si="20"/>
        <v>1373.9999999999998</v>
      </c>
      <c r="K233">
        <f t="shared" si="21"/>
        <v>418.70000000000005</v>
      </c>
      <c r="M233">
        <v>0</v>
      </c>
      <c r="N233">
        <v>1</v>
      </c>
      <c r="O233">
        <f t="shared" si="24"/>
        <v>-1</v>
      </c>
      <c r="Q233">
        <v>178</v>
      </c>
      <c r="R233">
        <f t="shared" si="19"/>
        <v>1.1274999999999999</v>
      </c>
      <c r="S233">
        <f t="shared" si="25"/>
        <v>1.1274999999999999</v>
      </c>
      <c r="T233">
        <f t="shared" si="26"/>
        <v>-1.1274999999999999</v>
      </c>
      <c r="U233">
        <f t="shared" si="22"/>
        <v>146.61498770491809</v>
      </c>
      <c r="W233">
        <v>244.5</v>
      </c>
      <c r="X233">
        <f t="shared" si="23"/>
        <v>23937.900000000005</v>
      </c>
      <c r="Y233">
        <v>11.820076171187441</v>
      </c>
    </row>
    <row r="234" spans="1:25" x14ac:dyDescent="0.35">
      <c r="A234">
        <v>2920</v>
      </c>
      <c r="B234">
        <v>23610</v>
      </c>
      <c r="C234" s="1">
        <v>42814</v>
      </c>
      <c r="F234" s="31"/>
      <c r="G234">
        <v>10.4</v>
      </c>
      <c r="H234">
        <v>9.5</v>
      </c>
      <c r="I234">
        <v>12</v>
      </c>
      <c r="J234">
        <f t="shared" si="20"/>
        <v>1384.3999999999999</v>
      </c>
      <c r="K234">
        <f t="shared" si="21"/>
        <v>429.1</v>
      </c>
      <c r="M234">
        <v>0.3</v>
      </c>
      <c r="N234">
        <v>1</v>
      </c>
      <c r="O234">
        <f t="shared" si="24"/>
        <v>-0.7</v>
      </c>
      <c r="Q234">
        <v>179</v>
      </c>
      <c r="R234">
        <f t="shared" si="19"/>
        <v>1.1299999999999999</v>
      </c>
      <c r="S234">
        <f t="shared" si="25"/>
        <v>1.1299999999999999</v>
      </c>
      <c r="T234">
        <f t="shared" si="26"/>
        <v>-0.82999999999999985</v>
      </c>
      <c r="U234">
        <f t="shared" si="22"/>
        <v>145.78498770491808</v>
      </c>
      <c r="W234">
        <v>336.5</v>
      </c>
      <c r="X234">
        <f t="shared" si="23"/>
        <v>24274.400000000005</v>
      </c>
      <c r="Y234">
        <v>11.880037227753965</v>
      </c>
    </row>
    <row r="235" spans="1:25" x14ac:dyDescent="0.35">
      <c r="A235">
        <v>2920</v>
      </c>
      <c r="B235">
        <v>23610</v>
      </c>
      <c r="C235" s="1">
        <v>42815</v>
      </c>
      <c r="F235" s="31"/>
      <c r="G235">
        <v>8.6</v>
      </c>
      <c r="H235">
        <v>7</v>
      </c>
      <c r="I235">
        <v>11.2</v>
      </c>
      <c r="J235">
        <f t="shared" si="20"/>
        <v>1392.9999999999998</v>
      </c>
      <c r="K235">
        <f t="shared" si="21"/>
        <v>437.70000000000005</v>
      </c>
      <c r="M235">
        <v>5.7</v>
      </c>
      <c r="N235">
        <v>1.9</v>
      </c>
      <c r="O235">
        <f t="shared" si="24"/>
        <v>3.8000000000000003</v>
      </c>
      <c r="Q235">
        <v>180</v>
      </c>
      <c r="R235">
        <f t="shared" si="19"/>
        <v>1.1324999999999998</v>
      </c>
      <c r="S235">
        <f t="shared" si="25"/>
        <v>2.1517499999999994</v>
      </c>
      <c r="T235">
        <f t="shared" si="26"/>
        <v>3.5482500000000008</v>
      </c>
      <c r="U235">
        <f t="shared" si="22"/>
        <v>149.33323770491808</v>
      </c>
      <c r="W235">
        <v>1312</v>
      </c>
      <c r="X235">
        <f t="shared" si="23"/>
        <v>25586.400000000005</v>
      </c>
      <c r="Y235">
        <v>11.940014551015169</v>
      </c>
    </row>
    <row r="236" spans="1:25" x14ac:dyDescent="0.35">
      <c r="A236">
        <v>2920</v>
      </c>
      <c r="B236">
        <v>23610</v>
      </c>
      <c r="C236" s="1">
        <v>42816</v>
      </c>
      <c r="F236" s="31"/>
      <c r="G236">
        <v>6.6</v>
      </c>
      <c r="H236">
        <v>5.0999999999999996</v>
      </c>
      <c r="I236">
        <v>9.1999999999999993</v>
      </c>
      <c r="J236">
        <f t="shared" si="20"/>
        <v>1399.5999999999997</v>
      </c>
      <c r="K236">
        <f t="shared" si="21"/>
        <v>444.30000000000007</v>
      </c>
      <c r="M236">
        <v>0.9</v>
      </c>
      <c r="N236">
        <v>1.4</v>
      </c>
      <c r="O236">
        <f t="shared" si="24"/>
        <v>-0.49999999999999989</v>
      </c>
      <c r="Q236">
        <v>181</v>
      </c>
      <c r="R236">
        <f t="shared" si="19"/>
        <v>1.135</v>
      </c>
      <c r="S236">
        <f t="shared" si="25"/>
        <v>1.589</v>
      </c>
      <c r="T236">
        <f t="shared" si="26"/>
        <v>-0.68899999999999995</v>
      </c>
      <c r="U236">
        <f t="shared" si="22"/>
        <v>148.64423770491808</v>
      </c>
      <c r="W236">
        <v>1040.2</v>
      </c>
      <c r="X236">
        <f t="shared" si="23"/>
        <v>26626.600000000006</v>
      </c>
      <c r="Y236">
        <v>12</v>
      </c>
    </row>
    <row r="237" spans="1:25" x14ac:dyDescent="0.35">
      <c r="A237">
        <v>2920</v>
      </c>
      <c r="B237">
        <v>23610</v>
      </c>
      <c r="C237" s="1">
        <v>42817</v>
      </c>
      <c r="F237" s="31"/>
      <c r="G237">
        <v>6.2</v>
      </c>
      <c r="H237">
        <v>3.2</v>
      </c>
      <c r="I237">
        <v>9.1999999999999993</v>
      </c>
      <c r="J237">
        <f t="shared" si="20"/>
        <v>1405.7999999999997</v>
      </c>
      <c r="K237">
        <f t="shared" si="21"/>
        <v>450.50000000000006</v>
      </c>
      <c r="M237">
        <v>2.4</v>
      </c>
      <c r="N237">
        <v>0.5</v>
      </c>
      <c r="O237">
        <f t="shared" si="24"/>
        <v>1.9</v>
      </c>
      <c r="Q237">
        <v>182</v>
      </c>
      <c r="R237">
        <f t="shared" si="19"/>
        <v>1.1375</v>
      </c>
      <c r="S237">
        <f t="shared" si="25"/>
        <v>0.56874999999999998</v>
      </c>
      <c r="T237">
        <f t="shared" si="26"/>
        <v>1.8312499999999998</v>
      </c>
      <c r="U237">
        <f t="shared" si="22"/>
        <v>150.47548770491809</v>
      </c>
      <c r="W237">
        <v>560.4</v>
      </c>
      <c r="X237">
        <f t="shared" si="23"/>
        <v>27187.000000000007</v>
      </c>
      <c r="Y237">
        <v>12.059985448984829</v>
      </c>
    </row>
    <row r="238" spans="1:25" x14ac:dyDescent="0.35">
      <c r="A238">
        <v>2920</v>
      </c>
      <c r="B238">
        <v>23610</v>
      </c>
      <c r="C238" s="1">
        <v>42818</v>
      </c>
      <c r="F238" s="31"/>
      <c r="G238">
        <v>7.9</v>
      </c>
      <c r="H238">
        <v>2.7</v>
      </c>
      <c r="I238">
        <v>11.2</v>
      </c>
      <c r="J238">
        <f t="shared" si="20"/>
        <v>1413.6999999999998</v>
      </c>
      <c r="K238">
        <f t="shared" si="21"/>
        <v>458.40000000000003</v>
      </c>
      <c r="M238">
        <v>0</v>
      </c>
      <c r="N238">
        <v>1.7</v>
      </c>
      <c r="O238">
        <f t="shared" si="24"/>
        <v>-1.7</v>
      </c>
      <c r="Q238">
        <v>183</v>
      </c>
      <c r="R238">
        <f t="shared" si="19"/>
        <v>1.1399999999999999</v>
      </c>
      <c r="S238">
        <f t="shared" si="25"/>
        <v>1.9379999999999997</v>
      </c>
      <c r="T238">
        <f t="shared" si="26"/>
        <v>-1.9379999999999997</v>
      </c>
      <c r="U238">
        <f t="shared" si="22"/>
        <v>148.53748770491811</v>
      </c>
      <c r="W238">
        <v>1692.6</v>
      </c>
      <c r="X238">
        <f t="shared" si="23"/>
        <v>28879.600000000006</v>
      </c>
      <c r="Y238">
        <v>12.119962772246035</v>
      </c>
    </row>
    <row r="239" spans="1:25" x14ac:dyDescent="0.35">
      <c r="A239">
        <v>2920</v>
      </c>
      <c r="B239">
        <v>23610</v>
      </c>
      <c r="C239" s="1">
        <v>42819</v>
      </c>
      <c r="F239" s="31"/>
      <c r="G239">
        <v>11.3</v>
      </c>
      <c r="H239">
        <v>5.8</v>
      </c>
      <c r="I239">
        <v>16.2</v>
      </c>
      <c r="J239">
        <f t="shared" si="20"/>
        <v>1424.9999999999998</v>
      </c>
      <c r="K239">
        <f t="shared" si="21"/>
        <v>469.70000000000005</v>
      </c>
      <c r="M239">
        <v>0</v>
      </c>
      <c r="N239">
        <v>3.3</v>
      </c>
      <c r="O239">
        <f t="shared" si="24"/>
        <v>-3.3</v>
      </c>
      <c r="Q239">
        <v>184</v>
      </c>
      <c r="R239">
        <f t="shared" si="19"/>
        <v>1.1424999999999998</v>
      </c>
      <c r="S239">
        <f t="shared" si="25"/>
        <v>3.7702499999999994</v>
      </c>
      <c r="T239">
        <f t="shared" si="26"/>
        <v>-3.7702499999999994</v>
      </c>
      <c r="U239">
        <f t="shared" si="22"/>
        <v>144.7672377049181</v>
      </c>
      <c r="W239">
        <v>2041.4</v>
      </c>
      <c r="X239">
        <f t="shared" si="23"/>
        <v>30921.000000000007</v>
      </c>
      <c r="Y239">
        <v>12.179923828812557</v>
      </c>
    </row>
    <row r="240" spans="1:25" x14ac:dyDescent="0.35">
      <c r="A240">
        <v>2920</v>
      </c>
      <c r="B240">
        <v>23610</v>
      </c>
      <c r="C240" s="1">
        <v>42820</v>
      </c>
      <c r="F240" s="31"/>
      <c r="G240">
        <v>9.3000000000000007</v>
      </c>
      <c r="H240">
        <v>5.6</v>
      </c>
      <c r="I240">
        <v>13.1</v>
      </c>
      <c r="J240">
        <f t="shared" si="20"/>
        <v>1434.2999999999997</v>
      </c>
      <c r="K240">
        <f t="shared" si="21"/>
        <v>479.00000000000006</v>
      </c>
      <c r="M240">
        <v>0</v>
      </c>
      <c r="N240">
        <v>0.9</v>
      </c>
      <c r="O240">
        <f t="shared" si="24"/>
        <v>-0.9</v>
      </c>
      <c r="Q240">
        <v>185</v>
      </c>
      <c r="R240">
        <f t="shared" si="19"/>
        <v>1.145</v>
      </c>
      <c r="S240">
        <f t="shared" si="25"/>
        <v>1.0305</v>
      </c>
      <c r="T240">
        <f t="shared" si="26"/>
        <v>-1.0305</v>
      </c>
      <c r="U240">
        <f t="shared" si="22"/>
        <v>143.73673770491811</v>
      </c>
      <c r="W240">
        <v>573.20000000000005</v>
      </c>
      <c r="X240">
        <f t="shared" si="23"/>
        <v>31494.200000000008</v>
      </c>
      <c r="Y240">
        <v>12.2398604472281</v>
      </c>
    </row>
    <row r="241" spans="1:26" x14ac:dyDescent="0.35">
      <c r="A241">
        <v>2920</v>
      </c>
      <c r="B241">
        <v>23610</v>
      </c>
      <c r="C241" s="1">
        <v>42821</v>
      </c>
      <c r="F241" s="31"/>
      <c r="G241">
        <v>11</v>
      </c>
      <c r="H241">
        <v>2.8</v>
      </c>
      <c r="I241">
        <v>17.8</v>
      </c>
      <c r="J241">
        <f t="shared" si="20"/>
        <v>1445.2999999999997</v>
      </c>
      <c r="K241">
        <f t="shared" si="21"/>
        <v>490.00000000000006</v>
      </c>
      <c r="M241">
        <v>0</v>
      </c>
      <c r="N241">
        <v>2.6</v>
      </c>
      <c r="O241">
        <f t="shared" si="24"/>
        <v>-2.6</v>
      </c>
      <c r="Q241">
        <v>186</v>
      </c>
      <c r="R241">
        <f t="shared" si="19"/>
        <v>1.1475</v>
      </c>
      <c r="S241">
        <f t="shared" si="25"/>
        <v>2.9834999999999998</v>
      </c>
      <c r="T241">
        <f t="shared" si="26"/>
        <v>-2.9834999999999998</v>
      </c>
      <c r="U241">
        <f t="shared" si="22"/>
        <v>140.75323770491812</v>
      </c>
      <c r="W241">
        <v>1891.5</v>
      </c>
      <c r="X241">
        <f t="shared" si="23"/>
        <v>33385.700000000012</v>
      </c>
      <c r="Y241">
        <v>12.299764410332713</v>
      </c>
    </row>
    <row r="242" spans="1:26" s="4" customFormat="1" ht="15" thickBot="1" x14ac:dyDescent="0.4">
      <c r="A242" s="4">
        <v>2920</v>
      </c>
      <c r="B242" s="4">
        <v>23610</v>
      </c>
      <c r="C242" s="5">
        <v>42822</v>
      </c>
      <c r="F242" s="32"/>
      <c r="G242" s="4">
        <v>11.7</v>
      </c>
      <c r="H242" s="4">
        <v>8.1</v>
      </c>
      <c r="I242" s="4">
        <v>15.7</v>
      </c>
      <c r="J242" s="4">
        <f t="shared" si="20"/>
        <v>1456.9999999999998</v>
      </c>
      <c r="K242" s="4">
        <f t="shared" si="21"/>
        <v>501.70000000000005</v>
      </c>
      <c r="M242" s="4">
        <v>0.1</v>
      </c>
      <c r="N242" s="4">
        <v>2</v>
      </c>
      <c r="O242" s="4">
        <f t="shared" si="24"/>
        <v>-1.9</v>
      </c>
      <c r="Q242" s="4">
        <v>187</v>
      </c>
      <c r="R242" s="4">
        <f t="shared" si="19"/>
        <v>1.1499999999999999</v>
      </c>
      <c r="S242" s="4">
        <f t="shared" si="25"/>
        <v>2.2999999999999998</v>
      </c>
      <c r="T242" s="4">
        <f t="shared" si="26"/>
        <v>-2.1999999999999997</v>
      </c>
      <c r="U242" s="4">
        <f t="shared" si="22"/>
        <v>138.55323770491813</v>
      </c>
      <c r="W242" s="4">
        <v>1376.3</v>
      </c>
      <c r="X242" s="4">
        <f t="shared" si="23"/>
        <v>34762.000000000015</v>
      </c>
      <c r="Y242" s="4">
        <v>12.359627440073748</v>
      </c>
    </row>
    <row r="243" spans="1:26" x14ac:dyDescent="0.35">
      <c r="A243">
        <v>2920</v>
      </c>
      <c r="B243">
        <v>23610</v>
      </c>
      <c r="C243" s="1">
        <v>42823</v>
      </c>
      <c r="D243" t="s">
        <v>29</v>
      </c>
      <c r="F243" s="33" t="s">
        <v>55</v>
      </c>
      <c r="G243">
        <v>14</v>
      </c>
      <c r="H243">
        <v>8.8000000000000007</v>
      </c>
      <c r="I243">
        <v>19.399999999999999</v>
      </c>
      <c r="J243">
        <f t="shared" si="20"/>
        <v>1470.9999999999998</v>
      </c>
      <c r="K243">
        <f>+G243</f>
        <v>14</v>
      </c>
      <c r="L243" s="12" t="s">
        <v>36</v>
      </c>
      <c r="M243">
        <v>0</v>
      </c>
      <c r="N243">
        <v>2.1</v>
      </c>
      <c r="O243">
        <f t="shared" si="24"/>
        <v>-2.1</v>
      </c>
      <c r="Q243">
        <v>188</v>
      </c>
      <c r="R243">
        <v>1.1499999999999999</v>
      </c>
      <c r="S243">
        <f t="shared" si="25"/>
        <v>2.415</v>
      </c>
      <c r="T243">
        <f t="shared" si="26"/>
        <v>-2.415</v>
      </c>
      <c r="U243">
        <f t="shared" si="22"/>
        <v>136.13823770491814</v>
      </c>
      <c r="V243" s="21" t="s">
        <v>43</v>
      </c>
      <c r="W243">
        <v>787.8</v>
      </c>
      <c r="X243">
        <f>W243</f>
        <v>787.8</v>
      </c>
      <c r="Y243">
        <v>12.419441182356485</v>
      </c>
      <c r="Z243" s="21" t="s">
        <v>48</v>
      </c>
    </row>
    <row r="244" spans="1:26" x14ac:dyDescent="0.35">
      <c r="A244">
        <v>2920</v>
      </c>
      <c r="B244">
        <v>23610</v>
      </c>
      <c r="C244" s="1">
        <v>42824</v>
      </c>
      <c r="F244" s="34"/>
      <c r="G244">
        <v>15.4</v>
      </c>
      <c r="H244">
        <v>7.6</v>
      </c>
      <c r="I244">
        <v>22</v>
      </c>
      <c r="J244">
        <f t="shared" si="20"/>
        <v>1486.3999999999999</v>
      </c>
      <c r="K244">
        <f t="shared" si="21"/>
        <v>29.4</v>
      </c>
      <c r="L244" s="8">
        <v>227.4</v>
      </c>
      <c r="M244">
        <v>0</v>
      </c>
      <c r="N244">
        <v>3.3</v>
      </c>
      <c r="O244">
        <f t="shared" si="24"/>
        <v>-3.3</v>
      </c>
      <c r="Q244">
        <v>189</v>
      </c>
      <c r="R244">
        <v>1.1499999999999999</v>
      </c>
      <c r="S244">
        <f t="shared" si="25"/>
        <v>3.7949999999999995</v>
      </c>
      <c r="T244">
        <f t="shared" si="26"/>
        <v>-3.7949999999999995</v>
      </c>
      <c r="U244">
        <f t="shared" si="22"/>
        <v>132.34323770491815</v>
      </c>
      <c r="V244">
        <v>0</v>
      </c>
      <c r="W244">
        <v>1715</v>
      </c>
      <c r="X244">
        <f t="shared" si="23"/>
        <v>2502.8000000000002</v>
      </c>
      <c r="Y244">
        <v>12.47919719194522</v>
      </c>
      <c r="Z244">
        <v>28526.6</v>
      </c>
    </row>
    <row r="245" spans="1:26" x14ac:dyDescent="0.35">
      <c r="A245">
        <v>2920</v>
      </c>
      <c r="B245">
        <v>23610</v>
      </c>
      <c r="C245" s="1">
        <v>42825</v>
      </c>
      <c r="F245" s="34"/>
      <c r="G245">
        <v>12.8</v>
      </c>
      <c r="H245">
        <v>11.8</v>
      </c>
      <c r="I245">
        <v>16.3</v>
      </c>
      <c r="J245">
        <f t="shared" si="20"/>
        <v>1499.1999999999998</v>
      </c>
      <c r="K245">
        <f t="shared" si="21"/>
        <v>42.2</v>
      </c>
      <c r="L245" s="12" t="s">
        <v>37</v>
      </c>
      <c r="M245">
        <v>0.4</v>
      </c>
      <c r="N245">
        <v>2.1</v>
      </c>
      <c r="O245">
        <f t="shared" si="24"/>
        <v>-1.7000000000000002</v>
      </c>
      <c r="Q245">
        <v>190</v>
      </c>
      <c r="R245">
        <v>1.1499999999999999</v>
      </c>
      <c r="S245">
        <f t="shared" si="25"/>
        <v>2.415</v>
      </c>
      <c r="T245">
        <f t="shared" si="26"/>
        <v>-2.0150000000000001</v>
      </c>
      <c r="U245">
        <f t="shared" si="22"/>
        <v>130.32823770491817</v>
      </c>
      <c r="V245" s="21" t="s">
        <v>44</v>
      </c>
      <c r="W245">
        <v>658.6</v>
      </c>
      <c r="X245">
        <f t="shared" si="23"/>
        <v>3161.4</v>
      </c>
      <c r="Y245">
        <v>12.538886917426161</v>
      </c>
      <c r="Z245" s="21" t="s">
        <v>49</v>
      </c>
    </row>
    <row r="246" spans="1:26" x14ac:dyDescent="0.35">
      <c r="A246">
        <v>2920</v>
      </c>
      <c r="B246">
        <v>23610</v>
      </c>
      <c r="C246" s="1">
        <v>42826</v>
      </c>
      <c r="F246" s="34"/>
      <c r="G246">
        <v>9.9</v>
      </c>
      <c r="H246">
        <v>7.4</v>
      </c>
      <c r="I246">
        <v>13.2</v>
      </c>
      <c r="J246">
        <f t="shared" si="20"/>
        <v>1509.1</v>
      </c>
      <c r="K246">
        <f t="shared" si="21"/>
        <v>52.1</v>
      </c>
      <c r="L246" s="9">
        <f>AVERAGE(G243:G263)</f>
        <v>10.828571428571429</v>
      </c>
      <c r="M246">
        <v>5.7</v>
      </c>
      <c r="N246">
        <v>1.5</v>
      </c>
      <c r="O246">
        <f t="shared" si="24"/>
        <v>4.2</v>
      </c>
      <c r="Q246">
        <v>191</v>
      </c>
      <c r="R246">
        <v>1.1499999999999999</v>
      </c>
      <c r="S246">
        <f t="shared" si="25"/>
        <v>1.7249999999999999</v>
      </c>
      <c r="T246">
        <f t="shared" si="26"/>
        <v>3.9750000000000005</v>
      </c>
      <c r="U246">
        <f t="shared" si="22"/>
        <v>134.30323770491816</v>
      </c>
      <c r="V246">
        <v>0</v>
      </c>
      <c r="W246">
        <v>1021.7</v>
      </c>
      <c r="X246">
        <f t="shared" si="23"/>
        <v>4183.1000000000004</v>
      </c>
      <c r="Y246">
        <v>12.598501686244129</v>
      </c>
      <c r="Z246" s="17">
        <f>(Z244/100)/L244</f>
        <v>1.2544678979771327</v>
      </c>
    </row>
    <row r="247" spans="1:26" x14ac:dyDescent="0.35">
      <c r="A247">
        <v>2920</v>
      </c>
      <c r="B247">
        <v>23610</v>
      </c>
      <c r="C247" s="1">
        <v>42827</v>
      </c>
      <c r="F247" s="34"/>
      <c r="G247">
        <v>10.9</v>
      </c>
      <c r="H247">
        <v>8.6999999999999993</v>
      </c>
      <c r="I247">
        <v>13.8</v>
      </c>
      <c r="J247">
        <f t="shared" si="20"/>
        <v>1520</v>
      </c>
      <c r="K247">
        <f t="shared" si="21"/>
        <v>63</v>
      </c>
      <c r="L247" s="12" t="s">
        <v>38</v>
      </c>
      <c r="M247">
        <v>0.1</v>
      </c>
      <c r="N247">
        <v>1.7</v>
      </c>
      <c r="O247">
        <f t="shared" si="24"/>
        <v>-1.5999999999999999</v>
      </c>
      <c r="Q247">
        <v>192</v>
      </c>
      <c r="R247">
        <v>1.1499999999999999</v>
      </c>
      <c r="S247">
        <f t="shared" si="25"/>
        <v>1.9549999999999998</v>
      </c>
      <c r="T247">
        <f t="shared" si="26"/>
        <v>-1.8549999999999998</v>
      </c>
      <c r="U247">
        <f t="shared" si="22"/>
        <v>132.44823770491817</v>
      </c>
      <c r="V247" s="21" t="s">
        <v>45</v>
      </c>
      <c r="W247">
        <v>991.8</v>
      </c>
      <c r="X247">
        <f t="shared" si="23"/>
        <v>5174.9000000000005</v>
      </c>
      <c r="Y247">
        <v>12.658032689825911</v>
      </c>
      <c r="Z247" s="21" t="s">
        <v>50</v>
      </c>
    </row>
    <row r="248" spans="1:26" x14ac:dyDescent="0.35">
      <c r="A248">
        <v>2920</v>
      </c>
      <c r="B248">
        <v>23610</v>
      </c>
      <c r="C248" s="1">
        <v>42828</v>
      </c>
      <c r="F248" s="34"/>
      <c r="G248">
        <v>10.9</v>
      </c>
      <c r="H248">
        <v>5.3</v>
      </c>
      <c r="I248">
        <v>16.5</v>
      </c>
      <c r="J248">
        <f t="shared" si="20"/>
        <v>1530.9</v>
      </c>
      <c r="K248">
        <f t="shared" si="21"/>
        <v>73.900000000000006</v>
      </c>
      <c r="L248" s="8">
        <f>MIN(H243:H263)</f>
        <v>2.4</v>
      </c>
      <c r="M248">
        <v>0.1</v>
      </c>
      <c r="N248">
        <v>2.5</v>
      </c>
      <c r="O248">
        <f t="shared" si="24"/>
        <v>-2.4</v>
      </c>
      <c r="Q248">
        <v>193</v>
      </c>
      <c r="R248">
        <v>1.1499999999999999</v>
      </c>
      <c r="S248">
        <f t="shared" si="25"/>
        <v>2.875</v>
      </c>
      <c r="T248">
        <f t="shared" si="26"/>
        <v>-2.7749999999999999</v>
      </c>
      <c r="U248">
        <f t="shared" si="22"/>
        <v>129.67323770491817</v>
      </c>
      <c r="V248" s="17">
        <f>MIN(U243:U263)</f>
        <v>92.003237704918192</v>
      </c>
      <c r="W248">
        <v>1628.6</v>
      </c>
      <c r="X248">
        <f t="shared" si="23"/>
        <v>6803.5</v>
      </c>
      <c r="Y248">
        <v>12.717470968803998</v>
      </c>
      <c r="Z248">
        <v>6</v>
      </c>
    </row>
    <row r="249" spans="1:26" x14ac:dyDescent="0.35">
      <c r="A249">
        <v>2920</v>
      </c>
      <c r="B249">
        <v>23610</v>
      </c>
      <c r="C249" s="1">
        <v>42829</v>
      </c>
      <c r="F249" s="34"/>
      <c r="G249">
        <v>10.199999999999999</v>
      </c>
      <c r="H249">
        <v>8.1</v>
      </c>
      <c r="I249">
        <v>12.1</v>
      </c>
      <c r="J249">
        <f t="shared" si="20"/>
        <v>1541.1000000000001</v>
      </c>
      <c r="K249">
        <f t="shared" si="21"/>
        <v>84.100000000000009</v>
      </c>
      <c r="L249" s="12" t="s">
        <v>39</v>
      </c>
      <c r="M249">
        <v>0.7</v>
      </c>
      <c r="N249">
        <v>1</v>
      </c>
      <c r="O249">
        <f t="shared" si="24"/>
        <v>-0.30000000000000004</v>
      </c>
      <c r="Q249">
        <v>194</v>
      </c>
      <c r="R249">
        <v>1.1499999999999999</v>
      </c>
      <c r="S249">
        <f t="shared" si="25"/>
        <v>1.1499999999999999</v>
      </c>
      <c r="T249">
        <f t="shared" si="26"/>
        <v>-0.44999999999999996</v>
      </c>
      <c r="U249">
        <f t="shared" si="22"/>
        <v>129.22323770491818</v>
      </c>
      <c r="V249" s="21" t="s">
        <v>46</v>
      </c>
      <c r="W249">
        <v>478.6</v>
      </c>
      <c r="X249">
        <f t="shared" si="23"/>
        <v>7282.1</v>
      </c>
      <c r="Y249">
        <v>12.776807398355439</v>
      </c>
    </row>
    <row r="250" spans="1:26" x14ac:dyDescent="0.35">
      <c r="A250">
        <v>2920</v>
      </c>
      <c r="B250">
        <v>23610</v>
      </c>
      <c r="C250" s="1">
        <v>42830</v>
      </c>
      <c r="F250" s="34"/>
      <c r="G250">
        <v>11.1</v>
      </c>
      <c r="H250">
        <v>9.1</v>
      </c>
      <c r="I250">
        <v>15.5</v>
      </c>
      <c r="J250">
        <f t="shared" ref="J250:J313" si="27">J249+G250</f>
        <v>1552.2</v>
      </c>
      <c r="K250">
        <f t="shared" ref="K250:K313" si="28">K249+G250</f>
        <v>95.2</v>
      </c>
      <c r="L250" s="8">
        <f>MAX(I243:I263)</f>
        <v>23.8</v>
      </c>
      <c r="M250">
        <v>0</v>
      </c>
      <c r="N250">
        <v>2.2000000000000002</v>
      </c>
      <c r="O250">
        <f t="shared" si="24"/>
        <v>-2.2000000000000002</v>
      </c>
      <c r="Q250">
        <v>195</v>
      </c>
      <c r="R250">
        <v>1.1499999999999999</v>
      </c>
      <c r="S250">
        <f t="shared" si="25"/>
        <v>2.5299999999999998</v>
      </c>
      <c r="T250">
        <f t="shared" si="26"/>
        <v>-2.5299999999999998</v>
      </c>
      <c r="U250">
        <f t="shared" ref="U250:U313" si="29">MIN(U249+T250,197.4)</f>
        <v>126.69323770491818</v>
      </c>
      <c r="V250" s="17">
        <f>MAX(U243:U263)</f>
        <v>136.13823770491814</v>
      </c>
      <c r="W250">
        <v>1230.0999999999999</v>
      </c>
      <c r="X250">
        <f t="shared" ref="X250:X313" si="30">X249+W250</f>
        <v>8512.2000000000007</v>
      </c>
      <c r="Y250">
        <v>12.836032673671708</v>
      </c>
    </row>
    <row r="251" spans="1:26" x14ac:dyDescent="0.35">
      <c r="A251">
        <v>2920</v>
      </c>
      <c r="B251">
        <v>23610</v>
      </c>
      <c r="C251" s="1">
        <v>42831</v>
      </c>
      <c r="F251" s="34"/>
      <c r="G251">
        <v>9.1999999999999993</v>
      </c>
      <c r="H251">
        <v>2.6</v>
      </c>
      <c r="I251">
        <v>15.1</v>
      </c>
      <c r="J251">
        <f t="shared" si="27"/>
        <v>1561.4</v>
      </c>
      <c r="K251">
        <f t="shared" si="28"/>
        <v>104.4</v>
      </c>
      <c r="L251" s="12" t="s">
        <v>40</v>
      </c>
      <c r="M251">
        <v>0</v>
      </c>
      <c r="N251">
        <v>2</v>
      </c>
      <c r="O251">
        <f t="shared" si="24"/>
        <v>-2</v>
      </c>
      <c r="Q251">
        <v>196</v>
      </c>
      <c r="R251">
        <v>1.1499999999999999</v>
      </c>
      <c r="S251">
        <f t="shared" si="25"/>
        <v>2.2999999999999998</v>
      </c>
      <c r="T251">
        <f t="shared" si="26"/>
        <v>-2.2999999999999998</v>
      </c>
      <c r="U251">
        <f t="shared" si="29"/>
        <v>124.39323770491818</v>
      </c>
      <c r="V251" s="21" t="s">
        <v>47</v>
      </c>
      <c r="W251">
        <v>1217.9000000000001</v>
      </c>
      <c r="X251">
        <f t="shared" si="30"/>
        <v>9730.1</v>
      </c>
      <c r="Y251">
        <v>12.895137295576747</v>
      </c>
    </row>
    <row r="252" spans="1:26" x14ac:dyDescent="0.35">
      <c r="A252">
        <v>2920</v>
      </c>
      <c r="B252">
        <v>23610</v>
      </c>
      <c r="C252" s="1">
        <v>42832</v>
      </c>
      <c r="F252" s="34"/>
      <c r="G252">
        <v>10.8</v>
      </c>
      <c r="H252">
        <v>2.9</v>
      </c>
      <c r="I252">
        <v>17.3</v>
      </c>
      <c r="J252">
        <f t="shared" si="27"/>
        <v>1572.2</v>
      </c>
      <c r="K252">
        <f t="shared" si="28"/>
        <v>115.2</v>
      </c>
      <c r="L252" s="8">
        <v>0</v>
      </c>
      <c r="M252">
        <v>0</v>
      </c>
      <c r="N252">
        <v>3</v>
      </c>
      <c r="O252">
        <f t="shared" si="24"/>
        <v>-3</v>
      </c>
      <c r="Q252">
        <v>197</v>
      </c>
      <c r="R252">
        <v>1.1499999999999999</v>
      </c>
      <c r="S252">
        <f t="shared" si="25"/>
        <v>3.4499999999999997</v>
      </c>
      <c r="T252">
        <f t="shared" si="26"/>
        <v>-3.4499999999999997</v>
      </c>
      <c r="U252">
        <f t="shared" si="29"/>
        <v>120.94323770491818</v>
      </c>
      <c r="V252" s="17">
        <f>AVERAGE(U243:U263)</f>
        <v>115.69895199063248</v>
      </c>
      <c r="W252">
        <v>2255</v>
      </c>
      <c r="X252">
        <f t="shared" si="30"/>
        <v>11985.1</v>
      </c>
      <c r="Y252">
        <v>12.954111556311608</v>
      </c>
    </row>
    <row r="253" spans="1:26" x14ac:dyDescent="0.35">
      <c r="A253">
        <v>2920</v>
      </c>
      <c r="B253">
        <v>23610</v>
      </c>
      <c r="C253" s="1">
        <v>42833</v>
      </c>
      <c r="F253" s="34"/>
      <c r="G253">
        <v>13.9</v>
      </c>
      <c r="H253">
        <v>4.7</v>
      </c>
      <c r="I253">
        <v>20.6</v>
      </c>
      <c r="J253">
        <f t="shared" si="27"/>
        <v>1586.1000000000001</v>
      </c>
      <c r="K253">
        <f t="shared" si="28"/>
        <v>129.1</v>
      </c>
      <c r="L253" s="12" t="s">
        <v>41</v>
      </c>
      <c r="M253">
        <v>0</v>
      </c>
      <c r="N253">
        <v>3.4</v>
      </c>
      <c r="O253">
        <f t="shared" si="24"/>
        <v>-3.4</v>
      </c>
      <c r="Q253">
        <v>198</v>
      </c>
      <c r="R253">
        <v>1.1499999999999999</v>
      </c>
      <c r="S253">
        <f t="shared" si="25"/>
        <v>3.9099999999999997</v>
      </c>
      <c r="T253">
        <f t="shared" si="26"/>
        <v>-3.9099999999999997</v>
      </c>
      <c r="U253">
        <f t="shared" si="29"/>
        <v>117.03323770491818</v>
      </c>
      <c r="W253">
        <v>2293.4</v>
      </c>
      <c r="X253">
        <f t="shared" si="30"/>
        <v>14278.5</v>
      </c>
      <c r="Y253">
        <v>13.012945525505742</v>
      </c>
    </row>
    <row r="254" spans="1:26" x14ac:dyDescent="0.35">
      <c r="A254">
        <v>2920</v>
      </c>
      <c r="B254">
        <v>23610</v>
      </c>
      <c r="C254" s="1">
        <v>42834</v>
      </c>
      <c r="F254" s="34"/>
      <c r="G254">
        <v>14.2</v>
      </c>
      <c r="H254">
        <v>8</v>
      </c>
      <c r="I254">
        <v>23.8</v>
      </c>
      <c r="J254">
        <f t="shared" si="27"/>
        <v>1600.3000000000002</v>
      </c>
      <c r="K254">
        <f t="shared" si="28"/>
        <v>143.29999999999998</v>
      </c>
      <c r="L254" s="8">
        <v>8</v>
      </c>
      <c r="M254">
        <v>0.1</v>
      </c>
      <c r="N254">
        <v>4.2</v>
      </c>
      <c r="O254">
        <f t="shared" si="24"/>
        <v>-4.1000000000000005</v>
      </c>
      <c r="Q254">
        <v>199</v>
      </c>
      <c r="R254">
        <v>1.1499999999999999</v>
      </c>
      <c r="S254">
        <f t="shared" si="25"/>
        <v>4.83</v>
      </c>
      <c r="T254">
        <f t="shared" si="26"/>
        <v>-4.7300000000000004</v>
      </c>
      <c r="U254">
        <f t="shared" si="29"/>
        <v>112.30323770491817</v>
      </c>
      <c r="V254" s="18">
        <f>(V252*100)/197.4</f>
        <v>58.611424513998216</v>
      </c>
      <c r="W254">
        <v>2316.1999999999998</v>
      </c>
      <c r="X254">
        <f t="shared" si="30"/>
        <v>16594.7</v>
      </c>
      <c r="Y254">
        <v>13.071629036356406</v>
      </c>
    </row>
    <row r="255" spans="1:26" x14ac:dyDescent="0.35">
      <c r="A255">
        <v>2920</v>
      </c>
      <c r="B255">
        <v>23610</v>
      </c>
      <c r="C255" s="1">
        <v>42835</v>
      </c>
      <c r="F255" s="34"/>
      <c r="G255">
        <v>10.1</v>
      </c>
      <c r="H255">
        <v>6.1</v>
      </c>
      <c r="I255">
        <v>16.600000000000001</v>
      </c>
      <c r="J255">
        <f t="shared" si="27"/>
        <v>1610.4</v>
      </c>
      <c r="K255">
        <f t="shared" si="28"/>
        <v>153.39999999999998</v>
      </c>
      <c r="L255" s="12" t="s">
        <v>42</v>
      </c>
      <c r="M255">
        <v>0</v>
      </c>
      <c r="N255">
        <v>2.2999999999999998</v>
      </c>
      <c r="O255">
        <f t="shared" si="24"/>
        <v>-2.2999999999999998</v>
      </c>
      <c r="Q255">
        <v>200</v>
      </c>
      <c r="R255">
        <v>1.1499999999999999</v>
      </c>
      <c r="S255">
        <f t="shared" si="25"/>
        <v>2.6449999999999996</v>
      </c>
      <c r="T255">
        <f t="shared" si="26"/>
        <v>-2.6449999999999996</v>
      </c>
      <c r="U255">
        <f t="shared" si="29"/>
        <v>109.65823770491818</v>
      </c>
      <c r="W255">
        <v>1284.9000000000001</v>
      </c>
      <c r="X255">
        <f t="shared" si="30"/>
        <v>17879.600000000002</v>
      </c>
      <c r="Y255">
        <v>13.130151672039412</v>
      </c>
    </row>
    <row r="256" spans="1:26" x14ac:dyDescent="0.35">
      <c r="A256">
        <v>2920</v>
      </c>
      <c r="B256">
        <v>23610</v>
      </c>
      <c r="C256" s="1">
        <v>42836</v>
      </c>
      <c r="F256" s="34"/>
      <c r="G256">
        <v>9.4</v>
      </c>
      <c r="H256">
        <v>3.3</v>
      </c>
      <c r="I256">
        <v>15.2</v>
      </c>
      <c r="J256">
        <f t="shared" si="27"/>
        <v>1619.8000000000002</v>
      </c>
      <c r="K256">
        <f t="shared" si="28"/>
        <v>162.79999999999998</v>
      </c>
      <c r="L256" s="8">
        <v>0</v>
      </c>
      <c r="M256">
        <v>0</v>
      </c>
      <c r="N256">
        <v>3.1</v>
      </c>
      <c r="O256">
        <f t="shared" si="24"/>
        <v>-3.1</v>
      </c>
      <c r="Q256">
        <v>201</v>
      </c>
      <c r="R256">
        <v>1.1499999999999999</v>
      </c>
      <c r="S256">
        <f t="shared" si="25"/>
        <v>3.5649999999999999</v>
      </c>
      <c r="T256">
        <f t="shared" si="26"/>
        <v>-3.5649999999999999</v>
      </c>
      <c r="U256">
        <f t="shared" si="29"/>
        <v>106.09323770491818</v>
      </c>
      <c r="W256">
        <v>2088.6999999999998</v>
      </c>
      <c r="X256">
        <f t="shared" si="30"/>
        <v>19968.300000000003</v>
      </c>
      <c r="Y256">
        <v>13.188502752376252</v>
      </c>
    </row>
    <row r="257" spans="1:26" x14ac:dyDescent="0.35">
      <c r="A257">
        <v>2920</v>
      </c>
      <c r="B257">
        <v>23610</v>
      </c>
      <c r="C257" s="1">
        <v>42837</v>
      </c>
      <c r="F257" s="34"/>
      <c r="G257">
        <v>8.9</v>
      </c>
      <c r="H257">
        <v>2.9</v>
      </c>
      <c r="I257">
        <v>16</v>
      </c>
      <c r="J257">
        <f t="shared" si="27"/>
        <v>1628.7000000000003</v>
      </c>
      <c r="K257">
        <f t="shared" si="28"/>
        <v>171.7</v>
      </c>
      <c r="M257">
        <v>0</v>
      </c>
      <c r="N257">
        <v>3.2</v>
      </c>
      <c r="O257">
        <f t="shared" si="24"/>
        <v>-3.2</v>
      </c>
      <c r="Q257">
        <v>202</v>
      </c>
      <c r="R257">
        <v>1.1499999999999999</v>
      </c>
      <c r="S257">
        <f t="shared" si="25"/>
        <v>3.6799999999999997</v>
      </c>
      <c r="T257">
        <f t="shared" si="26"/>
        <v>-3.6799999999999997</v>
      </c>
      <c r="U257">
        <f t="shared" si="29"/>
        <v>102.41323770491817</v>
      </c>
      <c r="W257">
        <v>2290.9</v>
      </c>
      <c r="X257">
        <f t="shared" si="30"/>
        <v>22259.200000000004</v>
      </c>
      <c r="Y257">
        <v>13.246671320784426</v>
      </c>
    </row>
    <row r="258" spans="1:26" x14ac:dyDescent="0.35">
      <c r="A258">
        <v>2920</v>
      </c>
      <c r="B258">
        <v>23610</v>
      </c>
      <c r="C258" s="1">
        <v>42838</v>
      </c>
      <c r="F258" s="34"/>
      <c r="G258">
        <v>8.8000000000000007</v>
      </c>
      <c r="H258">
        <v>5.2</v>
      </c>
      <c r="I258">
        <v>12.6</v>
      </c>
      <c r="J258">
        <f t="shared" si="27"/>
        <v>1637.5000000000002</v>
      </c>
      <c r="K258">
        <f t="shared" si="28"/>
        <v>180.5</v>
      </c>
      <c r="M258">
        <v>0.1</v>
      </c>
      <c r="N258">
        <v>1</v>
      </c>
      <c r="O258">
        <f t="shared" si="24"/>
        <v>-0.9</v>
      </c>
      <c r="Q258">
        <v>203</v>
      </c>
      <c r="R258">
        <v>1.1499999999999999</v>
      </c>
      <c r="S258">
        <f t="shared" si="25"/>
        <v>1.1499999999999999</v>
      </c>
      <c r="T258">
        <f t="shared" si="26"/>
        <v>-1.0499999999999998</v>
      </c>
      <c r="U258">
        <f t="shared" si="29"/>
        <v>101.36323770491818</v>
      </c>
      <c r="W258">
        <v>556</v>
      </c>
      <c r="X258">
        <f t="shared" si="30"/>
        <v>22815.200000000004</v>
      </c>
      <c r="Y258">
        <v>13.304646131539867</v>
      </c>
    </row>
    <row r="259" spans="1:26" x14ac:dyDescent="0.35">
      <c r="A259">
        <v>2920</v>
      </c>
      <c r="B259">
        <v>23610</v>
      </c>
      <c r="C259" s="1">
        <v>42839</v>
      </c>
      <c r="F259" s="34"/>
      <c r="G259">
        <v>8.5</v>
      </c>
      <c r="H259">
        <v>4.3</v>
      </c>
      <c r="I259">
        <v>11.4</v>
      </c>
      <c r="J259">
        <f t="shared" si="27"/>
        <v>1646.0000000000002</v>
      </c>
      <c r="K259">
        <f t="shared" si="28"/>
        <v>189</v>
      </c>
      <c r="M259">
        <v>0</v>
      </c>
      <c r="N259">
        <v>0.8</v>
      </c>
      <c r="O259">
        <f t="shared" si="24"/>
        <v>-0.8</v>
      </c>
      <c r="Q259">
        <v>204</v>
      </c>
      <c r="R259">
        <v>1.1499999999999999</v>
      </c>
      <c r="S259">
        <f t="shared" si="25"/>
        <v>0.91999999999999993</v>
      </c>
      <c r="T259">
        <f t="shared" si="26"/>
        <v>-0.91999999999999993</v>
      </c>
      <c r="U259">
        <f t="shared" si="29"/>
        <v>100.44323770491818</v>
      </c>
      <c r="W259">
        <v>650.70000000000005</v>
      </c>
      <c r="X259">
        <f t="shared" si="30"/>
        <v>23465.900000000005</v>
      </c>
      <c r="Y259">
        <v>13.362415637382384</v>
      </c>
    </row>
    <row r="260" spans="1:26" x14ac:dyDescent="0.35">
      <c r="A260">
        <v>2920</v>
      </c>
      <c r="B260">
        <v>23610</v>
      </c>
      <c r="C260" s="1">
        <v>42840</v>
      </c>
      <c r="F260" s="34"/>
      <c r="G260">
        <v>10.8</v>
      </c>
      <c r="H260">
        <v>8.6</v>
      </c>
      <c r="I260">
        <v>14.8</v>
      </c>
      <c r="J260">
        <f t="shared" si="27"/>
        <v>1656.8000000000002</v>
      </c>
      <c r="K260">
        <f t="shared" si="28"/>
        <v>199.8</v>
      </c>
      <c r="M260">
        <v>0.3</v>
      </c>
      <c r="N260">
        <v>1.2</v>
      </c>
      <c r="O260">
        <f t="shared" si="24"/>
        <v>-0.89999999999999991</v>
      </c>
      <c r="Q260">
        <v>205</v>
      </c>
      <c r="R260">
        <v>1.1499999999999999</v>
      </c>
      <c r="S260">
        <f t="shared" si="25"/>
        <v>1.38</v>
      </c>
      <c r="T260">
        <f t="shared" si="26"/>
        <v>-1.0799999999999998</v>
      </c>
      <c r="U260">
        <f t="shared" si="29"/>
        <v>99.363237704918177</v>
      </c>
      <c r="W260">
        <v>724.5</v>
      </c>
      <c r="X260">
        <f t="shared" si="30"/>
        <v>24190.400000000005</v>
      </c>
      <c r="Y260">
        <v>13.419967977497169</v>
      </c>
    </row>
    <row r="261" spans="1:26" x14ac:dyDescent="0.35">
      <c r="A261">
        <v>2920</v>
      </c>
      <c r="B261">
        <v>23610</v>
      </c>
      <c r="C261" s="1">
        <v>42841</v>
      </c>
      <c r="F261" s="34"/>
      <c r="G261">
        <v>10</v>
      </c>
      <c r="H261">
        <v>6.9</v>
      </c>
      <c r="I261">
        <v>14</v>
      </c>
      <c r="J261">
        <f t="shared" si="27"/>
        <v>1666.8000000000002</v>
      </c>
      <c r="K261">
        <f t="shared" si="28"/>
        <v>209.8</v>
      </c>
      <c r="M261">
        <v>0</v>
      </c>
      <c r="N261">
        <v>1.8</v>
      </c>
      <c r="O261">
        <f t="shared" ref="O261:O324" si="31">M261-N261</f>
        <v>-1.8</v>
      </c>
      <c r="Q261">
        <v>206</v>
      </c>
      <c r="R261">
        <v>1.1499999999999999</v>
      </c>
      <c r="S261">
        <f t="shared" ref="S261:S324" si="32">R261*N261</f>
        <v>2.0699999999999998</v>
      </c>
      <c r="T261">
        <f t="shared" ref="T261:T324" si="33">M261-S261</f>
        <v>-2.0699999999999998</v>
      </c>
      <c r="U261">
        <f t="shared" si="29"/>
        <v>97.293237704918184</v>
      </c>
      <c r="W261">
        <v>1047.4000000000001</v>
      </c>
      <c r="X261">
        <f t="shared" si="30"/>
        <v>25237.800000000007</v>
      </c>
      <c r="Y261">
        <v>13.477290965907706</v>
      </c>
    </row>
    <row r="262" spans="1:26" x14ac:dyDescent="0.35">
      <c r="A262">
        <v>2920</v>
      </c>
      <c r="B262">
        <v>23610</v>
      </c>
      <c r="C262" s="1">
        <v>42842</v>
      </c>
      <c r="F262" s="34"/>
      <c r="G262">
        <v>9.4</v>
      </c>
      <c r="H262">
        <v>4.9000000000000004</v>
      </c>
      <c r="I262">
        <v>14.3</v>
      </c>
      <c r="J262">
        <f t="shared" si="27"/>
        <v>1676.2000000000003</v>
      </c>
      <c r="K262">
        <f t="shared" si="28"/>
        <v>219.20000000000002</v>
      </c>
      <c r="M262">
        <v>0</v>
      </c>
      <c r="N262">
        <v>1.8</v>
      </c>
      <c r="O262">
        <f t="shared" si="31"/>
        <v>-1.8</v>
      </c>
      <c r="Q262">
        <v>207</v>
      </c>
      <c r="R262">
        <v>1.1499999999999999</v>
      </c>
      <c r="S262">
        <f t="shared" si="32"/>
        <v>2.0699999999999998</v>
      </c>
      <c r="T262">
        <f t="shared" si="33"/>
        <v>-2.0699999999999998</v>
      </c>
      <c r="U262">
        <f t="shared" si="29"/>
        <v>95.223237704918191</v>
      </c>
      <c r="W262">
        <v>1245.0999999999999</v>
      </c>
      <c r="X262">
        <f t="shared" si="30"/>
        <v>26482.900000000005</v>
      </c>
      <c r="Y262">
        <v>13.534372080317652</v>
      </c>
    </row>
    <row r="263" spans="1:26" s="4" customFormat="1" ht="15" thickBot="1" x14ac:dyDescent="0.4">
      <c r="A263" s="4">
        <v>2920</v>
      </c>
      <c r="B263" s="4">
        <v>23610</v>
      </c>
      <c r="C263" s="5">
        <v>42843</v>
      </c>
      <c r="D263" s="4" t="s">
        <v>30</v>
      </c>
      <c r="F263" s="35"/>
      <c r="G263" s="4">
        <v>8.1999999999999993</v>
      </c>
      <c r="H263" s="4">
        <v>2.4</v>
      </c>
      <c r="I263" s="4">
        <v>14</v>
      </c>
      <c r="J263" s="6">
        <f t="shared" si="27"/>
        <v>1684.4000000000003</v>
      </c>
      <c r="K263" s="4">
        <f t="shared" si="28"/>
        <v>227.4</v>
      </c>
      <c r="M263" s="4">
        <v>0</v>
      </c>
      <c r="N263" s="4">
        <v>2.8</v>
      </c>
      <c r="O263" s="4">
        <f t="shared" si="31"/>
        <v>-2.8</v>
      </c>
      <c r="Q263" s="4">
        <v>208</v>
      </c>
      <c r="R263" s="4">
        <v>1.1499999999999999</v>
      </c>
      <c r="S263" s="4">
        <f t="shared" si="32"/>
        <v>3.2199999999999998</v>
      </c>
      <c r="T263" s="4">
        <f t="shared" si="33"/>
        <v>-3.2199999999999998</v>
      </c>
      <c r="U263" s="4">
        <f t="shared" si="29"/>
        <v>92.003237704918192</v>
      </c>
      <c r="W263" s="4">
        <v>2043.7</v>
      </c>
      <c r="X263" s="6">
        <f t="shared" si="30"/>
        <v>28526.600000000006</v>
      </c>
      <c r="Y263" s="4">
        <v>13.591198451441665</v>
      </c>
    </row>
    <row r="264" spans="1:26" x14ac:dyDescent="0.35">
      <c r="A264">
        <v>2920</v>
      </c>
      <c r="B264">
        <v>23610</v>
      </c>
      <c r="C264" s="1">
        <v>42844</v>
      </c>
      <c r="F264" s="36" t="s">
        <v>56</v>
      </c>
      <c r="G264">
        <v>8.1</v>
      </c>
      <c r="H264">
        <v>2.9</v>
      </c>
      <c r="I264">
        <v>12.4</v>
      </c>
      <c r="J264">
        <f t="shared" si="27"/>
        <v>1692.5000000000002</v>
      </c>
      <c r="K264">
        <f>+G264</f>
        <v>8.1</v>
      </c>
      <c r="L264" s="13" t="s">
        <v>36</v>
      </c>
      <c r="M264">
        <v>0</v>
      </c>
      <c r="N264">
        <v>2.2000000000000002</v>
      </c>
      <c r="O264">
        <f t="shared" si="31"/>
        <v>-2.2000000000000002</v>
      </c>
      <c r="Q264">
        <v>209</v>
      </c>
      <c r="R264">
        <v>1.1499999999999999</v>
      </c>
      <c r="S264">
        <f t="shared" si="32"/>
        <v>2.5299999999999998</v>
      </c>
      <c r="T264">
        <f t="shared" si="33"/>
        <v>-2.5299999999999998</v>
      </c>
      <c r="U264">
        <f t="shared" si="29"/>
        <v>89.473237704918191</v>
      </c>
      <c r="V264" s="20" t="s">
        <v>43</v>
      </c>
      <c r="W264">
        <v>1369.8</v>
      </c>
      <c r="X264">
        <f>W264</f>
        <v>1369.8</v>
      </c>
      <c r="Y264">
        <v>13.647756852867508</v>
      </c>
      <c r="Z264" s="20" t="s">
        <v>48</v>
      </c>
    </row>
    <row r="265" spans="1:26" x14ac:dyDescent="0.35">
      <c r="A265">
        <v>2920</v>
      </c>
      <c r="B265">
        <v>23610</v>
      </c>
      <c r="C265" s="1">
        <v>42845</v>
      </c>
      <c r="F265" s="37"/>
      <c r="G265">
        <v>8.1</v>
      </c>
      <c r="H265">
        <v>1.8</v>
      </c>
      <c r="I265">
        <v>13.1</v>
      </c>
      <c r="J265">
        <f t="shared" si="27"/>
        <v>1700.6000000000001</v>
      </c>
      <c r="K265">
        <f t="shared" si="28"/>
        <v>16.2</v>
      </c>
      <c r="L265" s="8">
        <v>300.10000000000002</v>
      </c>
      <c r="M265">
        <v>0</v>
      </c>
      <c r="N265">
        <v>3.6</v>
      </c>
      <c r="O265">
        <f t="shared" si="31"/>
        <v>-3.6</v>
      </c>
      <c r="Q265">
        <v>210</v>
      </c>
      <c r="R265">
        <v>1.1499999999999999</v>
      </c>
      <c r="S265">
        <f t="shared" si="32"/>
        <v>4.1399999999999997</v>
      </c>
      <c r="T265">
        <f t="shared" si="33"/>
        <v>-4.1399999999999997</v>
      </c>
      <c r="U265">
        <f t="shared" si="29"/>
        <v>85.33323770491819</v>
      </c>
      <c r="V265">
        <v>0</v>
      </c>
      <c r="W265">
        <v>2678.1</v>
      </c>
      <c r="X265">
        <f t="shared" si="30"/>
        <v>4047.8999999999996</v>
      </c>
      <c r="Y265">
        <v>13.704033691494255</v>
      </c>
      <c r="Z265">
        <v>44294.8</v>
      </c>
    </row>
    <row r="266" spans="1:26" x14ac:dyDescent="0.35">
      <c r="A266">
        <v>2920</v>
      </c>
      <c r="B266">
        <v>23610</v>
      </c>
      <c r="C266" s="1">
        <v>42846</v>
      </c>
      <c r="F266" s="37"/>
      <c r="G266">
        <v>9.9</v>
      </c>
      <c r="H266">
        <v>1.3</v>
      </c>
      <c r="I266">
        <v>16.3</v>
      </c>
      <c r="J266">
        <f t="shared" si="27"/>
        <v>1710.5000000000002</v>
      </c>
      <c r="K266">
        <f t="shared" si="28"/>
        <v>26.1</v>
      </c>
      <c r="L266" s="13" t="s">
        <v>37</v>
      </c>
      <c r="M266">
        <v>0</v>
      </c>
      <c r="N266">
        <v>3.7</v>
      </c>
      <c r="O266">
        <f t="shared" si="31"/>
        <v>-3.7</v>
      </c>
      <c r="Q266">
        <v>211</v>
      </c>
      <c r="R266">
        <v>1.1499999999999999</v>
      </c>
      <c r="S266">
        <f t="shared" si="32"/>
        <v>4.2549999999999999</v>
      </c>
      <c r="T266">
        <f t="shared" si="33"/>
        <v>-4.2549999999999999</v>
      </c>
      <c r="U266">
        <f t="shared" si="29"/>
        <v>81.078237704918195</v>
      </c>
      <c r="V266" s="20" t="s">
        <v>44</v>
      </c>
      <c r="W266">
        <v>2606.1999999999998</v>
      </c>
      <c r="X266">
        <f t="shared" si="30"/>
        <v>6654.0999999999995</v>
      </c>
      <c r="Y266">
        <v>13.760014998593816</v>
      </c>
      <c r="Z266" s="20" t="s">
        <v>49</v>
      </c>
    </row>
    <row r="267" spans="1:26" x14ac:dyDescent="0.35">
      <c r="A267">
        <v>2920</v>
      </c>
      <c r="B267">
        <v>23610</v>
      </c>
      <c r="C267" s="1">
        <v>42847</v>
      </c>
      <c r="F267" s="37"/>
      <c r="G267">
        <v>11.3</v>
      </c>
      <c r="H267">
        <v>4.2</v>
      </c>
      <c r="I267">
        <v>18.2</v>
      </c>
      <c r="J267">
        <f t="shared" si="27"/>
        <v>1721.8000000000002</v>
      </c>
      <c r="K267">
        <f t="shared" si="28"/>
        <v>37.400000000000006</v>
      </c>
      <c r="L267" s="9">
        <f>AVERAGE(G264:G290)</f>
        <v>11.114814814814816</v>
      </c>
      <c r="M267">
        <v>0</v>
      </c>
      <c r="N267">
        <v>3.8</v>
      </c>
      <c r="O267">
        <f t="shared" si="31"/>
        <v>-3.8</v>
      </c>
      <c r="Q267">
        <v>212</v>
      </c>
      <c r="R267">
        <v>1.1499999999999999</v>
      </c>
      <c r="S267">
        <f t="shared" si="32"/>
        <v>4.3699999999999992</v>
      </c>
      <c r="T267">
        <f t="shared" si="33"/>
        <v>-4.3699999999999992</v>
      </c>
      <c r="U267">
        <f t="shared" si="29"/>
        <v>76.70823770491819</v>
      </c>
      <c r="V267">
        <v>2</v>
      </c>
      <c r="W267">
        <v>2565.1</v>
      </c>
      <c r="X267">
        <f t="shared" si="30"/>
        <v>9219.1999999999989</v>
      </c>
      <c r="Y267">
        <v>13.81568642154552</v>
      </c>
      <c r="Z267">
        <f>(Z265/100)/L265</f>
        <v>1.4760013328890369</v>
      </c>
    </row>
    <row r="268" spans="1:26" x14ac:dyDescent="0.35">
      <c r="A268">
        <v>2920</v>
      </c>
      <c r="B268">
        <v>23610</v>
      </c>
      <c r="C268" s="1">
        <v>42848</v>
      </c>
      <c r="F268" s="37"/>
      <c r="G268">
        <v>11.4</v>
      </c>
      <c r="H268">
        <v>6.5</v>
      </c>
      <c r="I268">
        <v>16</v>
      </c>
      <c r="J268">
        <f t="shared" si="27"/>
        <v>1733.2000000000003</v>
      </c>
      <c r="K268">
        <f t="shared" si="28"/>
        <v>48.800000000000004</v>
      </c>
      <c r="L268" s="13" t="s">
        <v>38</v>
      </c>
      <c r="M268">
        <v>0</v>
      </c>
      <c r="N268">
        <v>4</v>
      </c>
      <c r="O268">
        <f t="shared" si="31"/>
        <v>-4</v>
      </c>
      <c r="Q268">
        <v>213</v>
      </c>
      <c r="R268">
        <v>1.1499999999999999</v>
      </c>
      <c r="S268">
        <f t="shared" si="32"/>
        <v>4.5999999999999996</v>
      </c>
      <c r="T268">
        <f t="shared" si="33"/>
        <v>-4.5999999999999996</v>
      </c>
      <c r="U268">
        <f t="shared" si="29"/>
        <v>72.108237704918196</v>
      </c>
      <c r="V268" s="20" t="s">
        <v>45</v>
      </c>
      <c r="W268">
        <v>2637.4</v>
      </c>
      <c r="X268">
        <f t="shared" si="30"/>
        <v>11856.599999999999</v>
      </c>
      <c r="Y268">
        <v>13.871033216295899</v>
      </c>
      <c r="Z268" s="20" t="s">
        <v>50</v>
      </c>
    </row>
    <row r="269" spans="1:26" x14ac:dyDescent="0.35">
      <c r="A269">
        <v>2920</v>
      </c>
      <c r="B269">
        <v>23610</v>
      </c>
      <c r="C269" s="1">
        <v>42849</v>
      </c>
      <c r="F269" s="37"/>
      <c r="G269">
        <v>10.3</v>
      </c>
      <c r="H269">
        <v>3.8</v>
      </c>
      <c r="I269">
        <v>16.3</v>
      </c>
      <c r="J269">
        <f t="shared" si="27"/>
        <v>1743.5000000000002</v>
      </c>
      <c r="K269">
        <f t="shared" si="28"/>
        <v>59.100000000000009</v>
      </c>
      <c r="L269" s="8">
        <f>MIN(H264:H290)</f>
        <v>0.1</v>
      </c>
      <c r="M269">
        <v>1.2</v>
      </c>
      <c r="N269">
        <v>3.2</v>
      </c>
      <c r="O269">
        <f t="shared" si="31"/>
        <v>-2</v>
      </c>
      <c r="Q269">
        <v>214</v>
      </c>
      <c r="R269">
        <v>1.1499999999999999</v>
      </c>
      <c r="S269">
        <f t="shared" si="32"/>
        <v>3.6799999999999997</v>
      </c>
      <c r="T269">
        <f t="shared" si="33"/>
        <v>-2.4799999999999995</v>
      </c>
      <c r="U269">
        <f t="shared" si="29"/>
        <v>69.628237704918192</v>
      </c>
      <c r="V269" s="17">
        <f>MIN(U264:U290)</f>
        <v>60.508237704918201</v>
      </c>
      <c r="W269">
        <v>2200.4</v>
      </c>
      <c r="X269">
        <f t="shared" si="30"/>
        <v>14056.999999999998</v>
      </c>
      <c r="Y269">
        <v>13.926040240598248</v>
      </c>
      <c r="Z269">
        <v>6</v>
      </c>
    </row>
    <row r="270" spans="1:26" x14ac:dyDescent="0.35">
      <c r="A270">
        <v>2920</v>
      </c>
      <c r="B270">
        <v>23610</v>
      </c>
      <c r="C270" s="1">
        <v>42850</v>
      </c>
      <c r="F270" s="37"/>
      <c r="G270">
        <v>7</v>
      </c>
      <c r="H270">
        <v>6</v>
      </c>
      <c r="I270">
        <v>9.5</v>
      </c>
      <c r="J270">
        <f t="shared" si="27"/>
        <v>1750.5000000000002</v>
      </c>
      <c r="K270">
        <f t="shared" si="28"/>
        <v>66.100000000000009</v>
      </c>
      <c r="L270" s="13" t="s">
        <v>39</v>
      </c>
      <c r="M270">
        <v>0.2</v>
      </c>
      <c r="N270">
        <v>1.4</v>
      </c>
      <c r="O270">
        <f t="shared" si="31"/>
        <v>-1.2</v>
      </c>
      <c r="Q270">
        <v>215</v>
      </c>
      <c r="R270">
        <v>1.1499999999999999</v>
      </c>
      <c r="S270">
        <f t="shared" si="32"/>
        <v>1.6099999999999999</v>
      </c>
      <c r="T270">
        <f t="shared" si="33"/>
        <v>-1.41</v>
      </c>
      <c r="U270">
        <f t="shared" si="29"/>
        <v>68.218237704918195</v>
      </c>
      <c r="V270" s="20" t="s">
        <v>46</v>
      </c>
      <c r="W270">
        <v>664.1</v>
      </c>
      <c r="X270">
        <f t="shared" si="30"/>
        <v>14721.099999999999</v>
      </c>
      <c r="Y270">
        <v>13.98069194808888</v>
      </c>
    </row>
    <row r="271" spans="1:26" x14ac:dyDescent="0.35">
      <c r="A271">
        <v>2920</v>
      </c>
      <c r="B271">
        <v>23610</v>
      </c>
      <c r="C271" s="1">
        <v>42851</v>
      </c>
      <c r="F271" s="37"/>
      <c r="G271">
        <v>4.7</v>
      </c>
      <c r="H271">
        <v>0.1</v>
      </c>
      <c r="I271">
        <v>9.6999999999999993</v>
      </c>
      <c r="J271">
        <f t="shared" si="27"/>
        <v>1755.2000000000003</v>
      </c>
      <c r="K271">
        <f t="shared" si="28"/>
        <v>70.800000000000011</v>
      </c>
      <c r="L271" s="8">
        <f>MAX(I264:I290)</f>
        <v>20.7</v>
      </c>
      <c r="M271">
        <v>2.6</v>
      </c>
      <c r="N271">
        <v>2.4</v>
      </c>
      <c r="O271">
        <f t="shared" si="31"/>
        <v>0.20000000000000018</v>
      </c>
      <c r="Q271">
        <v>216</v>
      </c>
      <c r="R271">
        <v>1.1499999999999999</v>
      </c>
      <c r="S271">
        <f t="shared" si="32"/>
        <v>2.76</v>
      </c>
      <c r="T271">
        <f t="shared" si="33"/>
        <v>-0.1599999999999997</v>
      </c>
      <c r="U271">
        <f t="shared" si="29"/>
        <v>68.058237704918199</v>
      </c>
      <c r="V271" s="17">
        <f>MAX(U264:U290)</f>
        <v>113.04823770491819</v>
      </c>
      <c r="W271">
        <v>2208</v>
      </c>
      <c r="X271">
        <f t="shared" si="30"/>
        <v>16929.099999999999</v>
      </c>
      <c r="Y271">
        <v>14.034972383259307</v>
      </c>
    </row>
    <row r="272" spans="1:26" x14ac:dyDescent="0.35">
      <c r="A272">
        <v>2920</v>
      </c>
      <c r="B272">
        <v>23610</v>
      </c>
      <c r="C272" s="1">
        <v>42852</v>
      </c>
      <c r="F272" s="37"/>
      <c r="G272">
        <v>6.4</v>
      </c>
      <c r="H272">
        <v>1.2</v>
      </c>
      <c r="I272">
        <v>10.6</v>
      </c>
      <c r="J272">
        <f t="shared" si="27"/>
        <v>1761.6000000000004</v>
      </c>
      <c r="K272">
        <f t="shared" si="28"/>
        <v>77.200000000000017</v>
      </c>
      <c r="L272" s="13" t="s">
        <v>40</v>
      </c>
      <c r="M272">
        <v>0.3</v>
      </c>
      <c r="N272">
        <v>2</v>
      </c>
      <c r="O272">
        <f t="shared" si="31"/>
        <v>-1.7</v>
      </c>
      <c r="Q272">
        <v>217</v>
      </c>
      <c r="R272">
        <v>1.1499999999999999</v>
      </c>
      <c r="S272">
        <f t="shared" si="32"/>
        <v>2.2999999999999998</v>
      </c>
      <c r="T272">
        <f t="shared" si="33"/>
        <v>-1.9999999999999998</v>
      </c>
      <c r="U272">
        <f t="shared" si="29"/>
        <v>66.058237704918199</v>
      </c>
      <c r="V272" s="20" t="s">
        <v>47</v>
      </c>
      <c r="W272">
        <v>1658.2</v>
      </c>
      <c r="X272">
        <f t="shared" si="30"/>
        <v>18587.3</v>
      </c>
      <c r="Y272">
        <v>14.088865177385633</v>
      </c>
    </row>
    <row r="273" spans="1:25" x14ac:dyDescent="0.35">
      <c r="A273">
        <v>2920</v>
      </c>
      <c r="B273">
        <v>23610</v>
      </c>
      <c r="C273" s="1">
        <v>42853</v>
      </c>
      <c r="F273" s="37"/>
      <c r="G273">
        <v>8.5</v>
      </c>
      <c r="H273">
        <v>4.8</v>
      </c>
      <c r="I273">
        <v>11.9</v>
      </c>
      <c r="J273">
        <f t="shared" si="27"/>
        <v>1770.1000000000004</v>
      </c>
      <c r="K273">
        <f t="shared" si="28"/>
        <v>85.700000000000017</v>
      </c>
      <c r="L273" s="8">
        <v>0</v>
      </c>
      <c r="M273">
        <v>0.2</v>
      </c>
      <c r="N273">
        <v>2.2999999999999998</v>
      </c>
      <c r="O273">
        <f t="shared" si="31"/>
        <v>-2.0999999999999996</v>
      </c>
      <c r="Q273">
        <v>218</v>
      </c>
      <c r="R273">
        <v>1.1499999999999999</v>
      </c>
      <c r="S273">
        <f t="shared" si="32"/>
        <v>2.6449999999999996</v>
      </c>
      <c r="T273">
        <f t="shared" si="33"/>
        <v>-2.4449999999999994</v>
      </c>
      <c r="U273">
        <f t="shared" si="29"/>
        <v>63.613237704918198</v>
      </c>
      <c r="V273" s="17">
        <f>AVERAGE(U264:U290)</f>
        <v>88.532311778992266</v>
      </c>
      <c r="W273">
        <v>1961</v>
      </c>
      <c r="X273">
        <f t="shared" si="30"/>
        <v>20548.3</v>
      </c>
      <c r="Y273">
        <v>14.142353545478596</v>
      </c>
    </row>
    <row r="274" spans="1:25" x14ac:dyDescent="0.35">
      <c r="A274">
        <v>2920</v>
      </c>
      <c r="B274">
        <v>23610</v>
      </c>
      <c r="C274" s="1">
        <v>42854</v>
      </c>
      <c r="F274" s="37"/>
      <c r="G274">
        <v>10.5</v>
      </c>
      <c r="H274">
        <v>2.7</v>
      </c>
      <c r="I274">
        <v>16.100000000000001</v>
      </c>
      <c r="J274">
        <f t="shared" si="27"/>
        <v>1780.6000000000004</v>
      </c>
      <c r="K274">
        <f t="shared" si="28"/>
        <v>96.200000000000017</v>
      </c>
      <c r="L274" s="13" t="s">
        <v>41</v>
      </c>
      <c r="M274">
        <v>0</v>
      </c>
      <c r="N274">
        <v>2.7</v>
      </c>
      <c r="O274">
        <f t="shared" si="31"/>
        <v>-2.7</v>
      </c>
      <c r="Q274">
        <v>219</v>
      </c>
      <c r="R274">
        <v>1.1499999999999999</v>
      </c>
      <c r="S274">
        <f t="shared" si="32"/>
        <v>3.105</v>
      </c>
      <c r="T274">
        <f t="shared" si="33"/>
        <v>-3.105</v>
      </c>
      <c r="U274">
        <f t="shared" si="29"/>
        <v>60.508237704918201</v>
      </c>
      <c r="W274">
        <v>1649.4</v>
      </c>
      <c r="X274">
        <f t="shared" si="30"/>
        <v>22197.7</v>
      </c>
      <c r="Y274">
        <v>14.195420284319432</v>
      </c>
    </row>
    <row r="275" spans="1:25" x14ac:dyDescent="0.35">
      <c r="A275">
        <v>2920</v>
      </c>
      <c r="B275">
        <v>23610</v>
      </c>
      <c r="C275" s="1">
        <v>42855</v>
      </c>
      <c r="F275" s="37"/>
      <c r="G275">
        <v>10.1</v>
      </c>
      <c r="H275">
        <v>9.6999999999999993</v>
      </c>
      <c r="I275">
        <v>12.6</v>
      </c>
      <c r="J275">
        <f t="shared" si="27"/>
        <v>1790.7000000000003</v>
      </c>
      <c r="K275">
        <f t="shared" si="28"/>
        <v>106.30000000000001</v>
      </c>
      <c r="L275" s="8">
        <v>9</v>
      </c>
      <c r="M275">
        <v>23</v>
      </c>
      <c r="N275">
        <v>1.4</v>
      </c>
      <c r="O275">
        <f t="shared" si="31"/>
        <v>21.6</v>
      </c>
      <c r="Q275">
        <v>220</v>
      </c>
      <c r="R275">
        <v>1.1499999999999999</v>
      </c>
      <c r="S275">
        <f t="shared" si="32"/>
        <v>1.6099999999999999</v>
      </c>
      <c r="T275">
        <f t="shared" si="33"/>
        <v>21.39</v>
      </c>
      <c r="U275">
        <f t="shared" si="29"/>
        <v>81.898237704918202</v>
      </c>
      <c r="V275" s="18">
        <f>(V273*100)/197.4</f>
        <v>44.849195430087264</v>
      </c>
      <c r="W275">
        <v>679.8</v>
      </c>
      <c r="X275">
        <f t="shared" si="30"/>
        <v>22877.5</v>
      </c>
      <c r="Y275">
        <v>14.248047771648402</v>
      </c>
    </row>
    <row r="276" spans="1:25" x14ac:dyDescent="0.35">
      <c r="A276">
        <v>2920</v>
      </c>
      <c r="B276">
        <v>23610</v>
      </c>
      <c r="C276" s="1">
        <v>42856</v>
      </c>
      <c r="F276" s="37"/>
      <c r="G276">
        <v>9.6</v>
      </c>
      <c r="H276">
        <v>6.7</v>
      </c>
      <c r="I276">
        <v>13.6</v>
      </c>
      <c r="J276">
        <f t="shared" si="27"/>
        <v>1800.3000000000002</v>
      </c>
      <c r="K276">
        <f t="shared" si="28"/>
        <v>115.9</v>
      </c>
      <c r="L276" s="13" t="s">
        <v>42</v>
      </c>
      <c r="M276">
        <v>15.3</v>
      </c>
      <c r="N276">
        <v>1.9</v>
      </c>
      <c r="O276">
        <f t="shared" si="31"/>
        <v>13.4</v>
      </c>
      <c r="Q276">
        <v>221</v>
      </c>
      <c r="R276">
        <v>1.1499999999999999</v>
      </c>
      <c r="S276">
        <f t="shared" si="32"/>
        <v>2.1849999999999996</v>
      </c>
      <c r="T276">
        <f t="shared" si="33"/>
        <v>13.115000000000002</v>
      </c>
      <c r="U276">
        <f t="shared" si="29"/>
        <v>95.013237704918197</v>
      </c>
      <c r="W276">
        <v>1100.0999999999999</v>
      </c>
      <c r="X276">
        <f t="shared" si="30"/>
        <v>23977.599999999999</v>
      </c>
      <c r="Y276">
        <v>14.300217966574223</v>
      </c>
    </row>
    <row r="277" spans="1:25" x14ac:dyDescent="0.35">
      <c r="A277">
        <v>2920</v>
      </c>
      <c r="B277">
        <v>23610</v>
      </c>
      <c r="C277" s="1">
        <v>42857</v>
      </c>
      <c r="F277" s="37"/>
      <c r="G277">
        <v>11.7</v>
      </c>
      <c r="H277">
        <v>7.8</v>
      </c>
      <c r="I277">
        <v>15.5</v>
      </c>
      <c r="J277">
        <f t="shared" si="27"/>
        <v>1812.0000000000002</v>
      </c>
      <c r="K277">
        <f t="shared" si="28"/>
        <v>127.60000000000001</v>
      </c>
      <c r="L277" s="8">
        <v>0</v>
      </c>
      <c r="M277">
        <v>0.1</v>
      </c>
      <c r="N277">
        <v>2.8</v>
      </c>
      <c r="O277">
        <f t="shared" si="31"/>
        <v>-2.6999999999999997</v>
      </c>
      <c r="Q277">
        <v>222</v>
      </c>
      <c r="R277">
        <v>1.1499999999999999</v>
      </c>
      <c r="S277">
        <f t="shared" si="32"/>
        <v>3.2199999999999998</v>
      </c>
      <c r="T277">
        <f t="shared" si="33"/>
        <v>-3.1199999999999997</v>
      </c>
      <c r="U277">
        <f t="shared" si="29"/>
        <v>91.893237704918192</v>
      </c>
      <c r="W277">
        <v>1952.6</v>
      </c>
      <c r="X277">
        <f t="shared" si="30"/>
        <v>25930.199999999997</v>
      </c>
      <c r="Y277">
        <v>14.351912411273677</v>
      </c>
    </row>
    <row r="278" spans="1:25" x14ac:dyDescent="0.35">
      <c r="A278">
        <v>2920</v>
      </c>
      <c r="B278">
        <v>23610</v>
      </c>
      <c r="C278" s="1">
        <v>42858</v>
      </c>
      <c r="F278" s="37"/>
      <c r="G278">
        <v>10.1</v>
      </c>
      <c r="H278">
        <v>6.1</v>
      </c>
      <c r="I278">
        <v>14.3</v>
      </c>
      <c r="J278">
        <f t="shared" si="27"/>
        <v>1822.1000000000001</v>
      </c>
      <c r="K278">
        <f t="shared" si="28"/>
        <v>137.70000000000002</v>
      </c>
      <c r="M278">
        <v>0.2</v>
      </c>
      <c r="N278">
        <v>1.7</v>
      </c>
      <c r="O278">
        <f t="shared" si="31"/>
        <v>-1.5</v>
      </c>
      <c r="Q278">
        <v>223</v>
      </c>
      <c r="R278">
        <v>1.1499999999999999</v>
      </c>
      <c r="S278">
        <f t="shared" si="32"/>
        <v>1.9549999999999998</v>
      </c>
      <c r="T278">
        <f t="shared" si="33"/>
        <v>-1.7549999999999999</v>
      </c>
      <c r="U278">
        <f t="shared" si="29"/>
        <v>90.138237704918197</v>
      </c>
      <c r="W278">
        <v>1042.9000000000001</v>
      </c>
      <c r="X278">
        <f t="shared" si="30"/>
        <v>26973.1</v>
      </c>
      <c r="Y278">
        <v>14.403112234051477</v>
      </c>
    </row>
    <row r="279" spans="1:25" x14ac:dyDescent="0.35">
      <c r="A279">
        <v>2920</v>
      </c>
      <c r="B279">
        <v>23610</v>
      </c>
      <c r="C279" s="1">
        <v>42859</v>
      </c>
      <c r="F279" s="37"/>
      <c r="G279">
        <v>10.6</v>
      </c>
      <c r="H279">
        <v>5.2</v>
      </c>
      <c r="I279">
        <v>15.2</v>
      </c>
      <c r="J279">
        <f t="shared" si="27"/>
        <v>1832.7</v>
      </c>
      <c r="K279">
        <f t="shared" si="28"/>
        <v>148.30000000000001</v>
      </c>
      <c r="M279">
        <v>0.1</v>
      </c>
      <c r="N279">
        <v>2</v>
      </c>
      <c r="O279">
        <f t="shared" si="31"/>
        <v>-1.9</v>
      </c>
      <c r="Q279">
        <v>224</v>
      </c>
      <c r="R279">
        <v>1.1499999999999999</v>
      </c>
      <c r="S279">
        <f t="shared" si="32"/>
        <v>2.2999999999999998</v>
      </c>
      <c r="T279">
        <f t="shared" si="33"/>
        <v>-2.1999999999999997</v>
      </c>
      <c r="U279">
        <f t="shared" si="29"/>
        <v>87.938237704918194</v>
      </c>
      <c r="W279">
        <v>1481.4</v>
      </c>
      <c r="X279">
        <f t="shared" si="30"/>
        <v>28454.5</v>
      </c>
      <c r="Y279">
        <v>14.453798153830791</v>
      </c>
    </row>
    <row r="280" spans="1:25" x14ac:dyDescent="0.35">
      <c r="A280">
        <v>2920</v>
      </c>
      <c r="B280">
        <v>23610</v>
      </c>
      <c r="C280" s="1">
        <v>42860</v>
      </c>
      <c r="F280" s="37"/>
      <c r="G280">
        <v>13.3</v>
      </c>
      <c r="H280">
        <v>8.9</v>
      </c>
      <c r="I280">
        <v>16.8</v>
      </c>
      <c r="J280">
        <f t="shared" si="27"/>
        <v>1846</v>
      </c>
      <c r="K280">
        <f t="shared" si="28"/>
        <v>161.60000000000002</v>
      </c>
      <c r="M280">
        <v>24.9</v>
      </c>
      <c r="N280">
        <v>3.2</v>
      </c>
      <c r="O280">
        <f t="shared" si="31"/>
        <v>21.7</v>
      </c>
      <c r="Q280">
        <v>225</v>
      </c>
      <c r="R280">
        <v>1.1499999999999999</v>
      </c>
      <c r="S280">
        <f t="shared" si="32"/>
        <v>3.6799999999999997</v>
      </c>
      <c r="T280">
        <f t="shared" si="33"/>
        <v>21.22</v>
      </c>
      <c r="U280">
        <f t="shared" si="29"/>
        <v>109.15823770491819</v>
      </c>
      <c r="W280">
        <v>2138.3000000000002</v>
      </c>
      <c r="X280">
        <f t="shared" si="30"/>
        <v>30592.799999999999</v>
      </c>
      <c r="Y280">
        <v>14.503950486144806</v>
      </c>
    </row>
    <row r="281" spans="1:25" x14ac:dyDescent="0.35">
      <c r="A281">
        <v>2920</v>
      </c>
      <c r="B281">
        <v>23610</v>
      </c>
      <c r="C281" s="1">
        <v>42861</v>
      </c>
      <c r="F281" s="37"/>
      <c r="G281">
        <v>13.6</v>
      </c>
      <c r="H281">
        <v>12.1</v>
      </c>
      <c r="I281">
        <v>17.100000000000001</v>
      </c>
      <c r="J281">
        <f t="shared" si="27"/>
        <v>1859.6</v>
      </c>
      <c r="K281">
        <f t="shared" si="28"/>
        <v>175.20000000000002</v>
      </c>
      <c r="M281">
        <v>5.5</v>
      </c>
      <c r="N281">
        <v>1.4</v>
      </c>
      <c r="O281">
        <f t="shared" si="31"/>
        <v>4.0999999999999996</v>
      </c>
      <c r="Q281">
        <v>226</v>
      </c>
      <c r="R281">
        <v>1.1499999999999999</v>
      </c>
      <c r="S281">
        <f t="shared" si="32"/>
        <v>1.6099999999999999</v>
      </c>
      <c r="T281">
        <f t="shared" si="33"/>
        <v>3.89</v>
      </c>
      <c r="U281">
        <f t="shared" si="29"/>
        <v>113.04823770491819</v>
      </c>
      <c r="W281">
        <v>658.5</v>
      </c>
      <c r="X281">
        <f t="shared" si="30"/>
        <v>31251.3</v>
      </c>
      <c r="Y281">
        <v>14.553549150699121</v>
      </c>
    </row>
    <row r="282" spans="1:25" x14ac:dyDescent="0.35">
      <c r="A282">
        <v>2920</v>
      </c>
      <c r="B282">
        <v>23610</v>
      </c>
      <c r="C282" s="1">
        <v>42862</v>
      </c>
      <c r="F282" s="37"/>
      <c r="G282">
        <v>12.6</v>
      </c>
      <c r="H282">
        <v>11.1</v>
      </c>
      <c r="I282">
        <v>16.2</v>
      </c>
      <c r="J282">
        <f t="shared" si="27"/>
        <v>1872.1999999999998</v>
      </c>
      <c r="K282">
        <f t="shared" si="28"/>
        <v>187.8</v>
      </c>
      <c r="M282">
        <v>0</v>
      </c>
      <c r="N282">
        <v>2.2000000000000002</v>
      </c>
      <c r="O282">
        <f t="shared" si="31"/>
        <v>-2.2000000000000002</v>
      </c>
      <c r="Q282">
        <v>227</v>
      </c>
      <c r="R282">
        <v>1.1499999999999999</v>
      </c>
      <c r="S282">
        <f t="shared" si="32"/>
        <v>2.5299999999999998</v>
      </c>
      <c r="T282">
        <f t="shared" si="33"/>
        <v>-2.5299999999999998</v>
      </c>
      <c r="U282">
        <f t="shared" si="29"/>
        <v>110.51823770491819</v>
      </c>
      <c r="W282">
        <v>1225.2</v>
      </c>
      <c r="X282">
        <f t="shared" si="30"/>
        <v>32476.5</v>
      </c>
      <c r="Y282">
        <v>14.602573680573725</v>
      </c>
    </row>
    <row r="283" spans="1:25" x14ac:dyDescent="0.35">
      <c r="A283">
        <v>2920</v>
      </c>
      <c r="B283">
        <v>23610</v>
      </c>
      <c r="C283" s="1">
        <v>42863</v>
      </c>
      <c r="F283" s="37"/>
      <c r="G283">
        <v>11</v>
      </c>
      <c r="H283">
        <v>6.2</v>
      </c>
      <c r="I283">
        <v>15.7</v>
      </c>
      <c r="J283">
        <f t="shared" si="27"/>
        <v>1883.1999999999998</v>
      </c>
      <c r="K283">
        <f t="shared" si="28"/>
        <v>198.8</v>
      </c>
      <c r="M283">
        <v>0</v>
      </c>
      <c r="N283">
        <v>1.9</v>
      </c>
      <c r="O283">
        <f t="shared" si="31"/>
        <v>-1.9</v>
      </c>
      <c r="Q283">
        <v>228</v>
      </c>
      <c r="R283">
        <v>1.1499999999999999</v>
      </c>
      <c r="S283">
        <f t="shared" si="32"/>
        <v>2.1849999999999996</v>
      </c>
      <c r="T283">
        <f t="shared" si="33"/>
        <v>-2.1849999999999996</v>
      </c>
      <c r="U283">
        <f t="shared" si="29"/>
        <v>108.33323770491819</v>
      </c>
      <c r="W283">
        <v>1214.5999999999999</v>
      </c>
      <c r="X283">
        <f t="shared" si="30"/>
        <v>33691.1</v>
      </c>
      <c r="Y283">
        <v>14.651003233131604</v>
      </c>
    </row>
    <row r="284" spans="1:25" x14ac:dyDescent="0.35">
      <c r="A284">
        <v>2920</v>
      </c>
      <c r="B284">
        <v>23610</v>
      </c>
      <c r="C284" s="1">
        <v>42864</v>
      </c>
      <c r="F284" s="37"/>
      <c r="G284">
        <v>12.1</v>
      </c>
      <c r="H284">
        <v>7.4</v>
      </c>
      <c r="I284">
        <v>16.2</v>
      </c>
      <c r="J284">
        <f t="shared" si="27"/>
        <v>1895.2999999999997</v>
      </c>
      <c r="K284">
        <f t="shared" si="28"/>
        <v>210.9</v>
      </c>
      <c r="M284">
        <v>0</v>
      </c>
      <c r="N284">
        <v>4.4000000000000004</v>
      </c>
      <c r="O284">
        <f t="shared" si="31"/>
        <v>-4.4000000000000004</v>
      </c>
      <c r="Q284">
        <v>229</v>
      </c>
      <c r="R284">
        <v>1.1499999999999999</v>
      </c>
      <c r="S284">
        <f t="shared" si="32"/>
        <v>5.0599999999999996</v>
      </c>
      <c r="T284">
        <f t="shared" si="33"/>
        <v>-5.0599999999999996</v>
      </c>
      <c r="U284">
        <f t="shared" si="29"/>
        <v>103.27323770491819</v>
      </c>
      <c r="W284">
        <v>2817.2</v>
      </c>
      <c r="X284">
        <f t="shared" si="30"/>
        <v>36508.299999999996</v>
      </c>
      <c r="Y284">
        <v>14.69881660269875</v>
      </c>
    </row>
    <row r="285" spans="1:25" x14ac:dyDescent="0.35">
      <c r="A285">
        <v>2920</v>
      </c>
      <c r="B285">
        <v>23610</v>
      </c>
      <c r="C285" s="1">
        <v>42865</v>
      </c>
      <c r="F285" s="37"/>
      <c r="G285">
        <v>13.8</v>
      </c>
      <c r="H285">
        <v>8.9</v>
      </c>
      <c r="I285">
        <v>19</v>
      </c>
      <c r="J285">
        <f t="shared" si="27"/>
        <v>1909.0999999999997</v>
      </c>
      <c r="K285">
        <f t="shared" si="28"/>
        <v>224.70000000000002</v>
      </c>
      <c r="M285">
        <v>1.4</v>
      </c>
      <c r="N285">
        <v>4</v>
      </c>
      <c r="O285">
        <f t="shared" si="31"/>
        <v>-2.6</v>
      </c>
      <c r="Q285">
        <v>230</v>
      </c>
      <c r="R285">
        <v>1.1499999999999999</v>
      </c>
      <c r="S285">
        <f t="shared" si="32"/>
        <v>4.5999999999999996</v>
      </c>
      <c r="T285">
        <f t="shared" si="33"/>
        <v>-3.1999999999999997</v>
      </c>
      <c r="U285">
        <f t="shared" si="29"/>
        <v>100.07323770491818</v>
      </c>
      <c r="W285">
        <v>2372.5</v>
      </c>
      <c r="X285">
        <f t="shared" si="30"/>
        <v>38880.799999999996</v>
      </c>
      <c r="Y285">
        <v>14.74599223507734</v>
      </c>
    </row>
    <row r="286" spans="1:25" x14ac:dyDescent="0.35">
      <c r="A286">
        <v>2920</v>
      </c>
      <c r="B286">
        <v>23610</v>
      </c>
      <c r="C286" s="1">
        <v>42866</v>
      </c>
      <c r="F286" s="37"/>
      <c r="G286">
        <v>14.1</v>
      </c>
      <c r="H286">
        <v>13.2</v>
      </c>
      <c r="I286">
        <v>15.6</v>
      </c>
      <c r="J286">
        <f t="shared" si="27"/>
        <v>1923.1999999999996</v>
      </c>
      <c r="K286">
        <f t="shared" si="28"/>
        <v>238.8</v>
      </c>
      <c r="M286">
        <v>3.5</v>
      </c>
      <c r="N286">
        <v>1.6</v>
      </c>
      <c r="O286">
        <f t="shared" si="31"/>
        <v>1.9</v>
      </c>
      <c r="Q286">
        <v>231</v>
      </c>
      <c r="R286">
        <v>1.1499999999999999</v>
      </c>
      <c r="S286">
        <f t="shared" si="32"/>
        <v>1.8399999999999999</v>
      </c>
      <c r="T286">
        <f t="shared" si="33"/>
        <v>1.6600000000000001</v>
      </c>
      <c r="U286">
        <f t="shared" si="29"/>
        <v>101.73323770491818</v>
      </c>
      <c r="W286">
        <v>867</v>
      </c>
      <c r="X286">
        <f t="shared" si="30"/>
        <v>39747.799999999996</v>
      </c>
      <c r="Y286">
        <v>14.792508243950039</v>
      </c>
    </row>
    <row r="287" spans="1:25" x14ac:dyDescent="0.35">
      <c r="A287">
        <v>2920</v>
      </c>
      <c r="B287">
        <v>23610</v>
      </c>
      <c r="C287" s="1">
        <v>42867</v>
      </c>
      <c r="F287" s="37"/>
      <c r="G287">
        <v>14.8</v>
      </c>
      <c r="H287">
        <v>12.9</v>
      </c>
      <c r="I287">
        <v>17.600000000000001</v>
      </c>
      <c r="J287">
        <f t="shared" si="27"/>
        <v>1937.9999999999995</v>
      </c>
      <c r="K287">
        <f t="shared" si="28"/>
        <v>253.60000000000002</v>
      </c>
      <c r="M287">
        <v>2.2000000000000002</v>
      </c>
      <c r="N287">
        <v>1.8</v>
      </c>
      <c r="O287">
        <f t="shared" si="31"/>
        <v>0.40000000000000013</v>
      </c>
      <c r="Q287">
        <v>232</v>
      </c>
      <c r="R287">
        <v>1.1499999999999999</v>
      </c>
      <c r="S287">
        <f t="shared" si="32"/>
        <v>2.0699999999999998</v>
      </c>
      <c r="T287">
        <f t="shared" si="33"/>
        <v>0.13000000000000034</v>
      </c>
      <c r="U287">
        <f t="shared" si="29"/>
        <v>101.86323770491818</v>
      </c>
      <c r="W287">
        <v>807.5</v>
      </c>
      <c r="X287">
        <f t="shared" si="30"/>
        <v>40555.299999999996</v>
      </c>
      <c r="Y287">
        <v>14.838342429228982</v>
      </c>
    </row>
    <row r="288" spans="1:25" x14ac:dyDescent="0.35">
      <c r="A288">
        <v>2920</v>
      </c>
      <c r="B288">
        <v>23610</v>
      </c>
      <c r="C288" s="1">
        <v>42868</v>
      </c>
      <c r="F288" s="37"/>
      <c r="G288">
        <v>14.6</v>
      </c>
      <c r="H288">
        <v>11.6</v>
      </c>
      <c r="I288">
        <v>17.2</v>
      </c>
      <c r="J288">
        <f t="shared" si="27"/>
        <v>1952.5999999999995</v>
      </c>
      <c r="K288">
        <f t="shared" si="28"/>
        <v>268.20000000000005</v>
      </c>
      <c r="M288">
        <v>1.7</v>
      </c>
      <c r="N288">
        <v>1.9</v>
      </c>
      <c r="O288">
        <f t="shared" si="31"/>
        <v>-0.19999999999999996</v>
      </c>
      <c r="Q288">
        <v>233</v>
      </c>
      <c r="R288">
        <v>1.1499999999999999</v>
      </c>
      <c r="S288">
        <f t="shared" si="32"/>
        <v>2.1849999999999996</v>
      </c>
      <c r="T288">
        <f t="shared" si="33"/>
        <v>-0.48499999999999965</v>
      </c>
      <c r="U288">
        <f t="shared" si="29"/>
        <v>101.37823770491818</v>
      </c>
      <c r="W288">
        <v>1069.9000000000001</v>
      </c>
      <c r="X288">
        <f t="shared" si="30"/>
        <v>41625.199999999997</v>
      </c>
      <c r="Y288">
        <v>14.883472297397407</v>
      </c>
    </row>
    <row r="289" spans="1:26" x14ac:dyDescent="0.35">
      <c r="A289">
        <v>2920</v>
      </c>
      <c r="B289">
        <v>23610</v>
      </c>
      <c r="C289" s="1">
        <v>42869</v>
      </c>
      <c r="F289" s="37"/>
      <c r="G289">
        <v>15</v>
      </c>
      <c r="H289">
        <v>12.8</v>
      </c>
      <c r="I289">
        <v>18.100000000000001</v>
      </c>
      <c r="J289">
        <f t="shared" si="27"/>
        <v>1967.5999999999995</v>
      </c>
      <c r="K289">
        <f t="shared" si="28"/>
        <v>283.20000000000005</v>
      </c>
      <c r="M289">
        <v>0</v>
      </c>
      <c r="N289">
        <v>3.5</v>
      </c>
      <c r="O289">
        <f t="shared" si="31"/>
        <v>-3.5</v>
      </c>
      <c r="Q289">
        <v>234</v>
      </c>
      <c r="R289">
        <v>1.1499999999999999</v>
      </c>
      <c r="S289">
        <f t="shared" si="32"/>
        <v>4.0249999999999995</v>
      </c>
      <c r="T289">
        <f t="shared" si="33"/>
        <v>-4.0249999999999995</v>
      </c>
      <c r="U289">
        <f t="shared" si="29"/>
        <v>97.353237704918172</v>
      </c>
      <c r="W289">
        <v>1961</v>
      </c>
      <c r="X289">
        <f t="shared" si="30"/>
        <v>43586.2</v>
      </c>
      <c r="Y289">
        <v>14.927875083885819</v>
      </c>
    </row>
    <row r="290" spans="1:26" s="4" customFormat="1" ht="15" thickBot="1" x14ac:dyDescent="0.4">
      <c r="A290" s="4">
        <v>2920</v>
      </c>
      <c r="B290" s="4">
        <v>23610</v>
      </c>
      <c r="C290" s="5">
        <v>42870</v>
      </c>
      <c r="D290" s="4">
        <v>300</v>
      </c>
      <c r="F290" s="38"/>
      <c r="G290" s="4">
        <v>16.899999999999999</v>
      </c>
      <c r="H290" s="4">
        <v>11.5</v>
      </c>
      <c r="I290" s="4">
        <v>20.7</v>
      </c>
      <c r="J290" s="4">
        <f t="shared" si="27"/>
        <v>1984.4999999999995</v>
      </c>
      <c r="K290" s="4">
        <f t="shared" si="28"/>
        <v>300.10000000000002</v>
      </c>
      <c r="M290" s="4">
        <v>0</v>
      </c>
      <c r="N290" s="4">
        <v>1.2</v>
      </c>
      <c r="O290" s="4">
        <f t="shared" si="31"/>
        <v>-1.2</v>
      </c>
      <c r="Q290" s="4">
        <v>235</v>
      </c>
      <c r="R290" s="4">
        <v>1.1499999999999999</v>
      </c>
      <c r="S290" s="4">
        <f t="shared" si="32"/>
        <v>1.38</v>
      </c>
      <c r="T290" s="4">
        <f t="shared" si="33"/>
        <v>-1.38</v>
      </c>
      <c r="U290" s="4">
        <f t="shared" si="29"/>
        <v>95.973237704918176</v>
      </c>
      <c r="W290" s="4">
        <v>708.6</v>
      </c>
      <c r="X290" s="4">
        <f t="shared" si="30"/>
        <v>44294.799999999996</v>
      </c>
      <c r="Y290" s="4">
        <v>14.97152777751722</v>
      </c>
    </row>
    <row r="291" spans="1:26" x14ac:dyDescent="0.35">
      <c r="A291">
        <v>2920</v>
      </c>
      <c r="B291">
        <v>23610</v>
      </c>
      <c r="C291" s="1">
        <v>42871</v>
      </c>
      <c r="F291" s="39" t="s">
        <v>57</v>
      </c>
      <c r="G291">
        <v>20.6</v>
      </c>
      <c r="H291">
        <v>15.4</v>
      </c>
      <c r="I291">
        <v>25.2</v>
      </c>
      <c r="J291">
        <f t="shared" si="27"/>
        <v>2005.0999999999995</v>
      </c>
      <c r="K291">
        <f>+G291</f>
        <v>20.6</v>
      </c>
      <c r="L291" s="14" t="s">
        <v>36</v>
      </c>
      <c r="M291">
        <v>0</v>
      </c>
      <c r="N291">
        <v>2.9</v>
      </c>
      <c r="O291">
        <f t="shared" si="31"/>
        <v>-2.9</v>
      </c>
      <c r="Q291">
        <v>236</v>
      </c>
      <c r="R291">
        <f>1.15+((Q291-235)/42)*(0.35-1.15)</f>
        <v>1.1309523809523809</v>
      </c>
      <c r="S291">
        <f t="shared" si="32"/>
        <v>3.2797619047619047</v>
      </c>
      <c r="T291">
        <f t="shared" si="33"/>
        <v>-3.2797619047619047</v>
      </c>
      <c r="U291">
        <f t="shared" si="29"/>
        <v>92.693475800156278</v>
      </c>
      <c r="V291" s="19" t="s">
        <v>43</v>
      </c>
      <c r="W291">
        <v>1664.6</v>
      </c>
      <c r="X291">
        <f>W291</f>
        <v>1664.6</v>
      </c>
      <c r="Y291">
        <v>15.014407147047871</v>
      </c>
      <c r="Z291" s="19" t="s">
        <v>48</v>
      </c>
    </row>
    <row r="292" spans="1:26" x14ac:dyDescent="0.35">
      <c r="A292">
        <v>2920</v>
      </c>
      <c r="B292">
        <v>23610</v>
      </c>
      <c r="C292" s="1">
        <v>42872</v>
      </c>
      <c r="F292" s="40"/>
      <c r="G292">
        <v>16.100000000000001</v>
      </c>
      <c r="H292">
        <v>15.8</v>
      </c>
      <c r="I292">
        <v>17.899999999999999</v>
      </c>
      <c r="J292">
        <f t="shared" si="27"/>
        <v>2021.1999999999994</v>
      </c>
      <c r="K292">
        <f t="shared" si="28"/>
        <v>36.700000000000003</v>
      </c>
      <c r="L292" s="8">
        <v>313.39999999999998</v>
      </c>
      <c r="M292">
        <v>11.9</v>
      </c>
      <c r="N292">
        <v>1.4</v>
      </c>
      <c r="O292">
        <f t="shared" si="31"/>
        <v>10.5</v>
      </c>
      <c r="Q292">
        <v>237</v>
      </c>
      <c r="R292">
        <f t="shared" ref="R292:R332" si="34">1.15+((Q292-235)/42)*(0.35-1.15)</f>
        <v>1.1119047619047617</v>
      </c>
      <c r="S292">
        <f t="shared" si="32"/>
        <v>1.5566666666666664</v>
      </c>
      <c r="T292">
        <f t="shared" si="33"/>
        <v>10.343333333333334</v>
      </c>
      <c r="U292">
        <f t="shared" si="29"/>
        <v>103.03680913348961</v>
      </c>
      <c r="V292">
        <v>0</v>
      </c>
      <c r="W292">
        <v>701.4</v>
      </c>
      <c r="X292">
        <f t="shared" si="30"/>
        <v>2366</v>
      </c>
      <c r="Y292">
        <v>15.056489769820892</v>
      </c>
      <c r="Z292">
        <v>32634.2</v>
      </c>
    </row>
    <row r="293" spans="1:26" x14ac:dyDescent="0.35">
      <c r="A293">
        <v>2920</v>
      </c>
      <c r="B293">
        <v>23610</v>
      </c>
      <c r="C293" s="1">
        <v>42873</v>
      </c>
      <c r="F293" s="40"/>
      <c r="G293">
        <v>11.1</v>
      </c>
      <c r="H293">
        <v>9.9</v>
      </c>
      <c r="I293">
        <v>12.4</v>
      </c>
      <c r="J293">
        <f t="shared" si="27"/>
        <v>2032.2999999999993</v>
      </c>
      <c r="K293">
        <f t="shared" si="28"/>
        <v>47.800000000000004</v>
      </c>
      <c r="L293" s="14" t="s">
        <v>37</v>
      </c>
      <c r="M293">
        <v>1.6</v>
      </c>
      <c r="N293">
        <v>1.2</v>
      </c>
      <c r="O293">
        <f t="shared" si="31"/>
        <v>0.40000000000000013</v>
      </c>
      <c r="Q293">
        <v>238</v>
      </c>
      <c r="R293">
        <f t="shared" si="34"/>
        <v>1.0928571428571427</v>
      </c>
      <c r="S293">
        <f t="shared" si="32"/>
        <v>1.3114285714285712</v>
      </c>
      <c r="T293">
        <f t="shared" si="33"/>
        <v>0.28857142857142892</v>
      </c>
      <c r="U293">
        <f t="shared" si="29"/>
        <v>103.32538056206104</v>
      </c>
      <c r="V293" s="19" t="s">
        <v>44</v>
      </c>
      <c r="W293">
        <v>949</v>
      </c>
      <c r="X293">
        <f t="shared" si="30"/>
        <v>3315</v>
      </c>
      <c r="Y293">
        <v>15.097752062539845</v>
      </c>
      <c r="Z293" s="19" t="s">
        <v>49</v>
      </c>
    </row>
    <row r="294" spans="1:26" x14ac:dyDescent="0.35">
      <c r="A294">
        <v>2920</v>
      </c>
      <c r="B294">
        <v>23610</v>
      </c>
      <c r="C294" s="1">
        <v>42874</v>
      </c>
      <c r="F294" s="40"/>
      <c r="G294">
        <v>10.9</v>
      </c>
      <c r="H294">
        <v>8</v>
      </c>
      <c r="I294">
        <v>14.9</v>
      </c>
      <c r="J294">
        <f t="shared" si="27"/>
        <v>2043.1999999999994</v>
      </c>
      <c r="K294">
        <f t="shared" si="28"/>
        <v>58.7</v>
      </c>
      <c r="L294" s="9">
        <f>AVERAGE(G291:G308)</f>
        <v>17.411111111111111</v>
      </c>
      <c r="M294">
        <v>5.2</v>
      </c>
      <c r="N294">
        <v>1.9</v>
      </c>
      <c r="O294">
        <f t="shared" si="31"/>
        <v>3.3000000000000003</v>
      </c>
      <c r="Q294">
        <v>239</v>
      </c>
      <c r="R294">
        <f t="shared" si="34"/>
        <v>1.0738095238095238</v>
      </c>
      <c r="S294">
        <f t="shared" si="32"/>
        <v>2.0402380952380952</v>
      </c>
      <c r="T294">
        <f t="shared" si="33"/>
        <v>3.159761904761905</v>
      </c>
      <c r="U294">
        <f t="shared" si="29"/>
        <v>106.48514246682295</v>
      </c>
      <c r="V294">
        <v>0</v>
      </c>
      <c r="W294">
        <v>1294.4000000000001</v>
      </c>
      <c r="X294">
        <f t="shared" si="30"/>
        <v>4609.3999999999996</v>
      </c>
      <c r="Y294">
        <v>15.138170314158373</v>
      </c>
      <c r="Z294">
        <f>(Z292/100)/L292</f>
        <v>1.0412954690491385</v>
      </c>
    </row>
    <row r="295" spans="1:26" x14ac:dyDescent="0.35">
      <c r="A295">
        <v>2920</v>
      </c>
      <c r="B295">
        <v>23610</v>
      </c>
      <c r="C295" s="1">
        <v>42875</v>
      </c>
      <c r="F295" s="40"/>
      <c r="G295">
        <v>11.9</v>
      </c>
      <c r="H295">
        <v>7.9</v>
      </c>
      <c r="I295">
        <v>16</v>
      </c>
      <c r="J295">
        <f t="shared" si="27"/>
        <v>2055.0999999999995</v>
      </c>
      <c r="K295">
        <f t="shared" si="28"/>
        <v>70.600000000000009</v>
      </c>
      <c r="L295" s="14" t="s">
        <v>38</v>
      </c>
      <c r="M295">
        <v>0.1</v>
      </c>
      <c r="N295">
        <v>2</v>
      </c>
      <c r="O295">
        <f t="shared" si="31"/>
        <v>-1.9</v>
      </c>
      <c r="Q295">
        <v>240</v>
      </c>
      <c r="R295">
        <f t="shared" si="34"/>
        <v>1.0547619047619048</v>
      </c>
      <c r="S295">
        <f t="shared" si="32"/>
        <v>2.1095238095238096</v>
      </c>
      <c r="T295">
        <f t="shared" si="33"/>
        <v>-2.0095238095238095</v>
      </c>
      <c r="U295">
        <f t="shared" si="29"/>
        <v>104.47561865729914</v>
      </c>
      <c r="V295" s="19" t="s">
        <v>45</v>
      </c>
      <c r="W295">
        <v>1225.5</v>
      </c>
      <c r="X295">
        <f t="shared" si="30"/>
        <v>5834.9</v>
      </c>
      <c r="Y295">
        <v>15.177720720869829</v>
      </c>
      <c r="Z295" s="19" t="s">
        <v>50</v>
      </c>
    </row>
    <row r="296" spans="1:26" x14ac:dyDescent="0.35">
      <c r="A296">
        <v>2920</v>
      </c>
      <c r="B296">
        <v>23610</v>
      </c>
      <c r="C296" s="1">
        <v>42876</v>
      </c>
      <c r="F296" s="40"/>
      <c r="G296">
        <v>14.6</v>
      </c>
      <c r="H296">
        <v>8.4</v>
      </c>
      <c r="I296">
        <v>20.100000000000001</v>
      </c>
      <c r="J296">
        <f t="shared" si="27"/>
        <v>2069.6999999999994</v>
      </c>
      <c r="K296">
        <f t="shared" si="28"/>
        <v>85.2</v>
      </c>
      <c r="L296" s="8">
        <f>MIN(H291:H308)</f>
        <v>7.9</v>
      </c>
      <c r="M296">
        <v>0</v>
      </c>
      <c r="N296">
        <v>4</v>
      </c>
      <c r="O296">
        <f t="shared" si="31"/>
        <v>-4</v>
      </c>
      <c r="Q296">
        <v>241</v>
      </c>
      <c r="R296">
        <f t="shared" si="34"/>
        <v>1.0357142857142856</v>
      </c>
      <c r="S296">
        <f t="shared" si="32"/>
        <v>4.1428571428571423</v>
      </c>
      <c r="T296">
        <f t="shared" si="33"/>
        <v>-4.1428571428571423</v>
      </c>
      <c r="U296">
        <f t="shared" si="29"/>
        <v>100.332761514442</v>
      </c>
      <c r="V296" s="17">
        <f>MIN(U291:U308)</f>
        <v>71.419428181108671</v>
      </c>
      <c r="W296">
        <v>2546.4</v>
      </c>
      <c r="X296">
        <f t="shared" si="30"/>
        <v>8381.2999999999993</v>
      </c>
      <c r="Y296">
        <v>15.216379423167773</v>
      </c>
      <c r="Z296">
        <v>3</v>
      </c>
    </row>
    <row r="297" spans="1:26" x14ac:dyDescent="0.35">
      <c r="A297">
        <v>2920</v>
      </c>
      <c r="B297">
        <v>23610</v>
      </c>
      <c r="C297" s="1">
        <v>42877</v>
      </c>
      <c r="F297" s="40"/>
      <c r="G297">
        <v>16.8</v>
      </c>
      <c r="H297">
        <v>10.6</v>
      </c>
      <c r="I297">
        <v>24.1</v>
      </c>
      <c r="J297">
        <f t="shared" si="27"/>
        <v>2086.4999999999995</v>
      </c>
      <c r="K297">
        <f t="shared" si="28"/>
        <v>102</v>
      </c>
      <c r="L297" s="14" t="s">
        <v>39</v>
      </c>
      <c r="M297">
        <v>0</v>
      </c>
      <c r="N297">
        <v>4.5999999999999996</v>
      </c>
      <c r="O297">
        <f t="shared" si="31"/>
        <v>-4.5999999999999996</v>
      </c>
      <c r="Q297">
        <v>242</v>
      </c>
      <c r="R297">
        <f t="shared" si="34"/>
        <v>1.0166666666666666</v>
      </c>
      <c r="S297">
        <f t="shared" si="32"/>
        <v>4.6766666666666659</v>
      </c>
      <c r="T297">
        <f t="shared" si="33"/>
        <v>-4.6766666666666659</v>
      </c>
      <c r="U297">
        <f t="shared" si="29"/>
        <v>95.656094847775336</v>
      </c>
      <c r="V297" s="19" t="s">
        <v>46</v>
      </c>
      <c r="W297">
        <v>2566.5</v>
      </c>
      <c r="X297">
        <f t="shared" si="30"/>
        <v>10947.8</v>
      </c>
      <c r="Y297">
        <v>15.254122544934269</v>
      </c>
    </row>
    <row r="298" spans="1:26" x14ac:dyDescent="0.35">
      <c r="A298">
        <v>2920</v>
      </c>
      <c r="B298">
        <v>23610</v>
      </c>
      <c r="C298" s="1">
        <v>42878</v>
      </c>
      <c r="F298" s="40"/>
      <c r="G298">
        <v>17.100000000000001</v>
      </c>
      <c r="H298">
        <v>12.2</v>
      </c>
      <c r="I298">
        <v>20.9</v>
      </c>
      <c r="J298">
        <f t="shared" si="27"/>
        <v>2103.5999999999995</v>
      </c>
      <c r="K298">
        <f t="shared" si="28"/>
        <v>119.1</v>
      </c>
      <c r="L298" s="8">
        <f>MAX(I291:I308)</f>
        <v>28.6</v>
      </c>
      <c r="M298">
        <v>0</v>
      </c>
      <c r="N298">
        <v>3.6</v>
      </c>
      <c r="O298">
        <f t="shared" si="31"/>
        <v>-3.6</v>
      </c>
      <c r="Q298">
        <v>243</v>
      </c>
      <c r="R298">
        <f t="shared" si="34"/>
        <v>0.99761904761904752</v>
      </c>
      <c r="S298">
        <f t="shared" si="32"/>
        <v>3.5914285714285712</v>
      </c>
      <c r="T298">
        <f t="shared" si="33"/>
        <v>-3.5914285714285712</v>
      </c>
      <c r="U298">
        <f t="shared" si="29"/>
        <v>92.06466627634677</v>
      </c>
      <c r="V298" s="17">
        <f>MAX(U291:U308)</f>
        <v>106.48514246682295</v>
      </c>
      <c r="W298">
        <v>2066.4</v>
      </c>
      <c r="X298">
        <f t="shared" si="30"/>
        <v>13014.199999999999</v>
      </c>
      <c r="Y298">
        <v>15.290926234498</v>
      </c>
    </row>
    <row r="299" spans="1:26" x14ac:dyDescent="0.35">
      <c r="A299">
        <v>2920</v>
      </c>
      <c r="B299">
        <v>23610</v>
      </c>
      <c r="C299" s="1">
        <v>42879</v>
      </c>
      <c r="F299" s="40"/>
      <c r="G299">
        <v>18.399999999999999</v>
      </c>
      <c r="H299">
        <v>14.4</v>
      </c>
      <c r="I299">
        <v>22.9</v>
      </c>
      <c r="J299">
        <f t="shared" si="27"/>
        <v>2121.9999999999995</v>
      </c>
      <c r="K299">
        <f t="shared" si="28"/>
        <v>137.5</v>
      </c>
      <c r="L299" s="14" t="s">
        <v>40</v>
      </c>
      <c r="M299">
        <v>0</v>
      </c>
      <c r="N299">
        <v>3.3</v>
      </c>
      <c r="O299">
        <f t="shared" si="31"/>
        <v>-3.3</v>
      </c>
      <c r="Q299">
        <v>244</v>
      </c>
      <c r="R299">
        <f t="shared" si="34"/>
        <v>0.97857142857142854</v>
      </c>
      <c r="S299">
        <f t="shared" si="32"/>
        <v>3.2292857142857141</v>
      </c>
      <c r="T299">
        <f t="shared" si="33"/>
        <v>-3.2292857142857141</v>
      </c>
      <c r="U299">
        <f t="shared" si="29"/>
        <v>88.835380562061061</v>
      </c>
      <c r="V299" s="19" t="s">
        <v>47</v>
      </c>
      <c r="W299">
        <v>1870.4</v>
      </c>
      <c r="X299">
        <f t="shared" si="30"/>
        <v>14884.599999999999</v>
      </c>
      <c r="Y299">
        <v>15.326766707588753</v>
      </c>
    </row>
    <row r="300" spans="1:26" x14ac:dyDescent="0.35">
      <c r="A300">
        <v>2920</v>
      </c>
      <c r="B300">
        <v>23610</v>
      </c>
      <c r="C300" s="1">
        <v>42880</v>
      </c>
      <c r="F300" s="40"/>
      <c r="G300">
        <v>21.1</v>
      </c>
      <c r="H300">
        <v>15.4</v>
      </c>
      <c r="I300">
        <v>26</v>
      </c>
      <c r="J300">
        <f t="shared" si="27"/>
        <v>2143.0999999999995</v>
      </c>
      <c r="K300">
        <f t="shared" si="28"/>
        <v>158.6</v>
      </c>
      <c r="L300" s="8">
        <v>4</v>
      </c>
      <c r="M300">
        <v>0</v>
      </c>
      <c r="N300">
        <v>6.3</v>
      </c>
      <c r="O300">
        <f t="shared" si="31"/>
        <v>-6.3</v>
      </c>
      <c r="Q300">
        <v>245</v>
      </c>
      <c r="R300">
        <f t="shared" si="34"/>
        <v>0.95952380952380945</v>
      </c>
      <c r="S300">
        <f t="shared" si="32"/>
        <v>6.044999999999999</v>
      </c>
      <c r="T300">
        <f t="shared" si="33"/>
        <v>-6.044999999999999</v>
      </c>
      <c r="U300">
        <f t="shared" si="29"/>
        <v>82.79038056206106</v>
      </c>
      <c r="V300" s="17">
        <f>AVERAGE(U291:U308)</f>
        <v>89.16937527105577</v>
      </c>
      <c r="W300">
        <v>3081.6</v>
      </c>
      <c r="X300">
        <f t="shared" si="30"/>
        <v>17966.199999999997</v>
      </c>
      <c r="Y300">
        <v>15.361620292098312</v>
      </c>
    </row>
    <row r="301" spans="1:26" x14ac:dyDescent="0.35">
      <c r="A301">
        <v>2920</v>
      </c>
      <c r="B301">
        <v>23610</v>
      </c>
      <c r="C301" s="1">
        <v>42881</v>
      </c>
      <c r="F301" s="40"/>
      <c r="G301">
        <v>23</v>
      </c>
      <c r="H301">
        <v>17.899999999999999</v>
      </c>
      <c r="I301">
        <v>28.6</v>
      </c>
      <c r="J301">
        <f t="shared" si="27"/>
        <v>2166.0999999999995</v>
      </c>
      <c r="K301">
        <f t="shared" si="28"/>
        <v>181.6</v>
      </c>
      <c r="L301" s="14" t="s">
        <v>41</v>
      </c>
      <c r="M301">
        <v>0</v>
      </c>
      <c r="N301">
        <v>6.8</v>
      </c>
      <c r="O301">
        <f t="shared" si="31"/>
        <v>-6.8</v>
      </c>
      <c r="Q301">
        <v>246</v>
      </c>
      <c r="R301">
        <f t="shared" si="34"/>
        <v>0.94047619047619035</v>
      </c>
      <c r="S301">
        <f t="shared" si="32"/>
        <v>6.3952380952380938</v>
      </c>
      <c r="T301">
        <f t="shared" si="33"/>
        <v>-6.3952380952380938</v>
      </c>
      <c r="U301">
        <f t="shared" si="29"/>
        <v>76.395142466822961</v>
      </c>
      <c r="W301">
        <v>3016.8</v>
      </c>
      <c r="X301">
        <f t="shared" si="30"/>
        <v>20982.999999999996</v>
      </c>
      <c r="Y301">
        <v>15.395463474541168</v>
      </c>
    </row>
    <row r="302" spans="1:26" x14ac:dyDescent="0.35">
      <c r="A302">
        <v>2920</v>
      </c>
      <c r="B302">
        <v>23610</v>
      </c>
      <c r="C302" s="1">
        <v>42882</v>
      </c>
      <c r="F302" s="40"/>
      <c r="G302">
        <v>20.399999999999999</v>
      </c>
      <c r="H302">
        <v>17</v>
      </c>
      <c r="I302">
        <v>24.9</v>
      </c>
      <c r="J302">
        <f t="shared" si="27"/>
        <v>2186.4999999999995</v>
      </c>
      <c r="K302">
        <f t="shared" si="28"/>
        <v>202</v>
      </c>
      <c r="L302" s="8">
        <v>0</v>
      </c>
      <c r="M302">
        <v>0</v>
      </c>
      <c r="N302">
        <v>5.4</v>
      </c>
      <c r="O302">
        <f t="shared" si="31"/>
        <v>-5.4</v>
      </c>
      <c r="Q302">
        <v>247</v>
      </c>
      <c r="R302">
        <f t="shared" si="34"/>
        <v>0.92142857142857137</v>
      </c>
      <c r="S302">
        <f t="shared" si="32"/>
        <v>4.975714285714286</v>
      </c>
      <c r="T302">
        <f t="shared" si="33"/>
        <v>-4.975714285714286</v>
      </c>
      <c r="U302">
        <f t="shared" si="29"/>
        <v>71.419428181108671</v>
      </c>
      <c r="V302" s="18">
        <f>(V300*100)/197.4</f>
        <v>45.171922629714174</v>
      </c>
      <c r="W302">
        <v>2803.8</v>
      </c>
      <c r="X302">
        <f t="shared" si="30"/>
        <v>23786.799999999996</v>
      </c>
      <c r="Y302">
        <v>15.428272948090985</v>
      </c>
    </row>
    <row r="303" spans="1:26" x14ac:dyDescent="0.35">
      <c r="A303">
        <v>2920</v>
      </c>
      <c r="B303">
        <v>23610</v>
      </c>
      <c r="C303" s="1">
        <v>42883</v>
      </c>
      <c r="F303" s="40"/>
      <c r="G303">
        <v>19.5</v>
      </c>
      <c r="H303">
        <v>14.3</v>
      </c>
      <c r="I303">
        <v>24.4</v>
      </c>
      <c r="J303">
        <f t="shared" si="27"/>
        <v>2205.9999999999995</v>
      </c>
      <c r="K303">
        <f t="shared" si="28"/>
        <v>221.5</v>
      </c>
      <c r="L303" s="14" t="s">
        <v>42</v>
      </c>
      <c r="M303">
        <v>5.2</v>
      </c>
      <c r="N303">
        <v>2.8</v>
      </c>
      <c r="O303">
        <f t="shared" si="31"/>
        <v>2.4000000000000004</v>
      </c>
      <c r="Q303">
        <v>248</v>
      </c>
      <c r="R303">
        <f t="shared" si="34"/>
        <v>0.90238095238095228</v>
      </c>
      <c r="S303">
        <f t="shared" si="32"/>
        <v>2.5266666666666664</v>
      </c>
      <c r="T303">
        <f t="shared" si="33"/>
        <v>2.6733333333333338</v>
      </c>
      <c r="U303">
        <f t="shared" si="29"/>
        <v>74.092761514442003</v>
      </c>
      <c r="W303">
        <v>1745.3</v>
      </c>
      <c r="X303">
        <f t="shared" si="30"/>
        <v>25532.099999999995</v>
      </c>
      <c r="Y303">
        <v>15.460025662051269</v>
      </c>
    </row>
    <row r="304" spans="1:26" x14ac:dyDescent="0.35">
      <c r="A304">
        <v>2920</v>
      </c>
      <c r="B304">
        <v>23610</v>
      </c>
      <c r="C304" s="1">
        <v>42884</v>
      </c>
      <c r="F304" s="40"/>
      <c r="G304">
        <v>17.100000000000001</v>
      </c>
      <c r="H304">
        <v>16.2</v>
      </c>
      <c r="I304">
        <v>19.5</v>
      </c>
      <c r="J304">
        <f t="shared" si="27"/>
        <v>2223.0999999999995</v>
      </c>
      <c r="K304">
        <f t="shared" si="28"/>
        <v>238.6</v>
      </c>
      <c r="L304" s="8">
        <v>0</v>
      </c>
      <c r="M304">
        <v>14.3</v>
      </c>
      <c r="N304">
        <v>1.4</v>
      </c>
      <c r="O304">
        <f t="shared" si="31"/>
        <v>12.9</v>
      </c>
      <c r="Q304">
        <v>249</v>
      </c>
      <c r="R304">
        <f t="shared" si="34"/>
        <v>0.8833333333333333</v>
      </c>
      <c r="S304">
        <f t="shared" si="32"/>
        <v>1.2366666666666666</v>
      </c>
      <c r="T304">
        <f t="shared" si="33"/>
        <v>13.063333333333334</v>
      </c>
      <c r="U304">
        <f t="shared" si="29"/>
        <v>87.156094847775336</v>
      </c>
      <c r="W304">
        <v>514.70000000000005</v>
      </c>
      <c r="X304">
        <f t="shared" si="30"/>
        <v>26046.799999999996</v>
      </c>
      <c r="Y304">
        <v>15.490698872601032</v>
      </c>
    </row>
    <row r="305" spans="1:26" x14ac:dyDescent="0.35">
      <c r="A305">
        <v>2920</v>
      </c>
      <c r="B305">
        <v>23610</v>
      </c>
      <c r="C305" s="1">
        <v>42885</v>
      </c>
      <c r="F305" s="40"/>
      <c r="G305">
        <v>16.399999999999999</v>
      </c>
      <c r="H305">
        <v>14.1</v>
      </c>
      <c r="I305">
        <v>19.3</v>
      </c>
      <c r="J305">
        <f t="shared" si="27"/>
        <v>2239.4999999999995</v>
      </c>
      <c r="K305">
        <f t="shared" si="28"/>
        <v>255</v>
      </c>
      <c r="M305">
        <v>0</v>
      </c>
      <c r="N305">
        <v>1.4</v>
      </c>
      <c r="O305">
        <f t="shared" si="31"/>
        <v>-1.4</v>
      </c>
      <c r="Q305">
        <v>250</v>
      </c>
      <c r="R305">
        <f t="shared" si="34"/>
        <v>0.86428571428571421</v>
      </c>
      <c r="S305">
        <f t="shared" si="32"/>
        <v>1.2099999999999997</v>
      </c>
      <c r="T305">
        <f t="shared" si="33"/>
        <v>-1.2099999999999997</v>
      </c>
      <c r="U305">
        <f t="shared" si="29"/>
        <v>85.946094847775342</v>
      </c>
      <c r="W305">
        <v>659.9</v>
      </c>
      <c r="X305">
        <f t="shared" si="30"/>
        <v>26706.699999999997</v>
      </c>
      <c r="Y305">
        <v>15.520270194638618</v>
      </c>
    </row>
    <row r="306" spans="1:26" x14ac:dyDescent="0.35">
      <c r="A306">
        <v>2920</v>
      </c>
      <c r="B306">
        <v>23610</v>
      </c>
      <c r="C306" s="1">
        <v>42886</v>
      </c>
      <c r="F306" s="40"/>
      <c r="G306">
        <v>18.399999999999999</v>
      </c>
      <c r="H306">
        <v>13.7</v>
      </c>
      <c r="I306">
        <v>22.7</v>
      </c>
      <c r="J306">
        <f t="shared" si="27"/>
        <v>2257.8999999999996</v>
      </c>
      <c r="K306">
        <f t="shared" si="28"/>
        <v>273.39999999999998</v>
      </c>
      <c r="M306">
        <v>0</v>
      </c>
      <c r="N306">
        <v>3.6</v>
      </c>
      <c r="O306">
        <f t="shared" si="31"/>
        <v>-3.6</v>
      </c>
      <c r="Q306">
        <v>251</v>
      </c>
      <c r="R306">
        <f t="shared" si="34"/>
        <v>0.84523809523809512</v>
      </c>
      <c r="S306">
        <f t="shared" si="32"/>
        <v>3.0428571428571427</v>
      </c>
      <c r="T306">
        <f t="shared" si="33"/>
        <v>-3.0428571428571427</v>
      </c>
      <c r="U306">
        <f t="shared" si="29"/>
        <v>82.903237704918197</v>
      </c>
      <c r="W306">
        <v>1910.6</v>
      </c>
      <c r="X306">
        <f t="shared" si="30"/>
        <v>28617.299999999996</v>
      </c>
      <c r="Y306">
        <v>15.548717654529707</v>
      </c>
    </row>
    <row r="307" spans="1:26" x14ac:dyDescent="0.35">
      <c r="A307">
        <v>2920</v>
      </c>
      <c r="B307">
        <v>23610</v>
      </c>
      <c r="C307" s="1">
        <v>42887</v>
      </c>
      <c r="F307" s="40"/>
      <c r="G307">
        <v>20.8</v>
      </c>
      <c r="H307">
        <v>14.2</v>
      </c>
      <c r="I307">
        <v>26.9</v>
      </c>
      <c r="J307">
        <f t="shared" si="27"/>
        <v>2278.6999999999998</v>
      </c>
      <c r="K307">
        <f t="shared" si="28"/>
        <v>294.2</v>
      </c>
      <c r="M307">
        <v>0</v>
      </c>
      <c r="N307">
        <v>2.9</v>
      </c>
      <c r="O307">
        <f t="shared" si="31"/>
        <v>-2.9</v>
      </c>
      <c r="Q307">
        <v>252</v>
      </c>
      <c r="R307">
        <f t="shared" si="34"/>
        <v>0.82619047619047614</v>
      </c>
      <c r="S307">
        <f t="shared" si="32"/>
        <v>2.3959523809523806</v>
      </c>
      <c r="T307">
        <f t="shared" si="33"/>
        <v>-2.3959523809523806</v>
      </c>
      <c r="U307">
        <f t="shared" si="29"/>
        <v>80.507285323965817</v>
      </c>
      <c r="W307">
        <v>1497.9</v>
      </c>
      <c r="X307">
        <f t="shared" si="30"/>
        <v>30115.199999999997</v>
      </c>
      <c r="Y307">
        <v>15.57601974354869</v>
      </c>
    </row>
    <row r="308" spans="1:26" s="4" customFormat="1" ht="15" thickBot="1" x14ac:dyDescent="0.4">
      <c r="A308" s="4">
        <v>2920</v>
      </c>
      <c r="B308" s="4">
        <v>23610</v>
      </c>
      <c r="C308" s="5">
        <v>42888</v>
      </c>
      <c r="D308" s="4">
        <v>600</v>
      </c>
      <c r="F308" s="41"/>
      <c r="G308" s="4">
        <v>19.2</v>
      </c>
      <c r="H308" s="4">
        <v>15.5</v>
      </c>
      <c r="I308" s="4">
        <v>24.5</v>
      </c>
      <c r="J308" s="4">
        <f t="shared" si="27"/>
        <v>2297.8999999999996</v>
      </c>
      <c r="K308" s="4">
        <f t="shared" si="28"/>
        <v>313.39999999999998</v>
      </c>
      <c r="M308" s="4">
        <v>0.3</v>
      </c>
      <c r="N308" s="4">
        <v>4.8</v>
      </c>
      <c r="O308" s="4">
        <f t="shared" si="31"/>
        <v>-4.5</v>
      </c>
      <c r="Q308" s="4">
        <v>253</v>
      </c>
      <c r="R308" s="4">
        <f t="shared" si="34"/>
        <v>0.80714285714285716</v>
      </c>
      <c r="S308" s="4">
        <f t="shared" si="32"/>
        <v>3.8742857142857141</v>
      </c>
      <c r="T308" s="4">
        <f t="shared" si="33"/>
        <v>-3.5742857142857143</v>
      </c>
      <c r="U308" s="4">
        <f t="shared" si="29"/>
        <v>76.93299960968011</v>
      </c>
      <c r="W308" s="4">
        <v>2519</v>
      </c>
      <c r="X308" s="4">
        <f t="shared" si="30"/>
        <v>32634.199999999997</v>
      </c>
      <c r="Y308" s="4">
        <v>15.6021554717868</v>
      </c>
    </row>
    <row r="309" spans="1:26" x14ac:dyDescent="0.35">
      <c r="A309">
        <v>2920</v>
      </c>
      <c r="B309">
        <v>23610</v>
      </c>
      <c r="C309" s="1">
        <v>42889</v>
      </c>
      <c r="F309" s="42" t="s">
        <v>58</v>
      </c>
      <c r="G309">
        <v>15.5</v>
      </c>
      <c r="H309">
        <v>14.7</v>
      </c>
      <c r="I309">
        <v>18</v>
      </c>
      <c r="J309">
        <f t="shared" si="27"/>
        <v>2313.3999999999996</v>
      </c>
      <c r="K309">
        <f>+G309</f>
        <v>15.5</v>
      </c>
      <c r="L309" s="15" t="s">
        <v>36</v>
      </c>
      <c r="M309">
        <v>0</v>
      </c>
      <c r="N309">
        <v>2</v>
      </c>
      <c r="O309">
        <f t="shared" si="31"/>
        <v>-2</v>
      </c>
      <c r="Q309">
        <v>254</v>
      </c>
      <c r="R309">
        <f t="shared" si="34"/>
        <v>0.78809523809523796</v>
      </c>
      <c r="S309">
        <f t="shared" si="32"/>
        <v>1.5761904761904759</v>
      </c>
      <c r="T309">
        <f t="shared" si="33"/>
        <v>-1.5761904761904759</v>
      </c>
      <c r="U309">
        <f t="shared" si="29"/>
        <v>75.356809133489634</v>
      </c>
      <c r="V309" s="16" t="s">
        <v>43</v>
      </c>
      <c r="W309">
        <v>803.4</v>
      </c>
      <c r="X309">
        <f>W309</f>
        <v>803.4</v>
      </c>
      <c r="Y309">
        <v>15.627104422285417</v>
      </c>
      <c r="Z309" s="16" t="s">
        <v>48</v>
      </c>
    </row>
    <row r="310" spans="1:26" x14ac:dyDescent="0.35">
      <c r="A310">
        <v>2920</v>
      </c>
      <c r="B310">
        <v>23610</v>
      </c>
      <c r="C310" s="1">
        <v>42890</v>
      </c>
      <c r="F310" s="43"/>
      <c r="G310">
        <v>15.1</v>
      </c>
      <c r="H310">
        <v>11</v>
      </c>
      <c r="I310">
        <v>19.100000000000001</v>
      </c>
      <c r="J310">
        <f t="shared" si="27"/>
        <v>2328.4999999999995</v>
      </c>
      <c r="K310">
        <f t="shared" si="28"/>
        <v>30.6</v>
      </c>
      <c r="L310" s="8">
        <v>410.2</v>
      </c>
      <c r="M310">
        <v>0</v>
      </c>
      <c r="N310">
        <v>3.1</v>
      </c>
      <c r="O310">
        <f t="shared" si="31"/>
        <v>-3.1</v>
      </c>
      <c r="Q310">
        <v>255</v>
      </c>
      <c r="R310">
        <f t="shared" si="34"/>
        <v>0.76904761904761898</v>
      </c>
      <c r="S310">
        <f t="shared" si="32"/>
        <v>2.3840476190476187</v>
      </c>
      <c r="T310">
        <f t="shared" si="33"/>
        <v>-2.3840476190476187</v>
      </c>
      <c r="U310">
        <f t="shared" si="29"/>
        <v>72.972761514442013</v>
      </c>
      <c r="V310">
        <v>0</v>
      </c>
      <c r="W310">
        <v>1838.2</v>
      </c>
      <c r="X310">
        <f t="shared" si="30"/>
        <v>2641.6</v>
      </c>
      <c r="Y310">
        <v>15.650846805139345</v>
      </c>
      <c r="Z310">
        <v>48169</v>
      </c>
    </row>
    <row r="311" spans="1:26" x14ac:dyDescent="0.35">
      <c r="A311">
        <v>2920</v>
      </c>
      <c r="B311">
        <v>23610</v>
      </c>
      <c r="C311" s="1">
        <v>42891</v>
      </c>
      <c r="F311" s="43"/>
      <c r="G311">
        <v>13.9</v>
      </c>
      <c r="H311">
        <v>11.4</v>
      </c>
      <c r="I311">
        <v>18.3</v>
      </c>
      <c r="J311">
        <f t="shared" si="27"/>
        <v>2342.3999999999996</v>
      </c>
      <c r="K311">
        <f t="shared" si="28"/>
        <v>44.5</v>
      </c>
      <c r="L311" s="15" t="s">
        <v>37</v>
      </c>
      <c r="M311">
        <v>12.5</v>
      </c>
      <c r="N311">
        <v>2.5</v>
      </c>
      <c r="O311">
        <f t="shared" si="31"/>
        <v>10</v>
      </c>
      <c r="Q311">
        <v>256</v>
      </c>
      <c r="R311">
        <f t="shared" si="34"/>
        <v>0.75</v>
      </c>
      <c r="S311">
        <f t="shared" si="32"/>
        <v>1.875</v>
      </c>
      <c r="T311">
        <f t="shared" si="33"/>
        <v>10.625</v>
      </c>
      <c r="U311">
        <f t="shared" si="29"/>
        <v>83.597761514442013</v>
      </c>
      <c r="V311" s="16" t="s">
        <v>44</v>
      </c>
      <c r="W311">
        <v>1096</v>
      </c>
      <c r="X311">
        <f t="shared" si="30"/>
        <v>3737.6</v>
      </c>
      <c r="Y311">
        <v>15.673363511302922</v>
      </c>
      <c r="Z311" s="16" t="s">
        <v>49</v>
      </c>
    </row>
    <row r="312" spans="1:26" x14ac:dyDescent="0.35">
      <c r="A312">
        <v>2920</v>
      </c>
      <c r="B312">
        <v>23610</v>
      </c>
      <c r="C312" s="1">
        <v>42892</v>
      </c>
      <c r="F312" s="43"/>
      <c r="G312">
        <v>13.4</v>
      </c>
      <c r="H312">
        <v>11.1</v>
      </c>
      <c r="I312">
        <v>15.6</v>
      </c>
      <c r="J312">
        <f t="shared" si="27"/>
        <v>2355.7999999999997</v>
      </c>
      <c r="K312">
        <f t="shared" si="28"/>
        <v>57.9</v>
      </c>
      <c r="L312" s="9">
        <f>AVERAGE(G309:G330)</f>
        <v>18.645454545454545</v>
      </c>
      <c r="M312">
        <v>3.1</v>
      </c>
      <c r="N312">
        <v>3.2</v>
      </c>
      <c r="O312">
        <f t="shared" si="31"/>
        <v>-0.10000000000000009</v>
      </c>
      <c r="Q312">
        <v>257</v>
      </c>
      <c r="R312">
        <f t="shared" si="34"/>
        <v>0.7309523809523808</v>
      </c>
      <c r="S312">
        <f t="shared" si="32"/>
        <v>2.3390476190476188</v>
      </c>
      <c r="T312">
        <f t="shared" si="33"/>
        <v>0.76095238095238127</v>
      </c>
      <c r="U312">
        <f t="shared" si="29"/>
        <v>84.358713895394388</v>
      </c>
      <c r="V312">
        <v>11</v>
      </c>
      <c r="W312">
        <v>2162.6</v>
      </c>
      <c r="X312">
        <f t="shared" si="30"/>
        <v>5900.2</v>
      </c>
      <c r="Y312">
        <v>15.694636165821434</v>
      </c>
      <c r="Z312">
        <f>(Z310/100)/L310</f>
        <v>1.1742808386153096</v>
      </c>
    </row>
    <row r="313" spans="1:26" x14ac:dyDescent="0.35">
      <c r="A313">
        <v>2920</v>
      </c>
      <c r="B313">
        <v>23610</v>
      </c>
      <c r="C313" s="1">
        <v>42893</v>
      </c>
      <c r="F313" s="43"/>
      <c r="G313">
        <v>14.6</v>
      </c>
      <c r="H313">
        <v>10.9</v>
      </c>
      <c r="I313">
        <v>18.399999999999999</v>
      </c>
      <c r="J313">
        <f t="shared" si="27"/>
        <v>2370.3999999999996</v>
      </c>
      <c r="K313">
        <f t="shared" si="28"/>
        <v>72.5</v>
      </c>
      <c r="L313" s="15" t="s">
        <v>38</v>
      </c>
      <c r="M313">
        <v>0</v>
      </c>
      <c r="N313">
        <v>3.1</v>
      </c>
      <c r="O313">
        <f t="shared" si="31"/>
        <v>-3.1</v>
      </c>
      <c r="Q313">
        <v>258</v>
      </c>
      <c r="R313">
        <f t="shared" si="34"/>
        <v>0.71190476190476182</v>
      </c>
      <c r="S313">
        <f t="shared" si="32"/>
        <v>2.2069047619047617</v>
      </c>
      <c r="T313">
        <f t="shared" si="33"/>
        <v>-2.2069047619047617</v>
      </c>
      <c r="U313">
        <f t="shared" si="29"/>
        <v>82.151809133489621</v>
      </c>
      <c r="V313" s="16" t="s">
        <v>45</v>
      </c>
      <c r="W313">
        <v>1721.9</v>
      </c>
      <c r="X313">
        <f t="shared" si="30"/>
        <v>7622.1</v>
      </c>
      <c r="Y313">
        <v>15.714647180202101</v>
      </c>
      <c r="Z313" s="16" t="s">
        <v>50</v>
      </c>
    </row>
    <row r="314" spans="1:26" x14ac:dyDescent="0.35">
      <c r="A314">
        <v>2920</v>
      </c>
      <c r="B314">
        <v>23610</v>
      </c>
      <c r="C314" s="1">
        <v>42894</v>
      </c>
      <c r="F314" s="43"/>
      <c r="G314">
        <v>17.100000000000001</v>
      </c>
      <c r="H314">
        <v>11.8</v>
      </c>
      <c r="I314">
        <v>22.7</v>
      </c>
      <c r="J314">
        <f t="shared" ref="J314:J367" si="35">J313+G314</f>
        <v>2387.4999999999995</v>
      </c>
      <c r="K314">
        <f t="shared" ref="K314:K367" si="36">K313+G314</f>
        <v>89.6</v>
      </c>
      <c r="L314" s="8">
        <f>MIN(H309:H330)</f>
        <v>10.5</v>
      </c>
      <c r="M314">
        <v>0</v>
      </c>
      <c r="N314">
        <v>2.1</v>
      </c>
      <c r="O314">
        <f t="shared" si="31"/>
        <v>-2.1</v>
      </c>
      <c r="Q314">
        <v>259</v>
      </c>
      <c r="R314">
        <f t="shared" si="34"/>
        <v>0.69285714285714284</v>
      </c>
      <c r="S314">
        <f t="shared" si="32"/>
        <v>1.4550000000000001</v>
      </c>
      <c r="T314">
        <f t="shared" si="33"/>
        <v>-1.4550000000000001</v>
      </c>
      <c r="U314">
        <f t="shared" ref="U314:U367" si="37">MIN(U313+T314,197.4)</f>
        <v>80.696809133489623</v>
      </c>
      <c r="V314" s="17">
        <f>MIN(U309:U330)</f>
        <v>38.269190085870576</v>
      </c>
      <c r="W314">
        <v>1098.9000000000001</v>
      </c>
      <c r="X314">
        <f t="shared" ref="X314:X367" si="38">X313+W314</f>
        <v>8721</v>
      </c>
      <c r="Y314">
        <v>15.733379803633058</v>
      </c>
      <c r="Z314">
        <v>2</v>
      </c>
    </row>
    <row r="315" spans="1:26" x14ac:dyDescent="0.35">
      <c r="A315">
        <v>2920</v>
      </c>
      <c r="B315">
        <v>23610</v>
      </c>
      <c r="C315" s="1">
        <v>42895</v>
      </c>
      <c r="F315" s="43"/>
      <c r="G315">
        <v>17.100000000000001</v>
      </c>
      <c r="H315">
        <v>13.5</v>
      </c>
      <c r="I315">
        <v>20.5</v>
      </c>
      <c r="J315">
        <f t="shared" si="35"/>
        <v>2404.5999999999995</v>
      </c>
      <c r="K315">
        <f t="shared" si="36"/>
        <v>106.69999999999999</v>
      </c>
      <c r="L315" s="15" t="s">
        <v>39</v>
      </c>
      <c r="M315">
        <v>0</v>
      </c>
      <c r="N315">
        <v>3.4</v>
      </c>
      <c r="O315">
        <f t="shared" si="31"/>
        <v>-3.4</v>
      </c>
      <c r="Q315">
        <v>260</v>
      </c>
      <c r="R315">
        <f t="shared" si="34"/>
        <v>0.67380952380952375</v>
      </c>
      <c r="S315">
        <f t="shared" si="32"/>
        <v>2.2909523809523806</v>
      </c>
      <c r="T315">
        <f t="shared" si="33"/>
        <v>-2.2909523809523806</v>
      </c>
      <c r="U315">
        <f t="shared" si="37"/>
        <v>78.405856752537247</v>
      </c>
      <c r="V315" s="16" t="s">
        <v>46</v>
      </c>
      <c r="W315">
        <v>1804.9</v>
      </c>
      <c r="X315">
        <f t="shared" si="38"/>
        <v>10525.9</v>
      </c>
      <c r="Y315">
        <v>15.750818172755142</v>
      </c>
    </row>
    <row r="316" spans="1:26" x14ac:dyDescent="0.35">
      <c r="A316">
        <v>2920</v>
      </c>
      <c r="B316">
        <v>23610</v>
      </c>
      <c r="C316" s="1">
        <v>42896</v>
      </c>
      <c r="F316" s="43"/>
      <c r="G316">
        <v>18.899999999999999</v>
      </c>
      <c r="H316">
        <v>13.9</v>
      </c>
      <c r="I316">
        <v>23.5</v>
      </c>
      <c r="J316">
        <f t="shared" si="35"/>
        <v>2423.4999999999995</v>
      </c>
      <c r="K316">
        <f t="shared" si="36"/>
        <v>125.6</v>
      </c>
      <c r="L316" s="8">
        <f>MAX(I309:I330)</f>
        <v>33.799999999999997</v>
      </c>
      <c r="M316">
        <v>0</v>
      </c>
      <c r="N316">
        <v>5.7</v>
      </c>
      <c r="O316">
        <f t="shared" si="31"/>
        <v>-5.7</v>
      </c>
      <c r="Q316">
        <v>261</v>
      </c>
      <c r="R316">
        <f t="shared" si="34"/>
        <v>0.65476190476190466</v>
      </c>
      <c r="S316">
        <f t="shared" si="32"/>
        <v>3.7321428571428568</v>
      </c>
      <c r="T316">
        <f t="shared" si="33"/>
        <v>-3.7321428571428568</v>
      </c>
      <c r="U316">
        <f t="shared" si="37"/>
        <v>74.673713895394386</v>
      </c>
      <c r="V316" s="17">
        <f>MAX(U309:U330)</f>
        <v>84.358713895394388</v>
      </c>
      <c r="W316">
        <v>3097.5</v>
      </c>
      <c r="X316">
        <f t="shared" si="38"/>
        <v>13623.4</v>
      </c>
      <c r="Y316">
        <v>15.766947359690485</v>
      </c>
    </row>
    <row r="317" spans="1:26" x14ac:dyDescent="0.35">
      <c r="A317">
        <v>2920</v>
      </c>
      <c r="B317">
        <v>23610</v>
      </c>
      <c r="C317" s="1">
        <v>42897</v>
      </c>
      <c r="F317" s="43"/>
      <c r="G317">
        <v>16.7</v>
      </c>
      <c r="H317">
        <v>14.3</v>
      </c>
      <c r="I317">
        <v>21.1</v>
      </c>
      <c r="J317">
        <f t="shared" si="35"/>
        <v>2440.1999999999994</v>
      </c>
      <c r="K317">
        <f t="shared" si="36"/>
        <v>142.29999999999998</v>
      </c>
      <c r="L317" s="15" t="s">
        <v>40</v>
      </c>
      <c r="M317">
        <v>0.1</v>
      </c>
      <c r="N317">
        <v>2.1</v>
      </c>
      <c r="O317">
        <f t="shared" si="31"/>
        <v>-2</v>
      </c>
      <c r="Q317">
        <v>262</v>
      </c>
      <c r="R317">
        <f t="shared" si="34"/>
        <v>0.63571428571428568</v>
      </c>
      <c r="S317">
        <f t="shared" si="32"/>
        <v>1.335</v>
      </c>
      <c r="T317">
        <f t="shared" si="33"/>
        <v>-1.2349999999999999</v>
      </c>
      <c r="U317">
        <f t="shared" si="37"/>
        <v>73.438713895394386</v>
      </c>
      <c r="V317" s="16" t="s">
        <v>47</v>
      </c>
      <c r="W317">
        <v>964.2</v>
      </c>
      <c r="X317">
        <f t="shared" si="38"/>
        <v>14587.6</v>
      </c>
      <c r="Y317">
        <v>15.781753418034045</v>
      </c>
    </row>
    <row r="318" spans="1:26" x14ac:dyDescent="0.35">
      <c r="A318">
        <v>2920</v>
      </c>
      <c r="B318">
        <v>23610</v>
      </c>
      <c r="C318" s="1">
        <v>42898</v>
      </c>
      <c r="F318" s="43"/>
      <c r="G318">
        <v>14.9</v>
      </c>
      <c r="H318">
        <v>11.3</v>
      </c>
      <c r="I318">
        <v>19.100000000000001</v>
      </c>
      <c r="J318">
        <f t="shared" si="35"/>
        <v>2455.0999999999995</v>
      </c>
      <c r="K318">
        <f t="shared" si="36"/>
        <v>157.19999999999999</v>
      </c>
      <c r="L318" s="8">
        <v>6</v>
      </c>
      <c r="M318">
        <v>0</v>
      </c>
      <c r="N318">
        <v>4.3</v>
      </c>
      <c r="O318">
        <f t="shared" si="31"/>
        <v>-4.3</v>
      </c>
      <c r="Q318">
        <v>263</v>
      </c>
      <c r="R318">
        <f t="shared" si="34"/>
        <v>0.6166666666666667</v>
      </c>
      <c r="S318">
        <f t="shared" si="32"/>
        <v>2.6516666666666668</v>
      </c>
      <c r="T318">
        <f t="shared" si="33"/>
        <v>-2.6516666666666668</v>
      </c>
      <c r="U318">
        <f t="shared" si="37"/>
        <v>70.787047228727715</v>
      </c>
      <c r="V318" s="17">
        <f>AVERAGE(U309:U330)</f>
        <v>63.37297796465846</v>
      </c>
      <c r="W318">
        <v>2474.5</v>
      </c>
      <c r="X318">
        <f t="shared" si="38"/>
        <v>17062.099999999999</v>
      </c>
      <c r="Y318">
        <v>15.795223426518856</v>
      </c>
    </row>
    <row r="319" spans="1:26" x14ac:dyDescent="0.35">
      <c r="A319">
        <v>2920</v>
      </c>
      <c r="B319">
        <v>23610</v>
      </c>
      <c r="C319" s="1">
        <v>42899</v>
      </c>
      <c r="F319" s="43"/>
      <c r="G319">
        <v>17.5</v>
      </c>
      <c r="H319">
        <v>10.5</v>
      </c>
      <c r="I319">
        <v>22.6</v>
      </c>
      <c r="J319">
        <f t="shared" si="35"/>
        <v>2472.5999999999995</v>
      </c>
      <c r="K319">
        <f t="shared" si="36"/>
        <v>174.7</v>
      </c>
      <c r="L319" s="15" t="s">
        <v>41</v>
      </c>
      <c r="M319">
        <v>0</v>
      </c>
      <c r="N319">
        <v>4.3</v>
      </c>
      <c r="O319">
        <f t="shared" si="31"/>
        <v>-4.3</v>
      </c>
      <c r="Q319">
        <v>264</v>
      </c>
      <c r="R319">
        <f t="shared" si="34"/>
        <v>0.59761904761904761</v>
      </c>
      <c r="S319">
        <f t="shared" si="32"/>
        <v>2.5697619047619047</v>
      </c>
      <c r="T319">
        <f t="shared" si="33"/>
        <v>-2.5697619047619047</v>
      </c>
      <c r="U319">
        <f t="shared" si="37"/>
        <v>68.217285323965811</v>
      </c>
      <c r="W319">
        <v>2580.4</v>
      </c>
      <c r="X319">
        <f t="shared" si="38"/>
        <v>19642.5</v>
      </c>
      <c r="Y319">
        <v>15.807345530073876</v>
      </c>
    </row>
    <row r="320" spans="1:26" x14ac:dyDescent="0.35">
      <c r="A320">
        <v>2920</v>
      </c>
      <c r="B320">
        <v>23610</v>
      </c>
      <c r="C320" s="1">
        <v>42900</v>
      </c>
      <c r="F320" s="43"/>
      <c r="G320">
        <v>21.7</v>
      </c>
      <c r="H320">
        <v>16.2</v>
      </c>
      <c r="I320">
        <v>27.7</v>
      </c>
      <c r="J320">
        <f t="shared" si="35"/>
        <v>2494.2999999999993</v>
      </c>
      <c r="K320">
        <f t="shared" si="36"/>
        <v>196.39999999999998</v>
      </c>
      <c r="L320" s="8">
        <v>0</v>
      </c>
      <c r="M320">
        <v>0</v>
      </c>
      <c r="N320">
        <v>5</v>
      </c>
      <c r="O320">
        <f t="shared" si="31"/>
        <v>-5</v>
      </c>
      <c r="Q320">
        <v>265</v>
      </c>
      <c r="R320">
        <f t="shared" si="34"/>
        <v>0.57857142857142851</v>
      </c>
      <c r="S320">
        <f t="shared" si="32"/>
        <v>2.8928571428571423</v>
      </c>
      <c r="T320">
        <f t="shared" si="33"/>
        <v>-2.8928571428571423</v>
      </c>
      <c r="U320">
        <f t="shared" si="37"/>
        <v>65.324428181108672</v>
      </c>
      <c r="V320" s="18">
        <f>(V318*100)/197.4</f>
        <v>32.103838887871561</v>
      </c>
      <c r="W320">
        <v>2468.6</v>
      </c>
      <c r="X320">
        <f t="shared" si="38"/>
        <v>22111.1</v>
      </c>
      <c r="Y320">
        <v>15.818108978004114</v>
      </c>
    </row>
    <row r="321" spans="1:25" x14ac:dyDescent="0.35">
      <c r="A321">
        <v>2920</v>
      </c>
      <c r="B321">
        <v>23610</v>
      </c>
      <c r="C321" s="1">
        <v>42901</v>
      </c>
      <c r="F321" s="43"/>
      <c r="G321">
        <v>18.3</v>
      </c>
      <c r="H321">
        <v>15.4</v>
      </c>
      <c r="I321">
        <v>24.6</v>
      </c>
      <c r="J321">
        <f t="shared" si="35"/>
        <v>2512.5999999999995</v>
      </c>
      <c r="K321">
        <f t="shared" si="36"/>
        <v>214.7</v>
      </c>
      <c r="L321" s="15" t="s">
        <v>42</v>
      </c>
      <c r="M321">
        <v>0</v>
      </c>
      <c r="N321">
        <v>5.9</v>
      </c>
      <c r="O321">
        <f t="shared" si="31"/>
        <v>-5.9</v>
      </c>
      <c r="Q321">
        <v>266</v>
      </c>
      <c r="R321">
        <f t="shared" si="34"/>
        <v>0.55952380952380942</v>
      </c>
      <c r="S321">
        <f t="shared" si="32"/>
        <v>3.301190476190476</v>
      </c>
      <c r="T321">
        <f t="shared" si="33"/>
        <v>-3.301190476190476</v>
      </c>
      <c r="U321">
        <f t="shared" si="37"/>
        <v>62.023237704918195</v>
      </c>
      <c r="W321">
        <v>2895.9</v>
      </c>
      <c r="X321">
        <f t="shared" si="38"/>
        <v>25007</v>
      </c>
      <c r="Y321">
        <v>15.827504159036636</v>
      </c>
    </row>
    <row r="322" spans="1:25" x14ac:dyDescent="0.35">
      <c r="A322">
        <v>2920</v>
      </c>
      <c r="B322">
        <v>23610</v>
      </c>
      <c r="C322" s="1">
        <v>42902</v>
      </c>
      <c r="F322" s="43"/>
      <c r="G322">
        <v>16.899999999999999</v>
      </c>
      <c r="H322">
        <v>11.8</v>
      </c>
      <c r="I322">
        <v>21.1</v>
      </c>
      <c r="J322">
        <f t="shared" si="35"/>
        <v>2529.4999999999995</v>
      </c>
      <c r="K322">
        <f t="shared" si="36"/>
        <v>231.6</v>
      </c>
      <c r="L322" s="8">
        <v>0</v>
      </c>
      <c r="M322">
        <v>0</v>
      </c>
      <c r="N322">
        <v>5.4</v>
      </c>
      <c r="O322">
        <f t="shared" si="31"/>
        <v>-5.4</v>
      </c>
      <c r="Q322">
        <v>267</v>
      </c>
      <c r="R322">
        <f t="shared" si="34"/>
        <v>0.54047619047619044</v>
      </c>
      <c r="S322">
        <f t="shared" si="32"/>
        <v>2.9185714285714286</v>
      </c>
      <c r="T322">
        <f t="shared" si="33"/>
        <v>-2.9185714285714286</v>
      </c>
      <c r="U322">
        <f t="shared" si="37"/>
        <v>59.104666276346769</v>
      </c>
      <c r="W322">
        <v>3073.1</v>
      </c>
      <c r="X322">
        <f t="shared" si="38"/>
        <v>28080.1</v>
      </c>
      <c r="Y322">
        <v>15.83552263299285</v>
      </c>
    </row>
    <row r="323" spans="1:25" x14ac:dyDescent="0.35">
      <c r="A323">
        <v>2920</v>
      </c>
      <c r="B323">
        <v>23610</v>
      </c>
      <c r="C323" s="1">
        <v>42903</v>
      </c>
      <c r="F323" s="43"/>
      <c r="G323">
        <v>20.6</v>
      </c>
      <c r="H323">
        <v>13.4</v>
      </c>
      <c r="I323">
        <v>25.7</v>
      </c>
      <c r="J323">
        <f t="shared" si="35"/>
        <v>2550.0999999999995</v>
      </c>
      <c r="K323">
        <f t="shared" si="36"/>
        <v>252.2</v>
      </c>
      <c r="M323">
        <v>0</v>
      </c>
      <c r="N323">
        <v>6.1</v>
      </c>
      <c r="O323">
        <f t="shared" si="31"/>
        <v>-6.1</v>
      </c>
      <c r="Q323">
        <v>268</v>
      </c>
      <c r="R323">
        <f t="shared" si="34"/>
        <v>0.52142857142857135</v>
      </c>
      <c r="S323">
        <f t="shared" si="32"/>
        <v>3.1807142857142852</v>
      </c>
      <c r="T323">
        <f t="shared" si="33"/>
        <v>-3.1807142857142852</v>
      </c>
      <c r="U323">
        <f t="shared" si="37"/>
        <v>55.923951990632482</v>
      </c>
      <c r="W323">
        <v>3218.3</v>
      </c>
      <c r="X323">
        <f t="shared" si="38"/>
        <v>31298.399999999998</v>
      </c>
      <c r="Y323">
        <v>15.842157158867153</v>
      </c>
    </row>
    <row r="324" spans="1:25" x14ac:dyDescent="0.35">
      <c r="A324">
        <v>2920</v>
      </c>
      <c r="B324">
        <v>23610</v>
      </c>
      <c r="C324" s="1">
        <v>42904</v>
      </c>
      <c r="F324" s="43"/>
      <c r="G324">
        <v>23.9</v>
      </c>
      <c r="H324">
        <v>16.7</v>
      </c>
      <c r="I324">
        <v>30</v>
      </c>
      <c r="J324">
        <f t="shared" si="35"/>
        <v>2573.9999999999995</v>
      </c>
      <c r="K324">
        <f t="shared" si="36"/>
        <v>276.09999999999997</v>
      </c>
      <c r="M324">
        <v>0</v>
      </c>
      <c r="N324">
        <v>6.7</v>
      </c>
      <c r="O324">
        <f t="shared" si="31"/>
        <v>-6.7</v>
      </c>
      <c r="Q324">
        <v>269</v>
      </c>
      <c r="R324">
        <f t="shared" si="34"/>
        <v>0.50238095238095237</v>
      </c>
      <c r="S324">
        <f t="shared" si="32"/>
        <v>3.3659523809523808</v>
      </c>
      <c r="T324">
        <f t="shared" si="33"/>
        <v>-3.3659523809523808</v>
      </c>
      <c r="U324">
        <f t="shared" si="37"/>
        <v>52.557999609680103</v>
      </c>
      <c r="W324">
        <v>2991</v>
      </c>
      <c r="X324">
        <f t="shared" si="38"/>
        <v>34289.399999999994</v>
      </c>
      <c r="Y324">
        <v>15.847401719114204</v>
      </c>
    </row>
    <row r="325" spans="1:25" x14ac:dyDescent="0.35">
      <c r="A325">
        <v>2920</v>
      </c>
      <c r="B325">
        <v>23610</v>
      </c>
      <c r="C325" s="1">
        <v>42905</v>
      </c>
      <c r="F325" s="43"/>
      <c r="G325">
        <v>26.7</v>
      </c>
      <c r="H325">
        <v>20.5</v>
      </c>
      <c r="I325">
        <v>33</v>
      </c>
      <c r="J325">
        <f t="shared" si="35"/>
        <v>2600.6999999999994</v>
      </c>
      <c r="K325">
        <f t="shared" si="36"/>
        <v>302.79999999999995</v>
      </c>
      <c r="M325">
        <v>0</v>
      </c>
      <c r="N325">
        <v>7.9</v>
      </c>
      <c r="O325">
        <f t="shared" ref="O325:O367" si="39">M325-N325</f>
        <v>-7.9</v>
      </c>
      <c r="Q325">
        <v>270</v>
      </c>
      <c r="R325">
        <f t="shared" si="34"/>
        <v>0.48333333333333328</v>
      </c>
      <c r="S325">
        <f t="shared" ref="S325:S367" si="40">R325*N325</f>
        <v>3.8183333333333329</v>
      </c>
      <c r="T325">
        <f t="shared" ref="T325:T367" si="41">M325-S325</f>
        <v>-3.8183333333333329</v>
      </c>
      <c r="U325">
        <f t="shared" si="37"/>
        <v>48.739666276346767</v>
      </c>
      <c r="W325">
        <v>3256.9</v>
      </c>
      <c r="X325">
        <f t="shared" si="38"/>
        <v>37546.299999999996</v>
      </c>
      <c r="Y325">
        <v>15.851251539971809</v>
      </c>
    </row>
    <row r="326" spans="1:25" x14ac:dyDescent="0.35">
      <c r="A326">
        <v>2920</v>
      </c>
      <c r="B326">
        <v>23610</v>
      </c>
      <c r="C326" s="1">
        <v>42906</v>
      </c>
      <c r="F326" s="43"/>
      <c r="G326">
        <v>27.2</v>
      </c>
      <c r="H326">
        <v>21.4</v>
      </c>
      <c r="I326">
        <v>33.799999999999997</v>
      </c>
      <c r="J326">
        <f t="shared" si="35"/>
        <v>2627.8999999999992</v>
      </c>
      <c r="K326">
        <f t="shared" si="36"/>
        <v>329.99999999999994</v>
      </c>
      <c r="M326">
        <v>0</v>
      </c>
      <c r="N326">
        <v>7.5</v>
      </c>
      <c r="O326">
        <f t="shared" si="39"/>
        <v>-7.5</v>
      </c>
      <c r="Q326">
        <v>271</v>
      </c>
      <c r="R326">
        <f t="shared" si="34"/>
        <v>0.4642857142857143</v>
      </c>
      <c r="S326">
        <f t="shared" si="40"/>
        <v>3.4821428571428572</v>
      </c>
      <c r="T326">
        <f t="shared" si="41"/>
        <v>-3.4821428571428572</v>
      </c>
      <c r="U326">
        <f t="shared" si="37"/>
        <v>45.257523419203913</v>
      </c>
      <c r="W326">
        <v>3163.3</v>
      </c>
      <c r="X326">
        <f t="shared" si="38"/>
        <v>40709.599999999999</v>
      </c>
      <c r="Y326">
        <v>15.85370310767316</v>
      </c>
    </row>
    <row r="327" spans="1:25" x14ac:dyDescent="0.35">
      <c r="A327">
        <v>2920</v>
      </c>
      <c r="B327">
        <v>23610</v>
      </c>
      <c r="C327" s="1">
        <v>42907</v>
      </c>
      <c r="F327" s="43"/>
      <c r="G327">
        <v>23.8</v>
      </c>
      <c r="H327">
        <v>17.2</v>
      </c>
      <c r="I327">
        <v>30.5</v>
      </c>
      <c r="J327">
        <f t="shared" si="35"/>
        <v>2651.6999999999994</v>
      </c>
      <c r="K327">
        <f t="shared" si="36"/>
        <v>353.79999999999995</v>
      </c>
      <c r="M327">
        <v>0</v>
      </c>
      <c r="N327">
        <v>6.8</v>
      </c>
      <c r="O327">
        <f t="shared" si="39"/>
        <v>-6.8</v>
      </c>
      <c r="Q327">
        <v>272</v>
      </c>
      <c r="R327">
        <f t="shared" si="34"/>
        <v>0.44523809523809521</v>
      </c>
      <c r="S327">
        <f t="shared" si="40"/>
        <v>3.0276190476190474</v>
      </c>
      <c r="T327">
        <f t="shared" si="41"/>
        <v>-3.0276190476190474</v>
      </c>
      <c r="U327">
        <f t="shared" si="37"/>
        <v>42.229904371584865</v>
      </c>
      <c r="W327">
        <v>2934.8</v>
      </c>
      <c r="X327">
        <f t="shared" si="38"/>
        <v>43644.4</v>
      </c>
      <c r="Y327">
        <v>15.854754180430909</v>
      </c>
    </row>
    <row r="328" spans="1:25" x14ac:dyDescent="0.35">
      <c r="A328">
        <v>2920</v>
      </c>
      <c r="B328">
        <v>23610</v>
      </c>
      <c r="C328" s="1">
        <v>42908</v>
      </c>
      <c r="F328" s="43"/>
      <c r="G328">
        <v>19.100000000000001</v>
      </c>
      <c r="H328">
        <v>16.3</v>
      </c>
      <c r="I328">
        <v>22.2</v>
      </c>
      <c r="J328">
        <f t="shared" si="35"/>
        <v>2670.7999999999993</v>
      </c>
      <c r="K328">
        <f t="shared" si="36"/>
        <v>372.9</v>
      </c>
      <c r="M328">
        <v>0</v>
      </c>
      <c r="N328">
        <v>3.9</v>
      </c>
      <c r="O328">
        <f t="shared" si="39"/>
        <v>-3.9</v>
      </c>
      <c r="Q328">
        <v>273</v>
      </c>
      <c r="R328">
        <f t="shared" si="34"/>
        <v>0.42619047619047612</v>
      </c>
      <c r="S328">
        <f t="shared" si="40"/>
        <v>1.6621428571428569</v>
      </c>
      <c r="T328">
        <f t="shared" si="41"/>
        <v>-1.6621428571428569</v>
      </c>
      <c r="U328">
        <f t="shared" si="37"/>
        <v>40.567761514442012</v>
      </c>
      <c r="W328">
        <v>1988.3</v>
      </c>
      <c r="X328">
        <f t="shared" si="38"/>
        <v>45632.700000000004</v>
      </c>
      <c r="Y328">
        <v>15.854403796105522</v>
      </c>
    </row>
    <row r="329" spans="1:25" x14ac:dyDescent="0.35">
      <c r="A329">
        <v>2920</v>
      </c>
      <c r="B329">
        <v>23610</v>
      </c>
      <c r="C329" s="1">
        <v>42909</v>
      </c>
      <c r="F329" s="43"/>
      <c r="G329">
        <v>18</v>
      </c>
      <c r="H329">
        <v>14.3</v>
      </c>
      <c r="I329">
        <v>21.6</v>
      </c>
      <c r="J329">
        <f t="shared" si="35"/>
        <v>2688.7999999999993</v>
      </c>
      <c r="K329">
        <f t="shared" si="36"/>
        <v>390.9</v>
      </c>
      <c r="M329">
        <v>0</v>
      </c>
      <c r="N329">
        <v>2.5</v>
      </c>
      <c r="O329">
        <f t="shared" si="39"/>
        <v>-2.5</v>
      </c>
      <c r="Q329">
        <v>274</v>
      </c>
      <c r="R329">
        <f t="shared" si="34"/>
        <v>0.40714285714285714</v>
      </c>
      <c r="S329">
        <f t="shared" si="40"/>
        <v>1.0178571428571428</v>
      </c>
      <c r="T329">
        <f t="shared" si="41"/>
        <v>-1.0178571428571428</v>
      </c>
      <c r="U329">
        <f t="shared" si="37"/>
        <v>39.549904371584866</v>
      </c>
      <c r="W329">
        <v>864.2</v>
      </c>
      <c r="X329">
        <f t="shared" si="38"/>
        <v>46496.9</v>
      </c>
      <c r="Y329">
        <v>15.852652275501848</v>
      </c>
    </row>
    <row r="330" spans="1:25" s="4" customFormat="1" ht="15" thickBot="1" x14ac:dyDescent="0.4">
      <c r="A330" s="4">
        <v>2920</v>
      </c>
      <c r="B330" s="4">
        <v>23610</v>
      </c>
      <c r="C330" s="5">
        <v>42910</v>
      </c>
      <c r="D330" s="4">
        <v>1000</v>
      </c>
      <c r="F330" s="44"/>
      <c r="G330" s="4">
        <v>19.3</v>
      </c>
      <c r="H330" s="4">
        <v>15</v>
      </c>
      <c r="I330" s="4">
        <v>22.2</v>
      </c>
      <c r="J330" s="4">
        <f t="shared" si="35"/>
        <v>2708.0999999999995</v>
      </c>
      <c r="K330" s="4">
        <f t="shared" si="36"/>
        <v>410.2</v>
      </c>
      <c r="M330" s="4">
        <v>0</v>
      </c>
      <c r="N330" s="4">
        <v>3.3</v>
      </c>
      <c r="O330" s="4">
        <f t="shared" si="39"/>
        <v>-3.3</v>
      </c>
      <c r="Q330" s="4">
        <v>275</v>
      </c>
      <c r="R330" s="4">
        <f t="shared" si="34"/>
        <v>0.38809523809523816</v>
      </c>
      <c r="S330" s="4">
        <f t="shared" si="40"/>
        <v>1.2807142857142859</v>
      </c>
      <c r="T330" s="4">
        <f t="shared" si="41"/>
        <v>-1.2807142857142859</v>
      </c>
      <c r="U330" s="4">
        <f t="shared" si="37"/>
        <v>38.269190085870576</v>
      </c>
      <c r="W330" s="4">
        <v>1672.1</v>
      </c>
      <c r="X330" s="4">
        <f t="shared" si="38"/>
        <v>48169</v>
      </c>
      <c r="Y330" s="4">
        <v>15.849501221269582</v>
      </c>
    </row>
    <row r="331" spans="1:25" x14ac:dyDescent="0.35">
      <c r="A331">
        <v>2920</v>
      </c>
      <c r="B331">
        <v>23610</v>
      </c>
      <c r="C331" s="1">
        <v>42911</v>
      </c>
      <c r="G331">
        <v>20.6</v>
      </c>
      <c r="H331">
        <v>16.5</v>
      </c>
      <c r="I331">
        <v>24.4</v>
      </c>
      <c r="J331">
        <f t="shared" si="35"/>
        <v>2728.6999999999994</v>
      </c>
      <c r="K331">
        <f t="shared" si="36"/>
        <v>430.8</v>
      </c>
      <c r="M331">
        <v>0</v>
      </c>
      <c r="N331">
        <v>5</v>
      </c>
      <c r="O331">
        <f t="shared" si="39"/>
        <v>-5</v>
      </c>
      <c r="Q331">
        <v>276</v>
      </c>
      <c r="R331">
        <f t="shared" si="34"/>
        <v>0.36904761904761907</v>
      </c>
      <c r="S331">
        <f t="shared" si="40"/>
        <v>1.8452380952380953</v>
      </c>
      <c r="T331">
        <f t="shared" si="41"/>
        <v>-1.8452380952380953</v>
      </c>
      <c r="U331">
        <f t="shared" si="37"/>
        <v>36.423951990632482</v>
      </c>
      <c r="W331">
        <v>2284.3000000000002</v>
      </c>
      <c r="X331">
        <f t="shared" si="38"/>
        <v>50453.3</v>
      </c>
      <c r="Y331">
        <v>15.844953512415767</v>
      </c>
    </row>
    <row r="332" spans="1:25" s="4" customFormat="1" ht="15" thickBot="1" x14ac:dyDescent="0.4">
      <c r="A332" s="4">
        <v>2920</v>
      </c>
      <c r="B332" s="4">
        <v>23610</v>
      </c>
      <c r="C332" s="5">
        <v>42912</v>
      </c>
      <c r="D332" s="4" t="s">
        <v>32</v>
      </c>
      <c r="G332" s="4">
        <v>20.100000000000001</v>
      </c>
      <c r="H332" s="4">
        <v>16.100000000000001</v>
      </c>
      <c r="I332" s="4">
        <v>24.8</v>
      </c>
      <c r="J332" s="6">
        <f t="shared" si="35"/>
        <v>2748.7999999999993</v>
      </c>
      <c r="K332" s="6">
        <f t="shared" si="36"/>
        <v>450.90000000000003</v>
      </c>
      <c r="M332" s="4">
        <v>0</v>
      </c>
      <c r="N332" s="4">
        <v>3.3</v>
      </c>
      <c r="O332" s="4">
        <f t="shared" si="39"/>
        <v>-3.3</v>
      </c>
      <c r="Q332" s="4">
        <v>277</v>
      </c>
      <c r="R332" s="4">
        <f t="shared" si="34"/>
        <v>0.35</v>
      </c>
      <c r="S332" s="4">
        <f t="shared" si="40"/>
        <v>1.1549999999999998</v>
      </c>
      <c r="T332" s="4">
        <f t="shared" si="41"/>
        <v>-1.1549999999999998</v>
      </c>
      <c r="U332" s="4">
        <f t="shared" si="37"/>
        <v>35.26895199063248</v>
      </c>
      <c r="W332" s="4">
        <v>1487.8</v>
      </c>
      <c r="X332" s="6">
        <f t="shared" si="38"/>
        <v>51941.100000000006</v>
      </c>
      <c r="Y332" s="4">
        <v>15.839013294469575</v>
      </c>
    </row>
    <row r="333" spans="1:25" x14ac:dyDescent="0.35">
      <c r="A333">
        <v>2920</v>
      </c>
      <c r="B333">
        <v>23610</v>
      </c>
      <c r="C333" s="1">
        <v>42913</v>
      </c>
      <c r="G333">
        <v>16.399999999999999</v>
      </c>
      <c r="H333">
        <v>15.7</v>
      </c>
      <c r="I333">
        <v>17.2</v>
      </c>
      <c r="J333">
        <f t="shared" si="35"/>
        <v>2765.1999999999994</v>
      </c>
      <c r="K333">
        <f t="shared" si="36"/>
        <v>467.3</v>
      </c>
      <c r="M333">
        <v>5.7</v>
      </c>
      <c r="N333">
        <v>1</v>
      </c>
      <c r="O333">
        <f t="shared" si="39"/>
        <v>4.7</v>
      </c>
      <c r="Q333">
        <v>278</v>
      </c>
      <c r="S333">
        <f t="shared" si="40"/>
        <v>0</v>
      </c>
      <c r="T333">
        <f t="shared" si="41"/>
        <v>5.7</v>
      </c>
      <c r="U333">
        <f t="shared" si="37"/>
        <v>40.968951990632483</v>
      </c>
      <c r="W333">
        <v>518.70000000000005</v>
      </c>
      <c r="X333">
        <f t="shared" si="38"/>
        <v>52459.8</v>
      </c>
    </row>
    <row r="334" spans="1:25" x14ac:dyDescent="0.35">
      <c r="A334">
        <v>2920</v>
      </c>
      <c r="B334">
        <v>23610</v>
      </c>
      <c r="C334" s="1">
        <v>42914</v>
      </c>
      <c r="G334">
        <v>17.2</v>
      </c>
      <c r="H334">
        <v>16.100000000000001</v>
      </c>
      <c r="I334">
        <v>21.1</v>
      </c>
      <c r="J334">
        <f t="shared" si="35"/>
        <v>2782.3999999999992</v>
      </c>
      <c r="K334">
        <f t="shared" si="36"/>
        <v>484.5</v>
      </c>
      <c r="M334">
        <v>0.8</v>
      </c>
      <c r="N334">
        <v>3.8</v>
      </c>
      <c r="O334">
        <f t="shared" si="39"/>
        <v>-3</v>
      </c>
      <c r="Q334">
        <v>279</v>
      </c>
      <c r="S334">
        <f t="shared" si="40"/>
        <v>0</v>
      </c>
      <c r="T334">
        <f t="shared" si="41"/>
        <v>0.8</v>
      </c>
      <c r="U334">
        <f t="shared" si="37"/>
        <v>41.76895199063248</v>
      </c>
      <c r="W334">
        <v>1875.9</v>
      </c>
      <c r="X334">
        <f t="shared" si="38"/>
        <v>54335.700000000004</v>
      </c>
    </row>
    <row r="335" spans="1:25" x14ac:dyDescent="0.35">
      <c r="A335">
        <v>2920</v>
      </c>
      <c r="B335">
        <v>23610</v>
      </c>
      <c r="C335" s="1">
        <v>42915</v>
      </c>
      <c r="G335">
        <v>15</v>
      </c>
      <c r="H335">
        <v>11.7</v>
      </c>
      <c r="I335">
        <v>18.3</v>
      </c>
      <c r="J335">
        <f t="shared" si="35"/>
        <v>2797.3999999999992</v>
      </c>
      <c r="K335">
        <f t="shared" si="36"/>
        <v>499.5</v>
      </c>
      <c r="M335">
        <v>7</v>
      </c>
      <c r="N335">
        <v>2.4</v>
      </c>
      <c r="O335">
        <f t="shared" si="39"/>
        <v>4.5999999999999996</v>
      </c>
      <c r="Q335">
        <v>280</v>
      </c>
      <c r="S335">
        <f t="shared" si="40"/>
        <v>0</v>
      </c>
      <c r="T335">
        <f t="shared" si="41"/>
        <v>7</v>
      </c>
      <c r="U335">
        <f t="shared" si="37"/>
        <v>48.76895199063248</v>
      </c>
      <c r="W335">
        <v>1291.5999999999999</v>
      </c>
      <c r="X335">
        <f t="shared" si="38"/>
        <v>55627.3</v>
      </c>
    </row>
    <row r="336" spans="1:25" x14ac:dyDescent="0.35">
      <c r="A336">
        <v>2920</v>
      </c>
      <c r="B336">
        <v>23610</v>
      </c>
      <c r="C336" s="1">
        <v>42916</v>
      </c>
      <c r="G336">
        <v>14</v>
      </c>
      <c r="H336">
        <v>12.7</v>
      </c>
      <c r="I336">
        <v>15.2</v>
      </c>
      <c r="J336">
        <f t="shared" si="35"/>
        <v>2811.3999999999992</v>
      </c>
      <c r="K336">
        <f t="shared" si="36"/>
        <v>513.5</v>
      </c>
      <c r="M336">
        <v>5.9</v>
      </c>
      <c r="N336">
        <v>1.1000000000000001</v>
      </c>
      <c r="O336">
        <f t="shared" si="39"/>
        <v>4.8000000000000007</v>
      </c>
      <c r="Q336">
        <v>281</v>
      </c>
      <c r="S336">
        <f t="shared" si="40"/>
        <v>0</v>
      </c>
      <c r="T336">
        <f t="shared" si="41"/>
        <v>5.9</v>
      </c>
      <c r="U336">
        <f t="shared" si="37"/>
        <v>54.668951990632479</v>
      </c>
      <c r="W336">
        <v>513.4</v>
      </c>
      <c r="X336">
        <f t="shared" si="38"/>
        <v>56140.700000000004</v>
      </c>
    </row>
    <row r="337" spans="1:24" x14ac:dyDescent="0.35">
      <c r="A337">
        <v>2920</v>
      </c>
      <c r="B337">
        <v>23610</v>
      </c>
      <c r="C337" s="1">
        <v>42917</v>
      </c>
      <c r="G337">
        <v>15.6</v>
      </c>
      <c r="H337">
        <v>13.6</v>
      </c>
      <c r="I337">
        <v>19.5</v>
      </c>
      <c r="J337">
        <f t="shared" si="35"/>
        <v>2826.9999999999991</v>
      </c>
      <c r="K337">
        <f t="shared" si="36"/>
        <v>529.1</v>
      </c>
      <c r="M337">
        <v>0.3</v>
      </c>
      <c r="N337">
        <v>1.9</v>
      </c>
      <c r="O337">
        <f t="shared" si="39"/>
        <v>-1.5999999999999999</v>
      </c>
      <c r="Q337">
        <v>282</v>
      </c>
      <c r="S337">
        <f t="shared" si="40"/>
        <v>0</v>
      </c>
      <c r="T337">
        <f t="shared" si="41"/>
        <v>0.3</v>
      </c>
      <c r="U337">
        <f t="shared" si="37"/>
        <v>54.968951990632476</v>
      </c>
      <c r="W337">
        <v>714.4</v>
      </c>
      <c r="X337">
        <f t="shared" si="38"/>
        <v>56855.100000000006</v>
      </c>
    </row>
    <row r="338" spans="1:24" x14ac:dyDescent="0.35">
      <c r="A338">
        <v>2920</v>
      </c>
      <c r="B338">
        <v>23610</v>
      </c>
      <c r="C338" s="1">
        <v>42918</v>
      </c>
      <c r="G338">
        <v>17.7</v>
      </c>
      <c r="H338">
        <v>12.3</v>
      </c>
      <c r="I338">
        <v>21.4</v>
      </c>
      <c r="J338">
        <f t="shared" si="35"/>
        <v>2844.6999999999989</v>
      </c>
      <c r="K338">
        <f t="shared" si="36"/>
        <v>546.80000000000007</v>
      </c>
      <c r="M338">
        <v>0.1</v>
      </c>
      <c r="N338">
        <v>1.3</v>
      </c>
      <c r="O338">
        <f t="shared" si="39"/>
        <v>-1.2</v>
      </c>
      <c r="Q338">
        <v>283</v>
      </c>
      <c r="S338">
        <f t="shared" si="40"/>
        <v>0</v>
      </c>
      <c r="T338">
        <f t="shared" si="41"/>
        <v>0.1</v>
      </c>
      <c r="U338">
        <f t="shared" si="37"/>
        <v>55.068951990632478</v>
      </c>
      <c r="W338">
        <v>739.5</v>
      </c>
      <c r="X338">
        <f t="shared" si="38"/>
        <v>57594.600000000006</v>
      </c>
    </row>
    <row r="339" spans="1:24" x14ac:dyDescent="0.35">
      <c r="A339">
        <v>2920</v>
      </c>
      <c r="B339">
        <v>23610</v>
      </c>
      <c r="C339" s="1">
        <v>42919</v>
      </c>
      <c r="G339">
        <v>18</v>
      </c>
      <c r="H339">
        <v>15.5</v>
      </c>
      <c r="I339">
        <v>21.8</v>
      </c>
      <c r="J339">
        <f t="shared" si="35"/>
        <v>2862.6999999999989</v>
      </c>
      <c r="K339">
        <f t="shared" si="36"/>
        <v>564.80000000000007</v>
      </c>
      <c r="M339">
        <v>0</v>
      </c>
      <c r="N339">
        <v>3.2</v>
      </c>
      <c r="O339">
        <f t="shared" si="39"/>
        <v>-3.2</v>
      </c>
      <c r="Q339">
        <v>284</v>
      </c>
      <c r="S339">
        <f t="shared" si="40"/>
        <v>0</v>
      </c>
      <c r="T339">
        <f t="shared" si="41"/>
        <v>0</v>
      </c>
      <c r="U339">
        <f t="shared" si="37"/>
        <v>55.068951990632478</v>
      </c>
      <c r="W339">
        <v>1609.9</v>
      </c>
      <c r="X339">
        <f t="shared" si="38"/>
        <v>59204.500000000007</v>
      </c>
    </row>
    <row r="340" spans="1:24" x14ac:dyDescent="0.35">
      <c r="A340">
        <v>2920</v>
      </c>
      <c r="B340">
        <v>23610</v>
      </c>
      <c r="C340" s="1">
        <v>42920</v>
      </c>
      <c r="G340">
        <v>19.899999999999999</v>
      </c>
      <c r="H340">
        <v>12.6</v>
      </c>
      <c r="I340">
        <v>25.7</v>
      </c>
      <c r="J340">
        <f t="shared" si="35"/>
        <v>2882.599999999999</v>
      </c>
      <c r="K340">
        <f t="shared" si="36"/>
        <v>584.70000000000005</v>
      </c>
      <c r="M340">
        <v>0</v>
      </c>
      <c r="N340">
        <v>5.7</v>
      </c>
      <c r="O340">
        <f t="shared" si="39"/>
        <v>-5.7</v>
      </c>
      <c r="Q340">
        <v>285</v>
      </c>
      <c r="S340">
        <f t="shared" si="40"/>
        <v>0</v>
      </c>
      <c r="T340">
        <f t="shared" si="41"/>
        <v>0</v>
      </c>
      <c r="U340">
        <f t="shared" si="37"/>
        <v>55.068951990632478</v>
      </c>
      <c r="W340">
        <v>3064.2</v>
      </c>
      <c r="X340">
        <f t="shared" si="38"/>
        <v>62268.700000000004</v>
      </c>
    </row>
    <row r="341" spans="1:24" x14ac:dyDescent="0.35">
      <c r="A341">
        <v>2920</v>
      </c>
      <c r="B341">
        <v>23610</v>
      </c>
      <c r="C341" s="1">
        <v>42921</v>
      </c>
      <c r="G341">
        <v>24.3</v>
      </c>
      <c r="H341">
        <v>15.9</v>
      </c>
      <c r="I341">
        <v>31.5</v>
      </c>
      <c r="J341">
        <f t="shared" si="35"/>
        <v>2906.8999999999992</v>
      </c>
      <c r="K341">
        <f t="shared" si="36"/>
        <v>609</v>
      </c>
      <c r="M341">
        <v>0</v>
      </c>
      <c r="N341">
        <v>4.2</v>
      </c>
      <c r="O341">
        <f t="shared" si="39"/>
        <v>-4.2</v>
      </c>
      <c r="Q341">
        <v>286</v>
      </c>
      <c r="S341">
        <f t="shared" si="40"/>
        <v>0</v>
      </c>
      <c r="T341">
        <f t="shared" si="41"/>
        <v>0</v>
      </c>
      <c r="U341">
        <f t="shared" si="37"/>
        <v>55.068951990632478</v>
      </c>
      <c r="W341">
        <v>1705.6</v>
      </c>
      <c r="X341">
        <f t="shared" si="38"/>
        <v>63974.3</v>
      </c>
    </row>
    <row r="342" spans="1:24" x14ac:dyDescent="0.35">
      <c r="A342">
        <v>2920</v>
      </c>
      <c r="B342">
        <v>23610</v>
      </c>
      <c r="C342" s="1">
        <v>42922</v>
      </c>
      <c r="G342">
        <v>23.9</v>
      </c>
      <c r="H342">
        <v>20.399999999999999</v>
      </c>
      <c r="I342">
        <v>28.9</v>
      </c>
      <c r="J342">
        <f t="shared" si="35"/>
        <v>2930.7999999999993</v>
      </c>
      <c r="K342">
        <f t="shared" si="36"/>
        <v>632.9</v>
      </c>
      <c r="M342">
        <v>0</v>
      </c>
      <c r="N342">
        <v>4.5</v>
      </c>
      <c r="O342">
        <f t="shared" si="39"/>
        <v>-4.5</v>
      </c>
      <c r="Q342">
        <v>287</v>
      </c>
      <c r="S342">
        <f t="shared" si="40"/>
        <v>0</v>
      </c>
      <c r="T342">
        <f t="shared" si="41"/>
        <v>0</v>
      </c>
      <c r="U342">
        <f t="shared" si="37"/>
        <v>55.068951990632478</v>
      </c>
      <c r="W342">
        <v>1763.7</v>
      </c>
      <c r="X342">
        <f t="shared" si="38"/>
        <v>65738</v>
      </c>
    </row>
    <row r="343" spans="1:24" x14ac:dyDescent="0.35">
      <c r="A343">
        <v>2920</v>
      </c>
      <c r="B343">
        <v>23610</v>
      </c>
      <c r="C343" s="1">
        <v>42923</v>
      </c>
      <c r="G343">
        <v>21.7</v>
      </c>
      <c r="H343">
        <v>16.600000000000001</v>
      </c>
      <c r="I343">
        <v>28.6</v>
      </c>
      <c r="J343">
        <f t="shared" si="35"/>
        <v>2952.4999999999991</v>
      </c>
      <c r="K343">
        <f t="shared" si="36"/>
        <v>654.6</v>
      </c>
      <c r="M343">
        <v>0</v>
      </c>
      <c r="N343">
        <v>6.9</v>
      </c>
      <c r="O343">
        <f t="shared" si="39"/>
        <v>-6.9</v>
      </c>
      <c r="Q343">
        <v>288</v>
      </c>
      <c r="S343">
        <f t="shared" si="40"/>
        <v>0</v>
      </c>
      <c r="T343">
        <f t="shared" si="41"/>
        <v>0</v>
      </c>
      <c r="U343">
        <f t="shared" si="37"/>
        <v>55.068951990632478</v>
      </c>
      <c r="W343">
        <v>3138.6</v>
      </c>
      <c r="X343">
        <f t="shared" si="38"/>
        <v>68876.600000000006</v>
      </c>
    </row>
    <row r="344" spans="1:24" x14ac:dyDescent="0.35">
      <c r="A344">
        <v>2920</v>
      </c>
      <c r="B344">
        <v>23610</v>
      </c>
      <c r="C344" s="1">
        <v>42924</v>
      </c>
      <c r="G344">
        <v>21.5</v>
      </c>
      <c r="H344">
        <v>15.6</v>
      </c>
      <c r="I344">
        <v>27.2</v>
      </c>
      <c r="J344">
        <f t="shared" si="35"/>
        <v>2973.9999999999991</v>
      </c>
      <c r="K344">
        <f t="shared" si="36"/>
        <v>676.1</v>
      </c>
      <c r="M344">
        <v>0</v>
      </c>
      <c r="N344">
        <v>6.1</v>
      </c>
      <c r="O344">
        <f t="shared" si="39"/>
        <v>-6.1</v>
      </c>
      <c r="Q344">
        <v>289</v>
      </c>
      <c r="S344">
        <f t="shared" si="40"/>
        <v>0</v>
      </c>
      <c r="T344">
        <f t="shared" si="41"/>
        <v>0</v>
      </c>
      <c r="U344">
        <f t="shared" si="37"/>
        <v>55.068951990632478</v>
      </c>
      <c r="W344">
        <v>2881.2</v>
      </c>
      <c r="X344">
        <f t="shared" si="38"/>
        <v>71757.8</v>
      </c>
    </row>
    <row r="345" spans="1:24" x14ac:dyDescent="0.35">
      <c r="A345">
        <v>2920</v>
      </c>
      <c r="B345">
        <v>23610</v>
      </c>
      <c r="C345" s="1">
        <v>42925</v>
      </c>
      <c r="G345">
        <v>20.9</v>
      </c>
      <c r="H345">
        <v>16.2</v>
      </c>
      <c r="I345">
        <v>27.5</v>
      </c>
      <c r="J345">
        <f t="shared" si="35"/>
        <v>2994.8999999999992</v>
      </c>
      <c r="K345">
        <f t="shared" si="36"/>
        <v>697</v>
      </c>
      <c r="M345">
        <v>3.9</v>
      </c>
      <c r="N345">
        <v>5.0999999999999996</v>
      </c>
      <c r="O345">
        <f t="shared" si="39"/>
        <v>-1.1999999999999997</v>
      </c>
      <c r="Q345">
        <v>290</v>
      </c>
      <c r="S345">
        <f t="shared" si="40"/>
        <v>0</v>
      </c>
      <c r="T345">
        <f t="shared" si="41"/>
        <v>3.9</v>
      </c>
      <c r="U345">
        <f t="shared" si="37"/>
        <v>58.968951990632476</v>
      </c>
      <c r="W345">
        <v>1953.1</v>
      </c>
      <c r="X345">
        <f t="shared" si="38"/>
        <v>73710.900000000009</v>
      </c>
    </row>
    <row r="346" spans="1:24" x14ac:dyDescent="0.35">
      <c r="A346">
        <v>2920</v>
      </c>
      <c r="B346">
        <v>23610</v>
      </c>
      <c r="C346" s="1">
        <v>42926</v>
      </c>
      <c r="G346">
        <v>18.8</v>
      </c>
      <c r="H346">
        <v>15.4</v>
      </c>
      <c r="I346">
        <v>22.4</v>
      </c>
      <c r="J346">
        <f t="shared" si="35"/>
        <v>3013.6999999999994</v>
      </c>
      <c r="K346">
        <f t="shared" si="36"/>
        <v>715.8</v>
      </c>
      <c r="M346">
        <v>1.2</v>
      </c>
      <c r="N346">
        <v>2.9</v>
      </c>
      <c r="O346">
        <f t="shared" si="39"/>
        <v>-1.7</v>
      </c>
      <c r="Q346">
        <v>291</v>
      </c>
      <c r="S346">
        <f t="shared" si="40"/>
        <v>0</v>
      </c>
      <c r="T346">
        <f t="shared" si="41"/>
        <v>1.2</v>
      </c>
      <c r="U346">
        <f t="shared" si="37"/>
        <v>60.168951990632479</v>
      </c>
      <c r="W346">
        <v>1350.5</v>
      </c>
      <c r="X346">
        <f t="shared" si="38"/>
        <v>75061.400000000009</v>
      </c>
    </row>
    <row r="347" spans="1:24" x14ac:dyDescent="0.35">
      <c r="A347">
        <v>2920</v>
      </c>
      <c r="B347">
        <v>23610</v>
      </c>
      <c r="C347" s="1">
        <v>42927</v>
      </c>
      <c r="G347">
        <v>17.8</v>
      </c>
      <c r="H347">
        <v>15.5</v>
      </c>
      <c r="I347">
        <v>20.2</v>
      </c>
      <c r="J347">
        <f t="shared" si="35"/>
        <v>3031.4999999999995</v>
      </c>
      <c r="K347">
        <f t="shared" si="36"/>
        <v>733.59999999999991</v>
      </c>
      <c r="M347">
        <v>2.7</v>
      </c>
      <c r="N347">
        <v>2.7</v>
      </c>
      <c r="O347">
        <f t="shared" si="39"/>
        <v>0</v>
      </c>
      <c r="Q347">
        <v>292</v>
      </c>
      <c r="S347">
        <f t="shared" si="40"/>
        <v>0</v>
      </c>
      <c r="T347">
        <f t="shared" si="41"/>
        <v>2.7</v>
      </c>
      <c r="U347">
        <f t="shared" si="37"/>
        <v>62.868951990632482</v>
      </c>
      <c r="W347">
        <v>1213.7</v>
      </c>
      <c r="X347">
        <f t="shared" si="38"/>
        <v>76275.100000000006</v>
      </c>
    </row>
    <row r="348" spans="1:24" x14ac:dyDescent="0.35">
      <c r="A348">
        <v>2920</v>
      </c>
      <c r="B348">
        <v>23610</v>
      </c>
      <c r="C348" s="1">
        <v>42928</v>
      </c>
      <c r="G348">
        <v>18.3</v>
      </c>
      <c r="H348">
        <v>16.7</v>
      </c>
      <c r="I348">
        <v>19.600000000000001</v>
      </c>
      <c r="J348">
        <f t="shared" si="35"/>
        <v>3049.7999999999997</v>
      </c>
      <c r="K348">
        <f t="shared" si="36"/>
        <v>751.89999999999986</v>
      </c>
      <c r="M348">
        <v>0</v>
      </c>
      <c r="N348">
        <v>1.4</v>
      </c>
      <c r="O348">
        <f t="shared" si="39"/>
        <v>-1.4</v>
      </c>
      <c r="Q348">
        <v>293</v>
      </c>
      <c r="S348">
        <f t="shared" si="40"/>
        <v>0</v>
      </c>
      <c r="T348">
        <f t="shared" si="41"/>
        <v>0</v>
      </c>
      <c r="U348">
        <f t="shared" si="37"/>
        <v>62.868951990632482</v>
      </c>
      <c r="W348">
        <v>608.9</v>
      </c>
      <c r="X348">
        <f t="shared" si="38"/>
        <v>76884</v>
      </c>
    </row>
    <row r="349" spans="1:24" x14ac:dyDescent="0.35">
      <c r="A349">
        <v>2920</v>
      </c>
      <c r="B349">
        <v>23610</v>
      </c>
      <c r="C349" s="1">
        <v>42929</v>
      </c>
      <c r="G349">
        <v>18.8</v>
      </c>
      <c r="H349">
        <v>17</v>
      </c>
      <c r="I349">
        <v>23.1</v>
      </c>
      <c r="J349">
        <f t="shared" si="35"/>
        <v>3068.6</v>
      </c>
      <c r="K349">
        <f t="shared" si="36"/>
        <v>770.69999999999982</v>
      </c>
      <c r="M349">
        <v>0</v>
      </c>
      <c r="N349">
        <v>4.0999999999999996</v>
      </c>
      <c r="O349">
        <f t="shared" si="39"/>
        <v>-4.0999999999999996</v>
      </c>
      <c r="Q349">
        <v>294</v>
      </c>
      <c r="S349">
        <f t="shared" si="40"/>
        <v>0</v>
      </c>
      <c r="T349">
        <f t="shared" si="41"/>
        <v>0</v>
      </c>
      <c r="U349">
        <f t="shared" si="37"/>
        <v>62.868951990632482</v>
      </c>
      <c r="W349">
        <v>1774.5</v>
      </c>
      <c r="X349">
        <f t="shared" si="38"/>
        <v>78658.5</v>
      </c>
    </row>
    <row r="350" spans="1:24" x14ac:dyDescent="0.35">
      <c r="A350">
        <v>2920</v>
      </c>
      <c r="B350">
        <v>23610</v>
      </c>
      <c r="C350" s="1">
        <v>42930</v>
      </c>
      <c r="G350">
        <v>16.399999999999999</v>
      </c>
      <c r="H350">
        <v>12.4</v>
      </c>
      <c r="I350">
        <v>20.3</v>
      </c>
      <c r="J350">
        <f t="shared" si="35"/>
        <v>3085</v>
      </c>
      <c r="K350">
        <f t="shared" si="36"/>
        <v>787.0999999999998</v>
      </c>
      <c r="M350">
        <v>0</v>
      </c>
      <c r="N350">
        <v>2.8</v>
      </c>
      <c r="O350">
        <f t="shared" si="39"/>
        <v>-2.8</v>
      </c>
      <c r="Q350">
        <v>295</v>
      </c>
      <c r="S350">
        <f t="shared" si="40"/>
        <v>0</v>
      </c>
      <c r="T350">
        <f t="shared" si="41"/>
        <v>0</v>
      </c>
      <c r="U350">
        <f t="shared" si="37"/>
        <v>62.868951990632482</v>
      </c>
      <c r="W350">
        <v>1350.2</v>
      </c>
      <c r="X350">
        <f t="shared" si="38"/>
        <v>80008.7</v>
      </c>
    </row>
    <row r="351" spans="1:24" x14ac:dyDescent="0.35">
      <c r="A351">
        <v>2920</v>
      </c>
      <c r="B351">
        <v>23610</v>
      </c>
      <c r="C351" s="1">
        <v>42931</v>
      </c>
      <c r="G351">
        <v>18.600000000000001</v>
      </c>
      <c r="H351">
        <v>10.8</v>
      </c>
      <c r="I351">
        <v>24.5</v>
      </c>
      <c r="J351">
        <f t="shared" si="35"/>
        <v>3103.6</v>
      </c>
      <c r="K351">
        <f t="shared" si="36"/>
        <v>805.69999999999982</v>
      </c>
      <c r="M351">
        <v>0</v>
      </c>
      <c r="N351">
        <v>5.2</v>
      </c>
      <c r="O351">
        <f t="shared" si="39"/>
        <v>-5.2</v>
      </c>
      <c r="Q351">
        <v>296</v>
      </c>
      <c r="S351">
        <f t="shared" si="40"/>
        <v>0</v>
      </c>
      <c r="T351">
        <f t="shared" si="41"/>
        <v>0</v>
      </c>
      <c r="U351">
        <f t="shared" si="37"/>
        <v>62.868951990632482</v>
      </c>
      <c r="W351">
        <v>2729.3</v>
      </c>
      <c r="X351">
        <f t="shared" si="38"/>
        <v>82738</v>
      </c>
    </row>
    <row r="352" spans="1:24" x14ac:dyDescent="0.35">
      <c r="A352">
        <v>2920</v>
      </c>
      <c r="B352">
        <v>23610</v>
      </c>
      <c r="C352" s="1">
        <v>42932</v>
      </c>
      <c r="G352">
        <v>19.399999999999999</v>
      </c>
      <c r="H352">
        <v>14.1</v>
      </c>
      <c r="I352">
        <v>23.8</v>
      </c>
      <c r="J352">
        <f t="shared" si="35"/>
        <v>3123</v>
      </c>
      <c r="K352">
        <f t="shared" si="36"/>
        <v>825.0999999999998</v>
      </c>
      <c r="M352">
        <v>0</v>
      </c>
      <c r="N352">
        <v>1.8</v>
      </c>
      <c r="O352">
        <f t="shared" si="39"/>
        <v>-1.8</v>
      </c>
      <c r="Q352">
        <v>297</v>
      </c>
      <c r="S352">
        <f t="shared" si="40"/>
        <v>0</v>
      </c>
      <c r="T352">
        <f t="shared" si="41"/>
        <v>0</v>
      </c>
      <c r="U352">
        <f t="shared" si="37"/>
        <v>62.868951990632482</v>
      </c>
      <c r="W352">
        <v>754.5</v>
      </c>
      <c r="X352">
        <f t="shared" si="38"/>
        <v>83492.5</v>
      </c>
    </row>
    <row r="353" spans="1:24" x14ac:dyDescent="0.35">
      <c r="A353">
        <v>2920</v>
      </c>
      <c r="B353">
        <v>23610</v>
      </c>
      <c r="C353" s="1">
        <v>42933</v>
      </c>
      <c r="G353">
        <v>23.4</v>
      </c>
      <c r="H353">
        <v>16.8</v>
      </c>
      <c r="I353">
        <v>29.4</v>
      </c>
      <c r="J353">
        <f t="shared" si="35"/>
        <v>3146.4</v>
      </c>
      <c r="K353">
        <f t="shared" si="36"/>
        <v>848.49999999999977</v>
      </c>
      <c r="M353">
        <v>0</v>
      </c>
      <c r="N353">
        <v>5</v>
      </c>
      <c r="O353">
        <f t="shared" si="39"/>
        <v>-5</v>
      </c>
      <c r="Q353">
        <v>298</v>
      </c>
      <c r="S353">
        <f t="shared" si="40"/>
        <v>0</v>
      </c>
      <c r="T353">
        <f t="shared" si="41"/>
        <v>0</v>
      </c>
      <c r="U353">
        <f t="shared" si="37"/>
        <v>62.868951990632482</v>
      </c>
      <c r="W353">
        <v>2124.9</v>
      </c>
      <c r="X353">
        <f t="shared" si="38"/>
        <v>85617.4</v>
      </c>
    </row>
    <row r="354" spans="1:24" x14ac:dyDescent="0.35">
      <c r="A354">
        <v>2920</v>
      </c>
      <c r="B354">
        <v>23610</v>
      </c>
      <c r="C354" s="1">
        <v>42934</v>
      </c>
      <c r="G354">
        <v>24.2</v>
      </c>
      <c r="H354">
        <v>21.2</v>
      </c>
      <c r="I354">
        <v>31.9</v>
      </c>
      <c r="J354">
        <f t="shared" si="35"/>
        <v>3170.6</v>
      </c>
      <c r="K354">
        <f t="shared" si="36"/>
        <v>872.69999999999982</v>
      </c>
      <c r="M354">
        <v>2.7</v>
      </c>
      <c r="N354">
        <v>3.7</v>
      </c>
      <c r="O354">
        <f t="shared" si="39"/>
        <v>-1</v>
      </c>
      <c r="Q354">
        <v>299</v>
      </c>
      <c r="S354">
        <f t="shared" si="40"/>
        <v>0</v>
      </c>
      <c r="T354">
        <f t="shared" si="41"/>
        <v>2.7</v>
      </c>
      <c r="U354">
        <f t="shared" si="37"/>
        <v>65.568951990632485</v>
      </c>
      <c r="W354">
        <v>808.9</v>
      </c>
      <c r="X354">
        <f t="shared" si="38"/>
        <v>86426.299999999988</v>
      </c>
    </row>
    <row r="355" spans="1:24" x14ac:dyDescent="0.35">
      <c r="A355">
        <v>2920</v>
      </c>
      <c r="B355">
        <v>23610</v>
      </c>
      <c r="C355" s="1">
        <v>42935</v>
      </c>
      <c r="G355">
        <v>20.399999999999999</v>
      </c>
      <c r="H355">
        <v>19.3</v>
      </c>
      <c r="I355">
        <v>21.6</v>
      </c>
      <c r="J355">
        <f t="shared" si="35"/>
        <v>3191</v>
      </c>
      <c r="K355">
        <f t="shared" si="36"/>
        <v>893.0999999999998</v>
      </c>
      <c r="M355">
        <v>0.4</v>
      </c>
      <c r="N355">
        <v>1.6</v>
      </c>
      <c r="O355">
        <f t="shared" si="39"/>
        <v>-1.2000000000000002</v>
      </c>
      <c r="Q355">
        <v>300</v>
      </c>
      <c r="S355">
        <f t="shared" si="40"/>
        <v>0</v>
      </c>
      <c r="T355">
        <f t="shared" si="41"/>
        <v>0.4</v>
      </c>
      <c r="U355">
        <f t="shared" si="37"/>
        <v>65.96895199063249</v>
      </c>
      <c r="W355">
        <v>563.29999999999995</v>
      </c>
      <c r="X355">
        <f t="shared" si="38"/>
        <v>86989.599999999991</v>
      </c>
    </row>
    <row r="356" spans="1:24" x14ac:dyDescent="0.35">
      <c r="A356">
        <v>2920</v>
      </c>
      <c r="B356">
        <v>23610</v>
      </c>
      <c r="C356" s="1">
        <v>42936</v>
      </c>
      <c r="G356">
        <v>17.399999999999999</v>
      </c>
      <c r="H356">
        <v>15</v>
      </c>
      <c r="I356">
        <v>20.6</v>
      </c>
      <c r="J356">
        <f t="shared" si="35"/>
        <v>3208.4</v>
      </c>
      <c r="K356">
        <f t="shared" si="36"/>
        <v>910.49999999999977</v>
      </c>
      <c r="M356">
        <v>0</v>
      </c>
      <c r="N356">
        <v>2.2999999999999998</v>
      </c>
      <c r="O356">
        <f t="shared" si="39"/>
        <v>-2.2999999999999998</v>
      </c>
      <c r="Q356">
        <v>301</v>
      </c>
      <c r="S356">
        <f t="shared" si="40"/>
        <v>0</v>
      </c>
      <c r="T356">
        <f t="shared" si="41"/>
        <v>0</v>
      </c>
      <c r="U356">
        <f t="shared" si="37"/>
        <v>65.96895199063249</v>
      </c>
      <c r="W356">
        <v>691.3</v>
      </c>
      <c r="X356">
        <f t="shared" si="38"/>
        <v>87680.9</v>
      </c>
    </row>
    <row r="357" spans="1:24" x14ac:dyDescent="0.35">
      <c r="A357">
        <v>2920</v>
      </c>
      <c r="B357">
        <v>23610</v>
      </c>
      <c r="C357" s="1">
        <v>42937</v>
      </c>
      <c r="G357">
        <v>16.399999999999999</v>
      </c>
      <c r="H357">
        <v>11.9</v>
      </c>
      <c r="I357">
        <v>19.600000000000001</v>
      </c>
      <c r="J357">
        <f t="shared" si="35"/>
        <v>3224.8</v>
      </c>
      <c r="K357">
        <f t="shared" si="36"/>
        <v>926.89999999999975</v>
      </c>
      <c r="M357">
        <v>8.6</v>
      </c>
      <c r="N357">
        <v>2</v>
      </c>
      <c r="O357">
        <f t="shared" si="39"/>
        <v>6.6</v>
      </c>
      <c r="Q357">
        <v>302</v>
      </c>
      <c r="S357">
        <f t="shared" si="40"/>
        <v>0</v>
      </c>
      <c r="T357">
        <f t="shared" si="41"/>
        <v>8.6</v>
      </c>
      <c r="U357">
        <f t="shared" si="37"/>
        <v>74.568951990632485</v>
      </c>
      <c r="W357">
        <v>985.4</v>
      </c>
      <c r="X357">
        <f t="shared" si="38"/>
        <v>88666.299999999988</v>
      </c>
    </row>
    <row r="358" spans="1:24" x14ac:dyDescent="0.35">
      <c r="A358">
        <v>2920</v>
      </c>
      <c r="B358">
        <v>23610</v>
      </c>
      <c r="C358" s="1">
        <v>42938</v>
      </c>
      <c r="G358">
        <v>15.1</v>
      </c>
      <c r="H358">
        <v>13.1</v>
      </c>
      <c r="I358">
        <v>18.3</v>
      </c>
      <c r="J358">
        <f t="shared" si="35"/>
        <v>3239.9</v>
      </c>
      <c r="K358">
        <f t="shared" si="36"/>
        <v>941.99999999999977</v>
      </c>
      <c r="M358">
        <v>3.3</v>
      </c>
      <c r="N358">
        <v>1.7</v>
      </c>
      <c r="O358">
        <f t="shared" si="39"/>
        <v>1.5999999999999999</v>
      </c>
      <c r="Q358">
        <v>303</v>
      </c>
      <c r="S358">
        <f t="shared" si="40"/>
        <v>0</v>
      </c>
      <c r="T358">
        <f t="shared" si="41"/>
        <v>3.3</v>
      </c>
      <c r="U358">
        <f t="shared" si="37"/>
        <v>77.868951990632482</v>
      </c>
      <c r="W358">
        <v>852.6</v>
      </c>
      <c r="X358">
        <f t="shared" si="38"/>
        <v>89518.9</v>
      </c>
    </row>
    <row r="359" spans="1:24" x14ac:dyDescent="0.35">
      <c r="A359">
        <v>2920</v>
      </c>
      <c r="B359">
        <v>23610</v>
      </c>
      <c r="C359" s="1">
        <v>42939</v>
      </c>
      <c r="G359">
        <v>14.5</v>
      </c>
      <c r="H359">
        <v>13.4</v>
      </c>
      <c r="I359">
        <v>15.5</v>
      </c>
      <c r="J359">
        <f t="shared" si="35"/>
        <v>3254.4</v>
      </c>
      <c r="K359">
        <f t="shared" si="36"/>
        <v>956.49999999999977</v>
      </c>
      <c r="M359">
        <v>8.4</v>
      </c>
      <c r="N359">
        <v>1.2</v>
      </c>
      <c r="O359">
        <f t="shared" si="39"/>
        <v>7.2</v>
      </c>
      <c r="Q359">
        <v>304</v>
      </c>
      <c r="S359">
        <f t="shared" si="40"/>
        <v>0</v>
      </c>
      <c r="T359">
        <f t="shared" si="41"/>
        <v>8.4</v>
      </c>
      <c r="U359">
        <f t="shared" si="37"/>
        <v>86.268951990632488</v>
      </c>
      <c r="W359">
        <v>668.8</v>
      </c>
      <c r="X359">
        <f t="shared" si="38"/>
        <v>90187.7</v>
      </c>
    </row>
    <row r="360" spans="1:24" x14ac:dyDescent="0.35">
      <c r="A360">
        <v>2920</v>
      </c>
      <c r="B360">
        <v>23610</v>
      </c>
      <c r="C360" s="1">
        <v>42940</v>
      </c>
      <c r="G360">
        <v>16.899999999999999</v>
      </c>
      <c r="H360">
        <v>12.8</v>
      </c>
      <c r="I360">
        <v>21.5</v>
      </c>
      <c r="J360">
        <f t="shared" si="35"/>
        <v>3271.3</v>
      </c>
      <c r="K360">
        <f t="shared" si="36"/>
        <v>973.39999999999975</v>
      </c>
      <c r="M360">
        <v>0</v>
      </c>
      <c r="N360">
        <v>2.5</v>
      </c>
      <c r="O360">
        <f t="shared" si="39"/>
        <v>-2.5</v>
      </c>
      <c r="Q360">
        <v>305</v>
      </c>
      <c r="S360">
        <f t="shared" si="40"/>
        <v>0</v>
      </c>
      <c r="T360">
        <f t="shared" si="41"/>
        <v>0</v>
      </c>
      <c r="U360">
        <f t="shared" si="37"/>
        <v>86.268951990632488</v>
      </c>
      <c r="W360">
        <v>1202.0999999999999</v>
      </c>
      <c r="X360">
        <f t="shared" si="38"/>
        <v>91389.8</v>
      </c>
    </row>
    <row r="361" spans="1:24" x14ac:dyDescent="0.35">
      <c r="A361">
        <v>2920</v>
      </c>
      <c r="B361">
        <v>23610</v>
      </c>
      <c r="C361" s="1">
        <v>42941</v>
      </c>
      <c r="G361">
        <v>18.7</v>
      </c>
      <c r="H361">
        <v>14</v>
      </c>
      <c r="I361">
        <v>22.9</v>
      </c>
      <c r="J361">
        <f t="shared" si="35"/>
        <v>3290</v>
      </c>
      <c r="K361">
        <f t="shared" si="36"/>
        <v>992.0999999999998</v>
      </c>
      <c r="M361">
        <v>2.6</v>
      </c>
      <c r="N361">
        <v>3.1</v>
      </c>
      <c r="O361">
        <f t="shared" si="39"/>
        <v>-0.5</v>
      </c>
      <c r="Q361">
        <v>306</v>
      </c>
      <c r="S361">
        <f t="shared" si="40"/>
        <v>0</v>
      </c>
      <c r="T361">
        <f t="shared" si="41"/>
        <v>2.6</v>
      </c>
      <c r="U361">
        <f t="shared" si="37"/>
        <v>88.868951990632482</v>
      </c>
      <c r="W361">
        <v>1600.4</v>
      </c>
      <c r="X361">
        <f t="shared" si="38"/>
        <v>92990.2</v>
      </c>
    </row>
    <row r="362" spans="1:24" x14ac:dyDescent="0.35">
      <c r="A362">
        <v>2920</v>
      </c>
      <c r="B362">
        <v>23610</v>
      </c>
      <c r="C362" s="1">
        <v>42942</v>
      </c>
      <c r="G362">
        <v>18</v>
      </c>
      <c r="H362">
        <v>16.5</v>
      </c>
      <c r="I362">
        <v>19.600000000000001</v>
      </c>
      <c r="J362">
        <f t="shared" si="35"/>
        <v>3308</v>
      </c>
      <c r="K362">
        <f t="shared" si="36"/>
        <v>1010.0999999999998</v>
      </c>
      <c r="M362">
        <v>4.2</v>
      </c>
      <c r="N362">
        <v>1.1000000000000001</v>
      </c>
      <c r="O362">
        <f t="shared" si="39"/>
        <v>3.1</v>
      </c>
      <c r="Q362">
        <v>307</v>
      </c>
      <c r="S362">
        <f t="shared" si="40"/>
        <v>0</v>
      </c>
      <c r="T362">
        <f t="shared" si="41"/>
        <v>4.2</v>
      </c>
      <c r="U362">
        <f t="shared" si="37"/>
        <v>93.068951990632485</v>
      </c>
      <c r="W362">
        <v>498.8</v>
      </c>
      <c r="X362">
        <f t="shared" si="38"/>
        <v>93489</v>
      </c>
    </row>
    <row r="363" spans="1:24" x14ac:dyDescent="0.35">
      <c r="A363">
        <v>2920</v>
      </c>
      <c r="B363">
        <v>23610</v>
      </c>
      <c r="C363" s="1">
        <v>42943</v>
      </c>
      <c r="G363">
        <v>17.8</v>
      </c>
      <c r="H363">
        <v>14.6</v>
      </c>
      <c r="I363">
        <v>20.8</v>
      </c>
      <c r="J363">
        <f t="shared" si="35"/>
        <v>3325.8</v>
      </c>
      <c r="K363">
        <f t="shared" si="36"/>
        <v>1027.8999999999999</v>
      </c>
      <c r="M363">
        <v>0</v>
      </c>
      <c r="N363">
        <v>3.3</v>
      </c>
      <c r="O363">
        <f t="shared" si="39"/>
        <v>-3.3</v>
      </c>
      <c r="Q363">
        <v>308</v>
      </c>
      <c r="S363">
        <f t="shared" si="40"/>
        <v>0</v>
      </c>
      <c r="T363">
        <f t="shared" si="41"/>
        <v>0</v>
      </c>
      <c r="U363">
        <f t="shared" si="37"/>
        <v>93.068951990632485</v>
      </c>
      <c r="W363">
        <v>1877.2</v>
      </c>
      <c r="X363">
        <f t="shared" si="38"/>
        <v>95366.2</v>
      </c>
    </row>
    <row r="364" spans="1:24" x14ac:dyDescent="0.35">
      <c r="A364">
        <v>2920</v>
      </c>
      <c r="B364">
        <v>23610</v>
      </c>
      <c r="C364" s="1">
        <v>42944</v>
      </c>
      <c r="G364">
        <v>18</v>
      </c>
      <c r="H364">
        <v>14.1</v>
      </c>
      <c r="I364">
        <v>20.5</v>
      </c>
      <c r="J364">
        <f t="shared" si="35"/>
        <v>3343.8</v>
      </c>
      <c r="K364">
        <f t="shared" si="36"/>
        <v>1045.8999999999999</v>
      </c>
      <c r="M364">
        <v>0.3</v>
      </c>
      <c r="N364">
        <v>3.2</v>
      </c>
      <c r="O364">
        <f t="shared" si="39"/>
        <v>-2.9000000000000004</v>
      </c>
      <c r="Q364">
        <v>309</v>
      </c>
      <c r="S364">
        <f t="shared" si="40"/>
        <v>0</v>
      </c>
      <c r="T364">
        <f t="shared" si="41"/>
        <v>0.3</v>
      </c>
      <c r="U364">
        <f t="shared" si="37"/>
        <v>93.368951990632482</v>
      </c>
      <c r="W364">
        <v>1702.2</v>
      </c>
      <c r="X364">
        <f t="shared" si="38"/>
        <v>97068.4</v>
      </c>
    </row>
    <row r="365" spans="1:24" x14ac:dyDescent="0.35">
      <c r="A365">
        <v>2920</v>
      </c>
      <c r="B365">
        <v>23610</v>
      </c>
      <c r="C365" s="1">
        <v>42945</v>
      </c>
      <c r="G365">
        <v>19.7</v>
      </c>
      <c r="H365">
        <v>17.3</v>
      </c>
      <c r="I365">
        <v>21.5</v>
      </c>
      <c r="J365">
        <f t="shared" si="35"/>
        <v>3363.5</v>
      </c>
      <c r="K365">
        <f t="shared" si="36"/>
        <v>1065.5999999999999</v>
      </c>
      <c r="M365">
        <v>0.6</v>
      </c>
      <c r="N365">
        <v>1.6</v>
      </c>
      <c r="O365">
        <f t="shared" si="39"/>
        <v>-1</v>
      </c>
      <c r="Q365">
        <v>310</v>
      </c>
      <c r="S365">
        <f t="shared" si="40"/>
        <v>0</v>
      </c>
      <c r="T365">
        <f t="shared" si="41"/>
        <v>0.6</v>
      </c>
      <c r="U365">
        <f t="shared" si="37"/>
        <v>93.968951990632476</v>
      </c>
      <c r="W365">
        <v>556.9</v>
      </c>
      <c r="X365">
        <f t="shared" si="38"/>
        <v>97625.299999999988</v>
      </c>
    </row>
    <row r="366" spans="1:24" x14ac:dyDescent="0.35">
      <c r="A366">
        <v>2920</v>
      </c>
      <c r="B366">
        <v>23610</v>
      </c>
      <c r="C366" s="1">
        <v>42946</v>
      </c>
      <c r="G366">
        <v>18</v>
      </c>
      <c r="H366">
        <v>15.5</v>
      </c>
      <c r="I366">
        <v>21.1</v>
      </c>
      <c r="J366">
        <f t="shared" si="35"/>
        <v>3381.5</v>
      </c>
      <c r="K366">
        <f t="shared" si="36"/>
        <v>1083.5999999999999</v>
      </c>
      <c r="M366">
        <v>0</v>
      </c>
      <c r="N366">
        <v>3.3</v>
      </c>
      <c r="O366">
        <f t="shared" si="39"/>
        <v>-3.3</v>
      </c>
      <c r="Q366">
        <v>311</v>
      </c>
      <c r="S366">
        <f t="shared" si="40"/>
        <v>0</v>
      </c>
      <c r="T366">
        <f t="shared" si="41"/>
        <v>0</v>
      </c>
      <c r="U366">
        <f t="shared" si="37"/>
        <v>93.968951990632476</v>
      </c>
      <c r="W366">
        <v>1386.1</v>
      </c>
      <c r="X366">
        <f t="shared" si="38"/>
        <v>99011.4</v>
      </c>
    </row>
    <row r="367" spans="1:24" x14ac:dyDescent="0.35">
      <c r="A367">
        <v>2920</v>
      </c>
      <c r="B367">
        <v>23610</v>
      </c>
      <c r="C367" s="1">
        <v>42947</v>
      </c>
      <c r="G367">
        <v>17.5</v>
      </c>
      <c r="H367">
        <v>13.2</v>
      </c>
      <c r="I367">
        <v>21.7</v>
      </c>
      <c r="J367">
        <f t="shared" si="35"/>
        <v>3399</v>
      </c>
      <c r="K367">
        <f t="shared" si="36"/>
        <v>1101.0999999999999</v>
      </c>
      <c r="M367">
        <v>0</v>
      </c>
      <c r="N367">
        <v>3.2</v>
      </c>
      <c r="O367">
        <f t="shared" si="39"/>
        <v>-3.2</v>
      </c>
      <c r="Q367">
        <v>312</v>
      </c>
      <c r="S367">
        <f t="shared" si="40"/>
        <v>0</v>
      </c>
      <c r="T367">
        <f t="shared" si="41"/>
        <v>0</v>
      </c>
      <c r="U367">
        <f t="shared" si="37"/>
        <v>93.968951990632476</v>
      </c>
      <c r="W367">
        <v>1755.7</v>
      </c>
      <c r="X367">
        <f t="shared" si="38"/>
        <v>100767.09999999999</v>
      </c>
    </row>
  </sheetData>
  <mergeCells count="10">
    <mergeCell ref="G2:L2"/>
    <mergeCell ref="M2:V2"/>
    <mergeCell ref="W2:Z2"/>
    <mergeCell ref="F56:F121"/>
    <mergeCell ref="F122:F182"/>
    <mergeCell ref="F183:F242"/>
    <mergeCell ref="F243:F263"/>
    <mergeCell ref="F264:F290"/>
    <mergeCell ref="F291:F308"/>
    <mergeCell ref="F309:F330"/>
  </mergeCells>
  <conditionalFormatting sqref="G4:I367">
    <cfRule type="cellIs" dxfId="37" priority="26" operator="lessThan">
      <formula>0</formula>
    </cfRule>
    <cfRule type="cellIs" dxfId="36" priority="27" operator="between">
      <formula>5</formula>
      <formula>0</formula>
    </cfRule>
    <cfRule type="cellIs" dxfId="35" priority="28" operator="greaterThanOrEqual">
      <formula>25</formula>
    </cfRule>
  </conditionalFormatting>
  <conditionalFormatting sqref="L57 L65 L67 L69">
    <cfRule type="cellIs" dxfId="34" priority="22" operator="lessThanOrEqual">
      <formula>0</formula>
    </cfRule>
    <cfRule type="cellIs" dxfId="33" priority="23" operator="lessThanOrEqual">
      <formula>5</formula>
    </cfRule>
  </conditionalFormatting>
  <conditionalFormatting sqref="L123 L131 L133 L135">
    <cfRule type="cellIs" dxfId="32" priority="20" operator="lessThanOrEqual">
      <formula>0</formula>
    </cfRule>
    <cfRule type="cellIs" dxfId="31" priority="21" operator="lessThanOrEqual">
      <formula>5</formula>
    </cfRule>
  </conditionalFormatting>
  <conditionalFormatting sqref="L184 L192 L194 L196">
    <cfRule type="cellIs" dxfId="30" priority="18" operator="lessThanOrEqual">
      <formula>0</formula>
    </cfRule>
    <cfRule type="cellIs" dxfId="29" priority="19" operator="lessThanOrEqual">
      <formula>5</formula>
    </cfRule>
  </conditionalFormatting>
  <conditionalFormatting sqref="L244 L252 L254 L256">
    <cfRule type="cellIs" dxfId="28" priority="16" operator="lessThanOrEqual">
      <formula>0</formula>
    </cfRule>
    <cfRule type="cellIs" dxfId="27" priority="17" operator="lessThanOrEqual">
      <formula>5</formula>
    </cfRule>
  </conditionalFormatting>
  <conditionalFormatting sqref="L265 L273 L275 L277">
    <cfRule type="cellIs" dxfId="26" priority="14" operator="lessThanOrEqual">
      <formula>0</formula>
    </cfRule>
    <cfRule type="cellIs" dxfId="25" priority="15" operator="lessThanOrEqual">
      <formula>5</formula>
    </cfRule>
  </conditionalFormatting>
  <conditionalFormatting sqref="L292 L302">
    <cfRule type="cellIs" dxfId="24" priority="12" operator="lessThanOrEqual">
      <formula>0</formula>
    </cfRule>
    <cfRule type="cellIs" dxfId="23" priority="13" operator="lessThanOrEqual">
      <formula>5</formula>
    </cfRule>
  </conditionalFormatting>
  <conditionalFormatting sqref="L310 L320">
    <cfRule type="cellIs" dxfId="22" priority="10" operator="lessThanOrEqual">
      <formula>0</formula>
    </cfRule>
    <cfRule type="cellIs" dxfId="21" priority="11" operator="lessThanOrEqual">
      <formula>5</formula>
    </cfRule>
  </conditionalFormatting>
  <conditionalFormatting sqref="O4:O367">
    <cfRule type="cellIs" dxfId="20" priority="31" operator="lessThan">
      <formula>0</formula>
    </cfRule>
  </conditionalFormatting>
  <conditionalFormatting sqref="T4:T367">
    <cfRule type="cellIs" dxfId="19" priority="30" operator="lessThan">
      <formula>0</formula>
    </cfRule>
  </conditionalFormatting>
  <conditionalFormatting sqref="U56:U367">
    <cfRule type="cellIs" dxfId="18" priority="24" operator="equal">
      <formula>0</formula>
    </cfRule>
    <cfRule type="cellIs" dxfId="17" priority="25" operator="lessThanOrEqual">
      <formula>65.8</formula>
    </cfRule>
  </conditionalFormatting>
  <conditionalFormatting sqref="V57">
    <cfRule type="cellIs" dxfId="16" priority="8" operator="equal">
      <formula>0</formula>
    </cfRule>
    <cfRule type="cellIs" dxfId="15" priority="9" operator="lessThanOrEqual">
      <formula>63.2</formula>
    </cfRule>
  </conditionalFormatting>
  <conditionalFormatting sqref="W4:W367">
    <cfRule type="cellIs" dxfId="14" priority="29" operator="lessThan">
      <formula>900</formula>
    </cfRule>
  </conditionalFormatting>
  <conditionalFormatting sqref="Y56:Y332">
    <cfRule type="cellIs" dxfId="13" priority="1" operator="lessThan">
      <formula>9</formula>
    </cfRule>
  </conditionalFormatting>
  <conditionalFormatting sqref="Z123">
    <cfRule type="cellIs" dxfId="12" priority="7" operator="lessThan">
      <formula>9</formula>
    </cfRule>
  </conditionalFormatting>
  <conditionalFormatting sqref="Z184">
    <cfRule type="cellIs" dxfId="11" priority="6" operator="lessThan">
      <formula>9</formula>
    </cfRule>
  </conditionalFormatting>
  <conditionalFormatting sqref="Z244">
    <cfRule type="cellIs" dxfId="10" priority="5" operator="lessThan">
      <formula>9</formula>
    </cfRule>
  </conditionalFormatting>
  <conditionalFormatting sqref="Z265">
    <cfRule type="cellIs" dxfId="9" priority="4" operator="lessThan">
      <formula>9</formula>
    </cfRule>
  </conditionalFormatting>
  <conditionalFormatting sqref="Z292">
    <cfRule type="cellIs" dxfId="8" priority="3" operator="lessThan">
      <formula>9</formula>
    </cfRule>
  </conditionalFormatting>
  <conditionalFormatting sqref="Z310">
    <cfRule type="cellIs" dxfId="7" priority="2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N+ exp</vt:lpstr>
      <vt:lpstr>N+</vt:lpstr>
      <vt:lpstr>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Léa Desbats</cp:lastModifiedBy>
  <dcterms:created xsi:type="dcterms:W3CDTF">2019-11-14T09:43:42Z</dcterms:created>
  <dcterms:modified xsi:type="dcterms:W3CDTF">2025-12-10T09:45:29Z</dcterms:modified>
</cp:coreProperties>
</file>