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C:\Users\ecorlouer\Documents\AA_FICHIERS_ELABORATION_IPC\Actualisation_2019_N\R2012\"/>
    </mc:Choice>
  </mc:AlternateContent>
  <bookViews>
    <workbookView xWindow="0" yWindow="0" windowWidth="28800" windowHeight="11700"/>
  </bookViews>
  <sheets>
    <sheet name="N+" sheetId="1" r:id="rId1"/>
    <sheet name="N-" sheetId="2" r:id="rId2"/>
  </sheets>
  <calcPr calcId="162913"/>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AB231" i="1" l="1"/>
  <c r="AB209" i="1"/>
  <c r="AB223" i="1"/>
  <c r="AB201" i="1"/>
  <c r="AD217" i="1" s="1"/>
  <c r="AD223" i="1"/>
  <c r="AD221" i="1"/>
  <c r="AD219" i="1"/>
  <c r="AD225" i="1" l="1"/>
  <c r="U223" i="2"/>
  <c r="U221" i="2"/>
  <c r="U219" i="2"/>
  <c r="I217" i="2"/>
  <c r="I215" i="2"/>
  <c r="I213" i="2"/>
  <c r="U272" i="2"/>
  <c r="U270" i="2"/>
  <c r="U268" i="2"/>
  <c r="I268" i="2"/>
  <c r="I266" i="2"/>
  <c r="I264" i="2"/>
  <c r="H313" i="2"/>
  <c r="Y313" i="2"/>
  <c r="Y292" i="2"/>
  <c r="H292" i="2"/>
  <c r="Y263" i="2"/>
  <c r="H263" i="2"/>
  <c r="U251" i="2"/>
  <c r="U249" i="2"/>
  <c r="U247" i="2"/>
  <c r="I247" i="2"/>
  <c r="I245" i="2"/>
  <c r="I243" i="2"/>
  <c r="Y242" i="2"/>
  <c r="Y243" i="2" s="1"/>
  <c r="Y244" i="2" s="1"/>
  <c r="Y245" i="2" s="1"/>
  <c r="Y246" i="2" s="1"/>
  <c r="Y247" i="2" s="1"/>
  <c r="Y248" i="2" s="1"/>
  <c r="Y249" i="2" s="1"/>
  <c r="Y250" i="2" s="1"/>
  <c r="Y251" i="2" s="1"/>
  <c r="Y252" i="2" s="1"/>
  <c r="Y253" i="2" s="1"/>
  <c r="Y254" i="2" s="1"/>
  <c r="Y255" i="2" s="1"/>
  <c r="Y256" i="2" s="1"/>
  <c r="Y257" i="2" s="1"/>
  <c r="Y258" i="2" s="1"/>
  <c r="Y259" i="2" s="1"/>
  <c r="Y260" i="2" s="1"/>
  <c r="Y261" i="2" s="1"/>
  <c r="Y262" i="2" s="1"/>
  <c r="Y264" i="2" s="1"/>
  <c r="Y265" i="2" s="1"/>
  <c r="Y266" i="2" s="1"/>
  <c r="Y267" i="2" s="1"/>
  <c r="Y268" i="2" s="1"/>
  <c r="Y269" i="2" s="1"/>
  <c r="Y270" i="2" s="1"/>
  <c r="Y271" i="2" s="1"/>
  <c r="Y272" i="2" s="1"/>
  <c r="Y273" i="2" s="1"/>
  <c r="Y274" i="2" s="1"/>
  <c r="Y275" i="2" s="1"/>
  <c r="Y276" i="2" s="1"/>
  <c r="Y277" i="2" s="1"/>
  <c r="Y278" i="2" s="1"/>
  <c r="Y279" i="2" s="1"/>
  <c r="Y280" i="2" s="1"/>
  <c r="Y281" i="2" s="1"/>
  <c r="Y282" i="2" s="1"/>
  <c r="Y283" i="2" s="1"/>
  <c r="Y284" i="2" s="1"/>
  <c r="Y285" i="2" s="1"/>
  <c r="Y286" i="2" s="1"/>
  <c r="Y287" i="2" s="1"/>
  <c r="Y288" i="2" s="1"/>
  <c r="Y289" i="2" s="1"/>
  <c r="Y290" i="2" s="1"/>
  <c r="Y291" i="2" s="1"/>
  <c r="H242" i="2"/>
  <c r="H243" i="2" s="1"/>
  <c r="H244" i="2" s="1"/>
  <c r="H245" i="2" s="1"/>
  <c r="H246" i="2" s="1"/>
  <c r="H247" i="2" s="1"/>
  <c r="H248" i="2" s="1"/>
  <c r="H249" i="2" s="1"/>
  <c r="H250" i="2" s="1"/>
  <c r="H251" i="2" s="1"/>
  <c r="H252" i="2" s="1"/>
  <c r="H253" i="2" s="1"/>
  <c r="H254" i="2" s="1"/>
  <c r="H255" i="2" s="1"/>
  <c r="H256" i="2" s="1"/>
  <c r="H257" i="2" s="1"/>
  <c r="H258" i="2" s="1"/>
  <c r="H259" i="2" s="1"/>
  <c r="H260" i="2" s="1"/>
  <c r="H261" i="2" s="1"/>
  <c r="H262" i="2" s="1"/>
  <c r="H264" i="2" s="1"/>
  <c r="H265" i="2" s="1"/>
  <c r="H266" i="2" s="1"/>
  <c r="H267" i="2" s="1"/>
  <c r="H268" i="2" s="1"/>
  <c r="H269" i="2" s="1"/>
  <c r="H270" i="2" s="1"/>
  <c r="H271" i="2" s="1"/>
  <c r="H272" i="2" s="1"/>
  <c r="H273" i="2" s="1"/>
  <c r="H274" i="2" s="1"/>
  <c r="H275" i="2" s="1"/>
  <c r="H276" i="2" s="1"/>
  <c r="H277" i="2" s="1"/>
  <c r="H278" i="2" s="1"/>
  <c r="H279" i="2" s="1"/>
  <c r="H280" i="2" s="1"/>
  <c r="H281" i="2" s="1"/>
  <c r="H282" i="2" s="1"/>
  <c r="H283" i="2" s="1"/>
  <c r="H284" i="2" s="1"/>
  <c r="H285" i="2" s="1"/>
  <c r="H286" i="2" s="1"/>
  <c r="H287" i="2" s="1"/>
  <c r="H288" i="2" s="1"/>
  <c r="H289" i="2" s="1"/>
  <c r="H290" i="2" s="1"/>
  <c r="H291" i="2" s="1"/>
  <c r="Q213" i="2"/>
  <c r="Q214" i="2"/>
  <c r="Q215" i="2"/>
  <c r="Q216" i="2"/>
  <c r="Q217" i="2"/>
  <c r="Q218" i="2"/>
  <c r="Q219" i="2"/>
  <c r="Q220" i="2"/>
  <c r="R220" i="2" s="1"/>
  <c r="S220" i="2" s="1"/>
  <c r="Q221" i="2"/>
  <c r="Q222" i="2"/>
  <c r="Q223" i="2"/>
  <c r="Q224" i="2"/>
  <c r="Q225" i="2"/>
  <c r="Q226" i="2"/>
  <c r="Q227" i="2"/>
  <c r="Q228" i="2"/>
  <c r="R228" i="2" s="1"/>
  <c r="S228" i="2" s="1"/>
  <c r="Q229" i="2"/>
  <c r="Q230" i="2"/>
  <c r="Q231" i="2"/>
  <c r="Q232" i="2"/>
  <c r="Q233" i="2"/>
  <c r="Q234" i="2"/>
  <c r="Q235" i="2"/>
  <c r="Q236" i="2"/>
  <c r="R236" i="2" s="1"/>
  <c r="S236" i="2" s="1"/>
  <c r="Q237" i="2"/>
  <c r="Q238" i="2"/>
  <c r="R238" i="2" s="1"/>
  <c r="S238" i="2" s="1"/>
  <c r="Q239" i="2"/>
  <c r="Q240" i="2"/>
  <c r="Q241" i="2"/>
  <c r="Q212" i="2"/>
  <c r="R212" i="2" s="1"/>
  <c r="S212" i="2" s="1"/>
  <c r="Q356" i="2"/>
  <c r="R356" i="2" s="1"/>
  <c r="S356" i="2" s="1"/>
  <c r="R355" i="2"/>
  <c r="S355" i="2" s="1"/>
  <c r="Q355" i="2"/>
  <c r="Q354" i="2"/>
  <c r="R354" i="2" s="1"/>
  <c r="S354" i="2" s="1"/>
  <c r="R353" i="2"/>
  <c r="S353" i="2" s="1"/>
  <c r="Q353" i="2"/>
  <c r="S352" i="2"/>
  <c r="R352" i="2"/>
  <c r="Q352" i="2"/>
  <c r="Q351" i="2"/>
  <c r="R351" i="2" s="1"/>
  <c r="S351" i="2" s="1"/>
  <c r="S350" i="2"/>
  <c r="Q350" i="2"/>
  <c r="R350" i="2" s="1"/>
  <c r="Q349" i="2"/>
  <c r="R349" i="2" s="1"/>
  <c r="S349" i="2" s="1"/>
  <c r="Q348" i="2"/>
  <c r="R348" i="2" s="1"/>
  <c r="S348" i="2" s="1"/>
  <c r="R347" i="2"/>
  <c r="S347" i="2" s="1"/>
  <c r="Q347" i="2"/>
  <c r="Q346" i="2"/>
  <c r="R346" i="2" s="1"/>
  <c r="S346" i="2" s="1"/>
  <c r="R345" i="2"/>
  <c r="S345" i="2" s="1"/>
  <c r="Q345" i="2"/>
  <c r="Q344" i="2"/>
  <c r="R344" i="2" s="1"/>
  <c r="S344" i="2" s="1"/>
  <c r="R343" i="2"/>
  <c r="S343" i="2" s="1"/>
  <c r="Q343" i="2"/>
  <c r="Q342" i="2"/>
  <c r="R342" i="2" s="1"/>
  <c r="S342" i="2" s="1"/>
  <c r="Q341" i="2"/>
  <c r="R341" i="2" s="1"/>
  <c r="S341" i="2" s="1"/>
  <c r="Q340" i="2"/>
  <c r="R340" i="2" s="1"/>
  <c r="S340" i="2" s="1"/>
  <c r="S339" i="2"/>
  <c r="Q339" i="2"/>
  <c r="R339" i="2" s="1"/>
  <c r="Q338" i="2"/>
  <c r="R338" i="2" s="1"/>
  <c r="S338" i="2" s="1"/>
  <c r="S337" i="2"/>
  <c r="R337" i="2"/>
  <c r="Q337" i="2"/>
  <c r="Q336" i="2"/>
  <c r="R336" i="2" s="1"/>
  <c r="S336" i="2" s="1"/>
  <c r="Q335" i="2"/>
  <c r="R335" i="2" s="1"/>
  <c r="S335" i="2" s="1"/>
  <c r="Q334" i="2"/>
  <c r="R334" i="2" s="1"/>
  <c r="S334" i="2" s="1"/>
  <c r="R333" i="2"/>
  <c r="S333" i="2" s="1"/>
  <c r="Q333" i="2"/>
  <c r="R332" i="2"/>
  <c r="S332" i="2" s="1"/>
  <c r="Q332" i="2"/>
  <c r="R331" i="2"/>
  <c r="S331" i="2" s="1"/>
  <c r="Q331" i="2"/>
  <c r="Q330" i="2"/>
  <c r="R330" i="2" s="1"/>
  <c r="S330" i="2" s="1"/>
  <c r="S329" i="2"/>
  <c r="R329" i="2"/>
  <c r="Q329" i="2"/>
  <c r="Q328" i="2"/>
  <c r="R328" i="2" s="1"/>
  <c r="S328" i="2" s="1"/>
  <c r="Q327" i="2"/>
  <c r="R327" i="2" s="1"/>
  <c r="S327" i="2" s="1"/>
  <c r="R326" i="2"/>
  <c r="S326" i="2" s="1"/>
  <c r="Q326" i="2"/>
  <c r="Q325" i="2"/>
  <c r="R325" i="2" s="1"/>
  <c r="S325" i="2" s="1"/>
  <c r="Q324" i="2"/>
  <c r="R324" i="2" s="1"/>
  <c r="S324" i="2" s="1"/>
  <c r="R323" i="2"/>
  <c r="S323" i="2" s="1"/>
  <c r="Q323" i="2"/>
  <c r="S322" i="2"/>
  <c r="R322" i="2"/>
  <c r="Q322" i="2"/>
  <c r="Q321" i="2"/>
  <c r="R321" i="2" s="1"/>
  <c r="S321" i="2" s="1"/>
  <c r="S320" i="2"/>
  <c r="R320" i="2"/>
  <c r="Q320" i="2"/>
  <c r="R319" i="2"/>
  <c r="S319" i="2" s="1"/>
  <c r="Q319" i="2"/>
  <c r="Q318" i="2"/>
  <c r="R318" i="2" s="1"/>
  <c r="S318" i="2" s="1"/>
  <c r="I318" i="2"/>
  <c r="Q317" i="2"/>
  <c r="R317" i="2" s="1"/>
  <c r="S317" i="2" s="1"/>
  <c r="Z316" i="2"/>
  <c r="Q316" i="2"/>
  <c r="R316" i="2" s="1"/>
  <c r="S316" i="2" s="1"/>
  <c r="I316" i="2"/>
  <c r="Q315" i="2"/>
  <c r="R315" i="2" s="1"/>
  <c r="S315" i="2" s="1"/>
  <c r="R314" i="2"/>
  <c r="S314" i="2" s="1"/>
  <c r="Q314" i="2"/>
  <c r="I314" i="2"/>
  <c r="S313" i="2"/>
  <c r="R313" i="2"/>
  <c r="Q313" i="2"/>
  <c r="Q312" i="2"/>
  <c r="R312" i="2" s="1"/>
  <c r="S312" i="2" s="1"/>
  <c r="R311" i="2"/>
  <c r="S311" i="2" s="1"/>
  <c r="Q311" i="2"/>
  <c r="Q310" i="2"/>
  <c r="R310" i="2" s="1"/>
  <c r="S310" i="2" s="1"/>
  <c r="R309" i="2"/>
  <c r="S309" i="2" s="1"/>
  <c r="Q309" i="2"/>
  <c r="Q308" i="2"/>
  <c r="R308" i="2" s="1"/>
  <c r="S308" i="2" s="1"/>
  <c r="Q307" i="2"/>
  <c r="R307" i="2" s="1"/>
  <c r="S307" i="2" s="1"/>
  <c r="Q306" i="2"/>
  <c r="R306" i="2" s="1"/>
  <c r="S306" i="2" s="1"/>
  <c r="Q305" i="2"/>
  <c r="R305" i="2" s="1"/>
  <c r="S305" i="2" s="1"/>
  <c r="Q304" i="2"/>
  <c r="R304" i="2" s="1"/>
  <c r="S304" i="2" s="1"/>
  <c r="R303" i="2"/>
  <c r="S303" i="2" s="1"/>
  <c r="Q303" i="2"/>
  <c r="Q302" i="2"/>
  <c r="R302" i="2" s="1"/>
  <c r="S302" i="2" s="1"/>
  <c r="Q301" i="2"/>
  <c r="R301" i="2" s="1"/>
  <c r="S301" i="2" s="1"/>
  <c r="Q300" i="2"/>
  <c r="R300" i="2" s="1"/>
  <c r="S300" i="2" s="1"/>
  <c r="R299" i="2"/>
  <c r="S299" i="2" s="1"/>
  <c r="Q299" i="2"/>
  <c r="Q298" i="2"/>
  <c r="R298" i="2" s="1"/>
  <c r="S298" i="2" s="1"/>
  <c r="R297" i="2"/>
  <c r="S297" i="2" s="1"/>
  <c r="Q297" i="2"/>
  <c r="I297" i="2"/>
  <c r="Q296" i="2"/>
  <c r="R296" i="2" s="1"/>
  <c r="S296" i="2" s="1"/>
  <c r="Z295" i="2"/>
  <c r="Q295" i="2"/>
  <c r="R295" i="2" s="1"/>
  <c r="S295" i="2" s="1"/>
  <c r="I295" i="2"/>
  <c r="Q294" i="2"/>
  <c r="R294" i="2" s="1"/>
  <c r="S294" i="2" s="1"/>
  <c r="Q293" i="2"/>
  <c r="R293" i="2" s="1"/>
  <c r="S293" i="2" s="1"/>
  <c r="I293" i="2"/>
  <c r="R292" i="2"/>
  <c r="S292" i="2" s="1"/>
  <c r="Q292" i="2"/>
  <c r="R291" i="2"/>
  <c r="S291" i="2" s="1"/>
  <c r="S290" i="2"/>
  <c r="R290" i="2"/>
  <c r="R289" i="2"/>
  <c r="S289" i="2" s="1"/>
  <c r="S288" i="2"/>
  <c r="R288" i="2"/>
  <c r="S287" i="2"/>
  <c r="R287" i="2"/>
  <c r="R286" i="2"/>
  <c r="S286" i="2" s="1"/>
  <c r="R285" i="2"/>
  <c r="S285" i="2" s="1"/>
  <c r="S284" i="2"/>
  <c r="R284" i="2"/>
  <c r="R283" i="2"/>
  <c r="S283" i="2" s="1"/>
  <c r="R282" i="2"/>
  <c r="S282" i="2" s="1"/>
  <c r="R281" i="2"/>
  <c r="S281" i="2" s="1"/>
  <c r="S280" i="2"/>
  <c r="R280" i="2"/>
  <c r="R279" i="2"/>
  <c r="S279" i="2" s="1"/>
  <c r="R278" i="2"/>
  <c r="S278" i="2" s="1"/>
  <c r="S277" i="2"/>
  <c r="R277" i="2"/>
  <c r="S276" i="2"/>
  <c r="R276" i="2"/>
  <c r="R275" i="2"/>
  <c r="S275" i="2" s="1"/>
  <c r="R274" i="2"/>
  <c r="S274" i="2" s="1"/>
  <c r="S273" i="2"/>
  <c r="R273" i="2"/>
  <c r="R272" i="2"/>
  <c r="S272" i="2" s="1"/>
  <c r="R271" i="2"/>
  <c r="S271" i="2" s="1"/>
  <c r="S270" i="2"/>
  <c r="R270" i="2"/>
  <c r="R269" i="2"/>
  <c r="S269" i="2" s="1"/>
  <c r="S268" i="2"/>
  <c r="R268" i="2"/>
  <c r="Z266" i="2"/>
  <c r="S267" i="2"/>
  <c r="R267" i="2"/>
  <c r="R266" i="2"/>
  <c r="S266" i="2" s="1"/>
  <c r="S265" i="2"/>
  <c r="R265" i="2"/>
  <c r="R264" i="2"/>
  <c r="S264" i="2" s="1"/>
  <c r="S263" i="2"/>
  <c r="R263" i="2"/>
  <c r="S262" i="2"/>
  <c r="R262" i="2"/>
  <c r="R261" i="2"/>
  <c r="S261" i="2" s="1"/>
  <c r="R260" i="2"/>
  <c r="S260" i="2" s="1"/>
  <c r="S259" i="2"/>
  <c r="R259" i="2"/>
  <c r="R258" i="2"/>
  <c r="S258" i="2" s="1"/>
  <c r="R257" i="2"/>
  <c r="S257" i="2" s="1"/>
  <c r="R256" i="2"/>
  <c r="S256" i="2" s="1"/>
  <c r="R255" i="2"/>
  <c r="S255" i="2" s="1"/>
  <c r="R254" i="2"/>
  <c r="S254" i="2" s="1"/>
  <c r="R253" i="2"/>
  <c r="S253" i="2" s="1"/>
  <c r="R252" i="2"/>
  <c r="S252" i="2" s="1"/>
  <c r="R251" i="2"/>
  <c r="S251" i="2" s="1"/>
  <c r="R250" i="2"/>
  <c r="S250" i="2" s="1"/>
  <c r="S249" i="2"/>
  <c r="R249" i="2"/>
  <c r="R248" i="2"/>
  <c r="S248" i="2" s="1"/>
  <c r="S247" i="2"/>
  <c r="R247" i="2"/>
  <c r="Z245" i="2"/>
  <c r="S246" i="2"/>
  <c r="R246" i="2"/>
  <c r="R245" i="2"/>
  <c r="S245" i="2" s="1"/>
  <c r="S244" i="2"/>
  <c r="R244" i="2"/>
  <c r="R243" i="2"/>
  <c r="S243" i="2" s="1"/>
  <c r="S242" i="2"/>
  <c r="Q242" i="2"/>
  <c r="R242" i="2" s="1"/>
  <c r="R241" i="2"/>
  <c r="S241" i="2" s="1"/>
  <c r="S240" i="2"/>
  <c r="R240" i="2"/>
  <c r="R239" i="2"/>
  <c r="S239" i="2" s="1"/>
  <c r="R237" i="2"/>
  <c r="S237" i="2" s="1"/>
  <c r="R235" i="2"/>
  <c r="S235" i="2" s="1"/>
  <c r="R234" i="2"/>
  <c r="S234" i="2" s="1"/>
  <c r="R233" i="2"/>
  <c r="S233" i="2" s="1"/>
  <c r="R232" i="2"/>
  <c r="S232" i="2" s="1"/>
  <c r="R231" i="2"/>
  <c r="S231" i="2" s="1"/>
  <c r="S230" i="2"/>
  <c r="R230" i="2"/>
  <c r="S229" i="2"/>
  <c r="R229" i="2"/>
  <c r="R227" i="2"/>
  <c r="S227" i="2" s="1"/>
  <c r="R226" i="2"/>
  <c r="S226" i="2" s="1"/>
  <c r="R225" i="2"/>
  <c r="S225" i="2" s="1"/>
  <c r="G225" i="2"/>
  <c r="G226" i="2" s="1"/>
  <c r="G227" i="2" s="1"/>
  <c r="G228" i="2" s="1"/>
  <c r="G229" i="2" s="1"/>
  <c r="G230" i="2" s="1"/>
  <c r="G231" i="2" s="1"/>
  <c r="G232" i="2" s="1"/>
  <c r="G233" i="2" s="1"/>
  <c r="G234" i="2" s="1"/>
  <c r="G235" i="2" s="1"/>
  <c r="G236" i="2" s="1"/>
  <c r="G237" i="2" s="1"/>
  <c r="G238" i="2" s="1"/>
  <c r="G239" i="2" s="1"/>
  <c r="G240" i="2" s="1"/>
  <c r="G241" i="2" s="1"/>
  <c r="G242" i="2" s="1"/>
  <c r="G243" i="2" s="1"/>
  <c r="G244" i="2" s="1"/>
  <c r="G245" i="2" s="1"/>
  <c r="G246" i="2" s="1"/>
  <c r="G247" i="2" s="1"/>
  <c r="G248" i="2" s="1"/>
  <c r="G249" i="2" s="1"/>
  <c r="G250" i="2" s="1"/>
  <c r="G251" i="2" s="1"/>
  <c r="G252" i="2" s="1"/>
  <c r="G253" i="2" s="1"/>
  <c r="G254" i="2" s="1"/>
  <c r="G255" i="2" s="1"/>
  <c r="G256" i="2" s="1"/>
  <c r="G257" i="2" s="1"/>
  <c r="G258" i="2" s="1"/>
  <c r="G259" i="2" s="1"/>
  <c r="G260" i="2" s="1"/>
  <c r="G261" i="2" s="1"/>
  <c r="G262" i="2" s="1"/>
  <c r="G263" i="2" s="1"/>
  <c r="G264" i="2" s="1"/>
  <c r="G265" i="2" s="1"/>
  <c r="G266" i="2" s="1"/>
  <c r="G267" i="2" s="1"/>
  <c r="G268" i="2" s="1"/>
  <c r="G269" i="2" s="1"/>
  <c r="G270" i="2" s="1"/>
  <c r="G271" i="2" s="1"/>
  <c r="G272" i="2" s="1"/>
  <c r="G273" i="2" s="1"/>
  <c r="G274" i="2" s="1"/>
  <c r="G275" i="2" s="1"/>
  <c r="G276" i="2" s="1"/>
  <c r="G277" i="2" s="1"/>
  <c r="G278" i="2" s="1"/>
  <c r="G279" i="2" s="1"/>
  <c r="G280" i="2" s="1"/>
  <c r="G281" i="2" s="1"/>
  <c r="G282" i="2" s="1"/>
  <c r="G283" i="2" s="1"/>
  <c r="G284" i="2" s="1"/>
  <c r="G285" i="2" s="1"/>
  <c r="G286" i="2" s="1"/>
  <c r="G287" i="2" s="1"/>
  <c r="G288" i="2" s="1"/>
  <c r="G289" i="2" s="1"/>
  <c r="G290" i="2" s="1"/>
  <c r="G291" i="2" s="1"/>
  <c r="G292" i="2" s="1"/>
  <c r="G293" i="2" s="1"/>
  <c r="G294" i="2" s="1"/>
  <c r="G295" i="2" s="1"/>
  <c r="G296" i="2" s="1"/>
  <c r="G297" i="2" s="1"/>
  <c r="G298" i="2" s="1"/>
  <c r="G299" i="2" s="1"/>
  <c r="G300" i="2" s="1"/>
  <c r="G301" i="2" s="1"/>
  <c r="G302" i="2" s="1"/>
  <c r="G303" i="2" s="1"/>
  <c r="G304" i="2" s="1"/>
  <c r="G305" i="2" s="1"/>
  <c r="G306" i="2" s="1"/>
  <c r="G307" i="2" s="1"/>
  <c r="G308" i="2" s="1"/>
  <c r="G309" i="2" s="1"/>
  <c r="G310" i="2" s="1"/>
  <c r="G311" i="2" s="1"/>
  <c r="G312" i="2" s="1"/>
  <c r="G313" i="2" s="1"/>
  <c r="G314" i="2" s="1"/>
  <c r="G315" i="2" s="1"/>
  <c r="G316" i="2" s="1"/>
  <c r="G317" i="2" s="1"/>
  <c r="G318" i="2" s="1"/>
  <c r="G319" i="2" s="1"/>
  <c r="G320" i="2" s="1"/>
  <c r="G321" i="2" s="1"/>
  <c r="G322" i="2" s="1"/>
  <c r="G323" i="2" s="1"/>
  <c r="G324" i="2" s="1"/>
  <c r="G325" i="2" s="1"/>
  <c r="G326" i="2" s="1"/>
  <c r="G327" i="2" s="1"/>
  <c r="G328" i="2" s="1"/>
  <c r="G329" i="2" s="1"/>
  <c r="G330" i="2" s="1"/>
  <c r="G331" i="2" s="1"/>
  <c r="G332" i="2" s="1"/>
  <c r="G333" i="2" s="1"/>
  <c r="G334" i="2" s="1"/>
  <c r="G335" i="2" s="1"/>
  <c r="G336" i="2" s="1"/>
  <c r="G337" i="2" s="1"/>
  <c r="G338" i="2" s="1"/>
  <c r="G339" i="2" s="1"/>
  <c r="G340" i="2" s="1"/>
  <c r="G341" i="2" s="1"/>
  <c r="G342" i="2" s="1"/>
  <c r="G343" i="2" s="1"/>
  <c r="G344" i="2" s="1"/>
  <c r="G345" i="2" s="1"/>
  <c r="G346" i="2" s="1"/>
  <c r="G347" i="2" s="1"/>
  <c r="G348" i="2" s="1"/>
  <c r="G349" i="2" s="1"/>
  <c r="G350" i="2" s="1"/>
  <c r="G351" i="2" s="1"/>
  <c r="G352" i="2" s="1"/>
  <c r="G353" i="2" s="1"/>
  <c r="G354" i="2" s="1"/>
  <c r="G355" i="2" s="1"/>
  <c r="G356" i="2" s="1"/>
  <c r="R224" i="2"/>
  <c r="S224" i="2" s="1"/>
  <c r="S223" i="2"/>
  <c r="R223" i="2"/>
  <c r="R222" i="2"/>
  <c r="S222" i="2" s="1"/>
  <c r="R221" i="2"/>
  <c r="S221" i="2" s="1"/>
  <c r="R219" i="2"/>
  <c r="S219" i="2" s="1"/>
  <c r="H219" i="2"/>
  <c r="H220" i="2" s="1"/>
  <c r="H221" i="2" s="1"/>
  <c r="H222" i="2" s="1"/>
  <c r="H223" i="2" s="1"/>
  <c r="H224" i="2" s="1"/>
  <c r="H225" i="2" s="1"/>
  <c r="H226" i="2" s="1"/>
  <c r="H227" i="2" s="1"/>
  <c r="H228" i="2" s="1"/>
  <c r="H229" i="2" s="1"/>
  <c r="H230" i="2" s="1"/>
  <c r="H231" i="2" s="1"/>
  <c r="H232" i="2" s="1"/>
  <c r="H233" i="2" s="1"/>
  <c r="H234" i="2" s="1"/>
  <c r="H235" i="2" s="1"/>
  <c r="H236" i="2" s="1"/>
  <c r="H237" i="2" s="1"/>
  <c r="H238" i="2" s="1"/>
  <c r="H239" i="2" s="1"/>
  <c r="H240" i="2" s="1"/>
  <c r="H241" i="2" s="1"/>
  <c r="R218" i="2"/>
  <c r="S218" i="2" s="1"/>
  <c r="R217" i="2"/>
  <c r="S217" i="2" s="1"/>
  <c r="R216" i="2"/>
  <c r="S216" i="2" s="1"/>
  <c r="Z215" i="2"/>
  <c r="R215" i="2"/>
  <c r="S215" i="2" s="1"/>
  <c r="R214" i="2"/>
  <c r="S214" i="2" s="1"/>
  <c r="H214" i="2"/>
  <c r="H215" i="2" s="1"/>
  <c r="H216" i="2" s="1"/>
  <c r="H217" i="2" s="1"/>
  <c r="H218" i="2" s="1"/>
  <c r="Y213" i="2"/>
  <c r="Y214" i="2" s="1"/>
  <c r="Y215" i="2" s="1"/>
  <c r="Y216" i="2" s="1"/>
  <c r="Y217" i="2" s="1"/>
  <c r="Y218" i="2" s="1"/>
  <c r="Y219" i="2" s="1"/>
  <c r="Y220" i="2" s="1"/>
  <c r="Y221" i="2" s="1"/>
  <c r="Y222" i="2" s="1"/>
  <c r="Y223" i="2" s="1"/>
  <c r="Y224" i="2" s="1"/>
  <c r="Y225" i="2" s="1"/>
  <c r="Y226" i="2" s="1"/>
  <c r="Y227" i="2" s="1"/>
  <c r="Y228" i="2" s="1"/>
  <c r="Y229" i="2" s="1"/>
  <c r="Y230" i="2" s="1"/>
  <c r="Y231" i="2" s="1"/>
  <c r="Y232" i="2" s="1"/>
  <c r="Y233" i="2" s="1"/>
  <c r="Y234" i="2" s="1"/>
  <c r="Y235" i="2" s="1"/>
  <c r="Y236" i="2" s="1"/>
  <c r="Y237" i="2" s="1"/>
  <c r="Y238" i="2" s="1"/>
  <c r="Y239" i="2" s="1"/>
  <c r="Y240" i="2" s="1"/>
  <c r="Y241" i="2" s="1"/>
  <c r="R213" i="2"/>
  <c r="S213" i="2" s="1"/>
  <c r="H213" i="2"/>
  <c r="G212" i="2"/>
  <c r="G213" i="2" s="1"/>
  <c r="G214" i="2" s="1"/>
  <c r="G215" i="2" s="1"/>
  <c r="G216" i="2" s="1"/>
  <c r="G217" i="2" s="1"/>
  <c r="G218" i="2" s="1"/>
  <c r="G219" i="2" s="1"/>
  <c r="G220" i="2" s="1"/>
  <c r="G221" i="2" s="1"/>
  <c r="G222" i="2" s="1"/>
  <c r="G223" i="2" s="1"/>
  <c r="G224" i="2" s="1"/>
  <c r="S211" i="2"/>
  <c r="R211" i="2"/>
  <c r="R210" i="2"/>
  <c r="S210" i="2" s="1"/>
  <c r="R209" i="2"/>
  <c r="S209" i="2" s="1"/>
  <c r="R208" i="2"/>
  <c r="S208" i="2" s="1"/>
  <c r="S207" i="2"/>
  <c r="R207" i="2"/>
  <c r="R206" i="2"/>
  <c r="S206" i="2" s="1"/>
  <c r="R205" i="2"/>
  <c r="S205" i="2" s="1"/>
  <c r="R204" i="2"/>
  <c r="S204" i="2" s="1"/>
  <c r="S203" i="2"/>
  <c r="R203" i="2"/>
  <c r="H203" i="2"/>
  <c r="H204" i="2" s="1"/>
  <c r="H205" i="2" s="1"/>
  <c r="H206" i="2" s="1"/>
  <c r="H207" i="2" s="1"/>
  <c r="H208" i="2" s="1"/>
  <c r="H209" i="2" s="1"/>
  <c r="H210" i="2" s="1"/>
  <c r="H211" i="2" s="1"/>
  <c r="R202" i="2"/>
  <c r="S202" i="2" s="1"/>
  <c r="H202" i="2"/>
  <c r="G202" i="2"/>
  <c r="G203" i="2" s="1"/>
  <c r="G204" i="2" s="1"/>
  <c r="G205" i="2" s="1"/>
  <c r="G206" i="2" s="1"/>
  <c r="G207" i="2" s="1"/>
  <c r="G208" i="2" s="1"/>
  <c r="G209" i="2" s="1"/>
  <c r="G210" i="2" s="1"/>
  <c r="G211" i="2" s="1"/>
  <c r="R201" i="2"/>
  <c r="S201" i="2" s="1"/>
  <c r="H201" i="2"/>
  <c r="G201" i="2"/>
  <c r="R200" i="2"/>
  <c r="S200" i="2" s="1"/>
  <c r="R199" i="2"/>
  <c r="S199" i="2" s="1"/>
  <c r="R198" i="2"/>
  <c r="S198" i="2" s="1"/>
  <c r="R197" i="2"/>
  <c r="S197" i="2" s="1"/>
  <c r="R196" i="2"/>
  <c r="S196" i="2" s="1"/>
  <c r="S195" i="2"/>
  <c r="R195" i="2"/>
  <c r="Y194" i="2"/>
  <c r="Y195" i="2" s="1"/>
  <c r="Y196" i="2" s="1"/>
  <c r="Y197" i="2" s="1"/>
  <c r="Y198" i="2" s="1"/>
  <c r="Y199" i="2" s="1"/>
  <c r="Y200" i="2" s="1"/>
  <c r="Y201" i="2" s="1"/>
  <c r="Y202" i="2" s="1"/>
  <c r="Y203" i="2" s="1"/>
  <c r="Y204" i="2" s="1"/>
  <c r="Y205" i="2" s="1"/>
  <c r="Y206" i="2" s="1"/>
  <c r="Y207" i="2" s="1"/>
  <c r="Y208" i="2" s="1"/>
  <c r="Y209" i="2" s="1"/>
  <c r="Y210" i="2" s="1"/>
  <c r="Y211" i="2" s="1"/>
  <c r="W211" i="2" s="1"/>
  <c r="S194" i="2"/>
  <c r="R194" i="2"/>
  <c r="H194" i="2"/>
  <c r="H195" i="2" s="1"/>
  <c r="H196" i="2" s="1"/>
  <c r="G194" i="2"/>
  <c r="G195" i="2" s="1"/>
  <c r="G196" i="2" s="1"/>
  <c r="S193" i="2"/>
  <c r="R193" i="2"/>
  <c r="S192" i="2"/>
  <c r="R192" i="2"/>
  <c r="S191" i="2"/>
  <c r="R191" i="2"/>
  <c r="S190" i="2"/>
  <c r="R190" i="2"/>
  <c r="S189" i="2"/>
  <c r="R189" i="2"/>
  <c r="S188" i="2"/>
  <c r="R188" i="2"/>
  <c r="R187" i="2"/>
  <c r="S187" i="2" s="1"/>
  <c r="R186" i="2"/>
  <c r="S186" i="2" s="1"/>
  <c r="R185" i="2"/>
  <c r="S185" i="2" s="1"/>
  <c r="R184" i="2"/>
  <c r="S184" i="2" s="1"/>
  <c r="S183" i="2"/>
  <c r="R183" i="2"/>
  <c r="S182" i="2"/>
  <c r="R182" i="2"/>
  <c r="R181" i="2"/>
  <c r="S181" i="2" s="1"/>
  <c r="R180" i="2"/>
  <c r="S180" i="2" s="1"/>
  <c r="S179" i="2"/>
  <c r="R179" i="2"/>
  <c r="S178" i="2"/>
  <c r="R178" i="2"/>
  <c r="G178" i="2"/>
  <c r="G179" i="2" s="1"/>
  <c r="G180" i="2" s="1"/>
  <c r="G181" i="2" s="1"/>
  <c r="G182" i="2" s="1"/>
  <c r="G183" i="2" s="1"/>
  <c r="G184" i="2" s="1"/>
  <c r="G185" i="2" s="1"/>
  <c r="G186" i="2" s="1"/>
  <c r="G187" i="2" s="1"/>
  <c r="G188" i="2" s="1"/>
  <c r="G189" i="2" s="1"/>
  <c r="S177" i="2"/>
  <c r="R177" i="2"/>
  <c r="I177" i="2"/>
  <c r="H177" i="2"/>
  <c r="H178" i="2" s="1"/>
  <c r="H179" i="2" s="1"/>
  <c r="H180" i="2" s="1"/>
  <c r="H181" i="2" s="1"/>
  <c r="H182" i="2" s="1"/>
  <c r="H183" i="2" s="1"/>
  <c r="H184" i="2" s="1"/>
  <c r="H185" i="2" s="1"/>
  <c r="H186" i="2" s="1"/>
  <c r="H187" i="2" s="1"/>
  <c r="H188" i="2" s="1"/>
  <c r="H189" i="2" s="1"/>
  <c r="R176" i="2"/>
  <c r="S176" i="2" s="1"/>
  <c r="H176" i="2"/>
  <c r="G176" i="2"/>
  <c r="G177" i="2" s="1"/>
  <c r="Z175" i="2"/>
  <c r="S175" i="2"/>
  <c r="R175" i="2"/>
  <c r="I175" i="2"/>
  <c r="R174" i="2"/>
  <c r="S174" i="2" s="1"/>
  <c r="H174" i="2"/>
  <c r="R173" i="2"/>
  <c r="S173" i="2" s="1"/>
  <c r="I173" i="2"/>
  <c r="Y172" i="2"/>
  <c r="Y173" i="2" s="1"/>
  <c r="Y174" i="2" s="1"/>
  <c r="Y175" i="2" s="1"/>
  <c r="Y176" i="2" s="1"/>
  <c r="Y177" i="2" s="1"/>
  <c r="Y178" i="2" s="1"/>
  <c r="Y179" i="2" s="1"/>
  <c r="Y180" i="2" s="1"/>
  <c r="Y181" i="2" s="1"/>
  <c r="Y182" i="2" s="1"/>
  <c r="Y183" i="2" s="1"/>
  <c r="Y184" i="2" s="1"/>
  <c r="Y185" i="2" s="1"/>
  <c r="Y186" i="2" s="1"/>
  <c r="Y187" i="2" s="1"/>
  <c r="Y188" i="2" s="1"/>
  <c r="Y189" i="2" s="1"/>
  <c r="Y190" i="2" s="1"/>
  <c r="Y191" i="2" s="1"/>
  <c r="Y192" i="2" s="1"/>
  <c r="Y193" i="2" s="1"/>
  <c r="R172" i="2"/>
  <c r="S172" i="2" s="1"/>
  <c r="H172" i="2"/>
  <c r="H173" i="2" s="1"/>
  <c r="Q171" i="2"/>
  <c r="R171" i="2" s="1"/>
  <c r="S171" i="2" s="1"/>
  <c r="Q170" i="2"/>
  <c r="R170" i="2" s="1"/>
  <c r="S170" i="2" s="1"/>
  <c r="S169" i="2"/>
  <c r="R169" i="2"/>
  <c r="Q169" i="2"/>
  <c r="R168" i="2"/>
  <c r="S168" i="2" s="1"/>
  <c r="Q168" i="2"/>
  <c r="S167" i="2"/>
  <c r="Q167" i="2"/>
  <c r="R167" i="2" s="1"/>
  <c r="Q166" i="2"/>
  <c r="R166" i="2" s="1"/>
  <c r="S166" i="2" s="1"/>
  <c r="S165" i="2"/>
  <c r="R165" i="2"/>
  <c r="Q165" i="2"/>
  <c r="R164" i="2"/>
  <c r="S164" i="2" s="1"/>
  <c r="Q164" i="2"/>
  <c r="Q163" i="2"/>
  <c r="R163" i="2" s="1"/>
  <c r="S163" i="2" s="1"/>
  <c r="Q162" i="2"/>
  <c r="R162" i="2" s="1"/>
  <c r="S162" i="2" s="1"/>
  <c r="S161" i="2"/>
  <c r="R161" i="2"/>
  <c r="Q161" i="2"/>
  <c r="S160" i="2"/>
  <c r="R160" i="2"/>
  <c r="Q160" i="2"/>
  <c r="S159" i="2"/>
  <c r="Q159" i="2"/>
  <c r="R159" i="2" s="1"/>
  <c r="Q158" i="2"/>
  <c r="R158" i="2" s="1"/>
  <c r="S158" i="2" s="1"/>
  <c r="S157" i="2"/>
  <c r="R157" i="2"/>
  <c r="Q157" i="2"/>
  <c r="R156" i="2"/>
  <c r="S156" i="2" s="1"/>
  <c r="Q156" i="2"/>
  <c r="Q155" i="2"/>
  <c r="R155" i="2" s="1"/>
  <c r="S155" i="2" s="1"/>
  <c r="Q154" i="2"/>
  <c r="R154" i="2" s="1"/>
  <c r="S154" i="2" s="1"/>
  <c r="R153" i="2"/>
  <c r="S153" i="2" s="1"/>
  <c r="Q153" i="2"/>
  <c r="R152" i="2"/>
  <c r="S152" i="2" s="1"/>
  <c r="Q152" i="2"/>
  <c r="S151" i="2"/>
  <c r="Q151" i="2"/>
  <c r="R151" i="2" s="1"/>
  <c r="Q150" i="2"/>
  <c r="R150" i="2" s="1"/>
  <c r="S150" i="2" s="1"/>
  <c r="S149" i="2"/>
  <c r="R149" i="2"/>
  <c r="Q149" i="2"/>
  <c r="R148" i="2"/>
  <c r="S148" i="2" s="1"/>
  <c r="Q148" i="2"/>
  <c r="Q147" i="2"/>
  <c r="R147" i="2" s="1"/>
  <c r="S147" i="2" s="1"/>
  <c r="Q146" i="2"/>
  <c r="R146" i="2" s="1"/>
  <c r="S146" i="2" s="1"/>
  <c r="S145" i="2"/>
  <c r="Q145" i="2"/>
  <c r="R145" i="2" s="1"/>
  <c r="Q144" i="2"/>
  <c r="R144" i="2" s="1"/>
  <c r="S144" i="2" s="1"/>
  <c r="Q143" i="2"/>
  <c r="R143" i="2" s="1"/>
  <c r="S143" i="2" s="1"/>
  <c r="R142" i="2"/>
  <c r="S142" i="2" s="1"/>
  <c r="Q142" i="2"/>
  <c r="S141" i="2"/>
  <c r="Q141" i="2"/>
  <c r="R141" i="2" s="1"/>
  <c r="Q140" i="2"/>
  <c r="R140" i="2" s="1"/>
  <c r="S140" i="2" s="1"/>
  <c r="Q139" i="2"/>
  <c r="R139" i="2" s="1"/>
  <c r="S139" i="2" s="1"/>
  <c r="R138" i="2"/>
  <c r="S138" i="2" s="1"/>
  <c r="Q138" i="2"/>
  <c r="S137" i="2"/>
  <c r="Q137" i="2"/>
  <c r="R137" i="2" s="1"/>
  <c r="Q136" i="2"/>
  <c r="R136" i="2" s="1"/>
  <c r="S136" i="2" s="1"/>
  <c r="Q135" i="2"/>
  <c r="R135" i="2" s="1"/>
  <c r="S135" i="2" s="1"/>
  <c r="R134" i="2"/>
  <c r="S134" i="2" s="1"/>
  <c r="Q134" i="2"/>
  <c r="S133" i="2"/>
  <c r="Q133" i="2"/>
  <c r="R133" i="2" s="1"/>
  <c r="Q132" i="2"/>
  <c r="R132" i="2" s="1"/>
  <c r="S132" i="2" s="1"/>
  <c r="Q131" i="2"/>
  <c r="R131" i="2" s="1"/>
  <c r="S131" i="2" s="1"/>
  <c r="R130" i="2"/>
  <c r="S130" i="2" s="1"/>
  <c r="Q130" i="2"/>
  <c r="S129" i="2"/>
  <c r="Q129" i="2"/>
  <c r="R129" i="2" s="1"/>
  <c r="Q128" i="2"/>
  <c r="R128" i="2" s="1"/>
  <c r="S128" i="2" s="1"/>
  <c r="Q127" i="2"/>
  <c r="R127" i="2" s="1"/>
  <c r="S127" i="2" s="1"/>
  <c r="R126" i="2"/>
  <c r="S126" i="2" s="1"/>
  <c r="Q126" i="2"/>
  <c r="Q125" i="2"/>
  <c r="R125" i="2" s="1"/>
  <c r="S125" i="2" s="1"/>
  <c r="Q124" i="2"/>
  <c r="R124" i="2" s="1"/>
  <c r="S124" i="2" s="1"/>
  <c r="Q123" i="2"/>
  <c r="R123" i="2" s="1"/>
  <c r="S123" i="2" s="1"/>
  <c r="R122" i="2"/>
  <c r="S122" i="2" s="1"/>
  <c r="Q122" i="2"/>
  <c r="Q121" i="2"/>
  <c r="R121" i="2" s="1"/>
  <c r="S121" i="2" s="1"/>
  <c r="Q120" i="2"/>
  <c r="R120" i="2" s="1"/>
  <c r="S120" i="2" s="1"/>
  <c r="Q119" i="2"/>
  <c r="R119" i="2" s="1"/>
  <c r="S119" i="2" s="1"/>
  <c r="R118" i="2"/>
  <c r="S118" i="2" s="1"/>
  <c r="Q118" i="2"/>
  <c r="Q117" i="2"/>
  <c r="R117" i="2" s="1"/>
  <c r="S117" i="2" s="1"/>
  <c r="Q116" i="2"/>
  <c r="R116" i="2" s="1"/>
  <c r="S116" i="2" s="1"/>
  <c r="Q115" i="2"/>
  <c r="R115" i="2" s="1"/>
  <c r="S115" i="2" s="1"/>
  <c r="R114" i="2"/>
  <c r="S114" i="2" s="1"/>
  <c r="Q114" i="2"/>
  <c r="Q113" i="2"/>
  <c r="R113" i="2" s="1"/>
  <c r="S113" i="2" s="1"/>
  <c r="Q112" i="2"/>
  <c r="R112" i="2" s="1"/>
  <c r="S112" i="2" s="1"/>
  <c r="Q111" i="2"/>
  <c r="R111" i="2" s="1"/>
  <c r="S111" i="2" s="1"/>
  <c r="R110" i="2"/>
  <c r="S110" i="2" s="1"/>
  <c r="Q110" i="2"/>
  <c r="Q109" i="2"/>
  <c r="R109" i="2" s="1"/>
  <c r="S109" i="2" s="1"/>
  <c r="Q108" i="2"/>
  <c r="R108" i="2" s="1"/>
  <c r="S108" i="2" s="1"/>
  <c r="S107" i="2"/>
  <c r="Q107" i="2"/>
  <c r="R107" i="2" s="1"/>
  <c r="R106" i="2"/>
  <c r="S106" i="2" s="1"/>
  <c r="Q106" i="2"/>
  <c r="Q105" i="2"/>
  <c r="R105" i="2" s="1"/>
  <c r="S105" i="2" s="1"/>
  <c r="Q104" i="2"/>
  <c r="R104" i="2" s="1"/>
  <c r="S104" i="2" s="1"/>
  <c r="Q103" i="2"/>
  <c r="R103" i="2" s="1"/>
  <c r="S103" i="2" s="1"/>
  <c r="R102" i="2"/>
  <c r="S102" i="2" s="1"/>
  <c r="Q102" i="2"/>
  <c r="Q101" i="2"/>
  <c r="R101" i="2" s="1"/>
  <c r="S101" i="2" s="1"/>
  <c r="Q100" i="2"/>
  <c r="R100" i="2" s="1"/>
  <c r="S100" i="2" s="1"/>
  <c r="Q99" i="2"/>
  <c r="R99" i="2" s="1"/>
  <c r="S99" i="2" s="1"/>
  <c r="R98" i="2"/>
  <c r="S98" i="2" s="1"/>
  <c r="Q98" i="2"/>
  <c r="Q97" i="2"/>
  <c r="R97" i="2" s="1"/>
  <c r="S97" i="2" s="1"/>
  <c r="Q96" i="2"/>
  <c r="R96" i="2" s="1"/>
  <c r="S96" i="2" s="1"/>
  <c r="Q95" i="2"/>
  <c r="R95" i="2" s="1"/>
  <c r="S95" i="2" s="1"/>
  <c r="R94" i="2"/>
  <c r="S94" i="2" s="1"/>
  <c r="Q94" i="2"/>
  <c r="O94" i="2"/>
  <c r="O95" i="2" s="1"/>
  <c r="O96" i="2" s="1"/>
  <c r="O97" i="2" s="1"/>
  <c r="O98" i="2" s="1"/>
  <c r="O99" i="2" s="1"/>
  <c r="O100" i="2" s="1"/>
  <c r="O101" i="2" s="1"/>
  <c r="O102" i="2" s="1"/>
  <c r="O103" i="2" s="1"/>
  <c r="O104" i="2" s="1"/>
  <c r="O105" i="2" s="1"/>
  <c r="O106" i="2" s="1"/>
  <c r="O107" i="2" s="1"/>
  <c r="O108" i="2" s="1"/>
  <c r="O109" i="2" s="1"/>
  <c r="O110" i="2" s="1"/>
  <c r="O111" i="2" s="1"/>
  <c r="O112" i="2" s="1"/>
  <c r="O113" i="2" s="1"/>
  <c r="O114" i="2" s="1"/>
  <c r="O115" i="2" s="1"/>
  <c r="O116" i="2" s="1"/>
  <c r="O117" i="2" s="1"/>
  <c r="O118" i="2" s="1"/>
  <c r="O119" i="2" s="1"/>
  <c r="O120" i="2" s="1"/>
  <c r="O121" i="2" s="1"/>
  <c r="O122" i="2" s="1"/>
  <c r="O123" i="2" s="1"/>
  <c r="O124" i="2" s="1"/>
  <c r="O125" i="2" s="1"/>
  <c r="O126" i="2" s="1"/>
  <c r="O127" i="2" s="1"/>
  <c r="O128" i="2" s="1"/>
  <c r="O129" i="2" s="1"/>
  <c r="O130" i="2" s="1"/>
  <c r="O131" i="2" s="1"/>
  <c r="O132" i="2" s="1"/>
  <c r="O133" i="2" s="1"/>
  <c r="O134" i="2" s="1"/>
  <c r="O135" i="2" s="1"/>
  <c r="O136" i="2" s="1"/>
  <c r="O137" i="2" s="1"/>
  <c r="O138" i="2" s="1"/>
  <c r="O139" i="2" s="1"/>
  <c r="O140" i="2" s="1"/>
  <c r="O141" i="2" s="1"/>
  <c r="O142" i="2" s="1"/>
  <c r="O143" i="2" s="1"/>
  <c r="O144" i="2" s="1"/>
  <c r="O145" i="2" s="1"/>
  <c r="O146" i="2" s="1"/>
  <c r="O147" i="2" s="1"/>
  <c r="O148" i="2" s="1"/>
  <c r="O149" i="2" s="1"/>
  <c r="O150" i="2" s="1"/>
  <c r="O151" i="2" s="1"/>
  <c r="O152" i="2" s="1"/>
  <c r="O153" i="2" s="1"/>
  <c r="O154" i="2" s="1"/>
  <c r="O155" i="2" s="1"/>
  <c r="O156" i="2" s="1"/>
  <c r="O157" i="2" s="1"/>
  <c r="O158" i="2" s="1"/>
  <c r="O159" i="2" s="1"/>
  <c r="O160" i="2" s="1"/>
  <c r="O161" i="2" s="1"/>
  <c r="O162" i="2" s="1"/>
  <c r="O163" i="2" s="1"/>
  <c r="O164" i="2" s="1"/>
  <c r="O165" i="2" s="1"/>
  <c r="O166" i="2" s="1"/>
  <c r="O167" i="2" s="1"/>
  <c r="O168" i="2" s="1"/>
  <c r="O169" i="2" s="1"/>
  <c r="O170" i="2" s="1"/>
  <c r="O171" i="2" s="1"/>
  <c r="O172" i="2" s="1"/>
  <c r="O173" i="2" s="1"/>
  <c r="O174" i="2" s="1"/>
  <c r="O175" i="2" s="1"/>
  <c r="O176" i="2" s="1"/>
  <c r="O177" i="2" s="1"/>
  <c r="O178" i="2" s="1"/>
  <c r="O179" i="2" s="1"/>
  <c r="O180" i="2" s="1"/>
  <c r="O181" i="2" s="1"/>
  <c r="O182" i="2" s="1"/>
  <c r="O183" i="2" s="1"/>
  <c r="O184" i="2" s="1"/>
  <c r="O185" i="2" s="1"/>
  <c r="O186" i="2" s="1"/>
  <c r="O187" i="2" s="1"/>
  <c r="O188" i="2" s="1"/>
  <c r="O189" i="2" s="1"/>
  <c r="O190" i="2" s="1"/>
  <c r="O191" i="2" s="1"/>
  <c r="O192" i="2" s="1"/>
  <c r="O193" i="2" s="1"/>
  <c r="O194" i="2" s="1"/>
  <c r="O195" i="2" s="1"/>
  <c r="O196" i="2" s="1"/>
  <c r="O197" i="2" s="1"/>
  <c r="O198" i="2" s="1"/>
  <c r="O199" i="2" s="1"/>
  <c r="O200" i="2" s="1"/>
  <c r="O201" i="2" s="1"/>
  <c r="O202" i="2" s="1"/>
  <c r="O203" i="2" s="1"/>
  <c r="O204" i="2" s="1"/>
  <c r="O205" i="2" s="1"/>
  <c r="O206" i="2" s="1"/>
  <c r="O207" i="2" s="1"/>
  <c r="O208" i="2" s="1"/>
  <c r="O209" i="2" s="1"/>
  <c r="O210" i="2" s="1"/>
  <c r="O211" i="2" s="1"/>
  <c r="O212" i="2" s="1"/>
  <c r="O213" i="2" s="1"/>
  <c r="O214" i="2" s="1"/>
  <c r="O215" i="2" s="1"/>
  <c r="O216" i="2" s="1"/>
  <c r="O217" i="2" s="1"/>
  <c r="O218" i="2" s="1"/>
  <c r="O219" i="2" s="1"/>
  <c r="O220" i="2" s="1"/>
  <c r="O221" i="2" s="1"/>
  <c r="O222" i="2" s="1"/>
  <c r="O223" i="2" s="1"/>
  <c r="O224" i="2" s="1"/>
  <c r="O225" i="2" s="1"/>
  <c r="O226" i="2" s="1"/>
  <c r="O227" i="2" s="1"/>
  <c r="O228" i="2" s="1"/>
  <c r="O229" i="2" s="1"/>
  <c r="O230" i="2" s="1"/>
  <c r="O231" i="2" s="1"/>
  <c r="O232" i="2" s="1"/>
  <c r="O233" i="2" s="1"/>
  <c r="O234" i="2" s="1"/>
  <c r="O235" i="2" s="1"/>
  <c r="O236" i="2" s="1"/>
  <c r="O237" i="2" s="1"/>
  <c r="O238" i="2" s="1"/>
  <c r="O239" i="2" s="1"/>
  <c r="O240" i="2" s="1"/>
  <c r="O241" i="2" s="1"/>
  <c r="O242" i="2" s="1"/>
  <c r="O243" i="2" s="1"/>
  <c r="O244" i="2" s="1"/>
  <c r="O245" i="2" s="1"/>
  <c r="O246" i="2" s="1"/>
  <c r="O247" i="2" s="1"/>
  <c r="O248" i="2" s="1"/>
  <c r="O249" i="2" s="1"/>
  <c r="O250" i="2" s="1"/>
  <c r="O251" i="2" s="1"/>
  <c r="O252" i="2" s="1"/>
  <c r="O253" i="2" s="1"/>
  <c r="O254" i="2" s="1"/>
  <c r="O255" i="2" s="1"/>
  <c r="O256" i="2" s="1"/>
  <c r="O257" i="2" s="1"/>
  <c r="O258" i="2" s="1"/>
  <c r="O259" i="2" s="1"/>
  <c r="O260" i="2" s="1"/>
  <c r="O261" i="2" s="1"/>
  <c r="O262" i="2" s="1"/>
  <c r="O263" i="2" s="1"/>
  <c r="O264" i="2" s="1"/>
  <c r="O265" i="2" s="1"/>
  <c r="O266" i="2" s="1"/>
  <c r="O267" i="2" s="1"/>
  <c r="O268" i="2" s="1"/>
  <c r="O269" i="2" s="1"/>
  <c r="O270" i="2" s="1"/>
  <c r="O271" i="2" s="1"/>
  <c r="O272" i="2" s="1"/>
  <c r="O273" i="2" s="1"/>
  <c r="O274" i="2" s="1"/>
  <c r="O275" i="2" s="1"/>
  <c r="O276" i="2" s="1"/>
  <c r="O277" i="2" s="1"/>
  <c r="O278" i="2" s="1"/>
  <c r="O279" i="2" s="1"/>
  <c r="O280" i="2" s="1"/>
  <c r="O281" i="2" s="1"/>
  <c r="O282" i="2" s="1"/>
  <c r="O283" i="2" s="1"/>
  <c r="O284" i="2" s="1"/>
  <c r="O285" i="2" s="1"/>
  <c r="O286" i="2" s="1"/>
  <c r="O287" i="2" s="1"/>
  <c r="O288" i="2" s="1"/>
  <c r="O289" i="2" s="1"/>
  <c r="O290" i="2" s="1"/>
  <c r="O291" i="2" s="1"/>
  <c r="O292" i="2" s="1"/>
  <c r="O293" i="2" s="1"/>
  <c r="O294" i="2" s="1"/>
  <c r="O295" i="2" s="1"/>
  <c r="O296" i="2" s="1"/>
  <c r="O297" i="2" s="1"/>
  <c r="O298" i="2" s="1"/>
  <c r="O299" i="2" s="1"/>
  <c r="O300" i="2" s="1"/>
  <c r="O301" i="2" s="1"/>
  <c r="O302" i="2" s="1"/>
  <c r="O303" i="2" s="1"/>
  <c r="O304" i="2" s="1"/>
  <c r="O305" i="2" s="1"/>
  <c r="O306" i="2" s="1"/>
  <c r="O307" i="2" s="1"/>
  <c r="O308" i="2" s="1"/>
  <c r="O309" i="2" s="1"/>
  <c r="O310" i="2" s="1"/>
  <c r="O311" i="2" s="1"/>
  <c r="O312" i="2" s="1"/>
  <c r="O313" i="2" s="1"/>
  <c r="O314" i="2" s="1"/>
  <c r="O315" i="2" s="1"/>
  <c r="O316" i="2" s="1"/>
  <c r="O317" i="2" s="1"/>
  <c r="O318" i="2" s="1"/>
  <c r="O319" i="2" s="1"/>
  <c r="O320" i="2" s="1"/>
  <c r="O321" i="2" s="1"/>
  <c r="O322" i="2" s="1"/>
  <c r="O323" i="2" s="1"/>
  <c r="O324" i="2" s="1"/>
  <c r="O325" i="2" s="1"/>
  <c r="O326" i="2" s="1"/>
  <c r="O327" i="2" s="1"/>
  <c r="O328" i="2" s="1"/>
  <c r="O329" i="2" s="1"/>
  <c r="O330" i="2" s="1"/>
  <c r="O331" i="2" s="1"/>
  <c r="O332" i="2" s="1"/>
  <c r="O333" i="2" s="1"/>
  <c r="O334" i="2" s="1"/>
  <c r="O335" i="2" s="1"/>
  <c r="O336" i="2" s="1"/>
  <c r="O337" i="2" s="1"/>
  <c r="O338" i="2" s="1"/>
  <c r="O339" i="2" s="1"/>
  <c r="O340" i="2" s="1"/>
  <c r="O341" i="2" s="1"/>
  <c r="O342" i="2" s="1"/>
  <c r="O343" i="2" s="1"/>
  <c r="O344" i="2" s="1"/>
  <c r="O345" i="2" s="1"/>
  <c r="O346" i="2" s="1"/>
  <c r="O347" i="2" s="1"/>
  <c r="O348" i="2" s="1"/>
  <c r="O349" i="2" s="1"/>
  <c r="O350" i="2" s="1"/>
  <c r="O351" i="2" s="1"/>
  <c r="O352" i="2" s="1"/>
  <c r="O353" i="2" s="1"/>
  <c r="O354" i="2" s="1"/>
  <c r="O355" i="2" s="1"/>
  <c r="O356" i="2" s="1"/>
  <c r="Q93" i="2"/>
  <c r="R93" i="2" s="1"/>
  <c r="S93" i="2" s="1"/>
  <c r="Q92" i="2"/>
  <c r="R92" i="2" s="1"/>
  <c r="S92" i="2" s="1"/>
  <c r="O92" i="2"/>
  <c r="O93" i="2" s="1"/>
  <c r="S91" i="2"/>
  <c r="Q91" i="2"/>
  <c r="R91" i="2" s="1"/>
  <c r="R90" i="2"/>
  <c r="S90" i="2" s="1"/>
  <c r="Q90" i="2"/>
  <c r="O90" i="2"/>
  <c r="O91" i="2" s="1"/>
  <c r="Q89" i="2"/>
  <c r="R89" i="2" s="1"/>
  <c r="S89" i="2" s="1"/>
  <c r="Q88" i="2"/>
  <c r="R88" i="2" s="1"/>
  <c r="S88" i="2" s="1"/>
  <c r="Q87" i="2"/>
  <c r="R87" i="2" s="1"/>
  <c r="S87" i="2" s="1"/>
  <c r="Q86" i="2"/>
  <c r="R86" i="2" s="1"/>
  <c r="S86" i="2" s="1"/>
  <c r="O86" i="2"/>
  <c r="R85" i="2"/>
  <c r="S85" i="2" s="1"/>
  <c r="Q85" i="2"/>
  <c r="O85" i="2"/>
  <c r="S84" i="2"/>
  <c r="Q84" i="2"/>
  <c r="R84" i="2" s="1"/>
  <c r="O84" i="2"/>
  <c r="S83" i="2"/>
  <c r="R83" i="2"/>
  <c r="Q83" i="2"/>
  <c r="R82" i="2"/>
  <c r="S82" i="2" s="1"/>
  <c r="Q82" i="2"/>
  <c r="S81" i="2"/>
  <c r="R81" i="2"/>
  <c r="Q81" i="2"/>
  <c r="R80" i="2"/>
  <c r="S80" i="2" s="1"/>
  <c r="Q80" i="2"/>
  <c r="R79" i="2"/>
  <c r="S79" i="2" s="1"/>
  <c r="Q79" i="2"/>
  <c r="R78" i="2"/>
  <c r="S78" i="2" s="1"/>
  <c r="Q78" i="2"/>
  <c r="S77" i="2"/>
  <c r="R77" i="2"/>
  <c r="Q77" i="2"/>
  <c r="R76" i="2"/>
  <c r="S76" i="2" s="1"/>
  <c r="Q76" i="2"/>
  <c r="S75" i="2"/>
  <c r="R75" i="2"/>
  <c r="Q75" i="2"/>
  <c r="R74" i="2"/>
  <c r="S74" i="2" s="1"/>
  <c r="Q74" i="2"/>
  <c r="S73" i="2"/>
  <c r="R73" i="2"/>
  <c r="Q73" i="2"/>
  <c r="O73" i="2"/>
  <c r="S72" i="2"/>
  <c r="Q72" i="2"/>
  <c r="R72" i="2" s="1"/>
  <c r="Q71" i="2"/>
  <c r="R71" i="2" s="1"/>
  <c r="S71" i="2" s="1"/>
  <c r="S70" i="2"/>
  <c r="Q70" i="2"/>
  <c r="R70" i="2" s="1"/>
  <c r="S69" i="2"/>
  <c r="Q69" i="2"/>
  <c r="R69" i="2" s="1"/>
  <c r="S68" i="2"/>
  <c r="Q68" i="2"/>
  <c r="R68" i="2" s="1"/>
  <c r="Q67" i="2"/>
  <c r="R67" i="2" s="1"/>
  <c r="S67" i="2" s="1"/>
  <c r="S66" i="2"/>
  <c r="Q66" i="2"/>
  <c r="R66" i="2" s="1"/>
  <c r="Q65" i="2"/>
  <c r="R65" i="2" s="1"/>
  <c r="S65" i="2" s="1"/>
  <c r="R64" i="2"/>
  <c r="S64" i="2" s="1"/>
  <c r="Q64" i="2"/>
  <c r="S63" i="2"/>
  <c r="Q63" i="2"/>
  <c r="R63" i="2" s="1"/>
  <c r="S62" i="2"/>
  <c r="Q62" i="2"/>
  <c r="R62" i="2" s="1"/>
  <c r="Q61" i="2"/>
  <c r="R61" i="2" s="1"/>
  <c r="S61" i="2" s="1"/>
  <c r="Q60" i="2"/>
  <c r="R60" i="2" s="1"/>
  <c r="S60" i="2" s="1"/>
  <c r="S59" i="2"/>
  <c r="R59" i="2"/>
  <c r="R58" i="2"/>
  <c r="S58" i="2" s="1"/>
  <c r="S57" i="2"/>
  <c r="R57" i="2"/>
  <c r="S56" i="2"/>
  <c r="R56" i="2"/>
  <c r="S55" i="2"/>
  <c r="R55" i="2"/>
  <c r="I55" i="2"/>
  <c r="R54" i="2"/>
  <c r="S54" i="2" s="1"/>
  <c r="Z53" i="2"/>
  <c r="R53" i="2"/>
  <c r="S53" i="2" s="1"/>
  <c r="I53" i="2"/>
  <c r="G53" i="2"/>
  <c r="G54" i="2" s="1"/>
  <c r="G55" i="2" s="1"/>
  <c r="G56" i="2" s="1"/>
  <c r="G57" i="2" s="1"/>
  <c r="G58" i="2" s="1"/>
  <c r="G59" i="2" s="1"/>
  <c r="G60" i="2" s="1"/>
  <c r="G61" i="2" s="1"/>
  <c r="G62" i="2" s="1"/>
  <c r="G63" i="2" s="1"/>
  <c r="G64" i="2" s="1"/>
  <c r="G65" i="2" s="1"/>
  <c r="G66" i="2" s="1"/>
  <c r="G67" i="2" s="1"/>
  <c r="G68" i="2" s="1"/>
  <c r="G69" i="2" s="1"/>
  <c r="G70" i="2" s="1"/>
  <c r="G71" i="2" s="1"/>
  <c r="G72" i="2" s="1"/>
  <c r="G73" i="2" s="1"/>
  <c r="G74" i="2" s="1"/>
  <c r="G75" i="2" s="1"/>
  <c r="G76" i="2" s="1"/>
  <c r="G77" i="2" s="1"/>
  <c r="G78" i="2" s="1"/>
  <c r="G79" i="2" s="1"/>
  <c r="G80" i="2" s="1"/>
  <c r="G81" i="2" s="1"/>
  <c r="G82" i="2" s="1"/>
  <c r="G83" i="2" s="1"/>
  <c r="G84" i="2" s="1"/>
  <c r="G85" i="2" s="1"/>
  <c r="G86" i="2" s="1"/>
  <c r="G87" i="2" s="1"/>
  <c r="G88" i="2" s="1"/>
  <c r="G89" i="2" s="1"/>
  <c r="G90" i="2" s="1"/>
  <c r="G91" i="2" s="1"/>
  <c r="G92" i="2" s="1"/>
  <c r="G93" i="2" s="1"/>
  <c r="G94" i="2" s="1"/>
  <c r="G95" i="2" s="1"/>
  <c r="G96" i="2" s="1"/>
  <c r="G97" i="2" s="1"/>
  <c r="G98" i="2" s="1"/>
  <c r="G99" i="2" s="1"/>
  <c r="G100" i="2" s="1"/>
  <c r="G101" i="2" s="1"/>
  <c r="G102" i="2" s="1"/>
  <c r="G103" i="2" s="1"/>
  <c r="G104" i="2" s="1"/>
  <c r="G105" i="2" s="1"/>
  <c r="G106" i="2" s="1"/>
  <c r="G107" i="2" s="1"/>
  <c r="G108" i="2" s="1"/>
  <c r="G109" i="2" s="1"/>
  <c r="G110" i="2" s="1"/>
  <c r="G111" i="2" s="1"/>
  <c r="G112" i="2" s="1"/>
  <c r="G113" i="2" s="1"/>
  <c r="G114" i="2" s="1"/>
  <c r="G115" i="2" s="1"/>
  <c r="G116" i="2" s="1"/>
  <c r="G117" i="2" s="1"/>
  <c r="G118" i="2" s="1"/>
  <c r="G119" i="2" s="1"/>
  <c r="G120" i="2" s="1"/>
  <c r="G121" i="2" s="1"/>
  <c r="G122" i="2" s="1"/>
  <c r="G123" i="2" s="1"/>
  <c r="G124" i="2" s="1"/>
  <c r="G125" i="2" s="1"/>
  <c r="G126" i="2" s="1"/>
  <c r="G127" i="2" s="1"/>
  <c r="G128" i="2" s="1"/>
  <c r="G129" i="2" s="1"/>
  <c r="G130" i="2" s="1"/>
  <c r="G131" i="2" s="1"/>
  <c r="G132" i="2" s="1"/>
  <c r="G133" i="2" s="1"/>
  <c r="G134" i="2" s="1"/>
  <c r="G135" i="2" s="1"/>
  <c r="G136" i="2" s="1"/>
  <c r="G137" i="2" s="1"/>
  <c r="G138" i="2" s="1"/>
  <c r="G139" i="2" s="1"/>
  <c r="G140" i="2" s="1"/>
  <c r="G141" i="2" s="1"/>
  <c r="G142" i="2" s="1"/>
  <c r="G143" i="2" s="1"/>
  <c r="G144" i="2" s="1"/>
  <c r="G145" i="2" s="1"/>
  <c r="G146" i="2" s="1"/>
  <c r="G147" i="2" s="1"/>
  <c r="G148" i="2" s="1"/>
  <c r="G149" i="2" s="1"/>
  <c r="G150" i="2" s="1"/>
  <c r="G151" i="2" s="1"/>
  <c r="G152" i="2" s="1"/>
  <c r="G153" i="2" s="1"/>
  <c r="G154" i="2" s="1"/>
  <c r="G155" i="2" s="1"/>
  <c r="G156" i="2" s="1"/>
  <c r="G157" i="2" s="1"/>
  <c r="G158" i="2" s="1"/>
  <c r="G159" i="2" s="1"/>
  <c r="G160" i="2" s="1"/>
  <c r="G161" i="2" s="1"/>
  <c r="G162" i="2" s="1"/>
  <c r="G163" i="2" s="1"/>
  <c r="G164" i="2" s="1"/>
  <c r="G165" i="2" s="1"/>
  <c r="G166" i="2" s="1"/>
  <c r="G167" i="2" s="1"/>
  <c r="G168" i="2" s="1"/>
  <c r="G169" i="2" s="1"/>
  <c r="G170" i="2" s="1"/>
  <c r="G171" i="2" s="1"/>
  <c r="G172" i="2" s="1"/>
  <c r="G173" i="2" s="1"/>
  <c r="G174" i="2" s="1"/>
  <c r="S52" i="2"/>
  <c r="R52" i="2"/>
  <c r="G52" i="2"/>
  <c r="R51" i="2"/>
  <c r="S51" i="2" s="1"/>
  <c r="I51" i="2"/>
  <c r="G51" i="2"/>
  <c r="X50" i="2"/>
  <c r="X51" i="2" s="1"/>
  <c r="X52" i="2" s="1"/>
  <c r="X53" i="2" s="1"/>
  <c r="X54" i="2" s="1"/>
  <c r="X55" i="2" s="1"/>
  <c r="X56" i="2" s="1"/>
  <c r="X57" i="2" s="1"/>
  <c r="X58" i="2" s="1"/>
  <c r="X59" i="2" s="1"/>
  <c r="X60" i="2" s="1"/>
  <c r="X61" i="2" s="1"/>
  <c r="X62" i="2" s="1"/>
  <c r="X63" i="2" s="1"/>
  <c r="X64" i="2" s="1"/>
  <c r="X65" i="2" s="1"/>
  <c r="X66" i="2" s="1"/>
  <c r="X67" i="2" s="1"/>
  <c r="X68" i="2" s="1"/>
  <c r="X69" i="2" s="1"/>
  <c r="X70" i="2" s="1"/>
  <c r="X71" i="2" s="1"/>
  <c r="X72" i="2" s="1"/>
  <c r="X73" i="2" s="1"/>
  <c r="X74" i="2" s="1"/>
  <c r="X75" i="2" s="1"/>
  <c r="X76" i="2" s="1"/>
  <c r="X77" i="2" s="1"/>
  <c r="X78" i="2" s="1"/>
  <c r="X79" i="2" s="1"/>
  <c r="X80" i="2" s="1"/>
  <c r="X81" i="2" s="1"/>
  <c r="X82" i="2" s="1"/>
  <c r="X83" i="2" s="1"/>
  <c r="X84" i="2" s="1"/>
  <c r="X85" i="2" s="1"/>
  <c r="X86" i="2" s="1"/>
  <c r="X87" i="2" s="1"/>
  <c r="X88" i="2" s="1"/>
  <c r="X89" i="2" s="1"/>
  <c r="X90" i="2" s="1"/>
  <c r="X91" i="2" s="1"/>
  <c r="X92" i="2" s="1"/>
  <c r="X93" i="2" s="1"/>
  <c r="X94" i="2" s="1"/>
  <c r="X95" i="2" s="1"/>
  <c r="X96" i="2" s="1"/>
  <c r="X97" i="2" s="1"/>
  <c r="X98" i="2" s="1"/>
  <c r="X99" i="2" s="1"/>
  <c r="X100" i="2" s="1"/>
  <c r="X101" i="2" s="1"/>
  <c r="X102" i="2" s="1"/>
  <c r="X103" i="2" s="1"/>
  <c r="X104" i="2" s="1"/>
  <c r="X105" i="2" s="1"/>
  <c r="X106" i="2" s="1"/>
  <c r="X107" i="2" s="1"/>
  <c r="X108" i="2" s="1"/>
  <c r="X109" i="2" s="1"/>
  <c r="X110" i="2" s="1"/>
  <c r="X111" i="2" s="1"/>
  <c r="X112" i="2" s="1"/>
  <c r="X113" i="2" s="1"/>
  <c r="X114" i="2" s="1"/>
  <c r="X115" i="2" s="1"/>
  <c r="X116" i="2" s="1"/>
  <c r="X117" i="2" s="1"/>
  <c r="X118" i="2" s="1"/>
  <c r="X119" i="2" s="1"/>
  <c r="X120" i="2" s="1"/>
  <c r="X121" i="2" s="1"/>
  <c r="X122" i="2" s="1"/>
  <c r="X123" i="2" s="1"/>
  <c r="X124" i="2" s="1"/>
  <c r="X125" i="2" s="1"/>
  <c r="X126" i="2" s="1"/>
  <c r="X127" i="2" s="1"/>
  <c r="X128" i="2" s="1"/>
  <c r="X129" i="2" s="1"/>
  <c r="X130" i="2" s="1"/>
  <c r="X131" i="2" s="1"/>
  <c r="X132" i="2" s="1"/>
  <c r="X133" i="2" s="1"/>
  <c r="X134" i="2" s="1"/>
  <c r="X135" i="2" s="1"/>
  <c r="X136" i="2" s="1"/>
  <c r="X137" i="2" s="1"/>
  <c r="X138" i="2" s="1"/>
  <c r="X139" i="2" s="1"/>
  <c r="X140" i="2" s="1"/>
  <c r="X141" i="2" s="1"/>
  <c r="X142" i="2" s="1"/>
  <c r="X143" i="2" s="1"/>
  <c r="X144" i="2" s="1"/>
  <c r="X145" i="2" s="1"/>
  <c r="X146" i="2" s="1"/>
  <c r="X147" i="2" s="1"/>
  <c r="X148" i="2" s="1"/>
  <c r="X149" i="2" s="1"/>
  <c r="X150" i="2" s="1"/>
  <c r="X151" i="2" s="1"/>
  <c r="X152" i="2" s="1"/>
  <c r="X153" i="2" s="1"/>
  <c r="X154" i="2" s="1"/>
  <c r="X155" i="2" s="1"/>
  <c r="X156" i="2" s="1"/>
  <c r="X157" i="2" s="1"/>
  <c r="X158" i="2" s="1"/>
  <c r="X159" i="2" s="1"/>
  <c r="X160" i="2" s="1"/>
  <c r="X161" i="2" s="1"/>
  <c r="X162" i="2" s="1"/>
  <c r="X163" i="2" s="1"/>
  <c r="X164" i="2" s="1"/>
  <c r="X165" i="2" s="1"/>
  <c r="X166" i="2" s="1"/>
  <c r="X167" i="2" s="1"/>
  <c r="X168" i="2" s="1"/>
  <c r="X169" i="2" s="1"/>
  <c r="X170" i="2" s="1"/>
  <c r="X171" i="2" s="1"/>
  <c r="S50" i="2"/>
  <c r="R50" i="2"/>
  <c r="M50" i="2"/>
  <c r="M51" i="2" s="1"/>
  <c r="M52" i="2" s="1"/>
  <c r="M53" i="2" s="1"/>
  <c r="M54" i="2" s="1"/>
  <c r="M55" i="2" s="1"/>
  <c r="M56" i="2" s="1"/>
  <c r="M57" i="2" s="1"/>
  <c r="M58" i="2" s="1"/>
  <c r="M59" i="2" s="1"/>
  <c r="M60" i="2" s="1"/>
  <c r="M61" i="2" s="1"/>
  <c r="M62" i="2" s="1"/>
  <c r="M63" i="2" s="1"/>
  <c r="M64" i="2" s="1"/>
  <c r="M65" i="2" s="1"/>
  <c r="M66" i="2" s="1"/>
  <c r="M67" i="2" s="1"/>
  <c r="M68" i="2" s="1"/>
  <c r="M69" i="2" s="1"/>
  <c r="M70" i="2" s="1"/>
  <c r="M71" i="2" s="1"/>
  <c r="M72" i="2" s="1"/>
  <c r="M73" i="2" s="1"/>
  <c r="M74" i="2" s="1"/>
  <c r="M75" i="2" s="1"/>
  <c r="M76" i="2" s="1"/>
  <c r="M77" i="2" s="1"/>
  <c r="M78" i="2" s="1"/>
  <c r="M79" i="2" s="1"/>
  <c r="M80" i="2" s="1"/>
  <c r="M81" i="2" s="1"/>
  <c r="M82" i="2" s="1"/>
  <c r="M83" i="2" s="1"/>
  <c r="M84" i="2" s="1"/>
  <c r="M85" i="2" s="1"/>
  <c r="M86" i="2" s="1"/>
  <c r="M87" i="2" s="1"/>
  <c r="M88" i="2" s="1"/>
  <c r="M89" i="2" s="1"/>
  <c r="M90" i="2" s="1"/>
  <c r="M91" i="2" s="1"/>
  <c r="M92" i="2" s="1"/>
  <c r="M93" i="2" s="1"/>
  <c r="M94" i="2" s="1"/>
  <c r="M95" i="2" s="1"/>
  <c r="M96" i="2" s="1"/>
  <c r="M97" i="2" s="1"/>
  <c r="M98" i="2" s="1"/>
  <c r="M99" i="2" s="1"/>
  <c r="M100" i="2" s="1"/>
  <c r="M101" i="2" s="1"/>
  <c r="M102" i="2" s="1"/>
  <c r="M103" i="2" s="1"/>
  <c r="M104" i="2" s="1"/>
  <c r="M105" i="2" s="1"/>
  <c r="M106" i="2" s="1"/>
  <c r="M107" i="2" s="1"/>
  <c r="M108" i="2" s="1"/>
  <c r="M109" i="2" s="1"/>
  <c r="M110" i="2" s="1"/>
  <c r="M111" i="2" s="1"/>
  <c r="M112" i="2" s="1"/>
  <c r="M113" i="2" s="1"/>
  <c r="M114" i="2" s="1"/>
  <c r="M115" i="2" s="1"/>
  <c r="M116" i="2" s="1"/>
  <c r="M117" i="2" s="1"/>
  <c r="M118" i="2" s="1"/>
  <c r="M119" i="2" s="1"/>
  <c r="M120" i="2" s="1"/>
  <c r="M121" i="2" s="1"/>
  <c r="M122" i="2" s="1"/>
  <c r="M123" i="2" s="1"/>
  <c r="M124" i="2" s="1"/>
  <c r="M125" i="2" s="1"/>
  <c r="M126" i="2" s="1"/>
  <c r="M127" i="2" s="1"/>
  <c r="M128" i="2" s="1"/>
  <c r="M129" i="2" s="1"/>
  <c r="M130" i="2" s="1"/>
  <c r="M131" i="2" s="1"/>
  <c r="M132" i="2" s="1"/>
  <c r="M133" i="2" s="1"/>
  <c r="M134" i="2" s="1"/>
  <c r="M135" i="2" s="1"/>
  <c r="M136" i="2" s="1"/>
  <c r="M137" i="2" s="1"/>
  <c r="M138" i="2" s="1"/>
  <c r="M139" i="2" s="1"/>
  <c r="M140" i="2" s="1"/>
  <c r="M141" i="2" s="1"/>
  <c r="M142" i="2" s="1"/>
  <c r="M143" i="2" s="1"/>
  <c r="M144" i="2" s="1"/>
  <c r="M145" i="2" s="1"/>
  <c r="M146" i="2" s="1"/>
  <c r="M147" i="2" s="1"/>
  <c r="M148" i="2" s="1"/>
  <c r="M149" i="2" s="1"/>
  <c r="M150" i="2" s="1"/>
  <c r="M151" i="2" s="1"/>
  <c r="M152" i="2" s="1"/>
  <c r="M153" i="2" s="1"/>
  <c r="M154" i="2" s="1"/>
  <c r="M155" i="2" s="1"/>
  <c r="M156" i="2" s="1"/>
  <c r="M157" i="2" s="1"/>
  <c r="M158" i="2" s="1"/>
  <c r="M159" i="2" s="1"/>
  <c r="M160" i="2" s="1"/>
  <c r="M161" i="2" s="1"/>
  <c r="M162" i="2" s="1"/>
  <c r="M163" i="2" s="1"/>
  <c r="M164" i="2" s="1"/>
  <c r="M165" i="2" s="1"/>
  <c r="M166" i="2" s="1"/>
  <c r="M167" i="2" s="1"/>
  <c r="M168" i="2" s="1"/>
  <c r="M169" i="2" s="1"/>
  <c r="M170" i="2" s="1"/>
  <c r="M171" i="2" s="1"/>
  <c r="M172" i="2" s="1"/>
  <c r="M173" i="2" s="1"/>
  <c r="M174" i="2" s="1"/>
  <c r="M175" i="2" s="1"/>
  <c r="M176" i="2" s="1"/>
  <c r="M177" i="2" s="1"/>
  <c r="M178" i="2" s="1"/>
  <c r="M179" i="2" s="1"/>
  <c r="M180" i="2" s="1"/>
  <c r="M181" i="2" s="1"/>
  <c r="M182" i="2" s="1"/>
  <c r="M183" i="2" s="1"/>
  <c r="M184" i="2" s="1"/>
  <c r="M185" i="2" s="1"/>
  <c r="M186" i="2" s="1"/>
  <c r="M187" i="2" s="1"/>
  <c r="M188" i="2" s="1"/>
  <c r="M189" i="2" s="1"/>
  <c r="M190" i="2" s="1"/>
  <c r="M191" i="2" s="1"/>
  <c r="M192" i="2" s="1"/>
  <c r="M193" i="2" s="1"/>
  <c r="M194" i="2" s="1"/>
  <c r="M195" i="2" s="1"/>
  <c r="M196" i="2" s="1"/>
  <c r="M197" i="2" s="1"/>
  <c r="M198" i="2" s="1"/>
  <c r="M199" i="2" s="1"/>
  <c r="M200" i="2" s="1"/>
  <c r="M201" i="2" s="1"/>
  <c r="M202" i="2" s="1"/>
  <c r="M203" i="2" s="1"/>
  <c r="M204" i="2" s="1"/>
  <c r="M205" i="2" s="1"/>
  <c r="M206" i="2" s="1"/>
  <c r="M207" i="2" s="1"/>
  <c r="M208" i="2" s="1"/>
  <c r="M209" i="2" s="1"/>
  <c r="M210" i="2" s="1"/>
  <c r="M211" i="2" s="1"/>
  <c r="M212" i="2" s="1"/>
  <c r="M213" i="2" s="1"/>
  <c r="M214" i="2" s="1"/>
  <c r="M215" i="2" s="1"/>
  <c r="M216" i="2" s="1"/>
  <c r="M217" i="2" s="1"/>
  <c r="M218" i="2" s="1"/>
  <c r="M219" i="2" s="1"/>
  <c r="M220" i="2" s="1"/>
  <c r="M221" i="2" s="1"/>
  <c r="M222" i="2" s="1"/>
  <c r="M223" i="2" s="1"/>
  <c r="M224" i="2" s="1"/>
  <c r="M225" i="2" s="1"/>
  <c r="M226" i="2" s="1"/>
  <c r="M227" i="2" s="1"/>
  <c r="M228" i="2" s="1"/>
  <c r="M229" i="2" s="1"/>
  <c r="M230" i="2" s="1"/>
  <c r="M231" i="2" s="1"/>
  <c r="M232" i="2" s="1"/>
  <c r="M233" i="2" s="1"/>
  <c r="M234" i="2" s="1"/>
  <c r="M235" i="2" s="1"/>
  <c r="M236" i="2" s="1"/>
  <c r="M237" i="2" s="1"/>
  <c r="M238" i="2" s="1"/>
  <c r="M239" i="2" s="1"/>
  <c r="M240" i="2" s="1"/>
  <c r="M241" i="2" s="1"/>
  <c r="M242" i="2" s="1"/>
  <c r="M243" i="2" s="1"/>
  <c r="M244" i="2" s="1"/>
  <c r="M245" i="2" s="1"/>
  <c r="M246" i="2" s="1"/>
  <c r="M247" i="2" s="1"/>
  <c r="M248" i="2" s="1"/>
  <c r="M249" i="2" s="1"/>
  <c r="M250" i="2" s="1"/>
  <c r="M251" i="2" s="1"/>
  <c r="M252" i="2" s="1"/>
  <c r="M253" i="2" s="1"/>
  <c r="M254" i="2" s="1"/>
  <c r="M255" i="2" s="1"/>
  <c r="M256" i="2" s="1"/>
  <c r="M257" i="2" s="1"/>
  <c r="M258" i="2" s="1"/>
  <c r="M259" i="2" s="1"/>
  <c r="M260" i="2" s="1"/>
  <c r="M261" i="2" s="1"/>
  <c r="M262" i="2" s="1"/>
  <c r="M263" i="2" s="1"/>
  <c r="M264" i="2" s="1"/>
  <c r="M265" i="2" s="1"/>
  <c r="M266" i="2" s="1"/>
  <c r="M267" i="2" s="1"/>
  <c r="M268" i="2" s="1"/>
  <c r="M269" i="2" s="1"/>
  <c r="M270" i="2" s="1"/>
  <c r="M271" i="2" s="1"/>
  <c r="M272" i="2" s="1"/>
  <c r="M273" i="2" s="1"/>
  <c r="M274" i="2" s="1"/>
  <c r="M275" i="2" s="1"/>
  <c r="M276" i="2" s="1"/>
  <c r="M277" i="2" s="1"/>
  <c r="M278" i="2" s="1"/>
  <c r="M279" i="2" s="1"/>
  <c r="M280" i="2" s="1"/>
  <c r="M281" i="2" s="1"/>
  <c r="M282" i="2" s="1"/>
  <c r="M283" i="2" s="1"/>
  <c r="M284" i="2" s="1"/>
  <c r="M285" i="2" s="1"/>
  <c r="M286" i="2" s="1"/>
  <c r="M287" i="2" s="1"/>
  <c r="M288" i="2" s="1"/>
  <c r="M289" i="2" s="1"/>
  <c r="M290" i="2" s="1"/>
  <c r="M291" i="2" s="1"/>
  <c r="M292" i="2" s="1"/>
  <c r="M293" i="2" s="1"/>
  <c r="M294" i="2" s="1"/>
  <c r="M295" i="2" s="1"/>
  <c r="M296" i="2" s="1"/>
  <c r="M297" i="2" s="1"/>
  <c r="M298" i="2" s="1"/>
  <c r="M299" i="2" s="1"/>
  <c r="M300" i="2" s="1"/>
  <c r="M301" i="2" s="1"/>
  <c r="M302" i="2" s="1"/>
  <c r="M303" i="2" s="1"/>
  <c r="M304" i="2" s="1"/>
  <c r="M305" i="2" s="1"/>
  <c r="M306" i="2" s="1"/>
  <c r="M307" i="2" s="1"/>
  <c r="M308" i="2" s="1"/>
  <c r="M309" i="2" s="1"/>
  <c r="M310" i="2" s="1"/>
  <c r="M311" i="2" s="1"/>
  <c r="M312" i="2" s="1"/>
  <c r="M313" i="2" s="1"/>
  <c r="M314" i="2" s="1"/>
  <c r="M315" i="2" s="1"/>
  <c r="M316" i="2" s="1"/>
  <c r="M317" i="2" s="1"/>
  <c r="M318" i="2" s="1"/>
  <c r="M319" i="2" s="1"/>
  <c r="M320" i="2" s="1"/>
  <c r="M321" i="2" s="1"/>
  <c r="M322" i="2" s="1"/>
  <c r="M323" i="2" s="1"/>
  <c r="M324" i="2" s="1"/>
  <c r="M325" i="2" s="1"/>
  <c r="M326" i="2" s="1"/>
  <c r="M327" i="2" s="1"/>
  <c r="M328" i="2" s="1"/>
  <c r="M329" i="2" s="1"/>
  <c r="M330" i="2" s="1"/>
  <c r="M331" i="2" s="1"/>
  <c r="M332" i="2" s="1"/>
  <c r="M333" i="2" s="1"/>
  <c r="M334" i="2" s="1"/>
  <c r="M335" i="2" s="1"/>
  <c r="M336" i="2" s="1"/>
  <c r="M337" i="2" s="1"/>
  <c r="M338" i="2" s="1"/>
  <c r="M339" i="2" s="1"/>
  <c r="M340" i="2" s="1"/>
  <c r="M341" i="2" s="1"/>
  <c r="M342" i="2" s="1"/>
  <c r="M343" i="2" s="1"/>
  <c r="M344" i="2" s="1"/>
  <c r="M345" i="2" s="1"/>
  <c r="M346" i="2" s="1"/>
  <c r="M347" i="2" s="1"/>
  <c r="M348" i="2" s="1"/>
  <c r="M349" i="2" s="1"/>
  <c r="M350" i="2" s="1"/>
  <c r="M351" i="2" s="1"/>
  <c r="M352" i="2" s="1"/>
  <c r="M353" i="2" s="1"/>
  <c r="M354" i="2" s="1"/>
  <c r="M355" i="2" s="1"/>
  <c r="M356" i="2" s="1"/>
  <c r="K50" i="2"/>
  <c r="K51" i="2" s="1"/>
  <c r="K52" i="2" s="1"/>
  <c r="K53" i="2" s="1"/>
  <c r="K54" i="2" s="1"/>
  <c r="K55" i="2" s="1"/>
  <c r="K56" i="2" s="1"/>
  <c r="K57" i="2" s="1"/>
  <c r="K58" i="2" s="1"/>
  <c r="K59" i="2" s="1"/>
  <c r="K60" i="2" s="1"/>
  <c r="K61" i="2" s="1"/>
  <c r="K62" i="2" s="1"/>
  <c r="K63" i="2" s="1"/>
  <c r="K64" i="2" s="1"/>
  <c r="K65" i="2" s="1"/>
  <c r="K66" i="2" s="1"/>
  <c r="K67" i="2" s="1"/>
  <c r="K68" i="2" s="1"/>
  <c r="K69" i="2" s="1"/>
  <c r="K70" i="2" s="1"/>
  <c r="K71" i="2" s="1"/>
  <c r="K72" i="2" s="1"/>
  <c r="K73" i="2" s="1"/>
  <c r="K74" i="2" s="1"/>
  <c r="K75" i="2" s="1"/>
  <c r="K76" i="2" s="1"/>
  <c r="K77" i="2" s="1"/>
  <c r="K78" i="2" s="1"/>
  <c r="K79" i="2" s="1"/>
  <c r="K80" i="2" s="1"/>
  <c r="K81" i="2" s="1"/>
  <c r="K82" i="2" s="1"/>
  <c r="K83" i="2" s="1"/>
  <c r="K84" i="2" s="1"/>
  <c r="K85" i="2" s="1"/>
  <c r="K86" i="2" s="1"/>
  <c r="K87" i="2" s="1"/>
  <c r="K88" i="2" s="1"/>
  <c r="K89" i="2" s="1"/>
  <c r="K90" i="2" s="1"/>
  <c r="K91" i="2" s="1"/>
  <c r="K92" i="2" s="1"/>
  <c r="K93" i="2" s="1"/>
  <c r="K94" i="2" s="1"/>
  <c r="K95" i="2" s="1"/>
  <c r="K96" i="2" s="1"/>
  <c r="K97" i="2" s="1"/>
  <c r="K98" i="2" s="1"/>
  <c r="K99" i="2" s="1"/>
  <c r="K100" i="2" s="1"/>
  <c r="K101" i="2" s="1"/>
  <c r="K102" i="2" s="1"/>
  <c r="K103" i="2" s="1"/>
  <c r="K104" i="2" s="1"/>
  <c r="K105" i="2" s="1"/>
  <c r="K106" i="2" s="1"/>
  <c r="K107" i="2" s="1"/>
  <c r="K108" i="2" s="1"/>
  <c r="K109" i="2" s="1"/>
  <c r="K110" i="2" s="1"/>
  <c r="K111" i="2" s="1"/>
  <c r="K112" i="2" s="1"/>
  <c r="K113" i="2" s="1"/>
  <c r="K114" i="2" s="1"/>
  <c r="K115" i="2" s="1"/>
  <c r="K116" i="2" s="1"/>
  <c r="K117" i="2" s="1"/>
  <c r="K118" i="2" s="1"/>
  <c r="K119" i="2" s="1"/>
  <c r="K120" i="2" s="1"/>
  <c r="K121" i="2" s="1"/>
  <c r="K122" i="2" s="1"/>
  <c r="K123" i="2" s="1"/>
  <c r="K124" i="2" s="1"/>
  <c r="K125" i="2" s="1"/>
  <c r="K126" i="2" s="1"/>
  <c r="K127" i="2" s="1"/>
  <c r="K128" i="2" s="1"/>
  <c r="K129" i="2" s="1"/>
  <c r="K130" i="2" s="1"/>
  <c r="K131" i="2" s="1"/>
  <c r="K132" i="2" s="1"/>
  <c r="K133" i="2" s="1"/>
  <c r="K134" i="2" s="1"/>
  <c r="K135" i="2" s="1"/>
  <c r="K136" i="2" s="1"/>
  <c r="K137" i="2" s="1"/>
  <c r="K138" i="2" s="1"/>
  <c r="K139" i="2" s="1"/>
  <c r="K140" i="2" s="1"/>
  <c r="K141" i="2" s="1"/>
  <c r="K142" i="2" s="1"/>
  <c r="K143" i="2" s="1"/>
  <c r="K144" i="2" s="1"/>
  <c r="K145" i="2" s="1"/>
  <c r="K146" i="2" s="1"/>
  <c r="K147" i="2" s="1"/>
  <c r="K148" i="2" s="1"/>
  <c r="K149" i="2" s="1"/>
  <c r="K150" i="2" s="1"/>
  <c r="K151" i="2" s="1"/>
  <c r="K152" i="2" s="1"/>
  <c r="K153" i="2" s="1"/>
  <c r="K154" i="2" s="1"/>
  <c r="K155" i="2" s="1"/>
  <c r="K156" i="2" s="1"/>
  <c r="K157" i="2" s="1"/>
  <c r="K158" i="2" s="1"/>
  <c r="K159" i="2" s="1"/>
  <c r="K160" i="2" s="1"/>
  <c r="K161" i="2" s="1"/>
  <c r="K162" i="2" s="1"/>
  <c r="K163" i="2" s="1"/>
  <c r="K164" i="2" s="1"/>
  <c r="K165" i="2" s="1"/>
  <c r="K166" i="2" s="1"/>
  <c r="K167" i="2" s="1"/>
  <c r="K168" i="2" s="1"/>
  <c r="K169" i="2" s="1"/>
  <c r="K170" i="2" s="1"/>
  <c r="K171" i="2" s="1"/>
  <c r="K172" i="2" s="1"/>
  <c r="K173" i="2" s="1"/>
  <c r="K174" i="2" s="1"/>
  <c r="K175" i="2" s="1"/>
  <c r="K176" i="2" s="1"/>
  <c r="K177" i="2" s="1"/>
  <c r="K178" i="2" s="1"/>
  <c r="K179" i="2" s="1"/>
  <c r="K180" i="2" s="1"/>
  <c r="K181" i="2" s="1"/>
  <c r="K182" i="2" s="1"/>
  <c r="K183" i="2" s="1"/>
  <c r="K184" i="2" s="1"/>
  <c r="K185" i="2" s="1"/>
  <c r="K186" i="2" s="1"/>
  <c r="K187" i="2" s="1"/>
  <c r="K188" i="2" s="1"/>
  <c r="K189" i="2" s="1"/>
  <c r="K190" i="2" s="1"/>
  <c r="K191" i="2" s="1"/>
  <c r="K192" i="2" s="1"/>
  <c r="K193" i="2" s="1"/>
  <c r="K194" i="2" s="1"/>
  <c r="K195" i="2" s="1"/>
  <c r="K196" i="2" s="1"/>
  <c r="K197" i="2" s="1"/>
  <c r="K198" i="2" s="1"/>
  <c r="K199" i="2" s="1"/>
  <c r="K200" i="2" s="1"/>
  <c r="K201" i="2" s="1"/>
  <c r="K202" i="2" s="1"/>
  <c r="K203" i="2" s="1"/>
  <c r="K204" i="2" s="1"/>
  <c r="K205" i="2" s="1"/>
  <c r="K206" i="2" s="1"/>
  <c r="K207" i="2" s="1"/>
  <c r="K208" i="2" s="1"/>
  <c r="K209" i="2" s="1"/>
  <c r="K210" i="2" s="1"/>
  <c r="K211" i="2" s="1"/>
  <c r="K212" i="2" s="1"/>
  <c r="K213" i="2" s="1"/>
  <c r="K214" i="2" s="1"/>
  <c r="K215" i="2" s="1"/>
  <c r="K216" i="2" s="1"/>
  <c r="K217" i="2" s="1"/>
  <c r="K218" i="2" s="1"/>
  <c r="K219" i="2" s="1"/>
  <c r="K220" i="2" s="1"/>
  <c r="K221" i="2" s="1"/>
  <c r="K222" i="2" s="1"/>
  <c r="K223" i="2" s="1"/>
  <c r="K224" i="2" s="1"/>
  <c r="K225" i="2" s="1"/>
  <c r="K226" i="2" s="1"/>
  <c r="K227" i="2" s="1"/>
  <c r="K228" i="2" s="1"/>
  <c r="K229" i="2" s="1"/>
  <c r="K230" i="2" s="1"/>
  <c r="K231" i="2" s="1"/>
  <c r="K232" i="2" s="1"/>
  <c r="K233" i="2" s="1"/>
  <c r="K234" i="2" s="1"/>
  <c r="K235" i="2" s="1"/>
  <c r="K236" i="2" s="1"/>
  <c r="K237" i="2" s="1"/>
  <c r="K238" i="2" s="1"/>
  <c r="K239" i="2" s="1"/>
  <c r="K240" i="2" s="1"/>
  <c r="K241" i="2" s="1"/>
  <c r="K242" i="2" s="1"/>
  <c r="K243" i="2" s="1"/>
  <c r="K244" i="2" s="1"/>
  <c r="K245" i="2" s="1"/>
  <c r="K246" i="2" s="1"/>
  <c r="K247" i="2" s="1"/>
  <c r="K248" i="2" s="1"/>
  <c r="K249" i="2" s="1"/>
  <c r="K250" i="2" s="1"/>
  <c r="K251" i="2" s="1"/>
  <c r="K252" i="2" s="1"/>
  <c r="K253" i="2" s="1"/>
  <c r="K254" i="2" s="1"/>
  <c r="K255" i="2" s="1"/>
  <c r="K256" i="2" s="1"/>
  <c r="K257" i="2" s="1"/>
  <c r="K258" i="2" s="1"/>
  <c r="K259" i="2" s="1"/>
  <c r="K260" i="2" s="1"/>
  <c r="K261" i="2" s="1"/>
  <c r="K262" i="2" s="1"/>
  <c r="K263" i="2" s="1"/>
  <c r="K264" i="2" s="1"/>
  <c r="K265" i="2" s="1"/>
  <c r="K266" i="2" s="1"/>
  <c r="K267" i="2" s="1"/>
  <c r="K268" i="2" s="1"/>
  <c r="K269" i="2" s="1"/>
  <c r="K270" i="2" s="1"/>
  <c r="K271" i="2" s="1"/>
  <c r="K272" i="2" s="1"/>
  <c r="K273" i="2" s="1"/>
  <c r="K274" i="2" s="1"/>
  <c r="K275" i="2" s="1"/>
  <c r="K276" i="2" s="1"/>
  <c r="K277" i="2" s="1"/>
  <c r="K278" i="2" s="1"/>
  <c r="K279" i="2" s="1"/>
  <c r="K280" i="2" s="1"/>
  <c r="K281" i="2" s="1"/>
  <c r="K282" i="2" s="1"/>
  <c r="K283" i="2" s="1"/>
  <c r="K284" i="2" s="1"/>
  <c r="K285" i="2" s="1"/>
  <c r="K286" i="2" s="1"/>
  <c r="K287" i="2" s="1"/>
  <c r="K288" i="2" s="1"/>
  <c r="K289" i="2" s="1"/>
  <c r="K290" i="2" s="1"/>
  <c r="K291" i="2" s="1"/>
  <c r="K292" i="2" s="1"/>
  <c r="K293" i="2" s="1"/>
  <c r="K294" i="2" s="1"/>
  <c r="K295" i="2" s="1"/>
  <c r="K296" i="2" s="1"/>
  <c r="K297" i="2" s="1"/>
  <c r="K298" i="2" s="1"/>
  <c r="K299" i="2" s="1"/>
  <c r="K300" i="2" s="1"/>
  <c r="K301" i="2" s="1"/>
  <c r="K302" i="2" s="1"/>
  <c r="K303" i="2" s="1"/>
  <c r="K304" i="2" s="1"/>
  <c r="K305" i="2" s="1"/>
  <c r="K306" i="2" s="1"/>
  <c r="K307" i="2" s="1"/>
  <c r="K308" i="2" s="1"/>
  <c r="K309" i="2" s="1"/>
  <c r="K310" i="2" s="1"/>
  <c r="K311" i="2" s="1"/>
  <c r="K312" i="2" s="1"/>
  <c r="K313" i="2" s="1"/>
  <c r="K314" i="2" s="1"/>
  <c r="K315" i="2" s="1"/>
  <c r="K316" i="2" s="1"/>
  <c r="K317" i="2" s="1"/>
  <c r="K318" i="2" s="1"/>
  <c r="K319" i="2" s="1"/>
  <c r="K320" i="2" s="1"/>
  <c r="K321" i="2" s="1"/>
  <c r="K322" i="2" s="1"/>
  <c r="K323" i="2" s="1"/>
  <c r="K324" i="2" s="1"/>
  <c r="K325" i="2" s="1"/>
  <c r="K326" i="2" s="1"/>
  <c r="K327" i="2" s="1"/>
  <c r="K328" i="2" s="1"/>
  <c r="K329" i="2" s="1"/>
  <c r="K330" i="2" s="1"/>
  <c r="K331" i="2" s="1"/>
  <c r="K332" i="2" s="1"/>
  <c r="K333" i="2" s="1"/>
  <c r="K334" i="2" s="1"/>
  <c r="K335" i="2" s="1"/>
  <c r="K336" i="2" s="1"/>
  <c r="K337" i="2" s="1"/>
  <c r="K338" i="2" s="1"/>
  <c r="K339" i="2" s="1"/>
  <c r="K340" i="2" s="1"/>
  <c r="K341" i="2" s="1"/>
  <c r="K342" i="2" s="1"/>
  <c r="K343" i="2" s="1"/>
  <c r="K344" i="2" s="1"/>
  <c r="K345" i="2" s="1"/>
  <c r="K346" i="2" s="1"/>
  <c r="K347" i="2" s="1"/>
  <c r="K348" i="2" s="1"/>
  <c r="K349" i="2" s="1"/>
  <c r="K350" i="2" s="1"/>
  <c r="K351" i="2" s="1"/>
  <c r="K352" i="2" s="1"/>
  <c r="K353" i="2" s="1"/>
  <c r="K354" i="2" s="1"/>
  <c r="K355" i="2" s="1"/>
  <c r="K356" i="2" s="1"/>
  <c r="T11" i="2"/>
  <c r="T12" i="2" s="1"/>
  <c r="T13" i="2" s="1"/>
  <c r="T14" i="2" s="1"/>
  <c r="T15" i="2" s="1"/>
  <c r="T16" i="2" s="1"/>
  <c r="T17" i="2" s="1"/>
  <c r="T18" i="2" s="1"/>
  <c r="T19" i="2" s="1"/>
  <c r="T20" i="2" s="1"/>
  <c r="T21" i="2" s="1"/>
  <c r="T22" i="2" s="1"/>
  <c r="T23" i="2" s="1"/>
  <c r="T24" i="2" s="1"/>
  <c r="T25" i="2" s="1"/>
  <c r="T26" i="2" s="1"/>
  <c r="T27" i="2" s="1"/>
  <c r="T28" i="2" s="1"/>
  <c r="T29" i="2" s="1"/>
  <c r="T30" i="2" s="1"/>
  <c r="T31" i="2" s="1"/>
  <c r="T32" i="2" s="1"/>
  <c r="T33" i="2" s="1"/>
  <c r="T34" i="2" s="1"/>
  <c r="T35" i="2" s="1"/>
  <c r="T36" i="2" s="1"/>
  <c r="T37" i="2" s="1"/>
  <c r="T38" i="2" s="1"/>
  <c r="T39" i="2" s="1"/>
  <c r="T40" i="2" s="1"/>
  <c r="T41" i="2" s="1"/>
  <c r="T42" i="2" s="1"/>
  <c r="T43" i="2" s="1"/>
  <c r="T44" i="2" s="1"/>
  <c r="T45" i="2" s="1"/>
  <c r="T46" i="2" s="1"/>
  <c r="T47" i="2" s="1"/>
  <c r="T48" i="2" s="1"/>
  <c r="T50" i="2" s="1"/>
  <c r="T9" i="2"/>
  <c r="T10" i="2" s="1"/>
  <c r="T8" i="2"/>
  <c r="O8" i="2"/>
  <c r="O9" i="2" s="1"/>
  <c r="O10" i="2" s="1"/>
  <c r="O11" i="2" s="1"/>
  <c r="O12" i="2" s="1"/>
  <c r="O13" i="2" s="1"/>
  <c r="O14" i="2" s="1"/>
  <c r="O15" i="2" s="1"/>
  <c r="O16" i="2" s="1"/>
  <c r="O17" i="2" s="1"/>
  <c r="O18" i="2" s="1"/>
  <c r="O19" i="2" s="1"/>
  <c r="O20" i="2" s="1"/>
  <c r="O21" i="2" s="1"/>
  <c r="O22" i="2" s="1"/>
  <c r="O23" i="2" s="1"/>
  <c r="O24" i="2" s="1"/>
  <c r="O25" i="2" s="1"/>
  <c r="O26" i="2" s="1"/>
  <c r="O27" i="2" s="1"/>
  <c r="O28" i="2" s="1"/>
  <c r="O29" i="2" s="1"/>
  <c r="O30" i="2" s="1"/>
  <c r="O31" i="2" s="1"/>
  <c r="O32" i="2" s="1"/>
  <c r="O33" i="2" s="1"/>
  <c r="O34" i="2" s="1"/>
  <c r="O35" i="2" s="1"/>
  <c r="O36" i="2" s="1"/>
  <c r="O37" i="2" s="1"/>
  <c r="O38" i="2" s="1"/>
  <c r="O39" i="2" s="1"/>
  <c r="O40" i="2" s="1"/>
  <c r="O41" i="2" s="1"/>
  <c r="O42" i="2" s="1"/>
  <c r="O43" i="2" s="1"/>
  <c r="O44" i="2" s="1"/>
  <c r="O45" i="2" s="1"/>
  <c r="O46" i="2" s="1"/>
  <c r="O47" i="2" s="1"/>
  <c r="O48" i="2" s="1"/>
  <c r="O50" i="2" s="1"/>
  <c r="O51" i="2" s="1"/>
  <c r="O52" i="2" s="1"/>
  <c r="O53" i="2" s="1"/>
  <c r="O54" i="2" s="1"/>
  <c r="O55" i="2" s="1"/>
  <c r="O56" i="2" s="1"/>
  <c r="O57" i="2" s="1"/>
  <c r="O58" i="2" s="1"/>
  <c r="O59" i="2" s="1"/>
  <c r="O60" i="2" s="1"/>
  <c r="O61" i="2" s="1"/>
  <c r="O62" i="2" s="1"/>
  <c r="O63" i="2" s="1"/>
  <c r="O64" i="2" s="1"/>
  <c r="U187" i="1"/>
  <c r="U326" i="1"/>
  <c r="U305" i="1"/>
  <c r="U277" i="1"/>
  <c r="U256" i="1"/>
  <c r="U225" i="1"/>
  <c r="U63" i="1"/>
  <c r="Q356" i="1"/>
  <c r="R356" i="1" s="1"/>
  <c r="S356" i="1" s="1"/>
  <c r="Q355" i="1"/>
  <c r="R355" i="1" s="1"/>
  <c r="S355" i="1" s="1"/>
  <c r="Q354" i="1"/>
  <c r="R354" i="1" s="1"/>
  <c r="S354" i="1" s="1"/>
  <c r="R353" i="1"/>
  <c r="S353" i="1" s="1"/>
  <c r="Q353" i="1"/>
  <c r="R352" i="1"/>
  <c r="S352" i="1" s="1"/>
  <c r="Q352" i="1"/>
  <c r="R351" i="1"/>
  <c r="S351" i="1" s="1"/>
  <c r="Q351" i="1"/>
  <c r="S350" i="1"/>
  <c r="Q350" i="1"/>
  <c r="R350" i="1" s="1"/>
  <c r="S349" i="1"/>
  <c r="R349" i="1"/>
  <c r="Q349" i="1"/>
  <c r="R348" i="1"/>
  <c r="S348" i="1" s="1"/>
  <c r="Q348" i="1"/>
  <c r="R347" i="1"/>
  <c r="S347" i="1" s="1"/>
  <c r="Q347" i="1"/>
  <c r="S346" i="1"/>
  <c r="Q346" i="1"/>
  <c r="R346" i="1" s="1"/>
  <c r="S345" i="1"/>
  <c r="R345" i="1"/>
  <c r="Q345" i="1"/>
  <c r="Q344" i="1"/>
  <c r="R344" i="1" s="1"/>
  <c r="S344" i="1" s="1"/>
  <c r="Q343" i="1"/>
  <c r="R343" i="1" s="1"/>
  <c r="S343" i="1" s="1"/>
  <c r="Q342" i="1"/>
  <c r="R342" i="1" s="1"/>
  <c r="S342" i="1" s="1"/>
  <c r="Y341" i="1"/>
  <c r="Y342" i="1" s="1"/>
  <c r="Y343" i="1" s="1"/>
  <c r="Y344" i="1" s="1"/>
  <c r="Y345" i="1" s="1"/>
  <c r="Y346" i="1" s="1"/>
  <c r="Y347" i="1" s="1"/>
  <c r="Y348" i="1" s="1"/>
  <c r="Y349" i="1" s="1"/>
  <c r="Y350" i="1" s="1"/>
  <c r="Y351" i="1" s="1"/>
  <c r="Y352" i="1" s="1"/>
  <c r="Y353" i="1" s="1"/>
  <c r="Y354" i="1" s="1"/>
  <c r="Y355" i="1" s="1"/>
  <c r="Y356" i="1" s="1"/>
  <c r="R341" i="1"/>
  <c r="S341" i="1" s="1"/>
  <c r="Q341" i="1"/>
  <c r="Y340" i="1"/>
  <c r="Q340" i="1"/>
  <c r="R340" i="1" s="1"/>
  <c r="S340" i="1" s="1"/>
  <c r="H340" i="1"/>
  <c r="H341" i="1" s="1"/>
  <c r="H342" i="1" s="1"/>
  <c r="H343" i="1" s="1"/>
  <c r="H344" i="1" s="1"/>
  <c r="H345" i="1" s="1"/>
  <c r="H346" i="1" s="1"/>
  <c r="H347" i="1" s="1"/>
  <c r="H348" i="1" s="1"/>
  <c r="H349" i="1" s="1"/>
  <c r="H350" i="1" s="1"/>
  <c r="H351" i="1" s="1"/>
  <c r="H352" i="1" s="1"/>
  <c r="H353" i="1" s="1"/>
  <c r="H354" i="1" s="1"/>
  <c r="H355" i="1" s="1"/>
  <c r="H356" i="1" s="1"/>
  <c r="Q339" i="1"/>
  <c r="R339" i="1" s="1"/>
  <c r="S339" i="1" s="1"/>
  <c r="Q338" i="1"/>
  <c r="R338" i="1" s="1"/>
  <c r="S338" i="1" s="1"/>
  <c r="Q337" i="1"/>
  <c r="R337" i="1" s="1"/>
  <c r="S337" i="1" s="1"/>
  <c r="Q336" i="1"/>
  <c r="R336" i="1" s="1"/>
  <c r="S336" i="1" s="1"/>
  <c r="R335" i="1"/>
  <c r="S335" i="1" s="1"/>
  <c r="Q335" i="1"/>
  <c r="Q334" i="1"/>
  <c r="R334" i="1" s="1"/>
  <c r="S334" i="1" s="1"/>
  <c r="Q333" i="1"/>
  <c r="R333" i="1" s="1"/>
  <c r="S333" i="1" s="1"/>
  <c r="Q332" i="1"/>
  <c r="R332" i="1" s="1"/>
  <c r="S332" i="1" s="1"/>
  <c r="R331" i="1"/>
  <c r="S331" i="1" s="1"/>
  <c r="Q331" i="1"/>
  <c r="Q330" i="1"/>
  <c r="R330" i="1" s="1"/>
  <c r="S330" i="1" s="1"/>
  <c r="Q329" i="1"/>
  <c r="R329" i="1" s="1"/>
  <c r="S329" i="1" s="1"/>
  <c r="Q328" i="1"/>
  <c r="R328" i="1" s="1"/>
  <c r="S328" i="1" s="1"/>
  <c r="R327" i="1"/>
  <c r="S327" i="1" s="1"/>
  <c r="Q327" i="1"/>
  <c r="S326" i="1"/>
  <c r="R326" i="1"/>
  <c r="Q326" i="1"/>
  <c r="R325" i="1"/>
  <c r="S325" i="1" s="1"/>
  <c r="Q325" i="1"/>
  <c r="Q324" i="1"/>
  <c r="R324" i="1" s="1"/>
  <c r="S324" i="1" s="1"/>
  <c r="Q323" i="1"/>
  <c r="R323" i="1" s="1"/>
  <c r="S323" i="1" s="1"/>
  <c r="Q322" i="1"/>
  <c r="R322" i="1" s="1"/>
  <c r="S322" i="1" s="1"/>
  <c r="R321" i="1"/>
  <c r="S321" i="1" s="1"/>
  <c r="Q321" i="1"/>
  <c r="R320" i="1"/>
  <c r="S320" i="1" s="1"/>
  <c r="Q320" i="1"/>
  <c r="S319" i="1"/>
  <c r="Q319" i="1"/>
  <c r="R319" i="1" s="1"/>
  <c r="Q318" i="1"/>
  <c r="R318" i="1" s="1"/>
  <c r="S318" i="1" s="1"/>
  <c r="I318" i="1"/>
  <c r="R317" i="1"/>
  <c r="S317" i="1" s="1"/>
  <c r="Q317" i="1"/>
  <c r="Z316" i="1"/>
  <c r="Q316" i="1"/>
  <c r="R316" i="1" s="1"/>
  <c r="S316" i="1" s="1"/>
  <c r="I316" i="1"/>
  <c r="Y315" i="1"/>
  <c r="Y316" i="1" s="1"/>
  <c r="Y317" i="1" s="1"/>
  <c r="Y318" i="1" s="1"/>
  <c r="Y319" i="1" s="1"/>
  <c r="Y320" i="1" s="1"/>
  <c r="Y321" i="1" s="1"/>
  <c r="Y322" i="1" s="1"/>
  <c r="Y323" i="1" s="1"/>
  <c r="Y324" i="1" s="1"/>
  <c r="Y325" i="1" s="1"/>
  <c r="Y326" i="1" s="1"/>
  <c r="Y327" i="1" s="1"/>
  <c r="Y328" i="1" s="1"/>
  <c r="Y329" i="1" s="1"/>
  <c r="Y330" i="1" s="1"/>
  <c r="Y331" i="1" s="1"/>
  <c r="Y332" i="1" s="1"/>
  <c r="Y333" i="1" s="1"/>
  <c r="Y334" i="1" s="1"/>
  <c r="Y335" i="1" s="1"/>
  <c r="Y336" i="1" s="1"/>
  <c r="Y337" i="1" s="1"/>
  <c r="Y338" i="1" s="1"/>
  <c r="Q315" i="1"/>
  <c r="R315" i="1" s="1"/>
  <c r="S315" i="1" s="1"/>
  <c r="H315" i="1"/>
  <c r="H316" i="1" s="1"/>
  <c r="H317" i="1" s="1"/>
  <c r="H318" i="1" s="1"/>
  <c r="H319" i="1" s="1"/>
  <c r="H320" i="1" s="1"/>
  <c r="H321" i="1" s="1"/>
  <c r="H322" i="1" s="1"/>
  <c r="H323" i="1" s="1"/>
  <c r="H324" i="1" s="1"/>
  <c r="H325" i="1" s="1"/>
  <c r="H326" i="1" s="1"/>
  <c r="H327" i="1" s="1"/>
  <c r="H328" i="1" s="1"/>
  <c r="H329" i="1" s="1"/>
  <c r="H330" i="1" s="1"/>
  <c r="H331" i="1" s="1"/>
  <c r="H332" i="1" s="1"/>
  <c r="H333" i="1" s="1"/>
  <c r="H334" i="1" s="1"/>
  <c r="H335" i="1" s="1"/>
  <c r="H336" i="1" s="1"/>
  <c r="H337" i="1" s="1"/>
  <c r="H338" i="1" s="1"/>
  <c r="Y314" i="1"/>
  <c r="S314" i="1"/>
  <c r="Q314" i="1"/>
  <c r="R314" i="1" s="1"/>
  <c r="I314" i="1"/>
  <c r="H314" i="1"/>
  <c r="S313" i="1"/>
  <c r="R313" i="1"/>
  <c r="Q313" i="1"/>
  <c r="Q312" i="1"/>
  <c r="R312" i="1" s="1"/>
  <c r="S312" i="1" s="1"/>
  <c r="Q311" i="1"/>
  <c r="R311" i="1" s="1"/>
  <c r="S311" i="1" s="1"/>
  <c r="R310" i="1"/>
  <c r="S310" i="1" s="1"/>
  <c r="Q310" i="1"/>
  <c r="Q309" i="1"/>
  <c r="R309" i="1" s="1"/>
  <c r="S309" i="1" s="1"/>
  <c r="Q308" i="1"/>
  <c r="R308" i="1" s="1"/>
  <c r="S308" i="1" s="1"/>
  <c r="Q307" i="1"/>
  <c r="R307" i="1" s="1"/>
  <c r="S307" i="1" s="1"/>
  <c r="R306" i="1"/>
  <c r="S306" i="1" s="1"/>
  <c r="Q306" i="1"/>
  <c r="Y305" i="1"/>
  <c r="Y306" i="1" s="1"/>
  <c r="Y307" i="1" s="1"/>
  <c r="Y308" i="1" s="1"/>
  <c r="Y309" i="1" s="1"/>
  <c r="Y310" i="1" s="1"/>
  <c r="Y311" i="1" s="1"/>
  <c r="Y312" i="1" s="1"/>
  <c r="S305" i="1"/>
  <c r="R305" i="1"/>
  <c r="Q305" i="1"/>
  <c r="R304" i="1"/>
  <c r="S304" i="1" s="1"/>
  <c r="Q304" i="1"/>
  <c r="Q303" i="1"/>
  <c r="R303" i="1" s="1"/>
  <c r="S303" i="1" s="1"/>
  <c r="Q302" i="1"/>
  <c r="R302" i="1" s="1"/>
  <c r="S302" i="1" s="1"/>
  <c r="Q301" i="1"/>
  <c r="R301" i="1" s="1"/>
  <c r="S301" i="1" s="1"/>
  <c r="R300" i="1"/>
  <c r="S300" i="1" s="1"/>
  <c r="Q300" i="1"/>
  <c r="R299" i="1"/>
  <c r="S299" i="1" s="1"/>
  <c r="Q299" i="1"/>
  <c r="S298" i="1"/>
  <c r="Q298" i="1"/>
  <c r="R298" i="1" s="1"/>
  <c r="Q297" i="1"/>
  <c r="R297" i="1" s="1"/>
  <c r="S297" i="1" s="1"/>
  <c r="I297" i="1"/>
  <c r="R296" i="1"/>
  <c r="S296" i="1" s="1"/>
  <c r="Q296" i="1"/>
  <c r="Z295" i="1"/>
  <c r="Q295" i="1"/>
  <c r="R295" i="1" s="1"/>
  <c r="S295" i="1" s="1"/>
  <c r="I295" i="1"/>
  <c r="Y294" i="1"/>
  <c r="Y295" i="1" s="1"/>
  <c r="Y296" i="1" s="1"/>
  <c r="Y297" i="1" s="1"/>
  <c r="Y298" i="1" s="1"/>
  <c r="Y299" i="1" s="1"/>
  <c r="Y300" i="1" s="1"/>
  <c r="Y301" i="1" s="1"/>
  <c r="Y302" i="1" s="1"/>
  <c r="Y303" i="1" s="1"/>
  <c r="Y304" i="1" s="1"/>
  <c r="Q294" i="1"/>
  <c r="R294" i="1" s="1"/>
  <c r="S294" i="1" s="1"/>
  <c r="Y293" i="1"/>
  <c r="S293" i="1"/>
  <c r="Q293" i="1"/>
  <c r="R293" i="1" s="1"/>
  <c r="I293" i="1"/>
  <c r="H293" i="1"/>
  <c r="H294" i="1" s="1"/>
  <c r="H295" i="1" s="1"/>
  <c r="H296" i="1" s="1"/>
  <c r="H297" i="1" s="1"/>
  <c r="H298" i="1" s="1"/>
  <c r="H299" i="1" s="1"/>
  <c r="H300" i="1" s="1"/>
  <c r="H301" i="1" s="1"/>
  <c r="H302" i="1" s="1"/>
  <c r="H303" i="1" s="1"/>
  <c r="H304" i="1" s="1"/>
  <c r="H305" i="1" s="1"/>
  <c r="H306" i="1" s="1"/>
  <c r="H307" i="1" s="1"/>
  <c r="H308" i="1" s="1"/>
  <c r="H309" i="1" s="1"/>
  <c r="H310" i="1" s="1"/>
  <c r="H311" i="1" s="1"/>
  <c r="H312" i="1" s="1"/>
  <c r="S292" i="1"/>
  <c r="R292" i="1"/>
  <c r="Q292" i="1"/>
  <c r="R291" i="1"/>
  <c r="S291" i="1" s="1"/>
  <c r="S290" i="1"/>
  <c r="R290" i="1"/>
  <c r="R289" i="1"/>
  <c r="S289" i="1" s="1"/>
  <c r="R288" i="1"/>
  <c r="S288" i="1" s="1"/>
  <c r="R287" i="1"/>
  <c r="S287" i="1" s="1"/>
  <c r="R286" i="1"/>
  <c r="S286" i="1" s="1"/>
  <c r="R285" i="1"/>
  <c r="S285" i="1" s="1"/>
  <c r="Y284" i="1"/>
  <c r="Y285" i="1" s="1"/>
  <c r="Y286" i="1" s="1"/>
  <c r="Y287" i="1" s="1"/>
  <c r="Y288" i="1" s="1"/>
  <c r="Y289" i="1" s="1"/>
  <c r="Y290" i="1" s="1"/>
  <c r="Y291" i="1" s="1"/>
  <c r="R284" i="1"/>
  <c r="S284" i="1" s="1"/>
  <c r="R283" i="1"/>
  <c r="S283" i="1" s="1"/>
  <c r="R282" i="1"/>
  <c r="S282" i="1" s="1"/>
  <c r="R281" i="1"/>
  <c r="S281" i="1" s="1"/>
  <c r="R280" i="1"/>
  <c r="S280" i="1" s="1"/>
  <c r="R279" i="1"/>
  <c r="S279" i="1" s="1"/>
  <c r="R278" i="1"/>
  <c r="S278" i="1" s="1"/>
  <c r="R277" i="1"/>
  <c r="S277" i="1" s="1"/>
  <c r="R276" i="1"/>
  <c r="S276" i="1" s="1"/>
  <c r="S275" i="1"/>
  <c r="R275" i="1"/>
  <c r="S274" i="1"/>
  <c r="R274" i="1"/>
  <c r="S273" i="1"/>
  <c r="R273" i="1"/>
  <c r="R272" i="1"/>
  <c r="S272" i="1" s="1"/>
  <c r="S271" i="1"/>
  <c r="R271" i="1"/>
  <c r="Y270" i="1"/>
  <c r="Y271" i="1" s="1"/>
  <c r="Y272" i="1" s="1"/>
  <c r="Y273" i="1" s="1"/>
  <c r="Y274" i="1" s="1"/>
  <c r="Y275" i="1" s="1"/>
  <c r="Y276" i="1" s="1"/>
  <c r="Y277" i="1" s="1"/>
  <c r="Y278" i="1" s="1"/>
  <c r="Y279" i="1" s="1"/>
  <c r="Y280" i="1" s="1"/>
  <c r="Y281" i="1" s="1"/>
  <c r="Y282" i="1" s="1"/>
  <c r="Y283" i="1" s="1"/>
  <c r="R270" i="1"/>
  <c r="S270" i="1" s="1"/>
  <c r="S269" i="1"/>
  <c r="R269" i="1"/>
  <c r="I269" i="1"/>
  <c r="R268" i="1"/>
  <c r="S268" i="1" s="1"/>
  <c r="Z267" i="1"/>
  <c r="R267" i="1"/>
  <c r="S267" i="1" s="1"/>
  <c r="I267" i="1"/>
  <c r="R266" i="1"/>
  <c r="S266" i="1" s="1"/>
  <c r="Y265" i="1"/>
  <c r="Y266" i="1" s="1"/>
  <c r="Y267" i="1" s="1"/>
  <c r="Y268" i="1" s="1"/>
  <c r="Y269" i="1" s="1"/>
  <c r="S265" i="1"/>
  <c r="R265" i="1"/>
  <c r="I265" i="1"/>
  <c r="H265" i="1"/>
  <c r="H266" i="1" s="1"/>
  <c r="H267" i="1" s="1"/>
  <c r="H268" i="1" s="1"/>
  <c r="H269" i="1" s="1"/>
  <c r="H270" i="1" s="1"/>
  <c r="H271" i="1" s="1"/>
  <c r="H272" i="1" s="1"/>
  <c r="H273" i="1" s="1"/>
  <c r="H274" i="1" s="1"/>
  <c r="H275" i="1" s="1"/>
  <c r="H276" i="1" s="1"/>
  <c r="H277" i="1" s="1"/>
  <c r="H278" i="1" s="1"/>
  <c r="H279" i="1" s="1"/>
  <c r="H280" i="1" s="1"/>
  <c r="H281" i="1" s="1"/>
  <c r="H282" i="1" s="1"/>
  <c r="H283" i="1" s="1"/>
  <c r="H284" i="1" s="1"/>
  <c r="H285" i="1" s="1"/>
  <c r="H286" i="1" s="1"/>
  <c r="H287" i="1" s="1"/>
  <c r="H288" i="1" s="1"/>
  <c r="H289" i="1" s="1"/>
  <c r="H290" i="1" s="1"/>
  <c r="H291" i="1" s="1"/>
  <c r="S264" i="1"/>
  <c r="R264" i="1"/>
  <c r="R263" i="1"/>
  <c r="S263" i="1" s="1"/>
  <c r="S262" i="1"/>
  <c r="R262" i="1"/>
  <c r="S261" i="1"/>
  <c r="R261" i="1"/>
  <c r="S260" i="1"/>
  <c r="R260" i="1"/>
  <c r="R259" i="1"/>
  <c r="S259" i="1" s="1"/>
  <c r="S258" i="1"/>
  <c r="R258" i="1"/>
  <c r="S257" i="1"/>
  <c r="R257" i="1"/>
  <c r="S256" i="1"/>
  <c r="R256" i="1"/>
  <c r="R255" i="1"/>
  <c r="S255" i="1" s="1"/>
  <c r="R254" i="1"/>
  <c r="S254" i="1" s="1"/>
  <c r="R253" i="1"/>
  <c r="S253" i="1" s="1"/>
  <c r="R252" i="1"/>
  <c r="S252" i="1" s="1"/>
  <c r="S251" i="1"/>
  <c r="R251" i="1"/>
  <c r="S250" i="1"/>
  <c r="R250" i="1"/>
  <c r="R249" i="1"/>
  <c r="S249" i="1" s="1"/>
  <c r="S248" i="1"/>
  <c r="R248" i="1"/>
  <c r="I248" i="1"/>
  <c r="Y247" i="1"/>
  <c r="Y248" i="1" s="1"/>
  <c r="Y249" i="1" s="1"/>
  <c r="Y250" i="1" s="1"/>
  <c r="Y251" i="1" s="1"/>
  <c r="Y252" i="1" s="1"/>
  <c r="Y253" i="1" s="1"/>
  <c r="Y254" i="1" s="1"/>
  <c r="Y255" i="1" s="1"/>
  <c r="Y256" i="1" s="1"/>
  <c r="Y257" i="1" s="1"/>
  <c r="Y258" i="1" s="1"/>
  <c r="Y259" i="1" s="1"/>
  <c r="Y260" i="1" s="1"/>
  <c r="Y261" i="1" s="1"/>
  <c r="Y262" i="1" s="1"/>
  <c r="Y263" i="1" s="1"/>
  <c r="S247" i="1"/>
  <c r="R247" i="1"/>
  <c r="Z246" i="1"/>
  <c r="R246" i="1"/>
  <c r="S246" i="1" s="1"/>
  <c r="I246" i="1"/>
  <c r="S245" i="1"/>
  <c r="R245" i="1"/>
  <c r="Y244" i="1"/>
  <c r="Y245" i="1" s="1"/>
  <c r="Y246" i="1" s="1"/>
  <c r="S244" i="1"/>
  <c r="R244" i="1"/>
  <c r="I244" i="1"/>
  <c r="H244" i="1"/>
  <c r="H245" i="1" s="1"/>
  <c r="H246" i="1" s="1"/>
  <c r="H247" i="1" s="1"/>
  <c r="H248" i="1" s="1"/>
  <c r="H249" i="1" s="1"/>
  <c r="H250" i="1" s="1"/>
  <c r="H251" i="1" s="1"/>
  <c r="H252" i="1" s="1"/>
  <c r="H253" i="1" s="1"/>
  <c r="H254" i="1" s="1"/>
  <c r="H255" i="1" s="1"/>
  <c r="H256" i="1" s="1"/>
  <c r="H257" i="1" s="1"/>
  <c r="H258" i="1" s="1"/>
  <c r="H259" i="1" s="1"/>
  <c r="H260" i="1" s="1"/>
  <c r="H261" i="1" s="1"/>
  <c r="H262" i="1" s="1"/>
  <c r="H263" i="1" s="1"/>
  <c r="S243" i="1"/>
  <c r="R243" i="1"/>
  <c r="Q242" i="1"/>
  <c r="R242" i="1" s="1"/>
  <c r="S242" i="1" s="1"/>
  <c r="Q241" i="1"/>
  <c r="R241" i="1" s="1"/>
  <c r="S241" i="1" s="1"/>
  <c r="S240" i="1"/>
  <c r="R240" i="1"/>
  <c r="Q240" i="1"/>
  <c r="Y239" i="1"/>
  <c r="Y240" i="1" s="1"/>
  <c r="Y241" i="1" s="1"/>
  <c r="Y242" i="1" s="1"/>
  <c r="R239" i="1"/>
  <c r="S239" i="1" s="1"/>
  <c r="Q239" i="1"/>
  <c r="Q238" i="1"/>
  <c r="R238" i="1" s="1"/>
  <c r="S238" i="1" s="1"/>
  <c r="S237" i="1"/>
  <c r="Q237" i="1"/>
  <c r="R237" i="1" s="1"/>
  <c r="S236" i="1"/>
  <c r="R236" i="1"/>
  <c r="Q236" i="1"/>
  <c r="S235" i="1"/>
  <c r="R235" i="1"/>
  <c r="Q235" i="1"/>
  <c r="Q234" i="1"/>
  <c r="R234" i="1" s="1"/>
  <c r="S234" i="1" s="1"/>
  <c r="Q233" i="1"/>
  <c r="R233" i="1" s="1"/>
  <c r="S233" i="1" s="1"/>
  <c r="S232" i="1"/>
  <c r="R232" i="1"/>
  <c r="Q232" i="1"/>
  <c r="R231" i="1"/>
  <c r="S231" i="1" s="1"/>
  <c r="Q231" i="1"/>
  <c r="R230" i="1"/>
  <c r="S230" i="1" s="1"/>
  <c r="Q230" i="1"/>
  <c r="Q229" i="1"/>
  <c r="R229" i="1" s="1"/>
  <c r="S229" i="1" s="1"/>
  <c r="R228" i="1"/>
  <c r="S228" i="1" s="1"/>
  <c r="Q228" i="1"/>
  <c r="Y227" i="1"/>
  <c r="Y228" i="1" s="1"/>
  <c r="Y229" i="1" s="1"/>
  <c r="Y230" i="1" s="1"/>
  <c r="Y231" i="1" s="1"/>
  <c r="Y232" i="1" s="1"/>
  <c r="Y233" i="1" s="1"/>
  <c r="Y234" i="1" s="1"/>
  <c r="Y235" i="1" s="1"/>
  <c r="Y236" i="1" s="1"/>
  <c r="Y237" i="1" s="1"/>
  <c r="Y238" i="1" s="1"/>
  <c r="Q227" i="1"/>
  <c r="R227" i="1" s="1"/>
  <c r="S227" i="1" s="1"/>
  <c r="Q226" i="1"/>
  <c r="R226" i="1" s="1"/>
  <c r="S226" i="1" s="1"/>
  <c r="Q225" i="1"/>
  <c r="R225" i="1" s="1"/>
  <c r="S225" i="1" s="1"/>
  <c r="R224" i="1"/>
  <c r="S224" i="1" s="1"/>
  <c r="Q224" i="1"/>
  <c r="S223" i="1"/>
  <c r="R223" i="1"/>
  <c r="Q223" i="1"/>
  <c r="R222" i="1"/>
  <c r="S222" i="1" s="1"/>
  <c r="Q222" i="1"/>
  <c r="S221" i="1"/>
  <c r="R221" i="1"/>
  <c r="Q221" i="1"/>
  <c r="R220" i="1"/>
  <c r="S220" i="1" s="1"/>
  <c r="Q220" i="1"/>
  <c r="R219" i="1"/>
  <c r="S219" i="1" s="1"/>
  <c r="Q219" i="1"/>
  <c r="R218" i="1"/>
  <c r="S218" i="1" s="1"/>
  <c r="Q218" i="1"/>
  <c r="Q217" i="1"/>
  <c r="R217" i="1" s="1"/>
  <c r="S217" i="1" s="1"/>
  <c r="I217" i="1"/>
  <c r="Q216" i="1"/>
  <c r="R216" i="1" s="1"/>
  <c r="S216" i="1" s="1"/>
  <c r="Z215" i="1"/>
  <c r="S215" i="1"/>
  <c r="Q215" i="1"/>
  <c r="R215" i="1" s="1"/>
  <c r="I215" i="1"/>
  <c r="Q214" i="1"/>
  <c r="R214" i="1" s="1"/>
  <c r="S214" i="1" s="1"/>
  <c r="Y213" i="1"/>
  <c r="Y214" i="1" s="1"/>
  <c r="Y215" i="1" s="1"/>
  <c r="Y216" i="1" s="1"/>
  <c r="Y217" i="1" s="1"/>
  <c r="Y218" i="1" s="1"/>
  <c r="Y219" i="1" s="1"/>
  <c r="Y220" i="1" s="1"/>
  <c r="Y221" i="1" s="1"/>
  <c r="Y222" i="1" s="1"/>
  <c r="Y223" i="1" s="1"/>
  <c r="Y224" i="1" s="1"/>
  <c r="Y225" i="1" s="1"/>
  <c r="Y226" i="1" s="1"/>
  <c r="S213" i="1"/>
  <c r="R213" i="1"/>
  <c r="Q213" i="1"/>
  <c r="I213" i="1"/>
  <c r="H213" i="1"/>
  <c r="H214" i="1" s="1"/>
  <c r="H215" i="1" s="1"/>
  <c r="H216" i="1" s="1"/>
  <c r="H217" i="1" s="1"/>
  <c r="H218" i="1" s="1"/>
  <c r="H219" i="1" s="1"/>
  <c r="H220" i="1" s="1"/>
  <c r="H221" i="1" s="1"/>
  <c r="H222" i="1" s="1"/>
  <c r="H223" i="1" s="1"/>
  <c r="H224" i="1" s="1"/>
  <c r="H225" i="1" s="1"/>
  <c r="H226" i="1" s="1"/>
  <c r="H227" i="1" s="1"/>
  <c r="H228" i="1" s="1"/>
  <c r="H229" i="1" s="1"/>
  <c r="H230" i="1" s="1"/>
  <c r="H231" i="1" s="1"/>
  <c r="H232" i="1" s="1"/>
  <c r="H233" i="1" s="1"/>
  <c r="H234" i="1" s="1"/>
  <c r="H235" i="1" s="1"/>
  <c r="H236" i="1" s="1"/>
  <c r="H237" i="1" s="1"/>
  <c r="H238" i="1" s="1"/>
  <c r="H239" i="1" s="1"/>
  <c r="H240" i="1" s="1"/>
  <c r="H241" i="1" s="1"/>
  <c r="H242" i="1" s="1"/>
  <c r="Q212" i="1"/>
  <c r="R212" i="1" s="1"/>
  <c r="S212" i="1" s="1"/>
  <c r="R211" i="1"/>
  <c r="S211" i="1" s="1"/>
  <c r="S210" i="1"/>
  <c r="R210" i="1"/>
  <c r="R209" i="1"/>
  <c r="S209" i="1" s="1"/>
  <c r="S208" i="1"/>
  <c r="R208" i="1"/>
  <c r="R207" i="1"/>
  <c r="S207" i="1" s="1"/>
  <c r="R206" i="1"/>
  <c r="S206" i="1" s="1"/>
  <c r="R205" i="1"/>
  <c r="S205" i="1" s="1"/>
  <c r="S204" i="1"/>
  <c r="R204" i="1"/>
  <c r="R203" i="1"/>
  <c r="S203" i="1" s="1"/>
  <c r="H203" i="1"/>
  <c r="H204" i="1" s="1"/>
  <c r="H205" i="1" s="1"/>
  <c r="H206" i="1" s="1"/>
  <c r="H207" i="1" s="1"/>
  <c r="H208" i="1" s="1"/>
  <c r="H209" i="1" s="1"/>
  <c r="H210" i="1" s="1"/>
  <c r="H211" i="1" s="1"/>
  <c r="S202" i="1"/>
  <c r="R202" i="1"/>
  <c r="H202" i="1"/>
  <c r="R201" i="1"/>
  <c r="S201" i="1" s="1"/>
  <c r="H201" i="1"/>
  <c r="G201" i="1"/>
  <c r="G202" i="1" s="1"/>
  <c r="G203" i="1" s="1"/>
  <c r="G204" i="1" s="1"/>
  <c r="G205" i="1" s="1"/>
  <c r="G206" i="1" s="1"/>
  <c r="G207" i="1" s="1"/>
  <c r="G208" i="1" s="1"/>
  <c r="G209" i="1" s="1"/>
  <c r="G210" i="1" s="1"/>
  <c r="G211" i="1" s="1"/>
  <c r="G212" i="1" s="1"/>
  <c r="G213" i="1" s="1"/>
  <c r="G214" i="1" s="1"/>
  <c r="G215" i="1" s="1"/>
  <c r="G216" i="1" s="1"/>
  <c r="G217" i="1" s="1"/>
  <c r="G218" i="1" s="1"/>
  <c r="G219" i="1" s="1"/>
  <c r="G220" i="1" s="1"/>
  <c r="G221" i="1" s="1"/>
  <c r="G222" i="1" s="1"/>
  <c r="G223" i="1" s="1"/>
  <c r="G224" i="1" s="1"/>
  <c r="G225" i="1" s="1"/>
  <c r="G226" i="1" s="1"/>
  <c r="G227" i="1" s="1"/>
  <c r="G228" i="1" s="1"/>
  <c r="G229" i="1" s="1"/>
  <c r="G230" i="1" s="1"/>
  <c r="G231" i="1" s="1"/>
  <c r="G232" i="1" s="1"/>
  <c r="G233" i="1" s="1"/>
  <c r="G234" i="1" s="1"/>
  <c r="G235" i="1" s="1"/>
  <c r="G236" i="1" s="1"/>
  <c r="G237" i="1" s="1"/>
  <c r="G238" i="1" s="1"/>
  <c r="G239" i="1" s="1"/>
  <c r="G240" i="1" s="1"/>
  <c r="G241" i="1" s="1"/>
  <c r="G242" i="1" s="1"/>
  <c r="G243" i="1" s="1"/>
  <c r="G244" i="1" s="1"/>
  <c r="G245" i="1" s="1"/>
  <c r="G246" i="1" s="1"/>
  <c r="G247" i="1" s="1"/>
  <c r="G248" i="1" s="1"/>
  <c r="G249" i="1" s="1"/>
  <c r="G250" i="1" s="1"/>
  <c r="G251" i="1" s="1"/>
  <c r="G252" i="1" s="1"/>
  <c r="G253" i="1" s="1"/>
  <c r="G254" i="1" s="1"/>
  <c r="G255" i="1" s="1"/>
  <c r="G256" i="1" s="1"/>
  <c r="G257" i="1" s="1"/>
  <c r="G258" i="1" s="1"/>
  <c r="G259" i="1" s="1"/>
  <c r="G260" i="1" s="1"/>
  <c r="G261" i="1" s="1"/>
  <c r="G262" i="1" s="1"/>
  <c r="G263" i="1" s="1"/>
  <c r="G264" i="1" s="1"/>
  <c r="G265" i="1" s="1"/>
  <c r="G266" i="1" s="1"/>
  <c r="G267" i="1" s="1"/>
  <c r="G268" i="1" s="1"/>
  <c r="G269" i="1" s="1"/>
  <c r="G270" i="1" s="1"/>
  <c r="G271" i="1" s="1"/>
  <c r="G272" i="1" s="1"/>
  <c r="G273" i="1" s="1"/>
  <c r="G274" i="1" s="1"/>
  <c r="G275" i="1" s="1"/>
  <c r="G276" i="1" s="1"/>
  <c r="G277" i="1" s="1"/>
  <c r="G278" i="1" s="1"/>
  <c r="G279" i="1" s="1"/>
  <c r="G280" i="1" s="1"/>
  <c r="G281" i="1" s="1"/>
  <c r="G282" i="1" s="1"/>
  <c r="G283" i="1" s="1"/>
  <c r="G284" i="1" s="1"/>
  <c r="G285" i="1" s="1"/>
  <c r="G286" i="1" s="1"/>
  <c r="G287" i="1" s="1"/>
  <c r="G288" i="1" s="1"/>
  <c r="G289" i="1" s="1"/>
  <c r="G290" i="1" s="1"/>
  <c r="G291" i="1" s="1"/>
  <c r="G292" i="1" s="1"/>
  <c r="G293" i="1" s="1"/>
  <c r="G294" i="1" s="1"/>
  <c r="G295" i="1" s="1"/>
  <c r="G296" i="1" s="1"/>
  <c r="G297" i="1" s="1"/>
  <c r="G298" i="1" s="1"/>
  <c r="G299" i="1" s="1"/>
  <c r="G300" i="1" s="1"/>
  <c r="G301" i="1" s="1"/>
  <c r="G302" i="1" s="1"/>
  <c r="G303" i="1" s="1"/>
  <c r="G304" i="1" s="1"/>
  <c r="G305" i="1" s="1"/>
  <c r="G306" i="1" s="1"/>
  <c r="G307" i="1" s="1"/>
  <c r="G308" i="1" s="1"/>
  <c r="G309" i="1" s="1"/>
  <c r="G310" i="1" s="1"/>
  <c r="G311" i="1" s="1"/>
  <c r="G312" i="1" s="1"/>
  <c r="G313" i="1" s="1"/>
  <c r="G314" i="1" s="1"/>
  <c r="G315" i="1" s="1"/>
  <c r="G316" i="1" s="1"/>
  <c r="G317" i="1" s="1"/>
  <c r="G318" i="1" s="1"/>
  <c r="G319" i="1" s="1"/>
  <c r="G320" i="1" s="1"/>
  <c r="G321" i="1" s="1"/>
  <c r="G322" i="1" s="1"/>
  <c r="G323" i="1" s="1"/>
  <c r="G324" i="1" s="1"/>
  <c r="G325" i="1" s="1"/>
  <c r="G326" i="1" s="1"/>
  <c r="G327" i="1" s="1"/>
  <c r="G328" i="1" s="1"/>
  <c r="G329" i="1" s="1"/>
  <c r="G330" i="1" s="1"/>
  <c r="G331" i="1" s="1"/>
  <c r="G332" i="1" s="1"/>
  <c r="G333" i="1" s="1"/>
  <c r="G334" i="1" s="1"/>
  <c r="G335" i="1" s="1"/>
  <c r="G336" i="1" s="1"/>
  <c r="G337" i="1" s="1"/>
  <c r="G338" i="1" s="1"/>
  <c r="G339" i="1" s="1"/>
  <c r="G340" i="1" s="1"/>
  <c r="G341" i="1" s="1"/>
  <c r="G342" i="1" s="1"/>
  <c r="G343" i="1" s="1"/>
  <c r="G344" i="1" s="1"/>
  <c r="G345" i="1" s="1"/>
  <c r="G346" i="1" s="1"/>
  <c r="G347" i="1" s="1"/>
  <c r="G348" i="1" s="1"/>
  <c r="G349" i="1" s="1"/>
  <c r="G350" i="1" s="1"/>
  <c r="G351" i="1" s="1"/>
  <c r="G352" i="1" s="1"/>
  <c r="G353" i="1" s="1"/>
  <c r="G354" i="1" s="1"/>
  <c r="G355" i="1" s="1"/>
  <c r="G356" i="1" s="1"/>
  <c r="S200" i="1"/>
  <c r="R200" i="1"/>
  <c r="S199" i="1"/>
  <c r="R199" i="1"/>
  <c r="R198" i="1"/>
  <c r="S198" i="1" s="1"/>
  <c r="S197" i="1"/>
  <c r="R197" i="1"/>
  <c r="R196" i="1"/>
  <c r="S196" i="1" s="1"/>
  <c r="R195" i="1"/>
  <c r="S195" i="1" s="1"/>
  <c r="G195" i="1"/>
  <c r="G196" i="1" s="1"/>
  <c r="R194" i="1"/>
  <c r="S194" i="1" s="1"/>
  <c r="H194" i="1"/>
  <c r="H195" i="1" s="1"/>
  <c r="H196" i="1" s="1"/>
  <c r="G194" i="1"/>
  <c r="R193" i="1"/>
  <c r="S193" i="1" s="1"/>
  <c r="R192" i="1"/>
  <c r="S192" i="1" s="1"/>
  <c r="R191" i="1"/>
  <c r="S191" i="1" s="1"/>
  <c r="R190" i="1"/>
  <c r="S190" i="1" s="1"/>
  <c r="R189" i="1"/>
  <c r="S189" i="1" s="1"/>
  <c r="R188" i="1"/>
  <c r="S188" i="1" s="1"/>
  <c r="R187" i="1"/>
  <c r="S187" i="1" s="1"/>
  <c r="S186" i="1"/>
  <c r="R186" i="1"/>
  <c r="R185" i="1"/>
  <c r="S185" i="1" s="1"/>
  <c r="S184" i="1"/>
  <c r="R184" i="1"/>
  <c r="S183" i="1"/>
  <c r="R183" i="1"/>
  <c r="S182" i="1"/>
  <c r="R182" i="1"/>
  <c r="R181" i="1"/>
  <c r="S181" i="1" s="1"/>
  <c r="R180" i="1"/>
  <c r="S180" i="1" s="1"/>
  <c r="S179" i="1"/>
  <c r="R179" i="1"/>
  <c r="S178" i="1"/>
  <c r="R178" i="1"/>
  <c r="S177" i="1"/>
  <c r="R177" i="1"/>
  <c r="I177" i="1"/>
  <c r="G177" i="1"/>
  <c r="G178" i="1" s="1"/>
  <c r="G179" i="1" s="1"/>
  <c r="G180" i="1" s="1"/>
  <c r="G181" i="1" s="1"/>
  <c r="G182" i="1" s="1"/>
  <c r="G183" i="1" s="1"/>
  <c r="G184" i="1" s="1"/>
  <c r="G185" i="1" s="1"/>
  <c r="G186" i="1" s="1"/>
  <c r="G187" i="1" s="1"/>
  <c r="G188" i="1" s="1"/>
  <c r="G189" i="1" s="1"/>
  <c r="S176" i="1"/>
  <c r="R176" i="1"/>
  <c r="H176" i="1"/>
  <c r="H177" i="1" s="1"/>
  <c r="H178" i="1" s="1"/>
  <c r="H179" i="1" s="1"/>
  <c r="H180" i="1" s="1"/>
  <c r="H181" i="1" s="1"/>
  <c r="H182" i="1" s="1"/>
  <c r="H183" i="1" s="1"/>
  <c r="H184" i="1" s="1"/>
  <c r="H185" i="1" s="1"/>
  <c r="H186" i="1" s="1"/>
  <c r="H187" i="1" s="1"/>
  <c r="H188" i="1" s="1"/>
  <c r="H189" i="1" s="1"/>
  <c r="G176" i="1"/>
  <c r="Z175" i="1"/>
  <c r="R175" i="1"/>
  <c r="S175" i="1" s="1"/>
  <c r="I175" i="1"/>
  <c r="R174" i="1"/>
  <c r="S174" i="1" s="1"/>
  <c r="Y173" i="1"/>
  <c r="Y174" i="1" s="1"/>
  <c r="Y175" i="1" s="1"/>
  <c r="Y176" i="1" s="1"/>
  <c r="Y177" i="1" s="1"/>
  <c r="Y178" i="1" s="1"/>
  <c r="Y179" i="1" s="1"/>
  <c r="Y180" i="1" s="1"/>
  <c r="Y181" i="1" s="1"/>
  <c r="Y182" i="1" s="1"/>
  <c r="Y183" i="1" s="1"/>
  <c r="Y184" i="1" s="1"/>
  <c r="Y185" i="1" s="1"/>
  <c r="Y186" i="1" s="1"/>
  <c r="Y187" i="1" s="1"/>
  <c r="Y188" i="1" s="1"/>
  <c r="Y189" i="1" s="1"/>
  <c r="Y190" i="1" s="1"/>
  <c r="Y191" i="1" s="1"/>
  <c r="Y192" i="1" s="1"/>
  <c r="Y193" i="1" s="1"/>
  <c r="Y194" i="1" s="1"/>
  <c r="Y195" i="1" s="1"/>
  <c r="Y196" i="1" s="1"/>
  <c r="Y197" i="1" s="1"/>
  <c r="Y198" i="1" s="1"/>
  <c r="Y199" i="1" s="1"/>
  <c r="Y200" i="1" s="1"/>
  <c r="Y201" i="1" s="1"/>
  <c r="Y202" i="1" s="1"/>
  <c r="Y203" i="1" s="1"/>
  <c r="Y204" i="1" s="1"/>
  <c r="Y205" i="1" s="1"/>
  <c r="Y206" i="1" s="1"/>
  <c r="Y207" i="1" s="1"/>
  <c r="Y208" i="1" s="1"/>
  <c r="Y209" i="1" s="1"/>
  <c r="Y210" i="1" s="1"/>
  <c r="Y211" i="1" s="1"/>
  <c r="W211" i="1" s="1"/>
  <c r="R173" i="1"/>
  <c r="S173" i="1" s="1"/>
  <c r="I173" i="1"/>
  <c r="H173" i="1"/>
  <c r="H174" i="1" s="1"/>
  <c r="Y172" i="1"/>
  <c r="S172" i="1"/>
  <c r="R172" i="1"/>
  <c r="H172" i="1"/>
  <c r="Q171" i="1"/>
  <c r="R171" i="1" s="1"/>
  <c r="S171" i="1" s="1"/>
  <c r="R170" i="1"/>
  <c r="S170" i="1" s="1"/>
  <c r="Q170" i="1"/>
  <c r="S169" i="1"/>
  <c r="Q169" i="1"/>
  <c r="R169" i="1" s="1"/>
  <c r="Q168" i="1"/>
  <c r="R168" i="1" s="1"/>
  <c r="S168" i="1" s="1"/>
  <c r="S167" i="1"/>
  <c r="R167" i="1"/>
  <c r="Q167" i="1"/>
  <c r="S166" i="1"/>
  <c r="R166" i="1"/>
  <c r="Q166" i="1"/>
  <c r="S165" i="1"/>
  <c r="Q165" i="1"/>
  <c r="R165" i="1" s="1"/>
  <c r="Q164" i="1"/>
  <c r="R164" i="1" s="1"/>
  <c r="S164" i="1" s="1"/>
  <c r="S163" i="1"/>
  <c r="R163" i="1"/>
  <c r="Q163" i="1"/>
  <c r="R162" i="1"/>
  <c r="S162" i="1" s="1"/>
  <c r="Q162" i="1"/>
  <c r="S161" i="1"/>
  <c r="Q161" i="1"/>
  <c r="R161" i="1" s="1"/>
  <c r="R160" i="1"/>
  <c r="S160" i="1" s="1"/>
  <c r="Q160" i="1"/>
  <c r="Q159" i="1"/>
  <c r="R159" i="1" s="1"/>
  <c r="S159" i="1" s="1"/>
  <c r="S158" i="1"/>
  <c r="R158" i="1"/>
  <c r="Q158" i="1"/>
  <c r="S157" i="1"/>
  <c r="Q157" i="1"/>
  <c r="R157" i="1" s="1"/>
  <c r="Q156" i="1"/>
  <c r="R156" i="1" s="1"/>
  <c r="S156" i="1" s="1"/>
  <c r="S155" i="1"/>
  <c r="R155" i="1"/>
  <c r="Q155" i="1"/>
  <c r="R154" i="1"/>
  <c r="S154" i="1" s="1"/>
  <c r="Q154" i="1"/>
  <c r="Q153" i="1"/>
  <c r="R153" i="1" s="1"/>
  <c r="S153" i="1" s="1"/>
  <c r="R152" i="1"/>
  <c r="S152" i="1" s="1"/>
  <c r="Q152" i="1"/>
  <c r="Q151" i="1"/>
  <c r="R151" i="1" s="1"/>
  <c r="S151" i="1" s="1"/>
  <c r="S150" i="1"/>
  <c r="R150" i="1"/>
  <c r="Q150" i="1"/>
  <c r="S149" i="1"/>
  <c r="Q149" i="1"/>
  <c r="R149" i="1" s="1"/>
  <c r="Q148" i="1"/>
  <c r="R148" i="1" s="1"/>
  <c r="S148" i="1" s="1"/>
  <c r="R147" i="1"/>
  <c r="S147" i="1" s="1"/>
  <c r="Q147" i="1"/>
  <c r="S146" i="1"/>
  <c r="R146" i="1"/>
  <c r="Q146" i="1"/>
  <c r="Q145" i="1"/>
  <c r="R145" i="1" s="1"/>
  <c r="S145" i="1" s="1"/>
  <c r="R144" i="1"/>
  <c r="S144" i="1" s="1"/>
  <c r="Q144" i="1"/>
  <c r="S143" i="1"/>
  <c r="Q143" i="1"/>
  <c r="R143" i="1" s="1"/>
  <c r="Q142" i="1"/>
  <c r="R142" i="1" s="1"/>
  <c r="S142" i="1" s="1"/>
  <c r="R141" i="1"/>
  <c r="S141" i="1" s="1"/>
  <c r="Q141" i="1"/>
  <c r="Q140" i="1"/>
  <c r="R140" i="1" s="1"/>
  <c r="S140" i="1" s="1"/>
  <c r="R139" i="1"/>
  <c r="S139" i="1" s="1"/>
  <c r="Q139" i="1"/>
  <c r="S138" i="1"/>
  <c r="R138" i="1"/>
  <c r="Q138" i="1"/>
  <c r="S137" i="1"/>
  <c r="Q137" i="1"/>
  <c r="R137" i="1" s="1"/>
  <c r="R136" i="1"/>
  <c r="S136" i="1" s="1"/>
  <c r="Q136" i="1"/>
  <c r="R135" i="1"/>
  <c r="S135" i="1" s="1"/>
  <c r="Q135" i="1"/>
  <c r="Q134" i="1"/>
  <c r="R134" i="1" s="1"/>
  <c r="S134" i="1" s="1"/>
  <c r="S133" i="1"/>
  <c r="R133" i="1"/>
  <c r="Q133" i="1"/>
  <c r="S132" i="1"/>
  <c r="Q132" i="1"/>
  <c r="R132" i="1" s="1"/>
  <c r="Q131" i="1"/>
  <c r="R131" i="1" s="1"/>
  <c r="S131" i="1" s="1"/>
  <c r="S130" i="1"/>
  <c r="R130" i="1"/>
  <c r="Q130" i="1"/>
  <c r="S129" i="1"/>
  <c r="Q129" i="1"/>
  <c r="R129" i="1" s="1"/>
  <c r="R128" i="1"/>
  <c r="S128" i="1" s="1"/>
  <c r="Q128" i="1"/>
  <c r="Q127" i="1"/>
  <c r="R127" i="1" s="1"/>
  <c r="S127" i="1" s="1"/>
  <c r="Q126" i="1"/>
  <c r="R126" i="1" s="1"/>
  <c r="S126" i="1" s="1"/>
  <c r="S125" i="1"/>
  <c r="R125" i="1"/>
  <c r="Q125" i="1"/>
  <c r="S124" i="1"/>
  <c r="Q124" i="1"/>
  <c r="R124" i="1" s="1"/>
  <c r="Q123" i="1"/>
  <c r="R123" i="1" s="1"/>
  <c r="S123" i="1" s="1"/>
  <c r="R122" i="1"/>
  <c r="S122" i="1" s="1"/>
  <c r="Q122" i="1"/>
  <c r="S121" i="1"/>
  <c r="Q121" i="1"/>
  <c r="R121" i="1" s="1"/>
  <c r="Q120" i="1"/>
  <c r="R120" i="1" s="1"/>
  <c r="S120" i="1" s="1"/>
  <c r="Q119" i="1"/>
  <c r="R119" i="1" s="1"/>
  <c r="S119" i="1" s="1"/>
  <c r="Q118" i="1"/>
  <c r="R118" i="1" s="1"/>
  <c r="S118" i="1" s="1"/>
  <c r="S117" i="1"/>
  <c r="R117" i="1"/>
  <c r="Q117" i="1"/>
  <c r="S116" i="1"/>
  <c r="Q116" i="1"/>
  <c r="R116" i="1" s="1"/>
  <c r="Q115" i="1"/>
  <c r="R115" i="1" s="1"/>
  <c r="S115" i="1" s="1"/>
  <c r="R114" i="1"/>
  <c r="S114" i="1" s="1"/>
  <c r="Q114" i="1"/>
  <c r="Q113" i="1"/>
  <c r="R113" i="1" s="1"/>
  <c r="S113" i="1" s="1"/>
  <c r="Q112" i="1"/>
  <c r="R112" i="1" s="1"/>
  <c r="S112" i="1" s="1"/>
  <c r="Q111" i="1"/>
  <c r="R111" i="1" s="1"/>
  <c r="S111" i="1" s="1"/>
  <c r="Q110" i="1"/>
  <c r="R110" i="1" s="1"/>
  <c r="S110" i="1" s="1"/>
  <c r="Q109" i="1"/>
  <c r="R109" i="1" s="1"/>
  <c r="S109" i="1" s="1"/>
  <c r="R108" i="1"/>
  <c r="S108" i="1" s="1"/>
  <c r="Q108" i="1"/>
  <c r="R107" i="1"/>
  <c r="S107" i="1" s="1"/>
  <c r="Q107" i="1"/>
  <c r="Q106" i="1"/>
  <c r="R106" i="1" s="1"/>
  <c r="S106" i="1" s="1"/>
  <c r="R105" i="1"/>
  <c r="S105" i="1" s="1"/>
  <c r="Q105" i="1"/>
  <c r="Q104" i="1"/>
  <c r="R104" i="1" s="1"/>
  <c r="S104" i="1" s="1"/>
  <c r="R103" i="1"/>
  <c r="S103" i="1" s="1"/>
  <c r="Q103" i="1"/>
  <c r="Q102" i="1"/>
  <c r="R102" i="1" s="1"/>
  <c r="S102" i="1" s="1"/>
  <c r="Q101" i="1"/>
  <c r="R101" i="1" s="1"/>
  <c r="S101" i="1" s="1"/>
  <c r="Q100" i="1"/>
  <c r="R100" i="1" s="1"/>
  <c r="S100" i="1" s="1"/>
  <c r="Q99" i="1"/>
  <c r="R99" i="1" s="1"/>
  <c r="S99" i="1" s="1"/>
  <c r="R98" i="1"/>
  <c r="S98" i="1" s="1"/>
  <c r="Q98" i="1"/>
  <c r="S97" i="1"/>
  <c r="R97" i="1"/>
  <c r="Q97" i="1"/>
  <c r="S96" i="1"/>
  <c r="Q96" i="1"/>
  <c r="R96" i="1" s="1"/>
  <c r="R95" i="1"/>
  <c r="S95" i="1" s="1"/>
  <c r="Q95" i="1"/>
  <c r="Q94" i="1"/>
  <c r="R94" i="1" s="1"/>
  <c r="S94" i="1" s="1"/>
  <c r="Q93" i="1"/>
  <c r="R93" i="1" s="1"/>
  <c r="S93" i="1" s="1"/>
  <c r="Q92" i="1"/>
  <c r="R92" i="1" s="1"/>
  <c r="S92" i="1" s="1"/>
  <c r="R91" i="1"/>
  <c r="S91" i="1" s="1"/>
  <c r="Q91" i="1"/>
  <c r="O91" i="1"/>
  <c r="O92" i="1" s="1"/>
  <c r="O93" i="1" s="1"/>
  <c r="O94" i="1" s="1"/>
  <c r="O95" i="1" s="1"/>
  <c r="O96" i="1" s="1"/>
  <c r="O97" i="1" s="1"/>
  <c r="O98" i="1" s="1"/>
  <c r="O99" i="1" s="1"/>
  <c r="O100" i="1" s="1"/>
  <c r="O101" i="1" s="1"/>
  <c r="O102" i="1" s="1"/>
  <c r="O103" i="1" s="1"/>
  <c r="O104" i="1" s="1"/>
  <c r="O105" i="1" s="1"/>
  <c r="O106" i="1" s="1"/>
  <c r="O107" i="1" s="1"/>
  <c r="O108" i="1" s="1"/>
  <c r="O109" i="1" s="1"/>
  <c r="O110" i="1" s="1"/>
  <c r="O111" i="1" s="1"/>
  <c r="O112" i="1" s="1"/>
  <c r="O113" i="1" s="1"/>
  <c r="O114" i="1" s="1"/>
  <c r="O115" i="1" s="1"/>
  <c r="O116" i="1" s="1"/>
  <c r="O117" i="1" s="1"/>
  <c r="O118" i="1" s="1"/>
  <c r="O119" i="1" s="1"/>
  <c r="O120" i="1" s="1"/>
  <c r="O121" i="1" s="1"/>
  <c r="O122" i="1" s="1"/>
  <c r="O123" i="1" s="1"/>
  <c r="O124" i="1" s="1"/>
  <c r="O125" i="1" s="1"/>
  <c r="O126" i="1" s="1"/>
  <c r="O127" i="1" s="1"/>
  <c r="O128" i="1" s="1"/>
  <c r="O129" i="1" s="1"/>
  <c r="O130" i="1" s="1"/>
  <c r="O131" i="1" s="1"/>
  <c r="O132" i="1" s="1"/>
  <c r="O133" i="1" s="1"/>
  <c r="O134" i="1" s="1"/>
  <c r="O135" i="1" s="1"/>
  <c r="O136" i="1" s="1"/>
  <c r="O137" i="1" s="1"/>
  <c r="O138" i="1" s="1"/>
  <c r="O139" i="1" s="1"/>
  <c r="O140" i="1" s="1"/>
  <c r="O141" i="1" s="1"/>
  <c r="O142" i="1" s="1"/>
  <c r="O143" i="1" s="1"/>
  <c r="O144" i="1" s="1"/>
  <c r="O145" i="1" s="1"/>
  <c r="O146" i="1" s="1"/>
  <c r="O147" i="1" s="1"/>
  <c r="O148" i="1" s="1"/>
  <c r="O149" i="1" s="1"/>
  <c r="O150" i="1" s="1"/>
  <c r="O151" i="1" s="1"/>
  <c r="O152" i="1" s="1"/>
  <c r="O153" i="1" s="1"/>
  <c r="O154" i="1" s="1"/>
  <c r="O155" i="1" s="1"/>
  <c r="O156" i="1" s="1"/>
  <c r="O157" i="1" s="1"/>
  <c r="O158" i="1" s="1"/>
  <c r="O159" i="1" s="1"/>
  <c r="O160" i="1" s="1"/>
  <c r="O161" i="1" s="1"/>
  <c r="O162" i="1" s="1"/>
  <c r="O163" i="1" s="1"/>
  <c r="O164" i="1" s="1"/>
  <c r="O165" i="1" s="1"/>
  <c r="O166" i="1" s="1"/>
  <c r="O167" i="1" s="1"/>
  <c r="O168" i="1" s="1"/>
  <c r="O169" i="1" s="1"/>
  <c r="O170" i="1" s="1"/>
  <c r="O171" i="1" s="1"/>
  <c r="O172" i="1" s="1"/>
  <c r="O173" i="1" s="1"/>
  <c r="O174" i="1" s="1"/>
  <c r="O175" i="1" s="1"/>
  <c r="O176" i="1" s="1"/>
  <c r="O177" i="1" s="1"/>
  <c r="O178" i="1" s="1"/>
  <c r="O179" i="1" s="1"/>
  <c r="O180" i="1" s="1"/>
  <c r="O181" i="1" s="1"/>
  <c r="O182" i="1" s="1"/>
  <c r="O183" i="1" s="1"/>
  <c r="O184" i="1" s="1"/>
  <c r="O185" i="1" s="1"/>
  <c r="O186" i="1" s="1"/>
  <c r="O187" i="1" s="1"/>
  <c r="O188" i="1" s="1"/>
  <c r="O189" i="1" s="1"/>
  <c r="O190" i="1" s="1"/>
  <c r="O191" i="1" s="1"/>
  <c r="O192" i="1" s="1"/>
  <c r="O193" i="1" s="1"/>
  <c r="O194" i="1" s="1"/>
  <c r="O195" i="1" s="1"/>
  <c r="O196" i="1" s="1"/>
  <c r="O197" i="1" s="1"/>
  <c r="O198" i="1" s="1"/>
  <c r="O199" i="1" s="1"/>
  <c r="O200" i="1" s="1"/>
  <c r="O201" i="1" s="1"/>
  <c r="O202" i="1" s="1"/>
  <c r="O203" i="1" s="1"/>
  <c r="O204" i="1" s="1"/>
  <c r="O205" i="1" s="1"/>
  <c r="O206" i="1" s="1"/>
  <c r="O207" i="1" s="1"/>
  <c r="O208" i="1" s="1"/>
  <c r="O209" i="1" s="1"/>
  <c r="O210" i="1" s="1"/>
  <c r="O211" i="1" s="1"/>
  <c r="O212" i="1" s="1"/>
  <c r="O213" i="1" s="1"/>
  <c r="O214" i="1" s="1"/>
  <c r="O215" i="1" s="1"/>
  <c r="O216" i="1" s="1"/>
  <c r="O217" i="1" s="1"/>
  <c r="O218" i="1" s="1"/>
  <c r="O219" i="1" s="1"/>
  <c r="O220" i="1" s="1"/>
  <c r="O221" i="1" s="1"/>
  <c r="O222" i="1" s="1"/>
  <c r="O223" i="1" s="1"/>
  <c r="O224" i="1" s="1"/>
  <c r="O225" i="1" s="1"/>
  <c r="O226" i="1" s="1"/>
  <c r="O227" i="1" s="1"/>
  <c r="O228" i="1" s="1"/>
  <c r="O229" i="1" s="1"/>
  <c r="O230" i="1" s="1"/>
  <c r="O231" i="1" s="1"/>
  <c r="O232" i="1" s="1"/>
  <c r="O233" i="1" s="1"/>
  <c r="O234" i="1" s="1"/>
  <c r="O235" i="1" s="1"/>
  <c r="O236" i="1" s="1"/>
  <c r="O237" i="1" s="1"/>
  <c r="O238" i="1" s="1"/>
  <c r="O239" i="1" s="1"/>
  <c r="O240" i="1" s="1"/>
  <c r="O241" i="1" s="1"/>
  <c r="O242" i="1" s="1"/>
  <c r="O243" i="1" s="1"/>
  <c r="O244" i="1" s="1"/>
  <c r="O245" i="1" s="1"/>
  <c r="O246" i="1" s="1"/>
  <c r="O247" i="1" s="1"/>
  <c r="O248" i="1" s="1"/>
  <c r="O249" i="1" s="1"/>
  <c r="O250" i="1" s="1"/>
  <c r="O251" i="1" s="1"/>
  <c r="O252" i="1" s="1"/>
  <c r="O253" i="1" s="1"/>
  <c r="O254" i="1" s="1"/>
  <c r="O255" i="1" s="1"/>
  <c r="O256" i="1" s="1"/>
  <c r="O257" i="1" s="1"/>
  <c r="O258" i="1" s="1"/>
  <c r="O259" i="1" s="1"/>
  <c r="O260" i="1" s="1"/>
  <c r="O261" i="1" s="1"/>
  <c r="O262" i="1" s="1"/>
  <c r="O263" i="1" s="1"/>
  <c r="O264" i="1" s="1"/>
  <c r="O265" i="1" s="1"/>
  <c r="O266" i="1" s="1"/>
  <c r="O267" i="1" s="1"/>
  <c r="O268" i="1" s="1"/>
  <c r="O269" i="1" s="1"/>
  <c r="O270" i="1" s="1"/>
  <c r="O271" i="1" s="1"/>
  <c r="O272" i="1" s="1"/>
  <c r="O273" i="1" s="1"/>
  <c r="O274" i="1" s="1"/>
  <c r="O275" i="1" s="1"/>
  <c r="O276" i="1" s="1"/>
  <c r="O277" i="1" s="1"/>
  <c r="O278" i="1" s="1"/>
  <c r="O279" i="1" s="1"/>
  <c r="O280" i="1" s="1"/>
  <c r="O281" i="1" s="1"/>
  <c r="O282" i="1" s="1"/>
  <c r="O283" i="1" s="1"/>
  <c r="O284" i="1" s="1"/>
  <c r="O285" i="1" s="1"/>
  <c r="O286" i="1" s="1"/>
  <c r="O287" i="1" s="1"/>
  <c r="O288" i="1" s="1"/>
  <c r="O289" i="1" s="1"/>
  <c r="O290" i="1" s="1"/>
  <c r="O291" i="1" s="1"/>
  <c r="O292" i="1" s="1"/>
  <c r="O293" i="1" s="1"/>
  <c r="O294" i="1" s="1"/>
  <c r="O295" i="1" s="1"/>
  <c r="O296" i="1" s="1"/>
  <c r="O297" i="1" s="1"/>
  <c r="O298" i="1" s="1"/>
  <c r="O299" i="1" s="1"/>
  <c r="O300" i="1" s="1"/>
  <c r="O301" i="1" s="1"/>
  <c r="O302" i="1" s="1"/>
  <c r="O303" i="1" s="1"/>
  <c r="O304" i="1" s="1"/>
  <c r="O305" i="1" s="1"/>
  <c r="O306" i="1" s="1"/>
  <c r="O307" i="1" s="1"/>
  <c r="O308" i="1" s="1"/>
  <c r="O309" i="1" s="1"/>
  <c r="O310" i="1" s="1"/>
  <c r="O311" i="1" s="1"/>
  <c r="O312" i="1" s="1"/>
  <c r="O313" i="1" s="1"/>
  <c r="O314" i="1" s="1"/>
  <c r="O315" i="1" s="1"/>
  <c r="O316" i="1" s="1"/>
  <c r="O317" i="1" s="1"/>
  <c r="O318" i="1" s="1"/>
  <c r="O319" i="1" s="1"/>
  <c r="O320" i="1" s="1"/>
  <c r="O321" i="1" s="1"/>
  <c r="O322" i="1" s="1"/>
  <c r="O323" i="1" s="1"/>
  <c r="O324" i="1" s="1"/>
  <c r="O325" i="1" s="1"/>
  <c r="O326" i="1" s="1"/>
  <c r="O327" i="1" s="1"/>
  <c r="O328" i="1" s="1"/>
  <c r="O329" i="1" s="1"/>
  <c r="O330" i="1" s="1"/>
  <c r="O331" i="1" s="1"/>
  <c r="O332" i="1" s="1"/>
  <c r="O333" i="1" s="1"/>
  <c r="O334" i="1" s="1"/>
  <c r="O335" i="1" s="1"/>
  <c r="O336" i="1" s="1"/>
  <c r="O337" i="1" s="1"/>
  <c r="O338" i="1" s="1"/>
  <c r="O339" i="1" s="1"/>
  <c r="O340" i="1" s="1"/>
  <c r="O341" i="1" s="1"/>
  <c r="O342" i="1" s="1"/>
  <c r="O343" i="1" s="1"/>
  <c r="O344" i="1" s="1"/>
  <c r="O345" i="1" s="1"/>
  <c r="O346" i="1" s="1"/>
  <c r="O347" i="1" s="1"/>
  <c r="O348" i="1" s="1"/>
  <c r="O349" i="1" s="1"/>
  <c r="O350" i="1" s="1"/>
  <c r="O351" i="1" s="1"/>
  <c r="O352" i="1" s="1"/>
  <c r="O353" i="1" s="1"/>
  <c r="O354" i="1" s="1"/>
  <c r="O355" i="1" s="1"/>
  <c r="O356" i="1" s="1"/>
  <c r="Q90" i="1"/>
  <c r="R90" i="1" s="1"/>
  <c r="S90" i="1" s="1"/>
  <c r="O90" i="1"/>
  <c r="R89" i="1"/>
  <c r="S89" i="1" s="1"/>
  <c r="Q89" i="1"/>
  <c r="R88" i="1"/>
  <c r="S88" i="1" s="1"/>
  <c r="Q88" i="1"/>
  <c r="S87" i="1"/>
  <c r="R87" i="1"/>
  <c r="Q87" i="1"/>
  <c r="S86" i="1"/>
  <c r="R86" i="1"/>
  <c r="Q86" i="1"/>
  <c r="Q85" i="1"/>
  <c r="R85" i="1" s="1"/>
  <c r="S85" i="1" s="1"/>
  <c r="R84" i="1"/>
  <c r="S84" i="1" s="1"/>
  <c r="Q84" i="1"/>
  <c r="O84" i="1"/>
  <c r="O85" i="1" s="1"/>
  <c r="O86" i="1" s="1"/>
  <c r="Q83" i="1"/>
  <c r="R83" i="1" s="1"/>
  <c r="S83" i="1" s="1"/>
  <c r="Q82" i="1"/>
  <c r="R82" i="1" s="1"/>
  <c r="S82" i="1" s="1"/>
  <c r="Q81" i="1"/>
  <c r="R81" i="1" s="1"/>
  <c r="S81" i="1" s="1"/>
  <c r="Q80" i="1"/>
  <c r="R80" i="1" s="1"/>
  <c r="S80" i="1" s="1"/>
  <c r="Q79" i="1"/>
  <c r="R79" i="1" s="1"/>
  <c r="S79" i="1" s="1"/>
  <c r="Q78" i="1"/>
  <c r="R78" i="1" s="1"/>
  <c r="S78" i="1" s="1"/>
  <c r="Q77" i="1"/>
  <c r="R77" i="1" s="1"/>
  <c r="S77" i="1" s="1"/>
  <c r="Q76" i="1"/>
  <c r="R76" i="1" s="1"/>
  <c r="S76" i="1" s="1"/>
  <c r="Q75" i="1"/>
  <c r="R75" i="1" s="1"/>
  <c r="S75" i="1" s="1"/>
  <c r="Q74" i="1"/>
  <c r="R74" i="1" s="1"/>
  <c r="S74" i="1" s="1"/>
  <c r="Q73" i="1"/>
  <c r="R73" i="1" s="1"/>
  <c r="S73" i="1" s="1"/>
  <c r="O73" i="1"/>
  <c r="Q72" i="1"/>
  <c r="R72" i="1" s="1"/>
  <c r="S72" i="1" s="1"/>
  <c r="Q71" i="1"/>
  <c r="R71" i="1" s="1"/>
  <c r="S71" i="1" s="1"/>
  <c r="Q70" i="1"/>
  <c r="R70" i="1" s="1"/>
  <c r="S70" i="1" s="1"/>
  <c r="Q69" i="1"/>
  <c r="R69" i="1" s="1"/>
  <c r="S69" i="1" s="1"/>
  <c r="Q68" i="1"/>
  <c r="R68" i="1" s="1"/>
  <c r="S68" i="1" s="1"/>
  <c r="Q67" i="1"/>
  <c r="R67" i="1" s="1"/>
  <c r="S67" i="1" s="1"/>
  <c r="Q66" i="1"/>
  <c r="R66" i="1" s="1"/>
  <c r="S66" i="1" s="1"/>
  <c r="Q65" i="1"/>
  <c r="R65" i="1" s="1"/>
  <c r="S65" i="1" s="1"/>
  <c r="Q64" i="1"/>
  <c r="R64" i="1" s="1"/>
  <c r="S64" i="1" s="1"/>
  <c r="R63" i="1"/>
  <c r="S63" i="1" s="1"/>
  <c r="Q63" i="1"/>
  <c r="Q62" i="1"/>
  <c r="R62" i="1" s="1"/>
  <c r="S62" i="1" s="1"/>
  <c r="S61" i="1"/>
  <c r="R61" i="1"/>
  <c r="Q61" i="1"/>
  <c r="Q60" i="1"/>
  <c r="R60" i="1" s="1"/>
  <c r="S60" i="1" s="1"/>
  <c r="S59" i="1"/>
  <c r="R59" i="1"/>
  <c r="S58" i="1"/>
  <c r="R58" i="1"/>
  <c r="S57" i="1"/>
  <c r="R57" i="1"/>
  <c r="S56" i="1"/>
  <c r="R56" i="1"/>
  <c r="S55" i="1"/>
  <c r="R55" i="1"/>
  <c r="I55" i="1"/>
  <c r="R54" i="1"/>
  <c r="S54" i="1" s="1"/>
  <c r="Z53" i="1"/>
  <c r="S53" i="1"/>
  <c r="R53" i="1"/>
  <c r="I53" i="1"/>
  <c r="R52" i="1"/>
  <c r="S52" i="1" s="1"/>
  <c r="G52" i="1"/>
  <c r="G53" i="1" s="1"/>
  <c r="G54" i="1" s="1"/>
  <c r="G55" i="1" s="1"/>
  <c r="G56" i="1" s="1"/>
  <c r="G57" i="1" s="1"/>
  <c r="G58" i="1" s="1"/>
  <c r="G59" i="1" s="1"/>
  <c r="G60" i="1" s="1"/>
  <c r="G61" i="1" s="1"/>
  <c r="G62" i="1" s="1"/>
  <c r="G63" i="1" s="1"/>
  <c r="G64" i="1" s="1"/>
  <c r="G65" i="1" s="1"/>
  <c r="G66" i="1" s="1"/>
  <c r="G67" i="1" s="1"/>
  <c r="G68" i="1" s="1"/>
  <c r="G69" i="1" s="1"/>
  <c r="G70" i="1" s="1"/>
  <c r="G71" i="1" s="1"/>
  <c r="G72" i="1" s="1"/>
  <c r="G73" i="1" s="1"/>
  <c r="G74" i="1" s="1"/>
  <c r="G75" i="1" s="1"/>
  <c r="G76" i="1" s="1"/>
  <c r="G77" i="1" s="1"/>
  <c r="G78" i="1" s="1"/>
  <c r="G79" i="1" s="1"/>
  <c r="G80" i="1" s="1"/>
  <c r="G81" i="1" s="1"/>
  <c r="G82" i="1" s="1"/>
  <c r="G83" i="1" s="1"/>
  <c r="G84" i="1" s="1"/>
  <c r="G85" i="1" s="1"/>
  <c r="G86" i="1" s="1"/>
  <c r="G87" i="1" s="1"/>
  <c r="G88" i="1" s="1"/>
  <c r="G89" i="1" s="1"/>
  <c r="G90" i="1" s="1"/>
  <c r="G91" i="1" s="1"/>
  <c r="G92" i="1" s="1"/>
  <c r="G93" i="1" s="1"/>
  <c r="G94" i="1" s="1"/>
  <c r="G95" i="1" s="1"/>
  <c r="G96" i="1" s="1"/>
  <c r="G97" i="1" s="1"/>
  <c r="G98" i="1" s="1"/>
  <c r="G99" i="1" s="1"/>
  <c r="G100" i="1" s="1"/>
  <c r="G101" i="1" s="1"/>
  <c r="G102" i="1" s="1"/>
  <c r="G103" i="1" s="1"/>
  <c r="G104" i="1" s="1"/>
  <c r="G105" i="1" s="1"/>
  <c r="G106" i="1" s="1"/>
  <c r="G107" i="1" s="1"/>
  <c r="G108" i="1" s="1"/>
  <c r="G109" i="1" s="1"/>
  <c r="G110" i="1" s="1"/>
  <c r="G111" i="1" s="1"/>
  <c r="G112" i="1" s="1"/>
  <c r="G113" i="1" s="1"/>
  <c r="G114" i="1" s="1"/>
  <c r="G115" i="1" s="1"/>
  <c r="G116" i="1" s="1"/>
  <c r="G117" i="1" s="1"/>
  <c r="G118" i="1" s="1"/>
  <c r="G119" i="1" s="1"/>
  <c r="G120" i="1" s="1"/>
  <c r="G121" i="1" s="1"/>
  <c r="G122" i="1" s="1"/>
  <c r="G123" i="1" s="1"/>
  <c r="G124" i="1" s="1"/>
  <c r="G125" i="1" s="1"/>
  <c r="G126" i="1" s="1"/>
  <c r="G127" i="1" s="1"/>
  <c r="G128" i="1" s="1"/>
  <c r="G129" i="1" s="1"/>
  <c r="G130" i="1" s="1"/>
  <c r="G131" i="1" s="1"/>
  <c r="G132" i="1" s="1"/>
  <c r="G133" i="1" s="1"/>
  <c r="G134" i="1" s="1"/>
  <c r="G135" i="1" s="1"/>
  <c r="G136" i="1" s="1"/>
  <c r="G137" i="1" s="1"/>
  <c r="G138" i="1" s="1"/>
  <c r="G139" i="1" s="1"/>
  <c r="G140" i="1" s="1"/>
  <c r="G141" i="1" s="1"/>
  <c r="G142" i="1" s="1"/>
  <c r="G143" i="1" s="1"/>
  <c r="G144" i="1" s="1"/>
  <c r="G145" i="1" s="1"/>
  <c r="G146" i="1" s="1"/>
  <c r="G147" i="1" s="1"/>
  <c r="G148" i="1" s="1"/>
  <c r="G149" i="1" s="1"/>
  <c r="G150" i="1" s="1"/>
  <c r="G151" i="1" s="1"/>
  <c r="G152" i="1" s="1"/>
  <c r="G153" i="1" s="1"/>
  <c r="G154" i="1" s="1"/>
  <c r="G155" i="1" s="1"/>
  <c r="G156" i="1" s="1"/>
  <c r="G157" i="1" s="1"/>
  <c r="G158" i="1" s="1"/>
  <c r="G159" i="1" s="1"/>
  <c r="G160" i="1" s="1"/>
  <c r="G161" i="1" s="1"/>
  <c r="G162" i="1" s="1"/>
  <c r="G163" i="1" s="1"/>
  <c r="G164" i="1" s="1"/>
  <c r="G165" i="1" s="1"/>
  <c r="G166" i="1" s="1"/>
  <c r="G167" i="1" s="1"/>
  <c r="G168" i="1" s="1"/>
  <c r="G169" i="1" s="1"/>
  <c r="G170" i="1" s="1"/>
  <c r="G171" i="1" s="1"/>
  <c r="G172" i="1" s="1"/>
  <c r="G173" i="1" s="1"/>
  <c r="G174" i="1" s="1"/>
  <c r="R51" i="1"/>
  <c r="S51" i="1" s="1"/>
  <c r="I51" i="1"/>
  <c r="G51" i="1"/>
  <c r="X50" i="1"/>
  <c r="X51" i="1" s="1"/>
  <c r="X52" i="1" s="1"/>
  <c r="X53" i="1" s="1"/>
  <c r="X54" i="1" s="1"/>
  <c r="X55" i="1" s="1"/>
  <c r="X56" i="1" s="1"/>
  <c r="X57" i="1" s="1"/>
  <c r="X58" i="1" s="1"/>
  <c r="X59" i="1" s="1"/>
  <c r="X60" i="1" s="1"/>
  <c r="X61" i="1" s="1"/>
  <c r="X62" i="1" s="1"/>
  <c r="X63" i="1" s="1"/>
  <c r="X64" i="1" s="1"/>
  <c r="X65" i="1" s="1"/>
  <c r="X66" i="1" s="1"/>
  <c r="X67" i="1" s="1"/>
  <c r="X68" i="1" s="1"/>
  <c r="X69" i="1" s="1"/>
  <c r="X70" i="1" s="1"/>
  <c r="X71" i="1" s="1"/>
  <c r="X72" i="1" s="1"/>
  <c r="X73" i="1" s="1"/>
  <c r="X74" i="1" s="1"/>
  <c r="X75" i="1" s="1"/>
  <c r="X76" i="1" s="1"/>
  <c r="X77" i="1" s="1"/>
  <c r="X78" i="1" s="1"/>
  <c r="X79" i="1" s="1"/>
  <c r="X80" i="1" s="1"/>
  <c r="X81" i="1" s="1"/>
  <c r="X82" i="1" s="1"/>
  <c r="X83" i="1" s="1"/>
  <c r="X84" i="1" s="1"/>
  <c r="X85" i="1" s="1"/>
  <c r="X86" i="1" s="1"/>
  <c r="X87" i="1" s="1"/>
  <c r="X88" i="1" s="1"/>
  <c r="X89" i="1" s="1"/>
  <c r="X90" i="1" s="1"/>
  <c r="X91" i="1" s="1"/>
  <c r="X92" i="1" s="1"/>
  <c r="X93" i="1" s="1"/>
  <c r="X94" i="1" s="1"/>
  <c r="X95" i="1" s="1"/>
  <c r="X96" i="1" s="1"/>
  <c r="X97" i="1" s="1"/>
  <c r="X98" i="1" s="1"/>
  <c r="X99" i="1" s="1"/>
  <c r="X100" i="1" s="1"/>
  <c r="X101" i="1" s="1"/>
  <c r="X102" i="1" s="1"/>
  <c r="X103" i="1" s="1"/>
  <c r="X104" i="1" s="1"/>
  <c r="X105" i="1" s="1"/>
  <c r="X106" i="1" s="1"/>
  <c r="X107" i="1" s="1"/>
  <c r="X108" i="1" s="1"/>
  <c r="X109" i="1" s="1"/>
  <c r="X110" i="1" s="1"/>
  <c r="X111" i="1" s="1"/>
  <c r="X112" i="1" s="1"/>
  <c r="X113" i="1" s="1"/>
  <c r="X114" i="1" s="1"/>
  <c r="X115" i="1" s="1"/>
  <c r="X116" i="1" s="1"/>
  <c r="X117" i="1" s="1"/>
  <c r="X118" i="1" s="1"/>
  <c r="X119" i="1" s="1"/>
  <c r="X120" i="1" s="1"/>
  <c r="X121" i="1" s="1"/>
  <c r="X122" i="1" s="1"/>
  <c r="X123" i="1" s="1"/>
  <c r="X124" i="1" s="1"/>
  <c r="X125" i="1" s="1"/>
  <c r="X126" i="1" s="1"/>
  <c r="X127" i="1" s="1"/>
  <c r="X128" i="1" s="1"/>
  <c r="X129" i="1" s="1"/>
  <c r="X130" i="1" s="1"/>
  <c r="X131" i="1" s="1"/>
  <c r="X132" i="1" s="1"/>
  <c r="X133" i="1" s="1"/>
  <c r="X134" i="1" s="1"/>
  <c r="X135" i="1" s="1"/>
  <c r="X136" i="1" s="1"/>
  <c r="X137" i="1" s="1"/>
  <c r="X138" i="1" s="1"/>
  <c r="X139" i="1" s="1"/>
  <c r="X140" i="1" s="1"/>
  <c r="X141" i="1" s="1"/>
  <c r="X142" i="1" s="1"/>
  <c r="X143" i="1" s="1"/>
  <c r="X144" i="1" s="1"/>
  <c r="X145" i="1" s="1"/>
  <c r="X146" i="1" s="1"/>
  <c r="X147" i="1" s="1"/>
  <c r="X148" i="1" s="1"/>
  <c r="X149" i="1" s="1"/>
  <c r="X150" i="1" s="1"/>
  <c r="X151" i="1" s="1"/>
  <c r="X152" i="1" s="1"/>
  <c r="X153" i="1" s="1"/>
  <c r="X154" i="1" s="1"/>
  <c r="X155" i="1" s="1"/>
  <c r="X156" i="1" s="1"/>
  <c r="X157" i="1" s="1"/>
  <c r="X158" i="1" s="1"/>
  <c r="X159" i="1" s="1"/>
  <c r="X160" i="1" s="1"/>
  <c r="X161" i="1" s="1"/>
  <c r="X162" i="1" s="1"/>
  <c r="X163" i="1" s="1"/>
  <c r="X164" i="1" s="1"/>
  <c r="X165" i="1" s="1"/>
  <c r="X166" i="1" s="1"/>
  <c r="X167" i="1" s="1"/>
  <c r="X168" i="1" s="1"/>
  <c r="X169" i="1" s="1"/>
  <c r="X170" i="1" s="1"/>
  <c r="X171" i="1" s="1"/>
  <c r="S50" i="1"/>
  <c r="R50" i="1"/>
  <c r="M50" i="1"/>
  <c r="M51" i="1" s="1"/>
  <c r="M52" i="1" s="1"/>
  <c r="M53" i="1" s="1"/>
  <c r="M54" i="1" s="1"/>
  <c r="M55" i="1" s="1"/>
  <c r="M56" i="1" s="1"/>
  <c r="M57" i="1" s="1"/>
  <c r="M58" i="1" s="1"/>
  <c r="M59" i="1" s="1"/>
  <c r="M60" i="1" s="1"/>
  <c r="M61" i="1" s="1"/>
  <c r="M62" i="1" s="1"/>
  <c r="M63" i="1" s="1"/>
  <c r="M64" i="1" s="1"/>
  <c r="M65" i="1" s="1"/>
  <c r="M66" i="1" s="1"/>
  <c r="M67" i="1" s="1"/>
  <c r="M68" i="1" s="1"/>
  <c r="M69" i="1" s="1"/>
  <c r="M70" i="1" s="1"/>
  <c r="M71" i="1" s="1"/>
  <c r="M72" i="1" s="1"/>
  <c r="M73" i="1" s="1"/>
  <c r="M74" i="1" s="1"/>
  <c r="M75" i="1" s="1"/>
  <c r="M76" i="1" s="1"/>
  <c r="M77" i="1" s="1"/>
  <c r="M78" i="1" s="1"/>
  <c r="M79" i="1" s="1"/>
  <c r="M80" i="1" s="1"/>
  <c r="M81" i="1" s="1"/>
  <c r="M82" i="1" s="1"/>
  <c r="M83" i="1" s="1"/>
  <c r="M84" i="1" s="1"/>
  <c r="M85" i="1" s="1"/>
  <c r="M86" i="1" s="1"/>
  <c r="M87" i="1" s="1"/>
  <c r="M88" i="1" s="1"/>
  <c r="M89" i="1" s="1"/>
  <c r="M90" i="1" s="1"/>
  <c r="M91" i="1" s="1"/>
  <c r="M92" i="1" s="1"/>
  <c r="M93" i="1" s="1"/>
  <c r="M94" i="1" s="1"/>
  <c r="M95" i="1" s="1"/>
  <c r="M96" i="1" s="1"/>
  <c r="M97" i="1" s="1"/>
  <c r="M98" i="1" s="1"/>
  <c r="M99" i="1" s="1"/>
  <c r="M100" i="1" s="1"/>
  <c r="M101" i="1" s="1"/>
  <c r="M102" i="1" s="1"/>
  <c r="M103" i="1" s="1"/>
  <c r="M104" i="1" s="1"/>
  <c r="M105" i="1" s="1"/>
  <c r="M106" i="1" s="1"/>
  <c r="M107" i="1" s="1"/>
  <c r="M108" i="1" s="1"/>
  <c r="M109" i="1" s="1"/>
  <c r="M110" i="1" s="1"/>
  <c r="M111" i="1" s="1"/>
  <c r="M112" i="1" s="1"/>
  <c r="M113" i="1" s="1"/>
  <c r="M114" i="1" s="1"/>
  <c r="M115" i="1" s="1"/>
  <c r="M116" i="1" s="1"/>
  <c r="M117" i="1" s="1"/>
  <c r="M118" i="1" s="1"/>
  <c r="M119" i="1" s="1"/>
  <c r="M120" i="1" s="1"/>
  <c r="M121" i="1" s="1"/>
  <c r="M122" i="1" s="1"/>
  <c r="M123" i="1" s="1"/>
  <c r="M124" i="1" s="1"/>
  <c r="M125" i="1" s="1"/>
  <c r="M126" i="1" s="1"/>
  <c r="M127" i="1" s="1"/>
  <c r="M128" i="1" s="1"/>
  <c r="M129" i="1" s="1"/>
  <c r="M130" i="1" s="1"/>
  <c r="M131" i="1" s="1"/>
  <c r="M132" i="1" s="1"/>
  <c r="M133" i="1" s="1"/>
  <c r="M134" i="1" s="1"/>
  <c r="M135" i="1" s="1"/>
  <c r="M136" i="1" s="1"/>
  <c r="M137" i="1" s="1"/>
  <c r="M138" i="1" s="1"/>
  <c r="M139" i="1" s="1"/>
  <c r="M140" i="1" s="1"/>
  <c r="M141" i="1" s="1"/>
  <c r="M142" i="1" s="1"/>
  <c r="M143" i="1" s="1"/>
  <c r="M144" i="1" s="1"/>
  <c r="M145" i="1" s="1"/>
  <c r="M146" i="1" s="1"/>
  <c r="M147" i="1" s="1"/>
  <c r="M148" i="1" s="1"/>
  <c r="M149" i="1" s="1"/>
  <c r="M150" i="1" s="1"/>
  <c r="M151" i="1" s="1"/>
  <c r="M152" i="1" s="1"/>
  <c r="M153" i="1" s="1"/>
  <c r="M154" i="1" s="1"/>
  <c r="M155" i="1" s="1"/>
  <c r="M156" i="1" s="1"/>
  <c r="M157" i="1" s="1"/>
  <c r="M158" i="1" s="1"/>
  <c r="M159" i="1" s="1"/>
  <c r="M160" i="1" s="1"/>
  <c r="M161" i="1" s="1"/>
  <c r="M162" i="1" s="1"/>
  <c r="M163" i="1" s="1"/>
  <c r="M164" i="1" s="1"/>
  <c r="M165" i="1" s="1"/>
  <c r="M166" i="1" s="1"/>
  <c r="M167" i="1" s="1"/>
  <c r="M168" i="1" s="1"/>
  <c r="M169" i="1" s="1"/>
  <c r="M170" i="1" s="1"/>
  <c r="M171" i="1" s="1"/>
  <c r="M172" i="1" s="1"/>
  <c r="M173" i="1" s="1"/>
  <c r="M174" i="1" s="1"/>
  <c r="M175" i="1" s="1"/>
  <c r="M176" i="1" s="1"/>
  <c r="M177" i="1" s="1"/>
  <c r="M178" i="1" s="1"/>
  <c r="M179" i="1" s="1"/>
  <c r="M180" i="1" s="1"/>
  <c r="M181" i="1" s="1"/>
  <c r="M182" i="1" s="1"/>
  <c r="M183" i="1" s="1"/>
  <c r="M184" i="1" s="1"/>
  <c r="M185" i="1" s="1"/>
  <c r="M186" i="1" s="1"/>
  <c r="M187" i="1" s="1"/>
  <c r="M188" i="1" s="1"/>
  <c r="M189" i="1" s="1"/>
  <c r="M190" i="1" s="1"/>
  <c r="M191" i="1" s="1"/>
  <c r="M192" i="1" s="1"/>
  <c r="M193" i="1" s="1"/>
  <c r="M194" i="1" s="1"/>
  <c r="M195" i="1" s="1"/>
  <c r="M196" i="1" s="1"/>
  <c r="M197" i="1" s="1"/>
  <c r="M198" i="1" s="1"/>
  <c r="M199" i="1" s="1"/>
  <c r="M200" i="1" s="1"/>
  <c r="M201" i="1" s="1"/>
  <c r="M202" i="1" s="1"/>
  <c r="M203" i="1" s="1"/>
  <c r="M204" i="1" s="1"/>
  <c r="M205" i="1" s="1"/>
  <c r="M206" i="1" s="1"/>
  <c r="M207" i="1" s="1"/>
  <c r="M208" i="1" s="1"/>
  <c r="M209" i="1" s="1"/>
  <c r="M210" i="1" s="1"/>
  <c r="M211" i="1" s="1"/>
  <c r="M212" i="1" s="1"/>
  <c r="M213" i="1" s="1"/>
  <c r="M214" i="1" s="1"/>
  <c r="M215" i="1" s="1"/>
  <c r="M216" i="1" s="1"/>
  <c r="M217" i="1" s="1"/>
  <c r="M218" i="1" s="1"/>
  <c r="M219" i="1" s="1"/>
  <c r="M220" i="1" s="1"/>
  <c r="M221" i="1" s="1"/>
  <c r="M222" i="1" s="1"/>
  <c r="M223" i="1" s="1"/>
  <c r="M224" i="1" s="1"/>
  <c r="M225" i="1" s="1"/>
  <c r="M226" i="1" s="1"/>
  <c r="M227" i="1" s="1"/>
  <c r="M228" i="1" s="1"/>
  <c r="M229" i="1" s="1"/>
  <c r="M230" i="1" s="1"/>
  <c r="M231" i="1" s="1"/>
  <c r="M232" i="1" s="1"/>
  <c r="M233" i="1" s="1"/>
  <c r="M234" i="1" s="1"/>
  <c r="M235" i="1" s="1"/>
  <c r="M236" i="1" s="1"/>
  <c r="M237" i="1" s="1"/>
  <c r="M238" i="1" s="1"/>
  <c r="M239" i="1" s="1"/>
  <c r="M240" i="1" s="1"/>
  <c r="M241" i="1" s="1"/>
  <c r="M242" i="1" s="1"/>
  <c r="M243" i="1" s="1"/>
  <c r="M244" i="1" s="1"/>
  <c r="M245" i="1" s="1"/>
  <c r="M246" i="1" s="1"/>
  <c r="M247" i="1" s="1"/>
  <c r="M248" i="1" s="1"/>
  <c r="M249" i="1" s="1"/>
  <c r="M250" i="1" s="1"/>
  <c r="M251" i="1" s="1"/>
  <c r="M252" i="1" s="1"/>
  <c r="M253" i="1" s="1"/>
  <c r="M254" i="1" s="1"/>
  <c r="M255" i="1" s="1"/>
  <c r="M256" i="1" s="1"/>
  <c r="M257" i="1" s="1"/>
  <c r="M258" i="1" s="1"/>
  <c r="M259" i="1" s="1"/>
  <c r="M260" i="1" s="1"/>
  <c r="M261" i="1" s="1"/>
  <c r="M262" i="1" s="1"/>
  <c r="M263" i="1" s="1"/>
  <c r="M264" i="1" s="1"/>
  <c r="M265" i="1" s="1"/>
  <c r="M266" i="1" s="1"/>
  <c r="M267" i="1" s="1"/>
  <c r="M268" i="1" s="1"/>
  <c r="M269" i="1" s="1"/>
  <c r="M270" i="1" s="1"/>
  <c r="M271" i="1" s="1"/>
  <c r="M272" i="1" s="1"/>
  <c r="M273" i="1" s="1"/>
  <c r="M274" i="1" s="1"/>
  <c r="M275" i="1" s="1"/>
  <c r="M276" i="1" s="1"/>
  <c r="M277" i="1" s="1"/>
  <c r="M278" i="1" s="1"/>
  <c r="M279" i="1" s="1"/>
  <c r="M280" i="1" s="1"/>
  <c r="M281" i="1" s="1"/>
  <c r="M282" i="1" s="1"/>
  <c r="M283" i="1" s="1"/>
  <c r="M284" i="1" s="1"/>
  <c r="M285" i="1" s="1"/>
  <c r="M286" i="1" s="1"/>
  <c r="M287" i="1" s="1"/>
  <c r="M288" i="1" s="1"/>
  <c r="M289" i="1" s="1"/>
  <c r="M290" i="1" s="1"/>
  <c r="M291" i="1" s="1"/>
  <c r="M292" i="1" s="1"/>
  <c r="M293" i="1" s="1"/>
  <c r="M294" i="1" s="1"/>
  <c r="M295" i="1" s="1"/>
  <c r="M296" i="1" s="1"/>
  <c r="M297" i="1" s="1"/>
  <c r="M298" i="1" s="1"/>
  <c r="M299" i="1" s="1"/>
  <c r="M300" i="1" s="1"/>
  <c r="M301" i="1" s="1"/>
  <c r="M302" i="1" s="1"/>
  <c r="M303" i="1" s="1"/>
  <c r="M304" i="1" s="1"/>
  <c r="M305" i="1" s="1"/>
  <c r="M306" i="1" s="1"/>
  <c r="M307" i="1" s="1"/>
  <c r="M308" i="1" s="1"/>
  <c r="M309" i="1" s="1"/>
  <c r="M310" i="1" s="1"/>
  <c r="M311" i="1" s="1"/>
  <c r="M312" i="1" s="1"/>
  <c r="M313" i="1" s="1"/>
  <c r="M314" i="1" s="1"/>
  <c r="M315" i="1" s="1"/>
  <c r="M316" i="1" s="1"/>
  <c r="M317" i="1" s="1"/>
  <c r="M318" i="1" s="1"/>
  <c r="M319" i="1" s="1"/>
  <c r="M320" i="1" s="1"/>
  <c r="M321" i="1" s="1"/>
  <c r="M322" i="1" s="1"/>
  <c r="M323" i="1" s="1"/>
  <c r="M324" i="1" s="1"/>
  <c r="M325" i="1" s="1"/>
  <c r="M326" i="1" s="1"/>
  <c r="M327" i="1" s="1"/>
  <c r="M328" i="1" s="1"/>
  <c r="M329" i="1" s="1"/>
  <c r="M330" i="1" s="1"/>
  <c r="M331" i="1" s="1"/>
  <c r="M332" i="1" s="1"/>
  <c r="M333" i="1" s="1"/>
  <c r="M334" i="1" s="1"/>
  <c r="M335" i="1" s="1"/>
  <c r="M336" i="1" s="1"/>
  <c r="M337" i="1" s="1"/>
  <c r="M338" i="1" s="1"/>
  <c r="M339" i="1" s="1"/>
  <c r="M340" i="1" s="1"/>
  <c r="M341" i="1" s="1"/>
  <c r="M342" i="1" s="1"/>
  <c r="M343" i="1" s="1"/>
  <c r="M344" i="1" s="1"/>
  <c r="M345" i="1" s="1"/>
  <c r="M346" i="1" s="1"/>
  <c r="M347" i="1" s="1"/>
  <c r="M348" i="1" s="1"/>
  <c r="M349" i="1" s="1"/>
  <c r="M350" i="1" s="1"/>
  <c r="M351" i="1" s="1"/>
  <c r="M352" i="1" s="1"/>
  <c r="M353" i="1" s="1"/>
  <c r="M354" i="1" s="1"/>
  <c r="M355" i="1" s="1"/>
  <c r="M356" i="1" s="1"/>
  <c r="K50" i="1"/>
  <c r="K51" i="1" s="1"/>
  <c r="K52" i="1" s="1"/>
  <c r="K53" i="1" s="1"/>
  <c r="K54" i="1" s="1"/>
  <c r="K55" i="1" s="1"/>
  <c r="K56" i="1" s="1"/>
  <c r="K57" i="1" s="1"/>
  <c r="K58" i="1" s="1"/>
  <c r="K59" i="1" s="1"/>
  <c r="K60" i="1" s="1"/>
  <c r="K61" i="1" s="1"/>
  <c r="K62" i="1" s="1"/>
  <c r="K63" i="1" s="1"/>
  <c r="K64" i="1" s="1"/>
  <c r="K65" i="1" s="1"/>
  <c r="K66" i="1" s="1"/>
  <c r="K67" i="1" s="1"/>
  <c r="K68" i="1" s="1"/>
  <c r="K69" i="1" s="1"/>
  <c r="K70" i="1" s="1"/>
  <c r="K71" i="1" s="1"/>
  <c r="K72" i="1" s="1"/>
  <c r="K73" i="1" s="1"/>
  <c r="K74" i="1" s="1"/>
  <c r="K75" i="1" s="1"/>
  <c r="K76" i="1" s="1"/>
  <c r="K77" i="1" s="1"/>
  <c r="K78" i="1" s="1"/>
  <c r="K79" i="1" s="1"/>
  <c r="K80" i="1" s="1"/>
  <c r="K81" i="1" s="1"/>
  <c r="K82" i="1" s="1"/>
  <c r="K83" i="1" s="1"/>
  <c r="K84" i="1" s="1"/>
  <c r="K85" i="1" s="1"/>
  <c r="K86" i="1" s="1"/>
  <c r="K87" i="1" s="1"/>
  <c r="K88" i="1" s="1"/>
  <c r="K89" i="1" s="1"/>
  <c r="K90" i="1" s="1"/>
  <c r="K91" i="1" s="1"/>
  <c r="K92" i="1" s="1"/>
  <c r="K93" i="1" s="1"/>
  <c r="K94" i="1" s="1"/>
  <c r="K95" i="1" s="1"/>
  <c r="K96" i="1" s="1"/>
  <c r="K97" i="1" s="1"/>
  <c r="K98" i="1" s="1"/>
  <c r="K99" i="1" s="1"/>
  <c r="K100" i="1" s="1"/>
  <c r="K101" i="1" s="1"/>
  <c r="K102" i="1" s="1"/>
  <c r="K103" i="1" s="1"/>
  <c r="K104" i="1" s="1"/>
  <c r="K105" i="1" s="1"/>
  <c r="K106" i="1" s="1"/>
  <c r="K107" i="1" s="1"/>
  <c r="K108" i="1" s="1"/>
  <c r="K109" i="1" s="1"/>
  <c r="K110" i="1" s="1"/>
  <c r="K111" i="1" s="1"/>
  <c r="K112" i="1" s="1"/>
  <c r="K113" i="1" s="1"/>
  <c r="K114" i="1" s="1"/>
  <c r="K115" i="1" s="1"/>
  <c r="K116" i="1" s="1"/>
  <c r="K117" i="1" s="1"/>
  <c r="K118" i="1" s="1"/>
  <c r="K119" i="1" s="1"/>
  <c r="K120" i="1" s="1"/>
  <c r="K121" i="1" s="1"/>
  <c r="K122" i="1" s="1"/>
  <c r="K123" i="1" s="1"/>
  <c r="K124" i="1" s="1"/>
  <c r="K125" i="1" s="1"/>
  <c r="K126" i="1" s="1"/>
  <c r="K127" i="1" s="1"/>
  <c r="K128" i="1" s="1"/>
  <c r="K129" i="1" s="1"/>
  <c r="K130" i="1" s="1"/>
  <c r="K131" i="1" s="1"/>
  <c r="K132" i="1" s="1"/>
  <c r="K133" i="1" s="1"/>
  <c r="K134" i="1" s="1"/>
  <c r="K135" i="1" s="1"/>
  <c r="K136" i="1" s="1"/>
  <c r="K137" i="1" s="1"/>
  <c r="K138" i="1" s="1"/>
  <c r="K139" i="1" s="1"/>
  <c r="K140" i="1" s="1"/>
  <c r="K141" i="1" s="1"/>
  <c r="K142" i="1" s="1"/>
  <c r="K143" i="1" s="1"/>
  <c r="K144" i="1" s="1"/>
  <c r="K145" i="1" s="1"/>
  <c r="K146" i="1" s="1"/>
  <c r="K147" i="1" s="1"/>
  <c r="K148" i="1" s="1"/>
  <c r="K149" i="1" s="1"/>
  <c r="K150" i="1" s="1"/>
  <c r="K151" i="1" s="1"/>
  <c r="K152" i="1" s="1"/>
  <c r="K153" i="1" s="1"/>
  <c r="K154" i="1" s="1"/>
  <c r="K155" i="1" s="1"/>
  <c r="K156" i="1" s="1"/>
  <c r="K157" i="1" s="1"/>
  <c r="K158" i="1" s="1"/>
  <c r="K159" i="1" s="1"/>
  <c r="K160" i="1" s="1"/>
  <c r="K161" i="1" s="1"/>
  <c r="K162" i="1" s="1"/>
  <c r="K163" i="1" s="1"/>
  <c r="K164" i="1" s="1"/>
  <c r="K165" i="1" s="1"/>
  <c r="K166" i="1" s="1"/>
  <c r="K167" i="1" s="1"/>
  <c r="K168" i="1" s="1"/>
  <c r="K169" i="1" s="1"/>
  <c r="K170" i="1" s="1"/>
  <c r="K171" i="1" s="1"/>
  <c r="K172" i="1" s="1"/>
  <c r="K173" i="1" s="1"/>
  <c r="K174" i="1" s="1"/>
  <c r="K175" i="1" s="1"/>
  <c r="K176" i="1" s="1"/>
  <c r="K177" i="1" s="1"/>
  <c r="K178" i="1" s="1"/>
  <c r="K179" i="1" s="1"/>
  <c r="K180" i="1" s="1"/>
  <c r="K181" i="1" s="1"/>
  <c r="K182" i="1" s="1"/>
  <c r="K183" i="1" s="1"/>
  <c r="K184" i="1" s="1"/>
  <c r="K185" i="1" s="1"/>
  <c r="K186" i="1" s="1"/>
  <c r="K187" i="1" s="1"/>
  <c r="K188" i="1" s="1"/>
  <c r="K189" i="1" s="1"/>
  <c r="K190" i="1" s="1"/>
  <c r="K191" i="1" s="1"/>
  <c r="K192" i="1" s="1"/>
  <c r="K193" i="1" s="1"/>
  <c r="K194" i="1" s="1"/>
  <c r="K195" i="1" s="1"/>
  <c r="K196" i="1" s="1"/>
  <c r="K197" i="1" s="1"/>
  <c r="K198" i="1" s="1"/>
  <c r="K199" i="1" s="1"/>
  <c r="K200" i="1" s="1"/>
  <c r="K201" i="1" s="1"/>
  <c r="K202" i="1" s="1"/>
  <c r="K203" i="1" s="1"/>
  <c r="K204" i="1" s="1"/>
  <c r="K205" i="1" s="1"/>
  <c r="K206" i="1" s="1"/>
  <c r="K207" i="1" s="1"/>
  <c r="K208" i="1" s="1"/>
  <c r="K209" i="1" s="1"/>
  <c r="K210" i="1" s="1"/>
  <c r="K211" i="1" s="1"/>
  <c r="K212" i="1" s="1"/>
  <c r="K213" i="1" s="1"/>
  <c r="K214" i="1" s="1"/>
  <c r="K215" i="1" s="1"/>
  <c r="K216" i="1" s="1"/>
  <c r="K217" i="1" s="1"/>
  <c r="K218" i="1" s="1"/>
  <c r="K219" i="1" s="1"/>
  <c r="K220" i="1" s="1"/>
  <c r="K221" i="1" s="1"/>
  <c r="K222" i="1" s="1"/>
  <c r="K223" i="1" s="1"/>
  <c r="K224" i="1" s="1"/>
  <c r="K225" i="1" s="1"/>
  <c r="K226" i="1" s="1"/>
  <c r="K227" i="1" s="1"/>
  <c r="K228" i="1" s="1"/>
  <c r="K229" i="1" s="1"/>
  <c r="K230" i="1" s="1"/>
  <c r="K231" i="1" s="1"/>
  <c r="K232" i="1" s="1"/>
  <c r="K233" i="1" s="1"/>
  <c r="K234" i="1" s="1"/>
  <c r="K235" i="1" s="1"/>
  <c r="K236" i="1" s="1"/>
  <c r="K237" i="1" s="1"/>
  <c r="K238" i="1" s="1"/>
  <c r="K239" i="1" s="1"/>
  <c r="K240" i="1" s="1"/>
  <c r="K241" i="1" s="1"/>
  <c r="K242" i="1" s="1"/>
  <c r="K243" i="1" s="1"/>
  <c r="K244" i="1" s="1"/>
  <c r="K245" i="1" s="1"/>
  <c r="K246" i="1" s="1"/>
  <c r="K247" i="1" s="1"/>
  <c r="K248" i="1" s="1"/>
  <c r="K249" i="1" s="1"/>
  <c r="K250" i="1" s="1"/>
  <c r="K251" i="1" s="1"/>
  <c r="K252" i="1" s="1"/>
  <c r="K253" i="1" s="1"/>
  <c r="K254" i="1" s="1"/>
  <c r="K255" i="1" s="1"/>
  <c r="K256" i="1" s="1"/>
  <c r="K257" i="1" s="1"/>
  <c r="K258" i="1" s="1"/>
  <c r="K259" i="1" s="1"/>
  <c r="K260" i="1" s="1"/>
  <c r="K261" i="1" s="1"/>
  <c r="K262" i="1" s="1"/>
  <c r="K263" i="1" s="1"/>
  <c r="K264" i="1" s="1"/>
  <c r="K265" i="1" s="1"/>
  <c r="K266" i="1" s="1"/>
  <c r="K267" i="1" s="1"/>
  <c r="K268" i="1" s="1"/>
  <c r="K269" i="1" s="1"/>
  <c r="K270" i="1" s="1"/>
  <c r="K271" i="1" s="1"/>
  <c r="K272" i="1" s="1"/>
  <c r="K273" i="1" s="1"/>
  <c r="K274" i="1" s="1"/>
  <c r="K275" i="1" s="1"/>
  <c r="K276" i="1" s="1"/>
  <c r="K277" i="1" s="1"/>
  <c r="K278" i="1" s="1"/>
  <c r="K279" i="1" s="1"/>
  <c r="K280" i="1" s="1"/>
  <c r="K281" i="1" s="1"/>
  <c r="K282" i="1" s="1"/>
  <c r="K283" i="1" s="1"/>
  <c r="K284" i="1" s="1"/>
  <c r="K285" i="1" s="1"/>
  <c r="K286" i="1" s="1"/>
  <c r="K287" i="1" s="1"/>
  <c r="K288" i="1" s="1"/>
  <c r="K289" i="1" s="1"/>
  <c r="K290" i="1" s="1"/>
  <c r="K291" i="1" s="1"/>
  <c r="K292" i="1" s="1"/>
  <c r="K293" i="1" s="1"/>
  <c r="K294" i="1" s="1"/>
  <c r="K295" i="1" s="1"/>
  <c r="K296" i="1" s="1"/>
  <c r="K297" i="1" s="1"/>
  <c r="K298" i="1" s="1"/>
  <c r="K299" i="1" s="1"/>
  <c r="K300" i="1" s="1"/>
  <c r="K301" i="1" s="1"/>
  <c r="K302" i="1" s="1"/>
  <c r="K303" i="1" s="1"/>
  <c r="K304" i="1" s="1"/>
  <c r="K305" i="1" s="1"/>
  <c r="K306" i="1" s="1"/>
  <c r="K307" i="1" s="1"/>
  <c r="K308" i="1" s="1"/>
  <c r="K309" i="1" s="1"/>
  <c r="K310" i="1" s="1"/>
  <c r="K311" i="1" s="1"/>
  <c r="K312" i="1" s="1"/>
  <c r="K313" i="1" s="1"/>
  <c r="K314" i="1" s="1"/>
  <c r="K315" i="1" s="1"/>
  <c r="K316" i="1" s="1"/>
  <c r="K317" i="1" s="1"/>
  <c r="K318" i="1" s="1"/>
  <c r="K319" i="1" s="1"/>
  <c r="K320" i="1" s="1"/>
  <c r="K321" i="1" s="1"/>
  <c r="K322" i="1" s="1"/>
  <c r="K323" i="1" s="1"/>
  <c r="K324" i="1" s="1"/>
  <c r="K325" i="1" s="1"/>
  <c r="K326" i="1" s="1"/>
  <c r="K327" i="1" s="1"/>
  <c r="K328" i="1" s="1"/>
  <c r="K329" i="1" s="1"/>
  <c r="K330" i="1" s="1"/>
  <c r="K331" i="1" s="1"/>
  <c r="K332" i="1" s="1"/>
  <c r="K333" i="1" s="1"/>
  <c r="K334" i="1" s="1"/>
  <c r="K335" i="1" s="1"/>
  <c r="K336" i="1" s="1"/>
  <c r="K337" i="1" s="1"/>
  <c r="K338" i="1" s="1"/>
  <c r="K339" i="1" s="1"/>
  <c r="K340" i="1" s="1"/>
  <c r="K341" i="1" s="1"/>
  <c r="K342" i="1" s="1"/>
  <c r="K343" i="1" s="1"/>
  <c r="K344" i="1" s="1"/>
  <c r="K345" i="1" s="1"/>
  <c r="K346" i="1" s="1"/>
  <c r="K347" i="1" s="1"/>
  <c r="K348" i="1" s="1"/>
  <c r="K349" i="1" s="1"/>
  <c r="K350" i="1" s="1"/>
  <c r="K351" i="1" s="1"/>
  <c r="K352" i="1" s="1"/>
  <c r="K353" i="1" s="1"/>
  <c r="K354" i="1" s="1"/>
  <c r="K355" i="1" s="1"/>
  <c r="K356" i="1" s="1"/>
  <c r="T9" i="1"/>
  <c r="T10" i="1" s="1"/>
  <c r="T11" i="1" s="1"/>
  <c r="T12" i="1" s="1"/>
  <c r="T13" i="1" s="1"/>
  <c r="T14" i="1" s="1"/>
  <c r="T15" i="1" s="1"/>
  <c r="T16" i="1" s="1"/>
  <c r="T17" i="1" s="1"/>
  <c r="T18" i="1" s="1"/>
  <c r="T19" i="1" s="1"/>
  <c r="T20" i="1" s="1"/>
  <c r="T21" i="1" s="1"/>
  <c r="T22" i="1" s="1"/>
  <c r="T23" i="1" s="1"/>
  <c r="T24" i="1" s="1"/>
  <c r="T25" i="1" s="1"/>
  <c r="T26" i="1" s="1"/>
  <c r="T27" i="1" s="1"/>
  <c r="T28" i="1" s="1"/>
  <c r="T29" i="1" s="1"/>
  <c r="T30" i="1" s="1"/>
  <c r="T31" i="1" s="1"/>
  <c r="T32" i="1" s="1"/>
  <c r="T33" i="1" s="1"/>
  <c r="T34" i="1" s="1"/>
  <c r="T35" i="1" s="1"/>
  <c r="T36" i="1" s="1"/>
  <c r="T37" i="1" s="1"/>
  <c r="T38" i="1" s="1"/>
  <c r="T39" i="1" s="1"/>
  <c r="T40" i="1" s="1"/>
  <c r="T41" i="1" s="1"/>
  <c r="T42" i="1" s="1"/>
  <c r="T43" i="1" s="1"/>
  <c r="T44" i="1" s="1"/>
  <c r="T45" i="1" s="1"/>
  <c r="T46" i="1" s="1"/>
  <c r="T47" i="1" s="1"/>
  <c r="T48" i="1" s="1"/>
  <c r="T50" i="1" s="1"/>
  <c r="T8" i="1"/>
  <c r="O8" i="1"/>
  <c r="O9" i="1" s="1"/>
  <c r="O10" i="1" s="1"/>
  <c r="O11" i="1" s="1"/>
  <c r="O12" i="1" s="1"/>
  <c r="O13" i="1" s="1"/>
  <c r="O14" i="1" s="1"/>
  <c r="O15" i="1" s="1"/>
  <c r="O16" i="1" s="1"/>
  <c r="O17" i="1" s="1"/>
  <c r="O18" i="1" s="1"/>
  <c r="O19" i="1" s="1"/>
  <c r="O20" i="1" s="1"/>
  <c r="O21" i="1" s="1"/>
  <c r="O22" i="1" s="1"/>
  <c r="O23" i="1" s="1"/>
  <c r="O24" i="1" s="1"/>
  <c r="O25" i="1" s="1"/>
  <c r="O26" i="1" s="1"/>
  <c r="O27" i="1" s="1"/>
  <c r="O28" i="1" s="1"/>
  <c r="O29" i="1" s="1"/>
  <c r="O30" i="1" s="1"/>
  <c r="O31" i="1" s="1"/>
  <c r="O32" i="1" s="1"/>
  <c r="O33" i="1" s="1"/>
  <c r="O34" i="1" s="1"/>
  <c r="O35" i="1" s="1"/>
  <c r="O36" i="1" s="1"/>
  <c r="O37" i="1" s="1"/>
  <c r="O38" i="1" s="1"/>
  <c r="O39" i="1" s="1"/>
  <c r="O40" i="1" s="1"/>
  <c r="O41" i="1" s="1"/>
  <c r="O42" i="1" s="1"/>
  <c r="O43" i="1" s="1"/>
  <c r="O44" i="1" s="1"/>
  <c r="O45" i="1" s="1"/>
  <c r="O46" i="1" s="1"/>
  <c r="O47" i="1" s="1"/>
  <c r="O48" i="1" s="1"/>
  <c r="O50" i="1" s="1"/>
  <c r="O51" i="1" s="1"/>
  <c r="O52" i="1" s="1"/>
  <c r="O53" i="1" s="1"/>
  <c r="O54" i="1" s="1"/>
  <c r="O55" i="1" s="1"/>
  <c r="O56" i="1" s="1"/>
  <c r="O57" i="1" s="1"/>
  <c r="O58" i="1" s="1"/>
  <c r="O59" i="1" s="1"/>
  <c r="O60" i="1" s="1"/>
  <c r="O61" i="1" s="1"/>
  <c r="O62" i="1" s="1"/>
  <c r="O63" i="1" s="1"/>
  <c r="O64" i="1" s="1"/>
  <c r="Y293" i="2" l="1"/>
  <c r="Y294" i="2" s="1"/>
  <c r="Y295" i="2" s="1"/>
  <c r="Y296" i="2" s="1"/>
  <c r="Y297" i="2" s="1"/>
  <c r="Y298" i="2" s="1"/>
  <c r="Y299" i="2" s="1"/>
  <c r="Y300" i="2" s="1"/>
  <c r="Y301" i="2" s="1"/>
  <c r="Y302" i="2" s="1"/>
  <c r="Y303" i="2" s="1"/>
  <c r="Y304" i="2" s="1"/>
  <c r="Y305" i="2" s="1"/>
  <c r="Y306" i="2" s="1"/>
  <c r="Y307" i="2" s="1"/>
  <c r="Y308" i="2" s="1"/>
  <c r="Y309" i="2" s="1"/>
  <c r="Y310" i="2" s="1"/>
  <c r="Y311" i="2" s="1"/>
  <c r="Y312" i="2" s="1"/>
  <c r="Y314" i="2" s="1"/>
  <c r="Y315" i="2" s="1"/>
  <c r="Y316" i="2" s="1"/>
  <c r="Y317" i="2" s="1"/>
  <c r="Y318" i="2" s="1"/>
  <c r="Y319" i="2" s="1"/>
  <c r="Y320" i="2" s="1"/>
  <c r="Y321" i="2" s="1"/>
  <c r="Y322" i="2" s="1"/>
  <c r="Y323" i="2" s="1"/>
  <c r="Y324" i="2" s="1"/>
  <c r="Y325" i="2" s="1"/>
  <c r="Y326" i="2" s="1"/>
  <c r="Y327" i="2" s="1"/>
  <c r="Y328" i="2" s="1"/>
  <c r="Y329" i="2" s="1"/>
  <c r="Y330" i="2" s="1"/>
  <c r="Y331" i="2" s="1"/>
  <c r="Y332" i="2" s="1"/>
  <c r="Y333" i="2" s="1"/>
  <c r="Y334" i="2" s="1"/>
  <c r="Y335" i="2" s="1"/>
  <c r="Y336" i="2" s="1"/>
  <c r="Y337" i="2" s="1"/>
  <c r="Y338" i="2" s="1"/>
  <c r="Y339" i="2" s="1"/>
  <c r="Y340" i="2" s="1"/>
  <c r="Y341" i="2" s="1"/>
  <c r="Y342" i="2" s="1"/>
  <c r="Y343" i="2" s="1"/>
  <c r="Y344" i="2" s="1"/>
  <c r="Y345" i="2" s="1"/>
  <c r="Y346" i="2" s="1"/>
  <c r="Y347" i="2" s="1"/>
  <c r="Y348" i="2" s="1"/>
  <c r="Y349" i="2" s="1"/>
  <c r="Y350" i="2" s="1"/>
  <c r="Y351" i="2" s="1"/>
  <c r="Y352" i="2" s="1"/>
  <c r="Y353" i="2" s="1"/>
  <c r="Y354" i="2" s="1"/>
  <c r="Y355" i="2" s="1"/>
  <c r="Y356" i="2" s="1"/>
  <c r="H293" i="2"/>
  <c r="H294" i="2" s="1"/>
  <c r="H295" i="2" s="1"/>
  <c r="H296" i="2" s="1"/>
  <c r="H297" i="2" s="1"/>
  <c r="H298" i="2" s="1"/>
  <c r="H299" i="2" s="1"/>
  <c r="H300" i="2" s="1"/>
  <c r="H301" i="2" s="1"/>
  <c r="H302" i="2" s="1"/>
  <c r="H303" i="2" s="1"/>
  <c r="H304" i="2" s="1"/>
  <c r="H305" i="2" s="1"/>
  <c r="H306" i="2" s="1"/>
  <c r="H307" i="2" s="1"/>
  <c r="H308" i="2" s="1"/>
  <c r="H309" i="2" s="1"/>
  <c r="H310" i="2" s="1"/>
  <c r="H311" i="2" s="1"/>
  <c r="H312" i="2" s="1"/>
  <c r="H314" i="2" s="1"/>
  <c r="H315" i="2" s="1"/>
  <c r="H316" i="2" s="1"/>
  <c r="H317" i="2" s="1"/>
  <c r="H318" i="2" s="1"/>
  <c r="H319" i="2" s="1"/>
  <c r="H320" i="2" s="1"/>
  <c r="H321" i="2" s="1"/>
  <c r="H322" i="2" s="1"/>
  <c r="H323" i="2" s="1"/>
  <c r="H324" i="2" s="1"/>
  <c r="H325" i="2" s="1"/>
  <c r="H326" i="2" s="1"/>
  <c r="H327" i="2" s="1"/>
  <c r="H328" i="2" s="1"/>
  <c r="H329" i="2" s="1"/>
  <c r="H330" i="2" s="1"/>
  <c r="H331" i="2" s="1"/>
  <c r="H332" i="2" s="1"/>
  <c r="H333" i="2" s="1"/>
  <c r="H334" i="2" s="1"/>
  <c r="H335" i="2" s="1"/>
  <c r="H336" i="2" s="1"/>
  <c r="H337" i="2" s="1"/>
  <c r="H338" i="2" s="1"/>
  <c r="H339" i="2" s="1"/>
  <c r="H340" i="2" s="1"/>
  <c r="H341" i="2" s="1"/>
  <c r="H342" i="2" s="1"/>
  <c r="H343" i="2" s="1"/>
  <c r="H344" i="2" s="1"/>
  <c r="H345" i="2" s="1"/>
  <c r="H346" i="2" s="1"/>
  <c r="H347" i="2" s="1"/>
  <c r="H348" i="2" s="1"/>
  <c r="H349" i="2" s="1"/>
  <c r="H350" i="2" s="1"/>
  <c r="H351" i="2" s="1"/>
  <c r="H352" i="2" s="1"/>
  <c r="H353" i="2" s="1"/>
  <c r="H354" i="2" s="1"/>
  <c r="H355" i="2" s="1"/>
  <c r="H356" i="2" s="1"/>
  <c r="T51" i="2"/>
  <c r="T52" i="2" s="1"/>
  <c r="T53" i="2" s="1"/>
  <c r="T54" i="2" s="1"/>
  <c r="T55" i="2" s="1"/>
  <c r="T56" i="2" s="1"/>
  <c r="T57" i="2" s="1"/>
  <c r="T58" i="2" s="1"/>
  <c r="T59" i="2" s="1"/>
  <c r="T60" i="2" s="1"/>
  <c r="T61" i="2" s="1"/>
  <c r="T62" i="2" s="1"/>
  <c r="T63" i="2" s="1"/>
  <c r="T64" i="2" s="1"/>
  <c r="T65" i="2" s="1"/>
  <c r="T66" i="2" s="1"/>
  <c r="T67" i="2" s="1"/>
  <c r="T68" i="2" s="1"/>
  <c r="T69" i="2" s="1"/>
  <c r="T70" i="2" s="1"/>
  <c r="T71" i="2" s="1"/>
  <c r="T72" i="2" s="1"/>
  <c r="T73" i="2" s="1"/>
  <c r="T74" i="2" s="1"/>
  <c r="T75" i="2" s="1"/>
  <c r="T76" i="2" s="1"/>
  <c r="T77" i="2" s="1"/>
  <c r="T78" i="2" s="1"/>
  <c r="T79" i="2" s="1"/>
  <c r="T80" i="2" s="1"/>
  <c r="T81" i="2" s="1"/>
  <c r="T82" i="2" s="1"/>
  <c r="T83" i="2" s="1"/>
  <c r="T84" i="2" s="1"/>
  <c r="T85" i="2" s="1"/>
  <c r="T86" i="2" s="1"/>
  <c r="T87" i="2" s="1"/>
  <c r="T88" i="2" s="1"/>
  <c r="T89" i="2" s="1"/>
  <c r="T90" i="2" s="1"/>
  <c r="T91" i="2" s="1"/>
  <c r="T92" i="2" s="1"/>
  <c r="T93" i="2" s="1"/>
  <c r="T94" i="2" s="1"/>
  <c r="T95" i="2" s="1"/>
  <c r="T96" i="2" s="1"/>
  <c r="T97" i="2" s="1"/>
  <c r="T98" i="2" s="1"/>
  <c r="T99" i="2" s="1"/>
  <c r="T100" i="2" s="1"/>
  <c r="T101" i="2" s="1"/>
  <c r="T102" i="2" s="1"/>
  <c r="T103" i="2" s="1"/>
  <c r="T104" i="2" s="1"/>
  <c r="T105" i="2" s="1"/>
  <c r="T106" i="2" s="1"/>
  <c r="T107" i="2" s="1"/>
  <c r="T108" i="2" s="1"/>
  <c r="T109" i="2" s="1"/>
  <c r="T110" i="2" s="1"/>
  <c r="T111" i="2" s="1"/>
  <c r="T112" i="2" s="1"/>
  <c r="T113" i="2" s="1"/>
  <c r="T114" i="2" s="1"/>
  <c r="T115" i="2" s="1"/>
  <c r="T116" i="2" s="1"/>
  <c r="T117" i="2" s="1"/>
  <c r="T118" i="2" s="1"/>
  <c r="T119" i="2" s="1"/>
  <c r="T120" i="2" s="1"/>
  <c r="T121" i="2" s="1"/>
  <c r="T122" i="2" s="1"/>
  <c r="T123" i="2" s="1"/>
  <c r="T124" i="2" s="1"/>
  <c r="T125" i="2" s="1"/>
  <c r="T126" i="2" s="1"/>
  <c r="T127" i="2" s="1"/>
  <c r="T128" i="2" s="1"/>
  <c r="T129" i="2" s="1"/>
  <c r="T130" i="2" s="1"/>
  <c r="T131" i="2" s="1"/>
  <c r="T132" i="2" s="1"/>
  <c r="T133" i="2" s="1"/>
  <c r="T134" i="2" s="1"/>
  <c r="T135" i="2" s="1"/>
  <c r="T136" i="2" s="1"/>
  <c r="T137" i="2" s="1"/>
  <c r="T138" i="2" s="1"/>
  <c r="T139" i="2" s="1"/>
  <c r="T140" i="2" s="1"/>
  <c r="T141" i="2" s="1"/>
  <c r="T142" i="2" s="1"/>
  <c r="T143" i="2" s="1"/>
  <c r="T144" i="2" s="1"/>
  <c r="T145" i="2" s="1"/>
  <c r="T146" i="2" s="1"/>
  <c r="T147" i="2" s="1"/>
  <c r="T148" i="2" s="1"/>
  <c r="T149" i="2" s="1"/>
  <c r="T150" i="2" s="1"/>
  <c r="T151" i="2" s="1"/>
  <c r="T152" i="2" s="1"/>
  <c r="T153" i="2" s="1"/>
  <c r="T154" i="2" s="1"/>
  <c r="T155" i="2" s="1"/>
  <c r="T156" i="2" s="1"/>
  <c r="T157" i="2" s="1"/>
  <c r="T158" i="2" s="1"/>
  <c r="T159" i="2" s="1"/>
  <c r="T160" i="2" s="1"/>
  <c r="T161" i="2" s="1"/>
  <c r="T162" i="2" s="1"/>
  <c r="T163" i="2" s="1"/>
  <c r="T164" i="2" s="1"/>
  <c r="T165" i="2" s="1"/>
  <c r="T166" i="2" s="1"/>
  <c r="T167" i="2" s="1"/>
  <c r="T168" i="2" s="1"/>
  <c r="T169" i="2" s="1"/>
  <c r="T170" i="2" s="1"/>
  <c r="T171" i="2" s="1"/>
  <c r="T172" i="2" s="1"/>
  <c r="X172" i="2"/>
  <c r="X173" i="2" s="1"/>
  <c r="X174" i="2" s="1"/>
  <c r="X175" i="2" s="1"/>
  <c r="X176" i="2" s="1"/>
  <c r="X177" i="2" s="1"/>
  <c r="X178" i="2" s="1"/>
  <c r="X179" i="2" s="1"/>
  <c r="X180" i="2" s="1"/>
  <c r="X181" i="2" s="1"/>
  <c r="X182" i="2" s="1"/>
  <c r="X183" i="2" s="1"/>
  <c r="X184" i="2" s="1"/>
  <c r="X185" i="2" s="1"/>
  <c r="X186" i="2" s="1"/>
  <c r="X187" i="2" s="1"/>
  <c r="X188" i="2" s="1"/>
  <c r="X189" i="2" s="1"/>
  <c r="X190" i="2" s="1"/>
  <c r="X191" i="2" s="1"/>
  <c r="X192" i="2" s="1"/>
  <c r="X193" i="2" s="1"/>
  <c r="X194" i="2" s="1"/>
  <c r="X195" i="2" s="1"/>
  <c r="X196" i="2" s="1"/>
  <c r="X197" i="2" s="1"/>
  <c r="X198" i="2" s="1"/>
  <c r="X199" i="2" s="1"/>
  <c r="X200" i="2" s="1"/>
  <c r="X201" i="2" s="1"/>
  <c r="X202" i="2" s="1"/>
  <c r="X203" i="2" s="1"/>
  <c r="X204" i="2" s="1"/>
  <c r="X205" i="2" s="1"/>
  <c r="X206" i="2" s="1"/>
  <c r="X207" i="2" s="1"/>
  <c r="X208" i="2" s="1"/>
  <c r="X209" i="2" s="1"/>
  <c r="X210" i="2" s="1"/>
  <c r="X211" i="2" s="1"/>
  <c r="X212" i="2" s="1"/>
  <c r="X213" i="2" s="1"/>
  <c r="X214" i="2" s="1"/>
  <c r="X215" i="2" s="1"/>
  <c r="X216" i="2" s="1"/>
  <c r="X217" i="2" s="1"/>
  <c r="X218" i="2" s="1"/>
  <c r="X219" i="2" s="1"/>
  <c r="X220" i="2" s="1"/>
  <c r="X221" i="2" s="1"/>
  <c r="X222" i="2" s="1"/>
  <c r="X223" i="2" s="1"/>
  <c r="X224" i="2" s="1"/>
  <c r="X225" i="2" s="1"/>
  <c r="X226" i="2" s="1"/>
  <c r="X227" i="2" s="1"/>
  <c r="X228" i="2" s="1"/>
  <c r="X229" i="2" s="1"/>
  <c r="X230" i="2" s="1"/>
  <c r="X231" i="2" s="1"/>
  <c r="X232" i="2" s="1"/>
  <c r="X233" i="2" s="1"/>
  <c r="X234" i="2" s="1"/>
  <c r="X235" i="2" s="1"/>
  <c r="X236" i="2" s="1"/>
  <c r="X237" i="2" s="1"/>
  <c r="X238" i="2" s="1"/>
  <c r="X239" i="2" s="1"/>
  <c r="X240" i="2" s="1"/>
  <c r="X241" i="2" s="1"/>
  <c r="X242" i="2" s="1"/>
  <c r="X243" i="2" s="1"/>
  <c r="X244" i="2" s="1"/>
  <c r="X245" i="2" s="1"/>
  <c r="X246" i="2" s="1"/>
  <c r="X247" i="2" s="1"/>
  <c r="X248" i="2" s="1"/>
  <c r="X249" i="2" s="1"/>
  <c r="X250" i="2" s="1"/>
  <c r="X251" i="2" s="1"/>
  <c r="X252" i="2" s="1"/>
  <c r="X253" i="2" s="1"/>
  <c r="X254" i="2" s="1"/>
  <c r="X255" i="2" s="1"/>
  <c r="X256" i="2" s="1"/>
  <c r="X257" i="2" s="1"/>
  <c r="X258" i="2" s="1"/>
  <c r="X259" i="2" s="1"/>
  <c r="X260" i="2" s="1"/>
  <c r="X261" i="2" s="1"/>
  <c r="X262" i="2" s="1"/>
  <c r="X263" i="2" s="1"/>
  <c r="X264" i="2" s="1"/>
  <c r="X265" i="2" s="1"/>
  <c r="X266" i="2" s="1"/>
  <c r="X267" i="2" s="1"/>
  <c r="X268" i="2" s="1"/>
  <c r="X269" i="2" s="1"/>
  <c r="X270" i="2" s="1"/>
  <c r="X271" i="2" s="1"/>
  <c r="X272" i="2" s="1"/>
  <c r="X273" i="2" s="1"/>
  <c r="X274" i="2" s="1"/>
  <c r="X275" i="2" s="1"/>
  <c r="X276" i="2" s="1"/>
  <c r="X277" i="2" s="1"/>
  <c r="X278" i="2" s="1"/>
  <c r="X279" i="2" s="1"/>
  <c r="X280" i="2" s="1"/>
  <c r="X281" i="2" s="1"/>
  <c r="X282" i="2" s="1"/>
  <c r="X283" i="2" s="1"/>
  <c r="X284" i="2" s="1"/>
  <c r="X285" i="2" s="1"/>
  <c r="X286" i="2" s="1"/>
  <c r="X287" i="2" s="1"/>
  <c r="X288" i="2" s="1"/>
  <c r="X289" i="2" s="1"/>
  <c r="X290" i="2" s="1"/>
  <c r="X291" i="2" s="1"/>
  <c r="X292" i="2" s="1"/>
  <c r="X293" i="2" s="1"/>
  <c r="X294" i="2" s="1"/>
  <c r="X295" i="2" s="1"/>
  <c r="X296" i="2" s="1"/>
  <c r="X297" i="2" s="1"/>
  <c r="X298" i="2" s="1"/>
  <c r="X299" i="2" s="1"/>
  <c r="X300" i="2" s="1"/>
  <c r="X301" i="2" s="1"/>
  <c r="X302" i="2" s="1"/>
  <c r="X303" i="2" s="1"/>
  <c r="X304" i="2" s="1"/>
  <c r="X305" i="2" s="1"/>
  <c r="X306" i="2" s="1"/>
  <c r="X307" i="2" s="1"/>
  <c r="X308" i="2" s="1"/>
  <c r="X309" i="2" s="1"/>
  <c r="X310" i="2" s="1"/>
  <c r="X311" i="2" s="1"/>
  <c r="X312" i="2" s="1"/>
  <c r="X313" i="2" s="1"/>
  <c r="X314" i="2" s="1"/>
  <c r="X315" i="2" s="1"/>
  <c r="X316" i="2" s="1"/>
  <c r="X317" i="2" s="1"/>
  <c r="X318" i="2" s="1"/>
  <c r="X319" i="2" s="1"/>
  <c r="X320" i="2" s="1"/>
  <c r="X321" i="2" s="1"/>
  <c r="X322" i="2" s="1"/>
  <c r="X323" i="2" s="1"/>
  <c r="X324" i="2" s="1"/>
  <c r="X325" i="2" s="1"/>
  <c r="X326" i="2" s="1"/>
  <c r="X327" i="2" s="1"/>
  <c r="X328" i="2" s="1"/>
  <c r="X329" i="2" s="1"/>
  <c r="X330" i="2" s="1"/>
  <c r="X331" i="2" s="1"/>
  <c r="X332" i="2" s="1"/>
  <c r="X333" i="2" s="1"/>
  <c r="X334" i="2" s="1"/>
  <c r="X335" i="2" s="1"/>
  <c r="X336" i="2" s="1"/>
  <c r="X337" i="2" s="1"/>
  <c r="X338" i="2" s="1"/>
  <c r="X339" i="2" s="1"/>
  <c r="X340" i="2" s="1"/>
  <c r="X341" i="2" s="1"/>
  <c r="X342" i="2" s="1"/>
  <c r="X343" i="2" s="1"/>
  <c r="X344" i="2" s="1"/>
  <c r="X345" i="2" s="1"/>
  <c r="X346" i="2" s="1"/>
  <c r="X347" i="2" s="1"/>
  <c r="X348" i="2" s="1"/>
  <c r="X349" i="2" s="1"/>
  <c r="X350" i="2" s="1"/>
  <c r="X351" i="2" s="1"/>
  <c r="X352" i="2" s="1"/>
  <c r="X353" i="2" s="1"/>
  <c r="X354" i="2" s="1"/>
  <c r="X355" i="2" s="1"/>
  <c r="X356" i="2" s="1"/>
  <c r="W171" i="2"/>
  <c r="W171" i="1"/>
  <c r="X172" i="1"/>
  <c r="X173" i="1" s="1"/>
  <c r="X174" i="1" s="1"/>
  <c r="X175" i="1" s="1"/>
  <c r="X176" i="1" s="1"/>
  <c r="X177" i="1" s="1"/>
  <c r="X178" i="1" s="1"/>
  <c r="X179" i="1" s="1"/>
  <c r="X180" i="1" s="1"/>
  <c r="X181" i="1" s="1"/>
  <c r="X182" i="1" s="1"/>
  <c r="X183" i="1" s="1"/>
  <c r="X184" i="1" s="1"/>
  <c r="X185" i="1" s="1"/>
  <c r="X186" i="1" s="1"/>
  <c r="X187" i="1" s="1"/>
  <c r="X188" i="1" s="1"/>
  <c r="X189" i="1" s="1"/>
  <c r="X190" i="1" s="1"/>
  <c r="X191" i="1" s="1"/>
  <c r="X192" i="1" s="1"/>
  <c r="X193" i="1" s="1"/>
  <c r="X194" i="1" s="1"/>
  <c r="X195" i="1" s="1"/>
  <c r="X196" i="1" s="1"/>
  <c r="X197" i="1" s="1"/>
  <c r="X198" i="1" s="1"/>
  <c r="X199" i="1" s="1"/>
  <c r="X200" i="1" s="1"/>
  <c r="X201" i="1" s="1"/>
  <c r="X202" i="1" s="1"/>
  <c r="X203" i="1" s="1"/>
  <c r="X204" i="1" s="1"/>
  <c r="X205" i="1" s="1"/>
  <c r="X206" i="1" s="1"/>
  <c r="X207" i="1" s="1"/>
  <c r="X208" i="1" s="1"/>
  <c r="X209" i="1" s="1"/>
  <c r="X210" i="1" s="1"/>
  <c r="X211" i="1" s="1"/>
  <c r="X212" i="1" s="1"/>
  <c r="X213" i="1" s="1"/>
  <c r="X214" i="1" s="1"/>
  <c r="X215" i="1" s="1"/>
  <c r="X216" i="1" s="1"/>
  <c r="X217" i="1" s="1"/>
  <c r="X218" i="1" s="1"/>
  <c r="X219" i="1" s="1"/>
  <c r="X220" i="1" s="1"/>
  <c r="X221" i="1" s="1"/>
  <c r="X222" i="1" s="1"/>
  <c r="X223" i="1" s="1"/>
  <c r="X224" i="1" s="1"/>
  <c r="X225" i="1" s="1"/>
  <c r="X226" i="1" s="1"/>
  <c r="X227" i="1" s="1"/>
  <c r="X228" i="1" s="1"/>
  <c r="X229" i="1" s="1"/>
  <c r="X230" i="1" s="1"/>
  <c r="X231" i="1" s="1"/>
  <c r="X232" i="1" s="1"/>
  <c r="X233" i="1" s="1"/>
  <c r="X234" i="1" s="1"/>
  <c r="X235" i="1" s="1"/>
  <c r="X236" i="1" s="1"/>
  <c r="X237" i="1" s="1"/>
  <c r="X238" i="1" s="1"/>
  <c r="X239" i="1" s="1"/>
  <c r="X240" i="1" s="1"/>
  <c r="X241" i="1" s="1"/>
  <c r="X242" i="1" s="1"/>
  <c r="X243" i="1" s="1"/>
  <c r="X244" i="1" s="1"/>
  <c r="X245" i="1" s="1"/>
  <c r="X246" i="1" s="1"/>
  <c r="X247" i="1" s="1"/>
  <c r="X248" i="1" s="1"/>
  <c r="X249" i="1" s="1"/>
  <c r="X250" i="1" s="1"/>
  <c r="X251" i="1" s="1"/>
  <c r="X252" i="1" s="1"/>
  <c r="X253" i="1" s="1"/>
  <c r="X254" i="1" s="1"/>
  <c r="X255" i="1" s="1"/>
  <c r="X256" i="1" s="1"/>
  <c r="X257" i="1" s="1"/>
  <c r="X258" i="1" s="1"/>
  <c r="X259" i="1" s="1"/>
  <c r="X260" i="1" s="1"/>
  <c r="X261" i="1" s="1"/>
  <c r="X262" i="1" s="1"/>
  <c r="X263" i="1" s="1"/>
  <c r="X264" i="1" s="1"/>
  <c r="X265" i="1" s="1"/>
  <c r="X266" i="1" s="1"/>
  <c r="X267" i="1" s="1"/>
  <c r="X268" i="1" s="1"/>
  <c r="X269" i="1" s="1"/>
  <c r="X270" i="1" s="1"/>
  <c r="X271" i="1" s="1"/>
  <c r="X272" i="1" s="1"/>
  <c r="X273" i="1" s="1"/>
  <c r="X274" i="1" s="1"/>
  <c r="X275" i="1" s="1"/>
  <c r="X276" i="1" s="1"/>
  <c r="X277" i="1" s="1"/>
  <c r="X278" i="1" s="1"/>
  <c r="X279" i="1" s="1"/>
  <c r="X280" i="1" s="1"/>
  <c r="X281" i="1" s="1"/>
  <c r="X282" i="1" s="1"/>
  <c r="X283" i="1" s="1"/>
  <c r="X284" i="1" s="1"/>
  <c r="X285" i="1" s="1"/>
  <c r="X286" i="1" s="1"/>
  <c r="X287" i="1" s="1"/>
  <c r="X288" i="1" s="1"/>
  <c r="X289" i="1" s="1"/>
  <c r="X290" i="1" s="1"/>
  <c r="X291" i="1" s="1"/>
  <c r="X292" i="1" s="1"/>
  <c r="X293" i="1" s="1"/>
  <c r="X294" i="1" s="1"/>
  <c r="X295" i="1" s="1"/>
  <c r="X296" i="1" s="1"/>
  <c r="X297" i="1" s="1"/>
  <c r="X298" i="1" s="1"/>
  <c r="X299" i="1" s="1"/>
  <c r="X300" i="1" s="1"/>
  <c r="X301" i="1" s="1"/>
  <c r="X302" i="1" s="1"/>
  <c r="X303" i="1" s="1"/>
  <c r="X304" i="1" s="1"/>
  <c r="X305" i="1" s="1"/>
  <c r="X306" i="1" s="1"/>
  <c r="X307" i="1" s="1"/>
  <c r="X308" i="1" s="1"/>
  <c r="X309" i="1" s="1"/>
  <c r="X310" i="1" s="1"/>
  <c r="X311" i="1" s="1"/>
  <c r="X312" i="1" s="1"/>
  <c r="X313" i="1" s="1"/>
  <c r="X314" i="1" s="1"/>
  <c r="X315" i="1" s="1"/>
  <c r="X316" i="1" s="1"/>
  <c r="X317" i="1" s="1"/>
  <c r="X318" i="1" s="1"/>
  <c r="X319" i="1" s="1"/>
  <c r="X320" i="1" s="1"/>
  <c r="X321" i="1" s="1"/>
  <c r="X322" i="1" s="1"/>
  <c r="X323" i="1" s="1"/>
  <c r="X324" i="1" s="1"/>
  <c r="X325" i="1" s="1"/>
  <c r="X326" i="1" s="1"/>
  <c r="X327" i="1" s="1"/>
  <c r="X328" i="1" s="1"/>
  <c r="X329" i="1" s="1"/>
  <c r="X330" i="1" s="1"/>
  <c r="X331" i="1" s="1"/>
  <c r="X332" i="1" s="1"/>
  <c r="X333" i="1" s="1"/>
  <c r="X334" i="1" s="1"/>
  <c r="X335" i="1" s="1"/>
  <c r="X336" i="1" s="1"/>
  <c r="X337" i="1" s="1"/>
  <c r="X338" i="1" s="1"/>
  <c r="X339" i="1" s="1"/>
  <c r="X340" i="1" s="1"/>
  <c r="X341" i="1" s="1"/>
  <c r="X342" i="1" s="1"/>
  <c r="X343" i="1" s="1"/>
  <c r="X344" i="1" s="1"/>
  <c r="X345" i="1" s="1"/>
  <c r="X346" i="1" s="1"/>
  <c r="X347" i="1" s="1"/>
  <c r="X348" i="1" s="1"/>
  <c r="X349" i="1" s="1"/>
  <c r="X350" i="1" s="1"/>
  <c r="X351" i="1" s="1"/>
  <c r="X352" i="1" s="1"/>
  <c r="X353" i="1" s="1"/>
  <c r="X354" i="1" s="1"/>
  <c r="X355" i="1" s="1"/>
  <c r="X356" i="1" s="1"/>
  <c r="T51" i="1"/>
  <c r="T52" i="1" s="1"/>
  <c r="T53" i="1" s="1"/>
  <c r="T54" i="1" s="1"/>
  <c r="T55" i="1" s="1"/>
  <c r="T56" i="1" s="1"/>
  <c r="T57" i="1" s="1"/>
  <c r="T58" i="1" s="1"/>
  <c r="T59" i="1" s="1"/>
  <c r="T60" i="1" s="1"/>
  <c r="T61" i="1" s="1"/>
  <c r="T62" i="1" s="1"/>
  <c r="T63" i="1" s="1"/>
  <c r="T64" i="1" s="1"/>
  <c r="T65" i="1" s="1"/>
  <c r="T66" i="1" s="1"/>
  <c r="T67" i="1" s="1"/>
  <c r="T68" i="1" s="1"/>
  <c r="T69" i="1" s="1"/>
  <c r="T70" i="1" s="1"/>
  <c r="T71" i="1" s="1"/>
  <c r="T72" i="1" s="1"/>
  <c r="T73" i="1" s="1"/>
  <c r="T74" i="1" s="1"/>
  <c r="T75" i="1" s="1"/>
  <c r="T76" i="1" s="1"/>
  <c r="T77" i="1" s="1"/>
  <c r="T78" i="1" s="1"/>
  <c r="T79" i="1" s="1"/>
  <c r="T80" i="1" s="1"/>
  <c r="T81" i="1" s="1"/>
  <c r="T82" i="1" s="1"/>
  <c r="T83" i="1" s="1"/>
  <c r="T84" i="1" s="1"/>
  <c r="T85" i="1" s="1"/>
  <c r="T86" i="1" s="1"/>
  <c r="T87" i="1" s="1"/>
  <c r="T88" i="1" s="1"/>
  <c r="T89" i="1" s="1"/>
  <c r="T90" i="1" s="1"/>
  <c r="T91" i="1" s="1"/>
  <c r="T92" i="1" s="1"/>
  <c r="T93" i="1" s="1"/>
  <c r="T94" i="1" s="1"/>
  <c r="T95" i="1" s="1"/>
  <c r="T96" i="1" s="1"/>
  <c r="T97" i="1" s="1"/>
  <c r="T98" i="1" s="1"/>
  <c r="T99" i="1" s="1"/>
  <c r="T100" i="1" s="1"/>
  <c r="T101" i="1" s="1"/>
  <c r="T102" i="1" s="1"/>
  <c r="T103" i="1" s="1"/>
  <c r="T104" i="1" s="1"/>
  <c r="T105" i="1" s="1"/>
  <c r="T106" i="1" s="1"/>
  <c r="T107" i="1" s="1"/>
  <c r="T108" i="1" s="1"/>
  <c r="T109" i="1" s="1"/>
  <c r="T110" i="1" s="1"/>
  <c r="T111" i="1" s="1"/>
  <c r="T112" i="1" s="1"/>
  <c r="T113" i="1" s="1"/>
  <c r="T114" i="1" s="1"/>
  <c r="T115" i="1" s="1"/>
  <c r="T116" i="1" s="1"/>
  <c r="T117" i="1" s="1"/>
  <c r="T118" i="1" s="1"/>
  <c r="T119" i="1" s="1"/>
  <c r="T120" i="1" s="1"/>
  <c r="T121" i="1" s="1"/>
  <c r="T122" i="1" s="1"/>
  <c r="T123" i="1" s="1"/>
  <c r="T124" i="1" s="1"/>
  <c r="T125" i="1" s="1"/>
  <c r="T126" i="1" s="1"/>
  <c r="T127" i="1" s="1"/>
  <c r="T128" i="1" s="1"/>
  <c r="T129" i="1" s="1"/>
  <c r="T130" i="1" s="1"/>
  <c r="T131" i="1" s="1"/>
  <c r="T132" i="1" s="1"/>
  <c r="T133" i="1" s="1"/>
  <c r="T134" i="1" s="1"/>
  <c r="T135" i="1" s="1"/>
  <c r="T136" i="1" s="1"/>
  <c r="T137" i="1" s="1"/>
  <c r="T138" i="1" s="1"/>
  <c r="T139" i="1" s="1"/>
  <c r="T140" i="1" s="1"/>
  <c r="T141" i="1" s="1"/>
  <c r="T142" i="1" s="1"/>
  <c r="T143" i="1" s="1"/>
  <c r="T144" i="1" s="1"/>
  <c r="T145" i="1" s="1"/>
  <c r="T146" i="1" s="1"/>
  <c r="T147" i="1" s="1"/>
  <c r="T148" i="1" s="1"/>
  <c r="T149" i="1" s="1"/>
  <c r="T150" i="1" s="1"/>
  <c r="T151" i="1" s="1"/>
  <c r="T152" i="1" s="1"/>
  <c r="T153" i="1" s="1"/>
  <c r="T154" i="1" s="1"/>
  <c r="T155" i="1" s="1"/>
  <c r="T156" i="1" s="1"/>
  <c r="T157" i="1" s="1"/>
  <c r="T158" i="1" s="1"/>
  <c r="T159" i="1" s="1"/>
  <c r="T160" i="1" s="1"/>
  <c r="T161" i="1" s="1"/>
  <c r="T162" i="1" s="1"/>
  <c r="T163" i="1" s="1"/>
  <c r="T164" i="1" s="1"/>
  <c r="T165" i="1" s="1"/>
  <c r="T166" i="1" s="1"/>
  <c r="T167" i="1" s="1"/>
  <c r="T168" i="1" s="1"/>
  <c r="T169" i="1" s="1"/>
  <c r="T170" i="1" s="1"/>
  <c r="T171" i="1" s="1"/>
  <c r="T172" i="1" s="1"/>
  <c r="U57" i="1"/>
  <c r="U61" i="1"/>
  <c r="U181" i="2" l="1"/>
  <c r="U183" i="2"/>
  <c r="U187" i="2" s="1"/>
  <c r="T173" i="2"/>
  <c r="T174" i="2" s="1"/>
  <c r="T175" i="2" s="1"/>
  <c r="T176" i="2" s="1"/>
  <c r="T177" i="2" s="1"/>
  <c r="T178" i="2" s="1"/>
  <c r="T179" i="2" s="1"/>
  <c r="T180" i="2" s="1"/>
  <c r="T181" i="2" s="1"/>
  <c r="T182" i="2" s="1"/>
  <c r="T183" i="2" s="1"/>
  <c r="T184" i="2" s="1"/>
  <c r="T185" i="2" s="1"/>
  <c r="T186" i="2" s="1"/>
  <c r="T187" i="2" s="1"/>
  <c r="T188" i="2" s="1"/>
  <c r="T189" i="2" s="1"/>
  <c r="T190" i="2" s="1"/>
  <c r="T191" i="2" s="1"/>
  <c r="T192" i="2" s="1"/>
  <c r="T193" i="2" s="1"/>
  <c r="T194" i="2" s="1"/>
  <c r="T195" i="2" s="1"/>
  <c r="T196" i="2" s="1"/>
  <c r="T197" i="2" s="1"/>
  <c r="T198" i="2" s="1"/>
  <c r="T199" i="2" s="1"/>
  <c r="T200" i="2" s="1"/>
  <c r="T201" i="2" s="1"/>
  <c r="T202" i="2" s="1"/>
  <c r="T203" i="2" s="1"/>
  <c r="T204" i="2" s="1"/>
  <c r="T205" i="2" s="1"/>
  <c r="T206" i="2" s="1"/>
  <c r="T207" i="2" s="1"/>
  <c r="T208" i="2" s="1"/>
  <c r="T209" i="2" s="1"/>
  <c r="T210" i="2" s="1"/>
  <c r="T211" i="2" s="1"/>
  <c r="T212" i="2" s="1"/>
  <c r="U61" i="2"/>
  <c r="U63" i="2" s="1"/>
  <c r="U57" i="2"/>
  <c r="U59" i="2"/>
  <c r="T173" i="1"/>
  <c r="T174" i="1" s="1"/>
  <c r="T175" i="1" s="1"/>
  <c r="T176" i="1" s="1"/>
  <c r="T177" i="1" s="1"/>
  <c r="T178" i="1" s="1"/>
  <c r="T179" i="1" s="1"/>
  <c r="T180" i="1" s="1"/>
  <c r="T181" i="1" s="1"/>
  <c r="T182" i="1" s="1"/>
  <c r="T183" i="1" s="1"/>
  <c r="T184" i="1" s="1"/>
  <c r="T185" i="1" s="1"/>
  <c r="T186" i="1" s="1"/>
  <c r="T187" i="1" s="1"/>
  <c r="T188" i="1" s="1"/>
  <c r="T189" i="1" s="1"/>
  <c r="T190" i="1" s="1"/>
  <c r="T191" i="1" s="1"/>
  <c r="T192" i="1" s="1"/>
  <c r="T193" i="1" s="1"/>
  <c r="T194" i="1" s="1"/>
  <c r="T195" i="1" s="1"/>
  <c r="T196" i="1" s="1"/>
  <c r="T197" i="1" s="1"/>
  <c r="T198" i="1" s="1"/>
  <c r="T199" i="1" s="1"/>
  <c r="T200" i="1" s="1"/>
  <c r="T201" i="1" s="1"/>
  <c r="T202" i="1" s="1"/>
  <c r="T203" i="1" s="1"/>
  <c r="T204" i="1" s="1"/>
  <c r="T205" i="1" s="1"/>
  <c r="T206" i="1" s="1"/>
  <c r="T207" i="1" s="1"/>
  <c r="T208" i="1" s="1"/>
  <c r="T209" i="1" s="1"/>
  <c r="T210" i="1" s="1"/>
  <c r="T211" i="1" s="1"/>
  <c r="T212" i="1" s="1"/>
  <c r="U59" i="1"/>
  <c r="U179" i="2" l="1"/>
  <c r="T213" i="2"/>
  <c r="T214" i="2" s="1"/>
  <c r="T215" i="2" s="1"/>
  <c r="T216" i="2" s="1"/>
  <c r="T217" i="2" s="1"/>
  <c r="T218" i="2" s="1"/>
  <c r="T219" i="2" s="1"/>
  <c r="T220" i="2" s="1"/>
  <c r="T221" i="2" s="1"/>
  <c r="T222" i="2" s="1"/>
  <c r="T223" i="2" s="1"/>
  <c r="T224" i="2" s="1"/>
  <c r="T225" i="2" s="1"/>
  <c r="T226" i="2" s="1"/>
  <c r="T227" i="2" s="1"/>
  <c r="T228" i="2" s="1"/>
  <c r="T229" i="2" s="1"/>
  <c r="T230" i="2" s="1"/>
  <c r="T231" i="2" s="1"/>
  <c r="T232" i="2" s="1"/>
  <c r="T233" i="2" s="1"/>
  <c r="T234" i="2" s="1"/>
  <c r="T235" i="2" s="1"/>
  <c r="T236" i="2" s="1"/>
  <c r="T237" i="2" s="1"/>
  <c r="T238" i="2" s="1"/>
  <c r="T239" i="2" s="1"/>
  <c r="T240" i="2" s="1"/>
  <c r="T241" i="2" s="1"/>
  <c r="T242" i="2" s="1"/>
  <c r="T243" i="2" s="1"/>
  <c r="U181" i="1"/>
  <c r="U179" i="1"/>
  <c r="T213" i="1"/>
  <c r="T214" i="1" s="1"/>
  <c r="T215" i="1" s="1"/>
  <c r="T216" i="1" s="1"/>
  <c r="T217" i="1" s="1"/>
  <c r="T218" i="1" s="1"/>
  <c r="T219" i="1" s="1"/>
  <c r="T220" i="1" s="1"/>
  <c r="T221" i="1" s="1"/>
  <c r="T222" i="1" s="1"/>
  <c r="T223" i="1" s="1"/>
  <c r="T224" i="1" s="1"/>
  <c r="T225" i="1" s="1"/>
  <c r="T226" i="1" s="1"/>
  <c r="T227" i="1" s="1"/>
  <c r="T228" i="1" s="1"/>
  <c r="T229" i="1" s="1"/>
  <c r="T230" i="1" s="1"/>
  <c r="T231" i="1" s="1"/>
  <c r="T232" i="1" s="1"/>
  <c r="T233" i="1" s="1"/>
  <c r="T234" i="1" s="1"/>
  <c r="T235" i="1" s="1"/>
  <c r="T236" i="1" s="1"/>
  <c r="T237" i="1" s="1"/>
  <c r="T238" i="1" s="1"/>
  <c r="T239" i="1" s="1"/>
  <c r="T240" i="1" s="1"/>
  <c r="T241" i="1" s="1"/>
  <c r="T242" i="1" s="1"/>
  <c r="T243" i="1" s="1"/>
  <c r="U183" i="1"/>
  <c r="U225" i="2" l="1"/>
  <c r="T244" i="2"/>
  <c r="T245" i="2" s="1"/>
  <c r="T246" i="2" s="1"/>
  <c r="T247" i="2" s="1"/>
  <c r="T248" i="2" s="1"/>
  <c r="T249" i="2" s="1"/>
  <c r="T250" i="2" s="1"/>
  <c r="T251" i="2" s="1"/>
  <c r="T252" i="2" s="1"/>
  <c r="T253" i="2" s="1"/>
  <c r="T254" i="2" s="1"/>
  <c r="T255" i="2" s="1"/>
  <c r="T256" i="2" s="1"/>
  <c r="T257" i="2" s="1"/>
  <c r="T258" i="2" s="1"/>
  <c r="T259" i="2" s="1"/>
  <c r="T260" i="2" s="1"/>
  <c r="T261" i="2" s="1"/>
  <c r="T262" i="2" s="1"/>
  <c r="T263" i="2" s="1"/>
  <c r="T264" i="2" s="1"/>
  <c r="T244" i="1"/>
  <c r="T245" i="1" s="1"/>
  <c r="T246" i="1" s="1"/>
  <c r="T247" i="1" s="1"/>
  <c r="T248" i="1" s="1"/>
  <c r="T249" i="1" s="1"/>
  <c r="T250" i="1" s="1"/>
  <c r="T251" i="1" s="1"/>
  <c r="T252" i="1" s="1"/>
  <c r="T253" i="1" s="1"/>
  <c r="T254" i="1" s="1"/>
  <c r="T255" i="1" s="1"/>
  <c r="T256" i="1" s="1"/>
  <c r="T257" i="1" s="1"/>
  <c r="T258" i="1" s="1"/>
  <c r="T259" i="1" s="1"/>
  <c r="T260" i="1" s="1"/>
  <c r="T261" i="1" s="1"/>
  <c r="T262" i="1" s="1"/>
  <c r="T263" i="1" s="1"/>
  <c r="T264" i="1" s="1"/>
  <c r="U219" i="1"/>
  <c r="U221" i="1"/>
  <c r="U223" i="1"/>
  <c r="T265" i="2" l="1"/>
  <c r="T266" i="2" s="1"/>
  <c r="T267" i="2" s="1"/>
  <c r="T268" i="2" s="1"/>
  <c r="T269" i="2" s="1"/>
  <c r="T270" i="2" s="1"/>
  <c r="T271" i="2" s="1"/>
  <c r="T272" i="2" s="1"/>
  <c r="T273" i="2" s="1"/>
  <c r="T274" i="2" s="1"/>
  <c r="T275" i="2" s="1"/>
  <c r="T276" i="2" s="1"/>
  <c r="T277" i="2" s="1"/>
  <c r="T278" i="2" s="1"/>
  <c r="T279" i="2" s="1"/>
  <c r="T280" i="2" s="1"/>
  <c r="T281" i="2" s="1"/>
  <c r="T282" i="2" s="1"/>
  <c r="T283" i="2" s="1"/>
  <c r="T284" i="2" s="1"/>
  <c r="T285" i="2" s="1"/>
  <c r="T286" i="2" s="1"/>
  <c r="T287" i="2" s="1"/>
  <c r="T288" i="2" s="1"/>
  <c r="T289" i="2" s="1"/>
  <c r="T290" i="2" s="1"/>
  <c r="T291" i="2" s="1"/>
  <c r="T292" i="2" s="1"/>
  <c r="U253" i="2"/>
  <c r="U254" i="1"/>
  <c r="U252" i="1"/>
  <c r="T265" i="1"/>
  <c r="T266" i="1" s="1"/>
  <c r="T267" i="1" s="1"/>
  <c r="T268" i="1" s="1"/>
  <c r="T269" i="1" s="1"/>
  <c r="T270" i="1" s="1"/>
  <c r="T271" i="1" s="1"/>
  <c r="T272" i="1" s="1"/>
  <c r="T273" i="1" s="1"/>
  <c r="T274" i="1" s="1"/>
  <c r="T275" i="1" s="1"/>
  <c r="T276" i="1" s="1"/>
  <c r="T277" i="1" s="1"/>
  <c r="T278" i="1" s="1"/>
  <c r="T279" i="1" s="1"/>
  <c r="T280" i="1" s="1"/>
  <c r="T281" i="1" s="1"/>
  <c r="T282" i="1" s="1"/>
  <c r="T283" i="1" s="1"/>
  <c r="T284" i="1" s="1"/>
  <c r="T285" i="1" s="1"/>
  <c r="T286" i="1" s="1"/>
  <c r="T287" i="1" s="1"/>
  <c r="T288" i="1" s="1"/>
  <c r="T289" i="1" s="1"/>
  <c r="T290" i="1" s="1"/>
  <c r="T291" i="1" s="1"/>
  <c r="T292" i="1" s="1"/>
  <c r="U250" i="1"/>
  <c r="T293" i="2" l="1"/>
  <c r="T294" i="2" s="1"/>
  <c r="T295" i="2" s="1"/>
  <c r="T296" i="2" s="1"/>
  <c r="T297" i="2" s="1"/>
  <c r="T298" i="2" s="1"/>
  <c r="T299" i="2" s="1"/>
  <c r="T300" i="2" s="1"/>
  <c r="T301" i="2" s="1"/>
  <c r="T302" i="2" s="1"/>
  <c r="T303" i="2" s="1"/>
  <c r="T304" i="2" s="1"/>
  <c r="T305" i="2" s="1"/>
  <c r="T306" i="2" s="1"/>
  <c r="T307" i="2" s="1"/>
  <c r="T308" i="2" s="1"/>
  <c r="T309" i="2" s="1"/>
  <c r="T310" i="2" s="1"/>
  <c r="T311" i="2" s="1"/>
  <c r="T312" i="2" s="1"/>
  <c r="T313" i="2" s="1"/>
  <c r="U274" i="2"/>
  <c r="U271" i="1"/>
  <c r="U273" i="1"/>
  <c r="T293" i="1"/>
  <c r="T294" i="1" s="1"/>
  <c r="T295" i="1" s="1"/>
  <c r="T296" i="1" s="1"/>
  <c r="T297" i="1" s="1"/>
  <c r="T298" i="1" s="1"/>
  <c r="T299" i="1" s="1"/>
  <c r="T300" i="1" s="1"/>
  <c r="T301" i="1" s="1"/>
  <c r="T302" i="1" s="1"/>
  <c r="T303" i="1" s="1"/>
  <c r="T304" i="1" s="1"/>
  <c r="T305" i="1" s="1"/>
  <c r="T306" i="1" s="1"/>
  <c r="T307" i="1" s="1"/>
  <c r="T308" i="1" s="1"/>
  <c r="T309" i="1" s="1"/>
  <c r="T310" i="1" s="1"/>
  <c r="T311" i="1" s="1"/>
  <c r="T312" i="1" s="1"/>
  <c r="T313" i="1" s="1"/>
  <c r="U275" i="1"/>
  <c r="U299" i="2" l="1"/>
  <c r="T314" i="2"/>
  <c r="T315" i="2" s="1"/>
  <c r="T316" i="2" s="1"/>
  <c r="T317" i="2" s="1"/>
  <c r="T318" i="2" s="1"/>
  <c r="T319" i="2" s="1"/>
  <c r="T320" i="2" s="1"/>
  <c r="T321" i="2" s="1"/>
  <c r="T322" i="2" s="1"/>
  <c r="T323" i="2" s="1"/>
  <c r="T324" i="2" s="1"/>
  <c r="T325" i="2" s="1"/>
  <c r="T326" i="2" s="1"/>
  <c r="T327" i="2" s="1"/>
  <c r="T328" i="2" s="1"/>
  <c r="T329" i="2" s="1"/>
  <c r="T330" i="2" s="1"/>
  <c r="T331" i="2" s="1"/>
  <c r="T332" i="2" s="1"/>
  <c r="T333" i="2" s="1"/>
  <c r="T334" i="2" s="1"/>
  <c r="T335" i="2" s="1"/>
  <c r="T336" i="2" s="1"/>
  <c r="T337" i="2" s="1"/>
  <c r="T338" i="2" s="1"/>
  <c r="T339" i="2" s="1"/>
  <c r="T340" i="2" s="1"/>
  <c r="T341" i="2" s="1"/>
  <c r="T342" i="2" s="1"/>
  <c r="T343" i="2" s="1"/>
  <c r="T344" i="2" s="1"/>
  <c r="T345" i="2" s="1"/>
  <c r="T346" i="2" s="1"/>
  <c r="T347" i="2" s="1"/>
  <c r="T348" i="2" s="1"/>
  <c r="T349" i="2" s="1"/>
  <c r="T350" i="2" s="1"/>
  <c r="T351" i="2" s="1"/>
  <c r="T352" i="2" s="1"/>
  <c r="T353" i="2" s="1"/>
  <c r="T354" i="2" s="1"/>
  <c r="T355" i="2" s="1"/>
  <c r="T356" i="2" s="1"/>
  <c r="U303" i="2"/>
  <c r="U305" i="2" s="1"/>
  <c r="U301" i="2"/>
  <c r="U303" i="1"/>
  <c r="T314" i="1"/>
  <c r="T315" i="1" s="1"/>
  <c r="T316" i="1" s="1"/>
  <c r="T317" i="1" s="1"/>
  <c r="T318" i="1" s="1"/>
  <c r="T319" i="1" s="1"/>
  <c r="T320" i="1" s="1"/>
  <c r="T321" i="1" s="1"/>
  <c r="T322" i="1" s="1"/>
  <c r="T323" i="1" s="1"/>
  <c r="T324" i="1" s="1"/>
  <c r="T325" i="1" s="1"/>
  <c r="T326" i="1" s="1"/>
  <c r="T327" i="1" s="1"/>
  <c r="T328" i="1" s="1"/>
  <c r="T329" i="1" s="1"/>
  <c r="T330" i="1" s="1"/>
  <c r="T331" i="1" s="1"/>
  <c r="T332" i="1" s="1"/>
  <c r="T333" i="1" s="1"/>
  <c r="T334" i="1" s="1"/>
  <c r="T335" i="1" s="1"/>
  <c r="T336" i="1" s="1"/>
  <c r="T337" i="1" s="1"/>
  <c r="T338" i="1" s="1"/>
  <c r="T339" i="1" s="1"/>
  <c r="T340" i="1" s="1"/>
  <c r="T341" i="1" s="1"/>
  <c r="T342" i="1" s="1"/>
  <c r="T343" i="1" s="1"/>
  <c r="T344" i="1" s="1"/>
  <c r="T345" i="1" s="1"/>
  <c r="T346" i="1" s="1"/>
  <c r="T347" i="1" s="1"/>
  <c r="T348" i="1" s="1"/>
  <c r="T349" i="1" s="1"/>
  <c r="T350" i="1" s="1"/>
  <c r="T351" i="1" s="1"/>
  <c r="T352" i="1" s="1"/>
  <c r="T353" i="1" s="1"/>
  <c r="T354" i="1" s="1"/>
  <c r="T355" i="1" s="1"/>
  <c r="T356" i="1" s="1"/>
  <c r="U301" i="1"/>
  <c r="U299" i="1"/>
  <c r="U322" i="2" l="1"/>
  <c r="U320" i="2"/>
  <c r="U324" i="2"/>
  <c r="U326" i="2" s="1"/>
  <c r="U322" i="1"/>
  <c r="U320" i="1"/>
  <c r="U324" i="1"/>
</calcChain>
</file>

<file path=xl/sharedStrings.xml><?xml version="1.0" encoding="utf-8"?>
<sst xmlns="http://schemas.openxmlformats.org/spreadsheetml/2006/main" count="313" uniqueCount="60">
  <si>
    <t>TEMPERATURE</t>
  </si>
  <si>
    <t>ETAT HYDRIQUE</t>
  </si>
  <si>
    <t>RAYONNEMENT</t>
  </si>
  <si>
    <t>BILAN HYDRIQUE</t>
  </si>
  <si>
    <t>Période</t>
  </si>
  <si>
    <t>DATE</t>
  </si>
  <si>
    <t>T_Q</t>
  </si>
  <si>
    <t>TINF_H_Q</t>
  </si>
  <si>
    <t>TSUP_H_Q</t>
  </si>
  <si>
    <t>GDD base 0°</t>
  </si>
  <si>
    <t>VAR</t>
  </si>
  <si>
    <t>PRELIQ_Q</t>
  </si>
  <si>
    <t>Cumul_P</t>
  </si>
  <si>
    <t>ETP_Q</t>
  </si>
  <si>
    <t>Cumul_ETP</t>
  </si>
  <si>
    <t>P-ETP</t>
  </si>
  <si>
    <t>ETAT RU_1</t>
  </si>
  <si>
    <t>i</t>
  </si>
  <si>
    <t>kc</t>
  </si>
  <si>
    <t>ETM</t>
  </si>
  <si>
    <t>P-ETM</t>
  </si>
  <si>
    <t>WSC</t>
  </si>
  <si>
    <t>SSI_Q</t>
  </si>
  <si>
    <t>QPT_Q</t>
  </si>
  <si>
    <t>Cumul RG</t>
  </si>
  <si>
    <t>Photoperiode</t>
  </si>
  <si>
    <t>SEMIS INRA12</t>
  </si>
  <si>
    <t>AUTOMNE</t>
  </si>
  <si>
    <t>Tmin</t>
  </si>
  <si>
    <t>nbj_sec</t>
  </si>
  <si>
    <t>crg</t>
  </si>
  <si>
    <t>Tmax</t>
  </si>
  <si>
    <t>nbj_water_deficit</t>
  </si>
  <si>
    <t>qpt_p</t>
  </si>
  <si>
    <t>Tmoy</t>
  </si>
  <si>
    <t>nbj_stress_hydro</t>
  </si>
  <si>
    <t>nbj_radinf_900</t>
  </si>
  <si>
    <t>nbj_tgel</t>
  </si>
  <si>
    <t>water_soil_content_min</t>
  </si>
  <si>
    <t>nbj_tsup25</t>
  </si>
  <si>
    <t>water_soil_content_max</t>
  </si>
  <si>
    <t>nbj_tinf5</t>
  </si>
  <si>
    <t>water_soil_content_moy</t>
  </si>
  <si>
    <t>gdd_p</t>
  </si>
  <si>
    <t>HIVER</t>
  </si>
  <si>
    <t>nbj_vern_opti</t>
  </si>
  <si>
    <t>MONTAISON</t>
  </si>
  <si>
    <t>Montego</t>
  </si>
  <si>
    <t>Aviso</t>
  </si>
  <si>
    <t>Fin FLO</t>
  </si>
  <si>
    <t>RECOLTE INRA12</t>
  </si>
  <si>
    <t>WD</t>
  </si>
  <si>
    <t>WS</t>
  </si>
  <si>
    <t>SSR</t>
  </si>
  <si>
    <t>N40</t>
  </si>
  <si>
    <t>WSC_I</t>
  </si>
  <si>
    <t>BI</t>
  </si>
  <si>
    <t>DRF</t>
  </si>
  <si>
    <t>TS</t>
  </si>
  <si>
    <t>IRF</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</si>
</sst>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1">
    <numFmt numFmtId="164" formatCode="0.0"/>
  </numFmts>
  <fonts count="10" x14ac:knownFonts="1">
    <font>
      <sz val="11"/>
      <color theme="1"/>
      <name val="Calibri"/>
      <family val="2"/>
      <scheme val="minor"/>
    </font>
    <font>
      <b/>
      <sz val="11"/>
      <color theme="1"/>
      <name val="Calibri"/>
      <family val="2"/>
      <scheme val="minor"/>
    </font>
    <font>
      <sz val="11"/>
      <color theme="1"/>
      <name val="Calibri"/>
      <family val="2"/>
    </font>
    <font>
      <b/>
      <i/>
      <u/>
      <sz val="11"/>
      <color rgb="FF000000"/>
      <name val="Calibri"/>
      <family val="2"/>
    </font>
    <font>
      <b/>
      <sz val="11"/>
      <color rgb="FF000000"/>
      <name val="Calibri"/>
      <family val="2"/>
    </font>
    <font>
      <b/>
      <sz val="11"/>
      <color rgb="FFFF0000"/>
      <name val="Calibri"/>
      <family val="2"/>
    </font>
    <font>
      <sz val="11"/>
      <name val="Calibri"/>
      <family val="2"/>
    </font>
    <font>
      <b/>
      <sz val="11"/>
      <name val="Calibri"/>
      <family val="2"/>
    </font>
    <font>
      <b/>
      <i/>
      <u/>
      <sz val="11"/>
      <color rgb="FFFFC000"/>
      <name val="Calibri"/>
      <family val="2"/>
    </font>
    <font>
      <b/>
      <sz val="11"/>
      <color theme="1"/>
      <name val="Calibri"/>
      <family val="2"/>
    </font>
  </fonts>
  <fills count="17">
    <fill>
      <patternFill patternType="none"/>
    </fill>
    <fill>
      <patternFill patternType="gray125"/>
    </fill>
    <fill>
      <patternFill patternType="lightUp">
        <fgColor rgb="FF000000"/>
        <bgColor rgb="FFFFFFFF"/>
      </patternFill>
    </fill>
    <fill>
      <patternFill patternType="solid">
        <fgColor rgb="FF00B050"/>
        <bgColor rgb="FF000000"/>
      </patternFill>
    </fill>
    <fill>
      <patternFill patternType="solid">
        <fgColor rgb="FFFDE9D9"/>
        <bgColor rgb="FF000000"/>
      </patternFill>
    </fill>
    <fill>
      <patternFill patternType="solid">
        <fgColor rgb="FFDDD9C4"/>
        <bgColor rgb="FF000000"/>
      </patternFill>
    </fill>
    <fill>
      <patternFill patternType="lightGray">
        <fgColor rgb="FF000000"/>
        <bgColor rgb="FFFFFFFF"/>
      </patternFill>
    </fill>
    <fill>
      <patternFill patternType="solid">
        <fgColor rgb="FF0070C0"/>
        <bgColor rgb="FF000000"/>
      </patternFill>
    </fill>
    <fill>
      <patternFill patternType="solid">
        <fgColor rgb="FF92D050"/>
        <bgColor rgb="FF000000"/>
      </patternFill>
    </fill>
    <fill>
      <patternFill patternType="solid">
        <fgColor rgb="FFFFFF00"/>
        <bgColor rgb="FF000000"/>
      </patternFill>
    </fill>
    <fill>
      <patternFill patternType="solid">
        <fgColor rgb="FFFFC000"/>
        <bgColor rgb="FF000000"/>
      </patternFill>
    </fill>
    <fill>
      <patternFill patternType="solid">
        <fgColor rgb="FFE26B0A"/>
        <bgColor rgb="FF000000"/>
      </patternFill>
    </fill>
    <fill>
      <patternFill patternType="solid">
        <fgColor rgb="FFFF0000"/>
        <bgColor rgb="FF000000"/>
      </patternFill>
    </fill>
    <fill>
      <patternFill patternType="solid">
        <fgColor rgb="FFC00000"/>
        <bgColor rgb="FF000000"/>
      </patternFill>
    </fill>
    <fill>
      <patternFill patternType="solid">
        <fgColor theme="3"/>
        <bgColor indexed="64"/>
      </patternFill>
    </fill>
    <fill>
      <patternFill patternType="solid">
        <fgColor theme="3"/>
        <bgColor rgb="FF000000"/>
      </patternFill>
    </fill>
    <fill>
      <patternFill patternType="solid">
        <fgColor theme="0" tint="-0.14999847407452621"/>
        <bgColor indexed="64"/>
      </patternFill>
    </fill>
  </fills>
  <borders count="3">
    <border>
      <left/>
      <right/>
      <top/>
      <bottom/>
      <diagonal/>
    </border>
    <border>
      <left/>
      <right/>
      <top/>
      <bottom style="medium">
        <color indexed="64"/>
      </bottom>
      <diagonal/>
    </border>
    <border>
      <left/>
      <right/>
      <top style="medium">
        <color indexed="64"/>
      </top>
      <bottom/>
      <diagonal/>
    </border>
  </borders>
  <cellStyleXfs count="1">
    <xf numFmtId="0" fontId="0" fillId="0" borderId="0"/>
  </cellStyleXfs>
  <cellXfs count="95">
    <xf numFmtId="0" fontId="0" fillId="0" borderId="0" xfId="0"/>
    <xf numFmtId="0" fontId="0" fillId="0" borderId="0" xfId="0" applyFill="1" applyAlignment="1"/>
    <xf numFmtId="0" fontId="0" fillId="0" borderId="0" xfId="0" applyFill="1"/>
    <xf numFmtId="0" fontId="1" fillId="0" borderId="0" xfId="0" applyFont="1" applyAlignment="1">
      <alignment horizontal="center" vertical="center"/>
    </xf>
    <xf numFmtId="0" fontId="0" fillId="0" borderId="0" xfId="0" applyAlignment="1">
      <alignment horizontal="center" vertical="center"/>
    </xf>
    <xf numFmtId="0" fontId="2" fillId="0" borderId="0" xfId="0" applyFont="1" applyFill="1" applyBorder="1"/>
    <xf numFmtId="0" fontId="2" fillId="0" borderId="0" xfId="0" applyFont="1" applyFill="1" applyBorder="1" applyAlignment="1"/>
    <xf numFmtId="14" fontId="2" fillId="0" borderId="0" xfId="0" applyNumberFormat="1" applyFont="1" applyFill="1" applyBorder="1"/>
    <xf numFmtId="0" fontId="2" fillId="2" borderId="0" xfId="0" applyFont="1" applyFill="1" applyBorder="1"/>
    <xf numFmtId="164" fontId="2" fillId="0" borderId="0" xfId="0" applyNumberFormat="1" applyFont="1" applyFill="1" applyBorder="1"/>
    <xf numFmtId="0" fontId="4" fillId="0" borderId="0" xfId="0" applyFont="1" applyFill="1" applyBorder="1" applyAlignment="1">
      <alignment horizontal="center" vertical="center"/>
    </xf>
    <xf numFmtId="14" fontId="2" fillId="4" borderId="0" xfId="0" applyNumberFormat="1" applyFont="1" applyFill="1" applyBorder="1"/>
    <xf numFmtId="0" fontId="4" fillId="4" borderId="0" xfId="0" applyFont="1" applyFill="1" applyBorder="1"/>
    <xf numFmtId="0" fontId="2" fillId="5" borderId="0" xfId="0" applyFont="1" applyFill="1" applyBorder="1"/>
    <xf numFmtId="0" fontId="4" fillId="6" borderId="0" xfId="0" applyFont="1" applyFill="1" applyBorder="1" applyAlignment="1">
      <alignment horizontal="center" vertical="center"/>
    </xf>
    <xf numFmtId="14" fontId="5" fillId="4" borderId="0" xfId="0" applyNumberFormat="1" applyFont="1" applyFill="1" applyBorder="1"/>
    <xf numFmtId="0" fontId="5" fillId="0" borderId="0" xfId="0" applyFont="1" applyFill="1" applyBorder="1"/>
    <xf numFmtId="164" fontId="5" fillId="0" borderId="0" xfId="0" applyNumberFormat="1" applyFont="1" applyFill="1" applyBorder="1"/>
    <xf numFmtId="14" fontId="2" fillId="7" borderId="0" xfId="0" applyNumberFormat="1" applyFont="1" applyFill="1" applyBorder="1"/>
    <xf numFmtId="0" fontId="4" fillId="7" borderId="0" xfId="0" applyFont="1" applyFill="1" applyBorder="1"/>
    <xf numFmtId="0" fontId="5" fillId="0" borderId="0" xfId="0" applyFont="1" applyFill="1" applyBorder="1" applyAlignment="1">
      <alignment horizontal="center" vertical="center"/>
    </xf>
    <xf numFmtId="14" fontId="5" fillId="7" borderId="0" xfId="0" applyNumberFormat="1" applyFont="1" applyFill="1" applyBorder="1"/>
    <xf numFmtId="14" fontId="2" fillId="8" borderId="0" xfId="0" applyNumberFormat="1" applyFont="1" applyFill="1" applyBorder="1"/>
    <xf numFmtId="0" fontId="4" fillId="8" borderId="0" xfId="0" applyFont="1" applyFill="1" applyBorder="1"/>
    <xf numFmtId="2" fontId="2" fillId="0" borderId="0" xfId="0" applyNumberFormat="1" applyFont="1" applyFill="1" applyBorder="1"/>
    <xf numFmtId="0" fontId="6" fillId="0" borderId="0" xfId="0" applyFont="1" applyFill="1" applyBorder="1"/>
    <xf numFmtId="0" fontId="2" fillId="9" borderId="0" xfId="0" applyFont="1" applyFill="1" applyBorder="1"/>
    <xf numFmtId="14" fontId="5" fillId="8" borderId="0" xfId="0" applyNumberFormat="1" applyFont="1" applyFill="1" applyBorder="1"/>
    <xf numFmtId="0" fontId="4" fillId="9" borderId="0" xfId="0" applyFont="1" applyFill="1" applyBorder="1" applyAlignment="1">
      <alignment vertical="center"/>
    </xf>
    <xf numFmtId="14" fontId="2" fillId="9" borderId="0" xfId="0" applyNumberFormat="1" applyFont="1" applyFill="1" applyBorder="1"/>
    <xf numFmtId="0" fontId="4" fillId="9" borderId="0" xfId="0" applyFont="1" applyFill="1" applyBorder="1"/>
    <xf numFmtId="0" fontId="4" fillId="9" borderId="0" xfId="0" applyFont="1" applyFill="1" applyBorder="1" applyAlignment="1">
      <alignment horizontal="center" vertical="center"/>
    </xf>
    <xf numFmtId="0" fontId="7" fillId="0" borderId="0" xfId="0" applyFont="1" applyFill="1" applyBorder="1"/>
    <xf numFmtId="0" fontId="5" fillId="9" borderId="0" xfId="0" applyFont="1" applyFill="1" applyBorder="1" applyAlignment="1">
      <alignment horizontal="center" vertical="center"/>
    </xf>
    <xf numFmtId="0" fontId="5" fillId="0" borderId="0" xfId="0" applyFont="1" applyFill="1" applyBorder="1" applyAlignment="1"/>
    <xf numFmtId="14" fontId="5" fillId="9" borderId="0" xfId="0" applyNumberFormat="1" applyFont="1" applyFill="1" applyBorder="1"/>
    <xf numFmtId="14" fontId="2" fillId="10" borderId="0" xfId="0" applyNumberFormat="1" applyFont="1" applyFill="1" applyBorder="1"/>
    <xf numFmtId="0" fontId="4" fillId="10" borderId="0" xfId="0" applyFont="1" applyFill="1" applyBorder="1"/>
    <xf numFmtId="14" fontId="5" fillId="10" borderId="0" xfId="0" applyNumberFormat="1" applyFont="1" applyFill="1" applyBorder="1"/>
    <xf numFmtId="14" fontId="2" fillId="11" borderId="0" xfId="0" applyNumberFormat="1" applyFont="1" applyFill="1" applyBorder="1"/>
    <xf numFmtId="0" fontId="4" fillId="11" borderId="0" xfId="0" applyFont="1" applyFill="1" applyBorder="1"/>
    <xf numFmtId="14" fontId="5" fillId="11" borderId="0" xfId="0" applyNumberFormat="1" applyFont="1" applyFill="1" applyBorder="1"/>
    <xf numFmtId="14" fontId="2" fillId="12" borderId="0" xfId="0" applyNumberFormat="1" applyFont="1" applyFill="1" applyBorder="1"/>
    <xf numFmtId="0" fontId="4" fillId="12" borderId="0" xfId="0" applyFont="1" applyFill="1" applyBorder="1"/>
    <xf numFmtId="0" fontId="2" fillId="0" borderId="0" xfId="0" applyFont="1" applyFill="1" applyBorder="1" applyAlignment="1">
      <alignment horizontal="center" vertical="center" wrapText="1"/>
    </xf>
    <xf numFmtId="0" fontId="5" fillId="0" borderId="0" xfId="0" applyFont="1" applyFill="1" applyBorder="1" applyAlignment="1">
      <alignment horizontal="center" vertical="center" wrapText="1"/>
    </xf>
    <xf numFmtId="14" fontId="5" fillId="12" borderId="0" xfId="0" applyNumberFormat="1" applyFont="1" applyFill="1" applyBorder="1"/>
    <xf numFmtId="0" fontId="2" fillId="0" borderId="0" xfId="0" applyFont="1" applyFill="1" applyBorder="1" applyAlignment="1">
      <alignment vertical="center" wrapText="1"/>
    </xf>
    <xf numFmtId="0" fontId="4" fillId="0" borderId="1" xfId="0" applyFont="1" applyFill="1" applyBorder="1" applyAlignment="1">
      <alignment horizontal="center" vertical="center"/>
    </xf>
    <xf numFmtId="14" fontId="9" fillId="8" borderId="1" xfId="0" applyNumberFormat="1" applyFont="1" applyFill="1" applyBorder="1"/>
    <xf numFmtId="0" fontId="9" fillId="0" borderId="1" xfId="0" applyFont="1" applyFill="1" applyBorder="1"/>
    <xf numFmtId="0" fontId="9" fillId="9" borderId="1" xfId="0" applyFont="1" applyFill="1" applyBorder="1"/>
    <xf numFmtId="164" fontId="9" fillId="0" borderId="1" xfId="0" applyNumberFormat="1" applyFont="1" applyFill="1" applyBorder="1"/>
    <xf numFmtId="0" fontId="7" fillId="0" borderId="1" xfId="0" applyFont="1" applyFill="1" applyBorder="1" applyAlignment="1">
      <alignment horizontal="center" vertical="center"/>
    </xf>
    <xf numFmtId="14" fontId="7" fillId="7" borderId="1" xfId="0" applyNumberFormat="1" applyFont="1" applyFill="1" applyBorder="1"/>
    <xf numFmtId="0" fontId="7" fillId="0" borderId="1" xfId="0" applyFont="1" applyFill="1" applyBorder="1"/>
    <xf numFmtId="164" fontId="7" fillId="0" borderId="1" xfId="0" applyNumberFormat="1" applyFont="1" applyFill="1" applyBorder="1"/>
    <xf numFmtId="2" fontId="6" fillId="0" borderId="0" xfId="0" applyNumberFormat="1" applyFont="1" applyFill="1" applyBorder="1"/>
    <xf numFmtId="164" fontId="6" fillId="0" borderId="0" xfId="0" applyNumberFormat="1" applyFont="1" applyFill="1" applyBorder="1"/>
    <xf numFmtId="0" fontId="6" fillId="0" borderId="0" xfId="0" applyFont="1" applyFill="1" applyBorder="1" applyAlignment="1">
      <alignment horizontal="center" vertical="center"/>
    </xf>
    <xf numFmtId="14" fontId="6" fillId="8" borderId="0" xfId="0" applyNumberFormat="1" applyFont="1" applyFill="1" applyBorder="1"/>
    <xf numFmtId="0" fontId="7" fillId="9" borderId="1" xfId="0" applyFont="1" applyFill="1" applyBorder="1" applyAlignment="1">
      <alignment horizontal="center" vertical="center"/>
    </xf>
    <xf numFmtId="0" fontId="7" fillId="0" borderId="1" xfId="0" applyFont="1" applyFill="1" applyBorder="1" applyAlignment="1"/>
    <xf numFmtId="14" fontId="7" fillId="9" borderId="1" xfId="0" applyNumberFormat="1" applyFont="1" applyFill="1" applyBorder="1"/>
    <xf numFmtId="2" fontId="7" fillId="0" borderId="1" xfId="0" applyNumberFormat="1" applyFont="1" applyFill="1" applyBorder="1"/>
    <xf numFmtId="0" fontId="6" fillId="0" borderId="0" xfId="0" applyFont="1" applyFill="1" applyBorder="1" applyAlignment="1"/>
    <xf numFmtId="14" fontId="6" fillId="9" borderId="0" xfId="0" applyNumberFormat="1" applyFont="1" applyFill="1" applyBorder="1"/>
    <xf numFmtId="14" fontId="7" fillId="10" borderId="1" xfId="0" applyNumberFormat="1" applyFont="1" applyFill="1" applyBorder="1"/>
    <xf numFmtId="14" fontId="7" fillId="11" borderId="1" xfId="0" applyNumberFormat="1" applyFont="1" applyFill="1" applyBorder="1"/>
    <xf numFmtId="0" fontId="7" fillId="0" borderId="1" xfId="0" applyFont="1" applyFill="1" applyBorder="1" applyAlignment="1">
      <alignment horizontal="center" vertical="center" wrapText="1"/>
    </xf>
    <xf numFmtId="14" fontId="7" fillId="12" borderId="1" xfId="0" applyNumberFormat="1" applyFont="1" applyFill="1" applyBorder="1"/>
    <xf numFmtId="14" fontId="7" fillId="4" borderId="1" xfId="0" applyNumberFormat="1" applyFont="1" applyFill="1" applyBorder="1"/>
    <xf numFmtId="0" fontId="7" fillId="5" borderId="1" xfId="0" applyFont="1" applyFill="1" applyBorder="1"/>
    <xf numFmtId="0" fontId="4" fillId="12" borderId="0" xfId="0" applyFont="1" applyFill="1" applyBorder="1" applyAlignment="1">
      <alignment horizontal="center" vertical="center" textRotation="255"/>
    </xf>
    <xf numFmtId="0" fontId="8" fillId="13" borderId="0" xfId="0" applyFont="1" applyFill="1" applyBorder="1" applyAlignment="1">
      <alignment horizontal="center" vertical="center"/>
    </xf>
    <xf numFmtId="0" fontId="3" fillId="3" borderId="0" xfId="0" applyFont="1" applyFill="1" applyBorder="1" applyAlignment="1">
      <alignment horizontal="center"/>
    </xf>
    <xf numFmtId="0" fontId="4" fillId="4" borderId="0" xfId="0" applyFont="1" applyFill="1" applyBorder="1" applyAlignment="1">
      <alignment horizontal="center" vertical="center" textRotation="255"/>
    </xf>
    <xf numFmtId="0" fontId="4" fillId="7" borderId="0" xfId="0" applyFont="1" applyFill="1" applyBorder="1" applyAlignment="1">
      <alignment horizontal="center" vertical="center" textRotation="255"/>
    </xf>
    <xf numFmtId="0" fontId="4" fillId="8" borderId="0" xfId="0" applyFont="1" applyFill="1" applyBorder="1" applyAlignment="1">
      <alignment horizontal="center" vertical="center" textRotation="255"/>
    </xf>
    <xf numFmtId="0" fontId="4" fillId="10" borderId="0" xfId="0" applyFont="1" applyFill="1" applyBorder="1" applyAlignment="1">
      <alignment horizontal="center" vertical="center" textRotation="255"/>
    </xf>
    <xf numFmtId="0" fontId="4" fillId="11" borderId="0" xfId="0" applyFont="1" applyFill="1" applyBorder="1" applyAlignment="1">
      <alignment horizontal="center" vertical="center" textRotation="255"/>
    </xf>
    <xf numFmtId="0" fontId="1" fillId="0" borderId="0" xfId="0" applyFont="1" applyAlignment="1">
      <alignment horizontal="center" vertical="center"/>
    </xf>
    <xf numFmtId="0" fontId="0" fillId="0" borderId="0" xfId="0" applyAlignment="1">
      <alignment horizontal="center" vertical="center"/>
    </xf>
    <xf numFmtId="0" fontId="0" fillId="0" borderId="0" xfId="0" applyAlignment="1">
      <alignment horizontal="center"/>
    </xf>
    <xf numFmtId="0" fontId="4" fillId="10" borderId="2" xfId="0" applyFont="1" applyFill="1" applyBorder="1" applyAlignment="1">
      <alignment horizontal="center" vertical="center" textRotation="255"/>
    </xf>
    <xf numFmtId="0" fontId="4" fillId="10" borderId="1" xfId="0" applyFont="1" applyFill="1" applyBorder="1" applyAlignment="1">
      <alignment horizontal="center" vertical="center" textRotation="255"/>
    </xf>
    <xf numFmtId="0" fontId="4" fillId="14" borderId="0" xfId="0" applyFont="1" applyFill="1" applyBorder="1" applyAlignment="1">
      <alignment horizontal="center" vertical="center"/>
    </xf>
    <xf numFmtId="14" fontId="2" fillId="15" borderId="0" xfId="0" applyNumberFormat="1" applyFont="1" applyFill="1" applyBorder="1"/>
    <xf numFmtId="0" fontId="2" fillId="14" borderId="0" xfId="0" applyFont="1" applyFill="1" applyBorder="1"/>
    <xf numFmtId="164" fontId="2" fillId="14" borderId="0" xfId="0" applyNumberFormat="1" applyFont="1" applyFill="1" applyBorder="1"/>
    <xf numFmtId="2" fontId="2" fillId="14" borderId="0" xfId="0" applyNumberFormat="1" applyFont="1" applyFill="1" applyBorder="1"/>
    <xf numFmtId="0" fontId="2" fillId="16" borderId="0" xfId="0" applyFont="1" applyFill="1" applyBorder="1"/>
    <xf numFmtId="0" fontId="5" fillId="16" borderId="0" xfId="0" applyFont="1" applyFill="1" applyBorder="1"/>
    <xf numFmtId="164" fontId="2" fillId="16" borderId="0" xfId="0" applyNumberFormat="1" applyFont="1" applyFill="1" applyBorder="1"/>
    <xf numFmtId="0" fontId="9" fillId="0" borderId="0" xfId="0" applyFont="1" applyFill="1" applyBorder="1"/>
  </cellXfs>
  <cellStyles count="1">
    <cellStyle name="Normal" xfId="0" builtinId="0"/>
  </cellStyles>
  <dxfs count="22">
    <dxf>
      <fill>
        <patternFill>
          <bgColor rgb="FFFABF8F"/>
        </patternFill>
      </fill>
    </dxf>
    <dxf>
      <fill>
        <patternFill>
          <bgColor rgb="FFDA9694"/>
        </patternFill>
      </fill>
    </dxf>
    <dxf>
      <fill>
        <patternFill>
          <bgColor rgb="FFF2DCDB"/>
        </patternFill>
      </fill>
    </dxf>
    <dxf>
      <fill>
        <patternFill>
          <bgColor rgb="FFCCC0DA"/>
        </patternFill>
      </fill>
    </dxf>
    <dxf>
      <fill>
        <patternFill>
          <bgColor rgb="FFF2DCDB"/>
        </patternFill>
      </fill>
    </dxf>
    <dxf>
      <fill>
        <patternFill>
          <bgColor rgb="FF00B0F0"/>
        </patternFill>
      </fill>
    </dxf>
    <dxf>
      <fill>
        <patternFill>
          <bgColor rgb="FFDAEEF3"/>
        </patternFill>
      </fill>
    </dxf>
    <dxf>
      <fill>
        <patternFill>
          <bgColor rgb="FFFFC000"/>
        </patternFill>
      </fill>
    </dxf>
    <dxf>
      <fill>
        <patternFill>
          <bgColor theme="9" tint="0.39994506668294322"/>
        </patternFill>
      </fill>
    </dxf>
    <dxf>
      <fill>
        <patternFill>
          <bgColor theme="5" tint="0.39994506668294322"/>
        </patternFill>
      </fill>
    </dxf>
    <dxf>
      <fill>
        <patternFill>
          <bgColor theme="7" tint="0.59996337778862885"/>
        </patternFill>
      </fill>
    </dxf>
    <dxf>
      <fill>
        <patternFill>
          <bgColor rgb="FFFABF8F"/>
        </patternFill>
      </fill>
    </dxf>
    <dxf>
      <fill>
        <patternFill>
          <bgColor rgb="FFDA9694"/>
        </patternFill>
      </fill>
    </dxf>
    <dxf>
      <fill>
        <patternFill>
          <bgColor rgb="FFF2DCDB"/>
        </patternFill>
      </fill>
    </dxf>
    <dxf>
      <fill>
        <patternFill>
          <bgColor rgb="FFCCC0DA"/>
        </patternFill>
      </fill>
    </dxf>
    <dxf>
      <fill>
        <patternFill>
          <bgColor rgb="FFF2DCDB"/>
        </patternFill>
      </fill>
    </dxf>
    <dxf>
      <fill>
        <patternFill>
          <bgColor rgb="FF00B0F0"/>
        </patternFill>
      </fill>
    </dxf>
    <dxf>
      <fill>
        <patternFill>
          <bgColor rgb="FFDAEEF3"/>
        </patternFill>
      </fill>
    </dxf>
    <dxf>
      <fill>
        <patternFill>
          <bgColor rgb="FFFFC000"/>
        </patternFill>
      </fill>
    </dxf>
    <dxf>
      <fill>
        <patternFill>
          <bgColor theme="9" tint="0.39994506668294322"/>
        </patternFill>
      </fill>
    </dxf>
    <dxf>
      <fill>
        <patternFill>
          <bgColor theme="5" tint="0.39994506668294322"/>
        </patternFill>
      </fill>
    </dxf>
    <dxf>
      <fill>
        <patternFill>
          <bgColor theme="7" tint="0.59996337778862885"/>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D357"/>
  <sheetViews>
    <sheetView tabSelected="1" zoomScale="70" zoomScaleNormal="70" workbookViewId="0">
      <pane xSplit="3" ySplit="4" topLeftCell="D196" activePane="bottomRight" state="frozen"/>
      <selection pane="topRight" activeCell="D1" sqref="D1"/>
      <selection pane="bottomLeft" activeCell="A5" sqref="A5"/>
      <selection pane="bottomRight" activeCell="X217" sqref="X217"/>
    </sheetView>
  </sheetViews>
  <sheetFormatPr baseColWidth="10" defaultRowHeight="15" x14ac:dyDescent="0.25"/>
  <sheetData>
    <row r="1" spans="1:27" s="2" customFormat="1" x14ac:dyDescent="0.25">
      <c r="A1"/>
      <c r="B1" s="1"/>
      <c r="C1"/>
      <c r="D1" s="81" t="s">
        <v>0</v>
      </c>
      <c r="E1" s="81"/>
      <c r="F1" s="81"/>
      <c r="G1" s="81"/>
      <c r="H1" s="81"/>
      <c r="I1" s="81"/>
      <c r="J1" s="81" t="s">
        <v>1</v>
      </c>
      <c r="K1" s="81"/>
      <c r="L1" s="81"/>
      <c r="M1" s="81"/>
      <c r="N1" s="81"/>
      <c r="O1" s="81"/>
      <c r="P1" s="81"/>
      <c r="Q1" s="81"/>
      <c r="R1" s="81"/>
      <c r="S1" s="81"/>
      <c r="T1" s="81"/>
      <c r="U1" s="81"/>
      <c r="V1" s="81" t="s">
        <v>2</v>
      </c>
      <c r="W1" s="82"/>
      <c r="X1" s="82"/>
      <c r="Y1" s="82"/>
      <c r="Z1" s="82"/>
    </row>
    <row r="2" spans="1:27" s="2" customFormat="1" x14ac:dyDescent="0.25">
      <c r="A2"/>
      <c r="B2" s="1"/>
      <c r="C2"/>
      <c r="D2" s="81"/>
      <c r="E2" s="81"/>
      <c r="F2" s="81"/>
      <c r="G2" s="81"/>
      <c r="H2" s="81"/>
      <c r="I2" s="81"/>
      <c r="J2" s="81"/>
      <c r="K2" s="81"/>
      <c r="L2" s="81"/>
      <c r="M2" s="81"/>
      <c r="N2" s="81"/>
      <c r="O2" s="81"/>
      <c r="P2" s="81"/>
      <c r="Q2" s="81"/>
      <c r="R2" s="81"/>
      <c r="S2" s="81"/>
      <c r="T2" s="81"/>
      <c r="U2" s="81"/>
      <c r="V2" s="82"/>
      <c r="W2" s="82"/>
      <c r="X2" s="82"/>
      <c r="Y2" s="82"/>
      <c r="Z2" s="82"/>
    </row>
    <row r="3" spans="1:27" s="2" customFormat="1" x14ac:dyDescent="0.25">
      <c r="A3"/>
      <c r="B3" s="1"/>
      <c r="C3"/>
      <c r="D3" s="3"/>
      <c r="E3" s="3"/>
      <c r="F3" s="3"/>
      <c r="G3" s="3"/>
      <c r="H3" s="3"/>
      <c r="I3" s="3"/>
      <c r="J3" s="3"/>
      <c r="K3" s="3"/>
      <c r="L3" s="3"/>
      <c r="M3" s="3"/>
      <c r="N3" s="3"/>
      <c r="O3" s="3"/>
      <c r="P3" s="81" t="s">
        <v>3</v>
      </c>
      <c r="Q3" s="81"/>
      <c r="R3" s="81"/>
      <c r="S3" s="81"/>
      <c r="T3" s="81"/>
      <c r="U3" s="3"/>
      <c r="V3" s="4"/>
      <c r="W3" s="4"/>
      <c r="X3" s="4"/>
      <c r="Y3" s="4"/>
      <c r="Z3" s="4"/>
    </row>
    <row r="4" spans="1:27" s="2" customFormat="1" x14ac:dyDescent="0.25">
      <c r="A4" t="s">
        <v>4</v>
      </c>
      <c r="B4" s="1">
        <v>5</v>
      </c>
      <c r="C4" t="s">
        <v>5</v>
      </c>
      <c r="D4" t="s">
        <v>6</v>
      </c>
      <c r="E4" t="s">
        <v>7</v>
      </c>
      <c r="F4" t="s">
        <v>8</v>
      </c>
      <c r="G4" s="83" t="s">
        <v>9</v>
      </c>
      <c r="H4" s="83"/>
      <c r="I4" t="s">
        <v>10</v>
      </c>
      <c r="J4" t="s">
        <v>11</v>
      </c>
      <c r="K4" t="s">
        <v>12</v>
      </c>
      <c r="L4" t="s">
        <v>13</v>
      </c>
      <c r="M4" t="s">
        <v>14</v>
      </c>
      <c r="N4" t="s">
        <v>15</v>
      </c>
      <c r="O4" t="s">
        <v>16</v>
      </c>
      <c r="P4" t="s">
        <v>17</v>
      </c>
      <c r="Q4" t="s">
        <v>18</v>
      </c>
      <c r="R4" t="s">
        <v>19</v>
      </c>
      <c r="S4" t="s">
        <v>20</v>
      </c>
      <c r="T4" t="s">
        <v>21</v>
      </c>
      <c r="U4" t="s">
        <v>10</v>
      </c>
      <c r="V4" t="s">
        <v>22</v>
      </c>
      <c r="W4" t="s">
        <v>23</v>
      </c>
      <c r="X4" s="83" t="s">
        <v>24</v>
      </c>
      <c r="Y4" s="83"/>
      <c r="Z4" t="s">
        <v>10</v>
      </c>
      <c r="AA4" s="2" t="s">
        <v>25</v>
      </c>
    </row>
    <row r="5" spans="1:27" s="5" customFormat="1" x14ac:dyDescent="0.25">
      <c r="B5" s="6"/>
      <c r="C5" s="7">
        <v>40756</v>
      </c>
      <c r="D5" s="5">
        <v>20.3</v>
      </c>
      <c r="E5" s="5">
        <v>13.4</v>
      </c>
      <c r="F5" s="5">
        <v>27.7</v>
      </c>
      <c r="G5" s="8"/>
      <c r="H5" s="8"/>
      <c r="I5" s="8"/>
      <c r="J5" s="5">
        <v>0</v>
      </c>
      <c r="K5" s="8"/>
      <c r="L5" s="5">
        <v>4.5999999999999996</v>
      </c>
      <c r="M5" s="8"/>
      <c r="N5" s="5">
        <v>-4.5999999999999996</v>
      </c>
      <c r="O5" s="5">
        <v>0</v>
      </c>
      <c r="T5" s="9">
        <v>0</v>
      </c>
      <c r="V5" s="5">
        <v>2241.8000000000002</v>
      </c>
    </row>
    <row r="6" spans="1:27" s="5" customFormat="1" x14ac:dyDescent="0.25">
      <c r="B6" s="6"/>
      <c r="C6" s="7">
        <v>40757</v>
      </c>
      <c r="D6" s="5">
        <v>21.1</v>
      </c>
      <c r="E6" s="5">
        <v>15.8</v>
      </c>
      <c r="F6" s="5">
        <v>26.8</v>
      </c>
      <c r="G6" s="8"/>
      <c r="H6" s="8"/>
      <c r="I6" s="8"/>
      <c r="J6" s="5">
        <v>0</v>
      </c>
      <c r="K6" s="8"/>
      <c r="L6" s="5">
        <v>2</v>
      </c>
      <c r="M6" s="8"/>
      <c r="N6" s="5">
        <v>-2</v>
      </c>
      <c r="O6" s="5">
        <v>0</v>
      </c>
      <c r="T6" s="9">
        <v>0</v>
      </c>
      <c r="V6" s="5">
        <v>685.6</v>
      </c>
    </row>
    <row r="7" spans="1:27" s="5" customFormat="1" x14ac:dyDescent="0.25">
      <c r="B7" s="6"/>
      <c r="C7" s="7">
        <v>40758</v>
      </c>
      <c r="D7" s="5">
        <v>21.1</v>
      </c>
      <c r="E7" s="5">
        <v>16.7</v>
      </c>
      <c r="F7" s="5">
        <v>26.3</v>
      </c>
      <c r="G7" s="8"/>
      <c r="H7" s="8"/>
      <c r="I7" s="8"/>
      <c r="J7" s="5">
        <v>0.7</v>
      </c>
      <c r="K7" s="8"/>
      <c r="L7" s="5">
        <v>4.8</v>
      </c>
      <c r="M7" s="8"/>
      <c r="N7" s="5">
        <v>-4.0999999999999996</v>
      </c>
      <c r="O7" s="5">
        <v>0</v>
      </c>
      <c r="T7" s="9">
        <v>0</v>
      </c>
      <c r="V7" s="5">
        <v>2121.3000000000002</v>
      </c>
    </row>
    <row r="8" spans="1:27" s="5" customFormat="1" x14ac:dyDescent="0.25">
      <c r="B8" s="6"/>
      <c r="C8" s="7">
        <v>40759</v>
      </c>
      <c r="D8" s="5">
        <v>20</v>
      </c>
      <c r="E8" s="5">
        <v>18.2</v>
      </c>
      <c r="F8" s="5">
        <v>22.1</v>
      </c>
      <c r="G8" s="8"/>
      <c r="H8" s="8"/>
      <c r="I8" s="8"/>
      <c r="J8" s="5">
        <v>23.2</v>
      </c>
      <c r="K8" s="8"/>
      <c r="L8" s="5">
        <v>1.1000000000000001</v>
      </c>
      <c r="M8" s="8"/>
      <c r="N8" s="5">
        <v>22.099999999999998</v>
      </c>
      <c r="O8" s="5">
        <f t="shared" ref="O8:O48" si="0">O7+N8</f>
        <v>22.099999999999998</v>
      </c>
      <c r="T8" s="9">
        <f t="shared" ref="T8:T48" si="1">MIN(197.4,(T7+N8))</f>
        <v>22.099999999999998</v>
      </c>
      <c r="V8" s="5">
        <v>452.6</v>
      </c>
    </row>
    <row r="9" spans="1:27" s="5" customFormat="1" x14ac:dyDescent="0.25">
      <c r="B9" s="6"/>
      <c r="C9" s="7">
        <v>40760</v>
      </c>
      <c r="D9" s="5">
        <v>17.100000000000001</v>
      </c>
      <c r="E9" s="5">
        <v>15.3</v>
      </c>
      <c r="F9" s="5">
        <v>19</v>
      </c>
      <c r="G9" s="8"/>
      <c r="H9" s="8"/>
      <c r="I9" s="8"/>
      <c r="J9" s="5">
        <v>2.6</v>
      </c>
      <c r="K9" s="8"/>
      <c r="L9" s="5">
        <v>1.3</v>
      </c>
      <c r="M9" s="8"/>
      <c r="N9" s="5">
        <v>1.3</v>
      </c>
      <c r="O9" s="5">
        <f t="shared" si="0"/>
        <v>23.4</v>
      </c>
      <c r="T9" s="9">
        <f t="shared" si="1"/>
        <v>23.4</v>
      </c>
      <c r="V9" s="5">
        <v>632</v>
      </c>
    </row>
    <row r="10" spans="1:27" s="5" customFormat="1" x14ac:dyDescent="0.25">
      <c r="B10" s="6"/>
      <c r="C10" s="7">
        <v>40761</v>
      </c>
      <c r="D10" s="5">
        <v>15.8</v>
      </c>
      <c r="E10" s="5">
        <v>15.2</v>
      </c>
      <c r="F10" s="5">
        <v>17.399999999999999</v>
      </c>
      <c r="G10" s="8"/>
      <c r="H10" s="8"/>
      <c r="I10" s="8"/>
      <c r="J10" s="5">
        <v>6.8</v>
      </c>
      <c r="K10" s="8"/>
      <c r="L10" s="5">
        <v>1.9</v>
      </c>
      <c r="M10" s="8"/>
      <c r="N10" s="5">
        <v>4.9000000000000004</v>
      </c>
      <c r="O10" s="5">
        <f t="shared" si="0"/>
        <v>28.299999999999997</v>
      </c>
      <c r="T10" s="9">
        <f t="shared" si="1"/>
        <v>28.299999999999997</v>
      </c>
      <c r="V10" s="5">
        <v>986.8</v>
      </c>
    </row>
    <row r="11" spans="1:27" s="5" customFormat="1" x14ac:dyDescent="0.25">
      <c r="B11" s="6"/>
      <c r="C11" s="7">
        <v>40762</v>
      </c>
      <c r="D11" s="5">
        <v>15.3</v>
      </c>
      <c r="E11" s="5">
        <v>11.4</v>
      </c>
      <c r="F11" s="5">
        <v>19.8</v>
      </c>
      <c r="G11" s="8"/>
      <c r="H11" s="8"/>
      <c r="I11" s="8"/>
      <c r="J11" s="5">
        <v>9.6</v>
      </c>
      <c r="K11" s="8"/>
      <c r="L11" s="5">
        <v>2.5</v>
      </c>
      <c r="M11" s="8"/>
      <c r="N11" s="5">
        <v>7.1</v>
      </c>
      <c r="O11" s="5">
        <f t="shared" si="0"/>
        <v>35.4</v>
      </c>
      <c r="T11" s="9">
        <f t="shared" si="1"/>
        <v>35.4</v>
      </c>
      <c r="V11" s="5">
        <v>1143</v>
      </c>
    </row>
    <row r="12" spans="1:27" s="5" customFormat="1" x14ac:dyDescent="0.25">
      <c r="B12" s="6"/>
      <c r="C12" s="7">
        <v>40763</v>
      </c>
      <c r="D12" s="5">
        <v>16.3</v>
      </c>
      <c r="E12" s="5">
        <v>12.8</v>
      </c>
      <c r="F12" s="5">
        <v>21.1</v>
      </c>
      <c r="G12" s="8"/>
      <c r="H12" s="8"/>
      <c r="I12" s="8"/>
      <c r="J12" s="5">
        <v>0.1</v>
      </c>
      <c r="K12" s="8"/>
      <c r="L12" s="5">
        <v>3.2</v>
      </c>
      <c r="M12" s="8"/>
      <c r="N12" s="5">
        <v>-3.1</v>
      </c>
      <c r="O12" s="5">
        <f t="shared" si="0"/>
        <v>32.299999999999997</v>
      </c>
      <c r="T12" s="9">
        <f t="shared" si="1"/>
        <v>32.299999999999997</v>
      </c>
      <c r="V12" s="5">
        <v>1491.4</v>
      </c>
    </row>
    <row r="13" spans="1:27" s="5" customFormat="1" x14ac:dyDescent="0.25">
      <c r="B13" s="6"/>
      <c r="C13" s="7">
        <v>40764</v>
      </c>
      <c r="D13" s="5">
        <v>15.7</v>
      </c>
      <c r="E13" s="5">
        <v>12.5</v>
      </c>
      <c r="F13" s="5">
        <v>21.1</v>
      </c>
      <c r="G13" s="8"/>
      <c r="H13" s="8"/>
      <c r="I13" s="8"/>
      <c r="J13" s="5">
        <v>0</v>
      </c>
      <c r="K13" s="8"/>
      <c r="L13" s="5">
        <v>3.8</v>
      </c>
      <c r="M13" s="8"/>
      <c r="N13" s="5">
        <v>-3.8</v>
      </c>
      <c r="O13" s="5">
        <f t="shared" si="0"/>
        <v>28.499999999999996</v>
      </c>
      <c r="T13" s="9">
        <f t="shared" si="1"/>
        <v>28.499999999999996</v>
      </c>
      <c r="V13" s="5">
        <v>2034.6</v>
      </c>
    </row>
    <row r="14" spans="1:27" s="5" customFormat="1" x14ac:dyDescent="0.25">
      <c r="B14" s="6"/>
      <c r="C14" s="7">
        <v>40765</v>
      </c>
      <c r="D14" s="5">
        <v>16.5</v>
      </c>
      <c r="E14" s="5">
        <v>9.5</v>
      </c>
      <c r="F14" s="5">
        <v>23.2</v>
      </c>
      <c r="G14" s="8"/>
      <c r="H14" s="8"/>
      <c r="I14" s="8"/>
      <c r="J14" s="5">
        <v>0</v>
      </c>
      <c r="K14" s="8"/>
      <c r="L14" s="5">
        <v>4.4000000000000004</v>
      </c>
      <c r="M14" s="8"/>
      <c r="N14" s="5">
        <v>-4.4000000000000004</v>
      </c>
      <c r="O14" s="5">
        <f t="shared" si="0"/>
        <v>24.099999999999994</v>
      </c>
      <c r="T14" s="9">
        <f t="shared" si="1"/>
        <v>24.099999999999994</v>
      </c>
      <c r="V14" s="5">
        <v>2504.6</v>
      </c>
    </row>
    <row r="15" spans="1:27" s="5" customFormat="1" x14ac:dyDescent="0.25">
      <c r="B15" s="6"/>
      <c r="C15" s="7">
        <v>40766</v>
      </c>
      <c r="D15" s="5">
        <v>17.899999999999999</v>
      </c>
      <c r="E15" s="5">
        <v>11.7</v>
      </c>
      <c r="F15" s="5">
        <v>23.3</v>
      </c>
      <c r="G15" s="8"/>
      <c r="H15" s="8"/>
      <c r="I15" s="8"/>
      <c r="J15" s="5">
        <v>0.3</v>
      </c>
      <c r="K15" s="8"/>
      <c r="L15" s="5">
        <v>2.2999999999999998</v>
      </c>
      <c r="M15" s="8"/>
      <c r="N15" s="5">
        <v>-1.9999999999999998</v>
      </c>
      <c r="O15" s="5">
        <f t="shared" si="0"/>
        <v>22.099999999999994</v>
      </c>
      <c r="T15" s="9">
        <f t="shared" si="1"/>
        <v>22.099999999999994</v>
      </c>
      <c r="V15" s="5">
        <v>1223.2</v>
      </c>
    </row>
    <row r="16" spans="1:27" s="5" customFormat="1" x14ac:dyDescent="0.25">
      <c r="B16" s="6"/>
      <c r="C16" s="7">
        <v>40767</v>
      </c>
      <c r="D16" s="5">
        <v>19.2</v>
      </c>
      <c r="E16" s="5">
        <v>15.7</v>
      </c>
      <c r="F16" s="5">
        <v>22</v>
      </c>
      <c r="G16" s="8"/>
      <c r="H16" s="8"/>
      <c r="I16" s="8"/>
      <c r="J16" s="5">
        <v>0</v>
      </c>
      <c r="K16" s="8"/>
      <c r="L16" s="5">
        <v>1.9</v>
      </c>
      <c r="M16" s="8"/>
      <c r="N16" s="5">
        <v>-1.9</v>
      </c>
      <c r="O16" s="5">
        <f t="shared" si="0"/>
        <v>20.199999999999996</v>
      </c>
      <c r="T16" s="9">
        <f t="shared" si="1"/>
        <v>20.199999999999996</v>
      </c>
      <c r="V16" s="5">
        <v>898</v>
      </c>
    </row>
    <row r="17" spans="2:22" s="5" customFormat="1" x14ac:dyDescent="0.25">
      <c r="B17" s="6"/>
      <c r="C17" s="7">
        <v>40768</v>
      </c>
      <c r="D17" s="5">
        <v>18.600000000000001</v>
      </c>
      <c r="E17" s="5">
        <v>16.2</v>
      </c>
      <c r="F17" s="5">
        <v>22.2</v>
      </c>
      <c r="G17" s="8"/>
      <c r="H17" s="8"/>
      <c r="I17" s="8"/>
      <c r="J17" s="5">
        <v>18</v>
      </c>
      <c r="K17" s="8"/>
      <c r="L17" s="5">
        <v>1.3</v>
      </c>
      <c r="M17" s="8"/>
      <c r="N17" s="5">
        <v>16.7</v>
      </c>
      <c r="O17" s="5">
        <f t="shared" si="0"/>
        <v>36.899999999999991</v>
      </c>
      <c r="T17" s="9">
        <f t="shared" si="1"/>
        <v>36.899999999999991</v>
      </c>
      <c r="V17" s="5">
        <v>445.3</v>
      </c>
    </row>
    <row r="18" spans="2:22" s="5" customFormat="1" x14ac:dyDescent="0.25">
      <c r="B18" s="6"/>
      <c r="C18" s="7">
        <v>40769</v>
      </c>
      <c r="D18" s="5">
        <v>16.600000000000001</v>
      </c>
      <c r="E18" s="5">
        <v>15.2</v>
      </c>
      <c r="F18" s="5">
        <v>19.600000000000001</v>
      </c>
      <c r="G18" s="8"/>
      <c r="H18" s="8"/>
      <c r="I18" s="8"/>
      <c r="J18" s="5">
        <v>0.2</v>
      </c>
      <c r="K18" s="8"/>
      <c r="L18" s="5">
        <v>1.4</v>
      </c>
      <c r="M18" s="8"/>
      <c r="N18" s="5">
        <v>-1.2</v>
      </c>
      <c r="O18" s="5">
        <f t="shared" si="0"/>
        <v>35.699999999999989</v>
      </c>
      <c r="T18" s="9">
        <f t="shared" si="1"/>
        <v>35.699999999999989</v>
      </c>
      <c r="V18" s="5">
        <v>544</v>
      </c>
    </row>
    <row r="19" spans="2:22" s="5" customFormat="1" x14ac:dyDescent="0.25">
      <c r="B19" s="6"/>
      <c r="C19" s="7">
        <v>40770</v>
      </c>
      <c r="D19" s="5">
        <v>17.100000000000001</v>
      </c>
      <c r="E19" s="5">
        <v>11.1</v>
      </c>
      <c r="F19" s="5">
        <v>22.6</v>
      </c>
      <c r="G19" s="8"/>
      <c r="H19" s="8"/>
      <c r="I19" s="8"/>
      <c r="J19" s="5">
        <v>0</v>
      </c>
      <c r="K19" s="8"/>
      <c r="L19" s="5">
        <v>4</v>
      </c>
      <c r="M19" s="8"/>
      <c r="N19" s="5">
        <v>-4</v>
      </c>
      <c r="O19" s="5">
        <f t="shared" si="0"/>
        <v>31.699999999999989</v>
      </c>
      <c r="T19" s="9">
        <f t="shared" si="1"/>
        <v>31.699999999999989</v>
      </c>
      <c r="V19" s="5">
        <v>2230.5</v>
      </c>
    </row>
    <row r="20" spans="2:22" s="5" customFormat="1" x14ac:dyDescent="0.25">
      <c r="B20" s="6"/>
      <c r="C20" s="7">
        <v>40771</v>
      </c>
      <c r="D20" s="5">
        <v>18.899999999999999</v>
      </c>
      <c r="E20" s="5">
        <v>13.3</v>
      </c>
      <c r="F20" s="5">
        <v>24.6</v>
      </c>
      <c r="G20" s="8"/>
      <c r="H20" s="8"/>
      <c r="I20" s="8"/>
      <c r="J20" s="5">
        <v>0</v>
      </c>
      <c r="K20" s="8"/>
      <c r="L20" s="5">
        <v>3.5</v>
      </c>
      <c r="M20" s="8"/>
      <c r="N20" s="5">
        <v>-3.5</v>
      </c>
      <c r="O20" s="5">
        <f t="shared" si="0"/>
        <v>28.199999999999989</v>
      </c>
      <c r="T20" s="9">
        <f t="shared" si="1"/>
        <v>28.199999999999989</v>
      </c>
      <c r="V20" s="5">
        <v>1560</v>
      </c>
    </row>
    <row r="21" spans="2:22" s="5" customFormat="1" x14ac:dyDescent="0.25">
      <c r="B21" s="6"/>
      <c r="C21" s="7">
        <v>40772</v>
      </c>
      <c r="D21" s="5">
        <v>21.1</v>
      </c>
      <c r="E21" s="5">
        <v>15.3</v>
      </c>
      <c r="F21" s="5">
        <v>27.8</v>
      </c>
      <c r="G21" s="8"/>
      <c r="H21" s="8"/>
      <c r="I21" s="8"/>
      <c r="J21" s="5">
        <v>0</v>
      </c>
      <c r="K21" s="8"/>
      <c r="L21" s="5">
        <v>4</v>
      </c>
      <c r="M21" s="8"/>
      <c r="N21" s="5">
        <v>-4</v>
      </c>
      <c r="O21" s="5">
        <f t="shared" si="0"/>
        <v>24.199999999999989</v>
      </c>
      <c r="T21" s="9">
        <f t="shared" si="1"/>
        <v>24.199999999999989</v>
      </c>
      <c r="V21" s="5">
        <v>1789</v>
      </c>
    </row>
    <row r="22" spans="2:22" s="5" customFormat="1" x14ac:dyDescent="0.25">
      <c r="B22" s="6"/>
      <c r="C22" s="7">
        <v>40773</v>
      </c>
      <c r="D22" s="5">
        <v>20.9</v>
      </c>
      <c r="E22" s="5">
        <v>18.100000000000001</v>
      </c>
      <c r="F22" s="5">
        <v>26.3</v>
      </c>
      <c r="G22" s="8"/>
      <c r="H22" s="8"/>
      <c r="I22" s="8"/>
      <c r="J22" s="5">
        <v>0</v>
      </c>
      <c r="K22" s="8"/>
      <c r="L22" s="5">
        <v>2.2000000000000002</v>
      </c>
      <c r="M22" s="8"/>
      <c r="N22" s="5">
        <v>-2.2000000000000002</v>
      </c>
      <c r="O22" s="5">
        <f t="shared" si="0"/>
        <v>21.999999999999989</v>
      </c>
      <c r="T22" s="9">
        <f t="shared" si="1"/>
        <v>21.999999999999989</v>
      </c>
      <c r="V22" s="5">
        <v>856.5</v>
      </c>
    </row>
    <row r="23" spans="2:22" s="5" customFormat="1" x14ac:dyDescent="0.25">
      <c r="B23" s="6"/>
      <c r="C23" s="7">
        <v>40774</v>
      </c>
      <c r="D23" s="5">
        <v>19.2</v>
      </c>
      <c r="E23" s="5">
        <v>15.7</v>
      </c>
      <c r="F23" s="5">
        <v>23.6</v>
      </c>
      <c r="G23" s="8"/>
      <c r="H23" s="8"/>
      <c r="I23" s="8"/>
      <c r="J23" s="5">
        <v>0</v>
      </c>
      <c r="K23" s="8"/>
      <c r="L23" s="5">
        <v>4.5</v>
      </c>
      <c r="M23" s="8"/>
      <c r="N23" s="5">
        <v>-4.5</v>
      </c>
      <c r="O23" s="5">
        <f t="shared" si="0"/>
        <v>17.499999999999989</v>
      </c>
      <c r="T23" s="9">
        <f t="shared" si="1"/>
        <v>17.499999999999989</v>
      </c>
      <c r="V23" s="5">
        <v>2257.4</v>
      </c>
    </row>
    <row r="24" spans="2:22" s="5" customFormat="1" x14ac:dyDescent="0.25">
      <c r="B24" s="6"/>
      <c r="C24" s="7">
        <v>40775</v>
      </c>
      <c r="D24" s="5">
        <v>21.3</v>
      </c>
      <c r="E24" s="5">
        <v>12</v>
      </c>
      <c r="F24" s="5">
        <v>27.7</v>
      </c>
      <c r="G24" s="8"/>
      <c r="H24" s="8"/>
      <c r="I24" s="8"/>
      <c r="J24" s="5">
        <v>0.4</v>
      </c>
      <c r="K24" s="8"/>
      <c r="L24" s="5">
        <v>4</v>
      </c>
      <c r="M24" s="8"/>
      <c r="N24" s="5">
        <v>-3.6</v>
      </c>
      <c r="O24" s="5">
        <f t="shared" si="0"/>
        <v>13.89999999999999</v>
      </c>
      <c r="T24" s="9">
        <f t="shared" si="1"/>
        <v>13.89999999999999</v>
      </c>
      <c r="V24" s="5">
        <v>2110.9</v>
      </c>
    </row>
    <row r="25" spans="2:22" s="5" customFormat="1" x14ac:dyDescent="0.25">
      <c r="B25" s="6"/>
      <c r="C25" s="7">
        <v>40776</v>
      </c>
      <c r="D25" s="5">
        <v>20.9</v>
      </c>
      <c r="E25" s="5">
        <v>18.7</v>
      </c>
      <c r="F25" s="5">
        <v>25.1</v>
      </c>
      <c r="G25" s="8"/>
      <c r="H25" s="8"/>
      <c r="I25" s="8"/>
      <c r="J25" s="5">
        <v>0</v>
      </c>
      <c r="K25" s="8"/>
      <c r="L25" s="5">
        <v>3.3</v>
      </c>
      <c r="M25" s="8"/>
      <c r="N25" s="5">
        <v>-3.3</v>
      </c>
      <c r="O25" s="5">
        <f t="shared" si="0"/>
        <v>10.599999999999991</v>
      </c>
      <c r="T25" s="9">
        <f t="shared" si="1"/>
        <v>10.599999999999991</v>
      </c>
      <c r="V25" s="5">
        <v>1636.7</v>
      </c>
    </row>
    <row r="26" spans="2:22" s="5" customFormat="1" x14ac:dyDescent="0.25">
      <c r="B26" s="6"/>
      <c r="C26" s="7">
        <v>40777</v>
      </c>
      <c r="D26" s="5">
        <v>17.8</v>
      </c>
      <c r="E26" s="5">
        <v>16.7</v>
      </c>
      <c r="F26" s="5">
        <v>19</v>
      </c>
      <c r="G26" s="8"/>
      <c r="H26" s="8"/>
      <c r="I26" s="8"/>
      <c r="J26" s="5">
        <v>8.6</v>
      </c>
      <c r="K26" s="8"/>
      <c r="L26" s="5">
        <v>1.3</v>
      </c>
      <c r="M26" s="8"/>
      <c r="N26" s="5">
        <v>7.3</v>
      </c>
      <c r="O26" s="5">
        <f t="shared" si="0"/>
        <v>17.899999999999991</v>
      </c>
      <c r="T26" s="9">
        <f t="shared" si="1"/>
        <v>17.899999999999991</v>
      </c>
      <c r="V26" s="5">
        <v>754.2</v>
      </c>
    </row>
    <row r="27" spans="2:22" s="5" customFormat="1" x14ac:dyDescent="0.25">
      <c r="B27" s="6"/>
      <c r="C27" s="7">
        <v>40778</v>
      </c>
      <c r="D27" s="5">
        <v>18</v>
      </c>
      <c r="E27" s="5">
        <v>16.600000000000001</v>
      </c>
      <c r="F27" s="5">
        <v>21</v>
      </c>
      <c r="G27" s="8"/>
      <c r="H27" s="8"/>
      <c r="I27" s="8"/>
      <c r="J27" s="5">
        <v>0.2</v>
      </c>
      <c r="K27" s="8"/>
      <c r="L27" s="5">
        <v>1.5</v>
      </c>
      <c r="M27" s="8"/>
      <c r="N27" s="5">
        <v>-1.3</v>
      </c>
      <c r="O27" s="5">
        <f t="shared" si="0"/>
        <v>16.599999999999991</v>
      </c>
      <c r="T27" s="9">
        <f t="shared" si="1"/>
        <v>16.599999999999991</v>
      </c>
      <c r="V27" s="5">
        <v>574.70000000000005</v>
      </c>
    </row>
    <row r="28" spans="2:22" s="5" customFormat="1" x14ac:dyDescent="0.25">
      <c r="B28" s="6"/>
      <c r="C28" s="7">
        <v>40779</v>
      </c>
      <c r="D28" s="5">
        <v>17</v>
      </c>
      <c r="E28" s="5">
        <v>13.8</v>
      </c>
      <c r="F28" s="5">
        <v>21.1</v>
      </c>
      <c r="G28" s="8"/>
      <c r="H28" s="8"/>
      <c r="I28" s="8"/>
      <c r="J28" s="5">
        <v>0</v>
      </c>
      <c r="K28" s="8"/>
      <c r="L28" s="5">
        <v>2.5</v>
      </c>
      <c r="M28" s="8"/>
      <c r="N28" s="5">
        <v>-2.5</v>
      </c>
      <c r="O28" s="5">
        <f t="shared" si="0"/>
        <v>14.099999999999991</v>
      </c>
      <c r="T28" s="9">
        <f t="shared" si="1"/>
        <v>14.099999999999991</v>
      </c>
      <c r="V28" s="5">
        <v>1297.5</v>
      </c>
    </row>
    <row r="29" spans="2:22" s="5" customFormat="1" x14ac:dyDescent="0.25">
      <c r="B29" s="6"/>
      <c r="C29" s="7">
        <v>40780</v>
      </c>
      <c r="D29" s="5">
        <v>15.6</v>
      </c>
      <c r="E29" s="5">
        <v>13.1</v>
      </c>
      <c r="F29" s="5">
        <v>18.399999999999999</v>
      </c>
      <c r="G29" s="8"/>
      <c r="H29" s="8"/>
      <c r="I29" s="8"/>
      <c r="J29" s="5">
        <v>20.9</v>
      </c>
      <c r="K29" s="8"/>
      <c r="L29" s="5">
        <v>1.2</v>
      </c>
      <c r="M29" s="8"/>
      <c r="N29" s="5">
        <v>19.7</v>
      </c>
      <c r="O29" s="5">
        <f t="shared" si="0"/>
        <v>33.79999999999999</v>
      </c>
      <c r="T29" s="9">
        <f t="shared" si="1"/>
        <v>33.79999999999999</v>
      </c>
      <c r="V29" s="5">
        <v>782</v>
      </c>
    </row>
    <row r="30" spans="2:22" s="5" customFormat="1" x14ac:dyDescent="0.25">
      <c r="B30" s="6"/>
      <c r="C30" s="7">
        <v>40781</v>
      </c>
      <c r="D30" s="5">
        <v>13.9</v>
      </c>
      <c r="E30" s="5">
        <v>13.1</v>
      </c>
      <c r="F30" s="5">
        <v>16.899999999999999</v>
      </c>
      <c r="G30" s="8"/>
      <c r="H30" s="8"/>
      <c r="I30" s="8"/>
      <c r="J30" s="5">
        <v>7.6</v>
      </c>
      <c r="K30" s="8"/>
      <c r="L30" s="5">
        <v>2.4</v>
      </c>
      <c r="M30" s="8"/>
      <c r="N30" s="5">
        <v>5.1999999999999993</v>
      </c>
      <c r="O30" s="5">
        <f t="shared" si="0"/>
        <v>38.999999999999986</v>
      </c>
      <c r="T30" s="9">
        <f t="shared" si="1"/>
        <v>38.999999999999986</v>
      </c>
      <c r="V30" s="5">
        <v>1311.5</v>
      </c>
    </row>
    <row r="31" spans="2:22" s="5" customFormat="1" x14ac:dyDescent="0.25">
      <c r="B31" s="6"/>
      <c r="C31" s="7">
        <v>40782</v>
      </c>
      <c r="D31" s="5">
        <v>15</v>
      </c>
      <c r="E31" s="5">
        <v>11</v>
      </c>
      <c r="F31" s="5">
        <v>19.899999999999999</v>
      </c>
      <c r="G31" s="8"/>
      <c r="H31" s="8"/>
      <c r="I31" s="8"/>
      <c r="J31" s="5">
        <v>0.6</v>
      </c>
      <c r="K31" s="8"/>
      <c r="L31" s="5">
        <v>3.1</v>
      </c>
      <c r="M31" s="8"/>
      <c r="N31" s="5">
        <v>-2.5</v>
      </c>
      <c r="O31" s="5">
        <f t="shared" si="0"/>
        <v>36.499999999999986</v>
      </c>
      <c r="T31" s="9">
        <f t="shared" si="1"/>
        <v>36.499999999999986</v>
      </c>
      <c r="V31" s="5">
        <v>1738.8</v>
      </c>
    </row>
    <row r="32" spans="2:22" s="5" customFormat="1" x14ac:dyDescent="0.25">
      <c r="B32" s="6"/>
      <c r="C32" s="7">
        <v>40783</v>
      </c>
      <c r="D32" s="5">
        <v>14.1</v>
      </c>
      <c r="E32" s="5">
        <v>10.1</v>
      </c>
      <c r="F32" s="5">
        <v>20.399999999999999</v>
      </c>
      <c r="G32" s="8"/>
      <c r="H32" s="8"/>
      <c r="I32" s="8"/>
      <c r="J32" s="5">
        <v>0</v>
      </c>
      <c r="K32" s="8"/>
      <c r="L32" s="5">
        <v>2.6</v>
      </c>
      <c r="M32" s="8"/>
      <c r="N32" s="5">
        <v>-2.6</v>
      </c>
      <c r="O32" s="5">
        <f t="shared" si="0"/>
        <v>33.899999999999984</v>
      </c>
      <c r="T32" s="9">
        <f t="shared" si="1"/>
        <v>33.899999999999984</v>
      </c>
      <c r="V32" s="5">
        <v>1435.9</v>
      </c>
    </row>
    <row r="33" spans="2:22" s="5" customFormat="1" x14ac:dyDescent="0.25">
      <c r="B33" s="6"/>
      <c r="C33" s="7">
        <v>40784</v>
      </c>
      <c r="D33" s="5">
        <v>13.9</v>
      </c>
      <c r="E33" s="5">
        <v>9.6</v>
      </c>
      <c r="F33" s="5">
        <v>19.899999999999999</v>
      </c>
      <c r="G33" s="8"/>
      <c r="H33" s="8"/>
      <c r="I33" s="8"/>
      <c r="J33" s="5">
        <v>0</v>
      </c>
      <c r="K33" s="8"/>
      <c r="L33" s="5">
        <v>3</v>
      </c>
      <c r="M33" s="8"/>
      <c r="N33" s="5">
        <v>-3</v>
      </c>
      <c r="O33" s="5">
        <f t="shared" si="0"/>
        <v>30.899999999999984</v>
      </c>
      <c r="T33" s="9">
        <f t="shared" si="1"/>
        <v>30.899999999999984</v>
      </c>
      <c r="V33" s="5">
        <v>1756.6</v>
      </c>
    </row>
    <row r="34" spans="2:22" s="5" customFormat="1" x14ac:dyDescent="0.25">
      <c r="B34" s="6"/>
      <c r="C34" s="7">
        <v>40785</v>
      </c>
      <c r="D34" s="5">
        <v>14.8</v>
      </c>
      <c r="E34" s="5">
        <v>8.6</v>
      </c>
      <c r="F34" s="5">
        <v>20.7</v>
      </c>
      <c r="G34" s="8"/>
      <c r="H34" s="8"/>
      <c r="I34" s="8"/>
      <c r="J34" s="5">
        <v>0</v>
      </c>
      <c r="K34" s="8"/>
      <c r="L34" s="5">
        <v>2.8</v>
      </c>
      <c r="M34" s="8"/>
      <c r="N34" s="5">
        <v>-2.8</v>
      </c>
      <c r="O34" s="5">
        <f t="shared" si="0"/>
        <v>28.099999999999984</v>
      </c>
      <c r="T34" s="9">
        <f t="shared" si="1"/>
        <v>28.099999999999984</v>
      </c>
      <c r="V34" s="5">
        <v>1723.6</v>
      </c>
    </row>
    <row r="35" spans="2:22" s="5" customFormat="1" x14ac:dyDescent="0.25">
      <c r="B35" s="6"/>
      <c r="C35" s="7">
        <v>40786</v>
      </c>
      <c r="D35" s="5">
        <v>17.399999999999999</v>
      </c>
      <c r="E35" s="5">
        <v>11.6</v>
      </c>
      <c r="F35" s="5">
        <v>22.1</v>
      </c>
      <c r="G35" s="8"/>
      <c r="H35" s="8"/>
      <c r="I35" s="8"/>
      <c r="J35" s="5">
        <v>0</v>
      </c>
      <c r="K35" s="8"/>
      <c r="L35" s="5">
        <v>2.6</v>
      </c>
      <c r="M35" s="8"/>
      <c r="N35" s="5">
        <v>-2.6</v>
      </c>
      <c r="O35" s="5">
        <f t="shared" si="0"/>
        <v>25.499999999999982</v>
      </c>
      <c r="T35" s="9">
        <f t="shared" si="1"/>
        <v>25.499999999999982</v>
      </c>
      <c r="V35" s="5">
        <v>1066.2</v>
      </c>
    </row>
    <row r="36" spans="2:22" s="5" customFormat="1" x14ac:dyDescent="0.25">
      <c r="B36" s="6"/>
      <c r="C36" s="7">
        <v>40787</v>
      </c>
      <c r="D36" s="5">
        <v>19.7</v>
      </c>
      <c r="E36" s="5">
        <v>14</v>
      </c>
      <c r="F36" s="5">
        <v>24.4</v>
      </c>
      <c r="G36" s="8"/>
      <c r="H36" s="8"/>
      <c r="I36" s="8"/>
      <c r="J36" s="5">
        <v>0</v>
      </c>
      <c r="K36" s="8"/>
      <c r="L36" s="5">
        <v>1.9</v>
      </c>
      <c r="M36" s="8"/>
      <c r="N36" s="5">
        <v>-1.9</v>
      </c>
      <c r="O36" s="5">
        <f t="shared" si="0"/>
        <v>23.599999999999984</v>
      </c>
      <c r="T36" s="9">
        <f t="shared" si="1"/>
        <v>23.599999999999984</v>
      </c>
      <c r="V36" s="5">
        <v>1103</v>
      </c>
    </row>
    <row r="37" spans="2:22" s="5" customFormat="1" x14ac:dyDescent="0.25">
      <c r="B37" s="6"/>
      <c r="C37" s="7">
        <v>40788</v>
      </c>
      <c r="D37" s="5">
        <v>20.6</v>
      </c>
      <c r="E37" s="5">
        <v>14.2</v>
      </c>
      <c r="F37" s="5">
        <v>27.9</v>
      </c>
      <c r="G37" s="8"/>
      <c r="H37" s="8"/>
      <c r="I37" s="8"/>
      <c r="J37" s="5">
        <v>0</v>
      </c>
      <c r="K37" s="8"/>
      <c r="L37" s="5">
        <v>4.0999999999999996</v>
      </c>
      <c r="M37" s="8"/>
      <c r="N37" s="5">
        <v>-4.0999999999999996</v>
      </c>
      <c r="O37" s="5">
        <f t="shared" si="0"/>
        <v>19.499999999999986</v>
      </c>
      <c r="T37" s="9">
        <f t="shared" si="1"/>
        <v>19.499999999999986</v>
      </c>
      <c r="V37" s="5">
        <v>1930.1</v>
      </c>
    </row>
    <row r="38" spans="2:22" s="5" customFormat="1" x14ac:dyDescent="0.25">
      <c r="B38" s="6"/>
      <c r="C38" s="7">
        <v>40789</v>
      </c>
      <c r="D38" s="5">
        <v>19</v>
      </c>
      <c r="E38" s="5">
        <v>15.6</v>
      </c>
      <c r="F38" s="5">
        <v>22.2</v>
      </c>
      <c r="G38" s="8"/>
      <c r="H38" s="8"/>
      <c r="I38" s="8"/>
      <c r="J38" s="5">
        <v>0.6</v>
      </c>
      <c r="K38" s="8"/>
      <c r="L38" s="5">
        <v>1.2</v>
      </c>
      <c r="M38" s="8"/>
      <c r="N38" s="5">
        <v>-0.6</v>
      </c>
      <c r="O38" s="5">
        <f t="shared" si="0"/>
        <v>18.899999999999984</v>
      </c>
      <c r="T38" s="9">
        <f t="shared" si="1"/>
        <v>18.899999999999984</v>
      </c>
      <c r="V38" s="5">
        <v>501.3</v>
      </c>
    </row>
    <row r="39" spans="2:22" s="5" customFormat="1" x14ac:dyDescent="0.25">
      <c r="B39" s="6"/>
      <c r="C39" s="7">
        <v>40790</v>
      </c>
      <c r="D39" s="5">
        <v>16.399999999999999</v>
      </c>
      <c r="E39" s="5">
        <v>15.9</v>
      </c>
      <c r="F39" s="5">
        <v>17.5</v>
      </c>
      <c r="G39" s="8"/>
      <c r="H39" s="8"/>
      <c r="I39" s="8"/>
      <c r="J39" s="5">
        <v>7.9</v>
      </c>
      <c r="K39" s="8"/>
      <c r="L39" s="5">
        <v>1.4</v>
      </c>
      <c r="M39" s="8"/>
      <c r="N39" s="5">
        <v>6.5</v>
      </c>
      <c r="O39" s="5">
        <f t="shared" si="0"/>
        <v>25.399999999999984</v>
      </c>
      <c r="T39" s="9">
        <f t="shared" si="1"/>
        <v>25.399999999999984</v>
      </c>
      <c r="V39" s="5">
        <v>478.5</v>
      </c>
    </row>
    <row r="40" spans="2:22" s="5" customFormat="1" x14ac:dyDescent="0.25">
      <c r="B40" s="6"/>
      <c r="C40" s="7">
        <v>40791</v>
      </c>
      <c r="D40" s="5">
        <v>14.9</v>
      </c>
      <c r="E40" s="5">
        <v>11</v>
      </c>
      <c r="F40" s="5">
        <v>17.5</v>
      </c>
      <c r="G40" s="8"/>
      <c r="H40" s="8"/>
      <c r="I40" s="8"/>
      <c r="J40" s="5">
        <v>0</v>
      </c>
      <c r="K40" s="8"/>
      <c r="L40" s="5">
        <v>2.2999999999999998</v>
      </c>
      <c r="M40" s="8"/>
      <c r="N40" s="5">
        <v>-2.2999999999999998</v>
      </c>
      <c r="O40" s="5">
        <f t="shared" si="0"/>
        <v>23.099999999999984</v>
      </c>
      <c r="T40" s="9">
        <f t="shared" si="1"/>
        <v>23.099999999999984</v>
      </c>
      <c r="V40" s="5">
        <v>1571.7</v>
      </c>
    </row>
    <row r="41" spans="2:22" s="5" customFormat="1" x14ac:dyDescent="0.25">
      <c r="B41" s="6"/>
      <c r="C41" s="7">
        <v>40792</v>
      </c>
      <c r="D41" s="5">
        <v>17.2</v>
      </c>
      <c r="E41" s="5">
        <v>14.5</v>
      </c>
      <c r="F41" s="5">
        <v>19.899999999999999</v>
      </c>
      <c r="G41" s="8"/>
      <c r="H41" s="8"/>
      <c r="I41" s="8"/>
      <c r="J41" s="5">
        <v>2.9</v>
      </c>
      <c r="K41" s="8"/>
      <c r="L41" s="5">
        <v>1.5</v>
      </c>
      <c r="M41" s="8"/>
      <c r="N41" s="5">
        <v>1.4</v>
      </c>
      <c r="O41" s="5">
        <f t="shared" si="0"/>
        <v>24.499999999999982</v>
      </c>
      <c r="T41" s="9">
        <f t="shared" si="1"/>
        <v>24.499999999999982</v>
      </c>
      <c r="V41" s="5">
        <v>378.1</v>
      </c>
    </row>
    <row r="42" spans="2:22" s="5" customFormat="1" x14ac:dyDescent="0.25">
      <c r="B42" s="6"/>
      <c r="C42" s="7">
        <v>40793</v>
      </c>
      <c r="D42" s="5">
        <v>15.8</v>
      </c>
      <c r="E42" s="5">
        <v>12.2</v>
      </c>
      <c r="F42" s="5">
        <v>18.5</v>
      </c>
      <c r="G42" s="8"/>
      <c r="H42" s="8"/>
      <c r="I42" s="8"/>
      <c r="J42" s="5">
        <v>0</v>
      </c>
      <c r="K42" s="8"/>
      <c r="L42" s="5">
        <v>1.8</v>
      </c>
      <c r="M42" s="8"/>
      <c r="N42" s="5">
        <v>-1.8</v>
      </c>
      <c r="O42" s="5">
        <f t="shared" si="0"/>
        <v>22.699999999999982</v>
      </c>
      <c r="T42" s="9">
        <f t="shared" si="1"/>
        <v>22.699999999999982</v>
      </c>
      <c r="V42" s="5">
        <v>877.1</v>
      </c>
    </row>
    <row r="43" spans="2:22" s="5" customFormat="1" x14ac:dyDescent="0.25">
      <c r="B43" s="6"/>
      <c r="C43" s="7">
        <v>40794</v>
      </c>
      <c r="D43" s="5">
        <v>17.7</v>
      </c>
      <c r="E43" s="5">
        <v>12.8</v>
      </c>
      <c r="F43" s="5">
        <v>20.7</v>
      </c>
      <c r="G43" s="8"/>
      <c r="H43" s="8"/>
      <c r="I43" s="8"/>
      <c r="J43" s="5">
        <v>1</v>
      </c>
      <c r="K43" s="8"/>
      <c r="L43" s="5">
        <v>0.7</v>
      </c>
      <c r="M43" s="8"/>
      <c r="N43" s="5">
        <v>0.30000000000000004</v>
      </c>
      <c r="O43" s="5">
        <f t="shared" si="0"/>
        <v>22.999999999999982</v>
      </c>
      <c r="T43" s="9">
        <f t="shared" si="1"/>
        <v>22.999999999999982</v>
      </c>
      <c r="V43" s="5">
        <v>434.5</v>
      </c>
    </row>
    <row r="44" spans="2:22" s="5" customFormat="1" x14ac:dyDescent="0.25">
      <c r="B44" s="6"/>
      <c r="C44" s="7">
        <v>40795</v>
      </c>
      <c r="D44" s="5">
        <v>19.899999999999999</v>
      </c>
      <c r="E44" s="5">
        <v>16.7</v>
      </c>
      <c r="F44" s="5">
        <v>22.6</v>
      </c>
      <c r="G44" s="8"/>
      <c r="H44" s="8"/>
      <c r="I44" s="8"/>
      <c r="J44" s="5">
        <v>0.1</v>
      </c>
      <c r="K44" s="8"/>
      <c r="L44" s="5">
        <v>1</v>
      </c>
      <c r="M44" s="8"/>
      <c r="N44" s="5">
        <v>-0.9</v>
      </c>
      <c r="O44" s="5">
        <f t="shared" si="0"/>
        <v>22.099999999999984</v>
      </c>
      <c r="T44" s="9">
        <f t="shared" si="1"/>
        <v>22.099999999999984</v>
      </c>
      <c r="V44" s="5">
        <v>540.6</v>
      </c>
    </row>
    <row r="45" spans="2:22" s="5" customFormat="1" x14ac:dyDescent="0.25">
      <c r="B45" s="6"/>
      <c r="C45" s="7">
        <v>40796</v>
      </c>
      <c r="D45" s="5">
        <v>18.8</v>
      </c>
      <c r="E45" s="5">
        <v>17.100000000000001</v>
      </c>
      <c r="F45" s="5">
        <v>22.7</v>
      </c>
      <c r="G45" s="8"/>
      <c r="H45" s="8"/>
      <c r="I45" s="8"/>
      <c r="J45" s="5">
        <v>4.5999999999999996</v>
      </c>
      <c r="K45" s="8"/>
      <c r="L45" s="5">
        <v>1.3</v>
      </c>
      <c r="M45" s="8"/>
      <c r="N45" s="5">
        <v>3.3</v>
      </c>
      <c r="O45" s="5">
        <f t="shared" si="0"/>
        <v>25.399999999999984</v>
      </c>
      <c r="T45" s="9">
        <f t="shared" si="1"/>
        <v>25.399999999999984</v>
      </c>
      <c r="V45" s="5">
        <v>407.9</v>
      </c>
    </row>
    <row r="46" spans="2:22" s="5" customFormat="1" x14ac:dyDescent="0.25">
      <c r="B46" s="6"/>
      <c r="C46" s="7">
        <v>40797</v>
      </c>
      <c r="D46" s="5">
        <v>17.2</v>
      </c>
      <c r="E46" s="5">
        <v>14.4</v>
      </c>
      <c r="F46" s="5">
        <v>19.600000000000001</v>
      </c>
      <c r="G46" s="8"/>
      <c r="H46" s="8"/>
      <c r="I46" s="8"/>
      <c r="J46" s="5">
        <v>4.9000000000000004</v>
      </c>
      <c r="K46" s="8"/>
      <c r="L46" s="5">
        <v>1.5</v>
      </c>
      <c r="M46" s="8"/>
      <c r="N46" s="5">
        <v>3.4000000000000004</v>
      </c>
      <c r="O46" s="5">
        <f t="shared" si="0"/>
        <v>28.799999999999983</v>
      </c>
      <c r="T46" s="9">
        <f t="shared" si="1"/>
        <v>28.799999999999983</v>
      </c>
      <c r="V46" s="5">
        <v>578.9</v>
      </c>
    </row>
    <row r="47" spans="2:22" s="5" customFormat="1" x14ac:dyDescent="0.25">
      <c r="B47" s="6"/>
      <c r="C47" s="7">
        <v>40798</v>
      </c>
      <c r="D47" s="5">
        <v>18.600000000000001</v>
      </c>
      <c r="E47" s="5">
        <v>16.5</v>
      </c>
      <c r="F47" s="5">
        <v>21.7</v>
      </c>
      <c r="G47" s="8"/>
      <c r="H47" s="8"/>
      <c r="I47" s="8"/>
      <c r="J47" s="5">
        <v>0.6</v>
      </c>
      <c r="K47" s="8"/>
      <c r="L47" s="5">
        <v>1.7</v>
      </c>
      <c r="M47" s="8"/>
      <c r="N47" s="5">
        <v>-1.1000000000000001</v>
      </c>
      <c r="O47" s="5">
        <f t="shared" si="0"/>
        <v>27.699999999999982</v>
      </c>
      <c r="T47" s="9">
        <f t="shared" si="1"/>
        <v>27.699999999999982</v>
      </c>
      <c r="V47" s="5">
        <v>418.6</v>
      </c>
    </row>
    <row r="48" spans="2:22" s="5" customFormat="1" x14ac:dyDescent="0.25">
      <c r="B48" s="6"/>
      <c r="C48" s="7">
        <v>40799</v>
      </c>
      <c r="D48" s="5">
        <v>15.9</v>
      </c>
      <c r="E48" s="5">
        <v>14.5</v>
      </c>
      <c r="F48" s="5">
        <v>21.3</v>
      </c>
      <c r="G48" s="8"/>
      <c r="H48" s="8"/>
      <c r="I48" s="8"/>
      <c r="J48" s="5">
        <v>0.2</v>
      </c>
      <c r="K48" s="8"/>
      <c r="L48" s="5">
        <v>3.4</v>
      </c>
      <c r="M48" s="8"/>
      <c r="N48" s="5">
        <v>-3.1999999999999997</v>
      </c>
      <c r="O48" s="5">
        <f t="shared" si="0"/>
        <v>24.499999999999982</v>
      </c>
      <c r="T48" s="9">
        <f t="shared" si="1"/>
        <v>24.499999999999982</v>
      </c>
      <c r="V48" s="5">
        <v>1488.1</v>
      </c>
    </row>
    <row r="49" spans="1:27" s="5" customFormat="1" x14ac:dyDescent="0.25">
      <c r="A49" s="75" t="s">
        <v>26</v>
      </c>
      <c r="B49" s="75"/>
      <c r="C49" s="75"/>
      <c r="D49" s="75"/>
      <c r="E49" s="75"/>
      <c r="F49" s="75"/>
      <c r="G49" s="75"/>
      <c r="H49" s="75"/>
      <c r="I49" s="75"/>
      <c r="J49" s="75"/>
      <c r="K49" s="75"/>
      <c r="L49" s="75"/>
      <c r="M49" s="75"/>
      <c r="N49" s="75"/>
      <c r="O49" s="75"/>
      <c r="P49" s="75"/>
      <c r="Q49" s="75"/>
      <c r="R49" s="75"/>
      <c r="S49" s="75"/>
      <c r="T49" s="75"/>
      <c r="U49" s="75"/>
      <c r="V49" s="75"/>
      <c r="W49" s="75"/>
      <c r="X49" s="75"/>
      <c r="Y49" s="75"/>
      <c r="Z49" s="75"/>
    </row>
    <row r="50" spans="1:27" s="5" customFormat="1" x14ac:dyDescent="0.25">
      <c r="A50" s="76" t="s">
        <v>27</v>
      </c>
      <c r="B50" s="10"/>
      <c r="C50" s="11">
        <v>40800</v>
      </c>
      <c r="D50" s="5">
        <v>13.4</v>
      </c>
      <c r="E50" s="5">
        <v>7</v>
      </c>
      <c r="F50" s="5">
        <v>19.899999999999999</v>
      </c>
      <c r="G50" s="5">
        <v>13.4</v>
      </c>
      <c r="I50" s="12" t="s">
        <v>28</v>
      </c>
      <c r="J50" s="5">
        <v>0</v>
      </c>
      <c r="K50" s="5">
        <f>J50</f>
        <v>0</v>
      </c>
      <c r="L50" s="5">
        <v>1.9</v>
      </c>
      <c r="M50" s="5">
        <f>L50</f>
        <v>1.9</v>
      </c>
      <c r="N50" s="5">
        <v>-1.9</v>
      </c>
      <c r="O50" s="5">
        <f>O48+N50</f>
        <v>22.599999999999984</v>
      </c>
      <c r="P50" s="5">
        <v>1</v>
      </c>
      <c r="Q50" s="5">
        <v>0.35</v>
      </c>
      <c r="R50" s="9">
        <f t="shared" ref="R50:R113" si="2">Q50*L50</f>
        <v>0.66499999999999992</v>
      </c>
      <c r="S50" s="9">
        <f t="shared" ref="S50:S113" si="3">J50-R50</f>
        <v>-0.66499999999999992</v>
      </c>
      <c r="T50" s="9">
        <f>T48+S50</f>
        <v>23.834999999999983</v>
      </c>
      <c r="U50" s="12" t="s">
        <v>29</v>
      </c>
      <c r="V50" s="5">
        <v>933.5</v>
      </c>
      <c r="X50" s="5">
        <f>V50</f>
        <v>933.5</v>
      </c>
      <c r="Z50" s="12" t="s">
        <v>30</v>
      </c>
      <c r="AA50" s="5">
        <v>12.7247130029575</v>
      </c>
    </row>
    <row r="51" spans="1:27" s="5" customFormat="1" x14ac:dyDescent="0.25">
      <c r="A51" s="76"/>
      <c r="B51" s="10"/>
      <c r="C51" s="11">
        <v>40801</v>
      </c>
      <c r="D51" s="5">
        <v>14.6</v>
      </c>
      <c r="E51" s="5">
        <v>7.5</v>
      </c>
      <c r="F51" s="5">
        <v>21.2</v>
      </c>
      <c r="G51" s="5">
        <f>G50+D51</f>
        <v>28</v>
      </c>
      <c r="I51" s="5">
        <f>MIN(E50:E171)</f>
        <v>-0.1</v>
      </c>
      <c r="J51" s="5">
        <v>0</v>
      </c>
      <c r="K51" s="5">
        <f>K50+J51</f>
        <v>0</v>
      </c>
      <c r="L51" s="5">
        <v>1.9</v>
      </c>
      <c r="M51" s="5">
        <f>M50+L51</f>
        <v>3.8</v>
      </c>
      <c r="N51" s="5">
        <v>-1.9</v>
      </c>
      <c r="O51" s="5">
        <f t="shared" ref="O51:O64" si="4">O50+N51</f>
        <v>20.699999999999985</v>
      </c>
      <c r="P51" s="5">
        <v>2</v>
      </c>
      <c r="Q51" s="5">
        <v>0.35</v>
      </c>
      <c r="R51" s="9">
        <f t="shared" si="2"/>
        <v>0.66499999999999992</v>
      </c>
      <c r="S51" s="9">
        <f t="shared" si="3"/>
        <v>-0.66499999999999992</v>
      </c>
      <c r="T51" s="9">
        <f>MIN(197.4,(T50+S51))</f>
        <v>23.169999999999984</v>
      </c>
      <c r="U51" s="5">
        <v>78</v>
      </c>
      <c r="V51" s="5">
        <v>896.2</v>
      </c>
      <c r="X51" s="5">
        <f>X50+V51</f>
        <v>1829.7</v>
      </c>
      <c r="Z51" s="5">
        <v>61960.900000000023</v>
      </c>
      <c r="AA51" s="5">
        <v>12.667095814664201</v>
      </c>
    </row>
    <row r="52" spans="1:27" s="5" customFormat="1" x14ac:dyDescent="0.25">
      <c r="A52" s="76"/>
      <c r="B52" s="10"/>
      <c r="C52" s="11">
        <v>40802</v>
      </c>
      <c r="D52" s="5">
        <v>16.3</v>
      </c>
      <c r="E52" s="5">
        <v>11.1</v>
      </c>
      <c r="F52" s="5">
        <v>22.3</v>
      </c>
      <c r="G52" s="5">
        <f t="shared" ref="G52:G115" si="5">G51+D52</f>
        <v>44.3</v>
      </c>
      <c r="I52" s="12" t="s">
        <v>31</v>
      </c>
      <c r="J52" s="5">
        <v>0</v>
      </c>
      <c r="K52" s="5">
        <f t="shared" ref="K52:K115" si="6">K51+J52</f>
        <v>0</v>
      </c>
      <c r="L52" s="5">
        <v>1.9</v>
      </c>
      <c r="M52" s="5">
        <f t="shared" ref="M52:M115" si="7">M51+L52</f>
        <v>5.6999999999999993</v>
      </c>
      <c r="N52" s="5">
        <v>-1.9</v>
      </c>
      <c r="O52" s="5">
        <f t="shared" si="4"/>
        <v>18.799999999999986</v>
      </c>
      <c r="P52" s="5">
        <v>3</v>
      </c>
      <c r="Q52" s="5">
        <v>0.35</v>
      </c>
      <c r="R52" s="9">
        <f t="shared" si="2"/>
        <v>0.66499999999999992</v>
      </c>
      <c r="S52" s="9">
        <f t="shared" si="3"/>
        <v>-0.66499999999999992</v>
      </c>
      <c r="T52" s="9">
        <f t="shared" ref="T52:T115" si="8">MIN(197.4,(T51+S52))</f>
        <v>22.504999999999985</v>
      </c>
      <c r="U52" s="12" t="s">
        <v>32</v>
      </c>
      <c r="V52" s="5">
        <v>975.2</v>
      </c>
      <c r="X52" s="5">
        <f t="shared" ref="X52:X115" si="9">X51+V52</f>
        <v>2804.9</v>
      </c>
      <c r="Z52" s="12" t="s">
        <v>33</v>
      </c>
      <c r="AA52" s="5">
        <v>12.6094155464097</v>
      </c>
    </row>
    <row r="53" spans="1:27" s="5" customFormat="1" x14ac:dyDescent="0.25">
      <c r="A53" s="76"/>
      <c r="B53" s="10"/>
      <c r="C53" s="11">
        <v>40803</v>
      </c>
      <c r="D53" s="5">
        <v>14.8</v>
      </c>
      <c r="E53" s="5">
        <v>12.1</v>
      </c>
      <c r="F53" s="5">
        <v>18.3</v>
      </c>
      <c r="G53" s="5">
        <f t="shared" si="5"/>
        <v>59.099999999999994</v>
      </c>
      <c r="I53" s="5">
        <f>MAX(F50:F171)</f>
        <v>29.1</v>
      </c>
      <c r="J53" s="5">
        <v>5.2</v>
      </c>
      <c r="K53" s="5">
        <f t="shared" si="6"/>
        <v>5.2</v>
      </c>
      <c r="L53" s="5">
        <v>1.2</v>
      </c>
      <c r="M53" s="5">
        <f t="shared" si="7"/>
        <v>6.8999999999999995</v>
      </c>
      <c r="N53" s="5">
        <v>4</v>
      </c>
      <c r="O53" s="5">
        <f t="shared" si="4"/>
        <v>22.799999999999986</v>
      </c>
      <c r="P53" s="5">
        <v>4</v>
      </c>
      <c r="Q53" s="5">
        <v>0.35</v>
      </c>
      <c r="R53" s="9">
        <f t="shared" si="2"/>
        <v>0.42</v>
      </c>
      <c r="S53" s="9">
        <f t="shared" si="3"/>
        <v>4.78</v>
      </c>
      <c r="T53" s="9">
        <f t="shared" si="8"/>
        <v>27.284999999999986</v>
      </c>
      <c r="U53" s="5">
        <v>0</v>
      </c>
      <c r="V53" s="5">
        <v>596.70000000000005</v>
      </c>
      <c r="X53" s="5">
        <f t="shared" si="9"/>
        <v>3401.6000000000004</v>
      </c>
      <c r="Z53" s="5">
        <f>(Z51/100)/I63</f>
        <v>0.44321101573676702</v>
      </c>
      <c r="AA53" s="5">
        <v>12.5516779716794</v>
      </c>
    </row>
    <row r="54" spans="1:27" s="5" customFormat="1" x14ac:dyDescent="0.25">
      <c r="A54" s="76"/>
      <c r="B54" s="10"/>
      <c r="C54" s="11">
        <v>40804</v>
      </c>
      <c r="D54" s="5">
        <v>12.9</v>
      </c>
      <c r="E54" s="5">
        <v>8.1999999999999993</v>
      </c>
      <c r="F54" s="5">
        <v>17.5</v>
      </c>
      <c r="G54" s="5">
        <f t="shared" si="5"/>
        <v>72</v>
      </c>
      <c r="I54" s="12" t="s">
        <v>34</v>
      </c>
      <c r="J54" s="5">
        <v>3</v>
      </c>
      <c r="K54" s="5">
        <f t="shared" si="6"/>
        <v>8.1999999999999993</v>
      </c>
      <c r="L54" s="5">
        <v>1.6</v>
      </c>
      <c r="M54" s="5">
        <f t="shared" si="7"/>
        <v>8.5</v>
      </c>
      <c r="N54" s="5">
        <v>1.4</v>
      </c>
      <c r="O54" s="5">
        <f t="shared" si="4"/>
        <v>24.199999999999985</v>
      </c>
      <c r="P54" s="5">
        <v>5</v>
      </c>
      <c r="Q54" s="5">
        <v>0.35</v>
      </c>
      <c r="R54" s="9">
        <f t="shared" si="2"/>
        <v>0.55999999999999994</v>
      </c>
      <c r="S54" s="9">
        <f t="shared" si="3"/>
        <v>2.44</v>
      </c>
      <c r="T54" s="9">
        <f t="shared" si="8"/>
        <v>29.724999999999987</v>
      </c>
      <c r="U54" s="12" t="s">
        <v>35</v>
      </c>
      <c r="V54" s="5">
        <v>779.5</v>
      </c>
      <c r="X54" s="5">
        <f t="shared" si="9"/>
        <v>4181.1000000000004</v>
      </c>
      <c r="Z54" s="12" t="s">
        <v>36</v>
      </c>
      <c r="AA54" s="5">
        <v>12.4938887637508</v>
      </c>
    </row>
    <row r="55" spans="1:27" s="5" customFormat="1" x14ac:dyDescent="0.25">
      <c r="A55" s="76"/>
      <c r="B55" s="10"/>
      <c r="C55" s="11">
        <v>40805</v>
      </c>
      <c r="D55" s="5">
        <v>14.2</v>
      </c>
      <c r="E55" s="5">
        <v>10.5</v>
      </c>
      <c r="F55" s="5">
        <v>17.7</v>
      </c>
      <c r="G55" s="5">
        <f t="shared" si="5"/>
        <v>86.2</v>
      </c>
      <c r="I55" s="9">
        <f>AVERAGE(D50:D171)</f>
        <v>11.459016393442624</v>
      </c>
      <c r="J55" s="5">
        <v>0.2</v>
      </c>
      <c r="K55" s="5">
        <f t="shared" si="6"/>
        <v>8.3999999999999986</v>
      </c>
      <c r="L55" s="5">
        <v>1</v>
      </c>
      <c r="M55" s="5">
        <f t="shared" si="7"/>
        <v>9.5</v>
      </c>
      <c r="N55" s="5">
        <v>-0.8</v>
      </c>
      <c r="O55" s="5">
        <f t="shared" si="4"/>
        <v>23.399999999999984</v>
      </c>
      <c r="P55" s="5">
        <v>6</v>
      </c>
      <c r="Q55" s="5">
        <v>0.35</v>
      </c>
      <c r="R55" s="9">
        <f t="shared" si="2"/>
        <v>0.35</v>
      </c>
      <c r="S55" s="9">
        <f t="shared" si="3"/>
        <v>-0.14999999999999997</v>
      </c>
      <c r="T55" s="9">
        <f t="shared" si="8"/>
        <v>29.574999999999989</v>
      </c>
      <c r="U55" s="5">
        <v>89</v>
      </c>
      <c r="V55" s="5">
        <v>360.3</v>
      </c>
      <c r="X55" s="5">
        <f t="shared" si="9"/>
        <v>4541.4000000000005</v>
      </c>
      <c r="Z55" s="5">
        <v>102</v>
      </c>
      <c r="AA55" s="5">
        <v>12.436053511699001</v>
      </c>
    </row>
    <row r="56" spans="1:27" s="5" customFormat="1" x14ac:dyDescent="0.25">
      <c r="A56" s="76"/>
      <c r="B56" s="10"/>
      <c r="C56" s="11">
        <v>40806</v>
      </c>
      <c r="D56" s="5">
        <v>16.100000000000001</v>
      </c>
      <c r="E56" s="5">
        <v>13.9</v>
      </c>
      <c r="F56" s="5">
        <v>18.899999999999999</v>
      </c>
      <c r="G56" s="5">
        <f t="shared" si="5"/>
        <v>102.30000000000001</v>
      </c>
      <c r="I56" s="12" t="s">
        <v>37</v>
      </c>
      <c r="J56" s="5">
        <v>0</v>
      </c>
      <c r="K56" s="5">
        <f t="shared" si="6"/>
        <v>8.3999999999999986</v>
      </c>
      <c r="L56" s="5">
        <v>1.3</v>
      </c>
      <c r="M56" s="5">
        <f t="shared" si="7"/>
        <v>10.8</v>
      </c>
      <c r="N56" s="5">
        <v>-1.3</v>
      </c>
      <c r="O56" s="5">
        <f t="shared" si="4"/>
        <v>22.099999999999984</v>
      </c>
      <c r="P56" s="5">
        <v>7</v>
      </c>
      <c r="Q56" s="5">
        <v>0.35</v>
      </c>
      <c r="R56" s="9">
        <f t="shared" si="2"/>
        <v>0.45499999999999996</v>
      </c>
      <c r="S56" s="9">
        <f t="shared" si="3"/>
        <v>-0.45499999999999996</v>
      </c>
      <c r="T56" s="9">
        <f t="shared" si="8"/>
        <v>29.11999999999999</v>
      </c>
      <c r="U56" s="12" t="s">
        <v>38</v>
      </c>
      <c r="V56" s="5">
        <v>336.3</v>
      </c>
      <c r="X56" s="5">
        <f t="shared" si="9"/>
        <v>4877.7000000000007</v>
      </c>
      <c r="AA56" s="5">
        <v>12.378177736463099</v>
      </c>
    </row>
    <row r="57" spans="1:27" s="5" customFormat="1" x14ac:dyDescent="0.25">
      <c r="A57" s="76"/>
      <c r="B57" s="10"/>
      <c r="C57" s="11">
        <v>40807</v>
      </c>
      <c r="D57" s="5">
        <v>16.600000000000001</v>
      </c>
      <c r="E57" s="5">
        <v>14.7</v>
      </c>
      <c r="F57" s="5">
        <v>20.8</v>
      </c>
      <c r="G57" s="5">
        <f t="shared" si="5"/>
        <v>118.9</v>
      </c>
      <c r="I57" s="5">
        <v>1</v>
      </c>
      <c r="J57" s="5">
        <v>0</v>
      </c>
      <c r="K57" s="5">
        <f t="shared" si="6"/>
        <v>8.3999999999999986</v>
      </c>
      <c r="L57" s="5">
        <v>1.7</v>
      </c>
      <c r="M57" s="5">
        <f t="shared" si="7"/>
        <v>12.5</v>
      </c>
      <c r="N57" s="5">
        <v>-1.7</v>
      </c>
      <c r="O57" s="5">
        <f t="shared" si="4"/>
        <v>20.399999999999984</v>
      </c>
      <c r="P57" s="5">
        <v>8</v>
      </c>
      <c r="Q57" s="5">
        <v>0.35</v>
      </c>
      <c r="R57" s="9">
        <f t="shared" si="2"/>
        <v>0.59499999999999997</v>
      </c>
      <c r="S57" s="9">
        <f t="shared" si="3"/>
        <v>-0.59499999999999997</v>
      </c>
      <c r="T57" s="9">
        <f t="shared" si="8"/>
        <v>28.524999999999991</v>
      </c>
      <c r="U57" s="9">
        <f>MIN(T50:T171)</f>
        <v>8.3659821428571313</v>
      </c>
      <c r="V57" s="5">
        <v>369</v>
      </c>
      <c r="X57" s="5">
        <f t="shared" si="9"/>
        <v>5246.7000000000007</v>
      </c>
      <c r="AA57" s="5">
        <v>12.320266906978199</v>
      </c>
    </row>
    <row r="58" spans="1:27" s="5" customFormat="1" x14ac:dyDescent="0.25">
      <c r="A58" s="76"/>
      <c r="B58" s="10"/>
      <c r="C58" s="11">
        <v>40808</v>
      </c>
      <c r="D58" s="5">
        <v>13</v>
      </c>
      <c r="E58" s="5">
        <v>7.5</v>
      </c>
      <c r="F58" s="5">
        <v>19.5</v>
      </c>
      <c r="G58" s="5">
        <f t="shared" si="5"/>
        <v>131.9</v>
      </c>
      <c r="I58" s="12" t="s">
        <v>39</v>
      </c>
      <c r="J58" s="5">
        <v>0.1</v>
      </c>
      <c r="K58" s="5">
        <f t="shared" si="6"/>
        <v>8.4999999999999982</v>
      </c>
      <c r="L58" s="5">
        <v>1.9</v>
      </c>
      <c r="M58" s="5">
        <f t="shared" si="7"/>
        <v>14.4</v>
      </c>
      <c r="N58" s="5">
        <v>-1.7999999999999998</v>
      </c>
      <c r="O58" s="5">
        <f t="shared" si="4"/>
        <v>18.599999999999984</v>
      </c>
      <c r="P58" s="5">
        <v>9</v>
      </c>
      <c r="Q58" s="5">
        <v>0.35</v>
      </c>
      <c r="R58" s="9">
        <f t="shared" si="2"/>
        <v>0.66499999999999992</v>
      </c>
      <c r="S58" s="9">
        <f t="shared" si="3"/>
        <v>-0.56499999999999995</v>
      </c>
      <c r="T58" s="9">
        <f t="shared" si="8"/>
        <v>27.95999999999999</v>
      </c>
      <c r="U58" s="12" t="s">
        <v>40</v>
      </c>
      <c r="V58" s="5">
        <v>1072.5999999999999</v>
      </c>
      <c r="X58" s="5">
        <f t="shared" si="9"/>
        <v>6319.3000000000011</v>
      </c>
      <c r="AA58" s="5">
        <v>12.2623264563753</v>
      </c>
    </row>
    <row r="59" spans="1:27" s="5" customFormat="1" x14ac:dyDescent="0.25">
      <c r="A59" s="76"/>
      <c r="B59" s="10"/>
      <c r="C59" s="11">
        <v>40809</v>
      </c>
      <c r="D59" s="5">
        <v>13</v>
      </c>
      <c r="E59" s="5">
        <v>6.5</v>
      </c>
      <c r="F59" s="5">
        <v>20.7</v>
      </c>
      <c r="G59" s="5">
        <f t="shared" si="5"/>
        <v>144.9</v>
      </c>
      <c r="I59" s="5">
        <v>7</v>
      </c>
      <c r="J59" s="5">
        <v>0</v>
      </c>
      <c r="K59" s="5">
        <f t="shared" si="6"/>
        <v>8.4999999999999982</v>
      </c>
      <c r="L59" s="5">
        <v>2</v>
      </c>
      <c r="M59" s="5">
        <f t="shared" si="7"/>
        <v>16.399999999999999</v>
      </c>
      <c r="N59" s="5">
        <v>-2</v>
      </c>
      <c r="O59" s="5">
        <f t="shared" si="4"/>
        <v>16.599999999999984</v>
      </c>
      <c r="P59" s="5">
        <v>10</v>
      </c>
      <c r="Q59" s="5">
        <v>0.35</v>
      </c>
      <c r="R59" s="9">
        <f t="shared" si="2"/>
        <v>0.7</v>
      </c>
      <c r="S59" s="9">
        <f t="shared" si="3"/>
        <v>-0.7</v>
      </c>
      <c r="T59" s="9">
        <f t="shared" si="8"/>
        <v>27.259999999999991</v>
      </c>
      <c r="U59" s="9">
        <f>MAX(T50:T171)</f>
        <v>146.27508928571427</v>
      </c>
      <c r="V59" s="5">
        <v>940.8</v>
      </c>
      <c r="X59" s="5">
        <f t="shared" si="9"/>
        <v>7260.1000000000013</v>
      </c>
      <c r="AA59" s="5">
        <v>12.2043617982565</v>
      </c>
    </row>
    <row r="60" spans="1:27" s="5" customFormat="1" x14ac:dyDescent="0.25">
      <c r="A60" s="76"/>
      <c r="B60" s="10"/>
      <c r="C60" s="11">
        <v>40810</v>
      </c>
      <c r="D60" s="5">
        <v>14.5</v>
      </c>
      <c r="E60" s="5">
        <v>7.8</v>
      </c>
      <c r="F60" s="5">
        <v>22.6</v>
      </c>
      <c r="G60" s="5">
        <f t="shared" si="5"/>
        <v>159.4</v>
      </c>
      <c r="I60" s="12" t="s">
        <v>41</v>
      </c>
      <c r="J60" s="5">
        <v>0</v>
      </c>
      <c r="K60" s="5">
        <f t="shared" si="6"/>
        <v>8.4999999999999982</v>
      </c>
      <c r="L60" s="5">
        <v>3.1</v>
      </c>
      <c r="M60" s="5">
        <f t="shared" si="7"/>
        <v>19.5</v>
      </c>
      <c r="N60" s="5">
        <v>-3.1</v>
      </c>
      <c r="O60" s="5">
        <f t="shared" si="4"/>
        <v>13.499999999999984</v>
      </c>
      <c r="P60" s="5">
        <v>11</v>
      </c>
      <c r="Q60" s="5">
        <f>0.35+((P60-10)/112)*(1-0.35)</f>
        <v>0.35580357142857139</v>
      </c>
      <c r="R60" s="9">
        <f t="shared" si="2"/>
        <v>1.1029910714285713</v>
      </c>
      <c r="S60" s="9">
        <f t="shared" si="3"/>
        <v>-1.1029910714285713</v>
      </c>
      <c r="T60" s="9">
        <f t="shared" si="8"/>
        <v>26.157008928571418</v>
      </c>
      <c r="U60" s="12" t="s">
        <v>42</v>
      </c>
      <c r="V60" s="5">
        <v>1719.8</v>
      </c>
      <c r="X60" s="5">
        <f t="shared" si="9"/>
        <v>8979.9000000000015</v>
      </c>
      <c r="AA60" s="5">
        <v>12.1463783430485</v>
      </c>
    </row>
    <row r="61" spans="1:27" s="5" customFormat="1" x14ac:dyDescent="0.25">
      <c r="A61" s="76"/>
      <c r="B61" s="10"/>
      <c r="C61" s="11">
        <v>40811</v>
      </c>
      <c r="D61" s="5">
        <v>15.9</v>
      </c>
      <c r="E61" s="5">
        <v>9.4</v>
      </c>
      <c r="F61" s="5">
        <v>23.6</v>
      </c>
      <c r="G61" s="5">
        <f t="shared" si="5"/>
        <v>175.3</v>
      </c>
      <c r="I61" s="5">
        <v>23</v>
      </c>
      <c r="J61" s="5">
        <v>0</v>
      </c>
      <c r="K61" s="5">
        <f t="shared" si="6"/>
        <v>8.4999999999999982</v>
      </c>
      <c r="L61" s="5">
        <v>2.8</v>
      </c>
      <c r="M61" s="5">
        <f t="shared" si="7"/>
        <v>22.3</v>
      </c>
      <c r="N61" s="5">
        <v>-2.8</v>
      </c>
      <c r="O61" s="5">
        <f t="shared" si="4"/>
        <v>10.699999999999985</v>
      </c>
      <c r="P61" s="5">
        <v>12</v>
      </c>
      <c r="Q61" s="5">
        <f t="shared" ref="Q61:Q124" si="10">0.35+((P61-10)/112)*(1-0.35)</f>
        <v>0.36160714285714285</v>
      </c>
      <c r="R61" s="9">
        <f t="shared" si="2"/>
        <v>1.0125</v>
      </c>
      <c r="S61" s="9">
        <f t="shared" si="3"/>
        <v>-1.0125</v>
      </c>
      <c r="T61" s="9">
        <f t="shared" si="8"/>
        <v>25.144508928571419</v>
      </c>
      <c r="U61" s="24">
        <f>AVERAGE(T50:T171)</f>
        <v>54.763593384074937</v>
      </c>
      <c r="V61" s="5">
        <v>1437.5</v>
      </c>
      <c r="X61" s="5">
        <f t="shared" si="9"/>
        <v>10417.400000000001</v>
      </c>
      <c r="AA61" s="5">
        <v>12.0883815144407</v>
      </c>
    </row>
    <row r="62" spans="1:27" s="5" customFormat="1" x14ac:dyDescent="0.25">
      <c r="A62" s="76"/>
      <c r="B62" s="10"/>
      <c r="C62" s="11">
        <v>40812</v>
      </c>
      <c r="D62" s="5">
        <v>18.3</v>
      </c>
      <c r="E62" s="5">
        <v>14.2</v>
      </c>
      <c r="F62" s="5">
        <v>24</v>
      </c>
      <c r="G62" s="5">
        <f t="shared" si="5"/>
        <v>193.60000000000002</v>
      </c>
      <c r="I62" s="12" t="s">
        <v>43</v>
      </c>
      <c r="J62" s="5">
        <v>0.1</v>
      </c>
      <c r="K62" s="5">
        <f t="shared" si="6"/>
        <v>8.5999999999999979</v>
      </c>
      <c r="L62" s="5">
        <v>1.2</v>
      </c>
      <c r="M62" s="5">
        <f t="shared" si="7"/>
        <v>23.5</v>
      </c>
      <c r="N62" s="5">
        <v>-1.0999999999999999</v>
      </c>
      <c r="O62" s="5">
        <f t="shared" si="4"/>
        <v>9.5999999999999854</v>
      </c>
      <c r="P62" s="5">
        <v>13</v>
      </c>
      <c r="Q62" s="5">
        <f t="shared" si="10"/>
        <v>0.36741071428571426</v>
      </c>
      <c r="R62" s="9">
        <f t="shared" si="2"/>
        <v>0.44089285714285709</v>
      </c>
      <c r="S62" s="9">
        <f t="shared" si="3"/>
        <v>-0.34089285714285711</v>
      </c>
      <c r="T62" s="9">
        <f t="shared" si="8"/>
        <v>24.803616071428561</v>
      </c>
      <c r="V62" s="5">
        <v>497.4</v>
      </c>
      <c r="X62" s="5">
        <f t="shared" si="9"/>
        <v>10914.800000000001</v>
      </c>
      <c r="AA62" s="5">
        <v>12.030376765913299</v>
      </c>
    </row>
    <row r="63" spans="1:27" s="5" customFormat="1" x14ac:dyDescent="0.25">
      <c r="A63" s="76"/>
      <c r="B63" s="10"/>
      <c r="C63" s="11">
        <v>40813</v>
      </c>
      <c r="D63" s="5">
        <v>19.100000000000001</v>
      </c>
      <c r="E63" s="5">
        <v>12.3</v>
      </c>
      <c r="F63" s="5">
        <v>27.4</v>
      </c>
      <c r="G63" s="5">
        <f t="shared" si="5"/>
        <v>212.70000000000002</v>
      </c>
      <c r="I63" s="5">
        <v>1398</v>
      </c>
      <c r="J63" s="5">
        <v>0</v>
      </c>
      <c r="K63" s="5">
        <f t="shared" si="6"/>
        <v>8.5999999999999979</v>
      </c>
      <c r="L63" s="5">
        <v>3.1</v>
      </c>
      <c r="M63" s="5">
        <f t="shared" si="7"/>
        <v>26.6</v>
      </c>
      <c r="N63" s="5">
        <v>-3.1</v>
      </c>
      <c r="O63" s="5">
        <f t="shared" si="4"/>
        <v>6.4999999999999858</v>
      </c>
      <c r="P63" s="5">
        <v>14</v>
      </c>
      <c r="Q63" s="5">
        <f t="shared" si="10"/>
        <v>0.37321428571428572</v>
      </c>
      <c r="R63" s="9">
        <f t="shared" si="2"/>
        <v>1.1569642857142857</v>
      </c>
      <c r="S63" s="9">
        <f t="shared" si="3"/>
        <v>-1.1569642857142857</v>
      </c>
      <c r="T63" s="9">
        <f t="shared" si="8"/>
        <v>23.646651785714276</v>
      </c>
      <c r="U63" s="9">
        <f>(U61*100)/197.4</f>
        <v>27.742448522834316</v>
      </c>
      <c r="V63" s="5">
        <v>1325.1</v>
      </c>
      <c r="X63" s="5">
        <f t="shared" si="9"/>
        <v>12239.900000000001</v>
      </c>
      <c r="AA63" s="5">
        <v>11.972369597360601</v>
      </c>
    </row>
    <row r="64" spans="1:27" s="5" customFormat="1" x14ac:dyDescent="0.25">
      <c r="A64" s="76"/>
      <c r="B64" s="10"/>
      <c r="C64" s="11">
        <v>40814</v>
      </c>
      <c r="D64" s="5">
        <v>19.600000000000001</v>
      </c>
      <c r="E64" s="5">
        <v>13.7</v>
      </c>
      <c r="F64" s="5">
        <v>27.6</v>
      </c>
      <c r="G64" s="5">
        <f t="shared" si="5"/>
        <v>232.3</v>
      </c>
      <c r="J64" s="5">
        <v>0</v>
      </c>
      <c r="K64" s="5">
        <f t="shared" si="6"/>
        <v>8.5999999999999979</v>
      </c>
      <c r="L64" s="5">
        <v>4</v>
      </c>
      <c r="M64" s="5">
        <f t="shared" si="7"/>
        <v>30.6</v>
      </c>
      <c r="N64" s="5">
        <v>-4</v>
      </c>
      <c r="O64" s="5">
        <f t="shared" si="4"/>
        <v>2.4999999999999858</v>
      </c>
      <c r="P64" s="5">
        <v>15</v>
      </c>
      <c r="Q64" s="5">
        <f t="shared" si="10"/>
        <v>0.37901785714285713</v>
      </c>
      <c r="R64" s="9">
        <f t="shared" si="2"/>
        <v>1.5160714285714285</v>
      </c>
      <c r="S64" s="9">
        <f t="shared" si="3"/>
        <v>-1.5160714285714285</v>
      </c>
      <c r="T64" s="9">
        <f t="shared" si="8"/>
        <v>22.130580357142847</v>
      </c>
      <c r="V64" s="5">
        <v>1681.6</v>
      </c>
      <c r="X64" s="5">
        <f t="shared" si="9"/>
        <v>13921.500000000002</v>
      </c>
      <c r="AA64" s="5">
        <v>11.9143655718154</v>
      </c>
    </row>
    <row r="65" spans="1:27" s="5" customFormat="1" x14ac:dyDescent="0.25">
      <c r="A65" s="76"/>
      <c r="B65" s="10"/>
      <c r="C65" s="11">
        <v>40815</v>
      </c>
      <c r="D65" s="5">
        <v>19.399999999999999</v>
      </c>
      <c r="E65" s="5">
        <v>12.6</v>
      </c>
      <c r="F65" s="5">
        <v>28.7</v>
      </c>
      <c r="G65" s="5">
        <f t="shared" si="5"/>
        <v>251.70000000000002</v>
      </c>
      <c r="J65" s="5">
        <v>0</v>
      </c>
      <c r="K65" s="5">
        <f t="shared" si="6"/>
        <v>8.5999999999999979</v>
      </c>
      <c r="L65" s="5">
        <v>4</v>
      </c>
      <c r="M65" s="5">
        <f t="shared" si="7"/>
        <v>34.6</v>
      </c>
      <c r="N65" s="5">
        <v>-4</v>
      </c>
      <c r="O65" s="5">
        <v>0</v>
      </c>
      <c r="P65" s="5">
        <v>16</v>
      </c>
      <c r="Q65" s="5">
        <f t="shared" si="10"/>
        <v>0.38482142857142854</v>
      </c>
      <c r="R65" s="9">
        <f t="shared" si="2"/>
        <v>1.5392857142857141</v>
      </c>
      <c r="S65" s="9">
        <f t="shared" si="3"/>
        <v>-1.5392857142857141</v>
      </c>
      <c r="T65" s="9">
        <f t="shared" si="8"/>
        <v>20.591294642857132</v>
      </c>
      <c r="V65" s="5">
        <v>1717.7</v>
      </c>
      <c r="X65" s="5">
        <f t="shared" si="9"/>
        <v>15639.200000000003</v>
      </c>
      <c r="AA65" s="5">
        <v>11.856370332278001</v>
      </c>
    </row>
    <row r="66" spans="1:27" s="5" customFormat="1" x14ac:dyDescent="0.25">
      <c r="A66" s="76"/>
      <c r="B66" s="10"/>
      <c r="C66" s="11">
        <v>40816</v>
      </c>
      <c r="D66" s="5">
        <v>19.5</v>
      </c>
      <c r="E66" s="5">
        <v>11.9</v>
      </c>
      <c r="F66" s="5">
        <v>29.1</v>
      </c>
      <c r="G66" s="5">
        <f t="shared" si="5"/>
        <v>271.20000000000005</v>
      </c>
      <c r="J66" s="5">
        <v>0</v>
      </c>
      <c r="K66" s="5">
        <f t="shared" si="6"/>
        <v>8.5999999999999979</v>
      </c>
      <c r="L66" s="5">
        <v>4.2</v>
      </c>
      <c r="M66" s="5">
        <f t="shared" si="7"/>
        <v>38.800000000000004</v>
      </c>
      <c r="N66" s="5">
        <v>-4.2</v>
      </c>
      <c r="O66" s="5">
        <v>0</v>
      </c>
      <c r="P66" s="5">
        <v>17</v>
      </c>
      <c r="Q66" s="5">
        <f t="shared" si="10"/>
        <v>0.390625</v>
      </c>
      <c r="R66" s="9">
        <f t="shared" si="2"/>
        <v>1.640625</v>
      </c>
      <c r="S66" s="9">
        <f t="shared" si="3"/>
        <v>-1.640625</v>
      </c>
      <c r="T66" s="9">
        <f t="shared" si="8"/>
        <v>18.950669642857132</v>
      </c>
      <c r="V66" s="5">
        <v>1721.5</v>
      </c>
      <c r="X66" s="5">
        <f t="shared" si="9"/>
        <v>17360.700000000004</v>
      </c>
      <c r="AA66" s="5">
        <v>11.7983896186562</v>
      </c>
    </row>
    <row r="67" spans="1:27" s="5" customFormat="1" x14ac:dyDescent="0.25">
      <c r="A67" s="76"/>
      <c r="B67" s="10"/>
      <c r="C67" s="11">
        <v>40817</v>
      </c>
      <c r="D67" s="5">
        <v>18.399999999999999</v>
      </c>
      <c r="E67" s="5">
        <v>11.7</v>
      </c>
      <c r="F67" s="5">
        <v>27.6</v>
      </c>
      <c r="G67" s="5">
        <f t="shared" si="5"/>
        <v>289.60000000000002</v>
      </c>
      <c r="J67" s="5">
        <v>0</v>
      </c>
      <c r="K67" s="5">
        <f t="shared" si="6"/>
        <v>8.5999999999999979</v>
      </c>
      <c r="L67" s="5">
        <v>3.9</v>
      </c>
      <c r="M67" s="5">
        <f t="shared" si="7"/>
        <v>42.7</v>
      </c>
      <c r="N67" s="5">
        <v>-3.9</v>
      </c>
      <c r="O67" s="5">
        <v>0</v>
      </c>
      <c r="P67" s="5">
        <v>18</v>
      </c>
      <c r="Q67" s="5">
        <f t="shared" si="10"/>
        <v>0.39642857142857141</v>
      </c>
      <c r="R67" s="9">
        <f t="shared" si="2"/>
        <v>1.5460714285714285</v>
      </c>
      <c r="S67" s="9">
        <f t="shared" si="3"/>
        <v>-1.5460714285714285</v>
      </c>
      <c r="T67" s="9">
        <f t="shared" si="8"/>
        <v>17.404598214285706</v>
      </c>
      <c r="V67" s="5">
        <v>1648.6</v>
      </c>
      <c r="X67" s="5">
        <f t="shared" si="9"/>
        <v>19009.300000000003</v>
      </c>
      <c r="AA67" s="5">
        <v>11.740429284817401</v>
      </c>
    </row>
    <row r="68" spans="1:27" s="5" customFormat="1" x14ac:dyDescent="0.25">
      <c r="A68" s="76"/>
      <c r="B68" s="10"/>
      <c r="C68" s="11">
        <v>40818</v>
      </c>
      <c r="D68" s="5">
        <v>18</v>
      </c>
      <c r="E68" s="5">
        <v>10.4</v>
      </c>
      <c r="F68" s="5">
        <v>28.3</v>
      </c>
      <c r="G68" s="5">
        <f t="shared" si="5"/>
        <v>307.60000000000002</v>
      </c>
      <c r="J68" s="5">
        <v>0</v>
      </c>
      <c r="K68" s="5">
        <f t="shared" si="6"/>
        <v>8.5999999999999979</v>
      </c>
      <c r="L68" s="5">
        <v>3.8</v>
      </c>
      <c r="M68" s="5">
        <f t="shared" si="7"/>
        <v>46.5</v>
      </c>
      <c r="N68" s="5">
        <v>-3.8</v>
      </c>
      <c r="O68" s="5">
        <v>0</v>
      </c>
      <c r="P68" s="5">
        <v>19</v>
      </c>
      <c r="Q68" s="5">
        <f t="shared" si="10"/>
        <v>0.40223214285714282</v>
      </c>
      <c r="R68" s="9">
        <f t="shared" si="2"/>
        <v>1.5284821428571427</v>
      </c>
      <c r="S68" s="9">
        <f t="shared" si="3"/>
        <v>-1.5284821428571427</v>
      </c>
      <c r="T68" s="9">
        <f t="shared" si="8"/>
        <v>15.876116071428562</v>
      </c>
      <c r="V68" s="5">
        <v>1677.1</v>
      </c>
      <c r="X68" s="5">
        <f t="shared" si="9"/>
        <v>20686.400000000001</v>
      </c>
      <c r="AA68" s="5">
        <v>11.6824953157588</v>
      </c>
    </row>
    <row r="69" spans="1:27" s="5" customFormat="1" x14ac:dyDescent="0.25">
      <c r="A69" s="76"/>
      <c r="B69" s="10"/>
      <c r="C69" s="11">
        <v>40819</v>
      </c>
      <c r="D69" s="5">
        <v>17.600000000000001</v>
      </c>
      <c r="E69" s="5">
        <v>9.5</v>
      </c>
      <c r="F69" s="5">
        <v>26.4</v>
      </c>
      <c r="G69" s="5">
        <f t="shared" si="5"/>
        <v>325.20000000000005</v>
      </c>
      <c r="J69" s="5">
        <v>0</v>
      </c>
      <c r="K69" s="5">
        <f t="shared" si="6"/>
        <v>8.5999999999999979</v>
      </c>
      <c r="L69" s="5">
        <v>3.8</v>
      </c>
      <c r="M69" s="5">
        <f t="shared" si="7"/>
        <v>50.3</v>
      </c>
      <c r="N69" s="5">
        <v>-3.8</v>
      </c>
      <c r="O69" s="5">
        <v>0</v>
      </c>
      <c r="P69" s="5">
        <v>20</v>
      </c>
      <c r="Q69" s="5">
        <f t="shared" si="10"/>
        <v>0.40803571428571428</v>
      </c>
      <c r="R69" s="9">
        <f t="shared" si="2"/>
        <v>1.5505357142857141</v>
      </c>
      <c r="S69" s="9">
        <f t="shared" si="3"/>
        <v>-1.5505357142857141</v>
      </c>
      <c r="T69" s="9">
        <f t="shared" si="8"/>
        <v>14.325580357142847</v>
      </c>
      <c r="V69" s="5">
        <v>1585.8</v>
      </c>
      <c r="X69" s="5">
        <f t="shared" si="9"/>
        <v>22272.2</v>
      </c>
      <c r="AA69" s="5">
        <v>11.624593844895101</v>
      </c>
    </row>
    <row r="70" spans="1:27" s="5" customFormat="1" x14ac:dyDescent="0.25">
      <c r="A70" s="76"/>
      <c r="B70" s="10"/>
      <c r="C70" s="11">
        <v>40820</v>
      </c>
      <c r="D70" s="5">
        <v>17.8</v>
      </c>
      <c r="E70" s="5">
        <v>15</v>
      </c>
      <c r="F70" s="5">
        <v>21.1</v>
      </c>
      <c r="G70" s="5">
        <f t="shared" si="5"/>
        <v>343.00000000000006</v>
      </c>
      <c r="J70" s="5">
        <v>0</v>
      </c>
      <c r="K70" s="5">
        <f t="shared" si="6"/>
        <v>8.5999999999999979</v>
      </c>
      <c r="L70" s="5">
        <v>1.3</v>
      </c>
      <c r="M70" s="5">
        <f t="shared" si="7"/>
        <v>51.599999999999994</v>
      </c>
      <c r="N70" s="5">
        <v>-1.3</v>
      </c>
      <c r="O70" s="5">
        <v>0</v>
      </c>
      <c r="P70" s="5">
        <v>21</v>
      </c>
      <c r="Q70" s="5">
        <f t="shared" si="10"/>
        <v>0.41383928571428569</v>
      </c>
      <c r="R70" s="9">
        <f t="shared" si="2"/>
        <v>0.53799107142857139</v>
      </c>
      <c r="S70" s="9">
        <f t="shared" si="3"/>
        <v>-0.53799107142857139</v>
      </c>
      <c r="T70" s="9">
        <f t="shared" si="8"/>
        <v>13.787589285714276</v>
      </c>
      <c r="V70" s="5">
        <v>319.39999999999998</v>
      </c>
      <c r="X70" s="5">
        <f t="shared" si="9"/>
        <v>22591.600000000002</v>
      </c>
      <c r="AA70" s="5">
        <v>11.566731171465699</v>
      </c>
    </row>
    <row r="71" spans="1:27" s="5" customFormat="1" x14ac:dyDescent="0.25">
      <c r="A71" s="76"/>
      <c r="B71" s="10"/>
      <c r="C71" s="11">
        <v>40821</v>
      </c>
      <c r="D71" s="5">
        <v>18</v>
      </c>
      <c r="E71" s="5">
        <v>15.5</v>
      </c>
      <c r="F71" s="5">
        <v>20.8</v>
      </c>
      <c r="G71" s="5">
        <f t="shared" si="5"/>
        <v>361.00000000000006</v>
      </c>
      <c r="J71" s="5">
        <v>0.6</v>
      </c>
      <c r="K71" s="5">
        <f t="shared" si="6"/>
        <v>9.1999999999999975</v>
      </c>
      <c r="L71" s="5">
        <v>1.4</v>
      </c>
      <c r="M71" s="5">
        <f t="shared" si="7"/>
        <v>52.999999999999993</v>
      </c>
      <c r="N71" s="5">
        <v>-0.79999999999999993</v>
      </c>
      <c r="O71" s="5">
        <v>0</v>
      </c>
      <c r="P71" s="5">
        <v>22</v>
      </c>
      <c r="Q71" s="5">
        <f t="shared" si="10"/>
        <v>0.4196428571428571</v>
      </c>
      <c r="R71" s="9">
        <f t="shared" si="2"/>
        <v>0.58749999999999991</v>
      </c>
      <c r="S71" s="9">
        <f t="shared" si="3"/>
        <v>1.2500000000000067E-2</v>
      </c>
      <c r="T71" s="9">
        <f t="shared" si="8"/>
        <v>13.800089285714275</v>
      </c>
      <c r="V71" s="5">
        <v>273.7</v>
      </c>
      <c r="X71" s="5">
        <f t="shared" si="9"/>
        <v>22865.300000000003</v>
      </c>
      <c r="AA71" s="5">
        <v>11.5089137780611</v>
      </c>
    </row>
    <row r="72" spans="1:27" s="5" customFormat="1" x14ac:dyDescent="0.25">
      <c r="A72" s="76"/>
      <c r="B72" s="10"/>
      <c r="C72" s="11">
        <v>40822</v>
      </c>
      <c r="D72" s="5">
        <v>15</v>
      </c>
      <c r="E72" s="5">
        <v>12.8</v>
      </c>
      <c r="F72" s="5">
        <v>17.2</v>
      </c>
      <c r="G72" s="5">
        <f t="shared" si="5"/>
        <v>376.00000000000006</v>
      </c>
      <c r="J72" s="5">
        <v>0.7</v>
      </c>
      <c r="K72" s="5">
        <f t="shared" si="6"/>
        <v>9.8999999999999968</v>
      </c>
      <c r="L72" s="5">
        <v>1.5</v>
      </c>
      <c r="M72" s="5">
        <f t="shared" si="7"/>
        <v>54.499999999999993</v>
      </c>
      <c r="N72" s="5">
        <v>-0.8</v>
      </c>
      <c r="O72" s="5">
        <v>0</v>
      </c>
      <c r="P72" s="5">
        <v>23</v>
      </c>
      <c r="Q72" s="5">
        <f t="shared" si="10"/>
        <v>0.42544642857142856</v>
      </c>
      <c r="R72" s="9">
        <f t="shared" si="2"/>
        <v>0.63816964285714284</v>
      </c>
      <c r="S72" s="9">
        <f t="shared" si="3"/>
        <v>6.1830357142857117E-2</v>
      </c>
      <c r="T72" s="9">
        <f t="shared" si="8"/>
        <v>13.861919642857131</v>
      </c>
      <c r="V72" s="5">
        <v>577.5</v>
      </c>
      <c r="X72" s="5">
        <f t="shared" si="9"/>
        <v>23442.800000000003</v>
      </c>
      <c r="AA72" s="5">
        <v>11.451148348265299</v>
      </c>
    </row>
    <row r="73" spans="1:27" s="5" customFormat="1" x14ac:dyDescent="0.25">
      <c r="A73" s="76"/>
      <c r="B73" s="10"/>
      <c r="C73" s="11">
        <v>40823</v>
      </c>
      <c r="D73" s="5">
        <v>11.5</v>
      </c>
      <c r="E73" s="5">
        <v>10.3</v>
      </c>
      <c r="F73" s="5">
        <v>13.6</v>
      </c>
      <c r="G73" s="5">
        <f t="shared" si="5"/>
        <v>387.50000000000006</v>
      </c>
      <c r="J73" s="5">
        <v>2.6</v>
      </c>
      <c r="K73" s="5">
        <f t="shared" si="6"/>
        <v>12.499999999999996</v>
      </c>
      <c r="L73" s="5">
        <v>1.4</v>
      </c>
      <c r="M73" s="5">
        <f t="shared" si="7"/>
        <v>55.899999999999991</v>
      </c>
      <c r="N73" s="5">
        <v>1.2000000000000002</v>
      </c>
      <c r="O73" s="5">
        <f>O72+N73</f>
        <v>1.2000000000000002</v>
      </c>
      <c r="P73" s="5">
        <v>24</v>
      </c>
      <c r="Q73" s="5">
        <f t="shared" si="10"/>
        <v>0.43124999999999997</v>
      </c>
      <c r="R73" s="9">
        <f t="shared" si="2"/>
        <v>0.6037499999999999</v>
      </c>
      <c r="S73" s="9">
        <f t="shared" si="3"/>
        <v>1.9962500000000003</v>
      </c>
      <c r="T73" s="9">
        <f t="shared" si="8"/>
        <v>15.858169642857131</v>
      </c>
      <c r="V73" s="5">
        <v>386.4</v>
      </c>
      <c r="X73" s="5">
        <f t="shared" si="9"/>
        <v>23829.200000000004</v>
      </c>
      <c r="AA73" s="5">
        <v>11.393441784411801</v>
      </c>
    </row>
    <row r="74" spans="1:27" s="5" customFormat="1" x14ac:dyDescent="0.25">
      <c r="A74" s="76"/>
      <c r="B74" s="10"/>
      <c r="C74" s="11">
        <v>40824</v>
      </c>
      <c r="D74" s="5">
        <v>13</v>
      </c>
      <c r="E74" s="5">
        <v>9.6999999999999993</v>
      </c>
      <c r="F74" s="5">
        <v>15.7</v>
      </c>
      <c r="G74" s="5">
        <f t="shared" si="5"/>
        <v>400.50000000000006</v>
      </c>
      <c r="J74" s="5">
        <v>0.1</v>
      </c>
      <c r="K74" s="5">
        <f t="shared" si="6"/>
        <v>12.599999999999996</v>
      </c>
      <c r="L74" s="5">
        <v>1.5</v>
      </c>
      <c r="M74" s="5">
        <f t="shared" si="7"/>
        <v>57.399999999999991</v>
      </c>
      <c r="N74" s="5">
        <v>-1.4</v>
      </c>
      <c r="O74" s="5">
        <v>0</v>
      </c>
      <c r="P74" s="5">
        <v>25</v>
      </c>
      <c r="Q74" s="5">
        <f t="shared" si="10"/>
        <v>0.43705357142857137</v>
      </c>
      <c r="R74" s="9">
        <f t="shared" si="2"/>
        <v>0.65558035714285712</v>
      </c>
      <c r="S74" s="9">
        <f t="shared" si="3"/>
        <v>-0.55558035714285714</v>
      </c>
      <c r="T74" s="9">
        <f t="shared" si="8"/>
        <v>15.302589285714275</v>
      </c>
      <c r="V74" s="5">
        <v>613.20000000000005</v>
      </c>
      <c r="X74" s="5">
        <f t="shared" si="9"/>
        <v>24442.400000000005</v>
      </c>
      <c r="AA74" s="5">
        <v>11.335801225446801</v>
      </c>
    </row>
    <row r="75" spans="1:27" s="5" customFormat="1" x14ac:dyDescent="0.25">
      <c r="A75" s="76"/>
      <c r="B75" s="10"/>
      <c r="C75" s="11">
        <v>40825</v>
      </c>
      <c r="D75" s="5">
        <v>16.5</v>
      </c>
      <c r="E75" s="5">
        <v>13</v>
      </c>
      <c r="F75" s="5">
        <v>20.5</v>
      </c>
      <c r="G75" s="5">
        <f t="shared" si="5"/>
        <v>417.00000000000006</v>
      </c>
      <c r="J75" s="5">
        <v>0</v>
      </c>
      <c r="K75" s="5">
        <f t="shared" si="6"/>
        <v>12.599999999999996</v>
      </c>
      <c r="L75" s="5">
        <v>1.3</v>
      </c>
      <c r="M75" s="5">
        <f t="shared" si="7"/>
        <v>58.699999999999989</v>
      </c>
      <c r="N75" s="5">
        <v>-1.3</v>
      </c>
      <c r="O75" s="5">
        <v>0</v>
      </c>
      <c r="P75" s="5">
        <v>26</v>
      </c>
      <c r="Q75" s="5">
        <f t="shared" si="10"/>
        <v>0.44285714285714284</v>
      </c>
      <c r="R75" s="9">
        <f t="shared" si="2"/>
        <v>0.57571428571428573</v>
      </c>
      <c r="S75" s="9">
        <f t="shared" si="3"/>
        <v>-0.57571428571428573</v>
      </c>
      <c r="T75" s="9">
        <f t="shared" si="8"/>
        <v>14.726874999999989</v>
      </c>
      <c r="V75" s="5">
        <v>263.10000000000002</v>
      </c>
      <c r="X75" s="5">
        <f t="shared" si="9"/>
        <v>24705.500000000004</v>
      </c>
      <c r="AA75" s="5">
        <v>11.278234064892301</v>
      </c>
    </row>
    <row r="76" spans="1:27" s="5" customFormat="1" x14ac:dyDescent="0.25">
      <c r="A76" s="76"/>
      <c r="B76" s="10"/>
      <c r="C76" s="11">
        <v>40826</v>
      </c>
      <c r="D76" s="5">
        <v>15.5</v>
      </c>
      <c r="E76" s="5">
        <v>13.9</v>
      </c>
      <c r="F76" s="5">
        <v>16.600000000000001</v>
      </c>
      <c r="G76" s="5">
        <f t="shared" si="5"/>
        <v>432.50000000000006</v>
      </c>
      <c r="J76" s="5">
        <v>0.2</v>
      </c>
      <c r="K76" s="5">
        <f t="shared" si="6"/>
        <v>12.799999999999995</v>
      </c>
      <c r="L76" s="5">
        <v>0.8</v>
      </c>
      <c r="M76" s="5">
        <f t="shared" si="7"/>
        <v>59.499999999999986</v>
      </c>
      <c r="N76" s="5">
        <v>-0.60000000000000009</v>
      </c>
      <c r="O76" s="5">
        <v>0</v>
      </c>
      <c r="P76" s="5">
        <v>27</v>
      </c>
      <c r="Q76" s="5">
        <f t="shared" si="10"/>
        <v>0.44866071428571425</v>
      </c>
      <c r="R76" s="9">
        <f t="shared" si="2"/>
        <v>0.35892857142857143</v>
      </c>
      <c r="S76" s="9">
        <f t="shared" si="3"/>
        <v>-0.15892857142857142</v>
      </c>
      <c r="T76" s="9">
        <f t="shared" si="8"/>
        <v>14.567946428571418</v>
      </c>
      <c r="V76" s="5">
        <v>242.8</v>
      </c>
      <c r="X76" s="5">
        <f t="shared" si="9"/>
        <v>24948.300000000003</v>
      </c>
      <c r="AA76" s="5">
        <v>11.220747968898101</v>
      </c>
    </row>
    <row r="77" spans="1:27" s="5" customFormat="1" x14ac:dyDescent="0.25">
      <c r="A77" s="76"/>
      <c r="B77" s="10"/>
      <c r="C77" s="11">
        <v>40827</v>
      </c>
      <c r="D77" s="5">
        <v>15.3</v>
      </c>
      <c r="E77" s="5">
        <v>13.8</v>
      </c>
      <c r="F77" s="5">
        <v>17</v>
      </c>
      <c r="G77" s="5">
        <f t="shared" si="5"/>
        <v>447.80000000000007</v>
      </c>
      <c r="J77" s="5">
        <v>0</v>
      </c>
      <c r="K77" s="5">
        <f t="shared" si="6"/>
        <v>12.799999999999995</v>
      </c>
      <c r="L77" s="5">
        <v>0.8</v>
      </c>
      <c r="M77" s="5">
        <f t="shared" si="7"/>
        <v>60.299999999999983</v>
      </c>
      <c r="N77" s="5">
        <v>-0.8</v>
      </c>
      <c r="O77" s="5">
        <v>0</v>
      </c>
      <c r="P77" s="5">
        <v>28</v>
      </c>
      <c r="Q77" s="5">
        <f t="shared" si="10"/>
        <v>0.45446428571428571</v>
      </c>
      <c r="R77" s="9">
        <f t="shared" si="2"/>
        <v>0.3635714285714286</v>
      </c>
      <c r="S77" s="9">
        <f t="shared" si="3"/>
        <v>-0.3635714285714286</v>
      </c>
      <c r="T77" s="9">
        <f t="shared" si="8"/>
        <v>14.204374999999988</v>
      </c>
      <c r="V77" s="5">
        <v>228.9</v>
      </c>
      <c r="X77" s="5">
        <f t="shared" si="9"/>
        <v>25177.200000000004</v>
      </c>
      <c r="AA77" s="5">
        <v>11.163350894371</v>
      </c>
    </row>
    <row r="78" spans="1:27" s="5" customFormat="1" x14ac:dyDescent="0.25">
      <c r="A78" s="76"/>
      <c r="B78" s="10"/>
      <c r="C78" s="11">
        <v>40828</v>
      </c>
      <c r="D78" s="5">
        <v>15.1</v>
      </c>
      <c r="E78" s="5">
        <v>13.9</v>
      </c>
      <c r="F78" s="5">
        <v>16.8</v>
      </c>
      <c r="G78" s="5">
        <f t="shared" si="5"/>
        <v>462.90000000000009</v>
      </c>
      <c r="J78" s="5">
        <v>0</v>
      </c>
      <c r="K78" s="5">
        <f t="shared" si="6"/>
        <v>12.799999999999995</v>
      </c>
      <c r="L78" s="5">
        <v>0.8</v>
      </c>
      <c r="M78" s="5">
        <f t="shared" si="7"/>
        <v>61.09999999999998</v>
      </c>
      <c r="N78" s="5">
        <v>-0.8</v>
      </c>
      <c r="O78" s="5">
        <v>0</v>
      </c>
      <c r="P78" s="5">
        <v>29</v>
      </c>
      <c r="Q78" s="5">
        <f t="shared" si="10"/>
        <v>0.46026785714285712</v>
      </c>
      <c r="R78" s="9">
        <f t="shared" si="2"/>
        <v>0.36821428571428572</v>
      </c>
      <c r="S78" s="9">
        <f t="shared" si="3"/>
        <v>-0.36821428571428572</v>
      </c>
      <c r="T78" s="9">
        <f t="shared" si="8"/>
        <v>13.836160714285702</v>
      </c>
      <c r="V78" s="5">
        <v>237.1</v>
      </c>
      <c r="X78" s="5">
        <f t="shared" si="9"/>
        <v>25414.300000000003</v>
      </c>
      <c r="AA78" s="5">
        <v>11.1060511071659</v>
      </c>
    </row>
    <row r="79" spans="1:27" s="5" customFormat="1" x14ac:dyDescent="0.25">
      <c r="A79" s="76"/>
      <c r="B79" s="10"/>
      <c r="C79" s="11">
        <v>40829</v>
      </c>
      <c r="D79" s="5">
        <v>15.5</v>
      </c>
      <c r="E79" s="5">
        <v>12</v>
      </c>
      <c r="F79" s="5">
        <v>19.7</v>
      </c>
      <c r="G79" s="5">
        <f t="shared" si="5"/>
        <v>478.40000000000009</v>
      </c>
      <c r="J79" s="5">
        <v>0.1</v>
      </c>
      <c r="K79" s="5">
        <f t="shared" si="6"/>
        <v>12.899999999999995</v>
      </c>
      <c r="L79" s="5">
        <v>0.7</v>
      </c>
      <c r="M79" s="5">
        <f t="shared" si="7"/>
        <v>61.799999999999983</v>
      </c>
      <c r="N79" s="5">
        <v>-0.6</v>
      </c>
      <c r="O79" s="5">
        <v>0</v>
      </c>
      <c r="P79" s="5">
        <v>30</v>
      </c>
      <c r="Q79" s="5">
        <f t="shared" si="10"/>
        <v>0.46607142857142858</v>
      </c>
      <c r="R79" s="9">
        <f t="shared" si="2"/>
        <v>0.32624999999999998</v>
      </c>
      <c r="S79" s="9">
        <f t="shared" si="3"/>
        <v>-0.22624999999999998</v>
      </c>
      <c r="T79" s="9">
        <f t="shared" si="8"/>
        <v>13.609910714285702</v>
      </c>
      <c r="V79" s="5">
        <v>207.9</v>
      </c>
      <c r="X79" s="5">
        <f t="shared" si="9"/>
        <v>25622.200000000004</v>
      </c>
      <c r="AA79" s="5">
        <v>11.0488572003194</v>
      </c>
    </row>
    <row r="80" spans="1:27" s="5" customFormat="1" x14ac:dyDescent="0.25">
      <c r="A80" s="76"/>
      <c r="B80" s="10"/>
      <c r="C80" s="11">
        <v>40830</v>
      </c>
      <c r="D80" s="5">
        <v>13.8</v>
      </c>
      <c r="E80" s="5">
        <v>12.4</v>
      </c>
      <c r="F80" s="5">
        <v>19.8</v>
      </c>
      <c r="G80" s="5">
        <f t="shared" si="5"/>
        <v>492.2000000000001</v>
      </c>
      <c r="J80" s="5">
        <v>0</v>
      </c>
      <c r="K80" s="5">
        <f t="shared" si="6"/>
        <v>12.899999999999995</v>
      </c>
      <c r="L80" s="5">
        <v>2.8</v>
      </c>
      <c r="M80" s="5">
        <f t="shared" si="7"/>
        <v>64.59999999999998</v>
      </c>
      <c r="N80" s="5">
        <v>-2.8</v>
      </c>
      <c r="O80" s="5">
        <v>0</v>
      </c>
      <c r="P80" s="5">
        <v>31</v>
      </c>
      <c r="Q80" s="5">
        <f t="shared" si="10"/>
        <v>0.47187499999999999</v>
      </c>
      <c r="R80" s="9">
        <f t="shared" si="2"/>
        <v>1.3212499999999998</v>
      </c>
      <c r="S80" s="9">
        <f t="shared" si="3"/>
        <v>-1.3212499999999998</v>
      </c>
      <c r="T80" s="9">
        <f t="shared" si="8"/>
        <v>12.288660714285703</v>
      </c>
      <c r="V80" s="5">
        <v>1218.2</v>
      </c>
      <c r="X80" s="5">
        <f t="shared" si="9"/>
        <v>26840.400000000005</v>
      </c>
      <c r="AA80" s="5">
        <v>10.9917781123049</v>
      </c>
    </row>
    <row r="81" spans="1:27" s="5" customFormat="1" x14ac:dyDescent="0.25">
      <c r="A81" s="76"/>
      <c r="B81" s="10"/>
      <c r="C81" s="11">
        <v>40831</v>
      </c>
      <c r="D81" s="5">
        <v>9.8000000000000007</v>
      </c>
      <c r="E81" s="5">
        <v>3.6</v>
      </c>
      <c r="F81" s="5">
        <v>18</v>
      </c>
      <c r="G81" s="5">
        <f t="shared" si="5"/>
        <v>502.00000000000011</v>
      </c>
      <c r="J81" s="5">
        <v>0.1</v>
      </c>
      <c r="K81" s="5">
        <f t="shared" si="6"/>
        <v>12.999999999999995</v>
      </c>
      <c r="L81" s="5">
        <v>2.2999999999999998</v>
      </c>
      <c r="M81" s="5">
        <f t="shared" si="7"/>
        <v>66.899999999999977</v>
      </c>
      <c r="N81" s="5">
        <v>-2.1999999999999997</v>
      </c>
      <c r="O81" s="5">
        <v>0</v>
      </c>
      <c r="P81" s="5">
        <v>32</v>
      </c>
      <c r="Q81" s="5">
        <f t="shared" si="10"/>
        <v>0.4776785714285714</v>
      </c>
      <c r="R81" s="9">
        <f t="shared" si="2"/>
        <v>1.0986607142857141</v>
      </c>
      <c r="S81" s="9">
        <f t="shared" si="3"/>
        <v>-0.99866071428571412</v>
      </c>
      <c r="T81" s="9">
        <f t="shared" si="8"/>
        <v>11.289999999999988</v>
      </c>
      <c r="V81" s="5">
        <v>1329.8</v>
      </c>
      <c r="X81" s="5">
        <f t="shared" si="9"/>
        <v>28170.200000000004</v>
      </c>
      <c r="AA81" s="5">
        <v>10.9348231452836</v>
      </c>
    </row>
    <row r="82" spans="1:27" s="5" customFormat="1" x14ac:dyDescent="0.25">
      <c r="A82" s="76"/>
      <c r="B82" s="10"/>
      <c r="C82" s="11">
        <v>40832</v>
      </c>
      <c r="D82" s="5">
        <v>10.1</v>
      </c>
      <c r="E82" s="5">
        <v>3</v>
      </c>
      <c r="F82" s="5">
        <v>17.399999999999999</v>
      </c>
      <c r="G82" s="5">
        <f t="shared" si="5"/>
        <v>512.10000000000014</v>
      </c>
      <c r="J82" s="5">
        <v>0.2</v>
      </c>
      <c r="K82" s="5">
        <f t="shared" si="6"/>
        <v>13.199999999999994</v>
      </c>
      <c r="L82" s="5">
        <v>1.5</v>
      </c>
      <c r="M82" s="5">
        <f t="shared" si="7"/>
        <v>68.399999999999977</v>
      </c>
      <c r="N82" s="5">
        <v>-1.3</v>
      </c>
      <c r="O82" s="5">
        <v>0</v>
      </c>
      <c r="P82" s="5">
        <v>33</v>
      </c>
      <c r="Q82" s="5">
        <f t="shared" si="10"/>
        <v>0.48348214285714286</v>
      </c>
      <c r="R82" s="9">
        <f t="shared" si="2"/>
        <v>0.72522321428571423</v>
      </c>
      <c r="S82" s="9">
        <f t="shared" si="3"/>
        <v>-0.52522321428571428</v>
      </c>
      <c r="T82" s="9">
        <f t="shared" si="8"/>
        <v>10.764776785714274</v>
      </c>
      <c r="V82" s="5">
        <v>813</v>
      </c>
      <c r="X82" s="5">
        <f t="shared" si="9"/>
        <v>28983.200000000004</v>
      </c>
      <c r="AA82" s="5">
        <v>10.878001983322999</v>
      </c>
    </row>
    <row r="83" spans="1:27" s="5" customFormat="1" x14ac:dyDescent="0.25">
      <c r="A83" s="76"/>
      <c r="B83" s="10"/>
      <c r="C83" s="11">
        <v>40833</v>
      </c>
      <c r="D83" s="5">
        <v>13.2</v>
      </c>
      <c r="E83" s="5">
        <v>7.6</v>
      </c>
      <c r="F83" s="5">
        <v>19.600000000000001</v>
      </c>
      <c r="G83" s="5">
        <f t="shared" si="5"/>
        <v>525.30000000000018</v>
      </c>
      <c r="J83" s="5">
        <v>0</v>
      </c>
      <c r="K83" s="5">
        <f t="shared" si="6"/>
        <v>13.199999999999994</v>
      </c>
      <c r="L83" s="5">
        <v>2.1</v>
      </c>
      <c r="M83" s="5">
        <f t="shared" si="7"/>
        <v>70.499999999999972</v>
      </c>
      <c r="N83" s="5">
        <v>-2.1</v>
      </c>
      <c r="O83" s="5">
        <v>0</v>
      </c>
      <c r="P83" s="5">
        <v>34</v>
      </c>
      <c r="Q83" s="5">
        <f t="shared" si="10"/>
        <v>0.48928571428571427</v>
      </c>
      <c r="R83" s="9">
        <f t="shared" si="2"/>
        <v>1.0275000000000001</v>
      </c>
      <c r="S83" s="9">
        <f t="shared" si="3"/>
        <v>-1.0275000000000001</v>
      </c>
      <c r="T83" s="9">
        <f t="shared" si="8"/>
        <v>9.7372767857142737</v>
      </c>
      <c r="V83" s="5">
        <v>1143.5999999999999</v>
      </c>
      <c r="X83" s="5">
        <f t="shared" si="9"/>
        <v>30126.800000000003</v>
      </c>
      <c r="AA83" s="5">
        <v>10.8213247105489</v>
      </c>
    </row>
    <row r="84" spans="1:27" s="5" customFormat="1" x14ac:dyDescent="0.25">
      <c r="A84" s="76"/>
      <c r="B84" s="10"/>
      <c r="C84" s="11">
        <v>40834</v>
      </c>
      <c r="D84" s="5">
        <v>11.5</v>
      </c>
      <c r="E84" s="5">
        <v>11.3</v>
      </c>
      <c r="F84" s="5">
        <v>12.4</v>
      </c>
      <c r="G84" s="5">
        <f t="shared" si="5"/>
        <v>536.80000000000018</v>
      </c>
      <c r="J84" s="5">
        <v>1.9</v>
      </c>
      <c r="K84" s="5">
        <f t="shared" si="6"/>
        <v>15.099999999999994</v>
      </c>
      <c r="L84" s="5">
        <v>0.5</v>
      </c>
      <c r="M84" s="5">
        <f t="shared" si="7"/>
        <v>70.999999999999972</v>
      </c>
      <c r="N84" s="5">
        <v>1.4</v>
      </c>
      <c r="O84" s="5">
        <f>O83+N84</f>
        <v>1.4</v>
      </c>
      <c r="P84" s="5">
        <v>35</v>
      </c>
      <c r="Q84" s="5">
        <f t="shared" si="10"/>
        <v>0.49508928571428568</v>
      </c>
      <c r="R84" s="9">
        <f t="shared" si="2"/>
        <v>0.24754464285714284</v>
      </c>
      <c r="S84" s="9">
        <f t="shared" si="3"/>
        <v>1.6524553571428571</v>
      </c>
      <c r="T84" s="9">
        <f t="shared" si="8"/>
        <v>11.389732142857131</v>
      </c>
      <c r="V84" s="5">
        <v>181.7</v>
      </c>
      <c r="X84" s="5">
        <f t="shared" si="9"/>
        <v>30308.500000000004</v>
      </c>
      <c r="AA84" s="5">
        <v>10.764801829194701</v>
      </c>
    </row>
    <row r="85" spans="1:27" s="5" customFormat="1" x14ac:dyDescent="0.25">
      <c r="A85" s="76"/>
      <c r="B85" s="10"/>
      <c r="C85" s="11">
        <v>40835</v>
      </c>
      <c r="D85" s="5">
        <v>8.4</v>
      </c>
      <c r="E85" s="5">
        <v>5</v>
      </c>
      <c r="F85" s="5">
        <v>14.9</v>
      </c>
      <c r="G85" s="5">
        <f t="shared" si="5"/>
        <v>545.20000000000016</v>
      </c>
      <c r="J85" s="5">
        <v>1.3</v>
      </c>
      <c r="K85" s="5">
        <f t="shared" si="6"/>
        <v>16.399999999999995</v>
      </c>
      <c r="L85" s="5">
        <v>1.7</v>
      </c>
      <c r="M85" s="5">
        <f t="shared" si="7"/>
        <v>72.699999999999974</v>
      </c>
      <c r="N85" s="5">
        <v>-0.39999999999999991</v>
      </c>
      <c r="O85" s="5">
        <f>O84+N85</f>
        <v>1</v>
      </c>
      <c r="P85" s="5">
        <v>36</v>
      </c>
      <c r="Q85" s="5">
        <f t="shared" si="10"/>
        <v>0.50089285714285714</v>
      </c>
      <c r="R85" s="9">
        <f t="shared" si="2"/>
        <v>0.8515178571428571</v>
      </c>
      <c r="S85" s="9">
        <f t="shared" si="3"/>
        <v>0.44848214285714294</v>
      </c>
      <c r="T85" s="9">
        <f t="shared" si="8"/>
        <v>11.838214285714274</v>
      </c>
      <c r="V85" s="5">
        <v>883.3</v>
      </c>
      <c r="X85" s="5">
        <f t="shared" si="9"/>
        <v>31191.800000000003</v>
      </c>
      <c r="AA85" s="5">
        <v>10.7084442775047</v>
      </c>
    </row>
    <row r="86" spans="1:27" s="5" customFormat="1" x14ac:dyDescent="0.25">
      <c r="A86" s="76"/>
      <c r="B86" s="10"/>
      <c r="C86" s="11">
        <v>40836</v>
      </c>
      <c r="D86" s="5">
        <v>7.9</v>
      </c>
      <c r="E86" s="5">
        <v>4.3</v>
      </c>
      <c r="F86" s="5">
        <v>14.3</v>
      </c>
      <c r="G86" s="5">
        <f t="shared" si="5"/>
        <v>553.10000000000014</v>
      </c>
      <c r="J86" s="5">
        <v>0</v>
      </c>
      <c r="K86" s="5">
        <f t="shared" si="6"/>
        <v>16.399999999999995</v>
      </c>
      <c r="L86" s="5">
        <v>0.8</v>
      </c>
      <c r="M86" s="5">
        <f t="shared" si="7"/>
        <v>73.499999999999972</v>
      </c>
      <c r="N86" s="5">
        <v>-0.8</v>
      </c>
      <c r="O86" s="5">
        <f>O85+N86</f>
        <v>0.19999999999999996</v>
      </c>
      <c r="P86" s="5">
        <v>37</v>
      </c>
      <c r="Q86" s="5">
        <f t="shared" si="10"/>
        <v>0.5066964285714286</v>
      </c>
      <c r="R86" s="9">
        <f t="shared" si="2"/>
        <v>0.40535714285714292</v>
      </c>
      <c r="S86" s="9">
        <f t="shared" si="3"/>
        <v>-0.40535714285714292</v>
      </c>
      <c r="T86" s="9">
        <f t="shared" si="8"/>
        <v>11.432857142857131</v>
      </c>
      <c r="V86" s="5">
        <v>547.70000000000005</v>
      </c>
      <c r="X86" s="5">
        <f t="shared" si="9"/>
        <v>31739.500000000004</v>
      </c>
      <c r="AA86" s="5">
        <v>10.652263447446201</v>
      </c>
    </row>
    <row r="87" spans="1:27" s="5" customFormat="1" x14ac:dyDescent="0.25">
      <c r="A87" s="76"/>
      <c r="B87" s="10"/>
      <c r="C87" s="11">
        <v>40837</v>
      </c>
      <c r="D87" s="5">
        <v>7.1</v>
      </c>
      <c r="E87" s="5">
        <v>2.4</v>
      </c>
      <c r="F87" s="5">
        <v>14.6</v>
      </c>
      <c r="G87" s="5">
        <f t="shared" si="5"/>
        <v>560.20000000000016</v>
      </c>
      <c r="J87" s="5">
        <v>0</v>
      </c>
      <c r="K87" s="5">
        <f t="shared" si="6"/>
        <v>16.399999999999995</v>
      </c>
      <c r="L87" s="5">
        <v>1.8</v>
      </c>
      <c r="M87" s="5">
        <f t="shared" si="7"/>
        <v>75.299999999999969</v>
      </c>
      <c r="N87" s="5">
        <v>-1.8</v>
      </c>
      <c r="O87" s="5">
        <v>0</v>
      </c>
      <c r="P87" s="5">
        <v>38</v>
      </c>
      <c r="Q87" s="5">
        <f t="shared" si="10"/>
        <v>0.51249999999999996</v>
      </c>
      <c r="R87" s="9">
        <f t="shared" si="2"/>
        <v>0.92249999999999999</v>
      </c>
      <c r="S87" s="9">
        <f t="shared" si="3"/>
        <v>-0.92249999999999999</v>
      </c>
      <c r="T87" s="9">
        <f t="shared" si="8"/>
        <v>10.510357142857131</v>
      </c>
      <c r="V87" s="5">
        <v>1158.4000000000001</v>
      </c>
      <c r="X87" s="5">
        <f t="shared" si="9"/>
        <v>32897.9</v>
      </c>
      <c r="AA87" s="5">
        <v>10.5962712021773</v>
      </c>
    </row>
    <row r="88" spans="1:27" s="5" customFormat="1" x14ac:dyDescent="0.25">
      <c r="A88" s="76"/>
      <c r="B88" s="10"/>
      <c r="C88" s="11">
        <v>40838</v>
      </c>
      <c r="D88" s="5">
        <v>9.1</v>
      </c>
      <c r="E88" s="5">
        <v>2.5</v>
      </c>
      <c r="F88" s="5">
        <v>15.3</v>
      </c>
      <c r="G88" s="5">
        <f t="shared" si="5"/>
        <v>569.30000000000018</v>
      </c>
      <c r="J88" s="5">
        <v>0.1</v>
      </c>
      <c r="K88" s="5">
        <f t="shared" si="6"/>
        <v>16.499999999999996</v>
      </c>
      <c r="L88" s="5">
        <v>1.6</v>
      </c>
      <c r="M88" s="5">
        <f t="shared" si="7"/>
        <v>76.899999999999963</v>
      </c>
      <c r="N88" s="5">
        <v>-1.5</v>
      </c>
      <c r="O88" s="5">
        <v>0</v>
      </c>
      <c r="P88" s="5">
        <v>39</v>
      </c>
      <c r="Q88" s="5">
        <f t="shared" si="10"/>
        <v>0.51830357142857142</v>
      </c>
      <c r="R88" s="9">
        <f t="shared" si="2"/>
        <v>0.82928571428571429</v>
      </c>
      <c r="S88" s="9">
        <f t="shared" si="3"/>
        <v>-0.72928571428571431</v>
      </c>
      <c r="T88" s="9">
        <f t="shared" si="8"/>
        <v>9.7810714285714173</v>
      </c>
      <c r="V88" s="5">
        <v>1161.9000000000001</v>
      </c>
      <c r="X88" s="5">
        <f t="shared" si="9"/>
        <v>34059.800000000003</v>
      </c>
      <c r="AA88" s="5">
        <v>10.540479893213901</v>
      </c>
    </row>
    <row r="89" spans="1:27" s="5" customFormat="1" x14ac:dyDescent="0.25">
      <c r="A89" s="76"/>
      <c r="B89" s="10"/>
      <c r="C89" s="11">
        <v>40839</v>
      </c>
      <c r="D89" s="5">
        <v>14.9</v>
      </c>
      <c r="E89" s="5">
        <v>9</v>
      </c>
      <c r="F89" s="5">
        <v>20.5</v>
      </c>
      <c r="G89" s="5">
        <f t="shared" si="5"/>
        <v>584.20000000000016</v>
      </c>
      <c r="J89" s="5">
        <v>0</v>
      </c>
      <c r="K89" s="5">
        <f t="shared" si="6"/>
        <v>16.499999999999996</v>
      </c>
      <c r="L89" s="5">
        <v>2.7</v>
      </c>
      <c r="M89" s="5">
        <f t="shared" si="7"/>
        <v>79.599999999999966</v>
      </c>
      <c r="N89" s="5">
        <v>-2.7</v>
      </c>
      <c r="O89" s="5">
        <v>0</v>
      </c>
      <c r="P89" s="5">
        <v>40</v>
      </c>
      <c r="Q89" s="5">
        <f t="shared" si="10"/>
        <v>0.52410714285714288</v>
      </c>
      <c r="R89" s="9">
        <f t="shared" si="2"/>
        <v>1.4150892857142858</v>
      </c>
      <c r="S89" s="9">
        <f t="shared" si="3"/>
        <v>-1.4150892857142858</v>
      </c>
      <c r="T89" s="9">
        <f t="shared" si="8"/>
        <v>8.3659821428571313</v>
      </c>
      <c r="V89" s="5">
        <v>998.6</v>
      </c>
      <c r="X89" s="5">
        <f t="shared" si="9"/>
        <v>35058.400000000001</v>
      </c>
      <c r="AA89" s="5">
        <v>10.4849023772331</v>
      </c>
    </row>
    <row r="90" spans="1:27" s="5" customFormat="1" x14ac:dyDescent="0.25">
      <c r="A90" s="76"/>
      <c r="B90" s="10"/>
      <c r="C90" s="11">
        <v>40840</v>
      </c>
      <c r="D90" s="5">
        <v>14.2</v>
      </c>
      <c r="E90" s="5">
        <v>12.7</v>
      </c>
      <c r="F90" s="5">
        <v>17</v>
      </c>
      <c r="G90" s="5">
        <f t="shared" si="5"/>
        <v>598.4000000000002</v>
      </c>
      <c r="J90" s="5">
        <v>4.9000000000000004</v>
      </c>
      <c r="K90" s="5">
        <f t="shared" si="6"/>
        <v>21.4</v>
      </c>
      <c r="L90" s="5">
        <v>1.7</v>
      </c>
      <c r="M90" s="5">
        <f t="shared" si="7"/>
        <v>81.299999999999969</v>
      </c>
      <c r="N90" s="5">
        <v>3.2</v>
      </c>
      <c r="O90" s="5">
        <f t="shared" ref="O90:O153" si="11">O89+N90</f>
        <v>3.2</v>
      </c>
      <c r="P90" s="5">
        <v>41</v>
      </c>
      <c r="Q90" s="5">
        <f t="shared" si="10"/>
        <v>0.52991071428571423</v>
      </c>
      <c r="R90" s="9">
        <f t="shared" si="2"/>
        <v>0.90084821428571416</v>
      </c>
      <c r="S90" s="9">
        <f t="shared" si="3"/>
        <v>3.999151785714286</v>
      </c>
      <c r="T90" s="9">
        <f t="shared" si="8"/>
        <v>12.365133928571417</v>
      </c>
      <c r="V90" s="5">
        <v>218.1</v>
      </c>
      <c r="X90" s="5">
        <f t="shared" si="9"/>
        <v>35276.5</v>
      </c>
      <c r="AA90" s="5">
        <v>10.429552032444199</v>
      </c>
    </row>
    <row r="91" spans="1:27" s="5" customFormat="1" x14ac:dyDescent="0.25">
      <c r="A91" s="76"/>
      <c r="B91" s="10"/>
      <c r="C91" s="11">
        <v>40841</v>
      </c>
      <c r="D91" s="5">
        <v>9.9</v>
      </c>
      <c r="E91" s="5">
        <v>8.6999999999999993</v>
      </c>
      <c r="F91" s="5">
        <v>12.9</v>
      </c>
      <c r="G91" s="5">
        <f t="shared" si="5"/>
        <v>608.30000000000018</v>
      </c>
      <c r="J91" s="5">
        <v>4.8</v>
      </c>
      <c r="K91" s="5">
        <f t="shared" si="6"/>
        <v>26.2</v>
      </c>
      <c r="L91" s="5">
        <v>1.1000000000000001</v>
      </c>
      <c r="M91" s="5">
        <f t="shared" si="7"/>
        <v>82.399999999999963</v>
      </c>
      <c r="N91" s="5">
        <v>3.6999999999999997</v>
      </c>
      <c r="O91" s="5">
        <f t="shared" si="11"/>
        <v>6.9</v>
      </c>
      <c r="P91" s="5">
        <v>42</v>
      </c>
      <c r="Q91" s="5">
        <f t="shared" si="10"/>
        <v>0.5357142857142857</v>
      </c>
      <c r="R91" s="9">
        <f t="shared" si="2"/>
        <v>0.5892857142857143</v>
      </c>
      <c r="S91" s="9">
        <f t="shared" si="3"/>
        <v>4.2107142857142854</v>
      </c>
      <c r="T91" s="9">
        <f t="shared" si="8"/>
        <v>16.575848214285703</v>
      </c>
      <c r="V91" s="5">
        <v>727.4</v>
      </c>
      <c r="X91" s="5">
        <f t="shared" si="9"/>
        <v>36003.9</v>
      </c>
      <c r="AA91" s="5">
        <v>10.374442774453</v>
      </c>
    </row>
    <row r="92" spans="1:27" s="5" customFormat="1" x14ac:dyDescent="0.25">
      <c r="A92" s="76"/>
      <c r="B92" s="10"/>
      <c r="C92" s="11">
        <v>40842</v>
      </c>
      <c r="D92" s="5">
        <v>11.6</v>
      </c>
      <c r="E92" s="5">
        <v>7.4</v>
      </c>
      <c r="F92" s="5">
        <v>17</v>
      </c>
      <c r="G92" s="5">
        <f t="shared" si="5"/>
        <v>619.9000000000002</v>
      </c>
      <c r="J92" s="5">
        <v>1.5</v>
      </c>
      <c r="K92" s="5">
        <f t="shared" si="6"/>
        <v>27.7</v>
      </c>
      <c r="L92" s="5">
        <v>1.2</v>
      </c>
      <c r="M92" s="5">
        <f t="shared" si="7"/>
        <v>83.599999999999966</v>
      </c>
      <c r="N92" s="5">
        <v>0.30000000000000004</v>
      </c>
      <c r="O92" s="5">
        <f t="shared" si="11"/>
        <v>7.2</v>
      </c>
      <c r="P92" s="5">
        <v>43</v>
      </c>
      <c r="Q92" s="5">
        <f t="shared" si="10"/>
        <v>0.54151785714285716</v>
      </c>
      <c r="R92" s="9">
        <f t="shared" si="2"/>
        <v>0.64982142857142855</v>
      </c>
      <c r="S92" s="9">
        <f t="shared" si="3"/>
        <v>0.85017857142857145</v>
      </c>
      <c r="T92" s="9">
        <f t="shared" si="8"/>
        <v>17.426026785714274</v>
      </c>
      <c r="V92" s="5">
        <v>402.3</v>
      </c>
      <c r="X92" s="5">
        <f t="shared" si="9"/>
        <v>36406.200000000004</v>
      </c>
      <c r="AA92" s="5">
        <v>10.3195890715385</v>
      </c>
    </row>
    <row r="93" spans="1:27" s="5" customFormat="1" x14ac:dyDescent="0.25">
      <c r="A93" s="76"/>
      <c r="B93" s="10"/>
      <c r="C93" s="11">
        <v>40843</v>
      </c>
      <c r="D93" s="5">
        <v>13.1</v>
      </c>
      <c r="E93" s="5">
        <v>11.8</v>
      </c>
      <c r="F93" s="5">
        <v>15.6</v>
      </c>
      <c r="G93" s="5">
        <f t="shared" si="5"/>
        <v>633.00000000000023</v>
      </c>
      <c r="J93" s="5">
        <v>0.9</v>
      </c>
      <c r="K93" s="5">
        <f t="shared" si="6"/>
        <v>28.599999999999998</v>
      </c>
      <c r="L93" s="5">
        <v>1.3</v>
      </c>
      <c r="M93" s="5">
        <f t="shared" si="7"/>
        <v>84.899999999999963</v>
      </c>
      <c r="N93" s="5">
        <v>-0.4</v>
      </c>
      <c r="O93" s="5">
        <f t="shared" si="11"/>
        <v>6.8</v>
      </c>
      <c r="P93" s="5">
        <v>44</v>
      </c>
      <c r="Q93" s="5">
        <f t="shared" si="10"/>
        <v>0.54732142857142851</v>
      </c>
      <c r="R93" s="9">
        <f t="shared" si="2"/>
        <v>0.71151785714285709</v>
      </c>
      <c r="S93" s="9">
        <f t="shared" si="3"/>
        <v>0.18848214285714293</v>
      </c>
      <c r="T93" s="9">
        <f t="shared" si="8"/>
        <v>17.614508928571418</v>
      </c>
      <c r="V93" s="5">
        <v>249</v>
      </c>
      <c r="X93" s="5">
        <f t="shared" si="9"/>
        <v>36655.200000000004</v>
      </c>
      <c r="AA93" s="5">
        <v>10.265005959254699</v>
      </c>
    </row>
    <row r="94" spans="1:27" s="5" customFormat="1" x14ac:dyDescent="0.25">
      <c r="A94" s="76"/>
      <c r="B94" s="10"/>
      <c r="C94" s="11">
        <v>40844</v>
      </c>
      <c r="D94" s="5">
        <v>13.5</v>
      </c>
      <c r="E94" s="5">
        <v>11.9</v>
      </c>
      <c r="F94" s="5">
        <v>15.4</v>
      </c>
      <c r="G94" s="5">
        <f t="shared" si="5"/>
        <v>646.50000000000023</v>
      </c>
      <c r="J94" s="5">
        <v>0.1</v>
      </c>
      <c r="K94" s="5">
        <f t="shared" si="6"/>
        <v>28.7</v>
      </c>
      <c r="L94" s="5">
        <v>0.4</v>
      </c>
      <c r="M94" s="5">
        <f t="shared" si="7"/>
        <v>85.299999999999969</v>
      </c>
      <c r="N94" s="5">
        <v>-0.30000000000000004</v>
      </c>
      <c r="O94" s="5">
        <f t="shared" si="11"/>
        <v>6.5</v>
      </c>
      <c r="P94" s="5">
        <v>45</v>
      </c>
      <c r="Q94" s="5">
        <f t="shared" si="10"/>
        <v>0.55312499999999998</v>
      </c>
      <c r="R94" s="9">
        <f t="shared" si="2"/>
        <v>0.22125</v>
      </c>
      <c r="S94" s="9">
        <f t="shared" si="3"/>
        <v>-0.12125</v>
      </c>
      <c r="T94" s="9">
        <f t="shared" si="8"/>
        <v>17.493258928571418</v>
      </c>
      <c r="V94" s="5">
        <v>207.8</v>
      </c>
      <c r="X94" s="5">
        <f t="shared" si="9"/>
        <v>36863.000000000007</v>
      </c>
      <c r="AA94" s="5">
        <v>10.210709054264401</v>
      </c>
    </row>
    <row r="95" spans="1:27" s="5" customFormat="1" x14ac:dyDescent="0.25">
      <c r="A95" s="76"/>
      <c r="B95" s="10"/>
      <c r="C95" s="11">
        <v>40845</v>
      </c>
      <c r="D95" s="5">
        <v>12.3</v>
      </c>
      <c r="E95" s="5">
        <v>11.8</v>
      </c>
      <c r="F95" s="5">
        <v>14.2</v>
      </c>
      <c r="G95" s="5">
        <f t="shared" si="5"/>
        <v>658.80000000000018</v>
      </c>
      <c r="J95" s="5">
        <v>0</v>
      </c>
      <c r="K95" s="5">
        <f t="shared" si="6"/>
        <v>28.7</v>
      </c>
      <c r="L95" s="5">
        <v>0.5</v>
      </c>
      <c r="M95" s="5">
        <f t="shared" si="7"/>
        <v>85.799999999999969</v>
      </c>
      <c r="N95" s="5">
        <v>-0.5</v>
      </c>
      <c r="O95" s="5">
        <f t="shared" si="11"/>
        <v>6</v>
      </c>
      <c r="P95" s="5">
        <v>46</v>
      </c>
      <c r="Q95" s="5">
        <f t="shared" si="10"/>
        <v>0.55892857142857144</v>
      </c>
      <c r="R95" s="9">
        <f t="shared" si="2"/>
        <v>0.27946428571428572</v>
      </c>
      <c r="S95" s="9">
        <f t="shared" si="3"/>
        <v>-0.27946428571428572</v>
      </c>
      <c r="T95" s="9">
        <f t="shared" si="8"/>
        <v>17.213794642857131</v>
      </c>
      <c r="V95" s="5">
        <v>302.10000000000002</v>
      </c>
      <c r="X95" s="5">
        <f t="shared" si="9"/>
        <v>37165.100000000006</v>
      </c>
      <c r="AA95" s="5">
        <v>10.1567145673041</v>
      </c>
    </row>
    <row r="96" spans="1:27" s="5" customFormat="1" x14ac:dyDescent="0.25">
      <c r="A96" s="76"/>
      <c r="B96" s="10"/>
      <c r="C96" s="11">
        <v>40846</v>
      </c>
      <c r="D96" s="5">
        <v>13.8</v>
      </c>
      <c r="E96" s="5">
        <v>10.199999999999999</v>
      </c>
      <c r="F96" s="5">
        <v>17.5</v>
      </c>
      <c r="G96" s="5">
        <f t="shared" si="5"/>
        <v>672.60000000000014</v>
      </c>
      <c r="J96" s="5">
        <v>0</v>
      </c>
      <c r="K96" s="5">
        <f t="shared" si="6"/>
        <v>28.7</v>
      </c>
      <c r="L96" s="5">
        <v>0.6</v>
      </c>
      <c r="M96" s="5">
        <f t="shared" si="7"/>
        <v>86.399999999999963</v>
      </c>
      <c r="N96" s="5">
        <v>-0.6</v>
      </c>
      <c r="O96" s="5">
        <f t="shared" si="11"/>
        <v>5.4</v>
      </c>
      <c r="P96" s="5">
        <v>47</v>
      </c>
      <c r="Q96" s="5">
        <f t="shared" si="10"/>
        <v>0.56473214285714279</v>
      </c>
      <c r="R96" s="9">
        <f t="shared" si="2"/>
        <v>0.33883928571428568</v>
      </c>
      <c r="S96" s="9">
        <f t="shared" si="3"/>
        <v>-0.33883928571428568</v>
      </c>
      <c r="T96" s="9">
        <f t="shared" si="8"/>
        <v>16.874955357142845</v>
      </c>
      <c r="V96" s="5">
        <v>171.9</v>
      </c>
      <c r="X96" s="5">
        <f t="shared" si="9"/>
        <v>37337.000000000007</v>
      </c>
      <c r="AA96" s="5">
        <v>10.1030393151739</v>
      </c>
    </row>
    <row r="97" spans="1:27" s="5" customFormat="1" x14ac:dyDescent="0.25">
      <c r="A97" s="76"/>
      <c r="B97" s="10"/>
      <c r="C97" s="11">
        <v>40847</v>
      </c>
      <c r="D97" s="5">
        <v>13.9</v>
      </c>
      <c r="E97" s="5">
        <v>10.8</v>
      </c>
      <c r="F97" s="5">
        <v>18.100000000000001</v>
      </c>
      <c r="G97" s="5">
        <f t="shared" si="5"/>
        <v>686.50000000000011</v>
      </c>
      <c r="J97" s="5">
        <v>0.1</v>
      </c>
      <c r="K97" s="5">
        <f t="shared" si="6"/>
        <v>28.8</v>
      </c>
      <c r="L97" s="5">
        <v>1.1000000000000001</v>
      </c>
      <c r="M97" s="5">
        <f t="shared" si="7"/>
        <v>87.499999999999957</v>
      </c>
      <c r="N97" s="5">
        <v>-1</v>
      </c>
      <c r="O97" s="5">
        <f t="shared" si="11"/>
        <v>4.4000000000000004</v>
      </c>
      <c r="P97" s="5">
        <v>48</v>
      </c>
      <c r="Q97" s="5">
        <f t="shared" si="10"/>
        <v>0.57053571428571426</v>
      </c>
      <c r="R97" s="9">
        <f t="shared" si="2"/>
        <v>0.62758928571428574</v>
      </c>
      <c r="S97" s="9">
        <f t="shared" si="3"/>
        <v>-0.52758928571428576</v>
      </c>
      <c r="T97" s="9">
        <f t="shared" si="8"/>
        <v>16.34736607142856</v>
      </c>
      <c r="V97" s="5">
        <v>685.6</v>
      </c>
      <c r="X97" s="5">
        <f t="shared" si="9"/>
        <v>38022.600000000006</v>
      </c>
      <c r="AA97" s="5">
        <v>10.0497007316379</v>
      </c>
    </row>
    <row r="98" spans="1:27" s="5" customFormat="1" x14ac:dyDescent="0.25">
      <c r="A98" s="76"/>
      <c r="B98" s="10"/>
      <c r="C98" s="11">
        <v>40848</v>
      </c>
      <c r="D98" s="5">
        <v>13</v>
      </c>
      <c r="E98" s="5">
        <v>11.6</v>
      </c>
      <c r="F98" s="5">
        <v>16.399999999999999</v>
      </c>
      <c r="G98" s="5">
        <f t="shared" si="5"/>
        <v>699.50000000000011</v>
      </c>
      <c r="J98" s="5">
        <v>0</v>
      </c>
      <c r="K98" s="5">
        <f t="shared" si="6"/>
        <v>28.8</v>
      </c>
      <c r="L98" s="5">
        <v>1.8</v>
      </c>
      <c r="M98" s="5">
        <f t="shared" si="7"/>
        <v>89.299999999999955</v>
      </c>
      <c r="N98" s="5">
        <v>-1.8</v>
      </c>
      <c r="O98" s="5">
        <f t="shared" si="11"/>
        <v>2.6000000000000005</v>
      </c>
      <c r="P98" s="5">
        <v>49</v>
      </c>
      <c r="Q98" s="5">
        <f t="shared" si="10"/>
        <v>0.57633928571428572</v>
      </c>
      <c r="R98" s="9">
        <f t="shared" si="2"/>
        <v>1.0374107142857143</v>
      </c>
      <c r="S98" s="9">
        <f t="shared" si="3"/>
        <v>-1.0374107142857143</v>
      </c>
      <c r="T98" s="9">
        <f t="shared" si="8"/>
        <v>15.309955357142846</v>
      </c>
      <c r="V98" s="5">
        <v>940.8</v>
      </c>
      <c r="X98" s="5">
        <f t="shared" si="9"/>
        <v>38963.400000000009</v>
      </c>
      <c r="AA98" s="5">
        <v>9.9967168771169792</v>
      </c>
    </row>
    <row r="99" spans="1:27" s="5" customFormat="1" x14ac:dyDescent="0.25">
      <c r="A99" s="76"/>
      <c r="B99" s="10"/>
      <c r="C99" s="11">
        <v>40849</v>
      </c>
      <c r="D99" s="5">
        <v>14</v>
      </c>
      <c r="E99" s="5">
        <v>9.1999999999999993</v>
      </c>
      <c r="F99" s="5">
        <v>17.600000000000001</v>
      </c>
      <c r="G99" s="5">
        <f t="shared" si="5"/>
        <v>713.50000000000011</v>
      </c>
      <c r="J99" s="5">
        <v>8.6</v>
      </c>
      <c r="K99" s="5">
        <f t="shared" si="6"/>
        <v>37.4</v>
      </c>
      <c r="L99" s="5">
        <v>0.6</v>
      </c>
      <c r="M99" s="5">
        <f t="shared" si="7"/>
        <v>89.899999999999949</v>
      </c>
      <c r="N99" s="5">
        <v>8</v>
      </c>
      <c r="O99" s="5">
        <f t="shared" si="11"/>
        <v>10.600000000000001</v>
      </c>
      <c r="P99" s="5">
        <v>50</v>
      </c>
      <c r="Q99" s="5">
        <f t="shared" si="10"/>
        <v>0.58214285714285707</v>
      </c>
      <c r="R99" s="9">
        <f t="shared" si="2"/>
        <v>0.34928571428571425</v>
      </c>
      <c r="S99" s="9">
        <f t="shared" si="3"/>
        <v>8.2507142857142846</v>
      </c>
      <c r="T99" s="9">
        <f t="shared" si="8"/>
        <v>23.560669642857128</v>
      </c>
      <c r="V99" s="5">
        <v>236.8</v>
      </c>
      <c r="X99" s="5">
        <f t="shared" si="9"/>
        <v>39200.200000000012</v>
      </c>
      <c r="AA99" s="5">
        <v>9.9441064470457103</v>
      </c>
    </row>
    <row r="100" spans="1:27" s="5" customFormat="1" x14ac:dyDescent="0.25">
      <c r="A100" s="76"/>
      <c r="B100" s="10"/>
      <c r="C100" s="11">
        <v>40850</v>
      </c>
      <c r="D100" s="5">
        <v>15.1</v>
      </c>
      <c r="E100" s="5">
        <v>13.2</v>
      </c>
      <c r="F100" s="5">
        <v>17.100000000000001</v>
      </c>
      <c r="G100" s="5">
        <f t="shared" si="5"/>
        <v>728.60000000000014</v>
      </c>
      <c r="J100" s="5">
        <v>14.5</v>
      </c>
      <c r="K100" s="5">
        <f t="shared" si="6"/>
        <v>51.9</v>
      </c>
      <c r="L100" s="5">
        <v>1.1000000000000001</v>
      </c>
      <c r="M100" s="5">
        <f t="shared" si="7"/>
        <v>90.999999999999943</v>
      </c>
      <c r="N100" s="5">
        <v>13.4</v>
      </c>
      <c r="O100" s="5">
        <f t="shared" si="11"/>
        <v>24</v>
      </c>
      <c r="P100" s="5">
        <v>51</v>
      </c>
      <c r="Q100" s="5">
        <f t="shared" si="10"/>
        <v>0.58794642857142854</v>
      </c>
      <c r="R100" s="9">
        <f t="shared" si="2"/>
        <v>0.6467410714285714</v>
      </c>
      <c r="S100" s="9">
        <f t="shared" si="3"/>
        <v>13.853258928571428</v>
      </c>
      <c r="T100" s="9">
        <f t="shared" si="8"/>
        <v>37.413928571428556</v>
      </c>
      <c r="V100" s="5">
        <v>649.20000000000005</v>
      </c>
      <c r="X100" s="5">
        <f t="shared" si="9"/>
        <v>39849.400000000009</v>
      </c>
      <c r="AA100" s="5">
        <v>9.8918887787624996</v>
      </c>
    </row>
    <row r="101" spans="1:27" s="5" customFormat="1" x14ac:dyDescent="0.25">
      <c r="A101" s="76"/>
      <c r="B101" s="10"/>
      <c r="C101" s="11">
        <v>40851</v>
      </c>
      <c r="D101" s="5">
        <v>11.9</v>
      </c>
      <c r="E101" s="5">
        <v>10.9</v>
      </c>
      <c r="F101" s="5">
        <v>14.5</v>
      </c>
      <c r="G101" s="5">
        <f t="shared" si="5"/>
        <v>740.50000000000011</v>
      </c>
      <c r="J101" s="5">
        <v>0.5</v>
      </c>
      <c r="K101" s="5">
        <f t="shared" si="6"/>
        <v>52.4</v>
      </c>
      <c r="L101" s="5">
        <v>1</v>
      </c>
      <c r="M101" s="5">
        <f t="shared" si="7"/>
        <v>91.999999999999943</v>
      </c>
      <c r="N101" s="5">
        <v>-0.5</v>
      </c>
      <c r="O101" s="5">
        <f t="shared" si="11"/>
        <v>23.5</v>
      </c>
      <c r="P101" s="5">
        <v>52</v>
      </c>
      <c r="Q101" s="5">
        <f t="shared" si="10"/>
        <v>0.59375</v>
      </c>
      <c r="R101" s="9">
        <f t="shared" si="2"/>
        <v>0.59375</v>
      </c>
      <c r="S101" s="9">
        <f t="shared" si="3"/>
        <v>-9.375E-2</v>
      </c>
      <c r="T101" s="9">
        <f t="shared" si="8"/>
        <v>37.320178571428556</v>
      </c>
      <c r="V101" s="5">
        <v>500.3</v>
      </c>
      <c r="X101" s="5">
        <f t="shared" si="9"/>
        <v>40349.700000000012</v>
      </c>
      <c r="AA101" s="5">
        <v>9.8400838567940205</v>
      </c>
    </row>
    <row r="102" spans="1:27" s="5" customFormat="1" x14ac:dyDescent="0.25">
      <c r="A102" s="76"/>
      <c r="B102" s="10"/>
      <c r="C102" s="11">
        <v>40852</v>
      </c>
      <c r="D102" s="5">
        <v>12.1</v>
      </c>
      <c r="E102" s="5">
        <v>8.1</v>
      </c>
      <c r="F102" s="5">
        <v>14.5</v>
      </c>
      <c r="G102" s="5">
        <f t="shared" si="5"/>
        <v>752.60000000000014</v>
      </c>
      <c r="J102" s="5">
        <v>0.1</v>
      </c>
      <c r="K102" s="5">
        <f t="shared" si="6"/>
        <v>52.5</v>
      </c>
      <c r="L102" s="5">
        <v>0.3</v>
      </c>
      <c r="M102" s="5">
        <f t="shared" si="7"/>
        <v>92.29999999999994</v>
      </c>
      <c r="N102" s="5">
        <v>-0.19999999999999998</v>
      </c>
      <c r="O102" s="5">
        <f t="shared" si="11"/>
        <v>23.3</v>
      </c>
      <c r="P102" s="5">
        <v>53</v>
      </c>
      <c r="Q102" s="5">
        <f t="shared" si="10"/>
        <v>0.59955357142857146</v>
      </c>
      <c r="R102" s="9">
        <f t="shared" si="2"/>
        <v>0.17986607142857144</v>
      </c>
      <c r="S102" s="9">
        <f t="shared" si="3"/>
        <v>-7.9866071428571439E-2</v>
      </c>
      <c r="T102" s="9">
        <f t="shared" si="8"/>
        <v>37.240312499999987</v>
      </c>
      <c r="V102" s="5">
        <v>559.4</v>
      </c>
      <c r="X102" s="5">
        <f t="shared" si="9"/>
        <v>40909.100000000013</v>
      </c>
      <c r="AA102" s="5">
        <v>9.7887123163906296</v>
      </c>
    </row>
    <row r="103" spans="1:27" s="5" customFormat="1" x14ac:dyDescent="0.25">
      <c r="A103" s="76"/>
      <c r="B103" s="10"/>
      <c r="C103" s="11">
        <v>40853</v>
      </c>
      <c r="D103" s="5">
        <v>12.4</v>
      </c>
      <c r="E103" s="5">
        <v>12.3</v>
      </c>
      <c r="F103" s="5">
        <v>12.8</v>
      </c>
      <c r="G103" s="5">
        <f t="shared" si="5"/>
        <v>765.00000000000011</v>
      </c>
      <c r="J103" s="5">
        <v>0</v>
      </c>
      <c r="K103" s="5">
        <f t="shared" si="6"/>
        <v>52.5</v>
      </c>
      <c r="L103" s="5">
        <v>1</v>
      </c>
      <c r="M103" s="5">
        <f t="shared" si="7"/>
        <v>93.29999999999994</v>
      </c>
      <c r="N103" s="5">
        <v>-1</v>
      </c>
      <c r="O103" s="5">
        <f t="shared" si="11"/>
        <v>22.3</v>
      </c>
      <c r="P103" s="5">
        <v>54</v>
      </c>
      <c r="Q103" s="5">
        <f t="shared" si="10"/>
        <v>0.60535714285714282</v>
      </c>
      <c r="R103" s="9">
        <f t="shared" si="2"/>
        <v>0.60535714285714282</v>
      </c>
      <c r="S103" s="9">
        <f t="shared" si="3"/>
        <v>-0.60535714285714282</v>
      </c>
      <c r="T103" s="9">
        <f t="shared" si="8"/>
        <v>36.634955357142843</v>
      </c>
      <c r="V103" s="5">
        <v>137.19999999999999</v>
      </c>
      <c r="X103" s="5">
        <f t="shared" si="9"/>
        <v>41046.30000000001</v>
      </c>
      <c r="AA103" s="5">
        <v>9.7377954451645401</v>
      </c>
    </row>
    <row r="104" spans="1:27" s="5" customFormat="1" x14ac:dyDescent="0.25">
      <c r="A104" s="76"/>
      <c r="B104" s="10"/>
      <c r="C104" s="11">
        <v>40854</v>
      </c>
      <c r="D104" s="5">
        <v>11.9</v>
      </c>
      <c r="E104" s="5">
        <v>11.6</v>
      </c>
      <c r="F104" s="5">
        <v>12.3</v>
      </c>
      <c r="G104" s="5">
        <f t="shared" si="5"/>
        <v>776.90000000000009</v>
      </c>
      <c r="J104" s="5">
        <v>0.2</v>
      </c>
      <c r="K104" s="5">
        <f t="shared" si="6"/>
        <v>52.7</v>
      </c>
      <c r="L104" s="5">
        <v>0.3</v>
      </c>
      <c r="M104" s="5">
        <f t="shared" si="7"/>
        <v>93.599999999999937</v>
      </c>
      <c r="N104" s="5">
        <v>-9.9999999999999978E-2</v>
      </c>
      <c r="O104" s="5">
        <f t="shared" si="11"/>
        <v>22.2</v>
      </c>
      <c r="P104" s="5">
        <v>55</v>
      </c>
      <c r="Q104" s="5">
        <f t="shared" si="10"/>
        <v>0.61116071428571428</v>
      </c>
      <c r="R104" s="9">
        <f t="shared" si="2"/>
        <v>0.18334821428571427</v>
      </c>
      <c r="S104" s="9">
        <f t="shared" si="3"/>
        <v>1.6651785714285744E-2</v>
      </c>
      <c r="T104" s="9">
        <f t="shared" si="8"/>
        <v>36.651607142857131</v>
      </c>
      <c r="V104" s="5">
        <v>163.69999999999999</v>
      </c>
      <c r="X104" s="5">
        <f t="shared" si="9"/>
        <v>41210.000000000007</v>
      </c>
      <c r="AA104" s="5">
        <v>9.6873551826779796</v>
      </c>
    </row>
    <row r="105" spans="1:27" s="5" customFormat="1" x14ac:dyDescent="0.25">
      <c r="A105" s="76"/>
      <c r="B105" s="10"/>
      <c r="C105" s="11">
        <v>40855</v>
      </c>
      <c r="D105" s="5">
        <v>11.1</v>
      </c>
      <c r="E105" s="5">
        <v>10.7</v>
      </c>
      <c r="F105" s="5">
        <v>11.4</v>
      </c>
      <c r="G105" s="5">
        <f t="shared" si="5"/>
        <v>788.00000000000011</v>
      </c>
      <c r="J105" s="5">
        <v>0.6</v>
      </c>
      <c r="K105" s="5">
        <f t="shared" si="6"/>
        <v>53.300000000000004</v>
      </c>
      <c r="L105" s="5">
        <v>0.5</v>
      </c>
      <c r="M105" s="5">
        <f t="shared" si="7"/>
        <v>94.099999999999937</v>
      </c>
      <c r="N105" s="5">
        <v>9.9999999999999978E-2</v>
      </c>
      <c r="O105" s="5">
        <f t="shared" si="11"/>
        <v>22.3</v>
      </c>
      <c r="P105" s="5">
        <v>56</v>
      </c>
      <c r="Q105" s="5">
        <f t="shared" si="10"/>
        <v>0.61696428571428563</v>
      </c>
      <c r="R105" s="9">
        <f t="shared" si="2"/>
        <v>0.30848214285714282</v>
      </c>
      <c r="S105" s="9">
        <f t="shared" si="3"/>
        <v>0.29151785714285716</v>
      </c>
      <c r="T105" s="9">
        <f t="shared" si="8"/>
        <v>36.943124999999988</v>
      </c>
      <c r="V105" s="5">
        <v>223.8</v>
      </c>
      <c r="X105" s="5">
        <f t="shared" si="9"/>
        <v>41433.80000000001</v>
      </c>
      <c r="AA105" s="5">
        <v>9.6374141178255108</v>
      </c>
    </row>
    <row r="106" spans="1:27" s="5" customFormat="1" x14ac:dyDescent="0.25">
      <c r="A106" s="76"/>
      <c r="B106" s="10"/>
      <c r="C106" s="11">
        <v>40856</v>
      </c>
      <c r="D106" s="5">
        <v>13</v>
      </c>
      <c r="E106" s="5">
        <v>11.1</v>
      </c>
      <c r="F106" s="5">
        <v>16.899999999999999</v>
      </c>
      <c r="G106" s="5">
        <f t="shared" si="5"/>
        <v>801.00000000000011</v>
      </c>
      <c r="J106" s="5">
        <v>0.6</v>
      </c>
      <c r="K106" s="5">
        <f t="shared" si="6"/>
        <v>53.900000000000006</v>
      </c>
      <c r="L106" s="5">
        <v>1.2</v>
      </c>
      <c r="M106" s="5">
        <f t="shared" si="7"/>
        <v>95.29999999999994</v>
      </c>
      <c r="N106" s="5">
        <v>-0.6</v>
      </c>
      <c r="O106" s="5">
        <f t="shared" si="11"/>
        <v>21.7</v>
      </c>
      <c r="P106" s="5">
        <v>57</v>
      </c>
      <c r="Q106" s="5">
        <f t="shared" si="10"/>
        <v>0.62276785714285721</v>
      </c>
      <c r="R106" s="9">
        <f t="shared" si="2"/>
        <v>0.74732142857142858</v>
      </c>
      <c r="S106" s="9">
        <f t="shared" si="3"/>
        <v>-0.1473214285714286</v>
      </c>
      <c r="T106" s="9">
        <f t="shared" si="8"/>
        <v>36.795803571428557</v>
      </c>
      <c r="V106" s="5">
        <v>514.5</v>
      </c>
      <c r="X106" s="5">
        <f t="shared" si="9"/>
        <v>41948.30000000001</v>
      </c>
      <c r="AA106" s="5">
        <v>9.5879954838522501</v>
      </c>
    </row>
    <row r="107" spans="1:27" s="5" customFormat="1" x14ac:dyDescent="0.25">
      <c r="A107" s="76"/>
      <c r="B107" s="10"/>
      <c r="C107" s="11">
        <v>40857</v>
      </c>
      <c r="D107" s="5">
        <v>11.8</v>
      </c>
      <c r="E107" s="5">
        <v>10.8</v>
      </c>
      <c r="F107" s="5">
        <v>12.8</v>
      </c>
      <c r="G107" s="5">
        <f t="shared" si="5"/>
        <v>812.80000000000007</v>
      </c>
      <c r="J107" s="5">
        <v>0.9</v>
      </c>
      <c r="K107" s="5">
        <f t="shared" si="6"/>
        <v>54.800000000000004</v>
      </c>
      <c r="L107" s="5">
        <v>0.3</v>
      </c>
      <c r="M107" s="5">
        <f t="shared" si="7"/>
        <v>95.599999999999937</v>
      </c>
      <c r="N107" s="5">
        <v>0.60000000000000009</v>
      </c>
      <c r="O107" s="5">
        <f t="shared" si="11"/>
        <v>22.3</v>
      </c>
      <c r="P107" s="5">
        <v>58</v>
      </c>
      <c r="Q107" s="5">
        <f t="shared" si="10"/>
        <v>0.62857142857142856</v>
      </c>
      <c r="R107" s="9">
        <f t="shared" si="2"/>
        <v>0.18857142857142856</v>
      </c>
      <c r="S107" s="9">
        <f t="shared" si="3"/>
        <v>0.71142857142857152</v>
      </c>
      <c r="T107" s="9">
        <f t="shared" si="8"/>
        <v>37.507232142857127</v>
      </c>
      <c r="V107" s="5">
        <v>152.4</v>
      </c>
      <c r="X107" s="5">
        <f t="shared" si="9"/>
        <v>42100.700000000012</v>
      </c>
      <c r="AA107" s="5">
        <v>9.5391231508480097</v>
      </c>
    </row>
    <row r="108" spans="1:27" s="5" customFormat="1" x14ac:dyDescent="0.25">
      <c r="A108" s="76"/>
      <c r="B108" s="10"/>
      <c r="C108" s="11">
        <v>40858</v>
      </c>
      <c r="D108" s="5">
        <v>13.9</v>
      </c>
      <c r="E108" s="5">
        <v>10.9</v>
      </c>
      <c r="F108" s="5">
        <v>17.7</v>
      </c>
      <c r="G108" s="5">
        <f t="shared" si="5"/>
        <v>826.7</v>
      </c>
      <c r="J108" s="5">
        <v>0</v>
      </c>
      <c r="K108" s="5">
        <f t="shared" si="6"/>
        <v>54.800000000000004</v>
      </c>
      <c r="L108" s="5">
        <v>1.2</v>
      </c>
      <c r="M108" s="5">
        <f t="shared" si="7"/>
        <v>96.79999999999994</v>
      </c>
      <c r="N108" s="5">
        <v>-1.2</v>
      </c>
      <c r="O108" s="5">
        <f t="shared" si="11"/>
        <v>21.1</v>
      </c>
      <c r="P108" s="5">
        <v>59</v>
      </c>
      <c r="Q108" s="5">
        <f t="shared" si="10"/>
        <v>0.63437499999999991</v>
      </c>
      <c r="R108" s="9">
        <f t="shared" si="2"/>
        <v>0.76124999999999987</v>
      </c>
      <c r="S108" s="9">
        <f t="shared" si="3"/>
        <v>-0.76124999999999987</v>
      </c>
      <c r="T108" s="9">
        <f t="shared" si="8"/>
        <v>36.74598214285713</v>
      </c>
      <c r="V108" s="5">
        <v>428.4</v>
      </c>
      <c r="X108" s="5">
        <f t="shared" si="9"/>
        <v>42529.100000000013</v>
      </c>
      <c r="AA108" s="5">
        <v>9.4908216155575502</v>
      </c>
    </row>
    <row r="109" spans="1:27" s="5" customFormat="1" x14ac:dyDescent="0.25">
      <c r="A109" s="76"/>
      <c r="B109" s="10"/>
      <c r="C109" s="11">
        <v>40859</v>
      </c>
      <c r="D109" s="5">
        <v>14.4</v>
      </c>
      <c r="E109" s="5">
        <v>12.2</v>
      </c>
      <c r="F109" s="5">
        <v>17.5</v>
      </c>
      <c r="G109" s="5">
        <f t="shared" si="5"/>
        <v>841.1</v>
      </c>
      <c r="J109" s="5">
        <v>0</v>
      </c>
      <c r="K109" s="5">
        <f t="shared" si="6"/>
        <v>54.800000000000004</v>
      </c>
      <c r="L109" s="5">
        <v>1.1000000000000001</v>
      </c>
      <c r="M109" s="5">
        <f t="shared" si="7"/>
        <v>97.899999999999935</v>
      </c>
      <c r="N109" s="5">
        <v>-1.1000000000000001</v>
      </c>
      <c r="O109" s="5">
        <f t="shared" si="11"/>
        <v>20</v>
      </c>
      <c r="P109" s="5">
        <v>60</v>
      </c>
      <c r="Q109" s="5">
        <f t="shared" si="10"/>
        <v>0.64017857142857149</v>
      </c>
      <c r="R109" s="9">
        <f t="shared" si="2"/>
        <v>0.70419642857142872</v>
      </c>
      <c r="S109" s="9">
        <f t="shared" si="3"/>
        <v>-0.70419642857142872</v>
      </c>
      <c r="T109" s="9">
        <f t="shared" si="8"/>
        <v>36.041785714285702</v>
      </c>
      <c r="V109" s="5">
        <v>576</v>
      </c>
      <c r="X109" s="5">
        <f t="shared" si="9"/>
        <v>43105.100000000013</v>
      </c>
      <c r="AA109" s="5">
        <v>9.4431159883480404</v>
      </c>
    </row>
    <row r="110" spans="1:27" s="5" customFormat="1" x14ac:dyDescent="0.25">
      <c r="A110" s="76"/>
      <c r="B110" s="10"/>
      <c r="C110" s="11">
        <v>40860</v>
      </c>
      <c r="D110" s="5">
        <v>12.9</v>
      </c>
      <c r="E110" s="5">
        <v>10.6</v>
      </c>
      <c r="F110" s="5">
        <v>16.8</v>
      </c>
      <c r="G110" s="5">
        <f t="shared" si="5"/>
        <v>854</v>
      </c>
      <c r="J110" s="5">
        <v>0</v>
      </c>
      <c r="K110" s="5">
        <f t="shared" si="6"/>
        <v>54.800000000000004</v>
      </c>
      <c r="L110" s="5">
        <v>1.4</v>
      </c>
      <c r="M110" s="5">
        <f t="shared" si="7"/>
        <v>99.29999999999994</v>
      </c>
      <c r="N110" s="5">
        <v>-1.4</v>
      </c>
      <c r="O110" s="5">
        <f t="shared" si="11"/>
        <v>18.600000000000001</v>
      </c>
      <c r="P110" s="5">
        <v>61</v>
      </c>
      <c r="Q110" s="5">
        <f t="shared" si="10"/>
        <v>0.64598214285714284</v>
      </c>
      <c r="R110" s="9">
        <f t="shared" si="2"/>
        <v>0.90437499999999993</v>
      </c>
      <c r="S110" s="9">
        <f t="shared" si="3"/>
        <v>-0.90437499999999993</v>
      </c>
      <c r="T110" s="9">
        <f t="shared" si="8"/>
        <v>35.1374107142857</v>
      </c>
      <c r="V110" s="5">
        <v>822.8</v>
      </c>
      <c r="X110" s="5">
        <f t="shared" si="9"/>
        <v>43927.900000000016</v>
      </c>
      <c r="AA110" s="5">
        <v>9.3960319771778806</v>
      </c>
    </row>
    <row r="111" spans="1:27" s="5" customFormat="1" x14ac:dyDescent="0.25">
      <c r="A111" s="76"/>
      <c r="B111" s="10"/>
      <c r="C111" s="11">
        <v>40861</v>
      </c>
      <c r="D111" s="5">
        <v>11.1</v>
      </c>
      <c r="E111" s="5">
        <v>9.6</v>
      </c>
      <c r="F111" s="5">
        <v>14.5</v>
      </c>
      <c r="G111" s="5">
        <f t="shared" si="5"/>
        <v>865.1</v>
      </c>
      <c r="J111" s="5">
        <v>0</v>
      </c>
      <c r="K111" s="5">
        <f t="shared" si="6"/>
        <v>54.800000000000004</v>
      </c>
      <c r="L111" s="5">
        <v>1.1000000000000001</v>
      </c>
      <c r="M111" s="5">
        <f t="shared" si="7"/>
        <v>100.39999999999993</v>
      </c>
      <c r="N111" s="5">
        <v>-1.1000000000000001</v>
      </c>
      <c r="O111" s="5">
        <f t="shared" si="11"/>
        <v>17.5</v>
      </c>
      <c r="P111" s="5">
        <v>62</v>
      </c>
      <c r="Q111" s="5">
        <f t="shared" si="10"/>
        <v>0.6517857142857143</v>
      </c>
      <c r="R111" s="9">
        <f t="shared" si="2"/>
        <v>0.71696428571428583</v>
      </c>
      <c r="S111" s="9">
        <f t="shared" si="3"/>
        <v>-0.71696428571428583</v>
      </c>
      <c r="T111" s="9">
        <f t="shared" si="8"/>
        <v>34.420446428571417</v>
      </c>
      <c r="V111" s="5">
        <v>268.89999999999998</v>
      </c>
      <c r="X111" s="5">
        <f t="shared" si="9"/>
        <v>44196.800000000017</v>
      </c>
      <c r="AA111" s="5">
        <v>9.3495958684151308</v>
      </c>
    </row>
    <row r="112" spans="1:27" s="5" customFormat="1" x14ac:dyDescent="0.25">
      <c r="A112" s="76"/>
      <c r="B112" s="10"/>
      <c r="C112" s="11">
        <v>40862</v>
      </c>
      <c r="D112" s="5">
        <v>9.6999999999999993</v>
      </c>
      <c r="E112" s="5">
        <v>6.5</v>
      </c>
      <c r="F112" s="5">
        <v>14.8</v>
      </c>
      <c r="G112" s="5">
        <f t="shared" si="5"/>
        <v>874.80000000000007</v>
      </c>
      <c r="J112" s="5">
        <v>0</v>
      </c>
      <c r="K112" s="5">
        <f t="shared" si="6"/>
        <v>54.800000000000004</v>
      </c>
      <c r="L112" s="5">
        <v>1.1000000000000001</v>
      </c>
      <c r="M112" s="5">
        <f t="shared" si="7"/>
        <v>101.49999999999993</v>
      </c>
      <c r="N112" s="5">
        <v>-1.1000000000000001</v>
      </c>
      <c r="O112" s="5">
        <f t="shared" si="11"/>
        <v>16.399999999999999</v>
      </c>
      <c r="P112" s="5">
        <v>63</v>
      </c>
      <c r="Q112" s="5">
        <f t="shared" si="10"/>
        <v>0.65758928571428577</v>
      </c>
      <c r="R112" s="9">
        <f t="shared" si="2"/>
        <v>0.72334821428571439</v>
      </c>
      <c r="S112" s="9">
        <f t="shared" si="3"/>
        <v>-0.72334821428571439</v>
      </c>
      <c r="T112" s="9">
        <f t="shared" si="8"/>
        <v>33.697098214285703</v>
      </c>
      <c r="V112" s="5">
        <v>643.9</v>
      </c>
      <c r="X112" s="5">
        <f t="shared" si="9"/>
        <v>44840.700000000019</v>
      </c>
      <c r="AA112" s="5">
        <v>9.3038345043603208</v>
      </c>
    </row>
    <row r="113" spans="1:27" s="5" customFormat="1" x14ac:dyDescent="0.25">
      <c r="A113" s="76"/>
      <c r="B113" s="10"/>
      <c r="C113" s="11">
        <v>40863</v>
      </c>
      <c r="D113" s="5">
        <v>10.9</v>
      </c>
      <c r="E113" s="5">
        <v>8</v>
      </c>
      <c r="F113" s="5">
        <v>14.4</v>
      </c>
      <c r="G113" s="5">
        <f t="shared" si="5"/>
        <v>885.7</v>
      </c>
      <c r="J113" s="5">
        <v>0.9</v>
      </c>
      <c r="K113" s="5">
        <f t="shared" si="6"/>
        <v>55.7</v>
      </c>
      <c r="L113" s="5">
        <v>0.5</v>
      </c>
      <c r="M113" s="5">
        <f t="shared" si="7"/>
        <v>101.99999999999993</v>
      </c>
      <c r="N113" s="5">
        <v>0.4</v>
      </c>
      <c r="O113" s="5">
        <f t="shared" si="11"/>
        <v>16.799999999999997</v>
      </c>
      <c r="P113" s="5">
        <v>64</v>
      </c>
      <c r="Q113" s="5">
        <f t="shared" si="10"/>
        <v>0.66339285714285712</v>
      </c>
      <c r="R113" s="9">
        <f t="shared" si="2"/>
        <v>0.33169642857142856</v>
      </c>
      <c r="S113" s="9">
        <f t="shared" si="3"/>
        <v>0.56830357142857146</v>
      </c>
      <c r="T113" s="9">
        <f t="shared" si="8"/>
        <v>34.265401785714275</v>
      </c>
      <c r="V113" s="5">
        <v>166.1</v>
      </c>
      <c r="X113" s="5">
        <f t="shared" si="9"/>
        <v>45006.800000000017</v>
      </c>
      <c r="AA113" s="5">
        <v>9.2587752573368096</v>
      </c>
    </row>
    <row r="114" spans="1:27" s="5" customFormat="1" x14ac:dyDescent="0.25">
      <c r="A114" s="76"/>
      <c r="B114" s="10"/>
      <c r="C114" s="11">
        <v>40864</v>
      </c>
      <c r="D114" s="5">
        <v>11.7</v>
      </c>
      <c r="E114" s="5">
        <v>10.5</v>
      </c>
      <c r="F114" s="5">
        <v>15.5</v>
      </c>
      <c r="G114" s="5">
        <f t="shared" si="5"/>
        <v>897.40000000000009</v>
      </c>
      <c r="J114" s="5">
        <v>0.2</v>
      </c>
      <c r="K114" s="5">
        <f t="shared" si="6"/>
        <v>55.900000000000006</v>
      </c>
      <c r="L114" s="5">
        <v>1.3</v>
      </c>
      <c r="M114" s="5">
        <f t="shared" si="7"/>
        <v>103.29999999999993</v>
      </c>
      <c r="N114" s="5">
        <v>-1.1000000000000001</v>
      </c>
      <c r="O114" s="5">
        <f t="shared" si="11"/>
        <v>15.699999999999998</v>
      </c>
      <c r="P114" s="5">
        <v>65</v>
      </c>
      <c r="Q114" s="5">
        <f t="shared" si="10"/>
        <v>0.66919642857142847</v>
      </c>
      <c r="R114" s="9">
        <f t="shared" ref="R114:R177" si="12">Q114*L114</f>
        <v>0.86995535714285699</v>
      </c>
      <c r="S114" s="9">
        <f t="shared" ref="S114:S177" si="13">J114-R114</f>
        <v>-0.66995535714285692</v>
      </c>
      <c r="T114" s="9">
        <f t="shared" si="8"/>
        <v>33.595446428571421</v>
      </c>
      <c r="V114" s="5">
        <v>672.5</v>
      </c>
      <c r="X114" s="5">
        <f t="shared" si="9"/>
        <v>45679.300000000017</v>
      </c>
      <c r="AA114" s="5">
        <v>9.2144460002220008</v>
      </c>
    </row>
    <row r="115" spans="1:27" s="5" customFormat="1" x14ac:dyDescent="0.25">
      <c r="A115" s="76"/>
      <c r="B115" s="10"/>
      <c r="C115" s="11">
        <v>40865</v>
      </c>
      <c r="D115" s="5">
        <v>10.1</v>
      </c>
      <c r="E115" s="5">
        <v>7.1</v>
      </c>
      <c r="F115" s="5">
        <v>15.4</v>
      </c>
      <c r="G115" s="5">
        <f t="shared" si="5"/>
        <v>907.50000000000011</v>
      </c>
      <c r="J115" s="5">
        <v>0</v>
      </c>
      <c r="K115" s="5">
        <f t="shared" si="6"/>
        <v>55.900000000000006</v>
      </c>
      <c r="L115" s="5">
        <v>1.4</v>
      </c>
      <c r="M115" s="5">
        <f t="shared" si="7"/>
        <v>104.69999999999993</v>
      </c>
      <c r="N115" s="5">
        <v>-1.4</v>
      </c>
      <c r="O115" s="5">
        <f t="shared" si="11"/>
        <v>14.299999999999997</v>
      </c>
      <c r="P115" s="5">
        <v>66</v>
      </c>
      <c r="Q115" s="5">
        <f t="shared" si="10"/>
        <v>0.67500000000000004</v>
      </c>
      <c r="R115" s="9">
        <f t="shared" si="12"/>
        <v>0.94499999999999995</v>
      </c>
      <c r="S115" s="9">
        <f t="shared" si="13"/>
        <v>-0.94499999999999995</v>
      </c>
      <c r="T115" s="9">
        <f t="shared" si="8"/>
        <v>32.650446428571421</v>
      </c>
      <c r="V115" s="5">
        <v>402.2</v>
      </c>
      <c r="X115" s="5">
        <f t="shared" si="9"/>
        <v>46081.500000000015</v>
      </c>
      <c r="AA115" s="5">
        <v>9.1708750733060302</v>
      </c>
    </row>
    <row r="116" spans="1:27" s="5" customFormat="1" x14ac:dyDescent="0.25">
      <c r="A116" s="76"/>
      <c r="B116" s="10"/>
      <c r="C116" s="11">
        <v>40866</v>
      </c>
      <c r="D116" s="5">
        <v>9.3000000000000007</v>
      </c>
      <c r="E116" s="5">
        <v>6.1</v>
      </c>
      <c r="F116" s="5">
        <v>14.2</v>
      </c>
      <c r="G116" s="5">
        <f t="shared" ref="G116:G179" si="14">G115+D116</f>
        <v>916.80000000000007</v>
      </c>
      <c r="J116" s="5">
        <v>0</v>
      </c>
      <c r="K116" s="5">
        <f t="shared" ref="K116:K179" si="15">K115+J116</f>
        <v>55.900000000000006</v>
      </c>
      <c r="L116" s="5">
        <v>1.2</v>
      </c>
      <c r="M116" s="5">
        <f t="shared" ref="M116:M179" si="16">M115+L116</f>
        <v>105.89999999999993</v>
      </c>
      <c r="N116" s="5">
        <v>-1.2</v>
      </c>
      <c r="O116" s="5">
        <f t="shared" si="11"/>
        <v>13.099999999999998</v>
      </c>
      <c r="P116" s="5">
        <v>67</v>
      </c>
      <c r="Q116" s="5">
        <f t="shared" si="10"/>
        <v>0.6808035714285714</v>
      </c>
      <c r="R116" s="9">
        <f t="shared" si="12"/>
        <v>0.8169642857142857</v>
      </c>
      <c r="S116" s="9">
        <f t="shared" si="13"/>
        <v>-0.8169642857142857</v>
      </c>
      <c r="T116" s="9">
        <f t="shared" ref="T116:T179" si="17">MIN(197.4,(T115+S116))</f>
        <v>31.833482142857136</v>
      </c>
      <c r="V116" s="5">
        <v>781.8</v>
      </c>
      <c r="X116" s="5">
        <f t="shared" ref="X116:X179" si="18">X115+V116</f>
        <v>46863.300000000017</v>
      </c>
      <c r="AA116" s="5">
        <v>9.1280912473793894</v>
      </c>
    </row>
    <row r="117" spans="1:27" s="5" customFormat="1" x14ac:dyDescent="0.25">
      <c r="A117" s="76"/>
      <c r="B117" s="10"/>
      <c r="C117" s="11">
        <v>40867</v>
      </c>
      <c r="D117" s="5">
        <v>9.9</v>
      </c>
      <c r="E117" s="5">
        <v>6.4</v>
      </c>
      <c r="F117" s="5">
        <v>15.4</v>
      </c>
      <c r="G117" s="5">
        <f t="shared" si="14"/>
        <v>926.7</v>
      </c>
      <c r="J117" s="5">
        <v>0.1</v>
      </c>
      <c r="K117" s="5">
        <f t="shared" si="15"/>
        <v>56.000000000000007</v>
      </c>
      <c r="L117" s="5">
        <v>1.1000000000000001</v>
      </c>
      <c r="M117" s="5">
        <f t="shared" si="16"/>
        <v>106.99999999999993</v>
      </c>
      <c r="N117" s="5">
        <v>-1</v>
      </c>
      <c r="O117" s="5">
        <f t="shared" si="11"/>
        <v>12.099999999999998</v>
      </c>
      <c r="P117" s="5">
        <v>68</v>
      </c>
      <c r="Q117" s="5">
        <f t="shared" si="10"/>
        <v>0.68660714285714286</v>
      </c>
      <c r="R117" s="9">
        <f t="shared" si="12"/>
        <v>0.75526785714285716</v>
      </c>
      <c r="S117" s="9">
        <f t="shared" si="13"/>
        <v>-0.65526785714285718</v>
      </c>
      <c r="T117" s="9">
        <f t="shared" si="17"/>
        <v>31.178214285714279</v>
      </c>
      <c r="V117" s="5">
        <v>699.4</v>
      </c>
      <c r="X117" s="5">
        <f t="shared" si="18"/>
        <v>47562.700000000019</v>
      </c>
      <c r="AA117" s="5">
        <v>9.0861236829689993</v>
      </c>
    </row>
    <row r="118" spans="1:27" s="5" customFormat="1" x14ac:dyDescent="0.25">
      <c r="A118" s="76"/>
      <c r="B118" s="10"/>
      <c r="C118" s="11">
        <v>40868</v>
      </c>
      <c r="D118" s="5">
        <v>11.3</v>
      </c>
      <c r="E118" s="5">
        <v>7.8</v>
      </c>
      <c r="F118" s="5">
        <v>15.6</v>
      </c>
      <c r="G118" s="5">
        <f t="shared" si="14"/>
        <v>938</v>
      </c>
      <c r="J118" s="5">
        <v>0</v>
      </c>
      <c r="K118" s="5">
        <f t="shared" si="15"/>
        <v>56.000000000000007</v>
      </c>
      <c r="L118" s="5">
        <v>0.6</v>
      </c>
      <c r="M118" s="5">
        <f t="shared" si="16"/>
        <v>107.59999999999992</v>
      </c>
      <c r="N118" s="5">
        <v>-0.6</v>
      </c>
      <c r="O118" s="5">
        <f t="shared" si="11"/>
        <v>11.499999999999998</v>
      </c>
      <c r="P118" s="5">
        <v>69</v>
      </c>
      <c r="Q118" s="5">
        <f t="shared" si="10"/>
        <v>0.69241071428571432</v>
      </c>
      <c r="R118" s="9">
        <f t="shared" si="12"/>
        <v>0.41544642857142861</v>
      </c>
      <c r="S118" s="9">
        <f t="shared" si="13"/>
        <v>-0.41544642857142861</v>
      </c>
      <c r="T118" s="9">
        <f t="shared" si="17"/>
        <v>30.762767857142851</v>
      </c>
      <c r="V118" s="5">
        <v>160</v>
      </c>
      <c r="X118" s="5">
        <f t="shared" si="18"/>
        <v>47722.700000000019</v>
      </c>
      <c r="AA118" s="5">
        <v>9.0450018856624599</v>
      </c>
    </row>
    <row r="119" spans="1:27" s="5" customFormat="1" x14ac:dyDescent="0.25">
      <c r="A119" s="76"/>
      <c r="B119" s="10"/>
      <c r="C119" s="11">
        <v>40869</v>
      </c>
      <c r="D119" s="5">
        <v>11.8</v>
      </c>
      <c r="E119" s="5">
        <v>8.3000000000000007</v>
      </c>
      <c r="F119" s="5">
        <v>15.9</v>
      </c>
      <c r="G119" s="5">
        <f t="shared" si="14"/>
        <v>949.8</v>
      </c>
      <c r="J119" s="5">
        <v>0</v>
      </c>
      <c r="K119" s="5">
        <f t="shared" si="15"/>
        <v>56.000000000000007</v>
      </c>
      <c r="L119" s="5">
        <v>0.7</v>
      </c>
      <c r="M119" s="5">
        <f t="shared" si="16"/>
        <v>108.29999999999993</v>
      </c>
      <c r="N119" s="5">
        <v>-0.7</v>
      </c>
      <c r="O119" s="5">
        <f t="shared" si="11"/>
        <v>10.799999999999999</v>
      </c>
      <c r="P119" s="5">
        <v>70</v>
      </c>
      <c r="Q119" s="5">
        <f t="shared" si="10"/>
        <v>0.69821428571428568</v>
      </c>
      <c r="R119" s="9">
        <f t="shared" si="12"/>
        <v>0.48874999999999996</v>
      </c>
      <c r="S119" s="9">
        <f t="shared" si="13"/>
        <v>-0.48874999999999996</v>
      </c>
      <c r="T119" s="9">
        <f t="shared" si="17"/>
        <v>30.274017857142852</v>
      </c>
      <c r="V119" s="5">
        <v>283.2</v>
      </c>
      <c r="X119" s="5">
        <f t="shared" si="18"/>
        <v>48005.900000000016</v>
      </c>
      <c r="AA119" s="5">
        <v>9.0047556574835408</v>
      </c>
    </row>
    <row r="120" spans="1:27" s="5" customFormat="1" x14ac:dyDescent="0.25">
      <c r="A120" s="76"/>
      <c r="B120" s="10"/>
      <c r="C120" s="11">
        <v>40870</v>
      </c>
      <c r="D120" s="5">
        <v>9.6999999999999993</v>
      </c>
      <c r="E120" s="5">
        <v>9.1</v>
      </c>
      <c r="F120" s="5">
        <v>13.8</v>
      </c>
      <c r="G120" s="5">
        <f t="shared" si="14"/>
        <v>959.5</v>
      </c>
      <c r="J120" s="5">
        <v>0.1</v>
      </c>
      <c r="K120" s="5">
        <f t="shared" si="15"/>
        <v>56.100000000000009</v>
      </c>
      <c r="L120" s="5">
        <v>1.1000000000000001</v>
      </c>
      <c r="M120" s="5">
        <f t="shared" si="16"/>
        <v>109.39999999999992</v>
      </c>
      <c r="N120" s="5">
        <v>-1</v>
      </c>
      <c r="O120" s="5">
        <f t="shared" si="11"/>
        <v>9.7999999999999989</v>
      </c>
      <c r="P120" s="5">
        <v>71</v>
      </c>
      <c r="Q120" s="5">
        <f t="shared" si="10"/>
        <v>0.70401785714285703</v>
      </c>
      <c r="R120" s="9">
        <f t="shared" si="12"/>
        <v>0.77441964285714282</v>
      </c>
      <c r="S120" s="9">
        <f t="shared" si="13"/>
        <v>-0.67441964285714284</v>
      </c>
      <c r="T120" s="9">
        <f t="shared" si="17"/>
        <v>29.599598214285709</v>
      </c>
      <c r="V120" s="5">
        <v>511.3</v>
      </c>
      <c r="X120" s="5">
        <f t="shared" si="18"/>
        <v>48517.200000000019</v>
      </c>
      <c r="AA120" s="13">
        <v>8.9654150443073704</v>
      </c>
    </row>
    <row r="121" spans="1:27" s="5" customFormat="1" x14ac:dyDescent="0.25">
      <c r="A121" s="76"/>
      <c r="B121" s="10"/>
      <c r="C121" s="11">
        <v>40871</v>
      </c>
      <c r="D121" s="5">
        <v>6.8</v>
      </c>
      <c r="E121" s="5">
        <v>2.9</v>
      </c>
      <c r="F121" s="5">
        <v>9.1</v>
      </c>
      <c r="G121" s="5">
        <f t="shared" si="14"/>
        <v>966.3</v>
      </c>
      <c r="J121" s="5">
        <v>0</v>
      </c>
      <c r="K121" s="5">
        <f t="shared" si="15"/>
        <v>56.100000000000009</v>
      </c>
      <c r="L121" s="5">
        <v>0.4</v>
      </c>
      <c r="M121" s="5">
        <f t="shared" si="16"/>
        <v>109.79999999999993</v>
      </c>
      <c r="N121" s="5">
        <v>-0.4</v>
      </c>
      <c r="O121" s="5">
        <f t="shared" si="11"/>
        <v>9.3999999999999986</v>
      </c>
      <c r="P121" s="5">
        <v>72</v>
      </c>
      <c r="Q121" s="5">
        <f t="shared" si="10"/>
        <v>0.7098214285714286</v>
      </c>
      <c r="R121" s="9">
        <f t="shared" si="12"/>
        <v>0.28392857142857147</v>
      </c>
      <c r="S121" s="9">
        <f t="shared" si="13"/>
        <v>-0.28392857142857147</v>
      </c>
      <c r="T121" s="9">
        <f t="shared" si="17"/>
        <v>29.315669642857138</v>
      </c>
      <c r="V121" s="5">
        <v>225.5</v>
      </c>
      <c r="X121" s="5">
        <f t="shared" si="18"/>
        <v>48742.700000000019</v>
      </c>
      <c r="AA121" s="13">
        <v>8.9270102793325297</v>
      </c>
    </row>
    <row r="122" spans="1:27" s="5" customFormat="1" x14ac:dyDescent="0.25">
      <c r="A122" s="76"/>
      <c r="B122" s="10"/>
      <c r="C122" s="11">
        <v>40872</v>
      </c>
      <c r="D122" s="5">
        <v>9.1</v>
      </c>
      <c r="E122" s="5">
        <v>9</v>
      </c>
      <c r="F122" s="5">
        <v>11.9</v>
      </c>
      <c r="G122" s="5">
        <f t="shared" si="14"/>
        <v>975.4</v>
      </c>
      <c r="J122" s="5">
        <v>0.6</v>
      </c>
      <c r="K122" s="5">
        <f t="shared" si="15"/>
        <v>56.70000000000001</v>
      </c>
      <c r="L122" s="5">
        <v>0.7</v>
      </c>
      <c r="M122" s="5">
        <f t="shared" si="16"/>
        <v>110.49999999999993</v>
      </c>
      <c r="N122" s="5">
        <v>-9.9999999999999978E-2</v>
      </c>
      <c r="O122" s="5">
        <f t="shared" si="11"/>
        <v>9.2999999999999989</v>
      </c>
      <c r="P122" s="5">
        <v>73</v>
      </c>
      <c r="Q122" s="5">
        <f t="shared" si="10"/>
        <v>0.71562499999999996</v>
      </c>
      <c r="R122" s="9">
        <f t="shared" si="12"/>
        <v>0.50093749999999992</v>
      </c>
      <c r="S122" s="9">
        <f t="shared" si="13"/>
        <v>9.9062500000000053E-2</v>
      </c>
      <c r="T122" s="9">
        <f t="shared" si="17"/>
        <v>29.414732142857137</v>
      </c>
      <c r="V122" s="5">
        <v>207.2</v>
      </c>
      <c r="X122" s="5">
        <f t="shared" si="18"/>
        <v>48949.900000000016</v>
      </c>
      <c r="AA122" s="13">
        <v>8.8895717226579496</v>
      </c>
    </row>
    <row r="123" spans="1:27" s="5" customFormat="1" x14ac:dyDescent="0.25">
      <c r="A123" s="76"/>
      <c r="B123" s="10"/>
      <c r="C123" s="11">
        <v>40873</v>
      </c>
      <c r="D123" s="5">
        <v>6.1</v>
      </c>
      <c r="E123" s="5">
        <v>0.7</v>
      </c>
      <c r="F123" s="5">
        <v>11.3</v>
      </c>
      <c r="G123" s="5">
        <f t="shared" si="14"/>
        <v>981.5</v>
      </c>
      <c r="J123" s="5">
        <v>0.2</v>
      </c>
      <c r="K123" s="5">
        <f t="shared" si="15"/>
        <v>56.900000000000013</v>
      </c>
      <c r="L123" s="5">
        <v>0.6</v>
      </c>
      <c r="M123" s="5">
        <f t="shared" si="16"/>
        <v>111.09999999999992</v>
      </c>
      <c r="N123" s="5">
        <v>-0.39999999999999997</v>
      </c>
      <c r="O123" s="5">
        <f t="shared" si="11"/>
        <v>8.8999999999999986</v>
      </c>
      <c r="P123" s="5">
        <v>74</v>
      </c>
      <c r="Q123" s="5">
        <f t="shared" si="10"/>
        <v>0.72142857142857142</v>
      </c>
      <c r="R123" s="9">
        <f t="shared" si="12"/>
        <v>0.43285714285714283</v>
      </c>
      <c r="S123" s="9">
        <f t="shared" si="13"/>
        <v>-0.23285714285714282</v>
      </c>
      <c r="T123" s="9">
        <f t="shared" si="17"/>
        <v>29.181874999999994</v>
      </c>
      <c r="V123" s="5">
        <v>409</v>
      </c>
      <c r="X123" s="5">
        <f t="shared" si="18"/>
        <v>49358.900000000016</v>
      </c>
      <c r="AA123" s="13">
        <v>8.8531297970460692</v>
      </c>
    </row>
    <row r="124" spans="1:27" s="5" customFormat="1" x14ac:dyDescent="0.25">
      <c r="A124" s="76"/>
      <c r="B124" s="10"/>
      <c r="C124" s="11">
        <v>40874</v>
      </c>
      <c r="D124" s="5">
        <v>11.2</v>
      </c>
      <c r="E124" s="5">
        <v>7.2</v>
      </c>
      <c r="F124" s="5">
        <v>14.8</v>
      </c>
      <c r="G124" s="5">
        <f t="shared" si="14"/>
        <v>992.7</v>
      </c>
      <c r="J124" s="5">
        <v>0.2</v>
      </c>
      <c r="K124" s="5">
        <f t="shared" si="15"/>
        <v>57.100000000000016</v>
      </c>
      <c r="L124" s="5">
        <v>0.3</v>
      </c>
      <c r="M124" s="5">
        <f t="shared" si="16"/>
        <v>111.39999999999992</v>
      </c>
      <c r="N124" s="5">
        <v>-9.9999999999999978E-2</v>
      </c>
      <c r="O124" s="5">
        <f t="shared" si="11"/>
        <v>8.7999999999999989</v>
      </c>
      <c r="P124" s="5">
        <v>75</v>
      </c>
      <c r="Q124" s="5">
        <f t="shared" si="10"/>
        <v>0.72723214285714288</v>
      </c>
      <c r="R124" s="9">
        <f t="shared" si="12"/>
        <v>0.21816964285714285</v>
      </c>
      <c r="S124" s="9">
        <f t="shared" si="13"/>
        <v>-1.8169642857142843E-2</v>
      </c>
      <c r="T124" s="9">
        <f t="shared" si="17"/>
        <v>29.163705357142852</v>
      </c>
      <c r="V124" s="5">
        <v>141.6</v>
      </c>
      <c r="X124" s="5">
        <f t="shared" si="18"/>
        <v>49500.500000000015</v>
      </c>
      <c r="AA124" s="13">
        <v>8.8177149199891005</v>
      </c>
    </row>
    <row r="125" spans="1:27" s="5" customFormat="1" x14ac:dyDescent="0.25">
      <c r="A125" s="76"/>
      <c r="B125" s="10"/>
      <c r="C125" s="11">
        <v>40875</v>
      </c>
      <c r="D125" s="5">
        <v>10.4</v>
      </c>
      <c r="E125" s="5">
        <v>7.5</v>
      </c>
      <c r="F125" s="5">
        <v>13.4</v>
      </c>
      <c r="G125" s="5">
        <f t="shared" si="14"/>
        <v>1003.1</v>
      </c>
      <c r="J125" s="5">
        <v>0.4</v>
      </c>
      <c r="K125" s="5">
        <f t="shared" si="15"/>
        <v>57.500000000000014</v>
      </c>
      <c r="L125" s="5">
        <v>0.2</v>
      </c>
      <c r="M125" s="5">
        <f t="shared" si="16"/>
        <v>111.59999999999992</v>
      </c>
      <c r="N125" s="5">
        <v>0.2</v>
      </c>
      <c r="O125" s="5">
        <f t="shared" si="11"/>
        <v>8.9999999999999982</v>
      </c>
      <c r="P125" s="5">
        <v>76</v>
      </c>
      <c r="Q125" s="5">
        <f t="shared" ref="Q125:Q171" si="19">0.35+((P125-10)/112)*(1-0.35)</f>
        <v>0.73303571428571423</v>
      </c>
      <c r="R125" s="9">
        <f t="shared" si="12"/>
        <v>0.14660714285714285</v>
      </c>
      <c r="S125" s="9">
        <f t="shared" si="13"/>
        <v>0.2533928571428572</v>
      </c>
      <c r="T125" s="9">
        <f t="shared" si="17"/>
        <v>29.417098214285708</v>
      </c>
      <c r="V125" s="5">
        <v>132.80000000000001</v>
      </c>
      <c r="X125" s="5">
        <f t="shared" si="18"/>
        <v>49633.300000000017</v>
      </c>
      <c r="AA125" s="13">
        <v>8.7833574322332097</v>
      </c>
    </row>
    <row r="126" spans="1:27" s="5" customFormat="1" x14ac:dyDescent="0.25">
      <c r="A126" s="76"/>
      <c r="B126" s="10"/>
      <c r="C126" s="11">
        <v>40876</v>
      </c>
      <c r="D126" s="5">
        <v>10.199999999999999</v>
      </c>
      <c r="E126" s="5">
        <v>9.6</v>
      </c>
      <c r="F126" s="5">
        <v>12</v>
      </c>
      <c r="G126" s="5">
        <f t="shared" si="14"/>
        <v>1013.3000000000001</v>
      </c>
      <c r="J126" s="5">
        <v>2.2000000000000002</v>
      </c>
      <c r="K126" s="5">
        <f t="shared" si="15"/>
        <v>59.700000000000017</v>
      </c>
      <c r="L126" s="5">
        <v>0.5</v>
      </c>
      <c r="M126" s="5">
        <f t="shared" si="16"/>
        <v>112.09999999999992</v>
      </c>
      <c r="N126" s="5">
        <v>1.7000000000000002</v>
      </c>
      <c r="O126" s="5">
        <f t="shared" si="11"/>
        <v>10.7</v>
      </c>
      <c r="P126" s="5">
        <v>77</v>
      </c>
      <c r="Q126" s="5">
        <f t="shared" si="19"/>
        <v>0.7388392857142857</v>
      </c>
      <c r="R126" s="9">
        <f t="shared" si="12"/>
        <v>0.36941964285714285</v>
      </c>
      <c r="S126" s="9">
        <f t="shared" si="13"/>
        <v>1.8305803571428574</v>
      </c>
      <c r="T126" s="9">
        <f t="shared" si="17"/>
        <v>31.247678571428565</v>
      </c>
      <c r="V126" s="5">
        <v>108</v>
      </c>
      <c r="X126" s="5">
        <f t="shared" si="18"/>
        <v>49741.300000000017</v>
      </c>
      <c r="AA126" s="13">
        <v>8.7500875229543809</v>
      </c>
    </row>
    <row r="127" spans="1:27" s="5" customFormat="1" x14ac:dyDescent="0.25">
      <c r="A127" s="76"/>
      <c r="B127" s="10"/>
      <c r="C127" s="11">
        <v>40877</v>
      </c>
      <c r="D127" s="5">
        <v>8.6</v>
      </c>
      <c r="E127" s="5">
        <v>3.1</v>
      </c>
      <c r="F127" s="5">
        <v>14</v>
      </c>
      <c r="G127" s="5">
        <f t="shared" si="14"/>
        <v>1021.9000000000001</v>
      </c>
      <c r="J127" s="5">
        <v>1.1000000000000001</v>
      </c>
      <c r="K127" s="5">
        <f t="shared" si="15"/>
        <v>60.800000000000018</v>
      </c>
      <c r="L127" s="5">
        <v>1</v>
      </c>
      <c r="M127" s="5">
        <f t="shared" si="16"/>
        <v>113.09999999999992</v>
      </c>
      <c r="N127" s="5">
        <v>0.10000000000000009</v>
      </c>
      <c r="O127" s="5">
        <f t="shared" si="11"/>
        <v>10.799999999999999</v>
      </c>
      <c r="P127" s="5">
        <v>78</v>
      </c>
      <c r="Q127" s="5">
        <f t="shared" si="19"/>
        <v>0.74464285714285716</v>
      </c>
      <c r="R127" s="9">
        <f t="shared" si="12"/>
        <v>0.74464285714285716</v>
      </c>
      <c r="S127" s="9">
        <f t="shared" si="13"/>
        <v>0.35535714285714293</v>
      </c>
      <c r="T127" s="9">
        <f t="shared" si="17"/>
        <v>31.60303571428571</v>
      </c>
      <c r="V127" s="5">
        <v>543.9</v>
      </c>
      <c r="X127" s="5">
        <f t="shared" si="18"/>
        <v>50285.200000000019</v>
      </c>
      <c r="AA127" s="13">
        <v>8.7179351518204609</v>
      </c>
    </row>
    <row r="128" spans="1:27" s="5" customFormat="1" x14ac:dyDescent="0.25">
      <c r="A128" s="76"/>
      <c r="B128" s="10"/>
      <c r="C128" s="11">
        <v>40878</v>
      </c>
      <c r="D128" s="5">
        <v>12.8</v>
      </c>
      <c r="E128" s="5">
        <v>10.1</v>
      </c>
      <c r="F128" s="5">
        <v>13.8</v>
      </c>
      <c r="G128" s="5">
        <f t="shared" si="14"/>
        <v>1034.7</v>
      </c>
      <c r="J128" s="5">
        <v>11.6</v>
      </c>
      <c r="K128" s="5">
        <f t="shared" si="15"/>
        <v>72.40000000000002</v>
      </c>
      <c r="L128" s="5">
        <v>0.1</v>
      </c>
      <c r="M128" s="5">
        <f t="shared" si="16"/>
        <v>113.19999999999992</v>
      </c>
      <c r="N128" s="5">
        <v>11.5</v>
      </c>
      <c r="O128" s="5">
        <f t="shared" si="11"/>
        <v>22.299999999999997</v>
      </c>
      <c r="P128" s="5">
        <v>79</v>
      </c>
      <c r="Q128" s="5">
        <f t="shared" si="19"/>
        <v>0.75044642857142851</v>
      </c>
      <c r="R128" s="9">
        <f t="shared" si="12"/>
        <v>7.5044642857142851E-2</v>
      </c>
      <c r="S128" s="9">
        <f t="shared" si="13"/>
        <v>11.524955357142856</v>
      </c>
      <c r="T128" s="9">
        <f t="shared" si="17"/>
        <v>43.127991071428568</v>
      </c>
      <c r="V128" s="5">
        <v>83.4</v>
      </c>
      <c r="X128" s="5">
        <f t="shared" si="18"/>
        <v>50368.60000000002</v>
      </c>
      <c r="AA128" s="13">
        <v>8.6869299682154892</v>
      </c>
    </row>
    <row r="129" spans="1:27" s="5" customFormat="1" x14ac:dyDescent="0.25">
      <c r="A129" s="76"/>
      <c r="B129" s="10"/>
      <c r="C129" s="11">
        <v>40879</v>
      </c>
      <c r="D129" s="5">
        <v>8</v>
      </c>
      <c r="E129" s="5">
        <v>5.2</v>
      </c>
      <c r="F129" s="5">
        <v>11.1</v>
      </c>
      <c r="G129" s="5">
        <f t="shared" si="14"/>
        <v>1042.7</v>
      </c>
      <c r="J129" s="5">
        <v>5.4</v>
      </c>
      <c r="K129" s="5">
        <f t="shared" si="15"/>
        <v>77.800000000000026</v>
      </c>
      <c r="L129" s="5">
        <v>0.8</v>
      </c>
      <c r="M129" s="5">
        <f t="shared" si="16"/>
        <v>113.99999999999991</v>
      </c>
      <c r="N129" s="5">
        <v>4.6000000000000005</v>
      </c>
      <c r="O129" s="5">
        <f t="shared" si="11"/>
        <v>26.9</v>
      </c>
      <c r="P129" s="5">
        <v>80</v>
      </c>
      <c r="Q129" s="5">
        <f t="shared" si="19"/>
        <v>0.75624999999999998</v>
      </c>
      <c r="R129" s="9">
        <f t="shared" si="12"/>
        <v>0.60499999999999998</v>
      </c>
      <c r="S129" s="9">
        <f t="shared" si="13"/>
        <v>4.7949999999999999</v>
      </c>
      <c r="T129" s="9">
        <f t="shared" si="17"/>
        <v>47.922991071428569</v>
      </c>
      <c r="V129" s="5">
        <v>596.20000000000005</v>
      </c>
      <c r="X129" s="5">
        <f t="shared" si="18"/>
        <v>50964.800000000017</v>
      </c>
      <c r="AA129" s="13">
        <v>8.6571012279438708</v>
      </c>
    </row>
    <row r="130" spans="1:27" s="5" customFormat="1" x14ac:dyDescent="0.25">
      <c r="A130" s="76"/>
      <c r="B130" s="10"/>
      <c r="C130" s="11">
        <v>40880</v>
      </c>
      <c r="D130" s="5">
        <v>11.5</v>
      </c>
      <c r="E130" s="5">
        <v>7.6</v>
      </c>
      <c r="F130" s="5">
        <v>13.1</v>
      </c>
      <c r="G130" s="5">
        <f t="shared" si="14"/>
        <v>1054.2</v>
      </c>
      <c r="J130" s="5">
        <v>2.2000000000000002</v>
      </c>
      <c r="K130" s="5">
        <f t="shared" si="15"/>
        <v>80.000000000000028</v>
      </c>
      <c r="L130" s="5">
        <v>0</v>
      </c>
      <c r="M130" s="5">
        <f t="shared" si="16"/>
        <v>113.99999999999991</v>
      </c>
      <c r="N130" s="5">
        <v>2.2000000000000002</v>
      </c>
      <c r="O130" s="5">
        <f t="shared" si="11"/>
        <v>29.099999999999998</v>
      </c>
      <c r="P130" s="5">
        <v>81</v>
      </c>
      <c r="Q130" s="5">
        <f t="shared" si="19"/>
        <v>0.76205357142857144</v>
      </c>
      <c r="R130" s="9">
        <f t="shared" si="12"/>
        <v>0</v>
      </c>
      <c r="S130" s="9">
        <f t="shared" si="13"/>
        <v>2.2000000000000002</v>
      </c>
      <c r="T130" s="9">
        <f t="shared" si="17"/>
        <v>50.122991071428572</v>
      </c>
      <c r="V130" s="5">
        <v>78.2</v>
      </c>
      <c r="X130" s="5">
        <f t="shared" si="18"/>
        <v>51043.000000000015</v>
      </c>
      <c r="AA130" s="13">
        <v>8.6284777077740902</v>
      </c>
    </row>
    <row r="131" spans="1:27" s="5" customFormat="1" x14ac:dyDescent="0.25">
      <c r="A131" s="76"/>
      <c r="B131" s="10"/>
      <c r="C131" s="11">
        <v>40881</v>
      </c>
      <c r="D131" s="5">
        <v>12.5</v>
      </c>
      <c r="E131" s="5">
        <v>11.2</v>
      </c>
      <c r="F131" s="5">
        <v>14.9</v>
      </c>
      <c r="G131" s="5">
        <f t="shared" si="14"/>
        <v>1066.7</v>
      </c>
      <c r="J131" s="5">
        <v>2.5</v>
      </c>
      <c r="K131" s="5">
        <f t="shared" si="15"/>
        <v>82.500000000000028</v>
      </c>
      <c r="L131" s="5">
        <v>1</v>
      </c>
      <c r="M131" s="5">
        <f t="shared" si="16"/>
        <v>114.99999999999991</v>
      </c>
      <c r="N131" s="5">
        <v>1.5</v>
      </c>
      <c r="O131" s="5">
        <f t="shared" si="11"/>
        <v>30.599999999999998</v>
      </c>
      <c r="P131" s="5">
        <v>82</v>
      </c>
      <c r="Q131" s="5">
        <f t="shared" si="19"/>
        <v>0.7678571428571429</v>
      </c>
      <c r="R131" s="9">
        <f t="shared" si="12"/>
        <v>0.7678571428571429</v>
      </c>
      <c r="S131" s="9">
        <f t="shared" si="13"/>
        <v>1.7321428571428572</v>
      </c>
      <c r="T131" s="9">
        <f t="shared" si="17"/>
        <v>51.855133928571426</v>
      </c>
      <c r="V131" s="5">
        <v>104.8</v>
      </c>
      <c r="X131" s="5">
        <f t="shared" si="18"/>
        <v>51147.800000000017</v>
      </c>
      <c r="AA131" s="13">
        <v>8.6010876182217704</v>
      </c>
    </row>
    <row r="132" spans="1:27" s="5" customFormat="1" x14ac:dyDescent="0.25">
      <c r="A132" s="76"/>
      <c r="B132" s="10"/>
      <c r="C132" s="11">
        <v>40882</v>
      </c>
      <c r="D132" s="5">
        <v>7.3</v>
      </c>
      <c r="E132" s="5">
        <v>5</v>
      </c>
      <c r="F132" s="5">
        <v>11</v>
      </c>
      <c r="G132" s="5">
        <f t="shared" si="14"/>
        <v>1074</v>
      </c>
      <c r="J132" s="5">
        <v>0</v>
      </c>
      <c r="K132" s="5">
        <f t="shared" si="15"/>
        <v>82.500000000000028</v>
      </c>
      <c r="L132" s="5">
        <v>1.2</v>
      </c>
      <c r="M132" s="5">
        <f t="shared" si="16"/>
        <v>116.19999999999992</v>
      </c>
      <c r="N132" s="5">
        <v>-1.2</v>
      </c>
      <c r="O132" s="5">
        <f t="shared" si="11"/>
        <v>29.4</v>
      </c>
      <c r="P132" s="5">
        <v>83</v>
      </c>
      <c r="Q132" s="5">
        <f t="shared" si="19"/>
        <v>0.77366071428571437</v>
      </c>
      <c r="R132" s="9">
        <f t="shared" si="12"/>
        <v>0.92839285714285724</v>
      </c>
      <c r="S132" s="9">
        <f t="shared" si="13"/>
        <v>-0.92839285714285724</v>
      </c>
      <c r="T132" s="9">
        <f t="shared" si="17"/>
        <v>50.926741071428566</v>
      </c>
      <c r="V132" s="5">
        <v>533.29999999999995</v>
      </c>
      <c r="X132" s="5">
        <f t="shared" si="18"/>
        <v>51681.10000000002</v>
      </c>
      <c r="AA132" s="13">
        <v>8.5749585150120193</v>
      </c>
    </row>
    <row r="133" spans="1:27" s="5" customFormat="1" x14ac:dyDescent="0.25">
      <c r="A133" s="76"/>
      <c r="B133" s="10"/>
      <c r="C133" s="11">
        <v>40883</v>
      </c>
      <c r="D133" s="5">
        <v>8</v>
      </c>
      <c r="E133" s="5">
        <v>4.2</v>
      </c>
      <c r="F133" s="5">
        <v>10.6</v>
      </c>
      <c r="G133" s="5">
        <f t="shared" si="14"/>
        <v>1082</v>
      </c>
      <c r="J133" s="5">
        <v>0</v>
      </c>
      <c r="K133" s="5">
        <f t="shared" si="15"/>
        <v>82.500000000000028</v>
      </c>
      <c r="L133" s="5">
        <v>0.6</v>
      </c>
      <c r="M133" s="5">
        <f t="shared" si="16"/>
        <v>116.79999999999991</v>
      </c>
      <c r="N133" s="5">
        <v>-0.6</v>
      </c>
      <c r="O133" s="5">
        <f t="shared" si="11"/>
        <v>28.799999999999997</v>
      </c>
      <c r="P133" s="5">
        <v>84</v>
      </c>
      <c r="Q133" s="5">
        <f t="shared" si="19"/>
        <v>0.77946428571428572</v>
      </c>
      <c r="R133" s="9">
        <f t="shared" si="12"/>
        <v>0.46767857142857139</v>
      </c>
      <c r="S133" s="9">
        <f t="shared" si="13"/>
        <v>-0.46767857142857139</v>
      </c>
      <c r="T133" s="9">
        <f t="shared" si="17"/>
        <v>50.459062499999995</v>
      </c>
      <c r="V133" s="5">
        <v>347.7</v>
      </c>
      <c r="X133" s="5">
        <f t="shared" si="18"/>
        <v>52028.800000000017</v>
      </c>
      <c r="AA133" s="13">
        <v>8.5501172096972606</v>
      </c>
    </row>
    <row r="134" spans="1:27" s="5" customFormat="1" x14ac:dyDescent="0.25">
      <c r="A134" s="76"/>
      <c r="B134" s="10"/>
      <c r="C134" s="11">
        <v>40884</v>
      </c>
      <c r="D134" s="5">
        <v>9.3000000000000007</v>
      </c>
      <c r="E134" s="5">
        <v>8.5</v>
      </c>
      <c r="F134" s="5">
        <v>11.3</v>
      </c>
      <c r="G134" s="5">
        <f t="shared" si="14"/>
        <v>1091.3</v>
      </c>
      <c r="J134" s="5">
        <v>1.8</v>
      </c>
      <c r="K134" s="5">
        <f t="shared" si="15"/>
        <v>84.300000000000026</v>
      </c>
      <c r="L134" s="5">
        <v>0.8</v>
      </c>
      <c r="M134" s="5">
        <f t="shared" si="16"/>
        <v>117.59999999999991</v>
      </c>
      <c r="N134" s="5">
        <v>1</v>
      </c>
      <c r="O134" s="5">
        <f t="shared" si="11"/>
        <v>29.799999999999997</v>
      </c>
      <c r="P134" s="5">
        <v>85</v>
      </c>
      <c r="Q134" s="5">
        <f t="shared" si="19"/>
        <v>0.78526785714285707</v>
      </c>
      <c r="R134" s="9">
        <f t="shared" si="12"/>
        <v>0.62821428571428573</v>
      </c>
      <c r="S134" s="9">
        <f t="shared" si="13"/>
        <v>1.1717857142857144</v>
      </c>
      <c r="T134" s="9">
        <f t="shared" si="17"/>
        <v>51.630848214285706</v>
      </c>
      <c r="V134" s="5">
        <v>125.4</v>
      </c>
      <c r="X134" s="5">
        <f t="shared" si="18"/>
        <v>52154.200000000019</v>
      </c>
      <c r="AA134" s="13">
        <v>8.5265896799417202</v>
      </c>
    </row>
    <row r="135" spans="1:27" s="5" customFormat="1" x14ac:dyDescent="0.25">
      <c r="A135" s="76"/>
      <c r="B135" s="10"/>
      <c r="C135" s="11">
        <v>40885</v>
      </c>
      <c r="D135" s="5">
        <v>10.5</v>
      </c>
      <c r="E135" s="5">
        <v>4.9000000000000004</v>
      </c>
      <c r="F135" s="5">
        <v>12.7</v>
      </c>
      <c r="G135" s="5">
        <f t="shared" si="14"/>
        <v>1101.8</v>
      </c>
      <c r="J135" s="5">
        <v>4</v>
      </c>
      <c r="K135" s="5">
        <f t="shared" si="15"/>
        <v>88.300000000000026</v>
      </c>
      <c r="L135" s="5">
        <v>0.2</v>
      </c>
      <c r="M135" s="5">
        <f t="shared" si="16"/>
        <v>117.79999999999991</v>
      </c>
      <c r="N135" s="5">
        <v>3.8</v>
      </c>
      <c r="O135" s="5">
        <f t="shared" si="11"/>
        <v>33.599999999999994</v>
      </c>
      <c r="P135" s="5">
        <v>86</v>
      </c>
      <c r="Q135" s="5">
        <f t="shared" si="19"/>
        <v>0.79107142857142865</v>
      </c>
      <c r="R135" s="9">
        <f t="shared" si="12"/>
        <v>0.15821428571428575</v>
      </c>
      <c r="S135" s="9">
        <f t="shared" si="13"/>
        <v>3.8417857142857144</v>
      </c>
      <c r="T135" s="9">
        <f t="shared" si="17"/>
        <v>55.472633928571419</v>
      </c>
      <c r="V135" s="5">
        <v>106.4</v>
      </c>
      <c r="X135" s="5">
        <f t="shared" si="18"/>
        <v>52260.60000000002</v>
      </c>
      <c r="AA135" s="13">
        <v>8.5044009800137506</v>
      </c>
    </row>
    <row r="136" spans="1:27" s="5" customFormat="1" x14ac:dyDescent="0.25">
      <c r="A136" s="76"/>
      <c r="B136" s="10"/>
      <c r="C136" s="11">
        <v>40886</v>
      </c>
      <c r="D136" s="5">
        <v>8.8000000000000007</v>
      </c>
      <c r="E136" s="5">
        <v>8.4</v>
      </c>
      <c r="F136" s="5">
        <v>9.4</v>
      </c>
      <c r="G136" s="5">
        <f t="shared" si="14"/>
        <v>1110.5999999999999</v>
      </c>
      <c r="J136" s="5">
        <v>4.7</v>
      </c>
      <c r="K136" s="5">
        <f t="shared" si="15"/>
        <v>93.000000000000028</v>
      </c>
      <c r="L136" s="5">
        <v>0.3</v>
      </c>
      <c r="M136" s="5">
        <f t="shared" si="16"/>
        <v>118.09999999999991</v>
      </c>
      <c r="N136" s="5">
        <v>4.4000000000000004</v>
      </c>
      <c r="O136" s="5">
        <f t="shared" si="11"/>
        <v>37.999999999999993</v>
      </c>
      <c r="P136" s="5">
        <v>87</v>
      </c>
      <c r="Q136" s="5">
        <f t="shared" si="19"/>
        <v>0.796875</v>
      </c>
      <c r="R136" s="9">
        <f t="shared" si="12"/>
        <v>0.23906249999999998</v>
      </c>
      <c r="S136" s="9">
        <f t="shared" si="13"/>
        <v>4.4609375</v>
      </c>
      <c r="T136" s="9">
        <f t="shared" si="17"/>
        <v>59.933571428571419</v>
      </c>
      <c r="V136" s="5">
        <v>139.19999999999999</v>
      </c>
      <c r="X136" s="5">
        <f t="shared" si="18"/>
        <v>52399.800000000017</v>
      </c>
      <c r="AA136" s="13">
        <v>8.4835751520538096</v>
      </c>
    </row>
    <row r="137" spans="1:27" s="5" customFormat="1" x14ac:dyDescent="0.25">
      <c r="A137" s="76"/>
      <c r="B137" s="14"/>
      <c r="C137" s="11">
        <v>40887</v>
      </c>
      <c r="D137" s="5">
        <v>4.8</v>
      </c>
      <c r="E137" s="5">
        <v>2.8</v>
      </c>
      <c r="F137" s="5">
        <v>9.4</v>
      </c>
      <c r="G137" s="5">
        <f t="shared" si="14"/>
        <v>1115.3999999999999</v>
      </c>
      <c r="J137" s="5">
        <v>0</v>
      </c>
      <c r="K137" s="5">
        <f t="shared" si="15"/>
        <v>93.000000000000028</v>
      </c>
      <c r="L137" s="5">
        <v>0.8</v>
      </c>
      <c r="M137" s="5">
        <f t="shared" si="16"/>
        <v>118.89999999999991</v>
      </c>
      <c r="N137" s="5">
        <v>-0.8</v>
      </c>
      <c r="O137" s="5">
        <f t="shared" si="11"/>
        <v>37.199999999999996</v>
      </c>
      <c r="P137" s="5">
        <v>88</v>
      </c>
      <c r="Q137" s="5">
        <f t="shared" si="19"/>
        <v>0.80267857142857135</v>
      </c>
      <c r="R137" s="9">
        <f t="shared" si="12"/>
        <v>0.64214285714285713</v>
      </c>
      <c r="S137" s="9">
        <f t="shared" si="13"/>
        <v>-0.64214285714285713</v>
      </c>
      <c r="T137" s="9">
        <f t="shared" si="17"/>
        <v>59.291428571428561</v>
      </c>
      <c r="V137" s="5">
        <v>615.20000000000005</v>
      </c>
      <c r="X137" s="5">
        <f t="shared" si="18"/>
        <v>53015.000000000015</v>
      </c>
      <c r="AA137" s="13">
        <v>8.4641351387067392</v>
      </c>
    </row>
    <row r="138" spans="1:27" s="5" customFormat="1" x14ac:dyDescent="0.25">
      <c r="A138" s="76"/>
      <c r="B138" s="10"/>
      <c r="C138" s="11">
        <v>40888</v>
      </c>
      <c r="D138" s="5">
        <v>5.2</v>
      </c>
      <c r="E138" s="5">
        <v>-0.1</v>
      </c>
      <c r="F138" s="5">
        <v>9.6999999999999993</v>
      </c>
      <c r="G138" s="5">
        <f t="shared" si="14"/>
        <v>1120.5999999999999</v>
      </c>
      <c r="J138" s="5">
        <v>4.8</v>
      </c>
      <c r="K138" s="5">
        <f t="shared" si="15"/>
        <v>97.800000000000026</v>
      </c>
      <c r="L138" s="5">
        <v>0.2</v>
      </c>
      <c r="M138" s="5">
        <f t="shared" si="16"/>
        <v>119.09999999999991</v>
      </c>
      <c r="N138" s="5">
        <v>4.5999999999999996</v>
      </c>
      <c r="O138" s="5">
        <f t="shared" si="11"/>
        <v>41.8</v>
      </c>
      <c r="P138" s="5">
        <v>89</v>
      </c>
      <c r="Q138" s="5">
        <f t="shared" si="19"/>
        <v>0.80848214285714293</v>
      </c>
      <c r="R138" s="9">
        <f t="shared" si="12"/>
        <v>0.1616964285714286</v>
      </c>
      <c r="S138" s="9">
        <f t="shared" si="13"/>
        <v>4.6383035714285716</v>
      </c>
      <c r="T138" s="9">
        <f t="shared" si="17"/>
        <v>63.929732142857134</v>
      </c>
      <c r="V138" s="5">
        <v>122.5</v>
      </c>
      <c r="X138" s="5">
        <f t="shared" si="18"/>
        <v>53137.500000000015</v>
      </c>
      <c r="AA138" s="13">
        <v>8.4461026977227203</v>
      </c>
    </row>
    <row r="139" spans="1:27" s="5" customFormat="1" x14ac:dyDescent="0.25">
      <c r="A139" s="76"/>
      <c r="B139" s="10"/>
      <c r="C139" s="11">
        <v>40889</v>
      </c>
      <c r="D139" s="5">
        <v>8.4</v>
      </c>
      <c r="E139" s="5">
        <v>4.0999999999999996</v>
      </c>
      <c r="F139" s="5">
        <v>12.6</v>
      </c>
      <c r="G139" s="5">
        <f t="shared" si="14"/>
        <v>1129</v>
      </c>
      <c r="J139" s="5">
        <v>12.6</v>
      </c>
      <c r="K139" s="5">
        <f t="shared" si="15"/>
        <v>110.40000000000002</v>
      </c>
      <c r="L139" s="5">
        <v>0.9</v>
      </c>
      <c r="M139" s="5">
        <f t="shared" si="16"/>
        <v>119.99999999999991</v>
      </c>
      <c r="N139" s="5">
        <v>11.7</v>
      </c>
      <c r="O139" s="5">
        <f t="shared" si="11"/>
        <v>53.5</v>
      </c>
      <c r="P139" s="5">
        <v>90</v>
      </c>
      <c r="Q139" s="5">
        <f t="shared" si="19"/>
        <v>0.81428571428571428</v>
      </c>
      <c r="R139" s="9">
        <f t="shared" si="12"/>
        <v>0.73285714285714287</v>
      </c>
      <c r="S139" s="9">
        <f t="shared" si="13"/>
        <v>11.867142857142857</v>
      </c>
      <c r="T139" s="9">
        <f t="shared" si="17"/>
        <v>75.796874999999986</v>
      </c>
      <c r="V139" s="5">
        <v>482.7</v>
      </c>
      <c r="X139" s="5">
        <f t="shared" si="18"/>
        <v>53620.200000000012</v>
      </c>
      <c r="AA139" s="13">
        <v>8.4294983191401904</v>
      </c>
    </row>
    <row r="140" spans="1:27" s="5" customFormat="1" x14ac:dyDescent="0.25">
      <c r="A140" s="76"/>
      <c r="B140" s="10"/>
      <c r="C140" s="11">
        <v>40890</v>
      </c>
      <c r="D140" s="5">
        <v>10.3</v>
      </c>
      <c r="E140" s="5">
        <v>7.7</v>
      </c>
      <c r="F140" s="5">
        <v>12.4</v>
      </c>
      <c r="G140" s="5">
        <f t="shared" si="14"/>
        <v>1139.3</v>
      </c>
      <c r="J140" s="5">
        <v>8.8000000000000007</v>
      </c>
      <c r="K140" s="5">
        <f t="shared" si="15"/>
        <v>119.20000000000002</v>
      </c>
      <c r="L140" s="5">
        <v>1.1000000000000001</v>
      </c>
      <c r="M140" s="5">
        <f t="shared" si="16"/>
        <v>121.09999999999991</v>
      </c>
      <c r="N140" s="5">
        <v>7.7000000000000011</v>
      </c>
      <c r="O140" s="5">
        <f t="shared" si="11"/>
        <v>61.2</v>
      </c>
      <c r="P140" s="5">
        <v>91</v>
      </c>
      <c r="Q140" s="5">
        <f t="shared" si="19"/>
        <v>0.82008928571428563</v>
      </c>
      <c r="R140" s="9">
        <f t="shared" si="12"/>
        <v>0.90209821428571424</v>
      </c>
      <c r="S140" s="9">
        <f t="shared" si="13"/>
        <v>7.8979017857142866</v>
      </c>
      <c r="T140" s="9">
        <f t="shared" si="17"/>
        <v>83.694776785714268</v>
      </c>
      <c r="V140" s="5">
        <v>410.4</v>
      </c>
      <c r="X140" s="5">
        <f t="shared" si="18"/>
        <v>54030.600000000013</v>
      </c>
      <c r="AA140" s="13">
        <v>8.4143411456663699</v>
      </c>
    </row>
    <row r="141" spans="1:27" s="5" customFormat="1" x14ac:dyDescent="0.25">
      <c r="A141" s="76"/>
      <c r="B141" s="10"/>
      <c r="C141" s="11">
        <v>40891</v>
      </c>
      <c r="D141" s="5">
        <v>6.7</v>
      </c>
      <c r="E141" s="5">
        <v>5.8</v>
      </c>
      <c r="F141" s="5">
        <v>8.6999999999999993</v>
      </c>
      <c r="G141" s="5">
        <f t="shared" si="14"/>
        <v>1146</v>
      </c>
      <c r="J141" s="5">
        <v>0.7</v>
      </c>
      <c r="K141" s="5">
        <f t="shared" si="15"/>
        <v>119.90000000000002</v>
      </c>
      <c r="L141" s="5">
        <v>1</v>
      </c>
      <c r="M141" s="5">
        <f t="shared" si="16"/>
        <v>122.09999999999991</v>
      </c>
      <c r="N141" s="5">
        <v>-0.30000000000000004</v>
      </c>
      <c r="O141" s="5">
        <f t="shared" si="11"/>
        <v>60.900000000000006</v>
      </c>
      <c r="P141" s="5">
        <v>92</v>
      </c>
      <c r="Q141" s="5">
        <f t="shared" si="19"/>
        <v>0.8258928571428571</v>
      </c>
      <c r="R141" s="9">
        <f t="shared" si="12"/>
        <v>0.8258928571428571</v>
      </c>
      <c r="S141" s="9">
        <f t="shared" si="13"/>
        <v>-0.12589285714285714</v>
      </c>
      <c r="T141" s="9">
        <f t="shared" si="17"/>
        <v>83.56888392857141</v>
      </c>
      <c r="V141" s="5">
        <v>259.3</v>
      </c>
      <c r="X141" s="5">
        <f t="shared" si="18"/>
        <v>54289.900000000016</v>
      </c>
      <c r="AA141" s="13">
        <v>8.4006488968663096</v>
      </c>
    </row>
    <row r="142" spans="1:27" s="5" customFormat="1" x14ac:dyDescent="0.25">
      <c r="A142" s="76"/>
      <c r="B142" s="10"/>
      <c r="C142" s="11">
        <v>40892</v>
      </c>
      <c r="D142" s="5">
        <v>7.9</v>
      </c>
      <c r="E142" s="5">
        <v>5</v>
      </c>
      <c r="F142" s="5">
        <v>13.4</v>
      </c>
      <c r="G142" s="5">
        <f t="shared" si="14"/>
        <v>1153.9000000000001</v>
      </c>
      <c r="J142" s="5">
        <v>24.5</v>
      </c>
      <c r="K142" s="5">
        <f t="shared" si="15"/>
        <v>144.40000000000003</v>
      </c>
      <c r="L142" s="5">
        <v>1.4</v>
      </c>
      <c r="M142" s="5">
        <f t="shared" si="16"/>
        <v>123.49999999999991</v>
      </c>
      <c r="N142" s="5">
        <v>23.1</v>
      </c>
      <c r="O142" s="5">
        <f t="shared" si="11"/>
        <v>84</v>
      </c>
      <c r="P142" s="5">
        <v>93</v>
      </c>
      <c r="Q142" s="5">
        <f t="shared" si="19"/>
        <v>0.83169642857142856</v>
      </c>
      <c r="R142" s="9">
        <f t="shared" si="12"/>
        <v>1.1643749999999999</v>
      </c>
      <c r="S142" s="9">
        <f t="shared" si="13"/>
        <v>23.335625</v>
      </c>
      <c r="T142" s="9">
        <f t="shared" si="17"/>
        <v>106.9045089285714</v>
      </c>
      <c r="V142" s="5">
        <v>108.8</v>
      </c>
      <c r="X142" s="5">
        <f t="shared" si="18"/>
        <v>54398.700000000019</v>
      </c>
      <c r="AA142" s="13">
        <v>8.3884377977584599</v>
      </c>
    </row>
    <row r="143" spans="1:27" s="5" customFormat="1" x14ac:dyDescent="0.25">
      <c r="A143" s="76"/>
      <c r="B143" s="10"/>
      <c r="C143" s="11">
        <v>40893</v>
      </c>
      <c r="D143" s="5">
        <v>7.1</v>
      </c>
      <c r="E143" s="5">
        <v>4.2</v>
      </c>
      <c r="F143" s="5">
        <v>9.4</v>
      </c>
      <c r="G143" s="5">
        <f t="shared" si="14"/>
        <v>1161</v>
      </c>
      <c r="J143" s="5">
        <v>3.6</v>
      </c>
      <c r="K143" s="5">
        <f t="shared" si="15"/>
        <v>148.00000000000003</v>
      </c>
      <c r="L143" s="5">
        <v>0.2</v>
      </c>
      <c r="M143" s="5">
        <f t="shared" si="16"/>
        <v>123.69999999999992</v>
      </c>
      <c r="N143" s="5">
        <v>3.4</v>
      </c>
      <c r="O143" s="5">
        <f t="shared" si="11"/>
        <v>87.4</v>
      </c>
      <c r="P143" s="5">
        <v>94</v>
      </c>
      <c r="Q143" s="5">
        <f t="shared" si="19"/>
        <v>0.83750000000000002</v>
      </c>
      <c r="R143" s="9">
        <f t="shared" si="12"/>
        <v>0.16750000000000001</v>
      </c>
      <c r="S143" s="9">
        <f t="shared" si="13"/>
        <v>3.4325000000000001</v>
      </c>
      <c r="T143" s="9">
        <f t="shared" si="17"/>
        <v>110.33700892857141</v>
      </c>
      <c r="V143" s="5">
        <v>125.7</v>
      </c>
      <c r="X143" s="5">
        <f t="shared" si="18"/>
        <v>54524.400000000016</v>
      </c>
      <c r="AA143" s="13">
        <v>8.3777225123951595</v>
      </c>
    </row>
    <row r="144" spans="1:27" s="5" customFormat="1" x14ac:dyDescent="0.25">
      <c r="A144" s="76"/>
      <c r="B144" s="14"/>
      <c r="C144" s="11">
        <v>40894</v>
      </c>
      <c r="D144" s="5">
        <v>4.8</v>
      </c>
      <c r="E144" s="5">
        <v>3.3</v>
      </c>
      <c r="F144" s="5">
        <v>6.3</v>
      </c>
      <c r="G144" s="5">
        <f t="shared" si="14"/>
        <v>1165.8</v>
      </c>
      <c r="J144" s="5">
        <v>9.3000000000000007</v>
      </c>
      <c r="K144" s="5">
        <f t="shared" si="15"/>
        <v>157.30000000000004</v>
      </c>
      <c r="L144" s="5">
        <v>0.6</v>
      </c>
      <c r="M144" s="5">
        <f t="shared" si="16"/>
        <v>124.29999999999991</v>
      </c>
      <c r="N144" s="5">
        <v>8.7000000000000011</v>
      </c>
      <c r="O144" s="5">
        <f t="shared" si="11"/>
        <v>96.100000000000009</v>
      </c>
      <c r="P144" s="5">
        <v>95</v>
      </c>
      <c r="Q144" s="5">
        <f t="shared" si="19"/>
        <v>0.84330357142857149</v>
      </c>
      <c r="R144" s="9">
        <f t="shared" si="12"/>
        <v>0.50598214285714282</v>
      </c>
      <c r="S144" s="9">
        <f t="shared" si="13"/>
        <v>8.7940178571428582</v>
      </c>
      <c r="T144" s="9">
        <f t="shared" si="17"/>
        <v>119.13102678571427</v>
      </c>
      <c r="V144" s="5">
        <v>196.1</v>
      </c>
      <c r="X144" s="5">
        <f t="shared" si="18"/>
        <v>54720.500000000015</v>
      </c>
      <c r="AA144" s="13">
        <v>8.3685160829780205</v>
      </c>
    </row>
    <row r="145" spans="1:27" s="5" customFormat="1" x14ac:dyDescent="0.25">
      <c r="A145" s="76"/>
      <c r="B145" s="14"/>
      <c r="C145" s="11">
        <v>40895</v>
      </c>
      <c r="D145" s="5">
        <v>4.3</v>
      </c>
      <c r="E145" s="5">
        <v>1.6</v>
      </c>
      <c r="F145" s="5">
        <v>8.1</v>
      </c>
      <c r="G145" s="5">
        <f t="shared" si="14"/>
        <v>1170.0999999999999</v>
      </c>
      <c r="J145" s="5">
        <v>2.2999999999999998</v>
      </c>
      <c r="K145" s="5">
        <f t="shared" si="15"/>
        <v>159.60000000000005</v>
      </c>
      <c r="L145" s="5">
        <v>0.8</v>
      </c>
      <c r="M145" s="5">
        <f t="shared" si="16"/>
        <v>125.09999999999991</v>
      </c>
      <c r="N145" s="5">
        <v>1.4999999999999998</v>
      </c>
      <c r="O145" s="5">
        <f t="shared" si="11"/>
        <v>97.600000000000009</v>
      </c>
      <c r="P145" s="5">
        <v>96</v>
      </c>
      <c r="Q145" s="5">
        <f t="shared" si="19"/>
        <v>0.84910714285714284</v>
      </c>
      <c r="R145" s="9">
        <f t="shared" si="12"/>
        <v>0.67928571428571427</v>
      </c>
      <c r="S145" s="9">
        <f t="shared" si="13"/>
        <v>1.6207142857142856</v>
      </c>
      <c r="T145" s="9">
        <f t="shared" si="17"/>
        <v>120.75174107142855</v>
      </c>
      <c r="V145" s="5">
        <v>535.79999999999995</v>
      </c>
      <c r="X145" s="5">
        <f t="shared" si="18"/>
        <v>55256.300000000017</v>
      </c>
      <c r="AA145" s="13">
        <v>8.3608298750230894</v>
      </c>
    </row>
    <row r="146" spans="1:27" s="5" customFormat="1" x14ac:dyDescent="0.25">
      <c r="A146" s="76"/>
      <c r="B146" s="10"/>
      <c r="C146" s="11">
        <v>40896</v>
      </c>
      <c r="D146" s="5">
        <v>6.4</v>
      </c>
      <c r="E146" s="5">
        <v>4.0999999999999996</v>
      </c>
      <c r="F146" s="5">
        <v>10.5</v>
      </c>
      <c r="G146" s="5">
        <f t="shared" si="14"/>
        <v>1176.5</v>
      </c>
      <c r="J146" s="5">
        <v>5.7</v>
      </c>
      <c r="K146" s="5">
        <f t="shared" si="15"/>
        <v>165.30000000000004</v>
      </c>
      <c r="L146" s="5">
        <v>0.5</v>
      </c>
      <c r="M146" s="5">
        <f t="shared" si="16"/>
        <v>125.59999999999991</v>
      </c>
      <c r="N146" s="5">
        <v>5.2</v>
      </c>
      <c r="O146" s="5">
        <f t="shared" si="11"/>
        <v>102.80000000000001</v>
      </c>
      <c r="P146" s="5">
        <v>97</v>
      </c>
      <c r="Q146" s="5">
        <f t="shared" si="19"/>
        <v>0.8549107142857143</v>
      </c>
      <c r="R146" s="9">
        <f t="shared" si="12"/>
        <v>0.42745535714285715</v>
      </c>
      <c r="S146" s="9">
        <f t="shared" si="13"/>
        <v>5.2725446428571434</v>
      </c>
      <c r="T146" s="9">
        <f t="shared" si="17"/>
        <v>126.0242857142857</v>
      </c>
      <c r="V146" s="5">
        <v>68.400000000000006</v>
      </c>
      <c r="X146" s="5">
        <f t="shared" si="18"/>
        <v>55324.700000000019</v>
      </c>
      <c r="AA146" s="13">
        <v>8.3546735290476395</v>
      </c>
    </row>
    <row r="147" spans="1:27" s="5" customFormat="1" x14ac:dyDescent="0.25">
      <c r="A147" s="76"/>
      <c r="B147" s="10"/>
      <c r="C147" s="11">
        <v>40897</v>
      </c>
      <c r="D147" s="5">
        <v>9.8000000000000007</v>
      </c>
      <c r="E147" s="5">
        <v>8.1999999999999993</v>
      </c>
      <c r="F147" s="5">
        <v>11.6</v>
      </c>
      <c r="G147" s="5">
        <f t="shared" si="14"/>
        <v>1186.3</v>
      </c>
      <c r="J147" s="5">
        <v>3.2</v>
      </c>
      <c r="K147" s="5">
        <f t="shared" si="15"/>
        <v>168.50000000000003</v>
      </c>
      <c r="L147" s="5">
        <v>0.4</v>
      </c>
      <c r="M147" s="5">
        <f t="shared" si="16"/>
        <v>125.99999999999991</v>
      </c>
      <c r="N147" s="5">
        <v>2.8000000000000003</v>
      </c>
      <c r="O147" s="5">
        <f t="shared" si="11"/>
        <v>105.60000000000001</v>
      </c>
      <c r="P147" s="5">
        <v>98</v>
      </c>
      <c r="Q147" s="5">
        <f t="shared" si="19"/>
        <v>0.86071428571428565</v>
      </c>
      <c r="R147" s="9">
        <f t="shared" si="12"/>
        <v>0.34428571428571431</v>
      </c>
      <c r="S147" s="9">
        <f t="shared" si="13"/>
        <v>2.8557142857142859</v>
      </c>
      <c r="T147" s="9">
        <f t="shared" si="17"/>
        <v>128.88</v>
      </c>
      <c r="V147" s="5">
        <v>181.2</v>
      </c>
      <c r="X147" s="5">
        <f t="shared" si="18"/>
        <v>55505.900000000016</v>
      </c>
      <c r="AA147" s="13">
        <v>8.3500549192009093</v>
      </c>
    </row>
    <row r="148" spans="1:27" s="5" customFormat="1" x14ac:dyDescent="0.25">
      <c r="A148" s="76"/>
      <c r="B148" s="10"/>
      <c r="C148" s="11">
        <v>40898</v>
      </c>
      <c r="D148" s="5">
        <v>11.2</v>
      </c>
      <c r="E148" s="5">
        <v>8.1</v>
      </c>
      <c r="F148" s="5">
        <v>11.9</v>
      </c>
      <c r="G148" s="5">
        <f t="shared" si="14"/>
        <v>1197.5</v>
      </c>
      <c r="J148" s="5">
        <v>0.2</v>
      </c>
      <c r="K148" s="5">
        <f t="shared" si="15"/>
        <v>168.70000000000002</v>
      </c>
      <c r="L148" s="5">
        <v>0</v>
      </c>
      <c r="M148" s="5">
        <f t="shared" si="16"/>
        <v>125.99999999999991</v>
      </c>
      <c r="N148" s="5">
        <v>0.2</v>
      </c>
      <c r="O148" s="5">
        <f t="shared" si="11"/>
        <v>105.80000000000001</v>
      </c>
      <c r="P148" s="5">
        <v>99</v>
      </c>
      <c r="Q148" s="5">
        <f t="shared" si="19"/>
        <v>0.86651785714285712</v>
      </c>
      <c r="R148" s="9">
        <f t="shared" si="12"/>
        <v>0</v>
      </c>
      <c r="S148" s="9">
        <f t="shared" si="13"/>
        <v>0.2</v>
      </c>
      <c r="T148" s="9">
        <f t="shared" si="17"/>
        <v>129.07999999999998</v>
      </c>
      <c r="V148" s="5">
        <v>50.1</v>
      </c>
      <c r="X148" s="5">
        <f t="shared" si="18"/>
        <v>55556.000000000015</v>
      </c>
      <c r="AA148" s="13">
        <v>8.3469801192051296</v>
      </c>
    </row>
    <row r="149" spans="1:27" s="5" customFormat="1" x14ac:dyDescent="0.25">
      <c r="A149" s="76"/>
      <c r="B149" s="10"/>
      <c r="C149" s="11">
        <v>40899</v>
      </c>
      <c r="D149" s="5">
        <v>10.9</v>
      </c>
      <c r="E149" s="5">
        <v>10</v>
      </c>
      <c r="F149" s="5">
        <v>12.6</v>
      </c>
      <c r="G149" s="5">
        <f t="shared" si="14"/>
        <v>1208.4000000000001</v>
      </c>
      <c r="J149" s="5">
        <v>0</v>
      </c>
      <c r="K149" s="5">
        <f t="shared" si="15"/>
        <v>168.70000000000002</v>
      </c>
      <c r="L149" s="5">
        <v>0.6</v>
      </c>
      <c r="M149" s="5">
        <f t="shared" si="16"/>
        <v>126.59999999999991</v>
      </c>
      <c r="N149" s="5">
        <v>-0.6</v>
      </c>
      <c r="O149" s="5">
        <f t="shared" si="11"/>
        <v>105.20000000000002</v>
      </c>
      <c r="P149" s="5">
        <v>100</v>
      </c>
      <c r="Q149" s="5">
        <f t="shared" si="19"/>
        <v>0.87232142857142858</v>
      </c>
      <c r="R149" s="9">
        <f t="shared" si="12"/>
        <v>0.5233928571428571</v>
      </c>
      <c r="S149" s="9">
        <f t="shared" si="13"/>
        <v>-0.5233928571428571</v>
      </c>
      <c r="T149" s="9">
        <f t="shared" si="17"/>
        <v>128.55660714285713</v>
      </c>
      <c r="V149" s="5">
        <v>196</v>
      </c>
      <c r="X149" s="5">
        <f t="shared" si="18"/>
        <v>55752.000000000015</v>
      </c>
      <c r="AA149" s="13">
        <v>8.3454533759116405</v>
      </c>
    </row>
    <row r="150" spans="1:27" s="5" customFormat="1" x14ac:dyDescent="0.25">
      <c r="A150" s="76"/>
      <c r="B150" s="10"/>
      <c r="C150" s="11">
        <v>40900</v>
      </c>
      <c r="D150" s="5">
        <v>8.9</v>
      </c>
      <c r="E150" s="5">
        <v>8.1999999999999993</v>
      </c>
      <c r="F150" s="5">
        <v>10.5</v>
      </c>
      <c r="G150" s="5">
        <f t="shared" si="14"/>
        <v>1217.3000000000002</v>
      </c>
      <c r="J150" s="5">
        <v>4.7</v>
      </c>
      <c r="K150" s="5">
        <f t="shared" si="15"/>
        <v>173.4</v>
      </c>
      <c r="L150" s="5">
        <v>0.7</v>
      </c>
      <c r="M150" s="5">
        <f t="shared" si="16"/>
        <v>127.29999999999991</v>
      </c>
      <c r="N150" s="5">
        <v>4</v>
      </c>
      <c r="O150" s="5">
        <f t="shared" si="11"/>
        <v>109.20000000000002</v>
      </c>
      <c r="P150" s="5">
        <v>101</v>
      </c>
      <c r="Q150" s="5">
        <f t="shared" si="19"/>
        <v>0.87812500000000004</v>
      </c>
      <c r="R150" s="9">
        <f t="shared" si="12"/>
        <v>0.61468749999999994</v>
      </c>
      <c r="S150" s="9">
        <f t="shared" si="13"/>
        <v>4.0853125000000006</v>
      </c>
      <c r="T150" s="9">
        <f t="shared" si="17"/>
        <v>132.64191964285715</v>
      </c>
      <c r="V150" s="5">
        <v>142.9</v>
      </c>
      <c r="X150" s="5">
        <f t="shared" si="18"/>
        <v>55894.900000000016</v>
      </c>
      <c r="AA150" s="13">
        <v>8.3454770907109808</v>
      </c>
    </row>
    <row r="151" spans="1:27" s="5" customFormat="1" x14ac:dyDescent="0.25">
      <c r="A151" s="76"/>
      <c r="B151" s="10"/>
      <c r="C151" s="11">
        <v>40901</v>
      </c>
      <c r="D151" s="5">
        <v>6.9</v>
      </c>
      <c r="E151" s="5">
        <v>3.9</v>
      </c>
      <c r="F151" s="5">
        <v>9.5</v>
      </c>
      <c r="G151" s="5">
        <f t="shared" si="14"/>
        <v>1224.2000000000003</v>
      </c>
      <c r="J151" s="5">
        <v>0.1</v>
      </c>
      <c r="K151" s="5">
        <f t="shared" si="15"/>
        <v>173.5</v>
      </c>
      <c r="L151" s="5">
        <v>0.8</v>
      </c>
      <c r="M151" s="5">
        <f t="shared" si="16"/>
        <v>128.09999999999991</v>
      </c>
      <c r="N151" s="5">
        <v>-0.70000000000000007</v>
      </c>
      <c r="O151" s="5">
        <f t="shared" si="11"/>
        <v>108.50000000000001</v>
      </c>
      <c r="P151" s="5">
        <v>102</v>
      </c>
      <c r="Q151" s="5">
        <f t="shared" si="19"/>
        <v>0.8839285714285714</v>
      </c>
      <c r="R151" s="9">
        <f t="shared" si="12"/>
        <v>0.70714285714285718</v>
      </c>
      <c r="S151" s="9">
        <f t="shared" si="13"/>
        <v>-0.60714285714285721</v>
      </c>
      <c r="T151" s="9">
        <f t="shared" si="17"/>
        <v>132.03477678571429</v>
      </c>
      <c r="V151" s="5">
        <v>569.1</v>
      </c>
      <c r="X151" s="5">
        <f t="shared" si="18"/>
        <v>56464.000000000015</v>
      </c>
      <c r="AA151" s="13">
        <v>8.3470518089656096</v>
      </c>
    </row>
    <row r="152" spans="1:27" s="5" customFormat="1" x14ac:dyDescent="0.25">
      <c r="A152" s="76"/>
      <c r="B152" s="10"/>
      <c r="C152" s="11">
        <v>40902</v>
      </c>
      <c r="D152" s="5">
        <v>9</v>
      </c>
      <c r="E152" s="5">
        <v>7.2</v>
      </c>
      <c r="F152" s="5">
        <v>11.4</v>
      </c>
      <c r="G152" s="5">
        <f t="shared" si="14"/>
        <v>1233.2000000000003</v>
      </c>
      <c r="J152" s="5">
        <v>0</v>
      </c>
      <c r="K152" s="5">
        <f t="shared" si="15"/>
        <v>173.5</v>
      </c>
      <c r="L152" s="5">
        <v>0.7</v>
      </c>
      <c r="M152" s="5">
        <f t="shared" si="16"/>
        <v>128.7999999999999</v>
      </c>
      <c r="N152" s="5">
        <v>-0.7</v>
      </c>
      <c r="O152" s="5">
        <f t="shared" si="11"/>
        <v>107.80000000000001</v>
      </c>
      <c r="P152" s="5">
        <v>103</v>
      </c>
      <c r="Q152" s="5">
        <f t="shared" si="19"/>
        <v>0.88973214285714286</v>
      </c>
      <c r="R152" s="9">
        <f t="shared" si="12"/>
        <v>0.62281249999999999</v>
      </c>
      <c r="S152" s="9">
        <f t="shared" si="13"/>
        <v>-0.62281249999999999</v>
      </c>
      <c r="T152" s="9">
        <f t="shared" si="17"/>
        <v>131.41196428571428</v>
      </c>
      <c r="V152" s="5">
        <v>107.8</v>
      </c>
      <c r="X152" s="5">
        <f t="shared" si="18"/>
        <v>56571.800000000017</v>
      </c>
      <c r="AA152" s="13">
        <v>8.3501762175618701</v>
      </c>
    </row>
    <row r="153" spans="1:27" s="5" customFormat="1" x14ac:dyDescent="0.25">
      <c r="A153" s="76"/>
      <c r="B153" s="10"/>
      <c r="C153" s="11">
        <v>40903</v>
      </c>
      <c r="D153" s="5">
        <v>6.6</v>
      </c>
      <c r="E153" s="5">
        <v>5.5</v>
      </c>
      <c r="F153" s="5">
        <v>12.3</v>
      </c>
      <c r="G153" s="5">
        <f t="shared" si="14"/>
        <v>1239.8000000000002</v>
      </c>
      <c r="J153" s="5">
        <v>0</v>
      </c>
      <c r="K153" s="5">
        <f t="shared" si="15"/>
        <v>173.5</v>
      </c>
      <c r="L153" s="5">
        <v>1.2</v>
      </c>
      <c r="M153" s="5">
        <f t="shared" si="16"/>
        <v>129.99999999999989</v>
      </c>
      <c r="N153" s="5">
        <v>-1.2</v>
      </c>
      <c r="O153" s="5">
        <f t="shared" si="11"/>
        <v>106.60000000000001</v>
      </c>
      <c r="P153" s="5">
        <v>104</v>
      </c>
      <c r="Q153" s="5">
        <f t="shared" si="19"/>
        <v>0.89553571428571432</v>
      </c>
      <c r="R153" s="9">
        <f t="shared" si="12"/>
        <v>1.0746428571428572</v>
      </c>
      <c r="S153" s="9">
        <f t="shared" si="13"/>
        <v>-1.0746428571428572</v>
      </c>
      <c r="T153" s="9">
        <f t="shared" si="17"/>
        <v>130.33732142857141</v>
      </c>
      <c r="V153" s="5">
        <v>614.20000000000005</v>
      </c>
      <c r="X153" s="5">
        <f t="shared" si="18"/>
        <v>57186.000000000015</v>
      </c>
      <c r="AA153" s="13">
        <v>8.3548471506033692</v>
      </c>
    </row>
    <row r="154" spans="1:27" s="5" customFormat="1" x14ac:dyDescent="0.25">
      <c r="A154" s="76"/>
      <c r="B154" s="14"/>
      <c r="C154" s="11">
        <v>40904</v>
      </c>
      <c r="D154" s="5">
        <v>1.7</v>
      </c>
      <c r="E154" s="5">
        <v>0</v>
      </c>
      <c r="F154" s="5">
        <v>5.2</v>
      </c>
      <c r="G154" s="5">
        <f t="shared" si="14"/>
        <v>1241.5000000000002</v>
      </c>
      <c r="J154" s="5">
        <v>0</v>
      </c>
      <c r="K154" s="5">
        <f t="shared" si="15"/>
        <v>173.5</v>
      </c>
      <c r="L154" s="5">
        <v>0.6</v>
      </c>
      <c r="M154" s="5">
        <f t="shared" si="16"/>
        <v>130.59999999999988</v>
      </c>
      <c r="N154" s="5">
        <v>-0.6</v>
      </c>
      <c r="O154" s="5">
        <f t="shared" ref="O154:O217" si="20">O153+N154</f>
        <v>106.00000000000001</v>
      </c>
      <c r="P154" s="5">
        <v>105</v>
      </c>
      <c r="Q154" s="5">
        <f t="shared" si="19"/>
        <v>0.90133928571428568</v>
      </c>
      <c r="R154" s="9">
        <f t="shared" si="12"/>
        <v>0.54080357142857138</v>
      </c>
      <c r="S154" s="9">
        <f t="shared" si="13"/>
        <v>-0.54080357142857138</v>
      </c>
      <c r="T154" s="9">
        <f t="shared" si="17"/>
        <v>129.79651785714285</v>
      </c>
      <c r="V154" s="5">
        <v>281.8</v>
      </c>
      <c r="X154" s="5">
        <f t="shared" si="18"/>
        <v>57467.800000000017</v>
      </c>
      <c r="AA154" s="13">
        <v>8.3610596031940396</v>
      </c>
    </row>
    <row r="155" spans="1:27" s="5" customFormat="1" x14ac:dyDescent="0.25">
      <c r="A155" s="76"/>
      <c r="B155" s="10"/>
      <c r="C155" s="11">
        <v>40905</v>
      </c>
      <c r="D155" s="5">
        <v>6.3</v>
      </c>
      <c r="E155" s="5">
        <v>2.6</v>
      </c>
      <c r="F155" s="5">
        <v>11.2</v>
      </c>
      <c r="G155" s="5">
        <f t="shared" si="14"/>
        <v>1247.8000000000002</v>
      </c>
      <c r="J155" s="5">
        <v>0.5</v>
      </c>
      <c r="K155" s="5">
        <f t="shared" si="15"/>
        <v>174</v>
      </c>
      <c r="L155" s="5">
        <v>0.5</v>
      </c>
      <c r="M155" s="5">
        <f t="shared" si="16"/>
        <v>131.09999999999988</v>
      </c>
      <c r="N155" s="5">
        <v>0</v>
      </c>
      <c r="O155" s="5">
        <f t="shared" si="20"/>
        <v>106.00000000000001</v>
      </c>
      <c r="P155" s="5">
        <v>106</v>
      </c>
      <c r="Q155" s="5">
        <f t="shared" si="19"/>
        <v>0.90714285714285714</v>
      </c>
      <c r="R155" s="9">
        <f t="shared" si="12"/>
        <v>0.45357142857142857</v>
      </c>
      <c r="S155" s="9">
        <f t="shared" si="13"/>
        <v>4.642857142857143E-2</v>
      </c>
      <c r="T155" s="9">
        <f t="shared" si="17"/>
        <v>129.84294642857142</v>
      </c>
      <c r="V155" s="5">
        <v>201.5</v>
      </c>
      <c r="X155" s="5">
        <f t="shared" si="18"/>
        <v>57669.300000000017</v>
      </c>
      <c r="AA155" s="13">
        <v>8.3688067531851402</v>
      </c>
    </row>
    <row r="156" spans="1:27" s="5" customFormat="1" x14ac:dyDescent="0.25">
      <c r="A156" s="76"/>
      <c r="B156" s="10"/>
      <c r="C156" s="11">
        <v>40906</v>
      </c>
      <c r="D156" s="5">
        <v>6.1</v>
      </c>
      <c r="E156" s="5">
        <v>3.1</v>
      </c>
      <c r="F156" s="5">
        <v>8.8000000000000007</v>
      </c>
      <c r="G156" s="5">
        <f t="shared" si="14"/>
        <v>1253.9000000000001</v>
      </c>
      <c r="J156" s="5">
        <v>1.3</v>
      </c>
      <c r="K156" s="5">
        <f t="shared" si="15"/>
        <v>175.3</v>
      </c>
      <c r="L156" s="5">
        <v>0.6</v>
      </c>
      <c r="M156" s="5">
        <f t="shared" si="16"/>
        <v>131.69999999999987</v>
      </c>
      <c r="N156" s="5">
        <v>0.70000000000000007</v>
      </c>
      <c r="O156" s="5">
        <f t="shared" si="20"/>
        <v>106.70000000000002</v>
      </c>
      <c r="P156" s="5">
        <v>107</v>
      </c>
      <c r="Q156" s="5">
        <f t="shared" si="19"/>
        <v>0.9129464285714286</v>
      </c>
      <c r="R156" s="9">
        <f t="shared" si="12"/>
        <v>0.54776785714285714</v>
      </c>
      <c r="S156" s="9">
        <f t="shared" si="13"/>
        <v>0.7522321428571429</v>
      </c>
      <c r="T156" s="9">
        <f t="shared" si="17"/>
        <v>130.59517857142856</v>
      </c>
      <c r="V156" s="5">
        <v>364.4</v>
      </c>
      <c r="X156" s="5">
        <f t="shared" si="18"/>
        <v>58033.700000000019</v>
      </c>
      <c r="AA156" s="13">
        <v>8.3780799906893897</v>
      </c>
    </row>
    <row r="157" spans="1:27" s="5" customFormat="1" x14ac:dyDescent="0.25">
      <c r="A157" s="76"/>
      <c r="B157" s="10"/>
      <c r="C157" s="11">
        <v>40907</v>
      </c>
      <c r="D157" s="5">
        <v>10.4</v>
      </c>
      <c r="E157" s="5">
        <v>7.3</v>
      </c>
      <c r="F157" s="5">
        <v>12.4</v>
      </c>
      <c r="G157" s="5">
        <f t="shared" si="14"/>
        <v>1264.3000000000002</v>
      </c>
      <c r="J157" s="5">
        <v>3.3</v>
      </c>
      <c r="K157" s="5">
        <f t="shared" si="15"/>
        <v>178.60000000000002</v>
      </c>
      <c r="L157" s="5">
        <v>0.3</v>
      </c>
      <c r="M157" s="5">
        <f t="shared" si="16"/>
        <v>131.99999999999989</v>
      </c>
      <c r="N157" s="5">
        <v>3</v>
      </c>
      <c r="O157" s="5">
        <f t="shared" si="20"/>
        <v>109.70000000000002</v>
      </c>
      <c r="P157" s="5">
        <v>108</v>
      </c>
      <c r="Q157" s="5">
        <f t="shared" si="19"/>
        <v>0.91874999999999996</v>
      </c>
      <c r="R157" s="9">
        <f t="shared" si="12"/>
        <v>0.27562499999999995</v>
      </c>
      <c r="S157" s="9">
        <f t="shared" si="13"/>
        <v>3.024375</v>
      </c>
      <c r="T157" s="9">
        <f t="shared" si="17"/>
        <v>133.61955357142855</v>
      </c>
      <c r="V157" s="5">
        <v>126</v>
      </c>
      <c r="X157" s="5">
        <f t="shared" si="18"/>
        <v>58159.700000000019</v>
      </c>
      <c r="AA157" s="13">
        <v>8.3888689550965605</v>
      </c>
    </row>
    <row r="158" spans="1:27" s="5" customFormat="1" x14ac:dyDescent="0.25">
      <c r="A158" s="76"/>
      <c r="B158" s="10"/>
      <c r="C158" s="11">
        <v>40908</v>
      </c>
      <c r="D158" s="5">
        <v>12.7</v>
      </c>
      <c r="E158" s="5">
        <v>11.7</v>
      </c>
      <c r="F158" s="5">
        <v>13.4</v>
      </c>
      <c r="G158" s="5">
        <f t="shared" si="14"/>
        <v>1277.0000000000002</v>
      </c>
      <c r="J158" s="5">
        <v>1.2</v>
      </c>
      <c r="K158" s="5">
        <f t="shared" si="15"/>
        <v>179.8</v>
      </c>
      <c r="L158" s="5">
        <v>0.3</v>
      </c>
      <c r="M158" s="5">
        <f t="shared" si="16"/>
        <v>132.2999999999999</v>
      </c>
      <c r="N158" s="5">
        <v>0.89999999999999991</v>
      </c>
      <c r="O158" s="5">
        <f t="shared" si="20"/>
        <v>110.60000000000002</v>
      </c>
      <c r="P158" s="5">
        <v>109</v>
      </c>
      <c r="Q158" s="5">
        <f t="shared" si="19"/>
        <v>0.92455357142857142</v>
      </c>
      <c r="R158" s="9">
        <f t="shared" si="12"/>
        <v>0.27736607142857139</v>
      </c>
      <c r="S158" s="9">
        <f t="shared" si="13"/>
        <v>0.92263392857142856</v>
      </c>
      <c r="T158" s="9">
        <f t="shared" si="17"/>
        <v>134.54218749999998</v>
      </c>
      <c r="V158" s="5">
        <v>125.4</v>
      </c>
      <c r="X158" s="5">
        <f t="shared" si="18"/>
        <v>58285.10000000002</v>
      </c>
      <c r="AA158" s="13">
        <v>8.4011615792606609</v>
      </c>
    </row>
    <row r="159" spans="1:27" s="5" customFormat="1" x14ac:dyDescent="0.25">
      <c r="A159" s="76"/>
      <c r="B159" s="10"/>
      <c r="C159" s="11">
        <v>40909</v>
      </c>
      <c r="D159" s="5">
        <v>12.4</v>
      </c>
      <c r="E159" s="5">
        <v>12</v>
      </c>
      <c r="F159" s="5">
        <v>13.5</v>
      </c>
      <c r="G159" s="5">
        <f t="shared" si="14"/>
        <v>1289.4000000000003</v>
      </c>
      <c r="J159" s="5">
        <v>9.1999999999999993</v>
      </c>
      <c r="K159" s="5">
        <f t="shared" si="15"/>
        <v>189</v>
      </c>
      <c r="L159" s="5">
        <v>0.4</v>
      </c>
      <c r="M159" s="5">
        <f t="shared" si="16"/>
        <v>132.6999999999999</v>
      </c>
      <c r="N159" s="5">
        <v>8.7999999999999989</v>
      </c>
      <c r="O159" s="5">
        <f t="shared" si="20"/>
        <v>119.40000000000002</v>
      </c>
      <c r="P159" s="5">
        <v>110</v>
      </c>
      <c r="Q159" s="5">
        <f t="shared" si="19"/>
        <v>0.93035714285714288</v>
      </c>
      <c r="R159" s="9">
        <f t="shared" si="12"/>
        <v>0.37214285714285716</v>
      </c>
      <c r="S159" s="9">
        <f t="shared" si="13"/>
        <v>8.8278571428571428</v>
      </c>
      <c r="T159" s="9">
        <f t="shared" si="17"/>
        <v>143.37004464285712</v>
      </c>
      <c r="V159" s="5">
        <v>66.8</v>
      </c>
      <c r="X159" s="5">
        <f t="shared" si="18"/>
        <v>58351.900000000023</v>
      </c>
      <c r="AA159" s="13">
        <v>8.4193892160187005</v>
      </c>
    </row>
    <row r="160" spans="1:27" s="5" customFormat="1" x14ac:dyDescent="0.25">
      <c r="A160" s="76"/>
      <c r="B160" s="10"/>
      <c r="C160" s="11">
        <v>40910</v>
      </c>
      <c r="D160" s="5">
        <v>7.8</v>
      </c>
      <c r="E160" s="5">
        <v>6.5</v>
      </c>
      <c r="F160" s="5">
        <v>10.9</v>
      </c>
      <c r="G160" s="5">
        <f t="shared" si="14"/>
        <v>1297.2000000000003</v>
      </c>
      <c r="J160" s="5">
        <v>0.2</v>
      </c>
      <c r="K160" s="5">
        <f t="shared" si="15"/>
        <v>189.2</v>
      </c>
      <c r="L160" s="5">
        <v>1.1000000000000001</v>
      </c>
      <c r="M160" s="5">
        <f t="shared" si="16"/>
        <v>133.7999999999999</v>
      </c>
      <c r="N160" s="5">
        <v>-0.90000000000000013</v>
      </c>
      <c r="O160" s="5">
        <f t="shared" si="20"/>
        <v>118.50000000000001</v>
      </c>
      <c r="P160" s="5">
        <v>111</v>
      </c>
      <c r="Q160" s="5">
        <f t="shared" si="19"/>
        <v>0.93616071428571435</v>
      </c>
      <c r="R160" s="9">
        <f t="shared" si="12"/>
        <v>1.0297767857142859</v>
      </c>
      <c r="S160" s="9">
        <f t="shared" si="13"/>
        <v>-0.82977678571428592</v>
      </c>
      <c r="T160" s="9">
        <f t="shared" si="17"/>
        <v>142.54026785714285</v>
      </c>
      <c r="V160" s="5">
        <v>576.4</v>
      </c>
      <c r="X160" s="5">
        <f t="shared" si="18"/>
        <v>58928.300000000025</v>
      </c>
      <c r="AA160" s="13">
        <v>8.4350877093723202</v>
      </c>
    </row>
    <row r="161" spans="1:27" s="5" customFormat="1" x14ac:dyDescent="0.25">
      <c r="A161" s="76"/>
      <c r="B161" s="10"/>
      <c r="C161" s="11">
        <v>40911</v>
      </c>
      <c r="D161" s="5">
        <v>11.3</v>
      </c>
      <c r="E161" s="5">
        <v>6.9</v>
      </c>
      <c r="F161" s="5">
        <v>14.2</v>
      </c>
      <c r="G161" s="5">
        <f t="shared" si="14"/>
        <v>1308.5000000000002</v>
      </c>
      <c r="J161" s="5">
        <v>4.3</v>
      </c>
      <c r="K161" s="5">
        <f t="shared" si="15"/>
        <v>193.5</v>
      </c>
      <c r="L161" s="5">
        <v>0.6</v>
      </c>
      <c r="M161" s="5">
        <f t="shared" si="16"/>
        <v>134.39999999999989</v>
      </c>
      <c r="N161" s="5">
        <v>3.6999999999999997</v>
      </c>
      <c r="O161" s="5">
        <f t="shared" si="20"/>
        <v>122.20000000000002</v>
      </c>
      <c r="P161" s="5">
        <v>112</v>
      </c>
      <c r="Q161" s="5">
        <f t="shared" si="19"/>
        <v>0.9419642857142857</v>
      </c>
      <c r="R161" s="9">
        <f t="shared" si="12"/>
        <v>0.56517857142857142</v>
      </c>
      <c r="S161" s="9">
        <f t="shared" si="13"/>
        <v>3.7348214285714283</v>
      </c>
      <c r="T161" s="9">
        <f t="shared" si="17"/>
        <v>146.27508928571427</v>
      </c>
      <c r="V161" s="5">
        <v>100.2</v>
      </c>
      <c r="X161" s="5">
        <f t="shared" si="18"/>
        <v>59028.500000000022</v>
      </c>
      <c r="AA161" s="13">
        <v>8.4522385901356891</v>
      </c>
    </row>
    <row r="162" spans="1:27" s="5" customFormat="1" x14ac:dyDescent="0.25">
      <c r="A162" s="76"/>
      <c r="B162" s="10"/>
      <c r="C162" s="11">
        <v>40912</v>
      </c>
      <c r="D162" s="5">
        <v>9</v>
      </c>
      <c r="E162" s="5">
        <v>6.1</v>
      </c>
      <c r="F162" s="5">
        <v>10.6</v>
      </c>
      <c r="G162" s="5">
        <f t="shared" si="14"/>
        <v>1317.5000000000002</v>
      </c>
      <c r="J162" s="5">
        <v>0</v>
      </c>
      <c r="K162" s="5">
        <f t="shared" si="15"/>
        <v>193.5</v>
      </c>
      <c r="L162" s="5">
        <v>1.2</v>
      </c>
      <c r="M162" s="5">
        <f t="shared" si="16"/>
        <v>135.59999999999988</v>
      </c>
      <c r="N162" s="5">
        <v>-1.2</v>
      </c>
      <c r="O162" s="5">
        <f t="shared" si="20"/>
        <v>121.00000000000001</v>
      </c>
      <c r="P162" s="5">
        <v>113</v>
      </c>
      <c r="Q162" s="5">
        <f t="shared" si="19"/>
        <v>0.94776785714285716</v>
      </c>
      <c r="R162" s="9">
        <f t="shared" si="12"/>
        <v>1.1373214285714286</v>
      </c>
      <c r="S162" s="9">
        <f t="shared" si="13"/>
        <v>-1.1373214285714286</v>
      </c>
      <c r="T162" s="9">
        <f t="shared" si="17"/>
        <v>145.13776785714285</v>
      </c>
      <c r="V162" s="5">
        <v>487.1</v>
      </c>
      <c r="X162" s="5">
        <f t="shared" si="18"/>
        <v>59515.60000000002</v>
      </c>
      <c r="AA162" s="13">
        <v>8.4708231076445308</v>
      </c>
    </row>
    <row r="163" spans="1:27" s="5" customFormat="1" x14ac:dyDescent="0.25">
      <c r="A163" s="76"/>
      <c r="B163" s="10"/>
      <c r="C163" s="11">
        <v>40913</v>
      </c>
      <c r="D163" s="5">
        <v>10.3</v>
      </c>
      <c r="E163" s="5">
        <v>9.8000000000000007</v>
      </c>
      <c r="F163" s="5">
        <v>12</v>
      </c>
      <c r="G163" s="5">
        <f t="shared" si="14"/>
        <v>1327.8000000000002</v>
      </c>
      <c r="J163" s="5">
        <v>0.7</v>
      </c>
      <c r="K163" s="5">
        <f t="shared" si="15"/>
        <v>194.2</v>
      </c>
      <c r="L163" s="5">
        <v>1.3</v>
      </c>
      <c r="M163" s="5">
        <f t="shared" si="16"/>
        <v>136.89999999999989</v>
      </c>
      <c r="N163" s="5">
        <v>-0.60000000000000009</v>
      </c>
      <c r="O163" s="5">
        <f t="shared" si="20"/>
        <v>120.40000000000002</v>
      </c>
      <c r="P163" s="5">
        <v>114</v>
      </c>
      <c r="Q163" s="5">
        <f t="shared" si="19"/>
        <v>0.95357142857142863</v>
      </c>
      <c r="R163" s="9">
        <f t="shared" si="12"/>
        <v>1.2396428571428573</v>
      </c>
      <c r="S163" s="9">
        <f t="shared" si="13"/>
        <v>-0.53964285714285731</v>
      </c>
      <c r="T163" s="9">
        <f t="shared" si="17"/>
        <v>144.59812499999998</v>
      </c>
      <c r="V163" s="5">
        <v>108.8</v>
      </c>
      <c r="X163" s="5">
        <f t="shared" si="18"/>
        <v>59624.400000000023</v>
      </c>
      <c r="AA163" s="13">
        <v>8.4908211407778005</v>
      </c>
    </row>
    <row r="164" spans="1:27" s="5" customFormat="1" x14ac:dyDescent="0.25">
      <c r="A164" s="76"/>
      <c r="B164" s="10"/>
      <c r="C164" s="11">
        <v>40914</v>
      </c>
      <c r="D164" s="5">
        <v>8.5</v>
      </c>
      <c r="E164" s="5">
        <v>6.2</v>
      </c>
      <c r="F164" s="5">
        <v>10.7</v>
      </c>
      <c r="G164" s="5">
        <f t="shared" si="14"/>
        <v>1336.3000000000002</v>
      </c>
      <c r="J164" s="5">
        <v>0</v>
      </c>
      <c r="K164" s="5">
        <f t="shared" si="15"/>
        <v>194.2</v>
      </c>
      <c r="L164" s="5">
        <v>0.9</v>
      </c>
      <c r="M164" s="5">
        <f t="shared" si="16"/>
        <v>137.7999999999999</v>
      </c>
      <c r="N164" s="5">
        <v>-0.9</v>
      </c>
      <c r="O164" s="5">
        <f t="shared" si="20"/>
        <v>119.50000000000001</v>
      </c>
      <c r="P164" s="5">
        <v>115</v>
      </c>
      <c r="Q164" s="5">
        <f t="shared" si="19"/>
        <v>0.95937499999999998</v>
      </c>
      <c r="R164" s="9">
        <f t="shared" si="12"/>
        <v>0.86343749999999997</v>
      </c>
      <c r="S164" s="9">
        <f t="shared" si="13"/>
        <v>-0.86343749999999997</v>
      </c>
      <c r="T164" s="9">
        <f t="shared" si="17"/>
        <v>143.73468749999998</v>
      </c>
      <c r="V164" s="5">
        <v>535.4</v>
      </c>
      <c r="X164" s="5">
        <f t="shared" si="18"/>
        <v>60159.800000000025</v>
      </c>
      <c r="AA164" s="13">
        <v>8.5122112765059796</v>
      </c>
    </row>
    <row r="165" spans="1:27" s="5" customFormat="1" x14ac:dyDescent="0.25">
      <c r="A165" s="76"/>
      <c r="B165" s="10"/>
      <c r="C165" s="11">
        <v>40915</v>
      </c>
      <c r="D165" s="5">
        <v>9.9</v>
      </c>
      <c r="E165" s="5">
        <v>8.6</v>
      </c>
      <c r="F165" s="5">
        <v>11.3</v>
      </c>
      <c r="G165" s="5">
        <f t="shared" si="14"/>
        <v>1346.2000000000003</v>
      </c>
      <c r="J165" s="5">
        <v>0.3</v>
      </c>
      <c r="K165" s="5">
        <f t="shared" si="15"/>
        <v>194.5</v>
      </c>
      <c r="L165" s="5">
        <v>0.5</v>
      </c>
      <c r="M165" s="5">
        <f t="shared" si="16"/>
        <v>138.2999999999999</v>
      </c>
      <c r="N165" s="5">
        <v>-0.2</v>
      </c>
      <c r="O165" s="5">
        <f t="shared" si="20"/>
        <v>119.30000000000001</v>
      </c>
      <c r="P165" s="5">
        <v>116</v>
      </c>
      <c r="Q165" s="5">
        <f t="shared" si="19"/>
        <v>0.96517857142857144</v>
      </c>
      <c r="R165" s="9">
        <f t="shared" si="12"/>
        <v>0.48258928571428572</v>
      </c>
      <c r="S165" s="9">
        <f t="shared" si="13"/>
        <v>-0.18258928571428573</v>
      </c>
      <c r="T165" s="9">
        <f t="shared" si="17"/>
        <v>143.55209821428571</v>
      </c>
      <c r="V165" s="5">
        <v>149</v>
      </c>
      <c r="X165" s="5">
        <f t="shared" si="18"/>
        <v>60308.800000000025</v>
      </c>
      <c r="AA165" s="13">
        <v>8.5349708918221392</v>
      </c>
    </row>
    <row r="166" spans="1:27" s="5" customFormat="1" x14ac:dyDescent="0.25">
      <c r="A166" s="76"/>
      <c r="B166" s="10"/>
      <c r="C166" s="11">
        <v>40916</v>
      </c>
      <c r="D166" s="5">
        <v>9</v>
      </c>
      <c r="E166" s="5">
        <v>8.6</v>
      </c>
      <c r="F166" s="5">
        <v>9.6999999999999993</v>
      </c>
      <c r="G166" s="5">
        <f t="shared" si="14"/>
        <v>1355.2000000000003</v>
      </c>
      <c r="J166" s="5">
        <v>0.2</v>
      </c>
      <c r="K166" s="5">
        <f t="shared" si="15"/>
        <v>194.7</v>
      </c>
      <c r="L166" s="5">
        <v>0.7</v>
      </c>
      <c r="M166" s="5">
        <f t="shared" si="16"/>
        <v>138.99999999999989</v>
      </c>
      <c r="N166" s="5">
        <v>-0.49999999999999994</v>
      </c>
      <c r="O166" s="5">
        <f t="shared" si="20"/>
        <v>118.80000000000001</v>
      </c>
      <c r="P166" s="5">
        <v>117</v>
      </c>
      <c r="Q166" s="5">
        <f t="shared" si="19"/>
        <v>0.9709821428571429</v>
      </c>
      <c r="R166" s="9">
        <f t="shared" si="12"/>
        <v>0.6796875</v>
      </c>
      <c r="S166" s="9">
        <f t="shared" si="13"/>
        <v>-0.47968749999999999</v>
      </c>
      <c r="T166" s="9">
        <f t="shared" si="17"/>
        <v>143.0724107142857</v>
      </c>
      <c r="V166" s="5">
        <v>179.8</v>
      </c>
      <c r="X166" s="5">
        <f t="shared" si="18"/>
        <v>60488.600000000028</v>
      </c>
      <c r="AA166" s="13">
        <v>8.5590762384411292</v>
      </c>
    </row>
    <row r="167" spans="1:27" s="5" customFormat="1" x14ac:dyDescent="0.25">
      <c r="A167" s="76"/>
      <c r="B167" s="10"/>
      <c r="C167" s="11">
        <v>40917</v>
      </c>
      <c r="D167" s="5">
        <v>9.6999999999999993</v>
      </c>
      <c r="E167" s="5">
        <v>8.3000000000000007</v>
      </c>
      <c r="F167" s="5">
        <v>12.9</v>
      </c>
      <c r="G167" s="5">
        <f t="shared" si="14"/>
        <v>1364.9000000000003</v>
      </c>
      <c r="J167" s="5">
        <v>0.4</v>
      </c>
      <c r="K167" s="5">
        <f t="shared" si="15"/>
        <v>195.1</v>
      </c>
      <c r="L167" s="5">
        <v>0.5</v>
      </c>
      <c r="M167" s="5">
        <f t="shared" si="16"/>
        <v>139.49999999999989</v>
      </c>
      <c r="N167" s="5">
        <v>-9.9999999999999978E-2</v>
      </c>
      <c r="O167" s="5">
        <f t="shared" si="20"/>
        <v>118.70000000000002</v>
      </c>
      <c r="P167" s="5">
        <v>118</v>
      </c>
      <c r="Q167" s="5">
        <f t="shared" si="19"/>
        <v>0.97678571428571426</v>
      </c>
      <c r="R167" s="9">
        <f t="shared" si="12"/>
        <v>0.48839285714285713</v>
      </c>
      <c r="S167" s="9">
        <f t="shared" si="13"/>
        <v>-8.8392857142857106E-2</v>
      </c>
      <c r="T167" s="9">
        <f t="shared" si="17"/>
        <v>142.98401785714285</v>
      </c>
      <c r="V167" s="5">
        <v>192</v>
      </c>
      <c r="X167" s="5">
        <f t="shared" si="18"/>
        <v>60680.600000000028</v>
      </c>
      <c r="AA167" s="13">
        <v>8.5845025296519992</v>
      </c>
    </row>
    <row r="168" spans="1:27" s="5" customFormat="1" x14ac:dyDescent="0.25">
      <c r="A168" s="76"/>
      <c r="B168" s="10"/>
      <c r="C168" s="11">
        <v>40918</v>
      </c>
      <c r="D168" s="5">
        <v>8.8000000000000007</v>
      </c>
      <c r="E168" s="5">
        <v>7.6</v>
      </c>
      <c r="F168" s="5">
        <v>10.1</v>
      </c>
      <c r="G168" s="5">
        <f t="shared" si="14"/>
        <v>1373.7000000000003</v>
      </c>
      <c r="J168" s="5">
        <v>0</v>
      </c>
      <c r="K168" s="5">
        <f t="shared" si="15"/>
        <v>195.1</v>
      </c>
      <c r="L168" s="5">
        <v>0.3</v>
      </c>
      <c r="M168" s="5">
        <f t="shared" si="16"/>
        <v>139.7999999999999</v>
      </c>
      <c r="N168" s="5">
        <v>-0.3</v>
      </c>
      <c r="O168" s="5">
        <f t="shared" si="20"/>
        <v>118.40000000000002</v>
      </c>
      <c r="P168" s="5">
        <v>119</v>
      </c>
      <c r="Q168" s="5">
        <f t="shared" si="19"/>
        <v>0.98258928571428572</v>
      </c>
      <c r="R168" s="9">
        <f t="shared" si="12"/>
        <v>0.29477678571428573</v>
      </c>
      <c r="S168" s="9">
        <f t="shared" si="13"/>
        <v>-0.29477678571428573</v>
      </c>
      <c r="T168" s="9">
        <f t="shared" si="17"/>
        <v>142.68924107142857</v>
      </c>
      <c r="V168" s="5">
        <v>138.30000000000001</v>
      </c>
      <c r="X168" s="5">
        <f t="shared" si="18"/>
        <v>60818.900000000031</v>
      </c>
      <c r="AA168" s="13">
        <v>8.61122402871605</v>
      </c>
    </row>
    <row r="169" spans="1:27" s="5" customFormat="1" x14ac:dyDescent="0.25">
      <c r="A169" s="76"/>
      <c r="B169" s="10"/>
      <c r="C169" s="11">
        <v>40919</v>
      </c>
      <c r="D169" s="5">
        <v>8.6</v>
      </c>
      <c r="E169" s="5">
        <v>7.4</v>
      </c>
      <c r="F169" s="5">
        <v>10.4</v>
      </c>
      <c r="G169" s="5">
        <f t="shared" si="14"/>
        <v>1382.3000000000002</v>
      </c>
      <c r="J169" s="5">
        <v>0</v>
      </c>
      <c r="K169" s="5">
        <f t="shared" si="15"/>
        <v>195.1</v>
      </c>
      <c r="L169" s="5">
        <v>0.7</v>
      </c>
      <c r="M169" s="5">
        <f t="shared" si="16"/>
        <v>140.49999999999989</v>
      </c>
      <c r="N169" s="5">
        <v>-0.7</v>
      </c>
      <c r="O169" s="5">
        <f t="shared" si="20"/>
        <v>117.70000000000002</v>
      </c>
      <c r="P169" s="5">
        <v>120</v>
      </c>
      <c r="Q169" s="5">
        <f t="shared" si="19"/>
        <v>0.98839285714285707</v>
      </c>
      <c r="R169" s="9">
        <f t="shared" si="12"/>
        <v>0.69187499999999991</v>
      </c>
      <c r="S169" s="9">
        <f t="shared" si="13"/>
        <v>-0.69187499999999991</v>
      </c>
      <c r="T169" s="9">
        <f t="shared" si="17"/>
        <v>141.99736607142856</v>
      </c>
      <c r="V169" s="5">
        <v>186.7</v>
      </c>
      <c r="X169" s="5">
        <f t="shared" si="18"/>
        <v>61005.600000000028</v>
      </c>
      <c r="AA169" s="13">
        <v>8.6392141382164898</v>
      </c>
    </row>
    <row r="170" spans="1:27" s="5" customFormat="1" x14ac:dyDescent="0.25">
      <c r="A170" s="76"/>
      <c r="B170" s="10"/>
      <c r="C170" s="11">
        <v>40920</v>
      </c>
      <c r="D170" s="5">
        <v>8.3000000000000007</v>
      </c>
      <c r="E170" s="5">
        <v>5.0999999999999996</v>
      </c>
      <c r="F170" s="5">
        <v>11.7</v>
      </c>
      <c r="G170" s="5">
        <f t="shared" si="14"/>
        <v>1390.6000000000001</v>
      </c>
      <c r="J170" s="5">
        <v>0.8</v>
      </c>
      <c r="K170" s="5">
        <f t="shared" si="15"/>
        <v>195.9</v>
      </c>
      <c r="L170" s="5">
        <v>1</v>
      </c>
      <c r="M170" s="5">
        <f t="shared" si="16"/>
        <v>141.49999999999989</v>
      </c>
      <c r="N170" s="5">
        <v>-0.19999999999999996</v>
      </c>
      <c r="O170" s="5">
        <f t="shared" si="20"/>
        <v>117.50000000000001</v>
      </c>
      <c r="P170" s="5">
        <v>121</v>
      </c>
      <c r="Q170" s="5">
        <f t="shared" si="19"/>
        <v>0.99419642857142854</v>
      </c>
      <c r="R170" s="9">
        <f t="shared" si="12"/>
        <v>0.99419642857142854</v>
      </c>
      <c r="S170" s="9">
        <f t="shared" si="13"/>
        <v>-0.19419642857142849</v>
      </c>
      <c r="T170" s="9">
        <f t="shared" si="17"/>
        <v>141.80316964285714</v>
      </c>
      <c r="V170" s="5">
        <v>598.20000000000005</v>
      </c>
      <c r="X170" s="5">
        <f t="shared" si="18"/>
        <v>61603.800000000025</v>
      </c>
      <c r="AA170" s="13">
        <v>8.6684454897849594</v>
      </c>
    </row>
    <row r="171" spans="1:27" s="16" customFormat="1" x14ac:dyDescent="0.25">
      <c r="A171" s="76"/>
      <c r="B171" s="10"/>
      <c r="C171" s="15">
        <v>40921</v>
      </c>
      <c r="D171" s="16">
        <v>7.4</v>
      </c>
      <c r="E171" s="16">
        <v>5.4</v>
      </c>
      <c r="F171" s="16">
        <v>10</v>
      </c>
      <c r="G171" s="16">
        <f t="shared" si="14"/>
        <v>1398.0000000000002</v>
      </c>
      <c r="J171" s="16">
        <v>0.1</v>
      </c>
      <c r="K171" s="16">
        <f t="shared" si="15"/>
        <v>196</v>
      </c>
      <c r="L171" s="16">
        <v>0.5</v>
      </c>
      <c r="M171" s="16">
        <f t="shared" si="16"/>
        <v>141.99999999999989</v>
      </c>
      <c r="N171" s="16">
        <v>-0.4</v>
      </c>
      <c r="O171" s="16">
        <f t="shared" si="20"/>
        <v>117.10000000000001</v>
      </c>
      <c r="P171" s="16">
        <v>122</v>
      </c>
      <c r="Q171" s="5">
        <f t="shared" si="19"/>
        <v>1</v>
      </c>
      <c r="R171" s="17">
        <f t="shared" si="12"/>
        <v>0.5</v>
      </c>
      <c r="S171" s="17">
        <f t="shared" si="13"/>
        <v>-0.4</v>
      </c>
      <c r="T171" s="9">
        <f t="shared" si="17"/>
        <v>141.40316964285714</v>
      </c>
      <c r="V171" s="16">
        <v>357.1</v>
      </c>
      <c r="W171" s="16">
        <f>(X171/100)/I63</f>
        <v>0.44321101573676702</v>
      </c>
      <c r="X171" s="16">
        <f t="shared" si="18"/>
        <v>61960.900000000023</v>
      </c>
      <c r="AA171" s="13">
        <v>8.6988900336550294</v>
      </c>
    </row>
    <row r="172" spans="1:27" s="5" customFormat="1" x14ac:dyDescent="0.25">
      <c r="A172" s="77" t="s">
        <v>44</v>
      </c>
      <c r="B172" s="14"/>
      <c r="C172" s="18">
        <v>40922</v>
      </c>
      <c r="D172" s="5">
        <v>1.8</v>
      </c>
      <c r="E172" s="5">
        <v>-0.8</v>
      </c>
      <c r="F172" s="5">
        <v>6.9</v>
      </c>
      <c r="G172" s="5">
        <f t="shared" si="14"/>
        <v>1399.8000000000002</v>
      </c>
      <c r="H172" s="5">
        <f>D172</f>
        <v>1.8</v>
      </c>
      <c r="I172" s="19" t="s">
        <v>28</v>
      </c>
      <c r="J172" s="5">
        <v>0.1</v>
      </c>
      <c r="K172" s="5">
        <f t="shared" si="15"/>
        <v>196.1</v>
      </c>
      <c r="L172" s="5">
        <v>0.9</v>
      </c>
      <c r="M172" s="5">
        <f t="shared" si="16"/>
        <v>142.89999999999989</v>
      </c>
      <c r="N172" s="5">
        <v>-0.8</v>
      </c>
      <c r="O172" s="5">
        <f t="shared" si="20"/>
        <v>116.30000000000001</v>
      </c>
      <c r="P172" s="5">
        <v>123</v>
      </c>
      <c r="Q172" s="5">
        <v>1</v>
      </c>
      <c r="R172" s="9">
        <f t="shared" si="12"/>
        <v>0.9</v>
      </c>
      <c r="S172" s="9">
        <f t="shared" si="13"/>
        <v>-0.8</v>
      </c>
      <c r="T172" s="9">
        <f t="shared" si="17"/>
        <v>140.60316964285713</v>
      </c>
      <c r="U172" s="19" t="s">
        <v>29</v>
      </c>
      <c r="V172" s="5">
        <v>691.5</v>
      </c>
      <c r="X172" s="5">
        <f t="shared" si="18"/>
        <v>62652.400000000023</v>
      </c>
      <c r="Y172" s="5">
        <f>V172</f>
        <v>691.5</v>
      </c>
      <c r="Z172" s="19" t="s">
        <v>30</v>
      </c>
      <c r="AA172" s="13">
        <v>8.7305191275220508</v>
      </c>
    </row>
    <row r="173" spans="1:27" s="5" customFormat="1" x14ac:dyDescent="0.25">
      <c r="A173" s="77"/>
      <c r="B173" s="14"/>
      <c r="C173" s="18">
        <v>40923</v>
      </c>
      <c r="D173" s="5">
        <v>0.2</v>
      </c>
      <c r="E173" s="5">
        <v>-0.9</v>
      </c>
      <c r="F173" s="5">
        <v>3.5</v>
      </c>
      <c r="G173" s="5">
        <f t="shared" si="14"/>
        <v>1400.0000000000002</v>
      </c>
      <c r="H173" s="5">
        <f>H172+D173</f>
        <v>2</v>
      </c>
      <c r="I173" s="5">
        <f>MIN(E172:E211)</f>
        <v>-7.9</v>
      </c>
      <c r="J173" s="5">
        <v>0</v>
      </c>
      <c r="K173" s="5">
        <f t="shared" si="15"/>
        <v>196.1</v>
      </c>
      <c r="L173" s="5">
        <v>0.7</v>
      </c>
      <c r="M173" s="5">
        <f t="shared" si="16"/>
        <v>143.59999999999988</v>
      </c>
      <c r="N173" s="5">
        <v>-0.7</v>
      </c>
      <c r="O173" s="5">
        <f t="shared" si="20"/>
        <v>115.60000000000001</v>
      </c>
      <c r="P173" s="5">
        <v>124</v>
      </c>
      <c r="Q173" s="5">
        <v>1</v>
      </c>
      <c r="R173" s="9">
        <f t="shared" si="12"/>
        <v>0.7</v>
      </c>
      <c r="S173" s="9">
        <f t="shared" si="13"/>
        <v>-0.7</v>
      </c>
      <c r="T173" s="9">
        <f t="shared" si="17"/>
        <v>139.90316964285714</v>
      </c>
      <c r="U173" s="5">
        <v>31</v>
      </c>
      <c r="V173" s="5">
        <v>745.7</v>
      </c>
      <c r="X173" s="5">
        <f t="shared" si="18"/>
        <v>63398.10000000002</v>
      </c>
      <c r="Y173" s="5">
        <f>Y172+V173</f>
        <v>1437.2</v>
      </c>
      <c r="Z173" s="5">
        <v>21928.199999999997</v>
      </c>
      <c r="AA173" s="13">
        <v>8.7633036242218001</v>
      </c>
    </row>
    <row r="174" spans="1:27" s="5" customFormat="1" x14ac:dyDescent="0.25">
      <c r="A174" s="77"/>
      <c r="B174" s="14"/>
      <c r="C174" s="18">
        <v>40924</v>
      </c>
      <c r="D174" s="5">
        <v>0.1</v>
      </c>
      <c r="E174" s="5">
        <v>-2.7</v>
      </c>
      <c r="F174" s="5">
        <v>5</v>
      </c>
      <c r="G174" s="5">
        <f t="shared" si="14"/>
        <v>1400.1000000000001</v>
      </c>
      <c r="H174" s="5">
        <f t="shared" ref="H174:H237" si="21">H173+D174</f>
        <v>2.1</v>
      </c>
      <c r="I174" s="19" t="s">
        <v>31</v>
      </c>
      <c r="J174" s="5">
        <v>0</v>
      </c>
      <c r="K174" s="5">
        <f t="shared" si="15"/>
        <v>196.1</v>
      </c>
      <c r="L174" s="5">
        <v>0.7</v>
      </c>
      <c r="M174" s="5">
        <f t="shared" si="16"/>
        <v>144.29999999999987</v>
      </c>
      <c r="N174" s="5">
        <v>-0.7</v>
      </c>
      <c r="O174" s="5">
        <f t="shared" si="20"/>
        <v>114.9</v>
      </c>
      <c r="P174" s="5">
        <v>125</v>
      </c>
      <c r="Q174" s="5">
        <v>1</v>
      </c>
      <c r="R174" s="9">
        <f t="shared" si="12"/>
        <v>0.7</v>
      </c>
      <c r="S174" s="9">
        <f t="shared" si="13"/>
        <v>-0.7</v>
      </c>
      <c r="T174" s="9">
        <f t="shared" si="17"/>
        <v>139.20316964285715</v>
      </c>
      <c r="U174" s="19" t="s">
        <v>32</v>
      </c>
      <c r="V174" s="5">
        <v>753.9</v>
      </c>
      <c r="X174" s="5">
        <f t="shared" si="18"/>
        <v>64152.000000000022</v>
      </c>
      <c r="Y174" s="5">
        <f t="shared" ref="Y174:Y237" si="22">Y173+V174</f>
        <v>2191.1</v>
      </c>
      <c r="Z174" s="19" t="s">
        <v>33</v>
      </c>
      <c r="AA174" s="13">
        <v>8.7972139577765898</v>
      </c>
    </row>
    <row r="175" spans="1:27" s="5" customFormat="1" x14ac:dyDescent="0.25">
      <c r="A175" s="77"/>
      <c r="B175" s="14"/>
      <c r="C175" s="18">
        <v>40925</v>
      </c>
      <c r="D175" s="5">
        <v>-1.2</v>
      </c>
      <c r="E175" s="5">
        <v>-4.7</v>
      </c>
      <c r="F175" s="5">
        <v>1.4</v>
      </c>
      <c r="G175" s="5">
        <v>1400.1</v>
      </c>
      <c r="H175" s="5">
        <v>2.1</v>
      </c>
      <c r="I175" s="5">
        <f>MAX(F172:F211)</f>
        <v>14</v>
      </c>
      <c r="J175" s="5">
        <v>0.1</v>
      </c>
      <c r="K175" s="5">
        <f t="shared" si="15"/>
        <v>196.2</v>
      </c>
      <c r="L175" s="5">
        <v>0.3</v>
      </c>
      <c r="M175" s="5">
        <f t="shared" si="16"/>
        <v>144.59999999999988</v>
      </c>
      <c r="N175" s="5">
        <v>-0.19999999999999998</v>
      </c>
      <c r="O175" s="5">
        <f t="shared" si="20"/>
        <v>114.7</v>
      </c>
      <c r="P175" s="5">
        <v>126</v>
      </c>
      <c r="Q175" s="5">
        <v>1</v>
      </c>
      <c r="R175" s="9">
        <f t="shared" si="12"/>
        <v>0.3</v>
      </c>
      <c r="S175" s="9">
        <f t="shared" si="13"/>
        <v>-0.19999999999999998</v>
      </c>
      <c r="T175" s="9">
        <f t="shared" si="17"/>
        <v>139.00316964285716</v>
      </c>
      <c r="U175" s="5">
        <v>0</v>
      </c>
      <c r="V175" s="5">
        <v>233.8</v>
      </c>
      <c r="X175" s="5">
        <f t="shared" si="18"/>
        <v>64385.800000000025</v>
      </c>
      <c r="Y175" s="5">
        <f t="shared" si="22"/>
        <v>2424.9</v>
      </c>
      <c r="Z175" s="5">
        <f>(Z173/100)/I185</f>
        <v>1.3931512071156289</v>
      </c>
      <c r="AA175" s="13">
        <v>8.8322202273963804</v>
      </c>
    </row>
    <row r="176" spans="1:27" s="5" customFormat="1" x14ac:dyDescent="0.25">
      <c r="A176" s="77"/>
      <c r="B176" s="10"/>
      <c r="C176" s="18">
        <v>40926</v>
      </c>
      <c r="D176" s="5">
        <v>5.7</v>
      </c>
      <c r="E176" s="5">
        <v>-0.7</v>
      </c>
      <c r="F176" s="5">
        <v>11.6</v>
      </c>
      <c r="G176" s="5">
        <f t="shared" si="14"/>
        <v>1405.8</v>
      </c>
      <c r="H176" s="5">
        <f t="shared" si="21"/>
        <v>7.8000000000000007</v>
      </c>
      <c r="I176" s="19" t="s">
        <v>34</v>
      </c>
      <c r="J176" s="5">
        <v>0.7</v>
      </c>
      <c r="K176" s="5">
        <f t="shared" si="15"/>
        <v>196.89999999999998</v>
      </c>
      <c r="L176" s="5">
        <v>0.3</v>
      </c>
      <c r="M176" s="5">
        <f t="shared" si="16"/>
        <v>144.89999999999989</v>
      </c>
      <c r="N176" s="5">
        <v>0.39999999999999997</v>
      </c>
      <c r="O176" s="5">
        <f t="shared" si="20"/>
        <v>115.10000000000001</v>
      </c>
      <c r="P176" s="5">
        <v>127</v>
      </c>
      <c r="Q176" s="5">
        <v>1</v>
      </c>
      <c r="R176" s="9">
        <f t="shared" si="12"/>
        <v>0.3</v>
      </c>
      <c r="S176" s="9">
        <f t="shared" si="13"/>
        <v>0.39999999999999997</v>
      </c>
      <c r="T176" s="9">
        <f t="shared" si="17"/>
        <v>139.40316964285716</v>
      </c>
      <c r="U176" s="19" t="s">
        <v>35</v>
      </c>
      <c r="V176" s="5">
        <v>152.30000000000001</v>
      </c>
      <c r="X176" s="5">
        <f t="shared" si="18"/>
        <v>64538.100000000028</v>
      </c>
      <c r="Y176" s="5">
        <f t="shared" si="22"/>
        <v>2577.2000000000003</v>
      </c>
      <c r="Z176" s="19" t="s">
        <v>36</v>
      </c>
      <c r="AA176" s="13">
        <v>8.8682922790623309</v>
      </c>
    </row>
    <row r="177" spans="1:27" s="5" customFormat="1" x14ac:dyDescent="0.25">
      <c r="A177" s="77"/>
      <c r="B177" s="10"/>
      <c r="C177" s="18">
        <v>40927</v>
      </c>
      <c r="D177" s="5">
        <v>11.6</v>
      </c>
      <c r="E177" s="5">
        <v>10.1</v>
      </c>
      <c r="F177" s="5">
        <v>14</v>
      </c>
      <c r="G177" s="5">
        <f t="shared" si="14"/>
        <v>1417.3999999999999</v>
      </c>
      <c r="H177" s="5">
        <f t="shared" si="21"/>
        <v>19.399999999999999</v>
      </c>
      <c r="I177" s="5">
        <f>AVERAGE(D172:D211)</f>
        <v>3.4550000000000005</v>
      </c>
      <c r="J177" s="5">
        <v>0.7</v>
      </c>
      <c r="K177" s="5">
        <f t="shared" si="15"/>
        <v>197.59999999999997</v>
      </c>
      <c r="L177" s="5">
        <v>0.8</v>
      </c>
      <c r="M177" s="5">
        <f t="shared" si="16"/>
        <v>145.6999999999999</v>
      </c>
      <c r="N177" s="5">
        <v>-0.10000000000000009</v>
      </c>
      <c r="O177" s="5">
        <f t="shared" si="20"/>
        <v>115.00000000000001</v>
      </c>
      <c r="P177" s="5">
        <v>128</v>
      </c>
      <c r="Q177" s="5">
        <v>1</v>
      </c>
      <c r="R177" s="9">
        <f t="shared" si="12"/>
        <v>0.8</v>
      </c>
      <c r="S177" s="9">
        <f t="shared" si="13"/>
        <v>-0.10000000000000009</v>
      </c>
      <c r="T177" s="9">
        <f t="shared" si="17"/>
        <v>139.30316964285717</v>
      </c>
      <c r="U177" s="5">
        <v>0</v>
      </c>
      <c r="V177" s="5">
        <v>136.5</v>
      </c>
      <c r="X177" s="5">
        <f t="shared" si="18"/>
        <v>64674.600000000028</v>
      </c>
      <c r="Y177" s="5">
        <f t="shared" si="22"/>
        <v>2713.7000000000003</v>
      </c>
      <c r="Z177" s="5">
        <v>31</v>
      </c>
      <c r="AA177" s="13">
        <v>8.9053997843622401</v>
      </c>
    </row>
    <row r="178" spans="1:27" s="5" customFormat="1" x14ac:dyDescent="0.25">
      <c r="A178" s="77"/>
      <c r="B178" s="10"/>
      <c r="C178" s="18">
        <v>40928</v>
      </c>
      <c r="D178" s="5">
        <v>9</v>
      </c>
      <c r="E178" s="5">
        <v>8</v>
      </c>
      <c r="F178" s="5">
        <v>11.7</v>
      </c>
      <c r="G178" s="5">
        <f t="shared" si="14"/>
        <v>1426.3999999999999</v>
      </c>
      <c r="H178" s="5">
        <f t="shared" si="21"/>
        <v>28.4</v>
      </c>
      <c r="I178" s="19" t="s">
        <v>37</v>
      </c>
      <c r="J178" s="5">
        <v>0</v>
      </c>
      <c r="K178" s="5">
        <f t="shared" si="15"/>
        <v>197.59999999999997</v>
      </c>
      <c r="L178" s="5">
        <v>0.9</v>
      </c>
      <c r="M178" s="5">
        <f t="shared" si="16"/>
        <v>146.59999999999991</v>
      </c>
      <c r="N178" s="5">
        <v>-0.9</v>
      </c>
      <c r="O178" s="5">
        <f t="shared" si="20"/>
        <v>114.10000000000001</v>
      </c>
      <c r="P178" s="5">
        <v>129</v>
      </c>
      <c r="Q178" s="5">
        <v>1</v>
      </c>
      <c r="R178" s="9">
        <f t="shared" ref="R178:R241" si="23">Q178*L178</f>
        <v>0.9</v>
      </c>
      <c r="S178" s="9">
        <f t="shared" ref="S178:S241" si="24">J178-R178</f>
        <v>-0.9</v>
      </c>
      <c r="T178" s="9">
        <f t="shared" si="17"/>
        <v>138.40316964285716</v>
      </c>
      <c r="U178" s="19" t="s">
        <v>38</v>
      </c>
      <c r="V178" s="5">
        <v>208.9</v>
      </c>
      <c r="X178" s="5">
        <f t="shared" si="18"/>
        <v>64883.500000000029</v>
      </c>
      <c r="Y178" s="5">
        <f t="shared" si="22"/>
        <v>2922.6000000000004</v>
      </c>
      <c r="AA178" s="13">
        <v>8.9435123162883503</v>
      </c>
    </row>
    <row r="179" spans="1:27" s="5" customFormat="1" x14ac:dyDescent="0.25">
      <c r="A179" s="77"/>
      <c r="B179" s="10"/>
      <c r="C179" s="18">
        <v>40929</v>
      </c>
      <c r="D179" s="5">
        <v>11.7</v>
      </c>
      <c r="E179" s="5">
        <v>8.9</v>
      </c>
      <c r="F179" s="5">
        <v>13.5</v>
      </c>
      <c r="G179" s="5">
        <f t="shared" si="14"/>
        <v>1438.1</v>
      </c>
      <c r="H179" s="5">
        <f t="shared" si="21"/>
        <v>40.099999999999994</v>
      </c>
      <c r="I179" s="5">
        <v>24</v>
      </c>
      <c r="J179" s="5">
        <v>0</v>
      </c>
      <c r="K179" s="5">
        <f t="shared" si="15"/>
        <v>197.59999999999997</v>
      </c>
      <c r="L179" s="5">
        <v>0.4</v>
      </c>
      <c r="M179" s="5">
        <f t="shared" si="16"/>
        <v>146.99999999999991</v>
      </c>
      <c r="N179" s="5">
        <v>-0.4</v>
      </c>
      <c r="O179" s="5">
        <f t="shared" si="20"/>
        <v>113.7</v>
      </c>
      <c r="P179" s="5">
        <v>130</v>
      </c>
      <c r="Q179" s="5">
        <v>1</v>
      </c>
      <c r="R179" s="9">
        <f t="shared" si="23"/>
        <v>0.4</v>
      </c>
      <c r="S179" s="9">
        <f t="shared" si="24"/>
        <v>-0.4</v>
      </c>
      <c r="T179" s="9">
        <f t="shared" si="17"/>
        <v>138.00316964285716</v>
      </c>
      <c r="U179" s="9">
        <f>MIN(T172:T211)</f>
        <v>136.40316964285716</v>
      </c>
      <c r="V179" s="5">
        <v>176.1</v>
      </c>
      <c r="X179" s="5">
        <f t="shared" si="18"/>
        <v>65059.600000000028</v>
      </c>
      <c r="Y179" s="5">
        <f t="shared" si="22"/>
        <v>3098.7000000000003</v>
      </c>
      <c r="AA179" s="13">
        <v>8.9825994217501801</v>
      </c>
    </row>
    <row r="180" spans="1:27" s="5" customFormat="1" x14ac:dyDescent="0.25">
      <c r="A180" s="77"/>
      <c r="B180" s="10"/>
      <c r="C180" s="18">
        <v>40930</v>
      </c>
      <c r="D180" s="5">
        <v>10.1</v>
      </c>
      <c r="E180" s="5">
        <v>9.3000000000000007</v>
      </c>
      <c r="F180" s="5">
        <v>10.8</v>
      </c>
      <c r="G180" s="5">
        <f t="shared" ref="G180:G243" si="25">G179+D180</f>
        <v>1448.1999999999998</v>
      </c>
      <c r="H180" s="5">
        <f t="shared" si="21"/>
        <v>50.199999999999996</v>
      </c>
      <c r="I180" s="19" t="s">
        <v>39</v>
      </c>
      <c r="J180" s="5">
        <v>0</v>
      </c>
      <c r="K180" s="5">
        <f t="shared" ref="K180:K243" si="26">K179+J180</f>
        <v>197.59999999999997</v>
      </c>
      <c r="L180" s="5">
        <v>0.6</v>
      </c>
      <c r="M180" s="5">
        <f t="shared" ref="M180:M243" si="27">M179+L180</f>
        <v>147.59999999999991</v>
      </c>
      <c r="N180" s="5">
        <v>-0.6</v>
      </c>
      <c r="O180" s="5">
        <f t="shared" si="20"/>
        <v>113.10000000000001</v>
      </c>
      <c r="P180" s="5">
        <v>131</v>
      </c>
      <c r="Q180" s="5">
        <v>1</v>
      </c>
      <c r="R180" s="9">
        <f t="shared" si="23"/>
        <v>0.6</v>
      </c>
      <c r="S180" s="9">
        <f t="shared" si="24"/>
        <v>-0.6</v>
      </c>
      <c r="T180" s="9">
        <f t="shared" ref="T180:T243" si="28">MIN(197.4,(T179+S180))</f>
        <v>137.40316964285716</v>
      </c>
      <c r="U180" s="19" t="s">
        <v>40</v>
      </c>
      <c r="V180" s="5">
        <v>182.8</v>
      </c>
      <c r="X180" s="5">
        <f t="shared" ref="X180:X243" si="29">X179+V180</f>
        <v>65242.400000000031</v>
      </c>
      <c r="Y180" s="5">
        <f t="shared" si="22"/>
        <v>3281.5000000000005</v>
      </c>
      <c r="AA180" s="5">
        <v>9.02263069059555</v>
      </c>
    </row>
    <row r="181" spans="1:27" s="5" customFormat="1" x14ac:dyDescent="0.25">
      <c r="A181" s="77"/>
      <c r="B181" s="10"/>
      <c r="C181" s="18">
        <v>40931</v>
      </c>
      <c r="D181" s="5">
        <v>8.6999999999999993</v>
      </c>
      <c r="E181" s="5">
        <v>7.5</v>
      </c>
      <c r="F181" s="5">
        <v>10.7</v>
      </c>
      <c r="G181" s="5">
        <f t="shared" si="25"/>
        <v>1456.8999999999999</v>
      </c>
      <c r="H181" s="5">
        <f t="shared" si="21"/>
        <v>58.899999999999991</v>
      </c>
      <c r="I181" s="5">
        <v>0</v>
      </c>
      <c r="J181" s="5">
        <v>0.1</v>
      </c>
      <c r="K181" s="5">
        <f t="shared" si="26"/>
        <v>197.69999999999996</v>
      </c>
      <c r="L181" s="5">
        <v>0.6</v>
      </c>
      <c r="M181" s="5">
        <f t="shared" si="27"/>
        <v>148.1999999999999</v>
      </c>
      <c r="N181" s="5">
        <v>-0.5</v>
      </c>
      <c r="O181" s="5">
        <f t="shared" si="20"/>
        <v>112.60000000000001</v>
      </c>
      <c r="P181" s="5">
        <v>132</v>
      </c>
      <c r="Q181" s="5">
        <v>1</v>
      </c>
      <c r="R181" s="9">
        <f t="shared" si="23"/>
        <v>0.6</v>
      </c>
      <c r="S181" s="9">
        <f t="shared" si="24"/>
        <v>-0.5</v>
      </c>
      <c r="T181" s="9">
        <f t="shared" si="28"/>
        <v>136.90316964285716</v>
      </c>
      <c r="U181" s="9">
        <f>MAX(T172:T211)</f>
        <v>150.70316964285715</v>
      </c>
      <c r="V181" s="5">
        <v>199</v>
      </c>
      <c r="X181" s="5">
        <f t="shared" si="29"/>
        <v>65441.400000000031</v>
      </c>
      <c r="Y181" s="5">
        <f t="shared" si="22"/>
        <v>3480.5000000000005</v>
      </c>
      <c r="AA181" s="5">
        <v>9.0635758209727104</v>
      </c>
    </row>
    <row r="182" spans="1:27" s="5" customFormat="1" x14ac:dyDescent="0.25">
      <c r="A182" s="77"/>
      <c r="B182" s="10"/>
      <c r="C182" s="18">
        <v>40932</v>
      </c>
      <c r="D182" s="5">
        <v>9.6999999999999993</v>
      </c>
      <c r="E182" s="5">
        <v>6.8</v>
      </c>
      <c r="F182" s="5">
        <v>13</v>
      </c>
      <c r="G182" s="5">
        <f t="shared" si="25"/>
        <v>1466.6</v>
      </c>
      <c r="H182" s="5">
        <f t="shared" si="21"/>
        <v>68.599999999999994</v>
      </c>
      <c r="I182" s="19" t="s">
        <v>41</v>
      </c>
      <c r="J182" s="5">
        <v>0</v>
      </c>
      <c r="K182" s="5">
        <f t="shared" si="26"/>
        <v>197.69999999999996</v>
      </c>
      <c r="L182" s="5">
        <v>0.5</v>
      </c>
      <c r="M182" s="5">
        <f t="shared" si="27"/>
        <v>148.6999999999999</v>
      </c>
      <c r="N182" s="5">
        <v>-0.5</v>
      </c>
      <c r="O182" s="5">
        <f t="shared" si="20"/>
        <v>112.10000000000001</v>
      </c>
      <c r="P182" s="5">
        <v>133</v>
      </c>
      <c r="Q182" s="5">
        <v>1</v>
      </c>
      <c r="R182" s="9">
        <f t="shared" si="23"/>
        <v>0.5</v>
      </c>
      <c r="S182" s="9">
        <f t="shared" si="24"/>
        <v>-0.5</v>
      </c>
      <c r="T182" s="9">
        <f t="shared" si="28"/>
        <v>136.40316964285716</v>
      </c>
      <c r="U182" s="19" t="s">
        <v>42</v>
      </c>
      <c r="V182" s="5">
        <v>233.4</v>
      </c>
      <c r="X182" s="5">
        <f t="shared" si="29"/>
        <v>65674.800000000032</v>
      </c>
      <c r="Y182" s="5">
        <f t="shared" si="22"/>
        <v>3713.9000000000005</v>
      </c>
      <c r="AA182" s="5">
        <v>9.1054046809047993</v>
      </c>
    </row>
    <row r="183" spans="1:27" s="5" customFormat="1" x14ac:dyDescent="0.25">
      <c r="A183" s="77"/>
      <c r="B183" s="10"/>
      <c r="C183" s="18">
        <v>40933</v>
      </c>
      <c r="D183" s="5">
        <v>9.1999999999999993</v>
      </c>
      <c r="E183" s="5">
        <v>9</v>
      </c>
      <c r="F183" s="5">
        <v>9.5</v>
      </c>
      <c r="G183" s="5">
        <f t="shared" si="25"/>
        <v>1475.8</v>
      </c>
      <c r="H183" s="5">
        <f t="shared" si="21"/>
        <v>77.8</v>
      </c>
      <c r="I183" s="5">
        <v>6</v>
      </c>
      <c r="J183" s="5">
        <v>1.9</v>
      </c>
      <c r="K183" s="5">
        <f t="shared" si="26"/>
        <v>199.59999999999997</v>
      </c>
      <c r="L183" s="5">
        <v>0.3</v>
      </c>
      <c r="M183" s="5">
        <f t="shared" si="27"/>
        <v>148.99999999999991</v>
      </c>
      <c r="N183" s="5">
        <v>1.5999999999999999</v>
      </c>
      <c r="O183" s="5">
        <f t="shared" si="20"/>
        <v>113.7</v>
      </c>
      <c r="P183" s="5">
        <v>134</v>
      </c>
      <c r="Q183" s="5">
        <v>1</v>
      </c>
      <c r="R183" s="9">
        <f t="shared" si="23"/>
        <v>0.3</v>
      </c>
      <c r="S183" s="9">
        <f t="shared" si="24"/>
        <v>1.5999999999999999</v>
      </c>
      <c r="T183" s="9">
        <f t="shared" si="28"/>
        <v>138.00316964285716</v>
      </c>
      <c r="U183" s="24">
        <f>AVERAGE(T172:T211)</f>
        <v>142.08066964285715</v>
      </c>
      <c r="V183" s="5">
        <v>147.5</v>
      </c>
      <c r="X183" s="5">
        <f t="shared" si="29"/>
        <v>65822.300000000032</v>
      </c>
      <c r="Y183" s="5">
        <f t="shared" si="22"/>
        <v>3861.4000000000005</v>
      </c>
      <c r="AA183" s="5">
        <v>9.1480873659837592</v>
      </c>
    </row>
    <row r="184" spans="1:27" s="5" customFormat="1" x14ac:dyDescent="0.25">
      <c r="A184" s="77"/>
      <c r="B184" s="10"/>
      <c r="C184" s="18">
        <v>40934</v>
      </c>
      <c r="D184" s="5">
        <v>7.1</v>
      </c>
      <c r="E184" s="5">
        <v>6.2</v>
      </c>
      <c r="F184" s="5">
        <v>9.4</v>
      </c>
      <c r="G184" s="5">
        <f t="shared" si="25"/>
        <v>1482.8999999999999</v>
      </c>
      <c r="H184" s="5">
        <f t="shared" si="21"/>
        <v>84.899999999999991</v>
      </c>
      <c r="I184" s="19" t="s">
        <v>43</v>
      </c>
      <c r="J184" s="5">
        <v>0.8</v>
      </c>
      <c r="K184" s="5">
        <f t="shared" si="26"/>
        <v>200.39999999999998</v>
      </c>
      <c r="L184" s="5">
        <v>1.2</v>
      </c>
      <c r="M184" s="5">
        <f t="shared" si="27"/>
        <v>150.1999999999999</v>
      </c>
      <c r="N184" s="5">
        <v>-0.39999999999999991</v>
      </c>
      <c r="O184" s="5">
        <f t="shared" si="20"/>
        <v>113.3</v>
      </c>
      <c r="P184" s="5">
        <v>135</v>
      </c>
      <c r="Q184" s="5">
        <v>1</v>
      </c>
      <c r="R184" s="9">
        <f t="shared" si="23"/>
        <v>1.2</v>
      </c>
      <c r="S184" s="9">
        <f t="shared" si="24"/>
        <v>-0.39999999999999991</v>
      </c>
      <c r="T184" s="9">
        <f t="shared" si="28"/>
        <v>137.60316964285715</v>
      </c>
      <c r="U184" s="19" t="s">
        <v>45</v>
      </c>
      <c r="V184" s="5">
        <v>693.5</v>
      </c>
      <c r="X184" s="5">
        <f t="shared" si="29"/>
        <v>66515.800000000032</v>
      </c>
      <c r="Y184" s="5">
        <f t="shared" si="22"/>
        <v>4554.9000000000005</v>
      </c>
      <c r="AA184" s="5">
        <v>9.1915942531253005</v>
      </c>
    </row>
    <row r="185" spans="1:27" s="5" customFormat="1" x14ac:dyDescent="0.25">
      <c r="A185" s="77"/>
      <c r="B185" s="10"/>
      <c r="C185" s="18">
        <v>40935</v>
      </c>
      <c r="D185" s="5">
        <v>4.0999999999999996</v>
      </c>
      <c r="E185" s="5">
        <v>-1</v>
      </c>
      <c r="F185" s="5">
        <v>10.7</v>
      </c>
      <c r="G185" s="5">
        <f t="shared" si="25"/>
        <v>1486.9999999999998</v>
      </c>
      <c r="H185" s="5">
        <f t="shared" si="21"/>
        <v>88.999999999999986</v>
      </c>
      <c r="I185" s="5">
        <v>157.4</v>
      </c>
      <c r="J185" s="5">
        <v>5.4</v>
      </c>
      <c r="K185" s="5">
        <f t="shared" si="26"/>
        <v>205.79999999999998</v>
      </c>
      <c r="L185" s="5">
        <v>1.2</v>
      </c>
      <c r="M185" s="5">
        <f t="shared" si="27"/>
        <v>151.39999999999989</v>
      </c>
      <c r="N185" s="5">
        <v>4.2</v>
      </c>
      <c r="O185" s="5">
        <f t="shared" si="20"/>
        <v>117.5</v>
      </c>
      <c r="P185" s="5">
        <v>136</v>
      </c>
      <c r="Q185" s="5">
        <v>1</v>
      </c>
      <c r="R185" s="9">
        <f t="shared" si="23"/>
        <v>1.2</v>
      </c>
      <c r="S185" s="9">
        <f t="shared" si="24"/>
        <v>4.2</v>
      </c>
      <c r="T185" s="9">
        <f t="shared" si="28"/>
        <v>141.80316964285714</v>
      </c>
      <c r="U185" s="9">
        <v>8</v>
      </c>
      <c r="V185" s="5">
        <v>825.9</v>
      </c>
      <c r="X185" s="5">
        <f t="shared" si="29"/>
        <v>67341.700000000026</v>
      </c>
      <c r="Y185" s="5">
        <f t="shared" si="22"/>
        <v>5380.8</v>
      </c>
      <c r="AA185" s="5">
        <v>9.2358960503577805</v>
      </c>
    </row>
    <row r="186" spans="1:27" s="5" customFormat="1" x14ac:dyDescent="0.25">
      <c r="A186" s="77"/>
      <c r="B186" s="10"/>
      <c r="C186" s="18">
        <v>40936</v>
      </c>
      <c r="D186" s="5">
        <v>4.3</v>
      </c>
      <c r="E186" s="5">
        <v>3.2</v>
      </c>
      <c r="F186" s="5">
        <v>6.9</v>
      </c>
      <c r="G186" s="5">
        <f t="shared" si="25"/>
        <v>1491.2999999999997</v>
      </c>
      <c r="H186" s="5">
        <f t="shared" si="21"/>
        <v>93.299999999999983</v>
      </c>
      <c r="J186" s="5">
        <v>0.6</v>
      </c>
      <c r="K186" s="5">
        <f t="shared" si="26"/>
        <v>206.39999999999998</v>
      </c>
      <c r="L186" s="5">
        <v>0.6</v>
      </c>
      <c r="M186" s="5">
        <f t="shared" si="27"/>
        <v>151.99999999999989</v>
      </c>
      <c r="N186" s="5">
        <v>0</v>
      </c>
      <c r="O186" s="5">
        <f t="shared" si="20"/>
        <v>117.5</v>
      </c>
      <c r="P186" s="5">
        <v>137</v>
      </c>
      <c r="Q186" s="5">
        <v>1</v>
      </c>
      <c r="R186" s="9">
        <f t="shared" si="23"/>
        <v>0.6</v>
      </c>
      <c r="S186" s="9">
        <f t="shared" si="24"/>
        <v>0</v>
      </c>
      <c r="T186" s="9">
        <f t="shared" si="28"/>
        <v>141.80316964285714</v>
      </c>
      <c r="V186" s="5">
        <v>477.5</v>
      </c>
      <c r="X186" s="5">
        <f t="shared" si="29"/>
        <v>67819.200000000026</v>
      </c>
      <c r="Y186" s="5">
        <f t="shared" si="22"/>
        <v>5858.3</v>
      </c>
      <c r="AA186" s="5">
        <v>9.2809638426474006</v>
      </c>
    </row>
    <row r="187" spans="1:27" s="5" customFormat="1" x14ac:dyDescent="0.25">
      <c r="A187" s="77"/>
      <c r="B187" s="10"/>
      <c r="C187" s="18">
        <v>40937</v>
      </c>
      <c r="D187" s="5">
        <v>4.2</v>
      </c>
      <c r="E187" s="5">
        <v>2.7</v>
      </c>
      <c r="F187" s="5">
        <v>7</v>
      </c>
      <c r="G187" s="5">
        <f t="shared" si="25"/>
        <v>1495.4999999999998</v>
      </c>
      <c r="H187" s="5">
        <f t="shared" si="21"/>
        <v>97.499999999999986</v>
      </c>
      <c r="J187" s="5">
        <v>2.5</v>
      </c>
      <c r="K187" s="5">
        <f t="shared" si="26"/>
        <v>208.89999999999998</v>
      </c>
      <c r="L187" s="5">
        <v>0.6</v>
      </c>
      <c r="M187" s="5">
        <f t="shared" si="27"/>
        <v>152.59999999999988</v>
      </c>
      <c r="N187" s="5">
        <v>1.9</v>
      </c>
      <c r="O187" s="5">
        <f t="shared" si="20"/>
        <v>119.4</v>
      </c>
      <c r="P187" s="5">
        <v>138</v>
      </c>
      <c r="Q187" s="5">
        <v>1</v>
      </c>
      <c r="R187" s="9">
        <f t="shared" si="23"/>
        <v>0.6</v>
      </c>
      <c r="S187" s="9">
        <f t="shared" si="24"/>
        <v>1.9</v>
      </c>
      <c r="T187" s="9">
        <f t="shared" si="28"/>
        <v>143.70316964285715</v>
      </c>
      <c r="U187" s="9">
        <f>(U183*100)/197.4</f>
        <v>71.976023122014752</v>
      </c>
      <c r="V187" s="5">
        <v>482</v>
      </c>
      <c r="X187" s="5">
        <f t="shared" si="29"/>
        <v>68301.200000000026</v>
      </c>
      <c r="Y187" s="5">
        <f t="shared" si="22"/>
        <v>6340.3</v>
      </c>
      <c r="AA187" s="5">
        <v>9.3267691337885896</v>
      </c>
    </row>
    <row r="188" spans="1:27" s="5" customFormat="1" x14ac:dyDescent="0.25">
      <c r="A188" s="77"/>
      <c r="B188" s="10"/>
      <c r="C188" s="18">
        <v>40938</v>
      </c>
      <c r="D188" s="5">
        <v>1.7</v>
      </c>
      <c r="E188" s="5">
        <v>0.9</v>
      </c>
      <c r="F188" s="5">
        <v>2.5</v>
      </c>
      <c r="G188" s="5">
        <f t="shared" si="25"/>
        <v>1497.1999999999998</v>
      </c>
      <c r="H188" s="5">
        <f t="shared" si="21"/>
        <v>99.199999999999989</v>
      </c>
      <c r="J188" s="5">
        <v>7.2</v>
      </c>
      <c r="K188" s="5">
        <f t="shared" si="26"/>
        <v>216.09999999999997</v>
      </c>
      <c r="L188" s="5">
        <v>0.2</v>
      </c>
      <c r="M188" s="5">
        <f t="shared" si="27"/>
        <v>152.79999999999987</v>
      </c>
      <c r="N188" s="5">
        <v>7</v>
      </c>
      <c r="O188" s="5">
        <f t="shared" si="20"/>
        <v>126.4</v>
      </c>
      <c r="P188" s="5">
        <v>139</v>
      </c>
      <c r="Q188" s="5">
        <v>1</v>
      </c>
      <c r="R188" s="9">
        <f t="shared" si="23"/>
        <v>0.2</v>
      </c>
      <c r="S188" s="9">
        <f t="shared" si="24"/>
        <v>7</v>
      </c>
      <c r="T188" s="9">
        <f t="shared" si="28"/>
        <v>150.70316964285715</v>
      </c>
      <c r="V188" s="5">
        <v>92.9</v>
      </c>
      <c r="X188" s="5">
        <f t="shared" si="29"/>
        <v>68394.10000000002</v>
      </c>
      <c r="Y188" s="5">
        <f t="shared" si="22"/>
        <v>6433.2</v>
      </c>
      <c r="AA188" s="5">
        <v>9.37328388441213</v>
      </c>
    </row>
    <row r="189" spans="1:27" s="5" customFormat="1" x14ac:dyDescent="0.25">
      <c r="A189" s="77"/>
      <c r="B189" s="10"/>
      <c r="C189" s="18">
        <v>40939</v>
      </c>
      <c r="D189" s="5">
        <v>0.8</v>
      </c>
      <c r="E189" s="5">
        <v>-0.3</v>
      </c>
      <c r="F189" s="5">
        <v>2.5</v>
      </c>
      <c r="G189" s="5">
        <f t="shared" si="25"/>
        <v>1497.9999999999998</v>
      </c>
      <c r="H189" s="5">
        <f t="shared" si="21"/>
        <v>99.999999999999986</v>
      </c>
      <c r="J189" s="5">
        <v>0.2</v>
      </c>
      <c r="K189" s="5">
        <f t="shared" si="26"/>
        <v>216.29999999999995</v>
      </c>
      <c r="L189" s="5">
        <v>0.6</v>
      </c>
      <c r="M189" s="5">
        <f t="shared" si="27"/>
        <v>153.39999999999986</v>
      </c>
      <c r="N189" s="5">
        <v>-0.39999999999999997</v>
      </c>
      <c r="O189" s="5">
        <f t="shared" si="20"/>
        <v>126</v>
      </c>
      <c r="P189" s="5">
        <v>140</v>
      </c>
      <c r="Q189" s="5">
        <v>1</v>
      </c>
      <c r="R189" s="9">
        <f t="shared" si="23"/>
        <v>0.6</v>
      </c>
      <c r="S189" s="9">
        <f t="shared" si="24"/>
        <v>-0.39999999999999997</v>
      </c>
      <c r="T189" s="9">
        <f t="shared" si="28"/>
        <v>150.30316964285714</v>
      </c>
      <c r="V189" s="5">
        <v>720.2</v>
      </c>
      <c r="X189" s="5">
        <f t="shared" si="29"/>
        <v>69114.300000000017</v>
      </c>
      <c r="Y189" s="5">
        <f t="shared" si="22"/>
        <v>7153.4</v>
      </c>
      <c r="AA189" s="5">
        <v>9.4204805461851908</v>
      </c>
    </row>
    <row r="190" spans="1:27" s="5" customFormat="1" x14ac:dyDescent="0.25">
      <c r="A190" s="77"/>
      <c r="B190" s="10"/>
      <c r="C190" s="18">
        <v>40940</v>
      </c>
      <c r="D190" s="5">
        <v>-1.5</v>
      </c>
      <c r="E190" s="5">
        <v>-2.8</v>
      </c>
      <c r="F190" s="5">
        <v>0.9</v>
      </c>
      <c r="G190" s="5">
        <v>1498</v>
      </c>
      <c r="H190" s="5">
        <v>100</v>
      </c>
      <c r="J190" s="5">
        <v>0</v>
      </c>
      <c r="K190" s="5">
        <f t="shared" si="26"/>
        <v>216.29999999999995</v>
      </c>
      <c r="L190" s="5">
        <v>0.9</v>
      </c>
      <c r="M190" s="5">
        <f t="shared" si="27"/>
        <v>154.29999999999987</v>
      </c>
      <c r="N190" s="5">
        <v>-0.9</v>
      </c>
      <c r="O190" s="5">
        <f t="shared" si="20"/>
        <v>125.1</v>
      </c>
      <c r="P190" s="5">
        <v>141</v>
      </c>
      <c r="Q190" s="5">
        <v>1</v>
      </c>
      <c r="R190" s="9">
        <f t="shared" si="23"/>
        <v>0.9</v>
      </c>
      <c r="S190" s="9">
        <f t="shared" si="24"/>
        <v>-0.9</v>
      </c>
      <c r="T190" s="9">
        <f t="shared" si="28"/>
        <v>149.40316964285714</v>
      </c>
      <c r="V190" s="5">
        <v>689.7</v>
      </c>
      <c r="X190" s="5">
        <f t="shared" si="29"/>
        <v>69804.000000000015</v>
      </c>
      <c r="Y190" s="5">
        <f t="shared" si="22"/>
        <v>7843.0999999999995</v>
      </c>
      <c r="AA190" s="5">
        <v>9.4683320922958405</v>
      </c>
    </row>
    <row r="191" spans="1:27" s="5" customFormat="1" x14ac:dyDescent="0.25">
      <c r="A191" s="77"/>
      <c r="B191" s="10"/>
      <c r="C191" s="18">
        <v>40941</v>
      </c>
      <c r="D191" s="5">
        <v>-2.1</v>
      </c>
      <c r="E191" s="5">
        <v>-4.5999999999999996</v>
      </c>
      <c r="F191" s="5">
        <v>2.5</v>
      </c>
      <c r="G191" s="5">
        <v>1498</v>
      </c>
      <c r="H191" s="5">
        <v>100</v>
      </c>
      <c r="J191" s="5">
        <v>0</v>
      </c>
      <c r="K191" s="5">
        <f t="shared" si="26"/>
        <v>216.29999999999995</v>
      </c>
      <c r="L191" s="5">
        <v>1.8</v>
      </c>
      <c r="M191" s="5">
        <f t="shared" si="27"/>
        <v>156.09999999999988</v>
      </c>
      <c r="N191" s="5">
        <v>-1.8</v>
      </c>
      <c r="O191" s="5">
        <f t="shared" si="20"/>
        <v>123.3</v>
      </c>
      <c r="P191" s="5">
        <v>142</v>
      </c>
      <c r="Q191" s="5">
        <v>1</v>
      </c>
      <c r="R191" s="9">
        <f t="shared" si="23"/>
        <v>1.8</v>
      </c>
      <c r="S191" s="9">
        <f t="shared" si="24"/>
        <v>-1.8</v>
      </c>
      <c r="T191" s="9">
        <f t="shared" si="28"/>
        <v>147.60316964285713</v>
      </c>
      <c r="V191" s="5">
        <v>1038.0999999999999</v>
      </c>
      <c r="X191" s="5">
        <f t="shared" si="29"/>
        <v>70842.10000000002</v>
      </c>
      <c r="Y191" s="5">
        <f t="shared" si="22"/>
        <v>8881.1999999999989</v>
      </c>
      <c r="AA191" s="5">
        <v>9.5168120443305408</v>
      </c>
    </row>
    <row r="192" spans="1:27" s="5" customFormat="1" x14ac:dyDescent="0.25">
      <c r="A192" s="77"/>
      <c r="B192" s="10"/>
      <c r="C192" s="18">
        <v>40942</v>
      </c>
      <c r="D192" s="5">
        <v>-3.8</v>
      </c>
      <c r="E192" s="5">
        <v>-7.9</v>
      </c>
      <c r="F192" s="5">
        <v>2</v>
      </c>
      <c r="G192" s="5">
        <v>1498</v>
      </c>
      <c r="H192" s="5">
        <v>100</v>
      </c>
      <c r="J192" s="5">
        <v>0</v>
      </c>
      <c r="K192" s="5">
        <f t="shared" si="26"/>
        <v>216.29999999999995</v>
      </c>
      <c r="L192" s="5">
        <v>1.2</v>
      </c>
      <c r="M192" s="5">
        <f t="shared" si="27"/>
        <v>157.29999999999987</v>
      </c>
      <c r="N192" s="5">
        <v>-1.2</v>
      </c>
      <c r="O192" s="5">
        <f t="shared" si="20"/>
        <v>122.1</v>
      </c>
      <c r="P192" s="5">
        <v>143</v>
      </c>
      <c r="Q192" s="5">
        <v>1</v>
      </c>
      <c r="R192" s="9">
        <f t="shared" si="23"/>
        <v>1.2</v>
      </c>
      <c r="S192" s="9">
        <f t="shared" si="24"/>
        <v>-1.2</v>
      </c>
      <c r="T192" s="9">
        <f t="shared" si="28"/>
        <v>146.40316964285714</v>
      </c>
      <c r="V192" s="5">
        <v>1054.4000000000001</v>
      </c>
      <c r="X192" s="5">
        <f t="shared" si="29"/>
        <v>71896.500000000015</v>
      </c>
      <c r="Y192" s="5">
        <f t="shared" si="22"/>
        <v>9935.5999999999985</v>
      </c>
      <c r="AA192" s="5">
        <v>9.5658944956672105</v>
      </c>
    </row>
    <row r="193" spans="1:28" s="5" customFormat="1" x14ac:dyDescent="0.25">
      <c r="A193" s="77"/>
      <c r="B193" s="10"/>
      <c r="C193" s="18">
        <v>40943</v>
      </c>
      <c r="D193" s="5">
        <v>-0.7</v>
      </c>
      <c r="E193" s="5">
        <v>-5.9</v>
      </c>
      <c r="F193" s="5">
        <v>3.9</v>
      </c>
      <c r="G193" s="5">
        <v>1498</v>
      </c>
      <c r="H193" s="5">
        <v>100</v>
      </c>
      <c r="J193" s="5">
        <v>0</v>
      </c>
      <c r="K193" s="5">
        <f t="shared" si="26"/>
        <v>216.29999999999995</v>
      </c>
      <c r="L193" s="5">
        <v>0.9</v>
      </c>
      <c r="M193" s="5">
        <f t="shared" si="27"/>
        <v>158.19999999999987</v>
      </c>
      <c r="N193" s="5">
        <v>-0.9</v>
      </c>
      <c r="O193" s="5">
        <f t="shared" si="20"/>
        <v>121.19999999999999</v>
      </c>
      <c r="P193" s="5">
        <v>144</v>
      </c>
      <c r="Q193" s="5">
        <v>1</v>
      </c>
      <c r="R193" s="9">
        <f t="shared" si="23"/>
        <v>0.9</v>
      </c>
      <c r="S193" s="9">
        <f t="shared" si="24"/>
        <v>-0.9</v>
      </c>
      <c r="T193" s="9">
        <f t="shared" si="28"/>
        <v>145.50316964285713</v>
      </c>
      <c r="V193" s="5">
        <v>872.3</v>
      </c>
      <c r="X193" s="5">
        <f t="shared" si="29"/>
        <v>72768.800000000017</v>
      </c>
      <c r="Y193" s="5">
        <f t="shared" si="22"/>
        <v>10807.899999999998</v>
      </c>
      <c r="AA193" s="5">
        <v>9.6155541315168893</v>
      </c>
    </row>
    <row r="194" spans="1:28" s="5" customFormat="1" x14ac:dyDescent="0.25">
      <c r="A194" s="77"/>
      <c r="B194" s="10"/>
      <c r="C194" s="18">
        <v>40944</v>
      </c>
      <c r="D194" s="5">
        <v>1.2</v>
      </c>
      <c r="E194" s="5">
        <v>-0.1</v>
      </c>
      <c r="F194" s="5">
        <v>4.0999999999999996</v>
      </c>
      <c r="G194" s="5">
        <f t="shared" si="25"/>
        <v>1499.2</v>
      </c>
      <c r="H194" s="5">
        <f t="shared" si="21"/>
        <v>101.2</v>
      </c>
      <c r="J194" s="5">
        <v>0</v>
      </c>
      <c r="K194" s="5">
        <f t="shared" si="26"/>
        <v>216.29999999999995</v>
      </c>
      <c r="L194" s="5">
        <v>0.3</v>
      </c>
      <c r="M194" s="5">
        <f t="shared" si="27"/>
        <v>158.49999999999989</v>
      </c>
      <c r="N194" s="5">
        <v>-0.3</v>
      </c>
      <c r="O194" s="5">
        <f t="shared" si="20"/>
        <v>120.89999999999999</v>
      </c>
      <c r="P194" s="5">
        <v>145</v>
      </c>
      <c r="Q194" s="5">
        <v>1</v>
      </c>
      <c r="R194" s="9">
        <f t="shared" si="23"/>
        <v>0.3</v>
      </c>
      <c r="S194" s="9">
        <f t="shared" si="24"/>
        <v>-0.3</v>
      </c>
      <c r="T194" s="9">
        <f t="shared" si="28"/>
        <v>145.20316964285712</v>
      </c>
      <c r="V194" s="5">
        <v>209.8</v>
      </c>
      <c r="X194" s="5">
        <f t="shared" si="29"/>
        <v>72978.60000000002</v>
      </c>
      <c r="Y194" s="5">
        <f t="shared" si="22"/>
        <v>11017.699999999997</v>
      </c>
      <c r="AA194" s="5">
        <v>9.6657662457569504</v>
      </c>
    </row>
    <row r="195" spans="1:28" s="5" customFormat="1" x14ac:dyDescent="0.25">
      <c r="A195" s="77"/>
      <c r="B195" s="10"/>
      <c r="C195" s="18">
        <v>40945</v>
      </c>
      <c r="D195" s="5">
        <v>0.5</v>
      </c>
      <c r="E195" s="5">
        <v>-3.1</v>
      </c>
      <c r="F195" s="5">
        <v>3.4</v>
      </c>
      <c r="G195" s="5">
        <f t="shared" si="25"/>
        <v>1499.7</v>
      </c>
      <c r="H195" s="5">
        <f t="shared" si="21"/>
        <v>101.7</v>
      </c>
      <c r="J195" s="5">
        <v>1.2</v>
      </c>
      <c r="K195" s="5">
        <f t="shared" si="26"/>
        <v>217.49999999999994</v>
      </c>
      <c r="L195" s="5">
        <v>0.3</v>
      </c>
      <c r="M195" s="5">
        <f t="shared" si="27"/>
        <v>158.7999999999999</v>
      </c>
      <c r="N195" s="5">
        <v>0.89999999999999991</v>
      </c>
      <c r="O195" s="5">
        <f t="shared" si="20"/>
        <v>121.8</v>
      </c>
      <c r="P195" s="5">
        <v>146</v>
      </c>
      <c r="Q195" s="5">
        <v>1</v>
      </c>
      <c r="R195" s="9">
        <f t="shared" si="23"/>
        <v>0.3</v>
      </c>
      <c r="S195" s="9">
        <f t="shared" si="24"/>
        <v>0.89999999999999991</v>
      </c>
      <c r="T195" s="9">
        <f t="shared" si="28"/>
        <v>146.10316964285713</v>
      </c>
      <c r="V195" s="5">
        <v>248.9</v>
      </c>
      <c r="X195" s="5">
        <f t="shared" si="29"/>
        <v>73227.500000000015</v>
      </c>
      <c r="Y195" s="5">
        <f t="shared" si="22"/>
        <v>11266.599999999997</v>
      </c>
      <c r="AA195" s="5">
        <v>9.7165067547050707</v>
      </c>
    </row>
    <row r="196" spans="1:28" s="5" customFormat="1" x14ac:dyDescent="0.25">
      <c r="A196" s="77"/>
      <c r="B196" s="10"/>
      <c r="C196" s="18">
        <v>40946</v>
      </c>
      <c r="D196" s="5">
        <v>0</v>
      </c>
      <c r="E196" s="5">
        <v>-0.5</v>
      </c>
      <c r="F196" s="5">
        <v>2.4</v>
      </c>
      <c r="G196" s="5">
        <f t="shared" si="25"/>
        <v>1499.7</v>
      </c>
      <c r="H196" s="5">
        <f t="shared" si="21"/>
        <v>101.7</v>
      </c>
      <c r="J196" s="5">
        <v>0</v>
      </c>
      <c r="K196" s="5">
        <f t="shared" si="26"/>
        <v>217.49999999999994</v>
      </c>
      <c r="L196" s="5">
        <v>1.3</v>
      </c>
      <c r="M196" s="5">
        <f t="shared" si="27"/>
        <v>160.09999999999991</v>
      </c>
      <c r="N196" s="5">
        <v>-1.3</v>
      </c>
      <c r="O196" s="5">
        <f t="shared" si="20"/>
        <v>120.5</v>
      </c>
      <c r="P196" s="5">
        <v>147</v>
      </c>
      <c r="Q196" s="5">
        <v>1</v>
      </c>
      <c r="R196" s="9">
        <f t="shared" si="23"/>
        <v>1.3</v>
      </c>
      <c r="S196" s="9">
        <f t="shared" si="24"/>
        <v>-1.3</v>
      </c>
      <c r="T196" s="9">
        <f t="shared" si="28"/>
        <v>144.80316964285711</v>
      </c>
      <c r="V196" s="5">
        <v>1052.2</v>
      </c>
      <c r="X196" s="5">
        <f t="shared" si="29"/>
        <v>74279.700000000012</v>
      </c>
      <c r="Y196" s="5">
        <f t="shared" si="22"/>
        <v>12318.799999999997</v>
      </c>
      <c r="AA196" s="5">
        <v>9.7677522079885293</v>
      </c>
    </row>
    <row r="197" spans="1:28" s="5" customFormat="1" x14ac:dyDescent="0.25">
      <c r="A197" s="77"/>
      <c r="B197" s="10"/>
      <c r="C197" s="18">
        <v>40947</v>
      </c>
      <c r="D197" s="5">
        <v>-2.8</v>
      </c>
      <c r="E197" s="5">
        <v>-4.4000000000000004</v>
      </c>
      <c r="F197" s="5">
        <v>-1</v>
      </c>
      <c r="G197" s="5">
        <v>1499.7</v>
      </c>
      <c r="H197" s="5">
        <v>101.7</v>
      </c>
      <c r="J197" s="5">
        <v>0</v>
      </c>
      <c r="K197" s="5">
        <f t="shared" si="26"/>
        <v>217.49999999999994</v>
      </c>
      <c r="L197" s="5">
        <v>1</v>
      </c>
      <c r="M197" s="5">
        <f t="shared" si="27"/>
        <v>161.09999999999991</v>
      </c>
      <c r="N197" s="5">
        <v>-1</v>
      </c>
      <c r="O197" s="5">
        <f t="shared" si="20"/>
        <v>119.5</v>
      </c>
      <c r="P197" s="5">
        <v>148</v>
      </c>
      <c r="Q197" s="5">
        <v>1</v>
      </c>
      <c r="R197" s="9">
        <f t="shared" si="23"/>
        <v>1</v>
      </c>
      <c r="S197" s="9">
        <f t="shared" si="24"/>
        <v>-1</v>
      </c>
      <c r="T197" s="9">
        <f t="shared" si="28"/>
        <v>143.80316964285711</v>
      </c>
      <c r="V197" s="5">
        <v>1007.8</v>
      </c>
      <c r="X197" s="5">
        <f t="shared" si="29"/>
        <v>75287.500000000015</v>
      </c>
      <c r="Y197" s="5">
        <f t="shared" si="22"/>
        <v>13326.599999999997</v>
      </c>
      <c r="AA197" s="5">
        <v>9.8194797966666592</v>
      </c>
    </row>
    <row r="198" spans="1:28" s="5" customFormat="1" x14ac:dyDescent="0.25">
      <c r="A198" s="77"/>
      <c r="B198" s="10"/>
      <c r="C198" s="18">
        <v>40948</v>
      </c>
      <c r="D198" s="5">
        <v>-1.8</v>
      </c>
      <c r="E198" s="5">
        <v>-6.4</v>
      </c>
      <c r="F198" s="5">
        <v>0.9</v>
      </c>
      <c r="G198" s="5">
        <v>1499.7</v>
      </c>
      <c r="H198" s="5">
        <v>101.7</v>
      </c>
      <c r="J198" s="5">
        <v>0</v>
      </c>
      <c r="K198" s="5">
        <f t="shared" si="26"/>
        <v>217.49999999999994</v>
      </c>
      <c r="L198" s="5">
        <v>0.5</v>
      </c>
      <c r="M198" s="5">
        <f t="shared" si="27"/>
        <v>161.59999999999991</v>
      </c>
      <c r="N198" s="5">
        <v>-0.5</v>
      </c>
      <c r="O198" s="5">
        <f t="shared" si="20"/>
        <v>119</v>
      </c>
      <c r="P198" s="5">
        <v>149</v>
      </c>
      <c r="Q198" s="5">
        <v>1</v>
      </c>
      <c r="R198" s="9">
        <f t="shared" si="23"/>
        <v>0.5</v>
      </c>
      <c r="S198" s="9">
        <f t="shared" si="24"/>
        <v>-0.5</v>
      </c>
      <c r="T198" s="9">
        <f t="shared" si="28"/>
        <v>143.30316964285711</v>
      </c>
      <c r="V198" s="5">
        <v>568.9</v>
      </c>
      <c r="X198" s="5">
        <f t="shared" si="29"/>
        <v>75856.400000000009</v>
      </c>
      <c r="Y198" s="5">
        <f t="shared" si="22"/>
        <v>13895.499999999996</v>
      </c>
      <c r="AA198" s="5">
        <v>9.87166735876594</v>
      </c>
    </row>
    <row r="199" spans="1:28" s="5" customFormat="1" x14ac:dyDescent="0.25">
      <c r="A199" s="77"/>
      <c r="B199" s="10"/>
      <c r="C199" s="18">
        <v>40949</v>
      </c>
      <c r="D199" s="5">
        <v>-1.9</v>
      </c>
      <c r="E199" s="5">
        <v>-2.9</v>
      </c>
      <c r="F199" s="5">
        <v>-0.1</v>
      </c>
      <c r="G199" s="5">
        <v>1499.7</v>
      </c>
      <c r="H199" s="5">
        <v>101.7</v>
      </c>
      <c r="J199" s="5">
        <v>0</v>
      </c>
      <c r="K199" s="5">
        <f t="shared" si="26"/>
        <v>217.49999999999994</v>
      </c>
      <c r="L199" s="5">
        <v>0.7</v>
      </c>
      <c r="M199" s="5">
        <f t="shared" si="27"/>
        <v>162.2999999999999</v>
      </c>
      <c r="N199" s="5">
        <v>-0.7</v>
      </c>
      <c r="O199" s="5">
        <f t="shared" si="20"/>
        <v>118.3</v>
      </c>
      <c r="P199" s="5">
        <v>150</v>
      </c>
      <c r="Q199" s="5">
        <v>1</v>
      </c>
      <c r="R199" s="9">
        <f t="shared" si="23"/>
        <v>0.7</v>
      </c>
      <c r="S199" s="9">
        <f t="shared" si="24"/>
        <v>-0.7</v>
      </c>
      <c r="T199" s="9">
        <f t="shared" si="28"/>
        <v>142.60316964285713</v>
      </c>
      <c r="V199" s="5">
        <v>366.7</v>
      </c>
      <c r="X199" s="5">
        <f t="shared" si="29"/>
        <v>76223.100000000006</v>
      </c>
      <c r="Y199" s="5">
        <f t="shared" si="22"/>
        <v>14262.199999999997</v>
      </c>
      <c r="AA199" s="5">
        <v>9.9242933823874697</v>
      </c>
    </row>
    <row r="200" spans="1:28" s="5" customFormat="1" x14ac:dyDescent="0.25">
      <c r="A200" s="77"/>
      <c r="B200" s="10"/>
      <c r="C200" s="18">
        <v>40950</v>
      </c>
      <c r="D200" s="5">
        <v>-3.4</v>
      </c>
      <c r="E200" s="5">
        <v>-7.8</v>
      </c>
      <c r="F200" s="5">
        <v>1.9</v>
      </c>
      <c r="G200" s="5">
        <v>1499.7</v>
      </c>
      <c r="H200" s="5">
        <v>101.7</v>
      </c>
      <c r="J200" s="91">
        <v>0</v>
      </c>
      <c r="K200" s="5">
        <f t="shared" si="26"/>
        <v>217.49999999999994</v>
      </c>
      <c r="L200" s="5">
        <v>1</v>
      </c>
      <c r="M200" s="5">
        <f t="shared" si="27"/>
        <v>163.2999999999999</v>
      </c>
      <c r="N200" s="5">
        <v>-1</v>
      </c>
      <c r="O200" s="5">
        <f t="shared" si="20"/>
        <v>117.3</v>
      </c>
      <c r="P200" s="5">
        <v>151</v>
      </c>
      <c r="Q200" s="5">
        <v>1</v>
      </c>
      <c r="R200" s="9">
        <f t="shared" si="23"/>
        <v>1</v>
      </c>
      <c r="S200" s="9">
        <f t="shared" si="24"/>
        <v>-1</v>
      </c>
      <c r="T200" s="9">
        <f t="shared" si="28"/>
        <v>141.60316964285713</v>
      </c>
      <c r="V200" s="5">
        <v>1171.2</v>
      </c>
      <c r="X200" s="5">
        <f t="shared" si="29"/>
        <v>77394.3</v>
      </c>
      <c r="Y200" s="5">
        <f t="shared" si="22"/>
        <v>15433.399999999998</v>
      </c>
      <c r="AA200" s="5">
        <v>9.9773370065455698</v>
      </c>
      <c r="AB200" s="5" t="s">
        <v>55</v>
      </c>
    </row>
    <row r="201" spans="1:28" s="5" customFormat="1" x14ac:dyDescent="0.25">
      <c r="A201" s="77"/>
      <c r="B201" s="10"/>
      <c r="C201" s="18">
        <v>40951</v>
      </c>
      <c r="D201" s="5">
        <v>0.7</v>
      </c>
      <c r="E201" s="5">
        <v>-5.3</v>
      </c>
      <c r="F201" s="5">
        <v>4.2</v>
      </c>
      <c r="G201" s="5">
        <f t="shared" si="25"/>
        <v>1500.4</v>
      </c>
      <c r="H201" s="5">
        <f t="shared" si="21"/>
        <v>102.4</v>
      </c>
      <c r="J201" s="91">
        <v>0</v>
      </c>
      <c r="K201" s="5">
        <f t="shared" si="26"/>
        <v>217.49999999999994</v>
      </c>
      <c r="L201" s="5">
        <v>0.7</v>
      </c>
      <c r="M201" s="5">
        <f t="shared" si="27"/>
        <v>163.99999999999989</v>
      </c>
      <c r="N201" s="5">
        <v>-0.7</v>
      </c>
      <c r="O201" s="5">
        <f t="shared" si="20"/>
        <v>116.6</v>
      </c>
      <c r="P201" s="5">
        <v>152</v>
      </c>
      <c r="Q201" s="5">
        <v>1</v>
      </c>
      <c r="R201" s="9">
        <f t="shared" si="23"/>
        <v>0.7</v>
      </c>
      <c r="S201" s="9">
        <f t="shared" si="24"/>
        <v>-0.7</v>
      </c>
      <c r="T201" s="9">
        <f t="shared" si="28"/>
        <v>140.90316964285714</v>
      </c>
      <c r="V201" s="5">
        <v>944</v>
      </c>
      <c r="X201" s="5">
        <f t="shared" si="29"/>
        <v>78338.3</v>
      </c>
      <c r="Y201" s="5">
        <f t="shared" si="22"/>
        <v>16377.399999999998</v>
      </c>
      <c r="AA201" s="5">
        <v>10.0307780198942</v>
      </c>
      <c r="AB201" s="9">
        <f>AVERAGE(T207:T220)</f>
        <v>138.61739775345623</v>
      </c>
    </row>
    <row r="202" spans="1:28" s="5" customFormat="1" x14ac:dyDescent="0.25">
      <c r="A202" s="77"/>
      <c r="B202" s="10"/>
      <c r="C202" s="18">
        <v>40952</v>
      </c>
      <c r="D202" s="5">
        <v>4.5</v>
      </c>
      <c r="E202" s="5">
        <v>2.9</v>
      </c>
      <c r="F202" s="5">
        <v>5.5</v>
      </c>
      <c r="G202" s="5">
        <f t="shared" si="25"/>
        <v>1504.9</v>
      </c>
      <c r="H202" s="5">
        <f t="shared" si="21"/>
        <v>106.9</v>
      </c>
      <c r="J202" s="91">
        <v>2.2000000000000002</v>
      </c>
      <c r="K202" s="5">
        <f t="shared" si="26"/>
        <v>219.69999999999993</v>
      </c>
      <c r="L202" s="5">
        <v>0.2</v>
      </c>
      <c r="M202" s="5">
        <f t="shared" si="27"/>
        <v>164.19999999999987</v>
      </c>
      <c r="N202" s="5">
        <v>2</v>
      </c>
      <c r="O202" s="5">
        <f t="shared" si="20"/>
        <v>118.6</v>
      </c>
      <c r="P202" s="5">
        <v>153</v>
      </c>
      <c r="Q202" s="5">
        <v>1</v>
      </c>
      <c r="R202" s="9">
        <f t="shared" si="23"/>
        <v>0.2</v>
      </c>
      <c r="S202" s="9">
        <f t="shared" si="24"/>
        <v>2</v>
      </c>
      <c r="T202" s="9">
        <f t="shared" si="28"/>
        <v>142.90316964285714</v>
      </c>
      <c r="V202" s="5">
        <v>225.2</v>
      </c>
      <c r="X202" s="5">
        <f t="shared" si="29"/>
        <v>78563.5</v>
      </c>
      <c r="Y202" s="5">
        <f t="shared" si="22"/>
        <v>16602.599999999999</v>
      </c>
      <c r="AA202" s="5">
        <v>10.084596857494899</v>
      </c>
      <c r="AB202" s="5" t="s">
        <v>56</v>
      </c>
    </row>
    <row r="203" spans="1:28" s="5" customFormat="1" x14ac:dyDescent="0.25">
      <c r="A203" s="77"/>
      <c r="B203" s="10">
        <v>4</v>
      </c>
      <c r="C203" s="18">
        <v>40953</v>
      </c>
      <c r="D203" s="5">
        <v>5.5</v>
      </c>
      <c r="E203" s="5">
        <v>3.7</v>
      </c>
      <c r="F203" s="5">
        <v>7.3</v>
      </c>
      <c r="G203" s="5">
        <f t="shared" si="25"/>
        <v>1510.4</v>
      </c>
      <c r="H203" s="5">
        <f t="shared" si="21"/>
        <v>112.4</v>
      </c>
      <c r="J203" s="91">
        <v>0</v>
      </c>
      <c r="K203" s="5">
        <f t="shared" si="26"/>
        <v>219.69999999999993</v>
      </c>
      <c r="L203" s="5">
        <v>0.6</v>
      </c>
      <c r="M203" s="5">
        <f t="shared" si="27"/>
        <v>164.79999999999987</v>
      </c>
      <c r="N203" s="5">
        <v>-0.6</v>
      </c>
      <c r="O203" s="5">
        <f t="shared" si="20"/>
        <v>118</v>
      </c>
      <c r="P203" s="5">
        <v>154</v>
      </c>
      <c r="Q203" s="5">
        <v>1</v>
      </c>
      <c r="R203" s="9">
        <f t="shared" si="23"/>
        <v>0.6</v>
      </c>
      <c r="S203" s="9">
        <f t="shared" si="24"/>
        <v>-0.6</v>
      </c>
      <c r="T203" s="9">
        <f t="shared" si="28"/>
        <v>142.30316964285714</v>
      </c>
      <c r="V203" s="5">
        <v>312.60000000000002</v>
      </c>
      <c r="X203" s="5">
        <f t="shared" si="29"/>
        <v>78876.100000000006</v>
      </c>
      <c r="Y203" s="5">
        <f t="shared" si="22"/>
        <v>16915.199999999997</v>
      </c>
      <c r="AA203" s="5">
        <v>10.138774595775301</v>
      </c>
      <c r="AB203" s="5">
        <v>3</v>
      </c>
    </row>
    <row r="204" spans="1:28" s="5" customFormat="1" x14ac:dyDescent="0.25">
      <c r="A204" s="77"/>
      <c r="B204" s="10"/>
      <c r="C204" s="18">
        <v>40954</v>
      </c>
      <c r="D204" s="5">
        <v>7.2</v>
      </c>
      <c r="E204" s="5">
        <v>5.3</v>
      </c>
      <c r="F204" s="5">
        <v>9.5</v>
      </c>
      <c r="G204" s="5">
        <f t="shared" si="25"/>
        <v>1517.6000000000001</v>
      </c>
      <c r="H204" s="5">
        <f t="shared" si="21"/>
        <v>119.60000000000001</v>
      </c>
      <c r="J204" s="91">
        <v>0</v>
      </c>
      <c r="K204" s="5">
        <f t="shared" si="26"/>
        <v>219.69999999999993</v>
      </c>
      <c r="L204" s="5">
        <v>0.8</v>
      </c>
      <c r="M204" s="5">
        <f t="shared" si="27"/>
        <v>165.59999999999988</v>
      </c>
      <c r="N204" s="5">
        <v>-0.8</v>
      </c>
      <c r="O204" s="5">
        <f t="shared" si="20"/>
        <v>117.2</v>
      </c>
      <c r="P204" s="5">
        <v>155</v>
      </c>
      <c r="Q204" s="5">
        <v>1</v>
      </c>
      <c r="R204" s="9">
        <f t="shared" si="23"/>
        <v>0.8</v>
      </c>
      <c r="S204" s="9">
        <f t="shared" si="24"/>
        <v>-0.8</v>
      </c>
      <c r="T204" s="9">
        <f t="shared" si="28"/>
        <v>141.50316964285713</v>
      </c>
      <c r="V204" s="5">
        <v>312.7</v>
      </c>
      <c r="X204" s="5">
        <f t="shared" si="29"/>
        <v>79188.800000000003</v>
      </c>
      <c r="Y204" s="5">
        <f t="shared" si="22"/>
        <v>17227.899999999998</v>
      </c>
      <c r="AA204" s="5">
        <v>10.193292945824201</v>
      </c>
      <c r="AB204" s="5" t="s">
        <v>57</v>
      </c>
    </row>
    <row r="205" spans="1:28" s="5" customFormat="1" x14ac:dyDescent="0.25">
      <c r="A205" s="77"/>
      <c r="B205" s="10"/>
      <c r="C205" s="18">
        <v>40955</v>
      </c>
      <c r="D205" s="5">
        <v>7</v>
      </c>
      <c r="E205" s="5">
        <v>5.3</v>
      </c>
      <c r="F205" s="5">
        <v>9.1999999999999993</v>
      </c>
      <c r="G205" s="5">
        <f t="shared" si="25"/>
        <v>1524.6000000000001</v>
      </c>
      <c r="H205" s="5">
        <f t="shared" si="21"/>
        <v>126.60000000000001</v>
      </c>
      <c r="J205" s="91">
        <v>0</v>
      </c>
      <c r="K205" s="5">
        <f t="shared" si="26"/>
        <v>219.69999999999993</v>
      </c>
      <c r="L205" s="5">
        <v>0.7</v>
      </c>
      <c r="M205" s="5">
        <f t="shared" si="27"/>
        <v>166.29999999999987</v>
      </c>
      <c r="N205" s="5">
        <v>-0.7</v>
      </c>
      <c r="O205" s="5">
        <f t="shared" si="20"/>
        <v>116.5</v>
      </c>
      <c r="P205" s="5">
        <v>156</v>
      </c>
      <c r="Q205" s="5">
        <v>1</v>
      </c>
      <c r="R205" s="9">
        <f t="shared" si="23"/>
        <v>0.7</v>
      </c>
      <c r="S205" s="9">
        <f t="shared" si="24"/>
        <v>-0.7</v>
      </c>
      <c r="T205" s="9">
        <f t="shared" si="28"/>
        <v>140.80316964285714</v>
      </c>
      <c r="V205" s="5">
        <v>203.7</v>
      </c>
      <c r="X205" s="5">
        <f t="shared" si="29"/>
        <v>79392.5</v>
      </c>
      <c r="Y205" s="5">
        <f t="shared" si="22"/>
        <v>17431.599999999999</v>
      </c>
      <c r="AA205" s="5">
        <v>10.248134245162101</v>
      </c>
      <c r="AB205" s="5">
        <v>5</v>
      </c>
    </row>
    <row r="206" spans="1:28" s="5" customFormat="1" x14ac:dyDescent="0.25">
      <c r="A206" s="77"/>
      <c r="B206" s="10"/>
      <c r="C206" s="18">
        <v>40956</v>
      </c>
      <c r="D206" s="5">
        <v>7.7</v>
      </c>
      <c r="E206" s="5">
        <v>5.6</v>
      </c>
      <c r="F206" s="5">
        <v>9.1</v>
      </c>
      <c r="G206" s="5">
        <f t="shared" si="25"/>
        <v>1532.3000000000002</v>
      </c>
      <c r="H206" s="5">
        <f t="shared" si="21"/>
        <v>134.30000000000001</v>
      </c>
      <c r="J206" s="91">
        <v>1.2</v>
      </c>
      <c r="K206" s="5">
        <f t="shared" si="26"/>
        <v>220.89999999999992</v>
      </c>
      <c r="L206" s="5">
        <v>0.3</v>
      </c>
      <c r="M206" s="5">
        <f t="shared" si="27"/>
        <v>166.59999999999988</v>
      </c>
      <c r="N206" s="5">
        <v>0.89999999999999991</v>
      </c>
      <c r="O206" s="5">
        <f t="shared" si="20"/>
        <v>117.4</v>
      </c>
      <c r="P206" s="5">
        <v>157</v>
      </c>
      <c r="Q206" s="5">
        <v>1</v>
      </c>
      <c r="R206" s="9">
        <f t="shared" si="23"/>
        <v>0.3</v>
      </c>
      <c r="S206" s="9">
        <f t="shared" si="24"/>
        <v>0.89999999999999991</v>
      </c>
      <c r="T206" s="9">
        <f t="shared" si="28"/>
        <v>141.70316964285715</v>
      </c>
      <c r="V206" s="5">
        <v>150.6</v>
      </c>
      <c r="X206" s="5">
        <f t="shared" si="29"/>
        <v>79543.100000000006</v>
      </c>
      <c r="Y206" s="5">
        <f t="shared" si="22"/>
        <v>17582.199999999997</v>
      </c>
      <c r="AA206" s="5">
        <v>10.3032814481223</v>
      </c>
      <c r="AB206" s="5" t="s">
        <v>58</v>
      </c>
    </row>
    <row r="207" spans="1:28" s="5" customFormat="1" x14ac:dyDescent="0.25">
      <c r="A207" s="77"/>
      <c r="B207" s="10"/>
      <c r="C207" s="18">
        <v>40957</v>
      </c>
      <c r="D207" s="5">
        <v>8.3000000000000007</v>
      </c>
      <c r="E207" s="5">
        <v>7.4</v>
      </c>
      <c r="F207" s="5">
        <v>9.9</v>
      </c>
      <c r="G207" s="5">
        <f t="shared" si="25"/>
        <v>1540.6000000000001</v>
      </c>
      <c r="H207" s="5">
        <f t="shared" si="21"/>
        <v>142.60000000000002</v>
      </c>
      <c r="J207" s="91">
        <v>3.1</v>
      </c>
      <c r="K207" s="5">
        <f t="shared" si="26"/>
        <v>223.99999999999991</v>
      </c>
      <c r="L207" s="5">
        <v>0.6</v>
      </c>
      <c r="M207" s="5">
        <f t="shared" si="27"/>
        <v>167.19999999999987</v>
      </c>
      <c r="N207" s="5">
        <v>2.5</v>
      </c>
      <c r="O207" s="5">
        <f t="shared" si="20"/>
        <v>119.9</v>
      </c>
      <c r="P207" s="5">
        <v>158</v>
      </c>
      <c r="Q207" s="5">
        <v>1</v>
      </c>
      <c r="R207" s="9">
        <f t="shared" si="23"/>
        <v>0.6</v>
      </c>
      <c r="S207" s="9">
        <f t="shared" si="24"/>
        <v>2.5</v>
      </c>
      <c r="T207" s="93">
        <f t="shared" si="28"/>
        <v>144.20316964285715</v>
      </c>
      <c r="V207" s="5">
        <v>231.6</v>
      </c>
      <c r="X207" s="5">
        <f t="shared" si="29"/>
        <v>79774.700000000012</v>
      </c>
      <c r="Y207" s="5">
        <f t="shared" si="22"/>
        <v>17813.799999999996</v>
      </c>
      <c r="AA207" s="5">
        <v>10.358718114969401</v>
      </c>
      <c r="AB207" s="5">
        <v>0</v>
      </c>
    </row>
    <row r="208" spans="1:28" s="5" customFormat="1" x14ac:dyDescent="0.25">
      <c r="A208" s="77"/>
      <c r="B208" s="10"/>
      <c r="C208" s="18">
        <v>40958</v>
      </c>
      <c r="D208" s="5">
        <v>3.9</v>
      </c>
      <c r="E208" s="5">
        <v>0.9</v>
      </c>
      <c r="F208" s="5">
        <v>9.9</v>
      </c>
      <c r="G208" s="5">
        <f t="shared" si="25"/>
        <v>1544.5000000000002</v>
      </c>
      <c r="H208" s="5">
        <f t="shared" si="21"/>
        <v>146.50000000000003</v>
      </c>
      <c r="J208" s="91">
        <v>0</v>
      </c>
      <c r="K208" s="5">
        <f t="shared" si="26"/>
        <v>223.99999999999991</v>
      </c>
      <c r="L208" s="5">
        <v>1.5</v>
      </c>
      <c r="M208" s="5">
        <f t="shared" si="27"/>
        <v>168.69999999999987</v>
      </c>
      <c r="N208" s="5">
        <v>-1.5</v>
      </c>
      <c r="O208" s="5">
        <f t="shared" si="20"/>
        <v>118.4</v>
      </c>
      <c r="P208" s="5">
        <v>159</v>
      </c>
      <c r="Q208" s="5">
        <v>1</v>
      </c>
      <c r="R208" s="9">
        <f t="shared" si="23"/>
        <v>1.5</v>
      </c>
      <c r="S208" s="9">
        <f t="shared" si="24"/>
        <v>-1.5</v>
      </c>
      <c r="T208" s="93">
        <f t="shared" si="28"/>
        <v>142.70316964285715</v>
      </c>
      <c r="V208" s="5">
        <v>1067.2</v>
      </c>
      <c r="X208" s="5">
        <f t="shared" si="29"/>
        <v>80841.900000000009</v>
      </c>
      <c r="Y208" s="5">
        <f t="shared" si="22"/>
        <v>18880.999999999996</v>
      </c>
      <c r="AA208" s="5">
        <v>10.4144283998791</v>
      </c>
      <c r="AB208" s="5" t="s">
        <v>59</v>
      </c>
    </row>
    <row r="209" spans="1:30" s="5" customFormat="1" x14ac:dyDescent="0.25">
      <c r="A209" s="77"/>
      <c r="B209" s="10"/>
      <c r="C209" s="18">
        <v>40959</v>
      </c>
      <c r="D209" s="5">
        <v>3</v>
      </c>
      <c r="E209" s="5">
        <v>-2.2000000000000002</v>
      </c>
      <c r="F209" s="5">
        <v>10.3</v>
      </c>
      <c r="G209" s="5">
        <f t="shared" si="25"/>
        <v>1547.5000000000002</v>
      </c>
      <c r="H209" s="5">
        <f t="shared" si="21"/>
        <v>149.50000000000003</v>
      </c>
      <c r="J209" s="91">
        <v>0</v>
      </c>
      <c r="K209" s="5">
        <f t="shared" si="26"/>
        <v>223.99999999999991</v>
      </c>
      <c r="L209" s="5">
        <v>1.3</v>
      </c>
      <c r="M209" s="5">
        <f t="shared" si="27"/>
        <v>169.99999999999989</v>
      </c>
      <c r="N209" s="5">
        <v>-1.3</v>
      </c>
      <c r="O209" s="5">
        <f t="shared" si="20"/>
        <v>117.10000000000001</v>
      </c>
      <c r="P209" s="5">
        <v>160</v>
      </c>
      <c r="Q209" s="5">
        <v>1</v>
      </c>
      <c r="R209" s="9">
        <f t="shared" si="23"/>
        <v>1.3</v>
      </c>
      <c r="S209" s="9">
        <f t="shared" si="24"/>
        <v>-1.3</v>
      </c>
      <c r="T209" s="93">
        <f t="shared" si="28"/>
        <v>141.40316964285714</v>
      </c>
      <c r="V209" s="5">
        <v>1098.3</v>
      </c>
      <c r="X209" s="5">
        <f t="shared" si="29"/>
        <v>81940.200000000012</v>
      </c>
      <c r="Y209" s="5">
        <f t="shared" si="22"/>
        <v>19979.299999999996</v>
      </c>
      <c r="AA209" s="5">
        <v>10.4703970378929</v>
      </c>
      <c r="AB209" s="5">
        <f>SUM(J211:J220)</f>
        <v>1.8000000000000003</v>
      </c>
    </row>
    <row r="210" spans="1:30" s="88" customFormat="1" x14ac:dyDescent="0.25">
      <c r="A210" s="77"/>
      <c r="B210" s="86" t="s">
        <v>54</v>
      </c>
      <c r="C210" s="87">
        <v>40960</v>
      </c>
      <c r="D210" s="88">
        <v>3.8</v>
      </c>
      <c r="E210" s="88">
        <v>-0.1</v>
      </c>
      <c r="F210" s="88">
        <v>10.7</v>
      </c>
      <c r="G210" s="88">
        <f t="shared" si="25"/>
        <v>1551.3000000000002</v>
      </c>
      <c r="H210" s="88">
        <f t="shared" si="21"/>
        <v>153.30000000000004</v>
      </c>
      <c r="J210" s="88">
        <v>0</v>
      </c>
      <c r="K210" s="88">
        <f t="shared" si="26"/>
        <v>223.99999999999991</v>
      </c>
      <c r="L210" s="88">
        <v>1.4</v>
      </c>
      <c r="M210" s="88">
        <f t="shared" si="27"/>
        <v>171.39999999999989</v>
      </c>
      <c r="N210" s="88">
        <v>-1.4</v>
      </c>
      <c r="O210" s="88">
        <f t="shared" si="20"/>
        <v>115.7</v>
      </c>
      <c r="P210" s="88">
        <v>161</v>
      </c>
      <c r="Q210" s="88">
        <v>1</v>
      </c>
      <c r="R210" s="89">
        <f t="shared" si="23"/>
        <v>1.4</v>
      </c>
      <c r="S210" s="89">
        <f t="shared" si="24"/>
        <v>-1.4</v>
      </c>
      <c r="T210" s="89">
        <f t="shared" si="28"/>
        <v>140.00316964285713</v>
      </c>
      <c r="V210" s="88">
        <v>1080.5</v>
      </c>
      <c r="X210" s="88">
        <f t="shared" si="29"/>
        <v>83020.700000000012</v>
      </c>
      <c r="Y210" s="88">
        <f t="shared" si="22"/>
        <v>21059.799999999996</v>
      </c>
      <c r="AA210" s="88">
        <v>10.526609330957299</v>
      </c>
    </row>
    <row r="211" spans="1:30" s="16" customFormat="1" x14ac:dyDescent="0.25">
      <c r="A211" s="77"/>
      <c r="B211" s="20"/>
      <c r="C211" s="21">
        <v>40961</v>
      </c>
      <c r="D211" s="16">
        <v>4.0999999999999996</v>
      </c>
      <c r="E211" s="16">
        <v>-2.9</v>
      </c>
      <c r="F211" s="16">
        <v>9.1999999999999993</v>
      </c>
      <c r="G211" s="16">
        <f t="shared" si="25"/>
        <v>1555.4</v>
      </c>
      <c r="H211" s="16">
        <f t="shared" si="21"/>
        <v>157.40000000000003</v>
      </c>
      <c r="J211" s="92">
        <v>0.9</v>
      </c>
      <c r="K211" s="16">
        <f t="shared" si="26"/>
        <v>224.89999999999992</v>
      </c>
      <c r="L211" s="16">
        <v>0.9</v>
      </c>
      <c r="M211" s="16">
        <f t="shared" si="27"/>
        <v>172.2999999999999</v>
      </c>
      <c r="N211" s="16">
        <v>0</v>
      </c>
      <c r="O211" s="16">
        <f t="shared" si="20"/>
        <v>115.7</v>
      </c>
      <c r="P211" s="16">
        <v>162</v>
      </c>
      <c r="Q211" s="5">
        <v>1</v>
      </c>
      <c r="R211" s="17">
        <f t="shared" si="23"/>
        <v>0.9</v>
      </c>
      <c r="S211" s="17">
        <f t="shared" si="24"/>
        <v>0</v>
      </c>
      <c r="T211" s="93">
        <f t="shared" si="28"/>
        <v>140.00316964285713</v>
      </c>
      <c r="V211" s="16">
        <v>868.4</v>
      </c>
      <c r="W211" s="16">
        <f>(Y211/100)/I185</f>
        <v>1.3931512071156289</v>
      </c>
      <c r="X211" s="16">
        <f t="shared" si="29"/>
        <v>83889.1</v>
      </c>
      <c r="Y211" s="5">
        <f t="shared" si="22"/>
        <v>21928.199999999997</v>
      </c>
      <c r="AA211" s="5">
        <v>10.5830511331501</v>
      </c>
    </row>
    <row r="212" spans="1:30" s="5" customFormat="1" ht="15" customHeight="1" x14ac:dyDescent="0.25">
      <c r="A212" s="78" t="s">
        <v>46</v>
      </c>
      <c r="B212" s="10"/>
      <c r="C212" s="22">
        <v>40962</v>
      </c>
      <c r="D212" s="5">
        <v>10.7</v>
      </c>
      <c r="E212" s="5">
        <v>7.2</v>
      </c>
      <c r="F212" s="5">
        <v>13.4</v>
      </c>
      <c r="G212" s="5">
        <f t="shared" si="25"/>
        <v>1566.1000000000001</v>
      </c>
      <c r="H212" s="5">
        <v>10.7</v>
      </c>
      <c r="I212" s="23" t="s">
        <v>28</v>
      </c>
      <c r="J212" s="91">
        <v>0.3</v>
      </c>
      <c r="K212" s="5">
        <f t="shared" si="26"/>
        <v>225.19999999999993</v>
      </c>
      <c r="L212" s="5">
        <v>0.3</v>
      </c>
      <c r="M212" s="5">
        <f t="shared" si="27"/>
        <v>172.59999999999991</v>
      </c>
      <c r="N212" s="5">
        <v>0</v>
      </c>
      <c r="O212" s="5">
        <f t="shared" si="20"/>
        <v>115.7</v>
      </c>
      <c r="P212" s="5">
        <v>163</v>
      </c>
      <c r="Q212" s="24">
        <f>1+((P212-162)/31)*(1.15-1)</f>
        <v>1.0048387096774194</v>
      </c>
      <c r="R212" s="9">
        <f t="shared" si="23"/>
        <v>0.30145161290322581</v>
      </c>
      <c r="S212" s="9">
        <f t="shared" si="24"/>
        <v>-1.4516129032258185E-3</v>
      </c>
      <c r="T212" s="93">
        <f t="shared" si="28"/>
        <v>140.00171802995391</v>
      </c>
      <c r="U212" s="23" t="s">
        <v>29</v>
      </c>
      <c r="V212" s="5">
        <v>118.5</v>
      </c>
      <c r="X212" s="5">
        <f t="shared" si="29"/>
        <v>84007.6</v>
      </c>
      <c r="Y212" s="5">
        <v>118.5</v>
      </c>
      <c r="Z212" s="23" t="s">
        <v>30</v>
      </c>
      <c r="AA212" s="5">
        <v>10.639708835189101</v>
      </c>
    </row>
    <row r="213" spans="1:30" s="5" customFormat="1" x14ac:dyDescent="0.25">
      <c r="A213" s="78"/>
      <c r="B213" s="10"/>
      <c r="C213" s="22">
        <v>40963</v>
      </c>
      <c r="D213" s="5">
        <v>10.7</v>
      </c>
      <c r="E213" s="5">
        <v>10.199999999999999</v>
      </c>
      <c r="F213" s="5">
        <v>11.5</v>
      </c>
      <c r="G213" s="5">
        <f t="shared" si="25"/>
        <v>1576.8000000000002</v>
      </c>
      <c r="H213" s="5">
        <f t="shared" si="21"/>
        <v>21.4</v>
      </c>
      <c r="I213" s="5">
        <f>MIN(E212:E242)</f>
        <v>-0.1</v>
      </c>
      <c r="J213" s="91">
        <v>0.4</v>
      </c>
      <c r="K213" s="5">
        <f t="shared" si="26"/>
        <v>225.59999999999994</v>
      </c>
      <c r="L213" s="5">
        <v>0.2</v>
      </c>
      <c r="M213" s="5">
        <f t="shared" si="27"/>
        <v>172.7999999999999</v>
      </c>
      <c r="N213" s="5">
        <v>0.2</v>
      </c>
      <c r="O213" s="5">
        <f t="shared" si="20"/>
        <v>115.9</v>
      </c>
      <c r="P213" s="5">
        <v>164</v>
      </c>
      <c r="Q213" s="24">
        <f t="shared" ref="Q213:Q242" si="30">1+((P213-162)/31)*(1.15-1)</f>
        <v>1.0096774193548388</v>
      </c>
      <c r="R213" s="9">
        <f t="shared" si="23"/>
        <v>0.20193548387096777</v>
      </c>
      <c r="S213" s="9">
        <f t="shared" si="24"/>
        <v>0.19806451612903225</v>
      </c>
      <c r="T213" s="93">
        <f t="shared" si="28"/>
        <v>140.19978254608293</v>
      </c>
      <c r="U213" s="5">
        <v>25</v>
      </c>
      <c r="V213" s="5">
        <v>176.2</v>
      </c>
      <c r="X213" s="5">
        <f t="shared" si="29"/>
        <v>84183.8</v>
      </c>
      <c r="Y213" s="5">
        <f t="shared" si="22"/>
        <v>294.7</v>
      </c>
      <c r="Z213" s="5">
        <v>26142.5</v>
      </c>
      <c r="AA213" s="5">
        <v>10.696569348312501</v>
      </c>
    </row>
    <row r="214" spans="1:30" s="5" customFormat="1" x14ac:dyDescent="0.25">
      <c r="A214" s="78"/>
      <c r="B214" s="10"/>
      <c r="C214" s="22">
        <v>40964</v>
      </c>
      <c r="D214" s="5">
        <v>9.5</v>
      </c>
      <c r="E214" s="5">
        <v>8.6999999999999993</v>
      </c>
      <c r="F214" s="5">
        <v>11.5</v>
      </c>
      <c r="G214" s="5">
        <f t="shared" si="25"/>
        <v>1586.3000000000002</v>
      </c>
      <c r="H214" s="5">
        <f t="shared" si="21"/>
        <v>30.9</v>
      </c>
      <c r="I214" s="23" t="s">
        <v>31</v>
      </c>
      <c r="J214" s="91">
        <v>0.1</v>
      </c>
      <c r="K214" s="5">
        <f t="shared" si="26"/>
        <v>225.69999999999993</v>
      </c>
      <c r="L214" s="5">
        <v>0.5</v>
      </c>
      <c r="M214" s="5">
        <f t="shared" si="27"/>
        <v>173.2999999999999</v>
      </c>
      <c r="N214" s="5">
        <v>-0.4</v>
      </c>
      <c r="O214" s="5">
        <f t="shared" si="20"/>
        <v>115.5</v>
      </c>
      <c r="P214" s="5">
        <v>165</v>
      </c>
      <c r="Q214" s="24">
        <f t="shared" si="30"/>
        <v>1.014516129032258</v>
      </c>
      <c r="R214" s="9">
        <f t="shared" si="23"/>
        <v>0.50725806451612898</v>
      </c>
      <c r="S214" s="9">
        <f t="shared" si="24"/>
        <v>-0.407258064516129</v>
      </c>
      <c r="T214" s="93">
        <f t="shared" si="28"/>
        <v>139.7925244815668</v>
      </c>
      <c r="U214" s="23" t="s">
        <v>32</v>
      </c>
      <c r="V214" s="5">
        <v>231.5</v>
      </c>
      <c r="X214" s="5">
        <f t="shared" si="29"/>
        <v>84415.3</v>
      </c>
      <c r="Y214" s="5">
        <f t="shared" si="22"/>
        <v>526.20000000000005</v>
      </c>
      <c r="Z214" s="23" t="s">
        <v>33</v>
      </c>
      <c r="AA214" s="5">
        <v>10.7536200876135</v>
      </c>
    </row>
    <row r="215" spans="1:30" s="5" customFormat="1" x14ac:dyDescent="0.25">
      <c r="A215" s="78"/>
      <c r="B215" s="10"/>
      <c r="C215" s="22">
        <v>40965</v>
      </c>
      <c r="D215" s="5">
        <v>8.5</v>
      </c>
      <c r="E215" s="5">
        <v>7.8</v>
      </c>
      <c r="F215" s="5">
        <v>11.6</v>
      </c>
      <c r="G215" s="5">
        <f t="shared" si="25"/>
        <v>1594.8000000000002</v>
      </c>
      <c r="H215" s="5">
        <f t="shared" si="21"/>
        <v>39.4</v>
      </c>
      <c r="I215" s="5">
        <f>MAX(F212:F242)</f>
        <v>21.8</v>
      </c>
      <c r="J215" s="91">
        <v>0</v>
      </c>
      <c r="K215" s="5">
        <f t="shared" si="26"/>
        <v>225.69999999999993</v>
      </c>
      <c r="L215" s="5">
        <v>1.2</v>
      </c>
      <c r="M215" s="5">
        <f t="shared" si="27"/>
        <v>174.49999999999989</v>
      </c>
      <c r="N215" s="5">
        <v>-1.2</v>
      </c>
      <c r="O215" s="5">
        <f t="shared" si="20"/>
        <v>114.3</v>
      </c>
      <c r="P215" s="5">
        <v>166</v>
      </c>
      <c r="Q215" s="24">
        <f t="shared" si="30"/>
        <v>1.0193548387096774</v>
      </c>
      <c r="R215" s="9">
        <f t="shared" si="23"/>
        <v>1.2232258064516128</v>
      </c>
      <c r="S215" s="9">
        <f t="shared" si="24"/>
        <v>-1.2232258064516128</v>
      </c>
      <c r="T215" s="93">
        <f t="shared" si="28"/>
        <v>138.56929867511519</v>
      </c>
      <c r="U215" s="5">
        <v>0</v>
      </c>
      <c r="V215" s="5">
        <v>565.4</v>
      </c>
      <c r="X215" s="5">
        <f t="shared" si="29"/>
        <v>84980.7</v>
      </c>
      <c r="Y215" s="5">
        <f t="shared" si="22"/>
        <v>1091.5999999999999</v>
      </c>
      <c r="Z215" s="5">
        <f>(Z213/100)/I225</f>
        <v>0.96395648967551628</v>
      </c>
      <c r="AA215" s="5">
        <v>10.810848954906399</v>
      </c>
    </row>
    <row r="216" spans="1:30" s="5" customFormat="1" x14ac:dyDescent="0.25">
      <c r="A216" s="78"/>
      <c r="B216" s="10"/>
      <c r="C216" s="22">
        <v>40966</v>
      </c>
      <c r="D216" s="5">
        <v>7.3</v>
      </c>
      <c r="E216" s="5">
        <v>4.2</v>
      </c>
      <c r="F216" s="5">
        <v>9.6999999999999993</v>
      </c>
      <c r="G216" s="5">
        <f t="shared" si="25"/>
        <v>1602.1000000000001</v>
      </c>
      <c r="H216" s="5">
        <f t="shared" si="21"/>
        <v>46.699999999999996</v>
      </c>
      <c r="I216" s="23" t="s">
        <v>34</v>
      </c>
      <c r="J216" s="91">
        <v>0</v>
      </c>
      <c r="K216" s="5">
        <f t="shared" si="26"/>
        <v>225.69999999999993</v>
      </c>
      <c r="L216" s="5">
        <v>1.2</v>
      </c>
      <c r="M216" s="5">
        <f t="shared" si="27"/>
        <v>175.69999999999987</v>
      </c>
      <c r="N216" s="5">
        <v>-1.2</v>
      </c>
      <c r="O216" s="5">
        <f t="shared" si="20"/>
        <v>113.1</v>
      </c>
      <c r="P216" s="5">
        <v>167</v>
      </c>
      <c r="Q216" s="24">
        <f t="shared" si="30"/>
        <v>1.0241935483870968</v>
      </c>
      <c r="R216" s="9">
        <f t="shared" si="23"/>
        <v>1.2290322580645161</v>
      </c>
      <c r="S216" s="9">
        <f t="shared" si="24"/>
        <v>-1.2290322580645161</v>
      </c>
      <c r="T216" s="93">
        <f t="shared" si="28"/>
        <v>137.34026641705069</v>
      </c>
      <c r="U216" s="23" t="s">
        <v>35</v>
      </c>
      <c r="V216" s="5">
        <v>811.5</v>
      </c>
      <c r="X216" s="5">
        <f t="shared" si="29"/>
        <v>85792.2</v>
      </c>
      <c r="Y216" s="5">
        <f t="shared" si="22"/>
        <v>1903.1</v>
      </c>
      <c r="Z216" s="23" t="s">
        <v>36</v>
      </c>
      <c r="AA216" s="5">
        <v>10.868244321193201</v>
      </c>
      <c r="AD216" s="94" t="s">
        <v>55</v>
      </c>
    </row>
    <row r="217" spans="1:30" s="5" customFormat="1" x14ac:dyDescent="0.25">
      <c r="A217" s="78"/>
      <c r="B217" s="10">
        <v>6</v>
      </c>
      <c r="C217" s="22">
        <v>40967</v>
      </c>
      <c r="D217" s="5">
        <v>9.1999999999999993</v>
      </c>
      <c r="E217" s="5">
        <v>6</v>
      </c>
      <c r="F217" s="5">
        <v>13.3</v>
      </c>
      <c r="G217" s="5">
        <f t="shared" si="25"/>
        <v>1611.3000000000002</v>
      </c>
      <c r="H217" s="5">
        <f t="shared" si="21"/>
        <v>55.899999999999991</v>
      </c>
      <c r="I217" s="5">
        <f>AVERAGE(D212:D242)</f>
        <v>8.7483870967741932</v>
      </c>
      <c r="J217" s="91">
        <v>0</v>
      </c>
      <c r="K217" s="5">
        <f t="shared" si="26"/>
        <v>225.69999999999993</v>
      </c>
      <c r="L217" s="5">
        <v>0.8</v>
      </c>
      <c r="M217" s="5">
        <f t="shared" si="27"/>
        <v>176.49999999999989</v>
      </c>
      <c r="N217" s="5">
        <v>-0.8</v>
      </c>
      <c r="O217" s="5">
        <f t="shared" si="20"/>
        <v>112.3</v>
      </c>
      <c r="P217" s="5">
        <v>168</v>
      </c>
      <c r="Q217" s="24">
        <f t="shared" si="30"/>
        <v>1.0290322580645161</v>
      </c>
      <c r="R217" s="9">
        <f t="shared" si="23"/>
        <v>0.82322580645161292</v>
      </c>
      <c r="S217" s="9">
        <f t="shared" si="24"/>
        <v>-0.82322580645161292</v>
      </c>
      <c r="T217" s="93">
        <f t="shared" si="28"/>
        <v>136.51704061059908</v>
      </c>
      <c r="U217" s="5">
        <v>0</v>
      </c>
      <c r="V217" s="5">
        <v>325.8</v>
      </c>
      <c r="X217" s="5">
        <f t="shared" si="29"/>
        <v>86118</v>
      </c>
      <c r="Y217" s="5">
        <f t="shared" si="22"/>
        <v>2228.9</v>
      </c>
      <c r="Z217" s="5">
        <v>18</v>
      </c>
      <c r="AA217" s="5">
        <v>10.9257950087975</v>
      </c>
      <c r="AD217" s="24">
        <f>(AB201*(40/80))+(AB223*(40/80))</f>
        <v>138.61739775345623</v>
      </c>
    </row>
    <row r="218" spans="1:30" s="5" customFormat="1" x14ac:dyDescent="0.25">
      <c r="A218" s="78"/>
      <c r="B218" s="10"/>
      <c r="C218" s="22">
        <v>40968</v>
      </c>
      <c r="D218" s="5">
        <v>9</v>
      </c>
      <c r="E218" s="5">
        <v>3</v>
      </c>
      <c r="F218" s="5">
        <v>16</v>
      </c>
      <c r="G218" s="5">
        <f t="shared" si="25"/>
        <v>1620.3000000000002</v>
      </c>
      <c r="H218" s="5">
        <f t="shared" si="21"/>
        <v>64.899999999999991</v>
      </c>
      <c r="I218" s="23" t="s">
        <v>37</v>
      </c>
      <c r="J218" s="91">
        <v>0</v>
      </c>
      <c r="K218" s="5">
        <f t="shared" si="26"/>
        <v>225.69999999999993</v>
      </c>
      <c r="L218" s="5">
        <v>2</v>
      </c>
      <c r="M218" s="5">
        <f t="shared" si="27"/>
        <v>178.49999999999989</v>
      </c>
      <c r="N218" s="5">
        <v>-2</v>
      </c>
      <c r="O218" s="5">
        <f t="shared" ref="O218:O281" si="31">O217+N218</f>
        <v>110.3</v>
      </c>
      <c r="P218" s="5">
        <v>169</v>
      </c>
      <c r="Q218" s="24">
        <f t="shared" si="30"/>
        <v>1.0338709677419355</v>
      </c>
      <c r="R218" s="9">
        <f t="shared" si="23"/>
        <v>2.0677419354838711</v>
      </c>
      <c r="S218" s="9">
        <f t="shared" si="24"/>
        <v>-2.0677419354838711</v>
      </c>
      <c r="T218" s="93">
        <f t="shared" si="28"/>
        <v>134.44929867511522</v>
      </c>
      <c r="U218" s="23" t="s">
        <v>38</v>
      </c>
      <c r="V218" s="5">
        <v>1375.3</v>
      </c>
      <c r="X218" s="5">
        <f t="shared" si="29"/>
        <v>87493.3</v>
      </c>
      <c r="Y218" s="5">
        <f t="shared" si="22"/>
        <v>3604.2</v>
      </c>
      <c r="AA218" s="5">
        <v>10.9834902732216</v>
      </c>
      <c r="AD218" s="94" t="s">
        <v>56</v>
      </c>
    </row>
    <row r="219" spans="1:30" s="5" customFormat="1" x14ac:dyDescent="0.25">
      <c r="A219" s="78"/>
      <c r="B219" s="10"/>
      <c r="C219" s="22">
        <v>40969</v>
      </c>
      <c r="D219" s="5">
        <v>8.1</v>
      </c>
      <c r="E219" s="5">
        <v>3.4</v>
      </c>
      <c r="F219" s="5">
        <v>11.6</v>
      </c>
      <c r="G219" s="5">
        <f t="shared" si="25"/>
        <v>1628.4</v>
      </c>
      <c r="H219" s="5">
        <f t="shared" si="21"/>
        <v>72.999999999999986</v>
      </c>
      <c r="I219" s="5">
        <v>1</v>
      </c>
      <c r="J219" s="91">
        <v>0.1</v>
      </c>
      <c r="K219" s="5">
        <f t="shared" si="26"/>
        <v>225.79999999999993</v>
      </c>
      <c r="L219" s="5">
        <v>1.2</v>
      </c>
      <c r="M219" s="5">
        <f t="shared" si="27"/>
        <v>179.69999999999987</v>
      </c>
      <c r="N219" s="5">
        <v>-1.0999999999999999</v>
      </c>
      <c r="O219" s="5">
        <f t="shared" si="31"/>
        <v>109.2</v>
      </c>
      <c r="P219" s="5">
        <v>170</v>
      </c>
      <c r="Q219" s="24">
        <f t="shared" si="30"/>
        <v>1.0387096774193547</v>
      </c>
      <c r="R219" s="9">
        <f t="shared" si="23"/>
        <v>1.2464516129032257</v>
      </c>
      <c r="S219" s="9">
        <f t="shared" si="24"/>
        <v>-1.1464516129032256</v>
      </c>
      <c r="T219" s="93">
        <f t="shared" si="28"/>
        <v>133.30284706221198</v>
      </c>
      <c r="U219" s="9">
        <f>MIN(T212:T242)</f>
        <v>119.99236319124422</v>
      </c>
      <c r="V219" s="5">
        <v>989.2</v>
      </c>
      <c r="X219" s="5">
        <f t="shared" si="29"/>
        <v>88482.5</v>
      </c>
      <c r="Y219" s="5">
        <f t="shared" si="22"/>
        <v>4593.3999999999996</v>
      </c>
      <c r="AA219" s="5">
        <v>11.0413197847836</v>
      </c>
      <c r="AD219" s="5">
        <f>(AB203*(40/80))+(AB225*(40/80))</f>
        <v>4.5</v>
      </c>
    </row>
    <row r="220" spans="1:30" s="5" customFormat="1" x14ac:dyDescent="0.25">
      <c r="A220" s="78"/>
      <c r="B220" s="10"/>
      <c r="C220" s="22">
        <v>40970</v>
      </c>
      <c r="D220" s="5">
        <v>9.1999999999999993</v>
      </c>
      <c r="E220" s="5">
        <v>7.2</v>
      </c>
      <c r="F220" s="5">
        <v>12</v>
      </c>
      <c r="G220" s="5">
        <f t="shared" si="25"/>
        <v>1637.6000000000001</v>
      </c>
      <c r="H220" s="5">
        <f t="shared" si="21"/>
        <v>82.199999999999989</v>
      </c>
      <c r="I220" s="23" t="s">
        <v>39</v>
      </c>
      <c r="J220" s="91">
        <v>0</v>
      </c>
      <c r="K220" s="5">
        <f t="shared" si="26"/>
        <v>225.79999999999993</v>
      </c>
      <c r="L220" s="5">
        <v>1.1000000000000001</v>
      </c>
      <c r="M220" s="5">
        <f t="shared" si="27"/>
        <v>180.79999999999987</v>
      </c>
      <c r="N220" s="5">
        <v>-1.1000000000000001</v>
      </c>
      <c r="O220" s="5">
        <f t="shared" si="31"/>
        <v>108.10000000000001</v>
      </c>
      <c r="P220" s="5">
        <v>171</v>
      </c>
      <c r="Q220" s="24">
        <f t="shared" si="30"/>
        <v>1.0435483870967741</v>
      </c>
      <c r="R220" s="9">
        <f t="shared" si="23"/>
        <v>1.1479032258064517</v>
      </c>
      <c r="S220" s="9">
        <f t="shared" si="24"/>
        <v>-1.1479032258064517</v>
      </c>
      <c r="T220" s="93">
        <f t="shared" si="28"/>
        <v>132.15494383640552</v>
      </c>
      <c r="U220" s="23" t="s">
        <v>40</v>
      </c>
      <c r="V220" s="5">
        <v>639.6</v>
      </c>
      <c r="X220" s="5">
        <f t="shared" si="29"/>
        <v>89122.1</v>
      </c>
      <c r="Y220" s="5">
        <f t="shared" si="22"/>
        <v>5233</v>
      </c>
      <c r="AA220" s="5">
        <v>11.0992736100799</v>
      </c>
      <c r="AD220" s="94" t="s">
        <v>57</v>
      </c>
    </row>
    <row r="221" spans="1:30" s="5" customFormat="1" x14ac:dyDescent="0.25">
      <c r="A221" s="78"/>
      <c r="B221" s="10"/>
      <c r="C221" s="22">
        <v>40971</v>
      </c>
      <c r="D221" s="5">
        <v>10</v>
      </c>
      <c r="E221" s="5">
        <v>5.5</v>
      </c>
      <c r="F221" s="5">
        <v>14.1</v>
      </c>
      <c r="G221" s="5">
        <f t="shared" si="25"/>
        <v>1647.6000000000001</v>
      </c>
      <c r="H221" s="5">
        <f t="shared" si="21"/>
        <v>92.199999999999989</v>
      </c>
      <c r="I221" s="5">
        <v>0</v>
      </c>
      <c r="J221" s="5">
        <v>1.5</v>
      </c>
      <c r="K221" s="5">
        <f t="shared" si="26"/>
        <v>227.29999999999993</v>
      </c>
      <c r="L221" s="5">
        <v>1.1000000000000001</v>
      </c>
      <c r="M221" s="5">
        <f t="shared" si="27"/>
        <v>181.89999999999986</v>
      </c>
      <c r="N221" s="5">
        <v>0.39999999999999991</v>
      </c>
      <c r="O221" s="5">
        <f t="shared" si="31"/>
        <v>108.50000000000001</v>
      </c>
      <c r="P221" s="5">
        <v>172</v>
      </c>
      <c r="Q221" s="24">
        <f t="shared" si="30"/>
        <v>1.0483870967741935</v>
      </c>
      <c r="R221" s="9">
        <f t="shared" si="23"/>
        <v>1.153225806451613</v>
      </c>
      <c r="S221" s="9">
        <f t="shared" si="24"/>
        <v>0.34677419354838701</v>
      </c>
      <c r="T221" s="9">
        <f t="shared" si="28"/>
        <v>132.50171802995391</v>
      </c>
      <c r="U221" s="9">
        <f>MAX(T212:T242)</f>
        <v>140.19978254608293</v>
      </c>
      <c r="V221" s="5">
        <v>858</v>
      </c>
      <c r="X221" s="5">
        <f t="shared" si="29"/>
        <v>89980.1</v>
      </c>
      <c r="Y221" s="5">
        <f t="shared" si="22"/>
        <v>6091</v>
      </c>
      <c r="AA221" s="5">
        <v>11.157342193318399</v>
      </c>
      <c r="AD221" s="5">
        <f>(AB205*(40/80))+(AB227*(40/80))</f>
        <v>4.5</v>
      </c>
    </row>
    <row r="222" spans="1:30" s="5" customFormat="1" x14ac:dyDescent="0.25">
      <c r="A222" s="78"/>
      <c r="B222" s="10"/>
      <c r="C222" s="22">
        <v>40972</v>
      </c>
      <c r="D222" s="5">
        <v>8.1999999999999993</v>
      </c>
      <c r="E222" s="5">
        <v>6.7</v>
      </c>
      <c r="F222" s="5">
        <v>10.3</v>
      </c>
      <c r="G222" s="5">
        <f t="shared" si="25"/>
        <v>1655.8000000000002</v>
      </c>
      <c r="H222" s="5">
        <f t="shared" si="21"/>
        <v>100.39999999999999</v>
      </c>
      <c r="I222" s="23" t="s">
        <v>41</v>
      </c>
      <c r="J222" s="91">
        <v>4.3</v>
      </c>
      <c r="K222" s="5">
        <f t="shared" si="26"/>
        <v>231.59999999999994</v>
      </c>
      <c r="L222" s="5">
        <v>0.6</v>
      </c>
      <c r="M222" s="5">
        <f t="shared" si="27"/>
        <v>182.49999999999986</v>
      </c>
      <c r="N222" s="5">
        <v>3.6999999999999997</v>
      </c>
      <c r="O222" s="5">
        <f t="shared" si="31"/>
        <v>112.20000000000002</v>
      </c>
      <c r="P222" s="5">
        <v>173</v>
      </c>
      <c r="Q222" s="24">
        <f t="shared" si="30"/>
        <v>1.0532258064516129</v>
      </c>
      <c r="R222" s="9">
        <f t="shared" si="23"/>
        <v>0.63193548387096776</v>
      </c>
      <c r="S222" s="9">
        <f t="shared" si="24"/>
        <v>3.6680645161290322</v>
      </c>
      <c r="T222" s="9">
        <f t="shared" si="28"/>
        <v>136.16978254608293</v>
      </c>
      <c r="U222" s="23" t="s">
        <v>42</v>
      </c>
      <c r="V222" s="5">
        <v>254.2</v>
      </c>
      <c r="X222" s="5">
        <f t="shared" si="29"/>
        <v>90234.3</v>
      </c>
      <c r="Y222" s="5">
        <f t="shared" si="22"/>
        <v>6345.2</v>
      </c>
      <c r="AA222" s="5">
        <v>11.215516337560899</v>
      </c>
      <c r="AB222" s="5" t="s">
        <v>55</v>
      </c>
      <c r="AD222" s="94" t="s">
        <v>58</v>
      </c>
    </row>
    <row r="223" spans="1:30" s="5" customFormat="1" x14ac:dyDescent="0.25">
      <c r="A223" s="78"/>
      <c r="B223" s="10"/>
      <c r="C223" s="22">
        <v>40973</v>
      </c>
      <c r="D223" s="5">
        <v>5.6</v>
      </c>
      <c r="E223" s="5">
        <v>2</v>
      </c>
      <c r="F223" s="5">
        <v>11.4</v>
      </c>
      <c r="G223" s="5">
        <f t="shared" si="25"/>
        <v>1661.4</v>
      </c>
      <c r="H223" s="5">
        <f t="shared" si="21"/>
        <v>105.99999999999999</v>
      </c>
      <c r="I223" s="5">
        <v>15</v>
      </c>
      <c r="J223" s="91">
        <v>0.6</v>
      </c>
      <c r="K223" s="5">
        <f t="shared" si="26"/>
        <v>232.19999999999993</v>
      </c>
      <c r="L223" s="5">
        <v>1.6</v>
      </c>
      <c r="M223" s="5">
        <f t="shared" si="27"/>
        <v>184.09999999999985</v>
      </c>
      <c r="N223" s="5">
        <v>-1</v>
      </c>
      <c r="O223" s="5">
        <f t="shared" si="31"/>
        <v>111.20000000000002</v>
      </c>
      <c r="P223" s="5">
        <v>174</v>
      </c>
      <c r="Q223" s="24">
        <f t="shared" si="30"/>
        <v>1.0580645161290323</v>
      </c>
      <c r="R223" s="9">
        <f t="shared" si="23"/>
        <v>1.6929032258064518</v>
      </c>
      <c r="S223" s="9">
        <f t="shared" si="24"/>
        <v>-1.0929032258064519</v>
      </c>
      <c r="T223" s="9">
        <f t="shared" si="28"/>
        <v>135.07687932027648</v>
      </c>
      <c r="U223" s="24">
        <f>AVERAGE(T212:T242)</f>
        <v>132.83970970529208</v>
      </c>
      <c r="V223" s="5">
        <v>908.9</v>
      </c>
      <c r="X223" s="5">
        <f t="shared" si="29"/>
        <v>91143.2</v>
      </c>
      <c r="Y223" s="5">
        <f t="shared" si="22"/>
        <v>7254.0999999999995</v>
      </c>
      <c r="AA223" s="5">
        <v>11.2737871859081</v>
      </c>
      <c r="AB223" s="9">
        <f>AVERAGE(T207:T220)</f>
        <v>138.61739775345623</v>
      </c>
      <c r="AD223" s="5">
        <f>(AB207*(40/80))+(AB229*(40/80))</f>
        <v>0</v>
      </c>
    </row>
    <row r="224" spans="1:30" s="5" customFormat="1" x14ac:dyDescent="0.25">
      <c r="A224" s="78"/>
      <c r="B224" s="10">
        <v>7</v>
      </c>
      <c r="C224" s="22">
        <v>40974</v>
      </c>
      <c r="D224" s="5">
        <v>4.8</v>
      </c>
      <c r="E224" s="5">
        <v>1.8</v>
      </c>
      <c r="F224" s="5">
        <v>9.8000000000000007</v>
      </c>
      <c r="G224" s="5">
        <f t="shared" si="25"/>
        <v>1666.2</v>
      </c>
      <c r="H224" s="5">
        <f t="shared" si="21"/>
        <v>110.79999999999998</v>
      </c>
      <c r="I224" s="23" t="s">
        <v>43</v>
      </c>
      <c r="J224" s="91">
        <v>0</v>
      </c>
      <c r="K224" s="5">
        <f t="shared" si="26"/>
        <v>232.19999999999993</v>
      </c>
      <c r="L224" s="5">
        <v>1.9</v>
      </c>
      <c r="M224" s="5">
        <f t="shared" si="27"/>
        <v>185.99999999999986</v>
      </c>
      <c r="N224" s="5">
        <v>-1.9</v>
      </c>
      <c r="O224" s="5">
        <f t="shared" si="31"/>
        <v>109.30000000000001</v>
      </c>
      <c r="P224" s="5">
        <v>175</v>
      </c>
      <c r="Q224" s="24">
        <f t="shared" si="30"/>
        <v>1.0629032258064517</v>
      </c>
      <c r="R224" s="9">
        <f t="shared" si="23"/>
        <v>2.0195161290322581</v>
      </c>
      <c r="S224" s="9">
        <f t="shared" si="24"/>
        <v>-2.0195161290322581</v>
      </c>
      <c r="T224" s="9">
        <f t="shared" si="28"/>
        <v>133.05736319124421</v>
      </c>
      <c r="V224" s="5">
        <v>1287.7</v>
      </c>
      <c r="X224" s="5">
        <f t="shared" si="29"/>
        <v>92430.9</v>
      </c>
      <c r="Y224" s="5">
        <f t="shared" si="22"/>
        <v>8541.7999999999993</v>
      </c>
      <c r="AA224" s="5">
        <v>11.332146202658601</v>
      </c>
      <c r="AB224" s="5" t="s">
        <v>56</v>
      </c>
      <c r="AD224" s="94" t="s">
        <v>59</v>
      </c>
    </row>
    <row r="225" spans="1:30" s="5" customFormat="1" x14ac:dyDescent="0.25">
      <c r="A225" s="78"/>
      <c r="B225" s="10"/>
      <c r="C225" s="22">
        <v>40975</v>
      </c>
      <c r="D225" s="5">
        <v>6.1</v>
      </c>
      <c r="E225" s="5">
        <v>0.7</v>
      </c>
      <c r="F225" s="5">
        <v>11.5</v>
      </c>
      <c r="G225" s="5">
        <f t="shared" si="25"/>
        <v>1672.3</v>
      </c>
      <c r="H225" s="5">
        <f t="shared" si="21"/>
        <v>116.89999999999998</v>
      </c>
      <c r="I225" s="5">
        <v>271.2</v>
      </c>
      <c r="J225" s="91">
        <v>3.2</v>
      </c>
      <c r="K225" s="5">
        <f t="shared" si="26"/>
        <v>235.39999999999992</v>
      </c>
      <c r="L225" s="5">
        <v>0.9</v>
      </c>
      <c r="M225" s="5">
        <f t="shared" si="27"/>
        <v>186.89999999999986</v>
      </c>
      <c r="N225" s="5">
        <v>2.3000000000000003</v>
      </c>
      <c r="O225" s="5">
        <f t="shared" si="31"/>
        <v>111.60000000000001</v>
      </c>
      <c r="P225" s="5">
        <v>176</v>
      </c>
      <c r="Q225" s="24">
        <f t="shared" si="30"/>
        <v>1.0677419354838709</v>
      </c>
      <c r="R225" s="9">
        <f t="shared" si="23"/>
        <v>0.96096774193548384</v>
      </c>
      <c r="S225" s="9">
        <f t="shared" si="24"/>
        <v>2.2390322580645163</v>
      </c>
      <c r="T225" s="9">
        <f t="shared" si="28"/>
        <v>135.29639544930873</v>
      </c>
      <c r="U225" s="9">
        <f>(U223*100)/197.4</f>
        <v>67.294685767625168</v>
      </c>
      <c r="V225" s="5">
        <v>358.7</v>
      </c>
      <c r="X225" s="5">
        <f t="shared" si="29"/>
        <v>92789.599999999991</v>
      </c>
      <c r="Y225" s="5">
        <f t="shared" si="22"/>
        <v>8900.5</v>
      </c>
      <c r="AA225" s="5">
        <v>11.390585154468599</v>
      </c>
      <c r="AB225" s="5">
        <v>6</v>
      </c>
      <c r="AD225" s="5">
        <f>(AB209*(40/80))+(AB231*(40/80))</f>
        <v>10.85</v>
      </c>
    </row>
    <row r="226" spans="1:30" s="5" customFormat="1" x14ac:dyDescent="0.25">
      <c r="A226" s="78"/>
      <c r="B226" s="10"/>
      <c r="C226" s="22">
        <v>40976</v>
      </c>
      <c r="D226" s="5">
        <v>6.1</v>
      </c>
      <c r="E226" s="5">
        <v>2.5</v>
      </c>
      <c r="F226" s="5">
        <v>12.1</v>
      </c>
      <c r="G226" s="5">
        <f t="shared" si="25"/>
        <v>1678.3999999999999</v>
      </c>
      <c r="H226" s="5">
        <f t="shared" si="21"/>
        <v>122.99999999999997</v>
      </c>
      <c r="J226" s="91">
        <v>0</v>
      </c>
      <c r="K226" s="5">
        <f t="shared" si="26"/>
        <v>235.39999999999992</v>
      </c>
      <c r="L226" s="5">
        <v>1.6</v>
      </c>
      <c r="M226" s="5">
        <f t="shared" si="27"/>
        <v>188.49999999999986</v>
      </c>
      <c r="N226" s="5">
        <v>-1.6</v>
      </c>
      <c r="O226" s="5">
        <f t="shared" si="31"/>
        <v>110.00000000000001</v>
      </c>
      <c r="P226" s="5">
        <v>177</v>
      </c>
      <c r="Q226" s="24">
        <f t="shared" si="30"/>
        <v>1.0725806451612903</v>
      </c>
      <c r="R226" s="9">
        <f t="shared" si="23"/>
        <v>1.7161290322580645</v>
      </c>
      <c r="S226" s="9">
        <f t="shared" si="24"/>
        <v>-1.7161290322580645</v>
      </c>
      <c r="T226" s="9">
        <f t="shared" si="28"/>
        <v>133.58026641705067</v>
      </c>
      <c r="V226" s="5">
        <v>884.1</v>
      </c>
      <c r="X226" s="5">
        <f t="shared" si="29"/>
        <v>93673.7</v>
      </c>
      <c r="Y226" s="5">
        <f t="shared" si="22"/>
        <v>9784.6</v>
      </c>
      <c r="AA226" s="5">
        <v>11.4490960915339</v>
      </c>
      <c r="AB226" s="5" t="s">
        <v>57</v>
      </c>
    </row>
    <row r="227" spans="1:30" s="5" customFormat="1" x14ac:dyDescent="0.25">
      <c r="A227" s="78"/>
      <c r="B227" s="10"/>
      <c r="C227" s="22">
        <v>40977</v>
      </c>
      <c r="D227" s="5">
        <v>6.8</v>
      </c>
      <c r="E227" s="5">
        <v>-0.1</v>
      </c>
      <c r="F227" s="5">
        <v>14.2</v>
      </c>
      <c r="G227" s="5">
        <f t="shared" si="25"/>
        <v>1685.1999999999998</v>
      </c>
      <c r="H227" s="5">
        <f t="shared" si="21"/>
        <v>129.79999999999998</v>
      </c>
      <c r="J227" s="91">
        <v>0</v>
      </c>
      <c r="K227" s="5">
        <f t="shared" si="26"/>
        <v>235.39999999999992</v>
      </c>
      <c r="L227" s="5">
        <v>1.7</v>
      </c>
      <c r="M227" s="5">
        <f t="shared" si="27"/>
        <v>190.19999999999985</v>
      </c>
      <c r="N227" s="5">
        <v>-1.7</v>
      </c>
      <c r="O227" s="5">
        <f t="shared" si="31"/>
        <v>108.30000000000001</v>
      </c>
      <c r="P227" s="5">
        <v>178</v>
      </c>
      <c r="Q227" s="24">
        <f t="shared" si="30"/>
        <v>1.0774193548387097</v>
      </c>
      <c r="R227" s="9">
        <f t="shared" si="23"/>
        <v>1.8316129032258064</v>
      </c>
      <c r="S227" s="9">
        <f t="shared" si="24"/>
        <v>-1.8316129032258064</v>
      </c>
      <c r="T227" s="9">
        <f t="shared" si="28"/>
        <v>131.74865351382485</v>
      </c>
      <c r="V227" s="5">
        <v>1256.0999999999999</v>
      </c>
      <c r="X227" s="5">
        <f t="shared" si="29"/>
        <v>94929.8</v>
      </c>
      <c r="Y227" s="5">
        <f t="shared" si="22"/>
        <v>11040.7</v>
      </c>
      <c r="AA227" s="5">
        <v>11.507671328814601</v>
      </c>
      <c r="AB227" s="5">
        <v>4</v>
      </c>
    </row>
    <row r="228" spans="1:30" s="5" customFormat="1" x14ac:dyDescent="0.25">
      <c r="A228" s="78"/>
      <c r="B228" s="10"/>
      <c r="C228" s="22">
        <v>40978</v>
      </c>
      <c r="D228" s="5">
        <v>9.1999999999999993</v>
      </c>
      <c r="E228" s="5">
        <v>7.2</v>
      </c>
      <c r="F228" s="5">
        <v>12.1</v>
      </c>
      <c r="G228" s="5">
        <f t="shared" si="25"/>
        <v>1694.3999999999999</v>
      </c>
      <c r="H228" s="5">
        <f t="shared" si="21"/>
        <v>138.99999999999997</v>
      </c>
      <c r="J228" s="91">
        <v>0</v>
      </c>
      <c r="K228" s="5">
        <f t="shared" si="26"/>
        <v>235.39999999999992</v>
      </c>
      <c r="L228" s="5">
        <v>0.6</v>
      </c>
      <c r="M228" s="5">
        <f t="shared" si="27"/>
        <v>190.79999999999984</v>
      </c>
      <c r="N228" s="5">
        <v>-0.6</v>
      </c>
      <c r="O228" s="5">
        <f t="shared" si="31"/>
        <v>107.70000000000002</v>
      </c>
      <c r="P228" s="5">
        <v>179</v>
      </c>
      <c r="Q228" s="24">
        <f t="shared" si="30"/>
        <v>1.082258064516129</v>
      </c>
      <c r="R228" s="9">
        <f t="shared" si="23"/>
        <v>0.64935483870967736</v>
      </c>
      <c r="S228" s="9">
        <f t="shared" si="24"/>
        <v>-0.64935483870967736</v>
      </c>
      <c r="T228" s="9">
        <f t="shared" si="28"/>
        <v>131.09929867511516</v>
      </c>
      <c r="V228" s="5">
        <v>355.7</v>
      </c>
      <c r="X228" s="5">
        <f t="shared" si="29"/>
        <v>95285.5</v>
      </c>
      <c r="Y228" s="5">
        <f t="shared" si="22"/>
        <v>11396.400000000001</v>
      </c>
      <c r="AA228" s="5">
        <v>11.5663034273196</v>
      </c>
      <c r="AB228" s="5" t="s">
        <v>58</v>
      </c>
    </row>
    <row r="229" spans="1:30" s="5" customFormat="1" x14ac:dyDescent="0.25">
      <c r="A229" s="78"/>
      <c r="B229" s="10"/>
      <c r="C229" s="22">
        <v>40979</v>
      </c>
      <c r="D229" s="5">
        <v>9.4</v>
      </c>
      <c r="E229" s="5">
        <v>6.5</v>
      </c>
      <c r="F229" s="5">
        <v>12.1</v>
      </c>
      <c r="G229" s="5">
        <f t="shared" si="25"/>
        <v>1703.8</v>
      </c>
      <c r="H229" s="5">
        <f t="shared" si="21"/>
        <v>148.39999999999998</v>
      </c>
      <c r="J229" s="91">
        <v>0</v>
      </c>
      <c r="K229" s="5">
        <f t="shared" si="26"/>
        <v>235.39999999999992</v>
      </c>
      <c r="L229" s="5">
        <v>0.5</v>
      </c>
      <c r="M229" s="5">
        <f t="shared" si="27"/>
        <v>191.29999999999984</v>
      </c>
      <c r="N229" s="5">
        <v>-0.5</v>
      </c>
      <c r="O229" s="5">
        <f t="shared" si="31"/>
        <v>107.20000000000002</v>
      </c>
      <c r="P229" s="5">
        <v>180</v>
      </c>
      <c r="Q229" s="24">
        <f t="shared" si="30"/>
        <v>1.0870967741935484</v>
      </c>
      <c r="R229" s="9">
        <f t="shared" si="23"/>
        <v>0.54354838709677422</v>
      </c>
      <c r="S229" s="9">
        <f t="shared" si="24"/>
        <v>-0.54354838709677422</v>
      </c>
      <c r="T229" s="93">
        <f t="shared" si="28"/>
        <v>130.5557502880184</v>
      </c>
      <c r="V229" s="5">
        <v>413.6</v>
      </c>
      <c r="X229" s="5">
        <f t="shared" si="29"/>
        <v>95699.1</v>
      </c>
      <c r="Y229" s="5">
        <f t="shared" si="22"/>
        <v>11810.000000000002</v>
      </c>
      <c r="AA229" s="5">
        <v>11.6249851754635</v>
      </c>
      <c r="AB229" s="5">
        <v>0</v>
      </c>
    </row>
    <row r="230" spans="1:30" s="5" customFormat="1" x14ac:dyDescent="0.25">
      <c r="A230" s="78"/>
      <c r="B230" s="10"/>
      <c r="C230" s="22">
        <v>40980</v>
      </c>
      <c r="D230" s="5">
        <v>9.6</v>
      </c>
      <c r="E230" s="5">
        <v>2.8</v>
      </c>
      <c r="F230" s="5">
        <v>17</v>
      </c>
      <c r="G230" s="5">
        <f t="shared" si="25"/>
        <v>1713.3999999999999</v>
      </c>
      <c r="H230" s="5">
        <f t="shared" si="21"/>
        <v>157.99999999999997</v>
      </c>
      <c r="J230" s="91">
        <v>0</v>
      </c>
      <c r="K230" s="5">
        <f t="shared" si="26"/>
        <v>235.39999999999992</v>
      </c>
      <c r="L230" s="5">
        <v>2.2999999999999998</v>
      </c>
      <c r="M230" s="5">
        <f t="shared" si="27"/>
        <v>193.59999999999985</v>
      </c>
      <c r="N230" s="5">
        <v>-2.2999999999999998</v>
      </c>
      <c r="O230" s="5">
        <f t="shared" si="31"/>
        <v>104.90000000000002</v>
      </c>
      <c r="P230" s="5">
        <v>181</v>
      </c>
      <c r="Q230" s="24">
        <f t="shared" si="30"/>
        <v>1.0919354838709676</v>
      </c>
      <c r="R230" s="9">
        <f t="shared" si="23"/>
        <v>2.5114516129032252</v>
      </c>
      <c r="S230" s="9">
        <f t="shared" si="24"/>
        <v>-2.5114516129032252</v>
      </c>
      <c r="T230" s="93">
        <f t="shared" si="28"/>
        <v>128.04429867511519</v>
      </c>
      <c r="V230" s="5">
        <v>1641.9</v>
      </c>
      <c r="X230" s="5">
        <f t="shared" si="29"/>
        <v>97341</v>
      </c>
      <c r="Y230" s="5">
        <f t="shared" si="22"/>
        <v>13451.900000000001</v>
      </c>
      <c r="AA230" s="5">
        <v>11.6837095705081</v>
      </c>
      <c r="AB230" s="5" t="s">
        <v>59</v>
      </c>
    </row>
    <row r="231" spans="1:30" s="5" customFormat="1" x14ac:dyDescent="0.25">
      <c r="A231" s="78"/>
      <c r="B231" s="10">
        <v>8</v>
      </c>
      <c r="C231" s="22">
        <v>40981</v>
      </c>
      <c r="D231" s="5">
        <v>9.1999999999999993</v>
      </c>
      <c r="E231" s="5">
        <v>5.0999999999999996</v>
      </c>
      <c r="F231" s="5">
        <v>14.8</v>
      </c>
      <c r="G231" s="5">
        <f t="shared" si="25"/>
        <v>1722.6</v>
      </c>
      <c r="H231" s="5">
        <f t="shared" si="21"/>
        <v>167.19999999999996</v>
      </c>
      <c r="J231" s="91">
        <v>0</v>
      </c>
      <c r="K231" s="5">
        <f t="shared" si="26"/>
        <v>235.39999999999992</v>
      </c>
      <c r="L231" s="5">
        <v>2</v>
      </c>
      <c r="M231" s="5">
        <f t="shared" si="27"/>
        <v>195.59999999999985</v>
      </c>
      <c r="N231" s="5">
        <v>-2</v>
      </c>
      <c r="O231" s="5">
        <f t="shared" si="31"/>
        <v>102.90000000000002</v>
      </c>
      <c r="P231" s="5">
        <v>182</v>
      </c>
      <c r="Q231" s="24">
        <f t="shared" si="30"/>
        <v>1.096774193548387</v>
      </c>
      <c r="R231" s="9">
        <f t="shared" si="23"/>
        <v>2.193548387096774</v>
      </c>
      <c r="S231" s="9">
        <f t="shared" si="24"/>
        <v>-2.193548387096774</v>
      </c>
      <c r="T231" s="93">
        <f t="shared" si="28"/>
        <v>125.85075028801842</v>
      </c>
      <c r="V231" s="5">
        <v>1411.6</v>
      </c>
      <c r="X231" s="5">
        <f t="shared" si="29"/>
        <v>98752.6</v>
      </c>
      <c r="Y231" s="5">
        <f t="shared" si="22"/>
        <v>14863.500000000002</v>
      </c>
      <c r="AA231" s="5">
        <v>11.7424698000957</v>
      </c>
      <c r="AB231" s="5">
        <f>SUM(J233:J242)</f>
        <v>19.899999999999999</v>
      </c>
    </row>
    <row r="232" spans="1:30" s="88" customFormat="1" x14ac:dyDescent="0.25">
      <c r="A232" s="78"/>
      <c r="B232" s="86" t="s">
        <v>54</v>
      </c>
      <c r="C232" s="87">
        <v>40982</v>
      </c>
      <c r="D232" s="88">
        <v>10.199999999999999</v>
      </c>
      <c r="E232" s="88">
        <v>4.2</v>
      </c>
      <c r="F232" s="88">
        <v>15.3</v>
      </c>
      <c r="G232" s="88">
        <f t="shared" si="25"/>
        <v>1732.8</v>
      </c>
      <c r="H232" s="88">
        <f t="shared" si="21"/>
        <v>177.39999999999995</v>
      </c>
      <c r="J232" s="88">
        <v>0</v>
      </c>
      <c r="K232" s="88">
        <f t="shared" si="26"/>
        <v>235.39999999999992</v>
      </c>
      <c r="L232" s="88">
        <v>2.1</v>
      </c>
      <c r="M232" s="88">
        <f t="shared" si="27"/>
        <v>197.69999999999985</v>
      </c>
      <c r="N232" s="88">
        <v>-2.1</v>
      </c>
      <c r="O232" s="88">
        <f t="shared" si="31"/>
        <v>100.80000000000003</v>
      </c>
      <c r="P232" s="88">
        <v>183</v>
      </c>
      <c r="Q232" s="90">
        <f t="shared" si="30"/>
        <v>1.1016129032258064</v>
      </c>
      <c r="R232" s="89">
        <f t="shared" si="23"/>
        <v>2.3133870967741936</v>
      </c>
      <c r="S232" s="89">
        <f t="shared" si="24"/>
        <v>-2.3133870967741936</v>
      </c>
      <c r="T232" s="89">
        <f t="shared" si="28"/>
        <v>123.53736319124422</v>
      </c>
      <c r="V232" s="88">
        <v>1663.1</v>
      </c>
      <c r="X232" s="88">
        <f t="shared" si="29"/>
        <v>100415.70000000001</v>
      </c>
      <c r="Y232" s="88">
        <f t="shared" si="22"/>
        <v>16526.600000000002</v>
      </c>
      <c r="AA232" s="88">
        <v>11.8012592238835</v>
      </c>
    </row>
    <row r="233" spans="1:30" s="5" customFormat="1" x14ac:dyDescent="0.25">
      <c r="A233" s="78"/>
      <c r="B233" s="10"/>
      <c r="C233" s="22">
        <v>40983</v>
      </c>
      <c r="D233" s="5">
        <v>10.4</v>
      </c>
      <c r="E233" s="5">
        <v>4.0999999999999996</v>
      </c>
      <c r="F233" s="5">
        <v>17.2</v>
      </c>
      <c r="G233" s="5">
        <f t="shared" si="25"/>
        <v>1743.2</v>
      </c>
      <c r="H233" s="5">
        <f t="shared" si="21"/>
        <v>187.79999999999995</v>
      </c>
      <c r="J233" s="91">
        <v>0</v>
      </c>
      <c r="K233" s="5">
        <f t="shared" si="26"/>
        <v>235.39999999999992</v>
      </c>
      <c r="L233" s="5">
        <v>2.2999999999999998</v>
      </c>
      <c r="M233" s="5">
        <f t="shared" si="27"/>
        <v>199.99999999999986</v>
      </c>
      <c r="N233" s="5">
        <v>-2.2999999999999998</v>
      </c>
      <c r="O233" s="5">
        <f t="shared" si="31"/>
        <v>98.500000000000028</v>
      </c>
      <c r="P233" s="5">
        <v>184</v>
      </c>
      <c r="Q233" s="24">
        <f t="shared" si="30"/>
        <v>1.1064516129032258</v>
      </c>
      <c r="R233" s="9">
        <f t="shared" si="23"/>
        <v>2.544838709677419</v>
      </c>
      <c r="S233" s="9">
        <f t="shared" si="24"/>
        <v>-2.544838709677419</v>
      </c>
      <c r="T233" s="93">
        <f t="shared" si="28"/>
        <v>120.9925244815668</v>
      </c>
      <c r="V233" s="5">
        <v>1568.7</v>
      </c>
      <c r="X233" s="5">
        <f t="shared" si="29"/>
        <v>101984.40000000001</v>
      </c>
      <c r="Y233" s="5">
        <f t="shared" si="22"/>
        <v>18095.300000000003</v>
      </c>
      <c r="AA233" s="5">
        <v>11.8600713552808</v>
      </c>
    </row>
    <row r="234" spans="1:30" s="5" customFormat="1" x14ac:dyDescent="0.25">
      <c r="A234" s="78"/>
      <c r="B234" s="10"/>
      <c r="C234" s="22">
        <v>40984</v>
      </c>
      <c r="D234" s="5">
        <v>9.3000000000000007</v>
      </c>
      <c r="E234" s="5">
        <v>8.1</v>
      </c>
      <c r="F234" s="5">
        <v>11</v>
      </c>
      <c r="G234" s="5">
        <f t="shared" si="25"/>
        <v>1752.5</v>
      </c>
      <c r="H234" s="5">
        <f t="shared" si="21"/>
        <v>197.09999999999997</v>
      </c>
      <c r="J234" s="91">
        <v>0</v>
      </c>
      <c r="K234" s="5">
        <f t="shared" si="26"/>
        <v>235.39999999999992</v>
      </c>
      <c r="L234" s="5">
        <v>0.9</v>
      </c>
      <c r="M234" s="5">
        <f t="shared" si="27"/>
        <v>200.89999999999986</v>
      </c>
      <c r="N234" s="5">
        <v>-0.9</v>
      </c>
      <c r="O234" s="5">
        <f t="shared" si="31"/>
        <v>97.600000000000023</v>
      </c>
      <c r="P234" s="5">
        <v>185</v>
      </c>
      <c r="Q234" s="24">
        <f t="shared" si="30"/>
        <v>1.1112903225806452</v>
      </c>
      <c r="R234" s="9">
        <f t="shared" si="23"/>
        <v>1.0001612903225807</v>
      </c>
      <c r="S234" s="9">
        <f t="shared" si="24"/>
        <v>-1.0001612903225807</v>
      </c>
      <c r="T234" s="93">
        <f t="shared" si="28"/>
        <v>119.99236319124422</v>
      </c>
      <c r="V234" s="5">
        <v>648.1</v>
      </c>
      <c r="X234" s="5">
        <f t="shared" si="29"/>
        <v>102632.50000000001</v>
      </c>
      <c r="Y234" s="5">
        <f t="shared" si="22"/>
        <v>18743.400000000001</v>
      </c>
      <c r="AA234" s="5">
        <v>11.9188998432952</v>
      </c>
    </row>
    <row r="235" spans="1:30" s="5" customFormat="1" x14ac:dyDescent="0.25">
      <c r="A235" s="78"/>
      <c r="B235" s="10"/>
      <c r="C235" s="22">
        <v>40985</v>
      </c>
      <c r="D235" s="5">
        <v>8.4</v>
      </c>
      <c r="E235" s="5">
        <v>7</v>
      </c>
      <c r="F235" s="5">
        <v>10.9</v>
      </c>
      <c r="G235" s="5">
        <f t="shared" si="25"/>
        <v>1760.9</v>
      </c>
      <c r="H235" s="5">
        <f t="shared" si="21"/>
        <v>205.49999999999997</v>
      </c>
      <c r="J235" s="91">
        <v>13.7</v>
      </c>
      <c r="K235" s="5">
        <f t="shared" si="26"/>
        <v>249.09999999999991</v>
      </c>
      <c r="L235" s="5">
        <v>0.5</v>
      </c>
      <c r="M235" s="5">
        <f t="shared" si="27"/>
        <v>201.39999999999986</v>
      </c>
      <c r="N235" s="5">
        <v>13.2</v>
      </c>
      <c r="O235" s="5">
        <f t="shared" si="31"/>
        <v>110.80000000000003</v>
      </c>
      <c r="P235" s="5">
        <v>186</v>
      </c>
      <c r="Q235" s="24">
        <f t="shared" si="30"/>
        <v>1.1161290322580644</v>
      </c>
      <c r="R235" s="9">
        <f t="shared" si="23"/>
        <v>0.55806451612903218</v>
      </c>
      <c r="S235" s="9">
        <f t="shared" si="24"/>
        <v>13.141935483870967</v>
      </c>
      <c r="T235" s="93">
        <f t="shared" si="28"/>
        <v>133.13429867511519</v>
      </c>
      <c r="V235" s="5">
        <v>245.6</v>
      </c>
      <c r="X235" s="5">
        <f t="shared" si="29"/>
        <v>102878.10000000002</v>
      </c>
      <c r="Y235" s="5">
        <f t="shared" si="22"/>
        <v>18989</v>
      </c>
      <c r="AA235" s="5">
        <v>11.9777384544863</v>
      </c>
    </row>
    <row r="236" spans="1:30" s="5" customFormat="1" x14ac:dyDescent="0.25">
      <c r="A236" s="78"/>
      <c r="B236" s="10"/>
      <c r="C236" s="22">
        <v>40986</v>
      </c>
      <c r="D236" s="5">
        <v>5.8</v>
      </c>
      <c r="E236" s="5">
        <v>4.2</v>
      </c>
      <c r="F236" s="5">
        <v>8</v>
      </c>
      <c r="G236" s="5">
        <f t="shared" si="25"/>
        <v>1766.7</v>
      </c>
      <c r="H236" s="5">
        <f t="shared" si="21"/>
        <v>211.29999999999998</v>
      </c>
      <c r="J236" s="91">
        <v>5.6</v>
      </c>
      <c r="K236" s="5">
        <f t="shared" si="26"/>
        <v>254.6999999999999</v>
      </c>
      <c r="L236" s="5">
        <v>0.5</v>
      </c>
      <c r="M236" s="5">
        <f t="shared" si="27"/>
        <v>201.89999999999986</v>
      </c>
      <c r="N236" s="5">
        <v>5.0999999999999996</v>
      </c>
      <c r="O236" s="5">
        <f t="shared" si="31"/>
        <v>115.90000000000002</v>
      </c>
      <c r="P236" s="5">
        <v>187</v>
      </c>
      <c r="Q236" s="24">
        <f t="shared" si="30"/>
        <v>1.1209677419354838</v>
      </c>
      <c r="R236" s="9">
        <f t="shared" si="23"/>
        <v>0.56048387096774188</v>
      </c>
      <c r="S236" s="9">
        <f t="shared" si="24"/>
        <v>5.0395161290322577</v>
      </c>
      <c r="T236" s="93">
        <f t="shared" si="28"/>
        <v>138.17381480414744</v>
      </c>
      <c r="V236" s="5">
        <v>294.60000000000002</v>
      </c>
      <c r="X236" s="5">
        <f t="shared" si="29"/>
        <v>103172.70000000003</v>
      </c>
      <c r="Y236" s="5">
        <f t="shared" si="22"/>
        <v>19283.599999999999</v>
      </c>
      <c r="AA236" s="5">
        <v>12.0365810550304</v>
      </c>
    </row>
    <row r="237" spans="1:30" s="5" customFormat="1" x14ac:dyDescent="0.25">
      <c r="A237" s="78"/>
      <c r="B237" s="10"/>
      <c r="C237" s="22">
        <v>40987</v>
      </c>
      <c r="D237" s="5">
        <v>6.8</v>
      </c>
      <c r="E237" s="5">
        <v>3.3</v>
      </c>
      <c r="F237" s="5">
        <v>12.6</v>
      </c>
      <c r="G237" s="5">
        <f t="shared" si="25"/>
        <v>1773.5</v>
      </c>
      <c r="H237" s="5">
        <f t="shared" si="21"/>
        <v>218.1</v>
      </c>
      <c r="J237" s="91">
        <v>0.1</v>
      </c>
      <c r="K237" s="5">
        <f t="shared" si="26"/>
        <v>254.7999999999999</v>
      </c>
      <c r="L237" s="5">
        <v>1.4</v>
      </c>
      <c r="M237" s="5">
        <f t="shared" si="27"/>
        <v>203.29999999999987</v>
      </c>
      <c r="N237" s="5">
        <v>-1.2999999999999998</v>
      </c>
      <c r="O237" s="5">
        <f t="shared" si="31"/>
        <v>114.60000000000002</v>
      </c>
      <c r="P237" s="5">
        <v>188</v>
      </c>
      <c r="Q237" s="24">
        <f t="shared" si="30"/>
        <v>1.1258064516129032</v>
      </c>
      <c r="R237" s="9">
        <f t="shared" si="23"/>
        <v>1.5761290322580643</v>
      </c>
      <c r="S237" s="9">
        <f t="shared" si="24"/>
        <v>-1.4761290322580642</v>
      </c>
      <c r="T237" s="93">
        <f t="shared" si="28"/>
        <v>136.69768577188938</v>
      </c>
      <c r="V237" s="5">
        <v>941.5</v>
      </c>
      <c r="X237" s="5">
        <f t="shared" si="29"/>
        <v>104114.20000000003</v>
      </c>
      <c r="Y237" s="5">
        <f t="shared" si="22"/>
        <v>20225.099999999999</v>
      </c>
      <c r="AA237" s="5">
        <v>12.095421592892601</v>
      </c>
    </row>
    <row r="238" spans="1:30" s="5" customFormat="1" x14ac:dyDescent="0.25">
      <c r="A238" s="78"/>
      <c r="B238" s="10">
        <v>9</v>
      </c>
      <c r="C238" s="22">
        <v>40988</v>
      </c>
      <c r="D238" s="5">
        <v>6.4</v>
      </c>
      <c r="E238" s="5">
        <v>0</v>
      </c>
      <c r="F238" s="5">
        <v>12.5</v>
      </c>
      <c r="G238" s="5">
        <f t="shared" si="25"/>
        <v>1779.9</v>
      </c>
      <c r="H238" s="5">
        <f t="shared" ref="H238:H301" si="32">H237+D238</f>
        <v>224.5</v>
      </c>
      <c r="J238" s="91">
        <v>0.1</v>
      </c>
      <c r="K238" s="5">
        <f t="shared" si="26"/>
        <v>254.89999999999989</v>
      </c>
      <c r="L238" s="5">
        <v>1</v>
      </c>
      <c r="M238" s="5">
        <f t="shared" si="27"/>
        <v>204.29999999999987</v>
      </c>
      <c r="N238" s="5">
        <v>-0.9</v>
      </c>
      <c r="O238" s="5">
        <f t="shared" si="31"/>
        <v>113.70000000000002</v>
      </c>
      <c r="P238" s="5">
        <v>189</v>
      </c>
      <c r="Q238" s="24">
        <f t="shared" si="30"/>
        <v>1.1306451612903226</v>
      </c>
      <c r="R238" s="9">
        <f t="shared" si="23"/>
        <v>1.1306451612903226</v>
      </c>
      <c r="S238" s="9">
        <f t="shared" si="24"/>
        <v>-1.0306451612903225</v>
      </c>
      <c r="T238" s="93">
        <f t="shared" si="28"/>
        <v>135.66704061059906</v>
      </c>
      <c r="V238" s="5">
        <v>890.9</v>
      </c>
      <c r="X238" s="5">
        <f t="shared" si="29"/>
        <v>105005.10000000002</v>
      </c>
      <c r="Y238" s="5">
        <f t="shared" ref="Y238:Y301" si="33">Y237+V238</f>
        <v>21116</v>
      </c>
      <c r="AA238" s="5">
        <v>12.1542540801066</v>
      </c>
    </row>
    <row r="239" spans="1:30" s="5" customFormat="1" x14ac:dyDescent="0.25">
      <c r="A239" s="78"/>
      <c r="B239" s="10"/>
      <c r="C239" s="22">
        <v>40989</v>
      </c>
      <c r="D239" s="5">
        <v>9.8000000000000007</v>
      </c>
      <c r="E239" s="5">
        <v>4</v>
      </c>
      <c r="F239" s="5">
        <v>13.7</v>
      </c>
      <c r="G239" s="5">
        <f t="shared" si="25"/>
        <v>1789.7</v>
      </c>
      <c r="H239" s="5">
        <f t="shared" si="32"/>
        <v>234.3</v>
      </c>
      <c r="J239" s="91">
        <v>0.2</v>
      </c>
      <c r="K239" s="5">
        <f t="shared" si="26"/>
        <v>255.09999999999988</v>
      </c>
      <c r="L239" s="5">
        <v>0.7</v>
      </c>
      <c r="M239" s="5">
        <f t="shared" si="27"/>
        <v>204.99999999999986</v>
      </c>
      <c r="N239" s="5">
        <v>-0.49999999999999994</v>
      </c>
      <c r="O239" s="5">
        <f t="shared" si="31"/>
        <v>113.20000000000002</v>
      </c>
      <c r="P239" s="5">
        <v>190</v>
      </c>
      <c r="Q239" s="24">
        <f t="shared" si="30"/>
        <v>1.1354838709677419</v>
      </c>
      <c r="R239" s="9">
        <f t="shared" si="23"/>
        <v>0.79483870967741932</v>
      </c>
      <c r="S239" s="9">
        <f t="shared" si="24"/>
        <v>-0.59483870967741925</v>
      </c>
      <c r="T239" s="93">
        <f t="shared" si="28"/>
        <v>135.07220190092164</v>
      </c>
      <c r="V239" s="5">
        <v>558.9</v>
      </c>
      <c r="X239" s="5">
        <f t="shared" si="29"/>
        <v>105564.00000000001</v>
      </c>
      <c r="Y239" s="5">
        <f t="shared" si="33"/>
        <v>21674.9</v>
      </c>
      <c r="AA239" s="5">
        <v>12.2130725751594</v>
      </c>
    </row>
    <row r="240" spans="1:30" s="5" customFormat="1" x14ac:dyDescent="0.25">
      <c r="A240" s="78"/>
      <c r="B240" s="10"/>
      <c r="C240" s="22">
        <v>40990</v>
      </c>
      <c r="D240" s="5">
        <v>12.1</v>
      </c>
      <c r="E240" s="5">
        <v>11.1</v>
      </c>
      <c r="F240" s="5">
        <v>14.7</v>
      </c>
      <c r="G240" s="5">
        <f t="shared" si="25"/>
        <v>1801.8</v>
      </c>
      <c r="H240" s="5">
        <f t="shared" si="32"/>
        <v>246.4</v>
      </c>
      <c r="J240" s="91">
        <v>0.2</v>
      </c>
      <c r="K240" s="5">
        <f t="shared" si="26"/>
        <v>255.29999999999987</v>
      </c>
      <c r="L240" s="5">
        <v>2</v>
      </c>
      <c r="M240" s="5">
        <f t="shared" si="27"/>
        <v>206.99999999999986</v>
      </c>
      <c r="N240" s="5">
        <v>-1.8</v>
      </c>
      <c r="O240" s="5">
        <f t="shared" si="31"/>
        <v>111.40000000000002</v>
      </c>
      <c r="P240" s="5">
        <v>191</v>
      </c>
      <c r="Q240" s="24">
        <f t="shared" si="30"/>
        <v>1.1403225806451611</v>
      </c>
      <c r="R240" s="9">
        <f t="shared" si="23"/>
        <v>2.2806451612903222</v>
      </c>
      <c r="S240" s="9">
        <f t="shared" si="24"/>
        <v>-2.0806451612903221</v>
      </c>
      <c r="T240" s="93">
        <f t="shared" si="28"/>
        <v>132.99155673963131</v>
      </c>
      <c r="V240" s="5">
        <v>1104.4000000000001</v>
      </c>
      <c r="W240" s="25"/>
      <c r="X240" s="5">
        <f t="shared" si="29"/>
        <v>106668.40000000001</v>
      </c>
      <c r="Y240" s="5">
        <f t="shared" si="33"/>
        <v>22779.300000000003</v>
      </c>
      <c r="AA240" s="5">
        <v>12.2718711654767</v>
      </c>
    </row>
    <row r="241" spans="1:27" s="5" customFormat="1" ht="15" customHeight="1" x14ac:dyDescent="0.25">
      <c r="A241" s="78"/>
      <c r="B241" s="10"/>
      <c r="C241" s="22">
        <v>40991</v>
      </c>
      <c r="D241" s="5">
        <v>11.8</v>
      </c>
      <c r="E241" s="26">
        <v>3.2</v>
      </c>
      <c r="F241" s="5">
        <v>20.100000000000001</v>
      </c>
      <c r="G241" s="5">
        <f t="shared" si="25"/>
        <v>1813.6</v>
      </c>
      <c r="H241" s="5">
        <f t="shared" si="32"/>
        <v>258.2</v>
      </c>
      <c r="J241" s="91">
        <v>0</v>
      </c>
      <c r="K241" s="5">
        <f t="shared" si="26"/>
        <v>255.29999999999987</v>
      </c>
      <c r="L241" s="5">
        <v>2.6</v>
      </c>
      <c r="M241" s="5">
        <f t="shared" si="27"/>
        <v>209.59999999999985</v>
      </c>
      <c r="N241" s="26">
        <v>-2.6</v>
      </c>
      <c r="O241" s="5">
        <f t="shared" si="31"/>
        <v>108.80000000000003</v>
      </c>
      <c r="P241" s="5">
        <v>192</v>
      </c>
      <c r="Q241" s="24">
        <f t="shared" si="30"/>
        <v>1.1451612903225805</v>
      </c>
      <c r="R241" s="9">
        <f t="shared" si="23"/>
        <v>2.9774193548387093</v>
      </c>
      <c r="S241" s="9">
        <f t="shared" si="24"/>
        <v>-2.9774193548387093</v>
      </c>
      <c r="T241" s="93">
        <f t="shared" si="28"/>
        <v>130.0141373847926</v>
      </c>
      <c r="V241" s="5">
        <v>1534.1</v>
      </c>
      <c r="X241" s="5">
        <f t="shared" si="29"/>
        <v>108202.50000000001</v>
      </c>
      <c r="Y241" s="5">
        <f t="shared" si="33"/>
        <v>24313.4</v>
      </c>
      <c r="AA241" s="5">
        <v>12.3306439500082</v>
      </c>
    </row>
    <row r="242" spans="1:27" s="16" customFormat="1" x14ac:dyDescent="0.25">
      <c r="A242" s="78"/>
      <c r="B242" s="20"/>
      <c r="C242" s="27">
        <v>40992</v>
      </c>
      <c r="D242" s="16">
        <v>13</v>
      </c>
      <c r="E242" s="16">
        <v>5.5</v>
      </c>
      <c r="F242" s="16">
        <v>21.8</v>
      </c>
      <c r="G242" s="16">
        <f t="shared" si="25"/>
        <v>1826.6</v>
      </c>
      <c r="H242" s="16">
        <f t="shared" si="32"/>
        <v>271.2</v>
      </c>
      <c r="J242" s="92">
        <v>0</v>
      </c>
      <c r="K242" s="16">
        <f t="shared" si="26"/>
        <v>255.29999999999987</v>
      </c>
      <c r="L242" s="16">
        <v>3.1</v>
      </c>
      <c r="M242" s="16">
        <f t="shared" si="27"/>
        <v>212.69999999999985</v>
      </c>
      <c r="N242" s="16">
        <v>-3.1</v>
      </c>
      <c r="O242" s="16">
        <f t="shared" si="31"/>
        <v>105.70000000000003</v>
      </c>
      <c r="P242" s="16">
        <v>193</v>
      </c>
      <c r="Q242" s="24">
        <f t="shared" si="30"/>
        <v>1.1499999999999999</v>
      </c>
      <c r="R242" s="17">
        <f t="shared" ref="R242:R305" si="34">Q242*L242</f>
        <v>3.5649999999999999</v>
      </c>
      <c r="S242" s="17">
        <f t="shared" ref="S242:S305" si="35">J242-R242</f>
        <v>-3.5649999999999999</v>
      </c>
      <c r="T242" s="93">
        <f t="shared" si="28"/>
        <v>126.44913738479261</v>
      </c>
      <c r="V242" s="16">
        <v>1829.1</v>
      </c>
      <c r="X242" s="16">
        <f t="shared" si="29"/>
        <v>110031.60000000002</v>
      </c>
      <c r="Y242" s="5">
        <f t="shared" si="33"/>
        <v>26142.5</v>
      </c>
      <c r="AA242" s="5">
        <v>12.389385021906101</v>
      </c>
    </row>
    <row r="243" spans="1:27" s="5" customFormat="1" x14ac:dyDescent="0.25">
      <c r="A243" s="28" t="s">
        <v>47</v>
      </c>
      <c r="B243" s="6"/>
      <c r="C243" s="29">
        <v>40993</v>
      </c>
      <c r="D243" s="5">
        <v>12.7</v>
      </c>
      <c r="E243" s="5">
        <v>4.8</v>
      </c>
      <c r="F243" s="5">
        <v>21.9</v>
      </c>
      <c r="G243" s="5">
        <f t="shared" si="25"/>
        <v>1839.3</v>
      </c>
      <c r="H243" s="5">
        <v>12.7</v>
      </c>
      <c r="I243" s="30" t="s">
        <v>28</v>
      </c>
      <c r="J243" s="5">
        <v>0</v>
      </c>
      <c r="K243" s="5">
        <f t="shared" si="26"/>
        <v>255.29999999999987</v>
      </c>
      <c r="L243" s="5">
        <v>3.5</v>
      </c>
      <c r="M243" s="5">
        <f t="shared" si="27"/>
        <v>216.19999999999985</v>
      </c>
      <c r="N243" s="5">
        <v>-3.5</v>
      </c>
      <c r="O243" s="5">
        <f t="shared" si="31"/>
        <v>102.20000000000003</v>
      </c>
      <c r="P243" s="5">
        <v>194</v>
      </c>
      <c r="Q243" s="5">
        <v>1.1499999999999999</v>
      </c>
      <c r="R243" s="9">
        <f t="shared" si="34"/>
        <v>4.0249999999999995</v>
      </c>
      <c r="S243" s="9">
        <f t="shared" si="35"/>
        <v>-4.0249999999999995</v>
      </c>
      <c r="T243" s="9">
        <f t="shared" si="28"/>
        <v>122.4241373847926</v>
      </c>
      <c r="U243" s="30" t="s">
        <v>29</v>
      </c>
      <c r="V243" s="5">
        <v>2052.8000000000002</v>
      </c>
      <c r="X243" s="5">
        <f t="shared" si="29"/>
        <v>112084.40000000002</v>
      </c>
      <c r="Y243" s="5">
        <v>2052.8000000000002</v>
      </c>
      <c r="Z243" s="30" t="s">
        <v>30</v>
      </c>
      <c r="AA243" s="5">
        <v>12.4480884512964</v>
      </c>
    </row>
    <row r="244" spans="1:27" s="5" customFormat="1" x14ac:dyDescent="0.25">
      <c r="A244" s="31"/>
      <c r="B244" s="6"/>
      <c r="C244" s="29">
        <v>40994</v>
      </c>
      <c r="D244" s="5">
        <v>13.9</v>
      </c>
      <c r="E244" s="5">
        <v>6.2</v>
      </c>
      <c r="F244" s="5">
        <v>22.8</v>
      </c>
      <c r="G244" s="5">
        <f t="shared" ref="G244:G307" si="36">G243+D244</f>
        <v>1853.2</v>
      </c>
      <c r="H244" s="5">
        <f t="shared" si="32"/>
        <v>26.6</v>
      </c>
      <c r="I244" s="5">
        <f>MIN(E243:E263)</f>
        <v>1</v>
      </c>
      <c r="J244" s="5">
        <v>0</v>
      </c>
      <c r="K244" s="5">
        <f t="shared" ref="K244:K307" si="37">K243+J244</f>
        <v>255.29999999999987</v>
      </c>
      <c r="L244" s="5">
        <v>4.2</v>
      </c>
      <c r="M244" s="5">
        <f t="shared" ref="M244:M307" si="38">M243+L244</f>
        <v>220.39999999999984</v>
      </c>
      <c r="N244" s="5">
        <v>-4.2</v>
      </c>
      <c r="O244" s="5">
        <f t="shared" si="31"/>
        <v>98.000000000000028</v>
      </c>
      <c r="P244" s="5">
        <v>195</v>
      </c>
      <c r="Q244" s="5">
        <v>1.1499999999999999</v>
      </c>
      <c r="R244" s="9">
        <f t="shared" si="34"/>
        <v>4.83</v>
      </c>
      <c r="S244" s="9">
        <f t="shared" si="35"/>
        <v>-4.83</v>
      </c>
      <c r="T244" s="9">
        <f t="shared" ref="T244:T307" si="39">MIN(197.4,(T243+S244))</f>
        <v>117.5941373847926</v>
      </c>
      <c r="U244" s="5">
        <v>17</v>
      </c>
      <c r="V244" s="5">
        <v>2053.6</v>
      </c>
      <c r="X244" s="5">
        <f t="shared" ref="X244:X307" si="40">X243+V244</f>
        <v>114138.00000000003</v>
      </c>
      <c r="Y244" s="5">
        <f t="shared" si="33"/>
        <v>4106.3999999999996</v>
      </c>
      <c r="Z244" s="5">
        <v>32794.599999999991</v>
      </c>
      <c r="AA244" s="5">
        <v>12.506748268137301</v>
      </c>
    </row>
    <row r="245" spans="1:27" s="5" customFormat="1" x14ac:dyDescent="0.25">
      <c r="A245" s="31"/>
      <c r="B245" s="6"/>
      <c r="C245" s="29">
        <v>40995</v>
      </c>
      <c r="D245" s="5">
        <v>13.2</v>
      </c>
      <c r="E245" s="5">
        <v>5.6</v>
      </c>
      <c r="F245" s="5">
        <v>21.7</v>
      </c>
      <c r="G245" s="5">
        <f t="shared" si="36"/>
        <v>1866.4</v>
      </c>
      <c r="H245" s="5">
        <f t="shared" si="32"/>
        <v>39.799999999999997</v>
      </c>
      <c r="I245" s="30" t="s">
        <v>31</v>
      </c>
      <c r="J245" s="5">
        <v>0</v>
      </c>
      <c r="K245" s="5">
        <f t="shared" si="37"/>
        <v>255.29999999999987</v>
      </c>
      <c r="L245" s="5">
        <v>4</v>
      </c>
      <c r="M245" s="5">
        <f t="shared" si="38"/>
        <v>224.39999999999984</v>
      </c>
      <c r="N245" s="5">
        <v>-4</v>
      </c>
      <c r="O245" s="5">
        <f t="shared" si="31"/>
        <v>94.000000000000028</v>
      </c>
      <c r="P245" s="5">
        <v>196</v>
      </c>
      <c r="Q245" s="5">
        <v>1.1499999999999999</v>
      </c>
      <c r="R245" s="9">
        <f t="shared" si="34"/>
        <v>4.5999999999999996</v>
      </c>
      <c r="S245" s="9">
        <f t="shared" si="35"/>
        <v>-4.5999999999999996</v>
      </c>
      <c r="T245" s="9">
        <f t="shared" si="39"/>
        <v>112.99413738479261</v>
      </c>
      <c r="U245" s="30" t="s">
        <v>32</v>
      </c>
      <c r="V245" s="5">
        <v>2133.6</v>
      </c>
      <c r="X245" s="5">
        <f t="shared" si="40"/>
        <v>116271.60000000003</v>
      </c>
      <c r="Y245" s="5">
        <f t="shared" si="33"/>
        <v>6240</v>
      </c>
      <c r="Z245" s="30" t="s">
        <v>33</v>
      </c>
      <c r="AA245" s="5">
        <v>12.565358445162101</v>
      </c>
    </row>
    <row r="246" spans="1:27" s="5" customFormat="1" x14ac:dyDescent="0.25">
      <c r="A246" s="31"/>
      <c r="B246" s="6"/>
      <c r="C246" s="29">
        <v>40996</v>
      </c>
      <c r="D246" s="5">
        <v>13.1</v>
      </c>
      <c r="E246" s="5">
        <v>4.8</v>
      </c>
      <c r="F246" s="5">
        <v>22.5</v>
      </c>
      <c r="G246" s="5">
        <f t="shared" si="36"/>
        <v>1879.5</v>
      </c>
      <c r="H246" s="5">
        <f t="shared" si="32"/>
        <v>52.9</v>
      </c>
      <c r="I246" s="5">
        <f>MAX(F243:F263)</f>
        <v>22.8</v>
      </c>
      <c r="J246" s="5">
        <v>0</v>
      </c>
      <c r="K246" s="5">
        <f t="shared" si="37"/>
        <v>255.29999999999987</v>
      </c>
      <c r="L246" s="5">
        <v>3.8</v>
      </c>
      <c r="M246" s="5">
        <f t="shared" si="38"/>
        <v>228.19999999999985</v>
      </c>
      <c r="N246" s="5">
        <v>-3.8</v>
      </c>
      <c r="O246" s="5">
        <f t="shared" si="31"/>
        <v>90.200000000000031</v>
      </c>
      <c r="P246" s="5">
        <v>197</v>
      </c>
      <c r="Q246" s="5">
        <v>1.1499999999999999</v>
      </c>
      <c r="R246" s="9">
        <f t="shared" si="34"/>
        <v>4.3699999999999992</v>
      </c>
      <c r="S246" s="9">
        <f t="shared" si="35"/>
        <v>-4.3699999999999992</v>
      </c>
      <c r="T246" s="9">
        <f t="shared" si="39"/>
        <v>108.6241373847926</v>
      </c>
      <c r="U246" s="5">
        <v>0</v>
      </c>
      <c r="V246" s="5">
        <v>2121.6999999999998</v>
      </c>
      <c r="X246" s="5">
        <f t="shared" si="40"/>
        <v>118393.30000000003</v>
      </c>
      <c r="Y246" s="5">
        <f t="shared" si="33"/>
        <v>8361.7000000000007</v>
      </c>
      <c r="Z246" s="5">
        <f>(Z244/100)/I256</f>
        <v>1.5911984473556522</v>
      </c>
      <c r="AA246" s="5">
        <v>12.6239128809042</v>
      </c>
    </row>
    <row r="247" spans="1:27" s="5" customFormat="1" x14ac:dyDescent="0.25">
      <c r="A247" s="31"/>
      <c r="B247" s="6"/>
      <c r="C247" s="29">
        <v>40997</v>
      </c>
      <c r="D247" s="5">
        <v>12.1</v>
      </c>
      <c r="E247" s="5">
        <v>5.4</v>
      </c>
      <c r="F247" s="5">
        <v>20.9</v>
      </c>
      <c r="G247" s="5">
        <f t="shared" si="36"/>
        <v>1891.6</v>
      </c>
      <c r="H247" s="5">
        <f t="shared" si="32"/>
        <v>65</v>
      </c>
      <c r="I247" s="30" t="s">
        <v>34</v>
      </c>
      <c r="J247" s="5">
        <v>0</v>
      </c>
      <c r="K247" s="5">
        <f t="shared" si="37"/>
        <v>255.29999999999987</v>
      </c>
      <c r="L247" s="5">
        <v>3.7</v>
      </c>
      <c r="M247" s="5">
        <f t="shared" si="38"/>
        <v>231.89999999999984</v>
      </c>
      <c r="N247" s="5">
        <v>-3.7</v>
      </c>
      <c r="O247" s="5">
        <f t="shared" si="31"/>
        <v>86.500000000000028</v>
      </c>
      <c r="P247" s="5">
        <v>198</v>
      </c>
      <c r="Q247" s="5">
        <v>1.1499999999999999</v>
      </c>
      <c r="R247" s="9">
        <f t="shared" si="34"/>
        <v>4.2549999999999999</v>
      </c>
      <c r="S247" s="9">
        <f t="shared" si="35"/>
        <v>-4.2549999999999999</v>
      </c>
      <c r="T247" s="9">
        <f t="shared" si="39"/>
        <v>104.36913738479261</v>
      </c>
      <c r="U247" s="30" t="s">
        <v>35</v>
      </c>
      <c r="V247" s="5">
        <v>2106</v>
      </c>
      <c r="X247" s="5">
        <f t="shared" si="40"/>
        <v>120499.30000000003</v>
      </c>
      <c r="Y247" s="5">
        <f t="shared" si="33"/>
        <v>10467.700000000001</v>
      </c>
      <c r="Z247" s="30" t="s">
        <v>36</v>
      </c>
      <c r="AA247" s="5">
        <v>12.6824053828018</v>
      </c>
    </row>
    <row r="248" spans="1:27" s="5" customFormat="1" x14ac:dyDescent="0.25">
      <c r="A248" s="28" t="s">
        <v>48</v>
      </c>
      <c r="B248" s="6"/>
      <c r="C248" s="29">
        <v>40998</v>
      </c>
      <c r="D248" s="5">
        <v>11.6</v>
      </c>
      <c r="E248" s="5">
        <v>4.9000000000000004</v>
      </c>
      <c r="F248" s="5">
        <v>18.8</v>
      </c>
      <c r="G248" s="5">
        <f t="shared" si="36"/>
        <v>1903.1999999999998</v>
      </c>
      <c r="H248" s="5">
        <f t="shared" si="32"/>
        <v>76.599999999999994</v>
      </c>
      <c r="I248" s="5">
        <f>AVERAGE(D243:D263)</f>
        <v>9.8142857142857132</v>
      </c>
      <c r="J248" s="5">
        <v>0</v>
      </c>
      <c r="K248" s="5">
        <f t="shared" si="37"/>
        <v>255.29999999999987</v>
      </c>
      <c r="L248" s="5">
        <v>3.2</v>
      </c>
      <c r="M248" s="5">
        <f t="shared" si="38"/>
        <v>235.09999999999982</v>
      </c>
      <c r="N248" s="5">
        <v>-3.2</v>
      </c>
      <c r="O248" s="5">
        <f t="shared" si="31"/>
        <v>83.300000000000026</v>
      </c>
      <c r="P248" s="5">
        <v>199</v>
      </c>
      <c r="Q248" s="5">
        <v>1.1499999999999999</v>
      </c>
      <c r="R248" s="9">
        <f t="shared" si="34"/>
        <v>3.6799999999999997</v>
      </c>
      <c r="S248" s="9">
        <f t="shared" si="35"/>
        <v>-3.6799999999999997</v>
      </c>
      <c r="T248" s="9">
        <f t="shared" si="39"/>
        <v>100.68913738479262</v>
      </c>
      <c r="U248" s="5">
        <v>0</v>
      </c>
      <c r="V248" s="5">
        <v>2044.8</v>
      </c>
      <c r="X248" s="5">
        <f t="shared" si="40"/>
        <v>122544.10000000003</v>
      </c>
      <c r="Y248" s="5">
        <f t="shared" si="33"/>
        <v>12512.5</v>
      </c>
      <c r="Z248" s="5">
        <v>4</v>
      </c>
      <c r="AA248" s="5">
        <v>12.7408296503808</v>
      </c>
    </row>
    <row r="249" spans="1:27" s="5" customFormat="1" x14ac:dyDescent="0.25">
      <c r="A249" s="31"/>
      <c r="B249" s="6"/>
      <c r="C249" s="29">
        <v>40999</v>
      </c>
      <c r="D249" s="5">
        <v>10.4</v>
      </c>
      <c r="E249" s="5">
        <v>6.3</v>
      </c>
      <c r="F249" s="5">
        <v>17.399999999999999</v>
      </c>
      <c r="G249" s="5">
        <f t="shared" si="36"/>
        <v>1913.6</v>
      </c>
      <c r="H249" s="5">
        <f t="shared" si="32"/>
        <v>87</v>
      </c>
      <c r="I249" s="30" t="s">
        <v>37</v>
      </c>
      <c r="J249" s="5">
        <v>0</v>
      </c>
      <c r="K249" s="5">
        <f t="shared" si="37"/>
        <v>255.29999999999987</v>
      </c>
      <c r="L249" s="5">
        <v>2.4</v>
      </c>
      <c r="M249" s="5">
        <f t="shared" si="38"/>
        <v>237.49999999999983</v>
      </c>
      <c r="N249" s="5">
        <v>-2.4</v>
      </c>
      <c r="O249" s="5">
        <f t="shared" si="31"/>
        <v>80.90000000000002</v>
      </c>
      <c r="P249" s="5">
        <v>200</v>
      </c>
      <c r="Q249" s="5">
        <v>1.1499999999999999</v>
      </c>
      <c r="R249" s="9">
        <f t="shared" si="34"/>
        <v>2.76</v>
      </c>
      <c r="S249" s="9">
        <f t="shared" si="35"/>
        <v>-2.76</v>
      </c>
      <c r="T249" s="9">
        <f t="shared" si="39"/>
        <v>97.929137384792611</v>
      </c>
      <c r="U249" s="30" t="s">
        <v>38</v>
      </c>
      <c r="V249" s="5">
        <v>1419.2</v>
      </c>
      <c r="X249" s="5">
        <f t="shared" si="40"/>
        <v>123963.30000000003</v>
      </c>
      <c r="Y249" s="5">
        <f t="shared" si="33"/>
        <v>13931.7</v>
      </c>
      <c r="AA249" s="5">
        <v>12.7991792585143</v>
      </c>
    </row>
    <row r="250" spans="1:27" s="5" customFormat="1" x14ac:dyDescent="0.25">
      <c r="A250" s="31"/>
      <c r="B250" s="6"/>
      <c r="C250" s="29">
        <v>41000</v>
      </c>
      <c r="D250" s="5">
        <v>8.3000000000000007</v>
      </c>
      <c r="E250" s="26">
        <v>3.3</v>
      </c>
      <c r="F250" s="5">
        <v>11.7</v>
      </c>
      <c r="G250" s="5">
        <f t="shared" si="36"/>
        <v>1921.8999999999999</v>
      </c>
      <c r="H250" s="5">
        <f t="shared" si="32"/>
        <v>95.3</v>
      </c>
      <c r="I250" s="5">
        <v>0</v>
      </c>
      <c r="J250" s="5">
        <v>0</v>
      </c>
      <c r="K250" s="5">
        <f t="shared" si="37"/>
        <v>255.29999999999987</v>
      </c>
      <c r="L250" s="5">
        <v>2.8</v>
      </c>
      <c r="M250" s="5">
        <f t="shared" si="38"/>
        <v>240.29999999999984</v>
      </c>
      <c r="N250" s="26">
        <v>-2.8</v>
      </c>
      <c r="O250" s="5">
        <f t="shared" si="31"/>
        <v>78.100000000000023</v>
      </c>
      <c r="P250" s="5">
        <v>201</v>
      </c>
      <c r="Q250" s="5">
        <v>1.1499999999999999</v>
      </c>
      <c r="R250" s="9">
        <f t="shared" si="34"/>
        <v>3.2199999999999998</v>
      </c>
      <c r="S250" s="9">
        <f t="shared" si="35"/>
        <v>-3.2199999999999998</v>
      </c>
      <c r="T250" s="9">
        <f t="shared" si="39"/>
        <v>94.709137384792612</v>
      </c>
      <c r="U250" s="9">
        <f>MIN(T243:T263)</f>
        <v>78.044137384792606</v>
      </c>
      <c r="V250" s="5">
        <v>2148.1999999999998</v>
      </c>
      <c r="W250" s="32"/>
      <c r="X250" s="25">
        <f t="shared" si="40"/>
        <v>126111.50000000003</v>
      </c>
      <c r="Y250" s="5">
        <f t="shared" si="33"/>
        <v>16079.900000000001</v>
      </c>
      <c r="AA250" s="5">
        <v>12.8574476407617</v>
      </c>
    </row>
    <row r="251" spans="1:27" s="5" customFormat="1" ht="15" customHeight="1" x14ac:dyDescent="0.25">
      <c r="A251" s="31"/>
      <c r="B251" s="6"/>
      <c r="C251" s="29">
        <v>41001</v>
      </c>
      <c r="D251" s="5">
        <v>8.1</v>
      </c>
      <c r="E251" s="5">
        <v>1.7</v>
      </c>
      <c r="F251" s="5">
        <v>16.600000000000001</v>
      </c>
      <c r="G251" s="5">
        <f t="shared" si="36"/>
        <v>1929.9999999999998</v>
      </c>
      <c r="H251" s="5">
        <f t="shared" si="32"/>
        <v>103.39999999999999</v>
      </c>
      <c r="I251" s="30" t="s">
        <v>39</v>
      </c>
      <c r="J251" s="5">
        <v>0</v>
      </c>
      <c r="K251" s="5">
        <f t="shared" si="37"/>
        <v>255.29999999999987</v>
      </c>
      <c r="L251" s="5">
        <v>3.4</v>
      </c>
      <c r="M251" s="5">
        <f t="shared" si="38"/>
        <v>243.69999999999985</v>
      </c>
      <c r="N251" s="5">
        <v>-3.4</v>
      </c>
      <c r="O251" s="5">
        <f t="shared" si="31"/>
        <v>74.700000000000017</v>
      </c>
      <c r="P251" s="5">
        <v>202</v>
      </c>
      <c r="Q251" s="5">
        <v>1.1499999999999999</v>
      </c>
      <c r="R251" s="9">
        <f t="shared" si="34"/>
        <v>3.9099999999999997</v>
      </c>
      <c r="S251" s="9">
        <f t="shared" si="35"/>
        <v>-3.9099999999999997</v>
      </c>
      <c r="T251" s="9">
        <f t="shared" si="39"/>
        <v>90.799137384792616</v>
      </c>
      <c r="U251" s="30" t="s">
        <v>40</v>
      </c>
      <c r="V251" s="5">
        <v>2228.8000000000002</v>
      </c>
      <c r="X251" s="5">
        <f t="shared" si="40"/>
        <v>128340.30000000003</v>
      </c>
      <c r="Y251" s="5">
        <f t="shared" si="33"/>
        <v>18308.7</v>
      </c>
      <c r="AA251" s="5">
        <v>12.915628072785401</v>
      </c>
    </row>
    <row r="252" spans="1:27" s="5" customFormat="1" x14ac:dyDescent="0.25">
      <c r="A252" s="31"/>
      <c r="B252" s="6"/>
      <c r="C252" s="29">
        <v>41002</v>
      </c>
      <c r="D252" s="5">
        <v>7.2</v>
      </c>
      <c r="E252" s="5">
        <v>1.6</v>
      </c>
      <c r="F252" s="5">
        <v>12.3</v>
      </c>
      <c r="G252" s="5">
        <f t="shared" si="36"/>
        <v>1937.1999999999998</v>
      </c>
      <c r="H252" s="5">
        <f t="shared" si="32"/>
        <v>110.6</v>
      </c>
      <c r="I252" s="26">
        <v>0</v>
      </c>
      <c r="J252" s="5">
        <v>0.1</v>
      </c>
      <c r="K252" s="5">
        <f t="shared" si="37"/>
        <v>255.39999999999986</v>
      </c>
      <c r="L252" s="5">
        <v>1.7</v>
      </c>
      <c r="M252" s="5">
        <f t="shared" si="38"/>
        <v>245.39999999999984</v>
      </c>
      <c r="N252" s="5">
        <v>-1.5999999999999999</v>
      </c>
      <c r="O252" s="5">
        <f t="shared" si="31"/>
        <v>73.100000000000023</v>
      </c>
      <c r="P252" s="5">
        <v>203</v>
      </c>
      <c r="Q252" s="5">
        <v>1.1499999999999999</v>
      </c>
      <c r="R252" s="9">
        <f t="shared" si="34"/>
        <v>1.9549999999999998</v>
      </c>
      <c r="S252" s="9">
        <f t="shared" si="35"/>
        <v>-1.8549999999999998</v>
      </c>
      <c r="T252" s="9">
        <f t="shared" si="39"/>
        <v>88.944137384792612</v>
      </c>
      <c r="U252" s="9">
        <f>MAX(T243:T263)</f>
        <v>122.4241373847926</v>
      </c>
      <c r="V252" s="5">
        <v>1418.6</v>
      </c>
      <c r="X252" s="5">
        <f t="shared" si="40"/>
        <v>129758.90000000004</v>
      </c>
      <c r="Y252" s="5">
        <f t="shared" si="33"/>
        <v>19727.3</v>
      </c>
      <c r="AA252" s="5">
        <v>12.973713655852</v>
      </c>
    </row>
    <row r="253" spans="1:27" s="5" customFormat="1" x14ac:dyDescent="0.25">
      <c r="A253" s="31"/>
      <c r="B253" s="6"/>
      <c r="C253" s="29">
        <v>41003</v>
      </c>
      <c r="D253" s="5">
        <v>7.9</v>
      </c>
      <c r="E253" s="5">
        <v>4.7</v>
      </c>
      <c r="F253" s="5">
        <v>11.7</v>
      </c>
      <c r="G253" s="5">
        <f t="shared" si="36"/>
        <v>1945.1</v>
      </c>
      <c r="H253" s="5">
        <f t="shared" si="32"/>
        <v>118.5</v>
      </c>
      <c r="I253" s="30" t="s">
        <v>41</v>
      </c>
      <c r="J253" s="5">
        <v>0</v>
      </c>
      <c r="K253" s="5">
        <f t="shared" si="37"/>
        <v>255.39999999999986</v>
      </c>
      <c r="L253" s="5">
        <v>2</v>
      </c>
      <c r="M253" s="5">
        <f t="shared" si="38"/>
        <v>247.39999999999984</v>
      </c>
      <c r="N253" s="5">
        <v>-2</v>
      </c>
      <c r="O253" s="5">
        <f t="shared" si="31"/>
        <v>71.100000000000023</v>
      </c>
      <c r="P253" s="5">
        <v>204</v>
      </c>
      <c r="Q253" s="5">
        <v>1.1499999999999999</v>
      </c>
      <c r="R253" s="9">
        <f t="shared" si="34"/>
        <v>2.2999999999999998</v>
      </c>
      <c r="S253" s="9">
        <f t="shared" si="35"/>
        <v>-2.2999999999999998</v>
      </c>
      <c r="T253" s="9">
        <f t="shared" si="39"/>
        <v>86.644137384792614</v>
      </c>
      <c r="U253" s="30" t="s">
        <v>42</v>
      </c>
      <c r="V253" s="5">
        <v>1437.4</v>
      </c>
      <c r="X253" s="5">
        <f t="shared" si="40"/>
        <v>131196.30000000005</v>
      </c>
      <c r="Y253" s="5">
        <f t="shared" si="33"/>
        <v>21164.7</v>
      </c>
      <c r="AA253" s="5">
        <v>13.0316973004188</v>
      </c>
    </row>
    <row r="254" spans="1:27" s="5" customFormat="1" x14ac:dyDescent="0.25">
      <c r="A254" s="31"/>
      <c r="B254" s="6"/>
      <c r="C254" s="29">
        <v>41004</v>
      </c>
      <c r="D254" s="5">
        <v>9.8000000000000007</v>
      </c>
      <c r="E254" s="5">
        <v>3.9</v>
      </c>
      <c r="F254" s="5">
        <v>16.5</v>
      </c>
      <c r="G254" s="5">
        <f t="shared" si="36"/>
        <v>1954.8999999999999</v>
      </c>
      <c r="H254" s="5">
        <f t="shared" si="32"/>
        <v>128.30000000000001</v>
      </c>
      <c r="I254" s="5">
        <v>12</v>
      </c>
      <c r="J254" s="5">
        <v>0.2</v>
      </c>
      <c r="K254" s="5">
        <f t="shared" si="37"/>
        <v>255.59999999999985</v>
      </c>
      <c r="L254" s="5">
        <v>2.8</v>
      </c>
      <c r="M254" s="5">
        <f t="shared" si="38"/>
        <v>250.19999999999985</v>
      </c>
      <c r="N254" s="5">
        <v>-2.5999999999999996</v>
      </c>
      <c r="O254" s="5">
        <f t="shared" si="31"/>
        <v>68.500000000000028</v>
      </c>
      <c r="P254" s="5">
        <v>205</v>
      </c>
      <c r="Q254" s="5">
        <v>1.1499999999999999</v>
      </c>
      <c r="R254" s="9">
        <f t="shared" si="34"/>
        <v>3.2199999999999998</v>
      </c>
      <c r="S254" s="9">
        <f t="shared" si="35"/>
        <v>-3.0199999999999996</v>
      </c>
      <c r="T254" s="9">
        <f t="shared" si="39"/>
        <v>83.624137384792618</v>
      </c>
      <c r="U254" s="24">
        <f>AVERAGE(T243:T263)</f>
        <v>95.53913738479261</v>
      </c>
      <c r="V254" s="5">
        <v>1804.6</v>
      </c>
      <c r="X254" s="5">
        <f t="shared" si="40"/>
        <v>133000.90000000005</v>
      </c>
      <c r="Y254" s="5">
        <f t="shared" si="33"/>
        <v>22969.3</v>
      </c>
      <c r="AA254" s="5">
        <v>13.0895717098142</v>
      </c>
    </row>
    <row r="255" spans="1:27" s="5" customFormat="1" x14ac:dyDescent="0.25">
      <c r="A255" s="31"/>
      <c r="B255" s="6"/>
      <c r="C255" s="29">
        <v>41005</v>
      </c>
      <c r="D255" s="5">
        <v>8.1</v>
      </c>
      <c r="E255" s="5">
        <v>4.9000000000000004</v>
      </c>
      <c r="F255" s="5">
        <v>13.5</v>
      </c>
      <c r="G255" s="5">
        <f t="shared" si="36"/>
        <v>1962.9999999999998</v>
      </c>
      <c r="H255" s="5">
        <f t="shared" si="32"/>
        <v>136.4</v>
      </c>
      <c r="I255" s="30" t="s">
        <v>43</v>
      </c>
      <c r="J255" s="5">
        <v>0</v>
      </c>
      <c r="K255" s="5">
        <f t="shared" si="37"/>
        <v>255.59999999999985</v>
      </c>
      <c r="L255" s="5">
        <v>3.2</v>
      </c>
      <c r="M255" s="5">
        <f t="shared" si="38"/>
        <v>253.39999999999984</v>
      </c>
      <c r="N255" s="5">
        <v>-3.2</v>
      </c>
      <c r="O255" s="5">
        <f t="shared" si="31"/>
        <v>65.300000000000026</v>
      </c>
      <c r="P255" s="5">
        <v>206</v>
      </c>
      <c r="Q255" s="5">
        <v>1.1499999999999999</v>
      </c>
      <c r="R255" s="9">
        <f t="shared" si="34"/>
        <v>3.6799999999999997</v>
      </c>
      <c r="S255" s="9">
        <f t="shared" si="35"/>
        <v>-3.6799999999999997</v>
      </c>
      <c r="T255" s="9">
        <f t="shared" si="39"/>
        <v>79.944137384792612</v>
      </c>
      <c r="V255" s="5">
        <v>2161.3000000000002</v>
      </c>
      <c r="X255" s="5">
        <f t="shared" si="40"/>
        <v>135162.20000000004</v>
      </c>
      <c r="Y255" s="5">
        <f t="shared" si="33"/>
        <v>25130.6</v>
      </c>
      <c r="AA255" s="5">
        <v>13.1473293640191</v>
      </c>
    </row>
    <row r="256" spans="1:27" s="5" customFormat="1" x14ac:dyDescent="0.25">
      <c r="A256" s="31"/>
      <c r="B256" s="6"/>
      <c r="C256" s="29">
        <v>41006</v>
      </c>
      <c r="D256" s="5">
        <v>7.9</v>
      </c>
      <c r="E256" s="5">
        <v>1</v>
      </c>
      <c r="F256" s="5">
        <v>12.3</v>
      </c>
      <c r="G256" s="5">
        <f t="shared" si="36"/>
        <v>1970.8999999999999</v>
      </c>
      <c r="H256" s="5">
        <f t="shared" si="32"/>
        <v>144.30000000000001</v>
      </c>
      <c r="I256" s="5">
        <v>206.1</v>
      </c>
      <c r="J256" s="5">
        <v>0.2</v>
      </c>
      <c r="K256" s="5">
        <f t="shared" si="37"/>
        <v>255.79999999999984</v>
      </c>
      <c r="L256" s="5">
        <v>1.2</v>
      </c>
      <c r="M256" s="5">
        <f t="shared" si="38"/>
        <v>254.59999999999982</v>
      </c>
      <c r="N256" s="5">
        <v>-1</v>
      </c>
      <c r="O256" s="5">
        <f t="shared" si="31"/>
        <v>64.300000000000026</v>
      </c>
      <c r="P256" s="5">
        <v>207</v>
      </c>
      <c r="Q256" s="5">
        <v>1.1499999999999999</v>
      </c>
      <c r="R256" s="9">
        <f t="shared" si="34"/>
        <v>1.38</v>
      </c>
      <c r="S256" s="9">
        <f t="shared" si="35"/>
        <v>-1.18</v>
      </c>
      <c r="T256" s="9">
        <f t="shared" si="39"/>
        <v>78.764137384792605</v>
      </c>
      <c r="U256" s="9">
        <f>(U254*100)/197.4</f>
        <v>48.398752474565661</v>
      </c>
      <c r="V256" s="5">
        <v>992.7</v>
      </c>
      <c r="X256" s="5">
        <f t="shared" si="40"/>
        <v>136154.90000000005</v>
      </c>
      <c r="Y256" s="5">
        <f t="shared" si="33"/>
        <v>26123.3</v>
      </c>
      <c r="AA256" s="5">
        <v>13.204962503558599</v>
      </c>
    </row>
    <row r="257" spans="1:27" s="5" customFormat="1" x14ac:dyDescent="0.25">
      <c r="A257" s="31"/>
      <c r="B257" s="6"/>
      <c r="C257" s="29">
        <v>41007</v>
      </c>
      <c r="D257" s="5">
        <v>10.7</v>
      </c>
      <c r="E257" s="5">
        <v>7.8</v>
      </c>
      <c r="F257" s="5">
        <v>12.9</v>
      </c>
      <c r="G257" s="5">
        <f t="shared" si="36"/>
        <v>1981.6</v>
      </c>
      <c r="H257" s="5">
        <f t="shared" si="32"/>
        <v>155</v>
      </c>
      <c r="J257" s="5">
        <v>0.2</v>
      </c>
      <c r="K257" s="5">
        <f t="shared" si="37"/>
        <v>255.99999999999983</v>
      </c>
      <c r="L257" s="5">
        <v>0.8</v>
      </c>
      <c r="M257" s="5">
        <f t="shared" si="38"/>
        <v>255.39999999999984</v>
      </c>
      <c r="N257" s="5">
        <v>-0.60000000000000009</v>
      </c>
      <c r="O257" s="5">
        <f t="shared" si="31"/>
        <v>63.700000000000024</v>
      </c>
      <c r="P257" s="5">
        <v>208</v>
      </c>
      <c r="Q257" s="5">
        <v>1.1499999999999999</v>
      </c>
      <c r="R257" s="9">
        <f t="shared" si="34"/>
        <v>0.91999999999999993</v>
      </c>
      <c r="S257" s="9">
        <f t="shared" si="35"/>
        <v>-0.72</v>
      </c>
      <c r="T257" s="9">
        <f t="shared" si="39"/>
        <v>78.044137384792606</v>
      </c>
      <c r="V257" s="5">
        <v>463.3</v>
      </c>
      <c r="X257" s="5">
        <f t="shared" si="40"/>
        <v>136618.20000000004</v>
      </c>
      <c r="Y257" s="5">
        <f t="shared" si="33"/>
        <v>26586.6</v>
      </c>
      <c r="AA257" s="5">
        <v>13.2624631135172</v>
      </c>
    </row>
    <row r="258" spans="1:27" s="5" customFormat="1" x14ac:dyDescent="0.25">
      <c r="A258" s="31"/>
      <c r="B258" s="6"/>
      <c r="C258" s="29">
        <v>41008</v>
      </c>
      <c r="D258" s="5">
        <v>10.6</v>
      </c>
      <c r="E258" s="5">
        <v>9.1999999999999993</v>
      </c>
      <c r="F258" s="5">
        <v>12.5</v>
      </c>
      <c r="G258" s="5">
        <f t="shared" si="36"/>
        <v>1992.1999999999998</v>
      </c>
      <c r="H258" s="5">
        <f t="shared" si="32"/>
        <v>165.6</v>
      </c>
      <c r="J258" s="5">
        <v>14.9</v>
      </c>
      <c r="K258" s="5">
        <f t="shared" si="37"/>
        <v>270.89999999999981</v>
      </c>
      <c r="L258" s="5">
        <v>0.9</v>
      </c>
      <c r="M258" s="5">
        <f t="shared" si="38"/>
        <v>256.29999999999984</v>
      </c>
      <c r="N258" s="5">
        <v>14</v>
      </c>
      <c r="O258" s="5">
        <f t="shared" si="31"/>
        <v>77.700000000000017</v>
      </c>
      <c r="P258" s="5">
        <v>209</v>
      </c>
      <c r="Q258" s="5">
        <v>1.1499999999999999</v>
      </c>
      <c r="R258" s="9">
        <f t="shared" si="34"/>
        <v>1.0349999999999999</v>
      </c>
      <c r="S258" s="9">
        <f t="shared" si="35"/>
        <v>13.865</v>
      </c>
      <c r="T258" s="9">
        <f t="shared" si="39"/>
        <v>91.909137384792601</v>
      </c>
      <c r="V258" s="5">
        <v>397.6</v>
      </c>
      <c r="X258" s="5">
        <f t="shared" si="40"/>
        <v>137015.80000000005</v>
      </c>
      <c r="Y258" s="5">
        <f t="shared" si="33"/>
        <v>26984.199999999997</v>
      </c>
      <c r="AA258" s="5">
        <v>13.319822907690501</v>
      </c>
    </row>
    <row r="259" spans="1:27" s="5" customFormat="1" x14ac:dyDescent="0.25">
      <c r="A259" s="31"/>
      <c r="B259" s="6"/>
      <c r="C259" s="29">
        <v>41009</v>
      </c>
      <c r="D259" s="5">
        <v>8.9</v>
      </c>
      <c r="E259" s="5">
        <v>8</v>
      </c>
      <c r="F259" s="5">
        <v>13.1</v>
      </c>
      <c r="G259" s="5">
        <f t="shared" si="36"/>
        <v>2001.1</v>
      </c>
      <c r="H259" s="5">
        <f t="shared" si="32"/>
        <v>174.5</v>
      </c>
      <c r="J259" s="5">
        <v>3.1</v>
      </c>
      <c r="K259" s="5">
        <f t="shared" si="37"/>
        <v>273.99999999999983</v>
      </c>
      <c r="L259" s="5">
        <v>2</v>
      </c>
      <c r="M259" s="5">
        <f t="shared" si="38"/>
        <v>258.29999999999984</v>
      </c>
      <c r="N259" s="5">
        <v>1.1000000000000001</v>
      </c>
      <c r="O259" s="5">
        <f t="shared" si="31"/>
        <v>78.800000000000011</v>
      </c>
      <c r="P259" s="5">
        <v>210</v>
      </c>
      <c r="Q259" s="5">
        <v>1.1499999999999999</v>
      </c>
      <c r="R259" s="9">
        <f t="shared" si="34"/>
        <v>2.2999999999999998</v>
      </c>
      <c r="S259" s="9">
        <f t="shared" si="35"/>
        <v>0.80000000000000027</v>
      </c>
      <c r="T259" s="9">
        <f t="shared" si="39"/>
        <v>92.709137384792598</v>
      </c>
      <c r="V259" s="5">
        <v>1237</v>
      </c>
      <c r="X259" s="5">
        <f t="shared" si="40"/>
        <v>138252.80000000005</v>
      </c>
      <c r="Y259" s="5">
        <f t="shared" si="33"/>
        <v>28221.199999999997</v>
      </c>
      <c r="AA259" s="5">
        <v>13.3770333128915</v>
      </c>
    </row>
    <row r="260" spans="1:27" s="5" customFormat="1" x14ac:dyDescent="0.25">
      <c r="A260" s="31"/>
      <c r="B260" s="6"/>
      <c r="C260" s="29">
        <v>41010</v>
      </c>
      <c r="D260" s="5">
        <v>7.9</v>
      </c>
      <c r="E260" s="5">
        <v>4</v>
      </c>
      <c r="F260" s="5">
        <v>14.1</v>
      </c>
      <c r="G260" s="5">
        <f t="shared" si="36"/>
        <v>2009</v>
      </c>
      <c r="H260" s="5">
        <f t="shared" si="32"/>
        <v>182.4</v>
      </c>
      <c r="J260" s="5">
        <v>1.4</v>
      </c>
      <c r="K260" s="5">
        <f t="shared" si="37"/>
        <v>275.39999999999981</v>
      </c>
      <c r="L260" s="5">
        <v>2</v>
      </c>
      <c r="M260" s="5">
        <f t="shared" si="38"/>
        <v>260.29999999999984</v>
      </c>
      <c r="N260" s="5">
        <v>-0.60000000000000009</v>
      </c>
      <c r="O260" s="5">
        <f t="shared" si="31"/>
        <v>78.200000000000017</v>
      </c>
      <c r="P260" s="5">
        <v>211</v>
      </c>
      <c r="Q260" s="5">
        <v>1.1499999999999999</v>
      </c>
      <c r="R260" s="9">
        <f t="shared" si="34"/>
        <v>2.2999999999999998</v>
      </c>
      <c r="S260" s="9">
        <f t="shared" si="35"/>
        <v>-0.89999999999999991</v>
      </c>
      <c r="T260" s="9">
        <f t="shared" si="39"/>
        <v>91.809137384792592</v>
      </c>
      <c r="V260" s="5">
        <v>1233</v>
      </c>
      <c r="X260" s="5">
        <f t="shared" si="40"/>
        <v>139485.80000000005</v>
      </c>
      <c r="Y260" s="5">
        <f t="shared" si="33"/>
        <v>29454.199999999997</v>
      </c>
      <c r="AA260" s="5">
        <v>13.4340854534294</v>
      </c>
    </row>
    <row r="261" spans="1:27" s="5" customFormat="1" x14ac:dyDescent="0.25">
      <c r="A261" s="31"/>
      <c r="B261" s="6"/>
      <c r="C261" s="29">
        <v>41011</v>
      </c>
      <c r="D261" s="5">
        <v>8.4</v>
      </c>
      <c r="E261" s="5">
        <v>1.9</v>
      </c>
      <c r="F261" s="5">
        <v>14.9</v>
      </c>
      <c r="G261" s="5">
        <f t="shared" si="36"/>
        <v>2017.4</v>
      </c>
      <c r="H261" s="5">
        <f t="shared" si="32"/>
        <v>190.8</v>
      </c>
      <c r="J261" s="5">
        <v>0.4</v>
      </c>
      <c r="K261" s="5">
        <f t="shared" si="37"/>
        <v>275.79999999999978</v>
      </c>
      <c r="L261" s="5">
        <v>3</v>
      </c>
      <c r="M261" s="5">
        <f t="shared" si="38"/>
        <v>263.29999999999984</v>
      </c>
      <c r="N261" s="5">
        <v>-2.6</v>
      </c>
      <c r="O261" s="5">
        <f t="shared" si="31"/>
        <v>75.600000000000023</v>
      </c>
      <c r="P261" s="5">
        <v>212</v>
      </c>
      <c r="Q261" s="5">
        <v>1.1499999999999999</v>
      </c>
      <c r="R261" s="9">
        <f t="shared" si="34"/>
        <v>3.4499999999999997</v>
      </c>
      <c r="S261" s="9">
        <f t="shared" si="35"/>
        <v>-3.05</v>
      </c>
      <c r="T261" s="9">
        <f t="shared" si="39"/>
        <v>88.759137384792595</v>
      </c>
      <c r="V261" s="5">
        <v>2130.8000000000002</v>
      </c>
      <c r="X261" s="5">
        <f t="shared" si="40"/>
        <v>141616.60000000003</v>
      </c>
      <c r="Y261" s="5">
        <f t="shared" si="33"/>
        <v>31584.999999999996</v>
      </c>
      <c r="AA261" s="5">
        <v>13.490970135784</v>
      </c>
    </row>
    <row r="262" spans="1:27" s="5" customFormat="1" x14ac:dyDescent="0.25">
      <c r="A262" s="31"/>
      <c r="B262" s="6"/>
      <c r="C262" s="29">
        <v>41012</v>
      </c>
      <c r="D262" s="5">
        <v>7.7</v>
      </c>
      <c r="E262" s="5">
        <v>5.5</v>
      </c>
      <c r="F262" s="5">
        <v>10.9</v>
      </c>
      <c r="G262" s="5">
        <f t="shared" si="36"/>
        <v>2025.1000000000001</v>
      </c>
      <c r="H262" s="5">
        <f t="shared" si="32"/>
        <v>198.5</v>
      </c>
      <c r="J262" s="5">
        <v>5.4</v>
      </c>
      <c r="K262" s="5">
        <f t="shared" si="37"/>
        <v>281.19999999999976</v>
      </c>
      <c r="L262" s="5">
        <v>1.2</v>
      </c>
      <c r="M262" s="5">
        <f t="shared" si="38"/>
        <v>264.49999999999983</v>
      </c>
      <c r="N262" s="5">
        <v>4.2</v>
      </c>
      <c r="O262" s="5">
        <f t="shared" si="31"/>
        <v>79.800000000000026</v>
      </c>
      <c r="P262" s="5">
        <v>213</v>
      </c>
      <c r="Q262" s="5">
        <v>1.1499999999999999</v>
      </c>
      <c r="R262" s="9">
        <f t="shared" si="34"/>
        <v>1.38</v>
      </c>
      <c r="S262" s="9">
        <f t="shared" si="35"/>
        <v>4.0200000000000005</v>
      </c>
      <c r="T262" s="9">
        <f t="shared" si="39"/>
        <v>92.779137384792591</v>
      </c>
      <c r="V262" s="5">
        <v>748.1</v>
      </c>
      <c r="X262" s="5">
        <f t="shared" si="40"/>
        <v>142364.70000000004</v>
      </c>
      <c r="Y262" s="5">
        <f t="shared" si="33"/>
        <v>32333.099999999995</v>
      </c>
      <c r="AA262" s="5">
        <v>13.547677833501201</v>
      </c>
    </row>
    <row r="263" spans="1:27" s="16" customFormat="1" x14ac:dyDescent="0.25">
      <c r="A263" s="33" t="s">
        <v>49</v>
      </c>
      <c r="B263" s="34"/>
      <c r="C263" s="35">
        <v>41013</v>
      </c>
      <c r="D263" s="16">
        <v>7.6</v>
      </c>
      <c r="E263" s="16">
        <v>5.6</v>
      </c>
      <c r="F263" s="16">
        <v>11.1</v>
      </c>
      <c r="G263" s="16">
        <f t="shared" si="36"/>
        <v>2032.7</v>
      </c>
      <c r="H263" s="16">
        <f t="shared" si="32"/>
        <v>206.1</v>
      </c>
      <c r="J263" s="16">
        <v>10.4</v>
      </c>
      <c r="K263" s="16">
        <f t="shared" si="37"/>
        <v>291.59999999999974</v>
      </c>
      <c r="L263" s="16">
        <v>0.8</v>
      </c>
      <c r="M263" s="16">
        <f t="shared" si="38"/>
        <v>265.29999999999984</v>
      </c>
      <c r="N263" s="16">
        <v>9.6</v>
      </c>
      <c r="O263" s="16">
        <f t="shared" si="31"/>
        <v>89.40000000000002</v>
      </c>
      <c r="P263" s="16">
        <v>214</v>
      </c>
      <c r="Q263" s="5">
        <v>1.1499999999999999</v>
      </c>
      <c r="R263" s="17">
        <f t="shared" si="34"/>
        <v>0.91999999999999993</v>
      </c>
      <c r="S263" s="17">
        <f t="shared" si="35"/>
        <v>9.48</v>
      </c>
      <c r="T263" s="9">
        <f t="shared" si="39"/>
        <v>102.2591373847926</v>
      </c>
      <c r="V263" s="16">
        <v>461.5</v>
      </c>
      <c r="X263" s="16">
        <f t="shared" si="40"/>
        <v>142826.20000000004</v>
      </c>
      <c r="Y263" s="5">
        <f t="shared" si="33"/>
        <v>32794.599999999991</v>
      </c>
      <c r="AA263" s="5">
        <v>13.6041986723355</v>
      </c>
    </row>
    <row r="264" spans="1:27" s="5" customFormat="1" x14ac:dyDescent="0.25">
      <c r="A264" s="79">
        <v>300</v>
      </c>
      <c r="B264" s="10"/>
      <c r="C264" s="36">
        <v>41014</v>
      </c>
      <c r="D264" s="5">
        <v>6.9</v>
      </c>
      <c r="E264" s="5">
        <v>5.6</v>
      </c>
      <c r="F264" s="5">
        <v>9.9</v>
      </c>
      <c r="G264" s="5">
        <f t="shared" si="36"/>
        <v>2039.6000000000001</v>
      </c>
      <c r="H264" s="5">
        <v>6.9</v>
      </c>
      <c r="I264" s="37" t="s">
        <v>28</v>
      </c>
      <c r="J264" s="5">
        <v>0</v>
      </c>
      <c r="K264" s="5">
        <f t="shared" si="37"/>
        <v>291.59999999999974</v>
      </c>
      <c r="L264" s="5">
        <v>2.5</v>
      </c>
      <c r="M264" s="5">
        <f t="shared" si="38"/>
        <v>267.79999999999984</v>
      </c>
      <c r="N264" s="5">
        <v>-2.5</v>
      </c>
      <c r="O264" s="5">
        <f t="shared" si="31"/>
        <v>86.90000000000002</v>
      </c>
      <c r="P264" s="5">
        <v>215</v>
      </c>
      <c r="Q264" s="5">
        <v>1.1499999999999999</v>
      </c>
      <c r="R264" s="9">
        <f t="shared" si="34"/>
        <v>2.875</v>
      </c>
      <c r="S264" s="9">
        <f t="shared" si="35"/>
        <v>-2.875</v>
      </c>
      <c r="T264" s="9">
        <f t="shared" si="39"/>
        <v>99.384137384792595</v>
      </c>
      <c r="U264" s="37" t="s">
        <v>29</v>
      </c>
      <c r="V264" s="5">
        <v>1824</v>
      </c>
      <c r="X264" s="5">
        <f t="shared" si="40"/>
        <v>144650.20000000004</v>
      </c>
      <c r="Y264" s="5">
        <v>1824</v>
      </c>
      <c r="Z264" s="37" t="s">
        <v>30</v>
      </c>
      <c r="AA264" s="5">
        <v>13.660522415674199</v>
      </c>
    </row>
    <row r="265" spans="1:27" s="5" customFormat="1" x14ac:dyDescent="0.25">
      <c r="A265" s="79"/>
      <c r="B265" s="10"/>
      <c r="C265" s="36">
        <v>41015</v>
      </c>
      <c r="D265" s="5">
        <v>6.9</v>
      </c>
      <c r="E265" s="5">
        <v>1.9</v>
      </c>
      <c r="F265" s="5">
        <v>10.6</v>
      </c>
      <c r="G265" s="5">
        <f t="shared" si="36"/>
        <v>2046.5000000000002</v>
      </c>
      <c r="H265" s="5">
        <f t="shared" si="32"/>
        <v>13.8</v>
      </c>
      <c r="I265" s="5">
        <f>MIN(E264:E291)</f>
        <v>1.9</v>
      </c>
      <c r="J265" s="5">
        <v>0.1</v>
      </c>
      <c r="K265" s="5">
        <f t="shared" si="37"/>
        <v>291.69999999999976</v>
      </c>
      <c r="L265" s="5">
        <v>1.8</v>
      </c>
      <c r="M265" s="5">
        <f t="shared" si="38"/>
        <v>269.59999999999985</v>
      </c>
      <c r="N265" s="5">
        <v>-1.7</v>
      </c>
      <c r="O265" s="5">
        <f t="shared" si="31"/>
        <v>85.200000000000017</v>
      </c>
      <c r="P265" s="5">
        <v>216</v>
      </c>
      <c r="Q265" s="5">
        <v>1.1499999999999999</v>
      </c>
      <c r="R265" s="9">
        <f t="shared" si="34"/>
        <v>2.0699999999999998</v>
      </c>
      <c r="S265" s="9">
        <f t="shared" si="35"/>
        <v>-1.9699999999999998</v>
      </c>
      <c r="T265" s="9">
        <f t="shared" si="39"/>
        <v>97.414137384792596</v>
      </c>
      <c r="U265" s="5">
        <v>11</v>
      </c>
      <c r="V265" s="5">
        <v>1278.2</v>
      </c>
      <c r="X265" s="5">
        <f t="shared" si="40"/>
        <v>145928.40000000005</v>
      </c>
      <c r="Y265" s="5">
        <f t="shared" si="33"/>
        <v>3102.2</v>
      </c>
      <c r="Z265" s="5">
        <v>30614.200000000008</v>
      </c>
      <c r="AA265" s="5">
        <v>13.7166384502749</v>
      </c>
    </row>
    <row r="266" spans="1:27" s="5" customFormat="1" x14ac:dyDescent="0.25">
      <c r="A266" s="79"/>
      <c r="B266" s="10"/>
      <c r="C266" s="36">
        <v>41016</v>
      </c>
      <c r="D266" s="5">
        <v>8.6999999999999993</v>
      </c>
      <c r="E266" s="5">
        <v>4</v>
      </c>
      <c r="F266" s="5">
        <v>11.6</v>
      </c>
      <c r="G266" s="5">
        <f t="shared" si="36"/>
        <v>2055.2000000000003</v>
      </c>
      <c r="H266" s="5">
        <f t="shared" si="32"/>
        <v>22.5</v>
      </c>
      <c r="I266" s="37" t="s">
        <v>31</v>
      </c>
      <c r="J266" s="5">
        <v>7.5</v>
      </c>
      <c r="K266" s="5">
        <f t="shared" si="37"/>
        <v>299.19999999999976</v>
      </c>
      <c r="L266" s="5">
        <v>0.8</v>
      </c>
      <c r="M266" s="5">
        <f t="shared" si="38"/>
        <v>270.39999999999986</v>
      </c>
      <c r="N266" s="5">
        <v>6.7</v>
      </c>
      <c r="O266" s="5">
        <f t="shared" si="31"/>
        <v>91.90000000000002</v>
      </c>
      <c r="P266" s="5">
        <v>217</v>
      </c>
      <c r="Q266" s="5">
        <v>1.1499999999999999</v>
      </c>
      <c r="R266" s="9">
        <f t="shared" si="34"/>
        <v>0.91999999999999993</v>
      </c>
      <c r="S266" s="9">
        <f t="shared" si="35"/>
        <v>6.58</v>
      </c>
      <c r="T266" s="9">
        <f t="shared" si="39"/>
        <v>103.99413738479259</v>
      </c>
      <c r="U266" s="37" t="s">
        <v>32</v>
      </c>
      <c r="V266" s="5">
        <v>752.5</v>
      </c>
      <c r="X266" s="5">
        <f t="shared" si="40"/>
        <v>146680.90000000005</v>
      </c>
      <c r="Y266" s="5">
        <f t="shared" si="33"/>
        <v>3854.7</v>
      </c>
      <c r="Z266" s="37" t="s">
        <v>33</v>
      </c>
      <c r="AA266" s="5">
        <v>13.772535772356401</v>
      </c>
    </row>
    <row r="267" spans="1:27" s="5" customFormat="1" x14ac:dyDescent="0.25">
      <c r="A267" s="79"/>
      <c r="B267" s="10"/>
      <c r="C267" s="36">
        <v>41017</v>
      </c>
      <c r="D267" s="5">
        <v>8.5</v>
      </c>
      <c r="E267" s="5">
        <v>6.8</v>
      </c>
      <c r="F267" s="5">
        <v>11.1</v>
      </c>
      <c r="G267" s="5">
        <f t="shared" si="36"/>
        <v>2063.7000000000003</v>
      </c>
      <c r="H267" s="5">
        <f t="shared" si="32"/>
        <v>31</v>
      </c>
      <c r="I267" s="5">
        <f>MAX(F264:F291)</f>
        <v>23.6</v>
      </c>
      <c r="J267" s="5">
        <v>4.7</v>
      </c>
      <c r="K267" s="5">
        <f t="shared" si="37"/>
        <v>303.89999999999975</v>
      </c>
      <c r="L267" s="5">
        <v>1.1000000000000001</v>
      </c>
      <c r="M267" s="5">
        <f t="shared" si="38"/>
        <v>271.49999999999989</v>
      </c>
      <c r="N267" s="5">
        <v>3.6</v>
      </c>
      <c r="O267" s="5">
        <f t="shared" si="31"/>
        <v>95.500000000000014</v>
      </c>
      <c r="P267" s="5">
        <v>218</v>
      </c>
      <c r="Q267" s="5">
        <v>1.1499999999999999</v>
      </c>
      <c r="R267" s="9">
        <f t="shared" si="34"/>
        <v>1.2649999999999999</v>
      </c>
      <c r="S267" s="9">
        <f t="shared" si="35"/>
        <v>3.4350000000000005</v>
      </c>
      <c r="T267" s="9">
        <f t="shared" si="39"/>
        <v>107.4291373847926</v>
      </c>
      <c r="U267" s="5">
        <v>0</v>
      </c>
      <c r="V267" s="5">
        <v>591.70000000000005</v>
      </c>
      <c r="X267" s="5">
        <f t="shared" si="40"/>
        <v>147272.60000000006</v>
      </c>
      <c r="Y267" s="5">
        <f t="shared" si="33"/>
        <v>4446.3999999999996</v>
      </c>
      <c r="Z267" s="5">
        <f>(Z265/100)/I277</f>
        <v>1.0187753743760402</v>
      </c>
      <c r="AA267" s="5">
        <v>13.828202974085199</v>
      </c>
    </row>
    <row r="268" spans="1:27" s="5" customFormat="1" x14ac:dyDescent="0.25">
      <c r="A268" s="79"/>
      <c r="B268" s="10"/>
      <c r="C268" s="36">
        <v>41018</v>
      </c>
      <c r="D268" s="5">
        <v>7.2</v>
      </c>
      <c r="E268" s="5">
        <v>4.5</v>
      </c>
      <c r="F268" s="5">
        <v>10.1</v>
      </c>
      <c r="G268" s="5">
        <f t="shared" si="36"/>
        <v>2070.9</v>
      </c>
      <c r="H268" s="5">
        <f t="shared" si="32"/>
        <v>38.200000000000003</v>
      </c>
      <c r="I268" s="37" t="s">
        <v>34</v>
      </c>
      <c r="J268" s="5">
        <v>4.3</v>
      </c>
      <c r="K268" s="5">
        <f t="shared" si="37"/>
        <v>308.19999999999976</v>
      </c>
      <c r="L268" s="5">
        <v>1.2</v>
      </c>
      <c r="M268" s="5">
        <f t="shared" si="38"/>
        <v>272.69999999999987</v>
      </c>
      <c r="N268" s="5">
        <v>3.0999999999999996</v>
      </c>
      <c r="O268" s="5">
        <f t="shared" si="31"/>
        <v>98.600000000000009</v>
      </c>
      <c r="P268" s="5">
        <v>219</v>
      </c>
      <c r="Q268" s="5">
        <v>1.1499999999999999</v>
      </c>
      <c r="R268" s="9">
        <f t="shared" si="34"/>
        <v>1.38</v>
      </c>
      <c r="S268" s="9">
        <f t="shared" si="35"/>
        <v>2.92</v>
      </c>
      <c r="T268" s="9">
        <f t="shared" si="39"/>
        <v>110.3491373847926</v>
      </c>
      <c r="U268" s="37" t="s">
        <v>35</v>
      </c>
      <c r="V268" s="5">
        <v>849.6</v>
      </c>
      <c r="X268" s="5">
        <f t="shared" si="40"/>
        <v>148122.20000000007</v>
      </c>
      <c r="Y268" s="5">
        <f t="shared" si="33"/>
        <v>5296</v>
      </c>
      <c r="Z268" s="37" t="s">
        <v>36</v>
      </c>
      <c r="AA268" s="5">
        <v>13.8836282305015</v>
      </c>
    </row>
    <row r="269" spans="1:27" s="5" customFormat="1" x14ac:dyDescent="0.25">
      <c r="A269" s="79"/>
      <c r="B269" s="10"/>
      <c r="C269" s="36">
        <v>41019</v>
      </c>
      <c r="D269" s="5">
        <v>7.2</v>
      </c>
      <c r="E269" s="5">
        <v>3.1</v>
      </c>
      <c r="F269" s="5">
        <v>10.3</v>
      </c>
      <c r="G269" s="5">
        <f t="shared" si="36"/>
        <v>2078.1</v>
      </c>
      <c r="H269" s="5">
        <f t="shared" si="32"/>
        <v>45.400000000000006</v>
      </c>
      <c r="I269" s="9">
        <f>AVERAGE(D264:D291)</f>
        <v>10.732142857142856</v>
      </c>
      <c r="J269" s="5">
        <v>7.3</v>
      </c>
      <c r="K269" s="5">
        <f t="shared" si="37"/>
        <v>315.49999999999977</v>
      </c>
      <c r="L269" s="5">
        <v>1</v>
      </c>
      <c r="M269" s="5">
        <f t="shared" si="38"/>
        <v>273.69999999999987</v>
      </c>
      <c r="N269" s="5">
        <v>6.3</v>
      </c>
      <c r="O269" s="5">
        <f t="shared" si="31"/>
        <v>104.9</v>
      </c>
      <c r="P269" s="5">
        <v>220</v>
      </c>
      <c r="Q269" s="5">
        <v>1.1499999999999999</v>
      </c>
      <c r="R269" s="9">
        <f t="shared" si="34"/>
        <v>1.1499999999999999</v>
      </c>
      <c r="S269" s="9">
        <f t="shared" si="35"/>
        <v>6.15</v>
      </c>
      <c r="T269" s="9">
        <f t="shared" si="39"/>
        <v>116.4991373847926</v>
      </c>
      <c r="U269" s="5">
        <v>0</v>
      </c>
      <c r="V269" s="5">
        <v>785.8</v>
      </c>
      <c r="X269" s="5">
        <f t="shared" si="40"/>
        <v>148908.00000000006</v>
      </c>
      <c r="Y269" s="5">
        <f t="shared" si="33"/>
        <v>6081.8</v>
      </c>
      <c r="Z269" s="5">
        <v>13</v>
      </c>
      <c r="AA269" s="5">
        <v>13.938799286936201</v>
      </c>
    </row>
    <row r="270" spans="1:27" s="5" customFormat="1" x14ac:dyDescent="0.25">
      <c r="A270" s="79"/>
      <c r="B270" s="10"/>
      <c r="C270" s="36">
        <v>41020</v>
      </c>
      <c r="D270" s="5">
        <v>8.1999999999999993</v>
      </c>
      <c r="E270" s="5">
        <v>5.5</v>
      </c>
      <c r="F270" s="5">
        <v>11.9</v>
      </c>
      <c r="G270" s="5">
        <f t="shared" si="36"/>
        <v>2086.2999999999997</v>
      </c>
      <c r="H270" s="5">
        <f t="shared" si="32"/>
        <v>53.600000000000009</v>
      </c>
      <c r="I270" s="37" t="s">
        <v>37</v>
      </c>
      <c r="J270" s="5">
        <v>4.3</v>
      </c>
      <c r="K270" s="5">
        <f t="shared" si="37"/>
        <v>319.79999999999978</v>
      </c>
      <c r="L270" s="5">
        <v>1.8</v>
      </c>
      <c r="M270" s="5">
        <f t="shared" si="38"/>
        <v>275.49999999999989</v>
      </c>
      <c r="N270" s="5">
        <v>2.5</v>
      </c>
      <c r="O270" s="5">
        <f t="shared" si="31"/>
        <v>107.4</v>
      </c>
      <c r="P270" s="5">
        <v>221</v>
      </c>
      <c r="Q270" s="5">
        <v>1.1499999999999999</v>
      </c>
      <c r="R270" s="9">
        <f t="shared" si="34"/>
        <v>2.0699999999999998</v>
      </c>
      <c r="S270" s="9">
        <f t="shared" si="35"/>
        <v>2.23</v>
      </c>
      <c r="T270" s="9">
        <f t="shared" si="39"/>
        <v>118.72913738479261</v>
      </c>
      <c r="U270" s="37" t="s">
        <v>38</v>
      </c>
      <c r="V270" s="5">
        <v>1209</v>
      </c>
      <c r="X270" s="5">
        <f t="shared" si="40"/>
        <v>150117.00000000006</v>
      </c>
      <c r="Y270" s="5">
        <f t="shared" si="33"/>
        <v>7290.8</v>
      </c>
      <c r="AA270" s="5">
        <v>13.9937034469721</v>
      </c>
    </row>
    <row r="271" spans="1:27" s="5" customFormat="1" x14ac:dyDescent="0.25">
      <c r="A271" s="79"/>
      <c r="B271" s="10"/>
      <c r="C271" s="36">
        <v>41021</v>
      </c>
      <c r="D271" s="5">
        <v>7.3</v>
      </c>
      <c r="E271" s="5">
        <v>5</v>
      </c>
      <c r="F271" s="5">
        <v>10.1</v>
      </c>
      <c r="G271" s="5">
        <f t="shared" si="36"/>
        <v>2093.6</v>
      </c>
      <c r="H271" s="5">
        <f t="shared" si="32"/>
        <v>60.900000000000006</v>
      </c>
      <c r="I271" s="5">
        <v>0</v>
      </c>
      <c r="J271" s="5">
        <v>9</v>
      </c>
      <c r="K271" s="5">
        <f t="shared" si="37"/>
        <v>328.79999999999978</v>
      </c>
      <c r="L271" s="5">
        <v>1.3</v>
      </c>
      <c r="M271" s="5">
        <f t="shared" si="38"/>
        <v>276.7999999999999</v>
      </c>
      <c r="N271" s="5">
        <v>7.7</v>
      </c>
      <c r="O271" s="5">
        <f t="shared" si="31"/>
        <v>115.10000000000001</v>
      </c>
      <c r="P271" s="5">
        <v>222</v>
      </c>
      <c r="Q271" s="5">
        <v>1.1499999999999999</v>
      </c>
      <c r="R271" s="9">
        <f t="shared" si="34"/>
        <v>1.4949999999999999</v>
      </c>
      <c r="S271" s="9">
        <f t="shared" si="35"/>
        <v>7.5049999999999999</v>
      </c>
      <c r="T271" s="9">
        <f t="shared" si="39"/>
        <v>126.2341373847926</v>
      </c>
      <c r="U271" s="9">
        <f>MIN(T264:T291)</f>
        <v>97.414137384792596</v>
      </c>
      <c r="V271" s="5">
        <v>965.4</v>
      </c>
      <c r="X271" s="5">
        <f t="shared" si="40"/>
        <v>151082.40000000005</v>
      </c>
      <c r="Y271" s="5">
        <f t="shared" si="33"/>
        <v>8256.2000000000007</v>
      </c>
      <c r="AA271" s="5">
        <v>14.0483275610059</v>
      </c>
    </row>
    <row r="272" spans="1:27" s="5" customFormat="1" x14ac:dyDescent="0.25">
      <c r="A272" s="79"/>
      <c r="B272" s="10"/>
      <c r="C272" s="36">
        <v>41022</v>
      </c>
      <c r="D272" s="5">
        <v>8.8000000000000007</v>
      </c>
      <c r="E272" s="5">
        <v>4.4000000000000004</v>
      </c>
      <c r="F272" s="5">
        <v>12.6</v>
      </c>
      <c r="G272" s="5">
        <f t="shared" si="36"/>
        <v>2102.4</v>
      </c>
      <c r="H272" s="5">
        <f t="shared" si="32"/>
        <v>69.7</v>
      </c>
      <c r="I272" s="37" t="s">
        <v>39</v>
      </c>
      <c r="J272" s="5">
        <v>14.3</v>
      </c>
      <c r="K272" s="5">
        <f t="shared" si="37"/>
        <v>343.0999999999998</v>
      </c>
      <c r="L272" s="5">
        <v>1.7</v>
      </c>
      <c r="M272" s="5">
        <f t="shared" si="38"/>
        <v>278.49999999999989</v>
      </c>
      <c r="N272" s="5">
        <v>12.600000000000001</v>
      </c>
      <c r="O272" s="5">
        <f t="shared" si="31"/>
        <v>127.70000000000002</v>
      </c>
      <c r="P272" s="5">
        <v>223</v>
      </c>
      <c r="Q272" s="5">
        <v>1.1499999999999999</v>
      </c>
      <c r="R272" s="9">
        <f t="shared" si="34"/>
        <v>1.9549999999999998</v>
      </c>
      <c r="S272" s="9">
        <f t="shared" si="35"/>
        <v>12.345000000000001</v>
      </c>
      <c r="T272" s="9">
        <f t="shared" si="39"/>
        <v>138.5791373847926</v>
      </c>
      <c r="U272" s="37" t="s">
        <v>40</v>
      </c>
      <c r="V272" s="5">
        <v>1359</v>
      </c>
      <c r="X272" s="5">
        <f t="shared" si="40"/>
        <v>152441.40000000005</v>
      </c>
      <c r="Y272" s="5">
        <f t="shared" si="33"/>
        <v>9615.2000000000007</v>
      </c>
      <c r="AA272" s="5">
        <v>14.102658015474701</v>
      </c>
    </row>
    <row r="273" spans="1:27" s="5" customFormat="1" x14ac:dyDescent="0.25">
      <c r="A273" s="79"/>
      <c r="B273" s="10"/>
      <c r="C273" s="36">
        <v>41023</v>
      </c>
      <c r="D273" s="5">
        <v>9.9</v>
      </c>
      <c r="E273" s="5">
        <v>7.4</v>
      </c>
      <c r="F273" s="5">
        <v>13.3</v>
      </c>
      <c r="G273" s="5">
        <f t="shared" si="36"/>
        <v>2112.3000000000002</v>
      </c>
      <c r="H273" s="5">
        <f t="shared" si="32"/>
        <v>79.600000000000009</v>
      </c>
      <c r="I273" s="5">
        <v>0</v>
      </c>
      <c r="J273" s="5">
        <v>12</v>
      </c>
      <c r="K273" s="5">
        <f t="shared" si="37"/>
        <v>355.0999999999998</v>
      </c>
      <c r="L273" s="5">
        <v>1.7</v>
      </c>
      <c r="M273" s="5">
        <f t="shared" si="38"/>
        <v>280.19999999999987</v>
      </c>
      <c r="N273" s="5">
        <v>10.3</v>
      </c>
      <c r="O273" s="5">
        <f t="shared" si="31"/>
        <v>138.00000000000003</v>
      </c>
      <c r="P273" s="5">
        <v>224</v>
      </c>
      <c r="Q273" s="5">
        <v>1.1499999999999999</v>
      </c>
      <c r="R273" s="9">
        <f t="shared" si="34"/>
        <v>1.9549999999999998</v>
      </c>
      <c r="S273" s="9">
        <f t="shared" si="35"/>
        <v>10.045</v>
      </c>
      <c r="T273" s="9">
        <f t="shared" si="39"/>
        <v>148.62413738479259</v>
      </c>
      <c r="U273" s="9">
        <f>MAX(T264:T291)</f>
        <v>181.74913738479262</v>
      </c>
      <c r="V273" s="5">
        <v>927.6</v>
      </c>
      <c r="X273" s="5">
        <f t="shared" si="40"/>
        <v>153369.00000000006</v>
      </c>
      <c r="Y273" s="5">
        <f t="shared" si="33"/>
        <v>10542.800000000001</v>
      </c>
      <c r="AA273" s="5">
        <v>14.156680722811201</v>
      </c>
    </row>
    <row r="274" spans="1:27" s="5" customFormat="1" x14ac:dyDescent="0.25">
      <c r="A274" s="79"/>
      <c r="B274" s="10"/>
      <c r="C274" s="36">
        <v>41024</v>
      </c>
      <c r="D274" s="5">
        <v>10.9</v>
      </c>
      <c r="E274" s="5">
        <v>7.8</v>
      </c>
      <c r="F274" s="5">
        <v>15.2</v>
      </c>
      <c r="G274" s="5">
        <f t="shared" si="36"/>
        <v>2123.2000000000003</v>
      </c>
      <c r="H274" s="5">
        <f t="shared" si="32"/>
        <v>90.500000000000014</v>
      </c>
      <c r="I274" s="37" t="s">
        <v>41</v>
      </c>
      <c r="J274" s="5">
        <v>8.5</v>
      </c>
      <c r="K274" s="5">
        <f t="shared" si="37"/>
        <v>363.5999999999998</v>
      </c>
      <c r="L274" s="5">
        <v>2.1</v>
      </c>
      <c r="M274" s="5">
        <f t="shared" si="38"/>
        <v>282.2999999999999</v>
      </c>
      <c r="N274" s="5">
        <v>6.4</v>
      </c>
      <c r="O274" s="5">
        <f t="shared" si="31"/>
        <v>144.40000000000003</v>
      </c>
      <c r="P274" s="5">
        <v>225</v>
      </c>
      <c r="Q274" s="5">
        <v>1.1499999999999999</v>
      </c>
      <c r="R274" s="9">
        <f t="shared" si="34"/>
        <v>2.415</v>
      </c>
      <c r="S274" s="9">
        <f t="shared" si="35"/>
        <v>6.085</v>
      </c>
      <c r="T274" s="9">
        <f t="shared" si="39"/>
        <v>154.7091373847926</v>
      </c>
      <c r="U274" s="37" t="s">
        <v>42</v>
      </c>
      <c r="V274" s="5">
        <v>569.6</v>
      </c>
      <c r="X274" s="5">
        <f t="shared" si="40"/>
        <v>153938.60000000006</v>
      </c>
      <c r="Y274" s="5">
        <f t="shared" si="33"/>
        <v>11112.400000000001</v>
      </c>
      <c r="AA274" s="5">
        <v>14.210381112199199</v>
      </c>
    </row>
    <row r="275" spans="1:27" s="5" customFormat="1" x14ac:dyDescent="0.25">
      <c r="A275" s="79"/>
      <c r="B275" s="10"/>
      <c r="C275" s="36">
        <v>41025</v>
      </c>
      <c r="D275" s="5">
        <v>11.2</v>
      </c>
      <c r="E275" s="5">
        <v>9.5</v>
      </c>
      <c r="F275" s="5">
        <v>13.6</v>
      </c>
      <c r="G275" s="5">
        <f t="shared" si="36"/>
        <v>2134.4</v>
      </c>
      <c r="H275" s="5">
        <f t="shared" si="32"/>
        <v>101.70000000000002</v>
      </c>
      <c r="I275" s="5">
        <v>6</v>
      </c>
      <c r="J275" s="5">
        <v>4.5</v>
      </c>
      <c r="K275" s="5">
        <f t="shared" si="37"/>
        <v>368.0999999999998</v>
      </c>
      <c r="L275" s="5">
        <v>2.2000000000000002</v>
      </c>
      <c r="M275" s="5">
        <f t="shared" si="38"/>
        <v>284.49999999999989</v>
      </c>
      <c r="N275" s="5">
        <v>2.2999999999999998</v>
      </c>
      <c r="O275" s="5">
        <f t="shared" si="31"/>
        <v>146.70000000000005</v>
      </c>
      <c r="P275" s="5">
        <v>226</v>
      </c>
      <c r="Q275" s="5">
        <v>1.1499999999999999</v>
      </c>
      <c r="R275" s="9">
        <f t="shared" si="34"/>
        <v>2.5299999999999998</v>
      </c>
      <c r="S275" s="9">
        <f t="shared" si="35"/>
        <v>1.9700000000000002</v>
      </c>
      <c r="T275" s="9">
        <f t="shared" si="39"/>
        <v>156.6791373847926</v>
      </c>
      <c r="U275" s="24">
        <f>AVERAGE(T264:T291)</f>
        <v>152.37431595622115</v>
      </c>
      <c r="V275" s="5">
        <v>1358.3</v>
      </c>
      <c r="X275" s="5">
        <f t="shared" si="40"/>
        <v>155296.90000000005</v>
      </c>
      <c r="Y275" s="5">
        <f t="shared" si="33"/>
        <v>12470.7</v>
      </c>
      <c r="AA275" s="5">
        <v>14.2637441212025</v>
      </c>
    </row>
    <row r="276" spans="1:27" s="5" customFormat="1" x14ac:dyDescent="0.25">
      <c r="A276" s="79"/>
      <c r="B276" s="10"/>
      <c r="C276" s="36">
        <v>41026</v>
      </c>
      <c r="D276" s="5">
        <v>10.8</v>
      </c>
      <c r="E276" s="5">
        <v>8.1999999999999993</v>
      </c>
      <c r="F276" s="5">
        <v>14.2</v>
      </c>
      <c r="G276" s="5">
        <f t="shared" si="36"/>
        <v>2145.2000000000003</v>
      </c>
      <c r="H276" s="5">
        <f t="shared" si="32"/>
        <v>112.50000000000001</v>
      </c>
      <c r="I276" s="37" t="s">
        <v>43</v>
      </c>
      <c r="J276" s="5">
        <v>6.7</v>
      </c>
      <c r="K276" s="5">
        <f t="shared" si="37"/>
        <v>374.79999999999978</v>
      </c>
      <c r="L276" s="5">
        <v>2</v>
      </c>
      <c r="M276" s="5">
        <f t="shared" si="38"/>
        <v>286.49999999999989</v>
      </c>
      <c r="N276" s="5">
        <v>4.7</v>
      </c>
      <c r="O276" s="5">
        <f t="shared" si="31"/>
        <v>151.40000000000003</v>
      </c>
      <c r="P276" s="5">
        <v>227</v>
      </c>
      <c r="Q276" s="5">
        <v>1.1499999999999999</v>
      </c>
      <c r="R276" s="9">
        <f t="shared" si="34"/>
        <v>2.2999999999999998</v>
      </c>
      <c r="S276" s="9">
        <f t="shared" si="35"/>
        <v>4.4000000000000004</v>
      </c>
      <c r="T276" s="9">
        <f t="shared" si="39"/>
        <v>161.0791373847926</v>
      </c>
      <c r="V276" s="5">
        <v>1382.7</v>
      </c>
      <c r="X276" s="5">
        <f t="shared" si="40"/>
        <v>156679.60000000006</v>
      </c>
      <c r="Y276" s="5">
        <f t="shared" si="33"/>
        <v>13853.400000000001</v>
      </c>
      <c r="AA276" s="5">
        <v>14.316754188346501</v>
      </c>
    </row>
    <row r="277" spans="1:27" s="5" customFormat="1" x14ac:dyDescent="0.25">
      <c r="A277" s="79"/>
      <c r="B277" s="10"/>
      <c r="C277" s="36">
        <v>41027</v>
      </c>
      <c r="D277" s="5">
        <v>9.6</v>
      </c>
      <c r="E277" s="5">
        <v>8.5</v>
      </c>
      <c r="F277" s="5">
        <v>10.6</v>
      </c>
      <c r="G277" s="5">
        <f t="shared" si="36"/>
        <v>2154.8000000000002</v>
      </c>
      <c r="H277" s="5">
        <f t="shared" si="32"/>
        <v>122.10000000000001</v>
      </c>
      <c r="I277" s="5">
        <v>300.5</v>
      </c>
      <c r="J277" s="5">
        <v>11.5</v>
      </c>
      <c r="K277" s="5">
        <f t="shared" si="37"/>
        <v>386.29999999999978</v>
      </c>
      <c r="L277" s="5">
        <v>0.6</v>
      </c>
      <c r="M277" s="5">
        <f t="shared" si="38"/>
        <v>287.09999999999991</v>
      </c>
      <c r="N277" s="5">
        <v>10.9</v>
      </c>
      <c r="O277" s="5">
        <f t="shared" si="31"/>
        <v>162.30000000000004</v>
      </c>
      <c r="P277" s="5">
        <v>228</v>
      </c>
      <c r="Q277" s="5">
        <v>1.1499999999999999</v>
      </c>
      <c r="R277" s="9">
        <f t="shared" si="34"/>
        <v>0.69</v>
      </c>
      <c r="S277" s="9">
        <f t="shared" si="35"/>
        <v>10.81</v>
      </c>
      <c r="T277" s="9">
        <f t="shared" si="39"/>
        <v>171.8891373847926</v>
      </c>
      <c r="U277" s="9">
        <f>(U275*100)/197.4</f>
        <v>77.190636249352153</v>
      </c>
      <c r="V277" s="5">
        <v>372.2</v>
      </c>
      <c r="X277" s="5">
        <f t="shared" si="40"/>
        <v>157051.80000000008</v>
      </c>
      <c r="Y277" s="5">
        <f t="shared" si="33"/>
        <v>14225.600000000002</v>
      </c>
      <c r="AA277" s="5">
        <v>14.3693952467345</v>
      </c>
    </row>
    <row r="278" spans="1:27" s="5" customFormat="1" x14ac:dyDescent="0.25">
      <c r="A278" s="79"/>
      <c r="B278" s="10"/>
      <c r="C278" s="36">
        <v>41028</v>
      </c>
      <c r="D278" s="5">
        <v>9.1999999999999993</v>
      </c>
      <c r="E278" s="5">
        <v>9.1</v>
      </c>
      <c r="F278" s="5">
        <v>9.3000000000000007</v>
      </c>
      <c r="G278" s="5">
        <f t="shared" si="36"/>
        <v>2164</v>
      </c>
      <c r="H278" s="5">
        <f t="shared" si="32"/>
        <v>131.30000000000001</v>
      </c>
      <c r="J278" s="5">
        <v>4.2</v>
      </c>
      <c r="K278" s="5">
        <f t="shared" si="37"/>
        <v>390.49999999999977</v>
      </c>
      <c r="L278" s="5">
        <v>0.9</v>
      </c>
      <c r="M278" s="5">
        <f t="shared" si="38"/>
        <v>287.99999999999989</v>
      </c>
      <c r="N278" s="5">
        <v>3.3000000000000003</v>
      </c>
      <c r="O278" s="5">
        <f t="shared" si="31"/>
        <v>165.60000000000005</v>
      </c>
      <c r="P278" s="5">
        <v>229</v>
      </c>
      <c r="Q278" s="5">
        <v>1.1499999999999999</v>
      </c>
      <c r="R278" s="9">
        <f t="shared" si="34"/>
        <v>1.0349999999999999</v>
      </c>
      <c r="S278" s="9">
        <f t="shared" si="35"/>
        <v>3.165</v>
      </c>
      <c r="T278" s="9">
        <f t="shared" si="39"/>
        <v>175.0541373847926</v>
      </c>
      <c r="V278" s="5">
        <v>412</v>
      </c>
      <c r="X278" s="5">
        <f t="shared" si="40"/>
        <v>157463.80000000008</v>
      </c>
      <c r="Y278" s="5">
        <f t="shared" si="33"/>
        <v>14637.600000000002</v>
      </c>
      <c r="AA278" s="5">
        <v>14.421650718784701</v>
      </c>
    </row>
    <row r="279" spans="1:27" s="5" customFormat="1" x14ac:dyDescent="0.25">
      <c r="A279" s="79"/>
      <c r="B279" s="10"/>
      <c r="C279" s="36">
        <v>41029</v>
      </c>
      <c r="D279" s="5">
        <v>10.9</v>
      </c>
      <c r="E279" s="5">
        <v>8.4</v>
      </c>
      <c r="F279" s="5">
        <v>14.5</v>
      </c>
      <c r="G279" s="5">
        <f t="shared" si="36"/>
        <v>2174.9</v>
      </c>
      <c r="H279" s="5">
        <f t="shared" si="32"/>
        <v>142.20000000000002</v>
      </c>
      <c r="J279" s="5">
        <v>0.3</v>
      </c>
      <c r="K279" s="5">
        <f t="shared" si="37"/>
        <v>390.79999999999978</v>
      </c>
      <c r="L279" s="5">
        <v>2.1</v>
      </c>
      <c r="M279" s="5">
        <f t="shared" si="38"/>
        <v>290.09999999999991</v>
      </c>
      <c r="N279" s="5">
        <v>-1.8</v>
      </c>
      <c r="O279" s="5">
        <f t="shared" si="31"/>
        <v>163.80000000000004</v>
      </c>
      <c r="P279" s="5">
        <v>230</v>
      </c>
      <c r="Q279" s="5">
        <v>1.1499999999999999</v>
      </c>
      <c r="R279" s="9">
        <f t="shared" si="34"/>
        <v>2.415</v>
      </c>
      <c r="S279" s="9">
        <f t="shared" si="35"/>
        <v>-2.1150000000000002</v>
      </c>
      <c r="T279" s="9">
        <f t="shared" si="39"/>
        <v>172.93913738479259</v>
      </c>
      <c r="V279" s="5">
        <v>982.5</v>
      </c>
      <c r="X279" s="5">
        <f t="shared" si="40"/>
        <v>158446.30000000008</v>
      </c>
      <c r="Y279" s="5">
        <f t="shared" si="33"/>
        <v>15620.100000000002</v>
      </c>
      <c r="AA279" s="5">
        <v>14.4735035121777</v>
      </c>
    </row>
    <row r="280" spans="1:27" s="5" customFormat="1" x14ac:dyDescent="0.25">
      <c r="A280" s="79"/>
      <c r="B280" s="10"/>
      <c r="C280" s="36">
        <v>41030</v>
      </c>
      <c r="D280" s="5">
        <v>11.2</v>
      </c>
      <c r="E280" s="5">
        <v>7.1</v>
      </c>
      <c r="F280" s="5">
        <v>16.7</v>
      </c>
      <c r="G280" s="5">
        <f t="shared" si="36"/>
        <v>2186.1</v>
      </c>
      <c r="H280" s="5">
        <f t="shared" si="32"/>
        <v>153.4</v>
      </c>
      <c r="J280" s="5">
        <v>1.8</v>
      </c>
      <c r="K280" s="5">
        <f t="shared" si="37"/>
        <v>392.5999999999998</v>
      </c>
      <c r="L280" s="5">
        <v>1.8</v>
      </c>
      <c r="M280" s="5">
        <f t="shared" si="38"/>
        <v>291.89999999999992</v>
      </c>
      <c r="N280" s="5">
        <v>0</v>
      </c>
      <c r="O280" s="5">
        <f t="shared" si="31"/>
        <v>163.80000000000004</v>
      </c>
      <c r="P280" s="5">
        <v>231</v>
      </c>
      <c r="Q280" s="5">
        <v>1.1499999999999999</v>
      </c>
      <c r="R280" s="9">
        <f t="shared" si="34"/>
        <v>2.0699999999999998</v>
      </c>
      <c r="S280" s="9">
        <f t="shared" si="35"/>
        <v>-0.2699999999999998</v>
      </c>
      <c r="T280" s="9">
        <f t="shared" si="39"/>
        <v>172.66913738479258</v>
      </c>
      <c r="V280" s="5">
        <v>1073.2</v>
      </c>
      <c r="X280" s="5">
        <f t="shared" si="40"/>
        <v>159519.50000000009</v>
      </c>
      <c r="Y280" s="5">
        <f t="shared" si="33"/>
        <v>16693.300000000003</v>
      </c>
      <c r="AA280" s="5">
        <v>14.5249360171082</v>
      </c>
    </row>
    <row r="281" spans="1:27" s="5" customFormat="1" x14ac:dyDescent="0.25">
      <c r="A281" s="79"/>
      <c r="B281" s="10"/>
      <c r="C281" s="36">
        <v>41031</v>
      </c>
      <c r="D281" s="5">
        <v>13.5</v>
      </c>
      <c r="E281" s="5">
        <v>6.9</v>
      </c>
      <c r="F281" s="5">
        <v>20.6</v>
      </c>
      <c r="G281" s="5">
        <f t="shared" si="36"/>
        <v>2199.6</v>
      </c>
      <c r="H281" s="5">
        <f t="shared" si="32"/>
        <v>166.9</v>
      </c>
      <c r="J281" s="5">
        <v>0</v>
      </c>
      <c r="K281" s="5">
        <f t="shared" si="37"/>
        <v>392.5999999999998</v>
      </c>
      <c r="L281" s="5">
        <v>3.3</v>
      </c>
      <c r="M281" s="5">
        <f t="shared" si="38"/>
        <v>295.19999999999993</v>
      </c>
      <c r="N281" s="5">
        <v>-3.3</v>
      </c>
      <c r="O281" s="5">
        <f t="shared" si="31"/>
        <v>160.50000000000003</v>
      </c>
      <c r="P281" s="5">
        <v>232</v>
      </c>
      <c r="Q281" s="5">
        <v>1.1499999999999999</v>
      </c>
      <c r="R281" s="9">
        <f t="shared" si="34"/>
        <v>3.7949999999999995</v>
      </c>
      <c r="S281" s="9">
        <f t="shared" si="35"/>
        <v>-3.7949999999999995</v>
      </c>
      <c r="T281" s="9">
        <f t="shared" si="39"/>
        <v>168.87413738479259</v>
      </c>
      <c r="V281" s="5">
        <v>1957.5</v>
      </c>
      <c r="X281" s="5">
        <f t="shared" si="40"/>
        <v>161477.00000000009</v>
      </c>
      <c r="Y281" s="5">
        <f t="shared" si="33"/>
        <v>18650.800000000003</v>
      </c>
      <c r="AA281" s="5">
        <v>14.575930104935701</v>
      </c>
    </row>
    <row r="282" spans="1:27" s="5" customFormat="1" x14ac:dyDescent="0.25">
      <c r="A282" s="79"/>
      <c r="B282" s="10"/>
      <c r="C282" s="36">
        <v>41032</v>
      </c>
      <c r="D282" s="5">
        <v>14.6</v>
      </c>
      <c r="E282" s="5">
        <v>8.8000000000000007</v>
      </c>
      <c r="F282" s="5">
        <v>19.3</v>
      </c>
      <c r="G282" s="5">
        <f t="shared" si="36"/>
        <v>2214.1999999999998</v>
      </c>
      <c r="H282" s="5">
        <f t="shared" si="32"/>
        <v>181.5</v>
      </c>
      <c r="J282" s="5">
        <v>0</v>
      </c>
      <c r="K282" s="5">
        <f t="shared" si="37"/>
        <v>392.5999999999998</v>
      </c>
      <c r="L282" s="5">
        <v>3.4</v>
      </c>
      <c r="M282" s="5">
        <f t="shared" si="38"/>
        <v>298.59999999999991</v>
      </c>
      <c r="N282" s="5">
        <v>-3.4</v>
      </c>
      <c r="O282" s="5">
        <f t="shared" ref="O282:O345" si="41">O281+N282</f>
        <v>157.10000000000002</v>
      </c>
      <c r="P282" s="5">
        <v>233</v>
      </c>
      <c r="Q282" s="5">
        <v>1.1499999999999999</v>
      </c>
      <c r="R282" s="9">
        <f t="shared" si="34"/>
        <v>3.9099999999999997</v>
      </c>
      <c r="S282" s="9">
        <f t="shared" si="35"/>
        <v>-3.9099999999999997</v>
      </c>
      <c r="T282" s="9">
        <f t="shared" si="39"/>
        <v>164.96413738479259</v>
      </c>
      <c r="V282" s="5">
        <v>2279.8000000000002</v>
      </c>
      <c r="X282" s="5">
        <f t="shared" si="40"/>
        <v>163756.80000000008</v>
      </c>
      <c r="Y282" s="5">
        <f t="shared" si="33"/>
        <v>20930.600000000002</v>
      </c>
      <c r="AA282" s="5">
        <v>14.6264671283348</v>
      </c>
    </row>
    <row r="283" spans="1:27" s="5" customFormat="1" x14ac:dyDescent="0.25">
      <c r="A283" s="79"/>
      <c r="B283" s="10"/>
      <c r="C283" s="36">
        <v>41033</v>
      </c>
      <c r="D283" s="5">
        <v>12.1</v>
      </c>
      <c r="E283" s="5">
        <v>10.9</v>
      </c>
      <c r="F283" s="5">
        <v>16.100000000000001</v>
      </c>
      <c r="G283" s="5">
        <f t="shared" si="36"/>
        <v>2226.2999999999997</v>
      </c>
      <c r="H283" s="5">
        <f t="shared" si="32"/>
        <v>193.6</v>
      </c>
      <c r="J283" s="5">
        <v>4.2</v>
      </c>
      <c r="K283" s="5">
        <f t="shared" si="37"/>
        <v>396.79999999999978</v>
      </c>
      <c r="L283" s="5">
        <v>1.2</v>
      </c>
      <c r="M283" s="5">
        <f t="shared" si="38"/>
        <v>299.7999999999999</v>
      </c>
      <c r="N283" s="5">
        <v>3</v>
      </c>
      <c r="O283" s="5">
        <f t="shared" si="41"/>
        <v>160.10000000000002</v>
      </c>
      <c r="P283" s="5">
        <v>234</v>
      </c>
      <c r="Q283" s="5">
        <v>1.1499999999999999</v>
      </c>
      <c r="R283" s="9">
        <f t="shared" si="34"/>
        <v>1.38</v>
      </c>
      <c r="S283" s="9">
        <f t="shared" si="35"/>
        <v>2.8200000000000003</v>
      </c>
      <c r="T283" s="9">
        <f t="shared" si="39"/>
        <v>167.78413738479259</v>
      </c>
      <c r="V283" s="5">
        <v>678.4</v>
      </c>
      <c r="W283" s="25"/>
      <c r="X283" s="25">
        <f t="shared" si="40"/>
        <v>164435.20000000007</v>
      </c>
      <c r="Y283" s="5">
        <f t="shared" si="33"/>
        <v>21609.000000000004</v>
      </c>
      <c r="AA283" s="5">
        <v>14.676527923044199</v>
      </c>
    </row>
    <row r="284" spans="1:27" s="5" customFormat="1" ht="15" customHeight="1" x14ac:dyDescent="0.25">
      <c r="A284" s="79"/>
      <c r="B284" s="10"/>
      <c r="C284" s="36">
        <v>41034</v>
      </c>
      <c r="D284" s="5">
        <v>10.3</v>
      </c>
      <c r="E284" s="5">
        <v>6.6</v>
      </c>
      <c r="F284" s="5">
        <v>15.9</v>
      </c>
      <c r="G284" s="5">
        <f t="shared" si="36"/>
        <v>2236.6</v>
      </c>
      <c r="H284" s="5">
        <f t="shared" si="32"/>
        <v>203.9</v>
      </c>
      <c r="J284" s="5">
        <v>14.4</v>
      </c>
      <c r="K284" s="5">
        <f t="shared" si="37"/>
        <v>411.19999999999976</v>
      </c>
      <c r="L284" s="5">
        <v>1.8</v>
      </c>
      <c r="M284" s="5">
        <f t="shared" si="38"/>
        <v>301.59999999999991</v>
      </c>
      <c r="N284" s="5">
        <v>12.6</v>
      </c>
      <c r="O284" s="5">
        <f t="shared" si="41"/>
        <v>172.70000000000002</v>
      </c>
      <c r="P284" s="5">
        <v>235</v>
      </c>
      <c r="Q284" s="5">
        <v>1.1499999999999999</v>
      </c>
      <c r="R284" s="9">
        <f t="shared" si="34"/>
        <v>2.0699999999999998</v>
      </c>
      <c r="S284" s="9">
        <f t="shared" si="35"/>
        <v>12.33</v>
      </c>
      <c r="T284" s="9">
        <f t="shared" si="39"/>
        <v>180.1141373847926</v>
      </c>
      <c r="V284" s="5">
        <v>1009</v>
      </c>
      <c r="X284" s="5">
        <f t="shared" si="40"/>
        <v>165444.20000000007</v>
      </c>
      <c r="Y284" s="5">
        <f t="shared" si="33"/>
        <v>22618.000000000004</v>
      </c>
      <c r="AA284" s="5">
        <v>14.7260928113191</v>
      </c>
    </row>
    <row r="285" spans="1:27" s="5" customFormat="1" x14ac:dyDescent="0.25">
      <c r="A285" s="79"/>
      <c r="B285" s="10"/>
      <c r="C285" s="36">
        <v>41035</v>
      </c>
      <c r="D285" s="5">
        <v>10</v>
      </c>
      <c r="E285" s="5">
        <v>9.1</v>
      </c>
      <c r="F285" s="5">
        <v>11.5</v>
      </c>
      <c r="G285" s="5">
        <f t="shared" si="36"/>
        <v>2246.6</v>
      </c>
      <c r="H285" s="5">
        <f t="shared" si="32"/>
        <v>213.9</v>
      </c>
      <c r="J285" s="5">
        <v>0.7</v>
      </c>
      <c r="K285" s="5">
        <f t="shared" si="37"/>
        <v>411.89999999999975</v>
      </c>
      <c r="L285" s="5">
        <v>1</v>
      </c>
      <c r="M285" s="5">
        <f t="shared" si="38"/>
        <v>302.59999999999991</v>
      </c>
      <c r="N285" s="5">
        <v>-0.30000000000000004</v>
      </c>
      <c r="O285" s="5">
        <f t="shared" si="41"/>
        <v>172.4</v>
      </c>
      <c r="P285" s="5">
        <v>236</v>
      </c>
      <c r="Q285" s="5">
        <v>1.1499999999999999</v>
      </c>
      <c r="R285" s="9">
        <f t="shared" si="34"/>
        <v>1.1499999999999999</v>
      </c>
      <c r="S285" s="9">
        <f t="shared" si="35"/>
        <v>-0.44999999999999996</v>
      </c>
      <c r="T285" s="9">
        <f t="shared" si="39"/>
        <v>179.66413738479261</v>
      </c>
      <c r="V285" s="5">
        <v>858.5</v>
      </c>
      <c r="X285" s="5">
        <f t="shared" si="40"/>
        <v>166302.70000000007</v>
      </c>
      <c r="Y285" s="5">
        <f t="shared" si="33"/>
        <v>23476.500000000004</v>
      </c>
      <c r="AA285" s="5">
        <v>14.7751416071881</v>
      </c>
    </row>
    <row r="286" spans="1:27" s="5" customFormat="1" x14ac:dyDescent="0.25">
      <c r="A286" s="79"/>
      <c r="B286" s="10"/>
      <c r="C286" s="36">
        <v>41036</v>
      </c>
      <c r="D286" s="5">
        <v>12.5</v>
      </c>
      <c r="E286" s="5">
        <v>7</v>
      </c>
      <c r="F286" s="5">
        <v>16.2</v>
      </c>
      <c r="G286" s="5">
        <f t="shared" si="36"/>
        <v>2259.1</v>
      </c>
      <c r="H286" s="5">
        <f t="shared" si="32"/>
        <v>226.4</v>
      </c>
      <c r="J286" s="5">
        <v>4.0999999999999996</v>
      </c>
      <c r="K286" s="5">
        <f t="shared" si="37"/>
        <v>415.99999999999977</v>
      </c>
      <c r="L286" s="5">
        <v>2.1</v>
      </c>
      <c r="M286" s="5">
        <f t="shared" si="38"/>
        <v>304.69999999999993</v>
      </c>
      <c r="N286" s="5">
        <v>1.9999999999999996</v>
      </c>
      <c r="O286" s="5">
        <f t="shared" si="41"/>
        <v>174.4</v>
      </c>
      <c r="P286" s="5">
        <v>237</v>
      </c>
      <c r="Q286" s="5">
        <v>1.1499999999999999</v>
      </c>
      <c r="R286" s="9">
        <f t="shared" si="34"/>
        <v>2.415</v>
      </c>
      <c r="S286" s="9">
        <f t="shared" si="35"/>
        <v>1.6849999999999996</v>
      </c>
      <c r="T286" s="9">
        <f t="shared" si="39"/>
        <v>181.34913738479261</v>
      </c>
      <c r="V286" s="5">
        <v>1710.9</v>
      </c>
      <c r="X286" s="5">
        <f t="shared" si="40"/>
        <v>168013.60000000006</v>
      </c>
      <c r="Y286" s="5">
        <f t="shared" si="33"/>
        <v>25187.400000000005</v>
      </c>
      <c r="AA286" s="5">
        <v>14.823653623621601</v>
      </c>
    </row>
    <row r="287" spans="1:27" s="5" customFormat="1" x14ac:dyDescent="0.25">
      <c r="A287" s="79"/>
      <c r="B287" s="10"/>
      <c r="C287" s="36">
        <v>41037</v>
      </c>
      <c r="D287" s="5">
        <v>14.5</v>
      </c>
      <c r="E287" s="5">
        <v>12.2</v>
      </c>
      <c r="F287" s="5">
        <v>17.7</v>
      </c>
      <c r="G287" s="5">
        <f t="shared" si="36"/>
        <v>2273.6</v>
      </c>
      <c r="H287" s="5">
        <f t="shared" si="32"/>
        <v>240.9</v>
      </c>
      <c r="J287" s="5">
        <v>0.7</v>
      </c>
      <c r="K287" s="5">
        <f t="shared" si="37"/>
        <v>416.69999999999976</v>
      </c>
      <c r="L287" s="5">
        <v>1.2</v>
      </c>
      <c r="M287" s="5">
        <f t="shared" si="38"/>
        <v>305.89999999999992</v>
      </c>
      <c r="N287" s="5">
        <v>-0.5</v>
      </c>
      <c r="O287" s="5">
        <f t="shared" si="41"/>
        <v>173.9</v>
      </c>
      <c r="P287" s="5">
        <v>238</v>
      </c>
      <c r="Q287" s="5">
        <v>1.1499999999999999</v>
      </c>
      <c r="R287" s="9">
        <f t="shared" si="34"/>
        <v>1.38</v>
      </c>
      <c r="S287" s="9">
        <f t="shared" si="35"/>
        <v>-0.67999999999999994</v>
      </c>
      <c r="T287" s="9">
        <f t="shared" si="39"/>
        <v>180.66913738479261</v>
      </c>
      <c r="V287" s="5">
        <v>504.8</v>
      </c>
      <c r="X287" s="5">
        <f t="shared" si="40"/>
        <v>168518.40000000005</v>
      </c>
      <c r="Y287" s="5">
        <f t="shared" si="33"/>
        <v>25692.200000000004</v>
      </c>
      <c r="AA287" s="5">
        <v>14.8716076817126</v>
      </c>
    </row>
    <row r="288" spans="1:27" s="5" customFormat="1" x14ac:dyDescent="0.25">
      <c r="A288" s="79"/>
      <c r="B288" s="10"/>
      <c r="C288" s="36">
        <v>41038</v>
      </c>
      <c r="D288" s="5">
        <v>16</v>
      </c>
      <c r="E288" s="5">
        <v>13.7</v>
      </c>
      <c r="F288" s="5">
        <v>17.5</v>
      </c>
      <c r="G288" s="5">
        <f t="shared" si="36"/>
        <v>2289.6</v>
      </c>
      <c r="H288" s="5">
        <f t="shared" si="32"/>
        <v>256.89999999999998</v>
      </c>
      <c r="J288" s="5">
        <v>2</v>
      </c>
      <c r="K288" s="5">
        <f t="shared" si="37"/>
        <v>418.69999999999976</v>
      </c>
      <c r="L288" s="5">
        <v>0.8</v>
      </c>
      <c r="M288" s="5">
        <f t="shared" si="38"/>
        <v>306.69999999999993</v>
      </c>
      <c r="N288" s="5">
        <v>1.2</v>
      </c>
      <c r="O288" s="5">
        <f t="shared" si="41"/>
        <v>175.1</v>
      </c>
      <c r="P288" s="5">
        <v>239</v>
      </c>
      <c r="Q288" s="5">
        <v>1.1499999999999999</v>
      </c>
      <c r="R288" s="9">
        <f t="shared" si="34"/>
        <v>0.91999999999999993</v>
      </c>
      <c r="S288" s="9">
        <f t="shared" si="35"/>
        <v>1.08</v>
      </c>
      <c r="T288" s="9">
        <f t="shared" si="39"/>
        <v>181.74913738479262</v>
      </c>
      <c r="V288" s="5">
        <v>454.2</v>
      </c>
      <c r="X288" s="5">
        <f t="shared" si="40"/>
        <v>168972.60000000006</v>
      </c>
      <c r="Y288" s="5">
        <f t="shared" si="33"/>
        <v>26146.400000000005</v>
      </c>
      <c r="AA288" s="5">
        <v>14.9189821219744</v>
      </c>
    </row>
    <row r="289" spans="1:27" s="5" customFormat="1" x14ac:dyDescent="0.25">
      <c r="A289" s="79"/>
      <c r="B289" s="10"/>
      <c r="C289" s="36">
        <v>41039</v>
      </c>
      <c r="D289" s="5">
        <v>18.399999999999999</v>
      </c>
      <c r="E289" s="5">
        <v>15.8</v>
      </c>
      <c r="F289" s="5">
        <v>23.6</v>
      </c>
      <c r="G289" s="5">
        <f t="shared" si="36"/>
        <v>2308</v>
      </c>
      <c r="H289" s="5">
        <f t="shared" si="32"/>
        <v>275.29999999999995</v>
      </c>
      <c r="J289" s="5">
        <v>0.2</v>
      </c>
      <c r="K289" s="5">
        <f t="shared" si="37"/>
        <v>418.89999999999975</v>
      </c>
      <c r="L289" s="5">
        <v>2.4</v>
      </c>
      <c r="M289" s="5">
        <f t="shared" si="38"/>
        <v>309.09999999999991</v>
      </c>
      <c r="N289" s="5">
        <v>-2.1999999999999997</v>
      </c>
      <c r="O289" s="5">
        <f t="shared" si="41"/>
        <v>172.9</v>
      </c>
      <c r="P289" s="5">
        <v>240</v>
      </c>
      <c r="Q289" s="5">
        <v>1.1499999999999999</v>
      </c>
      <c r="R289" s="9">
        <f t="shared" si="34"/>
        <v>2.76</v>
      </c>
      <c r="S289" s="9">
        <f t="shared" si="35"/>
        <v>-2.5599999999999996</v>
      </c>
      <c r="T289" s="9">
        <f t="shared" si="39"/>
        <v>179.18913738479262</v>
      </c>
      <c r="V289" s="5">
        <v>627.9</v>
      </c>
      <c r="X289" s="5">
        <f t="shared" si="40"/>
        <v>169600.50000000006</v>
      </c>
      <c r="Y289" s="5">
        <f t="shared" si="33"/>
        <v>26774.300000000007</v>
      </c>
      <c r="AA289" s="5">
        <v>14.9657548178534</v>
      </c>
    </row>
    <row r="290" spans="1:27" s="5" customFormat="1" x14ac:dyDescent="0.25">
      <c r="A290" s="79"/>
      <c r="B290" s="10"/>
      <c r="C290" s="36">
        <v>41040</v>
      </c>
      <c r="D290" s="5">
        <v>13.3</v>
      </c>
      <c r="E290" s="5">
        <v>11.9</v>
      </c>
      <c r="F290" s="5">
        <v>14.7</v>
      </c>
      <c r="G290" s="5">
        <f t="shared" si="36"/>
        <v>2321.3000000000002</v>
      </c>
      <c r="H290" s="5">
        <f t="shared" si="32"/>
        <v>288.59999999999997</v>
      </c>
      <c r="J290" s="5">
        <v>0</v>
      </c>
      <c r="K290" s="5">
        <f t="shared" si="37"/>
        <v>418.89999999999975</v>
      </c>
      <c r="L290" s="5">
        <v>1.3</v>
      </c>
      <c r="M290" s="5">
        <f t="shared" si="38"/>
        <v>310.39999999999992</v>
      </c>
      <c r="N290" s="5">
        <v>-1.3</v>
      </c>
      <c r="O290" s="5">
        <f t="shared" si="41"/>
        <v>171.6</v>
      </c>
      <c r="P290" s="5">
        <v>241</v>
      </c>
      <c r="Q290" s="5">
        <v>1.1499999999999999</v>
      </c>
      <c r="R290" s="9">
        <f t="shared" si="34"/>
        <v>1.4949999999999999</v>
      </c>
      <c r="S290" s="9">
        <f t="shared" si="35"/>
        <v>-1.4949999999999999</v>
      </c>
      <c r="T290" s="9">
        <f t="shared" si="39"/>
        <v>177.69413738479261</v>
      </c>
      <c r="V290" s="5">
        <v>862.5</v>
      </c>
      <c r="X290" s="5">
        <f t="shared" si="40"/>
        <v>170463.00000000006</v>
      </c>
      <c r="Y290" s="5">
        <f t="shared" si="33"/>
        <v>27636.800000000007</v>
      </c>
      <c r="AA290" s="5">
        <v>15.011903191555099</v>
      </c>
    </row>
    <row r="291" spans="1:27" s="16" customFormat="1" x14ac:dyDescent="0.25">
      <c r="A291" s="79"/>
      <c r="B291" s="20">
        <v>300</v>
      </c>
      <c r="C291" s="38">
        <v>41041</v>
      </c>
      <c r="D291" s="16">
        <v>11.9</v>
      </c>
      <c r="E291" s="16">
        <v>9.8000000000000007</v>
      </c>
      <c r="F291" s="16">
        <v>15.4</v>
      </c>
      <c r="G291" s="16">
        <f t="shared" si="36"/>
        <v>2333.2000000000003</v>
      </c>
      <c r="H291" s="16">
        <f t="shared" si="32"/>
        <v>300.49999999999994</v>
      </c>
      <c r="J291" s="16">
        <v>0</v>
      </c>
      <c r="K291" s="16">
        <f t="shared" si="37"/>
        <v>418.89999999999975</v>
      </c>
      <c r="L291" s="16">
        <v>4.8</v>
      </c>
      <c r="M291" s="16">
        <f t="shared" si="38"/>
        <v>315.19999999999993</v>
      </c>
      <c r="N291" s="16">
        <v>-4.8</v>
      </c>
      <c r="O291" s="16">
        <f t="shared" si="41"/>
        <v>166.79999999999998</v>
      </c>
      <c r="P291" s="16">
        <v>242</v>
      </c>
      <c r="Q291" s="5">
        <v>1.1499999999999999</v>
      </c>
      <c r="R291" s="17">
        <f t="shared" si="34"/>
        <v>5.52</v>
      </c>
      <c r="S291" s="17">
        <f t="shared" si="35"/>
        <v>-5.52</v>
      </c>
      <c r="T291" s="9">
        <f t="shared" si="39"/>
        <v>172.1741373847926</v>
      </c>
      <c r="V291" s="16">
        <v>2977.4</v>
      </c>
      <c r="X291" s="16">
        <f t="shared" si="40"/>
        <v>173440.40000000005</v>
      </c>
      <c r="Y291" s="5">
        <f t="shared" si="33"/>
        <v>30614.200000000008</v>
      </c>
      <c r="AA291" s="5">
        <v>15.0574042322748</v>
      </c>
    </row>
    <row r="292" spans="1:27" s="5" customFormat="1" x14ac:dyDescent="0.25">
      <c r="A292" s="80">
        <v>600</v>
      </c>
      <c r="B292" s="10"/>
      <c r="C292" s="39">
        <v>41042</v>
      </c>
      <c r="D292" s="5">
        <v>11.2</v>
      </c>
      <c r="E292" s="5">
        <v>6.8</v>
      </c>
      <c r="F292" s="5">
        <v>15.8</v>
      </c>
      <c r="G292" s="5">
        <f t="shared" si="36"/>
        <v>2344.4</v>
      </c>
      <c r="H292" s="5">
        <v>11.2</v>
      </c>
      <c r="I292" s="40" t="s">
        <v>28</v>
      </c>
      <c r="J292" s="5">
        <v>0</v>
      </c>
      <c r="K292" s="5">
        <f t="shared" si="37"/>
        <v>418.89999999999975</v>
      </c>
      <c r="L292" s="5">
        <v>4.5</v>
      </c>
      <c r="M292" s="5">
        <f t="shared" si="38"/>
        <v>319.69999999999993</v>
      </c>
      <c r="N292" s="5">
        <v>-4.5</v>
      </c>
      <c r="O292" s="5">
        <f t="shared" si="41"/>
        <v>162.29999999999998</v>
      </c>
      <c r="P292" s="5">
        <v>243</v>
      </c>
      <c r="Q292" s="24">
        <f>1.15+((P292-242)/65)*(0.35-1.15)</f>
        <v>1.1376923076923076</v>
      </c>
      <c r="R292" s="9">
        <f t="shared" si="34"/>
        <v>5.1196153846153845</v>
      </c>
      <c r="S292" s="9">
        <f t="shared" si="35"/>
        <v>-5.1196153846153845</v>
      </c>
      <c r="T292" s="9">
        <f t="shared" si="39"/>
        <v>167.05452200017723</v>
      </c>
      <c r="U292" s="40" t="s">
        <v>29</v>
      </c>
      <c r="V292" s="5">
        <v>2975.3</v>
      </c>
      <c r="X292" s="5">
        <f t="shared" si="40"/>
        <v>176415.70000000004</v>
      </c>
      <c r="Y292" s="5">
        <v>2975.3</v>
      </c>
      <c r="Z292" s="40" t="s">
        <v>30</v>
      </c>
      <c r="AA292" s="5">
        <v>15.1022345169196</v>
      </c>
    </row>
    <row r="293" spans="1:27" s="5" customFormat="1" x14ac:dyDescent="0.25">
      <c r="A293" s="80"/>
      <c r="B293" s="10"/>
      <c r="C293" s="39">
        <v>41043</v>
      </c>
      <c r="D293" s="5">
        <v>11.3</v>
      </c>
      <c r="E293" s="5">
        <v>5.8</v>
      </c>
      <c r="F293" s="5">
        <v>17.8</v>
      </c>
      <c r="G293" s="5">
        <f t="shared" si="36"/>
        <v>2355.7000000000003</v>
      </c>
      <c r="H293" s="5">
        <f t="shared" si="32"/>
        <v>22.5</v>
      </c>
      <c r="I293" s="5">
        <f>MIN(E292:E312)</f>
        <v>5.3</v>
      </c>
      <c r="J293" s="5">
        <v>0.1</v>
      </c>
      <c r="K293" s="5">
        <f t="shared" si="37"/>
        <v>418.99999999999977</v>
      </c>
      <c r="L293" s="5">
        <v>4.2</v>
      </c>
      <c r="M293" s="5">
        <f t="shared" si="38"/>
        <v>323.89999999999992</v>
      </c>
      <c r="N293" s="5">
        <v>-4.1000000000000005</v>
      </c>
      <c r="O293" s="5">
        <f t="shared" si="41"/>
        <v>158.19999999999999</v>
      </c>
      <c r="P293" s="5">
        <v>244</v>
      </c>
      <c r="Q293" s="24">
        <f t="shared" ref="Q293:Q356" si="42">1.15+((P293-242)/65)*(0.35-1.15)</f>
        <v>1.1253846153846152</v>
      </c>
      <c r="R293" s="9">
        <f t="shared" si="34"/>
        <v>4.7266153846153838</v>
      </c>
      <c r="S293" s="9">
        <f t="shared" si="35"/>
        <v>-4.6266153846153841</v>
      </c>
      <c r="T293" s="9">
        <f t="shared" si="39"/>
        <v>162.42790661556185</v>
      </c>
      <c r="U293" s="5">
        <v>18</v>
      </c>
      <c r="V293" s="5">
        <v>2719.9</v>
      </c>
      <c r="X293" s="5">
        <f t="shared" si="40"/>
        <v>179135.60000000003</v>
      </c>
      <c r="Y293" s="5">
        <f t="shared" si="33"/>
        <v>5695.2000000000007</v>
      </c>
      <c r="Z293" s="5">
        <v>44077.1</v>
      </c>
      <c r="AA293" s="5">
        <v>15.1463702334015</v>
      </c>
    </row>
    <row r="294" spans="1:27" s="5" customFormat="1" x14ac:dyDescent="0.25">
      <c r="A294" s="80"/>
      <c r="B294" s="10"/>
      <c r="C294" s="39">
        <v>41044</v>
      </c>
      <c r="D294" s="5">
        <v>9.4</v>
      </c>
      <c r="E294" s="5">
        <v>7.9</v>
      </c>
      <c r="F294" s="5">
        <v>12.2</v>
      </c>
      <c r="G294" s="5">
        <f t="shared" si="36"/>
        <v>2365.1000000000004</v>
      </c>
      <c r="H294" s="5">
        <f t="shared" si="32"/>
        <v>31.9</v>
      </c>
      <c r="I294" s="40" t="s">
        <v>31</v>
      </c>
      <c r="J294" s="5">
        <v>2.1</v>
      </c>
      <c r="K294" s="5">
        <f t="shared" si="37"/>
        <v>421.0999999999998</v>
      </c>
      <c r="L294" s="5">
        <v>3.9</v>
      </c>
      <c r="M294" s="5">
        <f t="shared" si="38"/>
        <v>327.7999999999999</v>
      </c>
      <c r="N294" s="5">
        <v>-1.7999999999999998</v>
      </c>
      <c r="O294" s="5">
        <f t="shared" si="41"/>
        <v>156.39999999999998</v>
      </c>
      <c r="P294" s="5">
        <v>245</v>
      </c>
      <c r="Q294" s="24">
        <f t="shared" si="42"/>
        <v>1.1130769230769231</v>
      </c>
      <c r="R294" s="9">
        <f t="shared" si="34"/>
        <v>4.3410000000000002</v>
      </c>
      <c r="S294" s="9">
        <f t="shared" si="35"/>
        <v>-2.2410000000000001</v>
      </c>
      <c r="T294" s="9">
        <f t="shared" si="39"/>
        <v>160.18690661556184</v>
      </c>
      <c r="U294" s="40" t="s">
        <v>32</v>
      </c>
      <c r="V294" s="5">
        <v>2732.8</v>
      </c>
      <c r="X294" s="5">
        <f t="shared" si="40"/>
        <v>181868.40000000002</v>
      </c>
      <c r="Y294" s="5">
        <f t="shared" si="33"/>
        <v>8428</v>
      </c>
      <c r="Z294" s="40" t="s">
        <v>33</v>
      </c>
      <c r="AA294" s="5">
        <v>15.1897872065722</v>
      </c>
    </row>
    <row r="295" spans="1:27" s="5" customFormat="1" x14ac:dyDescent="0.25">
      <c r="A295" s="80"/>
      <c r="B295" s="10"/>
      <c r="C295" s="39">
        <v>41045</v>
      </c>
      <c r="D295" s="5">
        <v>11</v>
      </c>
      <c r="E295" s="5">
        <v>5.3</v>
      </c>
      <c r="F295" s="5">
        <v>15.4</v>
      </c>
      <c r="G295" s="5">
        <f t="shared" si="36"/>
        <v>2376.1000000000004</v>
      </c>
      <c r="H295" s="5">
        <f t="shared" si="32"/>
        <v>42.9</v>
      </c>
      <c r="I295" s="5">
        <f>MAX(F292:F312)</f>
        <v>29.7</v>
      </c>
      <c r="J295" s="5">
        <v>0</v>
      </c>
      <c r="K295" s="5">
        <f t="shared" si="37"/>
        <v>421.0999999999998</v>
      </c>
      <c r="L295" s="5">
        <v>2.8</v>
      </c>
      <c r="M295" s="5">
        <f t="shared" si="38"/>
        <v>330.59999999999991</v>
      </c>
      <c r="N295" s="5">
        <v>-2.8</v>
      </c>
      <c r="O295" s="5">
        <f t="shared" si="41"/>
        <v>153.59999999999997</v>
      </c>
      <c r="P295" s="5">
        <v>246</v>
      </c>
      <c r="Q295" s="24">
        <f t="shared" si="42"/>
        <v>1.1007692307692307</v>
      </c>
      <c r="R295" s="9">
        <f t="shared" si="34"/>
        <v>3.082153846153846</v>
      </c>
      <c r="S295" s="9">
        <f t="shared" si="35"/>
        <v>-3.082153846153846</v>
      </c>
      <c r="T295" s="9">
        <f t="shared" si="39"/>
        <v>157.10475276940798</v>
      </c>
      <c r="U295" s="5">
        <v>0</v>
      </c>
      <c r="V295" s="5">
        <v>1732.5</v>
      </c>
      <c r="X295" s="5">
        <f t="shared" si="40"/>
        <v>183600.90000000002</v>
      </c>
      <c r="Y295" s="5">
        <f t="shared" si="33"/>
        <v>10160.5</v>
      </c>
      <c r="Z295" s="5">
        <f>(Z293/100)/I305</f>
        <v>1.4064167198468411</v>
      </c>
      <c r="AA295" s="5">
        <v>15.2324609268607</v>
      </c>
    </row>
    <row r="296" spans="1:27" s="5" customFormat="1" x14ac:dyDescent="0.25">
      <c r="A296" s="80"/>
      <c r="B296" s="10"/>
      <c r="C296" s="39">
        <v>41046</v>
      </c>
      <c r="D296" s="5">
        <v>12.7</v>
      </c>
      <c r="E296" s="5">
        <v>9.1999999999999993</v>
      </c>
      <c r="F296" s="5">
        <v>15.9</v>
      </c>
      <c r="G296" s="5">
        <f t="shared" si="36"/>
        <v>2388.8000000000002</v>
      </c>
      <c r="H296" s="5">
        <f t="shared" si="32"/>
        <v>55.599999999999994</v>
      </c>
      <c r="I296" s="40" t="s">
        <v>34</v>
      </c>
      <c r="J296" s="5">
        <v>0.8</v>
      </c>
      <c r="K296" s="5">
        <f t="shared" si="37"/>
        <v>421.89999999999981</v>
      </c>
      <c r="L296" s="5">
        <v>2.9</v>
      </c>
      <c r="M296" s="5">
        <f t="shared" si="38"/>
        <v>333.49999999999989</v>
      </c>
      <c r="N296" s="5">
        <v>-2.0999999999999996</v>
      </c>
      <c r="O296" s="5">
        <f t="shared" si="41"/>
        <v>151.49999999999997</v>
      </c>
      <c r="P296" s="5">
        <v>247</v>
      </c>
      <c r="Q296" s="24">
        <f t="shared" si="42"/>
        <v>1.0884615384615384</v>
      </c>
      <c r="R296" s="9">
        <f t="shared" si="34"/>
        <v>3.1565384615384611</v>
      </c>
      <c r="S296" s="9">
        <f t="shared" si="35"/>
        <v>-2.3565384615384612</v>
      </c>
      <c r="T296" s="9">
        <f t="shared" si="39"/>
        <v>154.74821430786952</v>
      </c>
      <c r="U296" s="40" t="s">
        <v>35</v>
      </c>
      <c r="V296" s="5">
        <v>1330.3</v>
      </c>
      <c r="X296" s="5">
        <f t="shared" si="40"/>
        <v>184931.20000000001</v>
      </c>
      <c r="Y296" s="5">
        <f t="shared" si="33"/>
        <v>11490.8</v>
      </c>
      <c r="Z296" s="40" t="s">
        <v>36</v>
      </c>
      <c r="AA296" s="5">
        <v>15.274366581663999</v>
      </c>
    </row>
    <row r="297" spans="1:27" s="5" customFormat="1" x14ac:dyDescent="0.25">
      <c r="A297" s="80"/>
      <c r="B297" s="10"/>
      <c r="C297" s="39">
        <v>41047</v>
      </c>
      <c r="D297" s="5">
        <v>12.6</v>
      </c>
      <c r="E297" s="5">
        <v>12.4</v>
      </c>
      <c r="F297" s="5">
        <v>14.2</v>
      </c>
      <c r="G297" s="5">
        <f t="shared" si="36"/>
        <v>2401.4</v>
      </c>
      <c r="H297" s="5">
        <f t="shared" si="32"/>
        <v>68.199999999999989</v>
      </c>
      <c r="I297" s="9">
        <f>AVERAGE(D292:D312)</f>
        <v>14.923809523809526</v>
      </c>
      <c r="J297" s="5">
        <v>0</v>
      </c>
      <c r="K297" s="5">
        <f t="shared" si="37"/>
        <v>421.89999999999981</v>
      </c>
      <c r="L297" s="5">
        <v>2.2999999999999998</v>
      </c>
      <c r="M297" s="5">
        <f t="shared" si="38"/>
        <v>335.7999999999999</v>
      </c>
      <c r="N297" s="5">
        <v>-2.2999999999999998</v>
      </c>
      <c r="O297" s="5">
        <f t="shared" si="41"/>
        <v>149.19999999999996</v>
      </c>
      <c r="P297" s="5">
        <v>248</v>
      </c>
      <c r="Q297" s="24">
        <f t="shared" si="42"/>
        <v>1.076153846153846</v>
      </c>
      <c r="R297" s="9">
        <f t="shared" si="34"/>
        <v>2.4751538461538458</v>
      </c>
      <c r="S297" s="9">
        <f t="shared" si="35"/>
        <v>-2.4751538461538458</v>
      </c>
      <c r="T297" s="9">
        <f t="shared" si="39"/>
        <v>152.27306046171566</v>
      </c>
      <c r="U297" s="5">
        <v>0</v>
      </c>
      <c r="V297" s="5">
        <v>1410.8</v>
      </c>
      <c r="X297" s="5">
        <f t="shared" si="40"/>
        <v>186342</v>
      </c>
      <c r="Y297" s="5">
        <f t="shared" si="33"/>
        <v>12901.599999999999</v>
      </c>
      <c r="Z297" s="5">
        <v>3</v>
      </c>
      <c r="AA297" s="5">
        <v>15.315479089526701</v>
      </c>
    </row>
    <row r="298" spans="1:27" s="5" customFormat="1" x14ac:dyDescent="0.25">
      <c r="A298" s="80"/>
      <c r="B298" s="10"/>
      <c r="C298" s="39">
        <v>41048</v>
      </c>
      <c r="D298" s="5">
        <v>9.6999999999999993</v>
      </c>
      <c r="E298" s="5">
        <v>7.6</v>
      </c>
      <c r="F298" s="5">
        <v>11.4</v>
      </c>
      <c r="G298" s="5">
        <f t="shared" si="36"/>
        <v>2411.1</v>
      </c>
      <c r="H298" s="5">
        <f t="shared" si="32"/>
        <v>77.899999999999991</v>
      </c>
      <c r="I298" s="40" t="s">
        <v>37</v>
      </c>
      <c r="J298" s="5">
        <v>7.5</v>
      </c>
      <c r="K298" s="5">
        <f t="shared" si="37"/>
        <v>429.39999999999981</v>
      </c>
      <c r="L298" s="5">
        <v>1</v>
      </c>
      <c r="M298" s="5">
        <f t="shared" si="38"/>
        <v>336.7999999999999</v>
      </c>
      <c r="N298" s="5">
        <v>6.5</v>
      </c>
      <c r="O298" s="5">
        <f t="shared" si="41"/>
        <v>155.69999999999996</v>
      </c>
      <c r="P298" s="5">
        <v>249</v>
      </c>
      <c r="Q298" s="24">
        <f t="shared" si="42"/>
        <v>1.0638461538461537</v>
      </c>
      <c r="R298" s="9">
        <f t="shared" si="34"/>
        <v>1.0638461538461537</v>
      </c>
      <c r="S298" s="9">
        <f t="shared" si="35"/>
        <v>6.4361538461538466</v>
      </c>
      <c r="T298" s="9">
        <f t="shared" si="39"/>
        <v>158.7092143078695</v>
      </c>
      <c r="U298" s="40" t="s">
        <v>38</v>
      </c>
      <c r="V298" s="5">
        <v>575.79999999999995</v>
      </c>
      <c r="X298" s="5">
        <f t="shared" si="40"/>
        <v>186917.8</v>
      </c>
      <c r="Y298" s="5">
        <f t="shared" si="33"/>
        <v>13477.399999999998</v>
      </c>
      <c r="AA298" s="5">
        <v>15.355773137132701</v>
      </c>
    </row>
    <row r="299" spans="1:27" s="5" customFormat="1" x14ac:dyDescent="0.25">
      <c r="A299" s="80"/>
      <c r="B299" s="10"/>
      <c r="C299" s="39">
        <v>41049</v>
      </c>
      <c r="D299" s="5">
        <v>10.5</v>
      </c>
      <c r="E299" s="5">
        <v>9.1</v>
      </c>
      <c r="F299" s="5">
        <v>11.4</v>
      </c>
      <c r="G299" s="5">
        <f t="shared" si="36"/>
        <v>2421.6</v>
      </c>
      <c r="H299" s="5">
        <f t="shared" si="32"/>
        <v>88.399999999999991</v>
      </c>
      <c r="I299" s="5">
        <v>0</v>
      </c>
      <c r="J299" s="5">
        <v>13.2</v>
      </c>
      <c r="K299" s="5">
        <f t="shared" si="37"/>
        <v>442.5999999999998</v>
      </c>
      <c r="L299" s="5">
        <v>0.7</v>
      </c>
      <c r="M299" s="5">
        <f t="shared" si="38"/>
        <v>337.49999999999989</v>
      </c>
      <c r="N299" s="5">
        <v>12.5</v>
      </c>
      <c r="O299" s="5">
        <f t="shared" si="41"/>
        <v>168.19999999999996</v>
      </c>
      <c r="P299" s="5">
        <v>250</v>
      </c>
      <c r="Q299" s="24">
        <f t="shared" si="42"/>
        <v>1.0515384615384615</v>
      </c>
      <c r="R299" s="9">
        <f t="shared" si="34"/>
        <v>0.73607692307692307</v>
      </c>
      <c r="S299" s="9">
        <f t="shared" si="35"/>
        <v>12.463923076923077</v>
      </c>
      <c r="T299" s="9">
        <f t="shared" si="39"/>
        <v>171.17313738479257</v>
      </c>
      <c r="U299" s="9">
        <f>MIN(T292:T312)</f>
        <v>131.47313738479258</v>
      </c>
      <c r="V299" s="5">
        <v>419.5</v>
      </c>
      <c r="X299" s="5">
        <f t="shared" si="40"/>
        <v>187337.3</v>
      </c>
      <c r="Y299" s="5">
        <f t="shared" si="33"/>
        <v>13896.899999999998</v>
      </c>
      <c r="AA299" s="5">
        <v>15.3952232191133</v>
      </c>
    </row>
    <row r="300" spans="1:27" s="5" customFormat="1" x14ac:dyDescent="0.25">
      <c r="A300" s="80"/>
      <c r="B300" s="10"/>
      <c r="C300" s="39">
        <v>41050</v>
      </c>
      <c r="D300" s="5">
        <v>11.4</v>
      </c>
      <c r="E300" s="5">
        <v>10.8</v>
      </c>
      <c r="F300" s="5">
        <v>12.7</v>
      </c>
      <c r="G300" s="5">
        <f t="shared" si="36"/>
        <v>2433</v>
      </c>
      <c r="H300" s="5">
        <f t="shared" si="32"/>
        <v>99.8</v>
      </c>
      <c r="I300" s="40" t="s">
        <v>39</v>
      </c>
      <c r="J300" s="5">
        <v>1.2</v>
      </c>
      <c r="K300" s="5">
        <f t="shared" si="37"/>
        <v>443.79999999999978</v>
      </c>
      <c r="L300" s="5">
        <v>1.4</v>
      </c>
      <c r="M300" s="5">
        <f t="shared" si="38"/>
        <v>338.89999999999986</v>
      </c>
      <c r="N300" s="5">
        <v>-0.19999999999999996</v>
      </c>
      <c r="O300" s="5">
        <f t="shared" si="41"/>
        <v>167.99999999999997</v>
      </c>
      <c r="P300" s="5">
        <v>251</v>
      </c>
      <c r="Q300" s="24">
        <f t="shared" si="42"/>
        <v>1.0392307692307692</v>
      </c>
      <c r="R300" s="9">
        <f t="shared" si="34"/>
        <v>1.4549230769230768</v>
      </c>
      <c r="S300" s="9">
        <f t="shared" si="35"/>
        <v>-0.25492307692307681</v>
      </c>
      <c r="T300" s="9">
        <f t="shared" si="39"/>
        <v>170.9182143078695</v>
      </c>
      <c r="U300" s="40" t="s">
        <v>40</v>
      </c>
      <c r="V300" s="5">
        <v>804.1</v>
      </c>
      <c r="X300" s="5">
        <f t="shared" si="40"/>
        <v>188141.4</v>
      </c>
      <c r="Y300" s="5">
        <f t="shared" si="33"/>
        <v>14700.999999999998</v>
      </c>
      <c r="AA300" s="5">
        <v>15.433803680661301</v>
      </c>
    </row>
    <row r="301" spans="1:27" s="5" customFormat="1" x14ac:dyDescent="0.25">
      <c r="A301" s="80"/>
      <c r="B301" s="10"/>
      <c r="C301" s="39">
        <v>41051</v>
      </c>
      <c r="D301" s="5">
        <v>14.1</v>
      </c>
      <c r="E301" s="5">
        <v>8.8000000000000007</v>
      </c>
      <c r="F301" s="5">
        <v>19.399999999999999</v>
      </c>
      <c r="G301" s="5">
        <f t="shared" si="36"/>
        <v>2447.1</v>
      </c>
      <c r="H301" s="5">
        <f t="shared" si="32"/>
        <v>113.89999999999999</v>
      </c>
      <c r="I301" s="5">
        <v>2</v>
      </c>
      <c r="J301" s="5">
        <v>0</v>
      </c>
      <c r="K301" s="5">
        <f t="shared" si="37"/>
        <v>443.79999999999978</v>
      </c>
      <c r="L301" s="5">
        <v>2.8</v>
      </c>
      <c r="M301" s="5">
        <f t="shared" si="38"/>
        <v>341.69999999999987</v>
      </c>
      <c r="N301" s="5">
        <v>-2.8</v>
      </c>
      <c r="O301" s="5">
        <f t="shared" si="41"/>
        <v>165.19999999999996</v>
      </c>
      <c r="P301" s="5">
        <v>252</v>
      </c>
      <c r="Q301" s="24">
        <f t="shared" si="42"/>
        <v>1.0269230769230768</v>
      </c>
      <c r="R301" s="9">
        <f t="shared" si="34"/>
        <v>2.8753846153846148</v>
      </c>
      <c r="S301" s="9">
        <f t="shared" si="35"/>
        <v>-2.8753846153846148</v>
      </c>
      <c r="T301" s="9">
        <f t="shared" si="39"/>
        <v>168.0428296924849</v>
      </c>
      <c r="U301" s="9">
        <f>MAX(T292:T312)</f>
        <v>171.17313738479257</v>
      </c>
      <c r="V301" s="5">
        <v>1802.4</v>
      </c>
      <c r="X301" s="5">
        <f t="shared" si="40"/>
        <v>189943.8</v>
      </c>
      <c r="Y301" s="5">
        <f t="shared" si="33"/>
        <v>16503.399999999998</v>
      </c>
      <c r="AA301" s="5">
        <v>15.471488762918799</v>
      </c>
    </row>
    <row r="302" spans="1:27" s="5" customFormat="1" x14ac:dyDescent="0.25">
      <c r="A302" s="80"/>
      <c r="B302" s="10"/>
      <c r="C302" s="39">
        <v>41052</v>
      </c>
      <c r="D302" s="5">
        <v>14.9</v>
      </c>
      <c r="E302" s="5">
        <v>9.1999999999999993</v>
      </c>
      <c r="F302" s="5">
        <v>20.399999999999999</v>
      </c>
      <c r="G302" s="5">
        <f t="shared" si="36"/>
        <v>2462</v>
      </c>
      <c r="H302" s="5">
        <f t="shared" ref="H302:H356" si="43">H301+D302</f>
        <v>128.79999999999998</v>
      </c>
      <c r="I302" s="40" t="s">
        <v>41</v>
      </c>
      <c r="J302" s="5">
        <v>0</v>
      </c>
      <c r="K302" s="5">
        <f t="shared" si="37"/>
        <v>443.79999999999978</v>
      </c>
      <c r="L302" s="5">
        <v>4.0999999999999996</v>
      </c>
      <c r="M302" s="5">
        <f t="shared" si="38"/>
        <v>345.7999999999999</v>
      </c>
      <c r="N302" s="5">
        <v>-4.0999999999999996</v>
      </c>
      <c r="O302" s="5">
        <f t="shared" si="41"/>
        <v>161.09999999999997</v>
      </c>
      <c r="P302" s="5">
        <v>253</v>
      </c>
      <c r="Q302" s="24">
        <f t="shared" si="42"/>
        <v>1.0146153846153845</v>
      </c>
      <c r="R302" s="9">
        <f t="shared" si="34"/>
        <v>4.1599230769230759</v>
      </c>
      <c r="S302" s="9">
        <f t="shared" si="35"/>
        <v>-4.1599230769230759</v>
      </c>
      <c r="T302" s="9">
        <f t="shared" si="39"/>
        <v>163.88290661556184</v>
      </c>
      <c r="U302" s="40" t="s">
        <v>42</v>
      </c>
      <c r="V302" s="5">
        <v>2836.9</v>
      </c>
      <c r="X302" s="5">
        <f t="shared" si="40"/>
        <v>192780.69999999998</v>
      </c>
      <c r="Y302" s="5">
        <f t="shared" ref="Y302:Y356" si="44">Y301+V302</f>
        <v>19340.3</v>
      </c>
      <c r="AA302" s="5">
        <v>15.508252651086901</v>
      </c>
    </row>
    <row r="303" spans="1:27" s="5" customFormat="1" x14ac:dyDescent="0.25">
      <c r="A303" s="80"/>
      <c r="B303" s="10"/>
      <c r="C303" s="39">
        <v>41053</v>
      </c>
      <c r="D303" s="5">
        <v>17.7</v>
      </c>
      <c r="E303" s="5">
        <v>10.199999999999999</v>
      </c>
      <c r="F303" s="5">
        <v>23.7</v>
      </c>
      <c r="G303" s="5">
        <f t="shared" si="36"/>
        <v>2479.6999999999998</v>
      </c>
      <c r="H303" s="5">
        <f t="shared" si="43"/>
        <v>146.49999999999997</v>
      </c>
      <c r="I303" s="5">
        <v>0</v>
      </c>
      <c r="J303" s="5">
        <v>0</v>
      </c>
      <c r="K303" s="5">
        <f t="shared" si="37"/>
        <v>443.79999999999978</v>
      </c>
      <c r="L303" s="5">
        <v>4.4000000000000004</v>
      </c>
      <c r="M303" s="5">
        <f t="shared" si="38"/>
        <v>350.19999999999987</v>
      </c>
      <c r="N303" s="5">
        <v>-4.4000000000000004</v>
      </c>
      <c r="O303" s="5">
        <f t="shared" si="41"/>
        <v>156.69999999999996</v>
      </c>
      <c r="P303" s="5">
        <v>254</v>
      </c>
      <c r="Q303" s="24">
        <f t="shared" si="42"/>
        <v>1.0023076923076921</v>
      </c>
      <c r="R303" s="9">
        <f t="shared" si="34"/>
        <v>4.4101538461538459</v>
      </c>
      <c r="S303" s="9">
        <f t="shared" si="35"/>
        <v>-4.4101538461538459</v>
      </c>
      <c r="T303" s="9">
        <f t="shared" si="39"/>
        <v>159.472752769408</v>
      </c>
      <c r="U303" s="24">
        <f>AVERAGE(T292:T312)</f>
        <v>154.61202749468271</v>
      </c>
      <c r="V303" s="5">
        <v>2733.6</v>
      </c>
      <c r="X303" s="5">
        <f t="shared" si="40"/>
        <v>195514.3</v>
      </c>
      <c r="Y303" s="5">
        <f t="shared" si="44"/>
        <v>22073.899999999998</v>
      </c>
      <c r="AA303" s="5">
        <v>15.544069525182699</v>
      </c>
    </row>
    <row r="304" spans="1:27" s="5" customFormat="1" x14ac:dyDescent="0.25">
      <c r="A304" s="80"/>
      <c r="B304" s="10"/>
      <c r="C304" s="39">
        <v>41054</v>
      </c>
      <c r="D304" s="5">
        <v>22.1</v>
      </c>
      <c r="E304" s="5">
        <v>15</v>
      </c>
      <c r="F304" s="5">
        <v>29.7</v>
      </c>
      <c r="G304" s="5">
        <f t="shared" si="36"/>
        <v>2501.7999999999997</v>
      </c>
      <c r="H304" s="5">
        <f t="shared" si="43"/>
        <v>168.59999999999997</v>
      </c>
      <c r="I304" s="40" t="s">
        <v>43</v>
      </c>
      <c r="J304" s="5">
        <v>0</v>
      </c>
      <c r="K304" s="5">
        <f t="shared" si="37"/>
        <v>443.79999999999978</v>
      </c>
      <c r="L304" s="5">
        <v>6.2</v>
      </c>
      <c r="M304" s="5">
        <f t="shared" si="38"/>
        <v>356.39999999999986</v>
      </c>
      <c r="N304" s="5">
        <v>-6.2</v>
      </c>
      <c r="O304" s="5">
        <f t="shared" si="41"/>
        <v>150.49999999999997</v>
      </c>
      <c r="P304" s="5">
        <v>255</v>
      </c>
      <c r="Q304" s="24">
        <f t="shared" si="42"/>
        <v>0.98999999999999988</v>
      </c>
      <c r="R304" s="9">
        <f t="shared" si="34"/>
        <v>6.137999999999999</v>
      </c>
      <c r="S304" s="9">
        <f t="shared" si="35"/>
        <v>-6.137999999999999</v>
      </c>
      <c r="T304" s="9">
        <f t="shared" si="39"/>
        <v>153.334752769408</v>
      </c>
      <c r="V304" s="5">
        <v>2615.9</v>
      </c>
      <c r="X304" s="5">
        <f t="shared" si="40"/>
        <v>198130.19999999998</v>
      </c>
      <c r="Y304" s="5">
        <f t="shared" si="44"/>
        <v>24689.8</v>
      </c>
      <c r="AA304" s="5">
        <v>15.578913613345801</v>
      </c>
    </row>
    <row r="305" spans="1:27" s="5" customFormat="1" x14ac:dyDescent="0.25">
      <c r="A305" s="80"/>
      <c r="B305" s="10"/>
      <c r="C305" s="39">
        <v>41055</v>
      </c>
      <c r="D305" s="5">
        <v>19.8</v>
      </c>
      <c r="E305" s="5">
        <v>17.600000000000001</v>
      </c>
      <c r="F305" s="5">
        <v>25.7</v>
      </c>
      <c r="G305" s="5">
        <f t="shared" si="36"/>
        <v>2521.6</v>
      </c>
      <c r="H305" s="5">
        <f t="shared" si="43"/>
        <v>188.39999999999998</v>
      </c>
      <c r="I305" s="5">
        <v>313.39999999999998</v>
      </c>
      <c r="J305" s="5">
        <v>10.8</v>
      </c>
      <c r="K305" s="5">
        <f t="shared" si="37"/>
        <v>454.5999999999998</v>
      </c>
      <c r="L305" s="5">
        <v>6.2</v>
      </c>
      <c r="M305" s="5">
        <f t="shared" si="38"/>
        <v>362.59999999999985</v>
      </c>
      <c r="N305" s="5">
        <v>4.6000000000000005</v>
      </c>
      <c r="O305" s="5">
        <f t="shared" si="41"/>
        <v>155.09999999999997</v>
      </c>
      <c r="P305" s="5">
        <v>256</v>
      </c>
      <c r="Q305" s="24">
        <f t="shared" si="42"/>
        <v>0.97769230769230764</v>
      </c>
      <c r="R305" s="9">
        <f t="shared" si="34"/>
        <v>6.0616923076923079</v>
      </c>
      <c r="S305" s="9">
        <f t="shared" si="35"/>
        <v>4.7383076923076928</v>
      </c>
      <c r="T305" s="9">
        <f t="shared" si="39"/>
        <v>158.0730604617157</v>
      </c>
      <c r="U305" s="9">
        <f>(U303*100)/197.4</f>
        <v>78.324228720710579</v>
      </c>
      <c r="V305" s="5">
        <v>2658</v>
      </c>
      <c r="X305" s="5">
        <f t="shared" si="40"/>
        <v>200788.19999999998</v>
      </c>
      <c r="Y305" s="5">
        <f t="shared" si="44"/>
        <v>27347.8</v>
      </c>
      <c r="AA305" s="5">
        <v>15.612759247572299</v>
      </c>
    </row>
    <row r="306" spans="1:27" s="5" customFormat="1" x14ac:dyDescent="0.25">
      <c r="A306" s="80"/>
      <c r="B306" s="10"/>
      <c r="C306" s="39">
        <v>41056</v>
      </c>
      <c r="D306" s="5">
        <v>17.399999999999999</v>
      </c>
      <c r="E306" s="5">
        <v>12.1</v>
      </c>
      <c r="F306" s="5">
        <v>23.1</v>
      </c>
      <c r="G306" s="5">
        <f t="shared" si="36"/>
        <v>2539</v>
      </c>
      <c r="H306" s="5">
        <f t="shared" si="43"/>
        <v>205.79999999999998</v>
      </c>
      <c r="J306" s="5">
        <v>0</v>
      </c>
      <c r="K306" s="5">
        <f t="shared" si="37"/>
        <v>454.5999999999998</v>
      </c>
      <c r="L306" s="5">
        <v>4.5999999999999996</v>
      </c>
      <c r="M306" s="5">
        <f t="shared" si="38"/>
        <v>367.19999999999987</v>
      </c>
      <c r="N306" s="5">
        <v>-4.5999999999999996</v>
      </c>
      <c r="O306" s="5">
        <f t="shared" si="41"/>
        <v>150.49999999999997</v>
      </c>
      <c r="P306" s="5">
        <v>257</v>
      </c>
      <c r="Q306" s="24">
        <f t="shared" si="42"/>
        <v>0.96538461538461529</v>
      </c>
      <c r="R306" s="9">
        <f t="shared" ref="R306:R356" si="45">Q306*L306</f>
        <v>4.4407692307692299</v>
      </c>
      <c r="S306" s="9">
        <f t="shared" ref="S306:S356" si="46">J306-R306</f>
        <v>-4.4407692307692299</v>
      </c>
      <c r="T306" s="9">
        <f t="shared" si="39"/>
        <v>153.63229123094646</v>
      </c>
      <c r="V306" s="5">
        <v>2546.1</v>
      </c>
      <c r="W306" s="25"/>
      <c r="X306" s="25">
        <f t="shared" si="40"/>
        <v>203334.3</v>
      </c>
      <c r="Y306" s="5">
        <f t="shared" si="44"/>
        <v>29893.899999999998</v>
      </c>
      <c r="AA306" s="5">
        <v>15.6455809217266</v>
      </c>
    </row>
    <row r="307" spans="1:27" s="5" customFormat="1" ht="15" customHeight="1" x14ac:dyDescent="0.25">
      <c r="A307" s="80"/>
      <c r="B307" s="10"/>
      <c r="C307" s="39">
        <v>41057</v>
      </c>
      <c r="D307" s="5">
        <v>17.8</v>
      </c>
      <c r="E307" s="5">
        <v>12.1</v>
      </c>
      <c r="F307" s="5">
        <v>22</v>
      </c>
      <c r="G307" s="5">
        <f t="shared" si="36"/>
        <v>2556.8000000000002</v>
      </c>
      <c r="H307" s="5">
        <f t="shared" si="43"/>
        <v>223.6</v>
      </c>
      <c r="J307" s="5">
        <v>0</v>
      </c>
      <c r="K307" s="5">
        <f t="shared" si="37"/>
        <v>454.5999999999998</v>
      </c>
      <c r="L307" s="5">
        <v>4.2</v>
      </c>
      <c r="M307" s="5">
        <f t="shared" si="38"/>
        <v>371.39999999999986</v>
      </c>
      <c r="N307" s="5">
        <v>-4.2</v>
      </c>
      <c r="O307" s="5">
        <f t="shared" si="41"/>
        <v>146.29999999999998</v>
      </c>
      <c r="P307" s="5">
        <v>258</v>
      </c>
      <c r="Q307" s="24">
        <f t="shared" si="42"/>
        <v>0.95307692307692293</v>
      </c>
      <c r="R307" s="9">
        <f t="shared" si="45"/>
        <v>4.0029230769230768</v>
      </c>
      <c r="S307" s="9">
        <f t="shared" si="46"/>
        <v>-4.0029230769230768</v>
      </c>
      <c r="T307" s="9">
        <f t="shared" si="39"/>
        <v>149.62936815402338</v>
      </c>
      <c r="V307" s="5">
        <v>2488.8000000000002</v>
      </c>
      <c r="X307" s="5">
        <f t="shared" si="40"/>
        <v>205823.09999999998</v>
      </c>
      <c r="Y307" s="5">
        <f t="shared" si="44"/>
        <v>32382.699999999997</v>
      </c>
      <c r="AA307" s="5">
        <v>15.677353351658899</v>
      </c>
    </row>
    <row r="308" spans="1:27" s="5" customFormat="1" x14ac:dyDescent="0.25">
      <c r="A308" s="80"/>
      <c r="B308" s="10"/>
      <c r="C308" s="39">
        <v>41058</v>
      </c>
      <c r="D308" s="5">
        <v>18.600000000000001</v>
      </c>
      <c r="E308" s="5">
        <v>13.9</v>
      </c>
      <c r="F308" s="5">
        <v>24.9</v>
      </c>
      <c r="G308" s="5">
        <f t="shared" ref="G308:G356" si="47">G307+D308</f>
        <v>2575.4</v>
      </c>
      <c r="H308" s="5">
        <f t="shared" si="43"/>
        <v>242.2</v>
      </c>
      <c r="J308" s="5">
        <v>0</v>
      </c>
      <c r="K308" s="5">
        <f t="shared" ref="K308:K356" si="48">K307+J308</f>
        <v>454.5999999999998</v>
      </c>
      <c r="L308" s="5">
        <v>5.6</v>
      </c>
      <c r="M308" s="5">
        <f t="shared" ref="M308:M356" si="49">M307+L308</f>
        <v>376.99999999999989</v>
      </c>
      <c r="N308" s="5">
        <v>-5.6</v>
      </c>
      <c r="O308" s="5">
        <f t="shared" si="41"/>
        <v>140.69999999999999</v>
      </c>
      <c r="P308" s="5">
        <v>259</v>
      </c>
      <c r="Q308" s="24">
        <f t="shared" si="42"/>
        <v>0.94076923076923069</v>
      </c>
      <c r="R308" s="9">
        <f t="shared" si="45"/>
        <v>5.2683076923076912</v>
      </c>
      <c r="S308" s="9">
        <f t="shared" si="46"/>
        <v>-5.2683076923076912</v>
      </c>
      <c r="T308" s="9">
        <f t="shared" ref="T308:T356" si="50">MIN(197.4,(T307+S308))</f>
        <v>144.36106046171568</v>
      </c>
      <c r="V308" s="5">
        <v>2920.4</v>
      </c>
      <c r="X308" s="5">
        <f t="shared" ref="X308:X356" si="51">X307+V308</f>
        <v>208743.49999999997</v>
      </c>
      <c r="Y308" s="5">
        <f t="shared" si="44"/>
        <v>35303.1</v>
      </c>
      <c r="AA308" s="5">
        <v>15.7080515372264</v>
      </c>
    </row>
    <row r="309" spans="1:27" s="5" customFormat="1" x14ac:dyDescent="0.25">
      <c r="A309" s="80"/>
      <c r="B309" s="10"/>
      <c r="C309" s="39">
        <v>41059</v>
      </c>
      <c r="D309" s="5">
        <v>16.600000000000001</v>
      </c>
      <c r="E309" s="5">
        <v>12.9</v>
      </c>
      <c r="F309" s="5">
        <v>21.6</v>
      </c>
      <c r="G309" s="5">
        <f t="shared" si="47"/>
        <v>2592</v>
      </c>
      <c r="H309" s="5">
        <f t="shared" si="43"/>
        <v>258.8</v>
      </c>
      <c r="J309" s="5">
        <v>0</v>
      </c>
      <c r="K309" s="5">
        <f t="shared" si="48"/>
        <v>454.5999999999998</v>
      </c>
      <c r="L309" s="5">
        <v>4.0999999999999996</v>
      </c>
      <c r="M309" s="5">
        <f t="shared" si="49"/>
        <v>381.09999999999991</v>
      </c>
      <c r="N309" s="5">
        <v>-4.0999999999999996</v>
      </c>
      <c r="O309" s="5">
        <f t="shared" si="41"/>
        <v>136.6</v>
      </c>
      <c r="P309" s="5">
        <v>260</v>
      </c>
      <c r="Q309" s="24">
        <f t="shared" si="42"/>
        <v>0.92846153846153834</v>
      </c>
      <c r="R309" s="9">
        <f t="shared" si="45"/>
        <v>3.8066923076923067</v>
      </c>
      <c r="S309" s="9">
        <f t="shared" si="46"/>
        <v>-3.8066923076923067</v>
      </c>
      <c r="T309" s="9">
        <f t="shared" si="50"/>
        <v>140.55436815402336</v>
      </c>
      <c r="V309" s="5">
        <v>2428.6999999999998</v>
      </c>
      <c r="X309" s="5">
        <f t="shared" si="51"/>
        <v>211172.19999999998</v>
      </c>
      <c r="Y309" s="5">
        <f t="shared" si="44"/>
        <v>37731.799999999996</v>
      </c>
      <c r="AA309" s="5">
        <v>15.7376508259911</v>
      </c>
    </row>
    <row r="310" spans="1:27" s="5" customFormat="1" x14ac:dyDescent="0.25">
      <c r="A310" s="80"/>
      <c r="B310" s="10"/>
      <c r="C310" s="39">
        <v>41060</v>
      </c>
      <c r="D310" s="5">
        <v>16.399999999999999</v>
      </c>
      <c r="E310" s="5">
        <v>11.4</v>
      </c>
      <c r="F310" s="5">
        <v>21.7</v>
      </c>
      <c r="G310" s="5">
        <f t="shared" si="47"/>
        <v>2608.4</v>
      </c>
      <c r="H310" s="5">
        <f t="shared" si="43"/>
        <v>275.2</v>
      </c>
      <c r="J310" s="5">
        <v>0</v>
      </c>
      <c r="K310" s="5">
        <f t="shared" si="48"/>
        <v>454.5999999999998</v>
      </c>
      <c r="L310" s="5">
        <v>4.0999999999999996</v>
      </c>
      <c r="M310" s="5">
        <f t="shared" si="49"/>
        <v>385.19999999999993</v>
      </c>
      <c r="N310" s="5">
        <v>-4.0999999999999996</v>
      </c>
      <c r="O310" s="5">
        <f t="shared" si="41"/>
        <v>132.5</v>
      </c>
      <c r="P310" s="5">
        <v>261</v>
      </c>
      <c r="Q310" s="24">
        <f t="shared" si="42"/>
        <v>0.9161538461538461</v>
      </c>
      <c r="R310" s="9">
        <f t="shared" si="45"/>
        <v>3.7562307692307688</v>
      </c>
      <c r="S310" s="9">
        <f t="shared" si="46"/>
        <v>-3.7562307692307688</v>
      </c>
      <c r="T310" s="9">
        <f t="shared" si="50"/>
        <v>136.7981373847926</v>
      </c>
      <c r="V310" s="5">
        <v>2586.1999999999998</v>
      </c>
      <c r="X310" s="5">
        <f t="shared" si="51"/>
        <v>213758.4</v>
      </c>
      <c r="Y310" s="5">
        <f t="shared" si="44"/>
        <v>40317.999999999993</v>
      </c>
      <c r="AA310" s="5">
        <v>15.7661269783405</v>
      </c>
    </row>
    <row r="311" spans="1:27" s="5" customFormat="1" x14ac:dyDescent="0.25">
      <c r="A311" s="80"/>
      <c r="B311" s="10"/>
      <c r="C311" s="39">
        <v>41061</v>
      </c>
      <c r="D311" s="5">
        <v>18.100000000000001</v>
      </c>
      <c r="E311" s="5">
        <v>12.3</v>
      </c>
      <c r="F311" s="5">
        <v>23.7</v>
      </c>
      <c r="G311" s="5">
        <f t="shared" si="47"/>
        <v>2626.5</v>
      </c>
      <c r="H311" s="5">
        <f t="shared" si="43"/>
        <v>293.3</v>
      </c>
      <c r="J311" s="5">
        <v>0</v>
      </c>
      <c r="K311" s="5">
        <f t="shared" si="48"/>
        <v>454.5999999999998</v>
      </c>
      <c r="L311" s="5">
        <v>4.2</v>
      </c>
      <c r="M311" s="5">
        <f t="shared" si="49"/>
        <v>389.39999999999992</v>
      </c>
      <c r="N311" s="5">
        <v>-4.2</v>
      </c>
      <c r="O311" s="5">
        <f t="shared" si="41"/>
        <v>128.30000000000001</v>
      </c>
      <c r="P311" s="5">
        <v>262</v>
      </c>
      <c r="Q311" s="24">
        <f t="shared" si="42"/>
        <v>0.90384615384615374</v>
      </c>
      <c r="R311" s="9">
        <f t="shared" si="45"/>
        <v>3.796153846153846</v>
      </c>
      <c r="S311" s="9">
        <f t="shared" si="46"/>
        <v>-3.796153846153846</v>
      </c>
      <c r="T311" s="9">
        <f t="shared" si="50"/>
        <v>133.00198353863874</v>
      </c>
      <c r="V311" s="5">
        <v>2458.8000000000002</v>
      </c>
      <c r="X311" s="5">
        <f t="shared" si="51"/>
        <v>216217.19999999998</v>
      </c>
      <c r="Y311" s="5">
        <f t="shared" si="44"/>
        <v>42776.799999999996</v>
      </c>
      <c r="AA311" s="5">
        <v>15.793456233751099</v>
      </c>
    </row>
    <row r="312" spans="1:27" s="16" customFormat="1" x14ac:dyDescent="0.25">
      <c r="A312" s="80"/>
      <c r="B312" s="20">
        <v>600</v>
      </c>
      <c r="C312" s="41">
        <v>41062</v>
      </c>
      <c r="D312" s="16">
        <v>20.100000000000001</v>
      </c>
      <c r="E312" s="16">
        <v>16.5</v>
      </c>
      <c r="F312" s="16">
        <v>23.9</v>
      </c>
      <c r="G312" s="16">
        <f t="shared" si="47"/>
        <v>2646.6</v>
      </c>
      <c r="H312" s="16">
        <f t="shared" si="43"/>
        <v>313.40000000000003</v>
      </c>
      <c r="J312" s="16">
        <v>0.7</v>
      </c>
      <c r="K312" s="16">
        <f t="shared" si="48"/>
        <v>455.29999999999978</v>
      </c>
      <c r="L312" s="16">
        <v>2.5</v>
      </c>
      <c r="M312" s="16">
        <f t="shared" si="49"/>
        <v>391.89999999999992</v>
      </c>
      <c r="N312" s="16">
        <v>-1.8</v>
      </c>
      <c r="O312" s="16">
        <f t="shared" si="41"/>
        <v>126.50000000000001</v>
      </c>
      <c r="P312" s="16">
        <v>263</v>
      </c>
      <c r="Q312" s="24">
        <f t="shared" si="42"/>
        <v>0.89153846153846139</v>
      </c>
      <c r="R312" s="17">
        <f t="shared" si="45"/>
        <v>2.2288461538461535</v>
      </c>
      <c r="S312" s="17">
        <f t="shared" si="46"/>
        <v>-1.5288461538461535</v>
      </c>
      <c r="T312" s="9">
        <f t="shared" si="50"/>
        <v>131.47313738479258</v>
      </c>
      <c r="V312" s="16">
        <v>1300.3</v>
      </c>
      <c r="X312" s="16">
        <f t="shared" si="51"/>
        <v>217517.49999999997</v>
      </c>
      <c r="Y312" s="5">
        <f t="shared" si="44"/>
        <v>44077.1</v>
      </c>
      <c r="AA312" s="5">
        <v>15.819615377891401</v>
      </c>
    </row>
    <row r="313" spans="1:27" s="5" customFormat="1" x14ac:dyDescent="0.25">
      <c r="A313" s="73">
        <v>1000</v>
      </c>
      <c r="B313" s="10"/>
      <c r="C313" s="42">
        <v>41063</v>
      </c>
      <c r="D313" s="5">
        <v>16.100000000000001</v>
      </c>
      <c r="E313" s="5">
        <v>12.7</v>
      </c>
      <c r="F313" s="5">
        <v>19</v>
      </c>
      <c r="G313" s="5">
        <f t="shared" si="47"/>
        <v>2662.7</v>
      </c>
      <c r="H313" s="5">
        <v>16.100000000000001</v>
      </c>
      <c r="I313" s="43" t="s">
        <v>28</v>
      </c>
      <c r="J313" s="5">
        <v>0</v>
      </c>
      <c r="K313" s="5">
        <f t="shared" si="48"/>
        <v>455.29999999999978</v>
      </c>
      <c r="L313" s="5">
        <v>3.4</v>
      </c>
      <c r="M313" s="5">
        <f t="shared" si="49"/>
        <v>395.2999999999999</v>
      </c>
      <c r="N313" s="5">
        <v>-3.4</v>
      </c>
      <c r="O313" s="5">
        <f t="shared" si="41"/>
        <v>123.10000000000001</v>
      </c>
      <c r="P313" s="5">
        <v>264</v>
      </c>
      <c r="Q313" s="24">
        <f t="shared" si="42"/>
        <v>0.87923076923076915</v>
      </c>
      <c r="R313" s="9">
        <f t="shared" si="45"/>
        <v>2.9893846153846151</v>
      </c>
      <c r="S313" s="9">
        <f t="shared" si="46"/>
        <v>-2.9893846153846151</v>
      </c>
      <c r="T313" s="9">
        <f t="shared" si="50"/>
        <v>128.48375276940797</v>
      </c>
      <c r="U313" s="43" t="s">
        <v>29</v>
      </c>
      <c r="V313" s="5">
        <v>2012.8</v>
      </c>
      <c r="X313" s="5">
        <f t="shared" si="51"/>
        <v>219530.29999999996</v>
      </c>
      <c r="Y313" s="5">
        <v>2012.8</v>
      </c>
      <c r="Z313" s="43" t="s">
        <v>30</v>
      </c>
      <c r="AA313" s="5">
        <v>15.8445818102358</v>
      </c>
    </row>
    <row r="314" spans="1:27" s="5" customFormat="1" x14ac:dyDescent="0.25">
      <c r="A314" s="73"/>
      <c r="B314" s="10"/>
      <c r="C314" s="42">
        <v>41064</v>
      </c>
      <c r="D314" s="5">
        <v>14.4</v>
      </c>
      <c r="E314" s="5">
        <v>11.8</v>
      </c>
      <c r="F314" s="5">
        <v>16.8</v>
      </c>
      <c r="G314" s="5">
        <f t="shared" si="47"/>
        <v>2677.1</v>
      </c>
      <c r="H314" s="5">
        <f t="shared" si="43"/>
        <v>30.5</v>
      </c>
      <c r="I314" s="5">
        <f>MIN(E313:E338)</f>
        <v>9.4</v>
      </c>
      <c r="J314" s="5">
        <v>0.7</v>
      </c>
      <c r="K314" s="5">
        <f t="shared" si="48"/>
        <v>455.99999999999977</v>
      </c>
      <c r="L314" s="5">
        <v>1.4</v>
      </c>
      <c r="M314" s="5">
        <f t="shared" si="49"/>
        <v>396.69999999999987</v>
      </c>
      <c r="N314" s="5">
        <v>-0.7</v>
      </c>
      <c r="O314" s="5">
        <f t="shared" si="41"/>
        <v>122.4</v>
      </c>
      <c r="P314" s="5">
        <v>265</v>
      </c>
      <c r="Q314" s="24">
        <f t="shared" si="42"/>
        <v>0.86692307692307691</v>
      </c>
      <c r="R314" s="9">
        <f t="shared" si="45"/>
        <v>1.2136923076923076</v>
      </c>
      <c r="S314" s="9">
        <f t="shared" si="46"/>
        <v>-0.51369230769230767</v>
      </c>
      <c r="T314" s="9">
        <f t="shared" si="50"/>
        <v>127.97006046171566</v>
      </c>
      <c r="U314" s="5">
        <v>14</v>
      </c>
      <c r="V314" s="5">
        <v>729</v>
      </c>
      <c r="X314" s="5">
        <f t="shared" si="51"/>
        <v>220259.29999999996</v>
      </c>
      <c r="Y314" s="5">
        <f t="shared" si="44"/>
        <v>2741.8</v>
      </c>
      <c r="Z314" s="5">
        <v>37246.300000000003</v>
      </c>
      <c r="AA314" s="5">
        <v>15.868333611840001</v>
      </c>
    </row>
    <row r="315" spans="1:27" s="5" customFormat="1" x14ac:dyDescent="0.25">
      <c r="A315" s="73"/>
      <c r="B315" s="10"/>
      <c r="C315" s="42">
        <v>41065</v>
      </c>
      <c r="D315" s="5">
        <v>13.7</v>
      </c>
      <c r="E315" s="5">
        <v>11.8</v>
      </c>
      <c r="F315" s="5">
        <v>15.5</v>
      </c>
      <c r="G315" s="5">
        <f t="shared" si="47"/>
        <v>2690.7999999999997</v>
      </c>
      <c r="H315" s="5">
        <f t="shared" si="43"/>
        <v>44.2</v>
      </c>
      <c r="I315" s="43" t="s">
        <v>31</v>
      </c>
      <c r="J315" s="5">
        <v>4.5999999999999996</v>
      </c>
      <c r="K315" s="5">
        <f t="shared" si="48"/>
        <v>460.5999999999998</v>
      </c>
      <c r="L315" s="5">
        <v>1.4</v>
      </c>
      <c r="M315" s="5">
        <f t="shared" si="49"/>
        <v>398.09999999999985</v>
      </c>
      <c r="N315" s="5">
        <v>3.1999999999999997</v>
      </c>
      <c r="O315" s="5">
        <f t="shared" si="41"/>
        <v>125.60000000000001</v>
      </c>
      <c r="P315" s="5">
        <v>266</v>
      </c>
      <c r="Q315" s="24">
        <f t="shared" si="42"/>
        <v>0.85461538461538455</v>
      </c>
      <c r="R315" s="9">
        <f t="shared" si="45"/>
        <v>1.1964615384615382</v>
      </c>
      <c r="S315" s="9">
        <f t="shared" si="46"/>
        <v>3.4035384615384614</v>
      </c>
      <c r="T315" s="9">
        <f t="shared" si="50"/>
        <v>131.37359892325412</v>
      </c>
      <c r="U315" s="43" t="s">
        <v>32</v>
      </c>
      <c r="V315" s="5">
        <v>639.5</v>
      </c>
      <c r="X315" s="5">
        <f t="shared" si="51"/>
        <v>220898.79999999996</v>
      </c>
      <c r="Y315" s="5">
        <f t="shared" si="44"/>
        <v>3381.3</v>
      </c>
      <c r="Z315" s="43" t="s">
        <v>33</v>
      </c>
      <c r="AA315" s="5">
        <v>15.8908496129102</v>
      </c>
    </row>
    <row r="316" spans="1:27" s="5" customFormat="1" x14ac:dyDescent="0.25">
      <c r="A316" s="73"/>
      <c r="B316" s="10"/>
      <c r="C316" s="42">
        <v>41066</v>
      </c>
      <c r="D316" s="5">
        <v>15.6</v>
      </c>
      <c r="E316" s="5">
        <v>13.4</v>
      </c>
      <c r="F316" s="5">
        <v>18.3</v>
      </c>
      <c r="G316" s="5">
        <f t="shared" si="47"/>
        <v>2706.3999999999996</v>
      </c>
      <c r="H316" s="5">
        <f t="shared" si="43"/>
        <v>59.800000000000004</v>
      </c>
      <c r="I316" s="5">
        <f>MAX(F313:F338)</f>
        <v>28.2</v>
      </c>
      <c r="J316" s="5">
        <v>2</v>
      </c>
      <c r="K316" s="5">
        <f t="shared" si="48"/>
        <v>462.5999999999998</v>
      </c>
      <c r="L316" s="5">
        <v>1.5</v>
      </c>
      <c r="M316" s="5">
        <f t="shared" si="49"/>
        <v>399.59999999999985</v>
      </c>
      <c r="N316" s="5">
        <v>0.5</v>
      </c>
      <c r="O316" s="5">
        <f t="shared" si="41"/>
        <v>126.10000000000001</v>
      </c>
      <c r="P316" s="5">
        <v>267</v>
      </c>
      <c r="Q316" s="24">
        <f t="shared" si="42"/>
        <v>0.8423076923076922</v>
      </c>
      <c r="R316" s="9">
        <f t="shared" si="45"/>
        <v>1.2634615384615384</v>
      </c>
      <c r="S316" s="9">
        <f t="shared" si="46"/>
        <v>0.73653846153846159</v>
      </c>
      <c r="T316" s="9">
        <f t="shared" si="50"/>
        <v>132.11013738479258</v>
      </c>
      <c r="U316" s="5">
        <v>0</v>
      </c>
      <c r="V316" s="5">
        <v>956.8</v>
      </c>
      <c r="X316" s="5">
        <f t="shared" si="51"/>
        <v>221855.59999999995</v>
      </c>
      <c r="Y316" s="5">
        <f t="shared" si="44"/>
        <v>4338.1000000000004</v>
      </c>
      <c r="Z316" s="5">
        <f>(Z314/100)/I326</f>
        <v>0.90053916827852998</v>
      </c>
      <c r="AA316" s="5">
        <v>15.9121094597803</v>
      </c>
    </row>
    <row r="317" spans="1:27" s="5" customFormat="1" x14ac:dyDescent="0.25">
      <c r="A317" s="73"/>
      <c r="B317" s="10"/>
      <c r="C317" s="42">
        <v>41067</v>
      </c>
      <c r="D317" s="5">
        <v>15.9</v>
      </c>
      <c r="E317" s="5">
        <v>14.6</v>
      </c>
      <c r="F317" s="5">
        <v>18</v>
      </c>
      <c r="G317" s="5">
        <f t="shared" si="47"/>
        <v>2722.2999999999997</v>
      </c>
      <c r="H317" s="5">
        <f t="shared" si="43"/>
        <v>75.7</v>
      </c>
      <c r="I317" s="43" t="s">
        <v>34</v>
      </c>
      <c r="J317" s="5">
        <v>21.6</v>
      </c>
      <c r="K317" s="5">
        <f t="shared" si="48"/>
        <v>484.19999999999982</v>
      </c>
      <c r="L317" s="5">
        <v>2</v>
      </c>
      <c r="M317" s="5">
        <f t="shared" si="49"/>
        <v>401.59999999999985</v>
      </c>
      <c r="N317" s="5">
        <v>19.600000000000001</v>
      </c>
      <c r="O317" s="5">
        <f t="shared" si="41"/>
        <v>145.70000000000002</v>
      </c>
      <c r="P317" s="5">
        <v>268</v>
      </c>
      <c r="Q317" s="24">
        <f t="shared" si="42"/>
        <v>0.82999999999999985</v>
      </c>
      <c r="R317" s="9">
        <f t="shared" si="45"/>
        <v>1.6599999999999997</v>
      </c>
      <c r="S317" s="9">
        <f t="shared" si="46"/>
        <v>19.940000000000001</v>
      </c>
      <c r="T317" s="9">
        <f t="shared" si="50"/>
        <v>152.05013738479258</v>
      </c>
      <c r="U317" s="43" t="s">
        <v>35</v>
      </c>
      <c r="V317" s="5">
        <v>877.5</v>
      </c>
      <c r="X317" s="5">
        <f t="shared" si="51"/>
        <v>222733.09999999995</v>
      </c>
      <c r="Y317" s="5">
        <f t="shared" si="44"/>
        <v>5215.6000000000004</v>
      </c>
      <c r="Z317" s="43" t="s">
        <v>36</v>
      </c>
      <c r="AA317" s="5">
        <v>15.932093680898401</v>
      </c>
    </row>
    <row r="318" spans="1:27" s="5" customFormat="1" x14ac:dyDescent="0.25">
      <c r="A318" s="73"/>
      <c r="B318" s="10"/>
      <c r="C318" s="42">
        <v>41068</v>
      </c>
      <c r="D318" s="5">
        <v>14.9</v>
      </c>
      <c r="E318" s="5">
        <v>13.3</v>
      </c>
      <c r="F318" s="5">
        <v>18.2</v>
      </c>
      <c r="G318" s="5">
        <f t="shared" si="47"/>
        <v>2737.2</v>
      </c>
      <c r="H318" s="5">
        <f t="shared" si="43"/>
        <v>90.600000000000009</v>
      </c>
      <c r="I318" s="5">
        <f>AVERAGE(D313:D338)</f>
        <v>15.907692307692306</v>
      </c>
      <c r="J318" s="5">
        <v>0</v>
      </c>
      <c r="K318" s="5">
        <f t="shared" si="48"/>
        <v>484.19999999999982</v>
      </c>
      <c r="L318" s="5">
        <v>4.4000000000000004</v>
      </c>
      <c r="M318" s="5">
        <f t="shared" si="49"/>
        <v>405.99999999999983</v>
      </c>
      <c r="N318" s="5">
        <v>-4.4000000000000004</v>
      </c>
      <c r="O318" s="5">
        <f t="shared" si="41"/>
        <v>141.30000000000001</v>
      </c>
      <c r="P318" s="5">
        <v>269</v>
      </c>
      <c r="Q318" s="24">
        <f t="shared" si="42"/>
        <v>0.81769230769230761</v>
      </c>
      <c r="R318" s="9">
        <f t="shared" si="45"/>
        <v>3.5978461538461537</v>
      </c>
      <c r="S318" s="9">
        <f t="shared" si="46"/>
        <v>-3.5978461538461537</v>
      </c>
      <c r="T318" s="9">
        <f t="shared" si="50"/>
        <v>148.45229123094643</v>
      </c>
      <c r="U318" s="5">
        <v>0</v>
      </c>
      <c r="V318" s="5">
        <v>2300.8000000000002</v>
      </c>
      <c r="X318" s="5">
        <f t="shared" si="51"/>
        <v>225033.89999999994</v>
      </c>
      <c r="Y318" s="5">
        <f t="shared" si="44"/>
        <v>7516.4000000000005</v>
      </c>
      <c r="Z318" s="5">
        <v>9</v>
      </c>
      <c r="AA318" s="5">
        <v>15.950783751414001</v>
      </c>
    </row>
    <row r="319" spans="1:27" s="5" customFormat="1" x14ac:dyDescent="0.25">
      <c r="A319" s="73"/>
      <c r="B319" s="10"/>
      <c r="C319" s="42">
        <v>41069</v>
      </c>
      <c r="D319" s="5">
        <v>12.8</v>
      </c>
      <c r="E319" s="5">
        <v>9.4</v>
      </c>
      <c r="F319" s="5">
        <v>14.9</v>
      </c>
      <c r="G319" s="5">
        <f t="shared" si="47"/>
        <v>2750</v>
      </c>
      <c r="H319" s="5">
        <f t="shared" si="43"/>
        <v>103.4</v>
      </c>
      <c r="I319" s="43" t="s">
        <v>37</v>
      </c>
      <c r="J319" s="5">
        <v>4.4000000000000004</v>
      </c>
      <c r="K319" s="5">
        <f t="shared" si="48"/>
        <v>488.5999999999998</v>
      </c>
      <c r="L319" s="5">
        <v>1.1000000000000001</v>
      </c>
      <c r="M319" s="5">
        <f t="shared" si="49"/>
        <v>407.09999999999985</v>
      </c>
      <c r="N319" s="5">
        <v>3.3000000000000003</v>
      </c>
      <c r="O319" s="5">
        <f t="shared" si="41"/>
        <v>144.60000000000002</v>
      </c>
      <c r="P319" s="5">
        <v>270</v>
      </c>
      <c r="Q319" s="24">
        <f t="shared" si="42"/>
        <v>0.80538461538461537</v>
      </c>
      <c r="R319" s="9">
        <f t="shared" si="45"/>
        <v>0.88592307692307692</v>
      </c>
      <c r="S319" s="9">
        <f t="shared" si="46"/>
        <v>3.5140769230769235</v>
      </c>
      <c r="T319" s="9">
        <f t="shared" si="50"/>
        <v>151.96636815402334</v>
      </c>
      <c r="U319" s="43" t="s">
        <v>38</v>
      </c>
      <c r="V319" s="5">
        <v>732.4</v>
      </c>
      <c r="X319" s="5">
        <f t="shared" si="51"/>
        <v>225766.29999999993</v>
      </c>
      <c r="Y319" s="5">
        <f t="shared" si="44"/>
        <v>8248.8000000000011</v>
      </c>
      <c r="AA319" s="5">
        <v>15.968162155951299</v>
      </c>
    </row>
    <row r="320" spans="1:27" s="5" customFormat="1" x14ac:dyDescent="0.25">
      <c r="A320" s="73"/>
      <c r="B320" s="10"/>
      <c r="C320" s="42">
        <v>41070</v>
      </c>
      <c r="D320" s="5">
        <v>15.1</v>
      </c>
      <c r="E320" s="5">
        <v>12.5</v>
      </c>
      <c r="F320" s="5">
        <v>18.5</v>
      </c>
      <c r="G320" s="5">
        <f t="shared" si="47"/>
        <v>2765.1</v>
      </c>
      <c r="H320" s="5">
        <f t="shared" si="43"/>
        <v>118.5</v>
      </c>
      <c r="I320" s="5">
        <v>0</v>
      </c>
      <c r="J320" s="5">
        <v>1.4</v>
      </c>
      <c r="K320" s="5">
        <f t="shared" si="48"/>
        <v>489.99999999999977</v>
      </c>
      <c r="L320" s="5">
        <v>1.8</v>
      </c>
      <c r="M320" s="5">
        <f t="shared" si="49"/>
        <v>408.89999999999986</v>
      </c>
      <c r="N320" s="5">
        <v>-0.40000000000000013</v>
      </c>
      <c r="O320" s="5">
        <f t="shared" si="41"/>
        <v>144.20000000000002</v>
      </c>
      <c r="P320" s="5">
        <v>271</v>
      </c>
      <c r="Q320" s="24">
        <f t="shared" si="42"/>
        <v>0.79307692307692301</v>
      </c>
      <c r="R320" s="9">
        <f t="shared" si="45"/>
        <v>1.4275384615384614</v>
      </c>
      <c r="S320" s="9">
        <f t="shared" si="46"/>
        <v>-2.7538461538461512E-2</v>
      </c>
      <c r="T320" s="9">
        <f t="shared" si="50"/>
        <v>151.93882969248489</v>
      </c>
      <c r="U320" s="9">
        <f>MIN(T313:T338)</f>
        <v>127.97006046171566</v>
      </c>
      <c r="V320" s="5">
        <v>831.3</v>
      </c>
      <c r="X320" s="5">
        <f t="shared" si="51"/>
        <v>226597.59999999992</v>
      </c>
      <c r="Y320" s="5">
        <f t="shared" si="44"/>
        <v>9080.1</v>
      </c>
      <c r="AA320" s="5">
        <v>15.984212449150601</v>
      </c>
    </row>
    <row r="321" spans="1:27" s="5" customFormat="1" x14ac:dyDescent="0.25">
      <c r="A321" s="73"/>
      <c r="B321" s="10"/>
      <c r="C321" s="42">
        <v>41071</v>
      </c>
      <c r="D321" s="5">
        <v>13.6</v>
      </c>
      <c r="E321" s="5">
        <v>12.3</v>
      </c>
      <c r="F321" s="5">
        <v>17</v>
      </c>
      <c r="G321" s="5">
        <f t="shared" si="47"/>
        <v>2778.7</v>
      </c>
      <c r="H321" s="5">
        <f t="shared" si="43"/>
        <v>132.1</v>
      </c>
      <c r="I321" s="43" t="s">
        <v>39</v>
      </c>
      <c r="J321" s="5">
        <v>6</v>
      </c>
      <c r="K321" s="5">
        <f t="shared" si="48"/>
        <v>495.99999999999977</v>
      </c>
      <c r="L321" s="5">
        <v>2</v>
      </c>
      <c r="M321" s="5">
        <f t="shared" si="49"/>
        <v>410.89999999999986</v>
      </c>
      <c r="N321" s="5">
        <v>4</v>
      </c>
      <c r="O321" s="5">
        <f t="shared" si="41"/>
        <v>148.20000000000002</v>
      </c>
      <c r="P321" s="5">
        <v>272</v>
      </c>
      <c r="Q321" s="24">
        <f t="shared" si="42"/>
        <v>0.78076923076923066</v>
      </c>
      <c r="R321" s="9">
        <f t="shared" si="45"/>
        <v>1.5615384615384613</v>
      </c>
      <c r="S321" s="9">
        <f t="shared" si="46"/>
        <v>4.4384615384615387</v>
      </c>
      <c r="T321" s="9">
        <f t="shared" si="50"/>
        <v>156.37729123094641</v>
      </c>
      <c r="U321" s="43" t="s">
        <v>40</v>
      </c>
      <c r="V321" s="5">
        <v>1114.8</v>
      </c>
      <c r="X321" s="5">
        <f t="shared" si="51"/>
        <v>227712.39999999991</v>
      </c>
      <c r="Y321" s="5">
        <f t="shared" si="44"/>
        <v>10194.9</v>
      </c>
      <c r="AA321" s="5">
        <v>15.9989193135647</v>
      </c>
    </row>
    <row r="322" spans="1:27" s="5" customFormat="1" x14ac:dyDescent="0.25">
      <c r="A322" s="73"/>
      <c r="B322" s="10"/>
      <c r="C322" s="42">
        <v>41072</v>
      </c>
      <c r="D322" s="5">
        <v>13.9</v>
      </c>
      <c r="E322" s="5">
        <v>10.7</v>
      </c>
      <c r="F322" s="5">
        <v>16.600000000000001</v>
      </c>
      <c r="G322" s="5">
        <f t="shared" si="47"/>
        <v>2792.6</v>
      </c>
      <c r="H322" s="5">
        <f t="shared" si="43"/>
        <v>146</v>
      </c>
      <c r="I322" s="5">
        <v>2</v>
      </c>
      <c r="J322" s="5">
        <v>2.9</v>
      </c>
      <c r="K322" s="5">
        <f t="shared" si="48"/>
        <v>498.89999999999975</v>
      </c>
      <c r="L322" s="5">
        <v>2</v>
      </c>
      <c r="M322" s="5">
        <f t="shared" si="49"/>
        <v>412.89999999999986</v>
      </c>
      <c r="N322" s="5">
        <v>0.89999999999999991</v>
      </c>
      <c r="O322" s="5">
        <f t="shared" si="41"/>
        <v>149.10000000000002</v>
      </c>
      <c r="P322" s="5">
        <v>273</v>
      </c>
      <c r="Q322" s="24">
        <f t="shared" si="42"/>
        <v>0.76846153846153831</v>
      </c>
      <c r="R322" s="9">
        <f t="shared" si="45"/>
        <v>1.5369230769230766</v>
      </c>
      <c r="S322" s="9">
        <f t="shared" si="46"/>
        <v>1.3630769230769233</v>
      </c>
      <c r="T322" s="9">
        <f t="shared" si="50"/>
        <v>157.74036815402334</v>
      </c>
      <c r="U322" s="9">
        <f>MAX(T313:T338)</f>
        <v>168.47913738479255</v>
      </c>
      <c r="V322" s="5">
        <v>1278</v>
      </c>
      <c r="X322" s="5">
        <f t="shared" si="51"/>
        <v>228990.39999999991</v>
      </c>
      <c r="Y322" s="5">
        <f t="shared" si="44"/>
        <v>11472.9</v>
      </c>
      <c r="AA322" s="5">
        <v>16.012268614500002</v>
      </c>
    </row>
    <row r="323" spans="1:27" s="5" customFormat="1" x14ac:dyDescent="0.25">
      <c r="A323" s="73"/>
      <c r="B323" s="10"/>
      <c r="C323" s="42">
        <v>41073</v>
      </c>
      <c r="D323" s="5">
        <v>13.3</v>
      </c>
      <c r="E323" s="5">
        <v>11</v>
      </c>
      <c r="F323" s="5">
        <v>15.7</v>
      </c>
      <c r="G323" s="5">
        <f t="shared" si="47"/>
        <v>2805.9</v>
      </c>
      <c r="H323" s="5">
        <f t="shared" si="43"/>
        <v>159.30000000000001</v>
      </c>
      <c r="I323" s="43" t="s">
        <v>41</v>
      </c>
      <c r="J323" s="5">
        <v>0.1</v>
      </c>
      <c r="K323" s="5">
        <f t="shared" si="48"/>
        <v>498.99999999999977</v>
      </c>
      <c r="L323" s="5">
        <v>2.4</v>
      </c>
      <c r="M323" s="5">
        <f t="shared" si="49"/>
        <v>415.29999999999984</v>
      </c>
      <c r="N323" s="5">
        <v>-2.2999999999999998</v>
      </c>
      <c r="O323" s="5">
        <f t="shared" si="41"/>
        <v>146.80000000000001</v>
      </c>
      <c r="P323" s="5">
        <v>274</v>
      </c>
      <c r="Q323" s="24">
        <f t="shared" si="42"/>
        <v>0.75615384615384607</v>
      </c>
      <c r="R323" s="9">
        <f t="shared" si="45"/>
        <v>1.8147692307692305</v>
      </c>
      <c r="S323" s="9">
        <f t="shared" si="46"/>
        <v>-1.7147692307692304</v>
      </c>
      <c r="T323" s="9">
        <f t="shared" si="50"/>
        <v>156.02559892325411</v>
      </c>
      <c r="U323" s="43" t="s">
        <v>42</v>
      </c>
      <c r="V323" s="5">
        <v>1492.3</v>
      </c>
      <c r="X323" s="5">
        <f t="shared" si="51"/>
        <v>230482.6999999999</v>
      </c>
      <c r="Y323" s="5">
        <f t="shared" si="44"/>
        <v>12965.199999999999</v>
      </c>
      <c r="AA323" s="5">
        <v>16.024247451408399</v>
      </c>
    </row>
    <row r="324" spans="1:27" s="5" customFormat="1" x14ac:dyDescent="0.25">
      <c r="A324" s="73"/>
      <c r="B324" s="10"/>
      <c r="C324" s="42">
        <v>41074</v>
      </c>
      <c r="D324" s="5">
        <v>14.5</v>
      </c>
      <c r="E324" s="5">
        <v>10.3</v>
      </c>
      <c r="F324" s="5">
        <v>17.399999999999999</v>
      </c>
      <c r="G324" s="5">
        <f t="shared" si="47"/>
        <v>2820.4</v>
      </c>
      <c r="H324" s="5">
        <f t="shared" si="43"/>
        <v>173.8</v>
      </c>
      <c r="I324" s="5">
        <v>0</v>
      </c>
      <c r="J324" s="5">
        <v>0.7</v>
      </c>
      <c r="K324" s="5">
        <f t="shared" si="48"/>
        <v>499.69999999999976</v>
      </c>
      <c r="L324" s="5">
        <v>1.2</v>
      </c>
      <c r="M324" s="5">
        <f t="shared" si="49"/>
        <v>416.49999999999983</v>
      </c>
      <c r="N324" s="5">
        <v>-0.5</v>
      </c>
      <c r="O324" s="5">
        <f t="shared" si="41"/>
        <v>146.30000000000001</v>
      </c>
      <c r="P324" s="5">
        <v>275</v>
      </c>
      <c r="Q324" s="24">
        <f t="shared" si="42"/>
        <v>0.74384615384615382</v>
      </c>
      <c r="R324" s="9">
        <f t="shared" si="45"/>
        <v>0.89261538461538459</v>
      </c>
      <c r="S324" s="9">
        <f t="shared" si="46"/>
        <v>-0.19261538461538463</v>
      </c>
      <c r="T324" s="9">
        <f t="shared" si="50"/>
        <v>155.83298353863873</v>
      </c>
      <c r="U324" s="24">
        <f>AVERAGE(T313:T338)</f>
        <v>155.20803383449672</v>
      </c>
      <c r="V324" s="5">
        <v>738</v>
      </c>
      <c r="X324" s="5">
        <f t="shared" si="51"/>
        <v>231220.6999999999</v>
      </c>
      <c r="Y324" s="5">
        <f t="shared" si="44"/>
        <v>13703.199999999999</v>
      </c>
      <c r="AA324" s="5">
        <v>16.034844205448401</v>
      </c>
    </row>
    <row r="325" spans="1:27" s="5" customFormat="1" x14ac:dyDescent="0.25">
      <c r="A325" s="73"/>
      <c r="B325" s="10"/>
      <c r="C325" s="42">
        <v>41075</v>
      </c>
      <c r="D325" s="5">
        <v>15.3</v>
      </c>
      <c r="E325" s="5">
        <v>14.2</v>
      </c>
      <c r="F325" s="5">
        <v>17.8</v>
      </c>
      <c r="G325" s="5">
        <f t="shared" si="47"/>
        <v>2835.7000000000003</v>
      </c>
      <c r="H325" s="5">
        <f t="shared" si="43"/>
        <v>189.10000000000002</v>
      </c>
      <c r="I325" s="43" t="s">
        <v>43</v>
      </c>
      <c r="J325" s="5">
        <v>5</v>
      </c>
      <c r="K325" s="5">
        <f t="shared" si="48"/>
        <v>504.69999999999976</v>
      </c>
      <c r="L325" s="5">
        <v>2</v>
      </c>
      <c r="M325" s="5">
        <f t="shared" si="49"/>
        <v>418.49999999999983</v>
      </c>
      <c r="N325" s="5">
        <v>3</v>
      </c>
      <c r="O325" s="5">
        <f t="shared" si="41"/>
        <v>149.30000000000001</v>
      </c>
      <c r="P325" s="5">
        <v>276</v>
      </c>
      <c r="Q325" s="24">
        <f t="shared" si="42"/>
        <v>0.73153846153846147</v>
      </c>
      <c r="R325" s="9">
        <f t="shared" si="45"/>
        <v>1.4630769230769229</v>
      </c>
      <c r="S325" s="9">
        <f t="shared" si="46"/>
        <v>3.5369230769230771</v>
      </c>
      <c r="T325" s="9">
        <f t="shared" si="50"/>
        <v>159.3699066155618</v>
      </c>
      <c r="V325" s="5">
        <v>745</v>
      </c>
      <c r="X325" s="5">
        <f t="shared" si="51"/>
        <v>231965.6999999999</v>
      </c>
      <c r="Y325" s="5">
        <f t="shared" si="44"/>
        <v>14448.199999999999</v>
      </c>
      <c r="AA325" s="5">
        <v>16.0440485828574</v>
      </c>
    </row>
    <row r="326" spans="1:27" s="5" customFormat="1" x14ac:dyDescent="0.25">
      <c r="A326" s="73"/>
      <c r="B326" s="10"/>
      <c r="C326" s="42">
        <v>41076</v>
      </c>
      <c r="D326" s="5">
        <v>15.1</v>
      </c>
      <c r="E326" s="5">
        <v>12.6</v>
      </c>
      <c r="F326" s="5">
        <v>18.5</v>
      </c>
      <c r="G326" s="5">
        <f t="shared" si="47"/>
        <v>2850.8</v>
      </c>
      <c r="H326" s="5">
        <f t="shared" si="43"/>
        <v>204.20000000000002</v>
      </c>
      <c r="I326" s="5">
        <v>413.6</v>
      </c>
      <c r="J326" s="5">
        <v>0</v>
      </c>
      <c r="K326" s="5">
        <f t="shared" si="48"/>
        <v>504.69999999999976</v>
      </c>
      <c r="L326" s="5">
        <v>3.8</v>
      </c>
      <c r="M326" s="5">
        <f t="shared" si="49"/>
        <v>422.29999999999984</v>
      </c>
      <c r="N326" s="5">
        <v>-3.8</v>
      </c>
      <c r="O326" s="5">
        <f t="shared" si="41"/>
        <v>145.5</v>
      </c>
      <c r="P326" s="5">
        <v>277</v>
      </c>
      <c r="Q326" s="24">
        <f t="shared" si="42"/>
        <v>0.71923076923076912</v>
      </c>
      <c r="R326" s="9">
        <f t="shared" si="45"/>
        <v>2.7330769230769225</v>
      </c>
      <c r="S326" s="9">
        <f t="shared" si="46"/>
        <v>-2.7330769230769225</v>
      </c>
      <c r="T326" s="9">
        <f t="shared" si="50"/>
        <v>156.63682969248487</v>
      </c>
      <c r="U326" s="9">
        <f>(U324*100)/197.4</f>
        <v>78.626156957698427</v>
      </c>
      <c r="V326" s="5">
        <v>2146.5</v>
      </c>
      <c r="X326" s="5">
        <f t="shared" si="51"/>
        <v>234112.1999999999</v>
      </c>
      <c r="Y326" s="5">
        <f t="shared" si="44"/>
        <v>16594.699999999997</v>
      </c>
      <c r="AA326" s="5">
        <v>16.051851653800099</v>
      </c>
    </row>
    <row r="327" spans="1:27" s="5" customFormat="1" x14ac:dyDescent="0.25">
      <c r="A327" s="73"/>
      <c r="B327" s="10"/>
      <c r="C327" s="42">
        <v>41077</v>
      </c>
      <c r="D327" s="5">
        <v>15.4</v>
      </c>
      <c r="E327" s="5">
        <v>11.7</v>
      </c>
      <c r="F327" s="5">
        <v>18.899999999999999</v>
      </c>
      <c r="G327" s="5">
        <f t="shared" si="47"/>
        <v>2866.2000000000003</v>
      </c>
      <c r="H327" s="5">
        <f t="shared" si="43"/>
        <v>219.60000000000002</v>
      </c>
      <c r="J327" s="5">
        <v>11.9</v>
      </c>
      <c r="K327" s="5">
        <f t="shared" si="48"/>
        <v>516.5999999999998</v>
      </c>
      <c r="L327" s="5">
        <v>3.5</v>
      </c>
      <c r="M327" s="5">
        <f t="shared" si="49"/>
        <v>425.79999999999984</v>
      </c>
      <c r="N327" s="5">
        <v>8.4</v>
      </c>
      <c r="O327" s="5">
        <f t="shared" si="41"/>
        <v>153.9</v>
      </c>
      <c r="P327" s="5">
        <v>278</v>
      </c>
      <c r="Q327" s="24">
        <f t="shared" si="42"/>
        <v>0.70692307692307677</v>
      </c>
      <c r="R327" s="9">
        <f t="shared" si="45"/>
        <v>2.4742307692307688</v>
      </c>
      <c r="S327" s="9">
        <f t="shared" si="46"/>
        <v>9.425769230769232</v>
      </c>
      <c r="T327" s="9">
        <f t="shared" si="50"/>
        <v>166.06259892325409</v>
      </c>
      <c r="V327" s="5">
        <v>2160.1999999999998</v>
      </c>
      <c r="X327" s="5">
        <f t="shared" si="51"/>
        <v>236272.39999999991</v>
      </c>
      <c r="Y327" s="5">
        <f t="shared" si="44"/>
        <v>18754.899999999998</v>
      </c>
      <c r="AA327" s="5">
        <v>16.0582458863922</v>
      </c>
    </row>
    <row r="328" spans="1:27" s="5" customFormat="1" x14ac:dyDescent="0.25">
      <c r="A328" s="73"/>
      <c r="B328" s="10"/>
      <c r="C328" s="42">
        <v>41078</v>
      </c>
      <c r="D328" s="5">
        <v>14.9</v>
      </c>
      <c r="E328" s="5">
        <v>11.8</v>
      </c>
      <c r="F328" s="5">
        <v>19.399999999999999</v>
      </c>
      <c r="G328" s="5">
        <f t="shared" si="47"/>
        <v>2881.1000000000004</v>
      </c>
      <c r="H328" s="5">
        <f t="shared" si="43"/>
        <v>234.50000000000003</v>
      </c>
      <c r="J328" s="5">
        <v>0</v>
      </c>
      <c r="K328" s="5">
        <f t="shared" si="48"/>
        <v>516.5999999999998</v>
      </c>
      <c r="L328" s="5">
        <v>2.4</v>
      </c>
      <c r="M328" s="5">
        <f t="shared" si="49"/>
        <v>428.19999999999982</v>
      </c>
      <c r="N328" s="5">
        <v>-2.4</v>
      </c>
      <c r="O328" s="5">
        <f t="shared" si="41"/>
        <v>151.5</v>
      </c>
      <c r="P328" s="5">
        <v>279</v>
      </c>
      <c r="Q328" s="24">
        <f t="shared" si="42"/>
        <v>0.69461538461538463</v>
      </c>
      <c r="R328" s="9">
        <f t="shared" si="45"/>
        <v>1.6670769230769231</v>
      </c>
      <c r="S328" s="9">
        <f t="shared" si="46"/>
        <v>-1.6670769230769231</v>
      </c>
      <c r="T328" s="9">
        <f t="shared" si="50"/>
        <v>164.39552200017715</v>
      </c>
      <c r="V328" s="5">
        <v>1437.5</v>
      </c>
      <c r="X328" s="5">
        <f t="shared" si="51"/>
        <v>237709.89999999991</v>
      </c>
      <c r="Y328" s="5">
        <f t="shared" si="44"/>
        <v>20192.399999999998</v>
      </c>
      <c r="AA328" s="5">
        <v>16.063225175626499</v>
      </c>
    </row>
    <row r="329" spans="1:27" s="5" customFormat="1" x14ac:dyDescent="0.25">
      <c r="A329" s="73"/>
      <c r="B329" s="10"/>
      <c r="C329" s="42">
        <v>41079</v>
      </c>
      <c r="D329" s="5">
        <v>16.7</v>
      </c>
      <c r="E329" s="5">
        <v>10.9</v>
      </c>
      <c r="F329" s="5">
        <v>20.9</v>
      </c>
      <c r="G329" s="5">
        <f t="shared" si="47"/>
        <v>2897.8</v>
      </c>
      <c r="H329" s="5">
        <f t="shared" si="43"/>
        <v>251.20000000000002</v>
      </c>
      <c r="J329" s="5">
        <v>0</v>
      </c>
      <c r="K329" s="5">
        <f t="shared" si="48"/>
        <v>516.5999999999998</v>
      </c>
      <c r="L329" s="5">
        <v>3.8</v>
      </c>
      <c r="M329" s="5">
        <f t="shared" si="49"/>
        <v>431.99999999999983</v>
      </c>
      <c r="N329" s="5">
        <v>-3.8</v>
      </c>
      <c r="O329" s="5">
        <f t="shared" si="41"/>
        <v>147.69999999999999</v>
      </c>
      <c r="P329" s="5">
        <v>280</v>
      </c>
      <c r="Q329" s="24">
        <f t="shared" si="42"/>
        <v>0.68230769230769228</v>
      </c>
      <c r="R329" s="9">
        <f t="shared" si="45"/>
        <v>2.5927692307692305</v>
      </c>
      <c r="S329" s="9">
        <f t="shared" si="46"/>
        <v>-2.5927692307692305</v>
      </c>
      <c r="T329" s="9">
        <f t="shared" si="50"/>
        <v>161.80275276940793</v>
      </c>
      <c r="V329" s="5">
        <v>2255.6</v>
      </c>
      <c r="X329" s="5">
        <f t="shared" si="51"/>
        <v>239965.49999999991</v>
      </c>
      <c r="Y329" s="5">
        <f t="shared" si="44"/>
        <v>22447.999999999996</v>
      </c>
      <c r="AA329" s="5">
        <v>16.066784866973201</v>
      </c>
    </row>
    <row r="330" spans="1:27" s="5" customFormat="1" x14ac:dyDescent="0.25">
      <c r="A330" s="73"/>
      <c r="B330" s="10"/>
      <c r="C330" s="42">
        <v>41080</v>
      </c>
      <c r="D330" s="5">
        <v>19.399999999999999</v>
      </c>
      <c r="E330" s="5">
        <v>15.3</v>
      </c>
      <c r="F330" s="5">
        <v>22.4</v>
      </c>
      <c r="G330" s="5">
        <f t="shared" si="47"/>
        <v>2917.2000000000003</v>
      </c>
      <c r="H330" s="5">
        <f t="shared" si="43"/>
        <v>270.60000000000002</v>
      </c>
      <c r="J330" s="5">
        <v>3</v>
      </c>
      <c r="K330" s="5">
        <f t="shared" si="48"/>
        <v>519.5999999999998</v>
      </c>
      <c r="L330" s="5">
        <v>2.5</v>
      </c>
      <c r="M330" s="5">
        <f t="shared" si="49"/>
        <v>434.49999999999983</v>
      </c>
      <c r="N330" s="5">
        <v>0.5</v>
      </c>
      <c r="O330" s="5">
        <f t="shared" si="41"/>
        <v>148.19999999999999</v>
      </c>
      <c r="P330" s="5">
        <v>281</v>
      </c>
      <c r="Q330" s="24">
        <f t="shared" si="42"/>
        <v>0.66999999999999993</v>
      </c>
      <c r="R330" s="9">
        <f t="shared" si="45"/>
        <v>1.6749999999999998</v>
      </c>
      <c r="S330" s="9">
        <f t="shared" si="46"/>
        <v>1.3250000000000002</v>
      </c>
      <c r="T330" s="9">
        <f t="shared" si="50"/>
        <v>163.12775276940792</v>
      </c>
      <c r="V330" s="5">
        <v>1225.4000000000001</v>
      </c>
      <c r="X330" s="5">
        <f t="shared" si="51"/>
        <v>241190.89999999991</v>
      </c>
      <c r="Y330" s="5">
        <f t="shared" si="44"/>
        <v>23673.399999999998</v>
      </c>
      <c r="AA330" s="5">
        <v>16.068921774459099</v>
      </c>
    </row>
    <row r="331" spans="1:27" s="5" customFormat="1" x14ac:dyDescent="0.25">
      <c r="A331" s="73"/>
      <c r="B331" s="10"/>
      <c r="C331" s="42">
        <v>41081</v>
      </c>
      <c r="D331" s="5">
        <v>16.100000000000001</v>
      </c>
      <c r="E331" s="5">
        <v>15.3</v>
      </c>
      <c r="F331" s="5">
        <v>17.7</v>
      </c>
      <c r="G331" s="5">
        <f t="shared" si="47"/>
        <v>2933.3</v>
      </c>
      <c r="H331" s="5">
        <f t="shared" si="43"/>
        <v>286.70000000000005</v>
      </c>
      <c r="J331" s="5">
        <v>4.0999999999999996</v>
      </c>
      <c r="K331" s="5">
        <f t="shared" si="48"/>
        <v>523.69999999999982</v>
      </c>
      <c r="L331" s="5">
        <v>3.1</v>
      </c>
      <c r="M331" s="5">
        <f t="shared" si="49"/>
        <v>437.59999999999985</v>
      </c>
      <c r="N331" s="5">
        <v>0.99999999999999956</v>
      </c>
      <c r="O331" s="5">
        <f t="shared" si="41"/>
        <v>149.19999999999999</v>
      </c>
      <c r="P331" s="5">
        <v>282</v>
      </c>
      <c r="Q331" s="24">
        <f t="shared" si="42"/>
        <v>0.65769230769230758</v>
      </c>
      <c r="R331" s="9">
        <f t="shared" si="45"/>
        <v>2.0388461538461535</v>
      </c>
      <c r="S331" s="9">
        <f t="shared" si="46"/>
        <v>2.0611538461538461</v>
      </c>
      <c r="T331" s="9">
        <f t="shared" si="50"/>
        <v>165.18890661556176</v>
      </c>
      <c r="V331" s="5">
        <v>1842.4</v>
      </c>
      <c r="X331" s="5">
        <f t="shared" si="51"/>
        <v>243033.2999999999</v>
      </c>
      <c r="Y331" s="5">
        <f t="shared" si="44"/>
        <v>25515.8</v>
      </c>
      <c r="AA331" s="5">
        <v>16.069634193082901</v>
      </c>
    </row>
    <row r="332" spans="1:27" s="5" customFormat="1" x14ac:dyDescent="0.25">
      <c r="A332" s="73"/>
      <c r="B332" s="10"/>
      <c r="C332" s="42">
        <v>41082</v>
      </c>
      <c r="D332" s="5">
        <v>15.9</v>
      </c>
      <c r="E332" s="5">
        <v>12.9</v>
      </c>
      <c r="F332" s="5">
        <v>20.100000000000001</v>
      </c>
      <c r="G332" s="5">
        <f t="shared" si="47"/>
        <v>2949.2000000000003</v>
      </c>
      <c r="H332" s="5">
        <f t="shared" si="43"/>
        <v>302.60000000000002</v>
      </c>
      <c r="J332" s="5">
        <v>0</v>
      </c>
      <c r="K332" s="5">
        <f t="shared" si="48"/>
        <v>523.69999999999982</v>
      </c>
      <c r="L332" s="5">
        <v>4.3</v>
      </c>
      <c r="M332" s="5">
        <f t="shared" si="49"/>
        <v>441.89999999999986</v>
      </c>
      <c r="N332" s="5">
        <v>-4.3</v>
      </c>
      <c r="O332" s="5">
        <f t="shared" si="41"/>
        <v>144.89999999999998</v>
      </c>
      <c r="P332" s="5">
        <v>283</v>
      </c>
      <c r="Q332" s="24">
        <f t="shared" si="42"/>
        <v>0.64538461538461533</v>
      </c>
      <c r="R332" s="9">
        <f t="shared" si="45"/>
        <v>2.7751538461538456</v>
      </c>
      <c r="S332" s="9">
        <f t="shared" si="46"/>
        <v>-2.7751538461538456</v>
      </c>
      <c r="T332" s="9">
        <f t="shared" si="50"/>
        <v>162.41375276940792</v>
      </c>
      <c r="V332" s="5">
        <v>2364.4</v>
      </c>
      <c r="W332" s="25"/>
      <c r="X332" s="25">
        <f t="shared" si="51"/>
        <v>245397.6999999999</v>
      </c>
      <c r="Y332" s="5">
        <f t="shared" si="44"/>
        <v>27880.2</v>
      </c>
      <c r="Z332" s="25"/>
      <c r="AA332" s="5">
        <v>16.068921905460201</v>
      </c>
    </row>
    <row r="333" spans="1:27" s="5" customFormat="1" ht="15" customHeight="1" x14ac:dyDescent="0.25">
      <c r="A333" s="73"/>
      <c r="B333" s="44"/>
      <c r="C333" s="42">
        <v>41083</v>
      </c>
      <c r="D333" s="5">
        <v>15.3</v>
      </c>
      <c r="E333" s="5">
        <v>11</v>
      </c>
      <c r="F333" s="5">
        <v>19</v>
      </c>
      <c r="G333" s="5">
        <f t="shared" si="47"/>
        <v>2964.5000000000005</v>
      </c>
      <c r="H333" s="5">
        <f t="shared" si="43"/>
        <v>317.90000000000003</v>
      </c>
      <c r="J333" s="5">
        <v>0</v>
      </c>
      <c r="K333" s="5">
        <f t="shared" si="48"/>
        <v>523.69999999999982</v>
      </c>
      <c r="L333" s="5">
        <v>3.3</v>
      </c>
      <c r="M333" s="5">
        <f t="shared" si="49"/>
        <v>445.19999999999987</v>
      </c>
      <c r="N333" s="5">
        <v>-3.3</v>
      </c>
      <c r="O333" s="5">
        <f t="shared" si="41"/>
        <v>141.59999999999997</v>
      </c>
      <c r="P333" s="5">
        <v>284</v>
      </c>
      <c r="Q333" s="24">
        <f t="shared" si="42"/>
        <v>0.63307692307692298</v>
      </c>
      <c r="R333" s="9">
        <f t="shared" si="45"/>
        <v>2.0891538461538457</v>
      </c>
      <c r="S333" s="9">
        <f t="shared" si="46"/>
        <v>-2.0891538461538457</v>
      </c>
      <c r="T333" s="9">
        <f t="shared" si="50"/>
        <v>160.32459892325409</v>
      </c>
      <c r="V333" s="5">
        <v>1986</v>
      </c>
      <c r="X333" s="5">
        <f t="shared" si="51"/>
        <v>247383.6999999999</v>
      </c>
      <c r="Y333" s="5">
        <f t="shared" si="44"/>
        <v>29866.2</v>
      </c>
      <c r="AA333" s="5">
        <v>16.0667861826471</v>
      </c>
    </row>
    <row r="334" spans="1:27" s="5" customFormat="1" x14ac:dyDescent="0.25">
      <c r="A334" s="73"/>
      <c r="B334" s="44"/>
      <c r="C334" s="42">
        <v>41084</v>
      </c>
      <c r="D334" s="5">
        <v>15.4</v>
      </c>
      <c r="E334" s="5">
        <v>13.1</v>
      </c>
      <c r="F334" s="5">
        <v>17.100000000000001</v>
      </c>
      <c r="G334" s="5">
        <f t="shared" si="47"/>
        <v>2979.9000000000005</v>
      </c>
      <c r="H334" s="5">
        <f t="shared" si="43"/>
        <v>333.3</v>
      </c>
      <c r="J334" s="5">
        <v>5.2</v>
      </c>
      <c r="K334" s="5">
        <f t="shared" si="48"/>
        <v>528.89999999999986</v>
      </c>
      <c r="L334" s="5">
        <v>0.9</v>
      </c>
      <c r="M334" s="5">
        <f t="shared" si="49"/>
        <v>446.09999999999985</v>
      </c>
      <c r="N334" s="5">
        <v>4.3</v>
      </c>
      <c r="O334" s="5">
        <f t="shared" si="41"/>
        <v>145.89999999999998</v>
      </c>
      <c r="P334" s="5">
        <v>285</v>
      </c>
      <c r="Q334" s="24">
        <f t="shared" si="42"/>
        <v>0.62076923076923074</v>
      </c>
      <c r="R334" s="9">
        <f t="shared" si="45"/>
        <v>0.55869230769230771</v>
      </c>
      <c r="S334" s="9">
        <f t="shared" si="46"/>
        <v>4.6413076923076924</v>
      </c>
      <c r="T334" s="9">
        <f t="shared" si="50"/>
        <v>164.96590661556178</v>
      </c>
      <c r="V334" s="5">
        <v>489.4</v>
      </c>
      <c r="X334" s="5">
        <f t="shared" si="51"/>
        <v>247873.09999999989</v>
      </c>
      <c r="Y334" s="5">
        <f t="shared" si="44"/>
        <v>30355.600000000002</v>
      </c>
      <c r="AA334" s="5">
        <v>16.063229779132801</v>
      </c>
    </row>
    <row r="335" spans="1:27" s="5" customFormat="1" x14ac:dyDescent="0.25">
      <c r="A335" s="73"/>
      <c r="B335" s="44"/>
      <c r="C335" s="42">
        <v>41085</v>
      </c>
      <c r="D335" s="5">
        <v>16.2</v>
      </c>
      <c r="E335" s="5">
        <v>13.9</v>
      </c>
      <c r="F335" s="5">
        <v>18</v>
      </c>
      <c r="G335" s="5">
        <f t="shared" si="47"/>
        <v>2996.1000000000004</v>
      </c>
      <c r="H335" s="5">
        <f t="shared" si="43"/>
        <v>349.5</v>
      </c>
      <c r="J335" s="5">
        <v>4</v>
      </c>
      <c r="K335" s="5">
        <f t="shared" si="48"/>
        <v>532.89999999999986</v>
      </c>
      <c r="L335" s="5">
        <v>0.8</v>
      </c>
      <c r="M335" s="5">
        <f t="shared" si="49"/>
        <v>446.89999999999986</v>
      </c>
      <c r="N335" s="5">
        <v>3.2</v>
      </c>
      <c r="O335" s="5">
        <f t="shared" si="41"/>
        <v>149.09999999999997</v>
      </c>
      <c r="P335" s="5">
        <v>286</v>
      </c>
      <c r="Q335" s="24">
        <f t="shared" si="42"/>
        <v>0.60846153846153839</v>
      </c>
      <c r="R335" s="9">
        <f t="shared" si="45"/>
        <v>0.48676923076923073</v>
      </c>
      <c r="S335" s="9">
        <f t="shared" si="46"/>
        <v>3.5132307692307694</v>
      </c>
      <c r="T335" s="9">
        <f t="shared" si="50"/>
        <v>168.47913738479255</v>
      </c>
      <c r="V335" s="5">
        <v>479.7</v>
      </c>
      <c r="X335" s="5">
        <f t="shared" si="51"/>
        <v>248352.7999999999</v>
      </c>
      <c r="Y335" s="5">
        <f t="shared" si="44"/>
        <v>30835.300000000003</v>
      </c>
      <c r="AA335" s="5">
        <v>16.058256922043999</v>
      </c>
    </row>
    <row r="336" spans="1:27" s="5" customFormat="1" x14ac:dyDescent="0.25">
      <c r="A336" s="73"/>
      <c r="B336" s="44"/>
      <c r="C336" s="42">
        <v>41086</v>
      </c>
      <c r="D336" s="5">
        <v>19.7</v>
      </c>
      <c r="E336" s="5">
        <v>16</v>
      </c>
      <c r="F336" s="5">
        <v>23.9</v>
      </c>
      <c r="G336" s="5">
        <f t="shared" si="47"/>
        <v>3015.8</v>
      </c>
      <c r="H336" s="5">
        <f t="shared" si="43"/>
        <v>369.2</v>
      </c>
      <c r="J336" s="5">
        <v>0.1</v>
      </c>
      <c r="K336" s="5">
        <f t="shared" si="48"/>
        <v>532.99999999999989</v>
      </c>
      <c r="L336" s="5">
        <v>2.7</v>
      </c>
      <c r="M336" s="5">
        <f t="shared" si="49"/>
        <v>449.59999999999985</v>
      </c>
      <c r="N336" s="5">
        <v>-2.6</v>
      </c>
      <c r="O336" s="5">
        <f t="shared" si="41"/>
        <v>146.49999999999997</v>
      </c>
      <c r="P336" s="5">
        <v>287</v>
      </c>
      <c r="Q336" s="24">
        <f t="shared" si="42"/>
        <v>0.59615384615384615</v>
      </c>
      <c r="R336" s="9">
        <f t="shared" si="45"/>
        <v>1.6096153846153847</v>
      </c>
      <c r="S336" s="9">
        <f t="shared" si="46"/>
        <v>-1.5096153846153846</v>
      </c>
      <c r="T336" s="9">
        <f t="shared" si="50"/>
        <v>166.96952200017716</v>
      </c>
      <c r="V336" s="5">
        <v>1425.9</v>
      </c>
      <c r="X336" s="5">
        <f t="shared" si="51"/>
        <v>249778.6999999999</v>
      </c>
      <c r="Y336" s="5">
        <f t="shared" si="44"/>
        <v>32261.200000000004</v>
      </c>
      <c r="AA336" s="5">
        <v>16.051873294648299</v>
      </c>
    </row>
    <row r="337" spans="1:27" s="5" customFormat="1" x14ac:dyDescent="0.25">
      <c r="A337" s="73"/>
      <c r="B337" s="44"/>
      <c r="C337" s="42">
        <v>41087</v>
      </c>
      <c r="D337" s="5">
        <v>22.7</v>
      </c>
      <c r="E337" s="5">
        <v>16.7</v>
      </c>
      <c r="F337" s="5">
        <v>28.2</v>
      </c>
      <c r="G337" s="5">
        <f t="shared" si="47"/>
        <v>3038.5</v>
      </c>
      <c r="H337" s="5">
        <f t="shared" si="43"/>
        <v>391.9</v>
      </c>
      <c r="J337" s="5">
        <v>0</v>
      </c>
      <c r="K337" s="5">
        <f t="shared" si="48"/>
        <v>532.99999999999989</v>
      </c>
      <c r="L337" s="5">
        <v>4.7</v>
      </c>
      <c r="M337" s="5">
        <f t="shared" si="49"/>
        <v>454.29999999999984</v>
      </c>
      <c r="N337" s="5">
        <v>-4.7</v>
      </c>
      <c r="O337" s="5">
        <f t="shared" si="41"/>
        <v>141.79999999999998</v>
      </c>
      <c r="P337" s="5">
        <v>288</v>
      </c>
      <c r="Q337" s="24">
        <f t="shared" si="42"/>
        <v>0.58384615384615379</v>
      </c>
      <c r="R337" s="9">
        <f t="shared" si="45"/>
        <v>2.7440769230769231</v>
      </c>
      <c r="S337" s="9">
        <f t="shared" si="46"/>
        <v>-2.7440769230769231</v>
      </c>
      <c r="T337" s="9">
        <f t="shared" si="50"/>
        <v>164.22544507710023</v>
      </c>
      <c r="V337" s="5">
        <v>2437</v>
      </c>
      <c r="X337" s="5">
        <f t="shared" si="51"/>
        <v>252215.6999999999</v>
      </c>
      <c r="Y337" s="5">
        <f t="shared" si="44"/>
        <v>34698.200000000004</v>
      </c>
      <c r="AA337" s="5">
        <v>16.044086014292098</v>
      </c>
    </row>
    <row r="338" spans="1:27" s="16" customFormat="1" x14ac:dyDescent="0.25">
      <c r="A338" s="73"/>
      <c r="B338" s="45">
        <v>1000</v>
      </c>
      <c r="C338" s="46">
        <v>41088</v>
      </c>
      <c r="D338" s="16">
        <v>21.7</v>
      </c>
      <c r="E338" s="16">
        <v>21.1</v>
      </c>
      <c r="F338" s="16">
        <v>26.8</v>
      </c>
      <c r="G338" s="16">
        <f t="shared" si="47"/>
        <v>3060.2</v>
      </c>
      <c r="H338" s="16">
        <f t="shared" si="43"/>
        <v>413.59999999999997</v>
      </c>
      <c r="J338" s="16">
        <v>0.1</v>
      </c>
      <c r="K338" s="16">
        <f t="shared" si="48"/>
        <v>533.09999999999991</v>
      </c>
      <c r="L338" s="16">
        <v>5.6</v>
      </c>
      <c r="M338" s="16">
        <f t="shared" si="49"/>
        <v>459.89999999999986</v>
      </c>
      <c r="N338" s="16">
        <v>-5.5</v>
      </c>
      <c r="O338" s="16">
        <f t="shared" si="41"/>
        <v>136.29999999999998</v>
      </c>
      <c r="P338" s="16">
        <v>289</v>
      </c>
      <c r="Q338" s="24">
        <f t="shared" si="42"/>
        <v>0.57153846153846155</v>
      </c>
      <c r="R338" s="17">
        <f t="shared" si="45"/>
        <v>3.2006153846153844</v>
      </c>
      <c r="S338" s="17">
        <f t="shared" si="46"/>
        <v>-3.1006153846153843</v>
      </c>
      <c r="T338" s="9">
        <f t="shared" si="50"/>
        <v>161.12482969248484</v>
      </c>
      <c r="V338" s="16">
        <v>2548.1</v>
      </c>
      <c r="X338" s="16">
        <f t="shared" si="51"/>
        <v>254763.7999999999</v>
      </c>
      <c r="Y338" s="5">
        <f t="shared" si="44"/>
        <v>37246.300000000003</v>
      </c>
      <c r="AA338" s="5">
        <v>16.034903604951001</v>
      </c>
    </row>
    <row r="339" spans="1:27" s="5" customFormat="1" x14ac:dyDescent="0.25">
      <c r="A339" s="47"/>
      <c r="B339" s="44"/>
      <c r="C339" s="7">
        <v>41089</v>
      </c>
      <c r="D339" s="5">
        <v>17.8</v>
      </c>
      <c r="E339" s="5">
        <v>14.3</v>
      </c>
      <c r="F339" s="5">
        <v>21.1</v>
      </c>
      <c r="G339" s="5">
        <f t="shared" si="47"/>
        <v>3078</v>
      </c>
      <c r="H339" s="5">
        <v>17.8</v>
      </c>
      <c r="J339" s="5">
        <v>1.7</v>
      </c>
      <c r="K339" s="5">
        <f t="shared" si="48"/>
        <v>534.79999999999995</v>
      </c>
      <c r="L339" s="5">
        <v>3.9</v>
      </c>
      <c r="M339" s="5">
        <f t="shared" si="49"/>
        <v>463.79999999999984</v>
      </c>
      <c r="N339" s="5">
        <v>-2.2000000000000002</v>
      </c>
      <c r="O339" s="5">
        <f t="shared" si="41"/>
        <v>134.1</v>
      </c>
      <c r="P339" s="5">
        <v>290</v>
      </c>
      <c r="Q339" s="24">
        <f t="shared" si="42"/>
        <v>0.5592307692307692</v>
      </c>
      <c r="R339" s="9">
        <f t="shared" si="45"/>
        <v>2.1809999999999996</v>
      </c>
      <c r="S339" s="9">
        <f t="shared" si="46"/>
        <v>-0.48099999999999965</v>
      </c>
      <c r="T339" s="9">
        <f t="shared" si="50"/>
        <v>160.64382969248484</v>
      </c>
      <c r="V339" s="5">
        <v>1813.6</v>
      </c>
      <c r="X339" s="5">
        <f t="shared" si="51"/>
        <v>256577.39999999991</v>
      </c>
      <c r="Y339" s="5">
        <v>1813.6</v>
      </c>
      <c r="AA339" s="5">
        <v>16.024335964614099</v>
      </c>
    </row>
    <row r="340" spans="1:27" s="5" customFormat="1" x14ac:dyDescent="0.25">
      <c r="A340" s="47"/>
      <c r="B340" s="44"/>
      <c r="C340" s="7">
        <v>41090</v>
      </c>
      <c r="D340" s="5">
        <v>16</v>
      </c>
      <c r="E340" s="5">
        <v>13.9</v>
      </c>
      <c r="F340" s="5">
        <v>18.7</v>
      </c>
      <c r="G340" s="5">
        <f t="shared" si="47"/>
        <v>3094</v>
      </c>
      <c r="H340" s="5">
        <f t="shared" si="43"/>
        <v>33.799999999999997</v>
      </c>
      <c r="J340" s="5">
        <v>1.8</v>
      </c>
      <c r="K340" s="5">
        <f t="shared" si="48"/>
        <v>536.59999999999991</v>
      </c>
      <c r="L340" s="5">
        <v>2</v>
      </c>
      <c r="M340" s="5">
        <f t="shared" si="49"/>
        <v>465.79999999999984</v>
      </c>
      <c r="N340" s="5">
        <v>-0.19999999999999996</v>
      </c>
      <c r="O340" s="5">
        <f t="shared" si="41"/>
        <v>133.9</v>
      </c>
      <c r="P340" s="5">
        <v>291</v>
      </c>
      <c r="Q340" s="24">
        <f t="shared" si="42"/>
        <v>0.54692307692307685</v>
      </c>
      <c r="R340" s="9">
        <f t="shared" si="45"/>
        <v>1.0938461538461537</v>
      </c>
      <c r="S340" s="9">
        <f t="shared" si="46"/>
        <v>0.70615384615384635</v>
      </c>
      <c r="T340" s="9">
        <f t="shared" si="50"/>
        <v>161.3499835386387</v>
      </c>
      <c r="V340" s="5">
        <v>1001</v>
      </c>
      <c r="X340" s="5">
        <f t="shared" si="51"/>
        <v>257578.39999999991</v>
      </c>
      <c r="Y340" s="5">
        <f t="shared" si="44"/>
        <v>2814.6</v>
      </c>
      <c r="AA340" s="5">
        <v>16.012394327759999</v>
      </c>
    </row>
    <row r="341" spans="1:27" s="5" customFormat="1" x14ac:dyDescent="0.25">
      <c r="A341" s="47"/>
      <c r="B341" s="44"/>
      <c r="C341" s="7">
        <v>41091</v>
      </c>
      <c r="D341" s="5">
        <v>15.3</v>
      </c>
      <c r="E341" s="5">
        <v>11.4</v>
      </c>
      <c r="F341" s="5">
        <v>19.3</v>
      </c>
      <c r="G341" s="5">
        <f t="shared" si="47"/>
        <v>3109.3</v>
      </c>
      <c r="H341" s="5">
        <f t="shared" si="43"/>
        <v>49.099999999999994</v>
      </c>
      <c r="J341" s="5">
        <v>0</v>
      </c>
      <c r="K341" s="5">
        <f t="shared" si="48"/>
        <v>536.59999999999991</v>
      </c>
      <c r="L341" s="5">
        <v>3.9</v>
      </c>
      <c r="M341" s="5">
        <f t="shared" si="49"/>
        <v>469.69999999999982</v>
      </c>
      <c r="N341" s="5">
        <v>-3.9</v>
      </c>
      <c r="O341" s="5">
        <f t="shared" si="41"/>
        <v>130</v>
      </c>
      <c r="P341" s="5">
        <v>292</v>
      </c>
      <c r="Q341" s="24">
        <f t="shared" si="42"/>
        <v>0.53461538461538449</v>
      </c>
      <c r="R341" s="9">
        <f t="shared" si="45"/>
        <v>2.0849999999999995</v>
      </c>
      <c r="S341" s="9">
        <f t="shared" si="46"/>
        <v>-2.0849999999999995</v>
      </c>
      <c r="T341" s="9">
        <f t="shared" si="50"/>
        <v>159.26498353863869</v>
      </c>
      <c r="V341" s="5">
        <v>2329</v>
      </c>
      <c r="X341" s="5">
        <f t="shared" si="51"/>
        <v>259907.39999999991</v>
      </c>
      <c r="Y341" s="5">
        <f t="shared" si="44"/>
        <v>5143.6000000000004</v>
      </c>
      <c r="AA341" s="5">
        <v>15.9990912232204</v>
      </c>
    </row>
    <row r="342" spans="1:27" s="5" customFormat="1" x14ac:dyDescent="0.25">
      <c r="A342" s="47"/>
      <c r="B342" s="44"/>
      <c r="C342" s="7">
        <v>41092</v>
      </c>
      <c r="D342" s="5">
        <v>15.4</v>
      </c>
      <c r="E342" s="5">
        <v>12.6</v>
      </c>
      <c r="F342" s="5">
        <v>17.3</v>
      </c>
      <c r="G342" s="5">
        <f t="shared" si="47"/>
        <v>3124.7000000000003</v>
      </c>
      <c r="H342" s="5">
        <f t="shared" si="43"/>
        <v>64.5</v>
      </c>
      <c r="J342" s="5">
        <v>2.1</v>
      </c>
      <c r="K342" s="5">
        <f t="shared" si="48"/>
        <v>538.69999999999993</v>
      </c>
      <c r="L342" s="5">
        <v>1</v>
      </c>
      <c r="M342" s="5">
        <f t="shared" si="49"/>
        <v>470.69999999999982</v>
      </c>
      <c r="N342" s="5">
        <v>1.1000000000000001</v>
      </c>
      <c r="O342" s="5">
        <f t="shared" si="41"/>
        <v>131.1</v>
      </c>
      <c r="P342" s="5">
        <v>293</v>
      </c>
      <c r="Q342" s="24">
        <f t="shared" si="42"/>
        <v>0.52230769230769225</v>
      </c>
      <c r="R342" s="9">
        <f t="shared" si="45"/>
        <v>0.52230769230769225</v>
      </c>
      <c r="S342" s="9">
        <f t="shared" si="46"/>
        <v>1.5776923076923079</v>
      </c>
      <c r="T342" s="9">
        <f t="shared" si="50"/>
        <v>160.84267584633099</v>
      </c>
      <c r="V342" s="5">
        <v>508.7</v>
      </c>
      <c r="X342" s="5">
        <f t="shared" si="51"/>
        <v>260416.09999999992</v>
      </c>
      <c r="Y342" s="5">
        <f t="shared" si="44"/>
        <v>5652.3</v>
      </c>
      <c r="AA342" s="5">
        <v>15.984440427755599</v>
      </c>
    </row>
    <row r="343" spans="1:27" s="5" customFormat="1" x14ac:dyDescent="0.25">
      <c r="A343" s="47"/>
      <c r="B343" s="44"/>
      <c r="C343" s="7">
        <v>41093</v>
      </c>
      <c r="D343" s="5">
        <v>17.8</v>
      </c>
      <c r="E343" s="5">
        <v>15.8</v>
      </c>
      <c r="F343" s="5">
        <v>19.8</v>
      </c>
      <c r="G343" s="5">
        <f t="shared" si="47"/>
        <v>3142.5000000000005</v>
      </c>
      <c r="H343" s="5">
        <f t="shared" si="43"/>
        <v>82.3</v>
      </c>
      <c r="J343" s="5">
        <v>0.3</v>
      </c>
      <c r="K343" s="5">
        <f t="shared" si="48"/>
        <v>538.99999999999989</v>
      </c>
      <c r="L343" s="5">
        <v>1.1000000000000001</v>
      </c>
      <c r="M343" s="5">
        <f t="shared" si="49"/>
        <v>471.79999999999984</v>
      </c>
      <c r="N343" s="5">
        <v>-0.8</v>
      </c>
      <c r="O343" s="5">
        <f t="shared" si="41"/>
        <v>130.29999999999998</v>
      </c>
      <c r="P343" s="5">
        <v>294</v>
      </c>
      <c r="Q343" s="24">
        <f t="shared" si="42"/>
        <v>0.5099999999999999</v>
      </c>
      <c r="R343" s="9">
        <f t="shared" si="45"/>
        <v>0.56099999999999994</v>
      </c>
      <c r="S343" s="9">
        <f t="shared" si="46"/>
        <v>-0.26099999999999995</v>
      </c>
      <c r="T343" s="9">
        <f t="shared" si="50"/>
        <v>160.581675846331</v>
      </c>
      <c r="V343" s="5">
        <v>510.4</v>
      </c>
      <c r="X343" s="5">
        <f t="shared" si="51"/>
        <v>260926.49999999991</v>
      </c>
      <c r="Y343" s="5">
        <f t="shared" si="44"/>
        <v>6162.7</v>
      </c>
      <c r="AA343" s="5">
        <v>15.968456915694301</v>
      </c>
    </row>
    <row r="344" spans="1:27" s="5" customFormat="1" x14ac:dyDescent="0.25">
      <c r="A344" s="47"/>
      <c r="B344" s="44"/>
      <c r="C344" s="7">
        <v>41094</v>
      </c>
      <c r="D344" s="5">
        <v>17.3</v>
      </c>
      <c r="E344" s="5">
        <v>16.2</v>
      </c>
      <c r="F344" s="5">
        <v>19.5</v>
      </c>
      <c r="G344" s="5">
        <f t="shared" si="47"/>
        <v>3159.8000000000006</v>
      </c>
      <c r="H344" s="5">
        <f t="shared" si="43"/>
        <v>99.6</v>
      </c>
      <c r="J344" s="5">
        <v>3.3</v>
      </c>
      <c r="K344" s="5">
        <f t="shared" si="48"/>
        <v>542.29999999999984</v>
      </c>
      <c r="L344" s="5">
        <v>1.8</v>
      </c>
      <c r="M344" s="5">
        <f t="shared" si="49"/>
        <v>473.59999999999985</v>
      </c>
      <c r="N344" s="5">
        <v>1.4999999999999998</v>
      </c>
      <c r="O344" s="5">
        <f t="shared" si="41"/>
        <v>131.79999999999998</v>
      </c>
      <c r="P344" s="5">
        <v>295</v>
      </c>
      <c r="Q344" s="24">
        <f t="shared" si="42"/>
        <v>0.49769230769230766</v>
      </c>
      <c r="R344" s="9">
        <f t="shared" si="45"/>
        <v>0.89584615384615385</v>
      </c>
      <c r="S344" s="9">
        <f t="shared" si="46"/>
        <v>2.4041538461538461</v>
      </c>
      <c r="T344" s="9">
        <f t="shared" si="50"/>
        <v>162.98582969248483</v>
      </c>
      <c r="V344" s="5">
        <v>773.9</v>
      </c>
      <c r="X344" s="5">
        <f t="shared" si="51"/>
        <v>261700.39999999991</v>
      </c>
      <c r="Y344" s="5">
        <f t="shared" si="44"/>
        <v>6936.5999999999995</v>
      </c>
      <c r="AA344" s="5">
        <v>15.9511568050136</v>
      </c>
    </row>
    <row r="345" spans="1:27" s="5" customFormat="1" x14ac:dyDescent="0.25">
      <c r="A345" s="47"/>
      <c r="B345" s="44"/>
      <c r="C345" s="7">
        <v>41095</v>
      </c>
      <c r="D345" s="5">
        <v>15.5</v>
      </c>
      <c r="E345" s="5">
        <v>12.3</v>
      </c>
      <c r="F345" s="5">
        <v>18.100000000000001</v>
      </c>
      <c r="G345" s="5">
        <f t="shared" si="47"/>
        <v>3175.3000000000006</v>
      </c>
      <c r="H345" s="5">
        <f t="shared" si="43"/>
        <v>115.1</v>
      </c>
      <c r="J345" s="5">
        <v>6.1</v>
      </c>
      <c r="K345" s="5">
        <f t="shared" si="48"/>
        <v>548.39999999999986</v>
      </c>
      <c r="L345" s="5">
        <v>1.9</v>
      </c>
      <c r="M345" s="5">
        <f t="shared" si="49"/>
        <v>475.49999999999983</v>
      </c>
      <c r="N345" s="5">
        <v>4.1999999999999993</v>
      </c>
      <c r="O345" s="5">
        <f t="shared" si="41"/>
        <v>135.99999999999997</v>
      </c>
      <c r="P345" s="5">
        <v>296</v>
      </c>
      <c r="Q345" s="24">
        <f t="shared" si="42"/>
        <v>0.4853846153846153</v>
      </c>
      <c r="R345" s="9">
        <f t="shared" si="45"/>
        <v>0.92223076923076908</v>
      </c>
      <c r="S345" s="9">
        <f t="shared" si="46"/>
        <v>5.1777692307692309</v>
      </c>
      <c r="T345" s="9">
        <f t="shared" si="50"/>
        <v>168.16359892325406</v>
      </c>
      <c r="V345" s="5">
        <v>1278.4000000000001</v>
      </c>
      <c r="X345" s="5">
        <f t="shared" si="51"/>
        <v>262978.79999999993</v>
      </c>
      <c r="Y345" s="5">
        <f t="shared" si="44"/>
        <v>8215</v>
      </c>
      <c r="AA345" s="5">
        <v>15.932557300249201</v>
      </c>
    </row>
    <row r="346" spans="1:27" s="5" customFormat="1" x14ac:dyDescent="0.25">
      <c r="A346" s="47"/>
      <c r="B346" s="44"/>
      <c r="C346" s="7">
        <v>41096</v>
      </c>
      <c r="D346" s="5">
        <v>15.3</v>
      </c>
      <c r="E346" s="5">
        <v>13.1</v>
      </c>
      <c r="F346" s="5">
        <v>19.600000000000001</v>
      </c>
      <c r="G346" s="5">
        <f t="shared" si="47"/>
        <v>3190.6000000000008</v>
      </c>
      <c r="H346" s="5">
        <f t="shared" si="43"/>
        <v>130.4</v>
      </c>
      <c r="J346" s="5">
        <v>8.6</v>
      </c>
      <c r="K346" s="5">
        <f t="shared" si="48"/>
        <v>556.99999999999989</v>
      </c>
      <c r="L346" s="5">
        <v>2.7</v>
      </c>
      <c r="M346" s="5">
        <f t="shared" si="49"/>
        <v>478.19999999999982</v>
      </c>
      <c r="N346" s="5">
        <v>5.8999999999999995</v>
      </c>
      <c r="O346" s="5">
        <f t="shared" ref="O346:O356" si="52">O345+N346</f>
        <v>141.89999999999998</v>
      </c>
      <c r="P346" s="5">
        <v>297</v>
      </c>
      <c r="Q346" s="24">
        <f t="shared" si="42"/>
        <v>0.47307692307692306</v>
      </c>
      <c r="R346" s="9">
        <f t="shared" si="45"/>
        <v>1.2773076923076923</v>
      </c>
      <c r="S346" s="9">
        <f t="shared" si="46"/>
        <v>7.3226923076923072</v>
      </c>
      <c r="T346" s="9">
        <f t="shared" si="50"/>
        <v>175.48629123094636</v>
      </c>
      <c r="V346" s="5">
        <v>1310</v>
      </c>
      <c r="X346" s="5">
        <f t="shared" si="51"/>
        <v>264288.79999999993</v>
      </c>
      <c r="Y346" s="5">
        <f t="shared" si="44"/>
        <v>9525</v>
      </c>
      <c r="AA346" s="5">
        <v>15.9126766326445</v>
      </c>
    </row>
    <row r="347" spans="1:27" s="5" customFormat="1" x14ac:dyDescent="0.25">
      <c r="A347" s="47"/>
      <c r="B347" s="44"/>
      <c r="C347" s="7">
        <v>41097</v>
      </c>
      <c r="D347" s="5">
        <v>16.3</v>
      </c>
      <c r="E347" s="5">
        <v>12.9</v>
      </c>
      <c r="F347" s="5">
        <v>20.5</v>
      </c>
      <c r="G347" s="5">
        <f t="shared" si="47"/>
        <v>3206.900000000001</v>
      </c>
      <c r="H347" s="5">
        <f t="shared" si="43"/>
        <v>146.70000000000002</v>
      </c>
      <c r="J347" s="5">
        <v>3.8</v>
      </c>
      <c r="K347" s="5">
        <f t="shared" si="48"/>
        <v>560.79999999999984</v>
      </c>
      <c r="L347" s="5">
        <v>1.8</v>
      </c>
      <c r="M347" s="5">
        <f t="shared" si="49"/>
        <v>479.99999999999983</v>
      </c>
      <c r="N347" s="5">
        <v>1.9999999999999998</v>
      </c>
      <c r="O347" s="5">
        <f t="shared" si="52"/>
        <v>143.89999999999998</v>
      </c>
      <c r="P347" s="5">
        <v>298</v>
      </c>
      <c r="Q347" s="24">
        <f t="shared" si="42"/>
        <v>0.46076923076923071</v>
      </c>
      <c r="R347" s="9">
        <f t="shared" si="45"/>
        <v>0.82938461538461528</v>
      </c>
      <c r="S347" s="9">
        <f t="shared" si="46"/>
        <v>2.9706153846153844</v>
      </c>
      <c r="T347" s="9">
        <f t="shared" si="50"/>
        <v>178.45690661556173</v>
      </c>
      <c r="V347" s="5">
        <v>742.2</v>
      </c>
      <c r="X347" s="5">
        <f t="shared" si="51"/>
        <v>265030.99999999994</v>
      </c>
      <c r="Y347" s="5">
        <f t="shared" si="44"/>
        <v>10267.200000000001</v>
      </c>
      <c r="AA347" s="5">
        <v>15.8915339979484</v>
      </c>
    </row>
    <row r="348" spans="1:27" s="5" customFormat="1" x14ac:dyDescent="0.25">
      <c r="A348" s="47"/>
      <c r="B348" s="44"/>
      <c r="C348" s="7">
        <v>41098</v>
      </c>
      <c r="D348" s="5">
        <v>16.899999999999999</v>
      </c>
      <c r="E348" s="5">
        <v>14.1</v>
      </c>
      <c r="F348" s="5">
        <v>20.6</v>
      </c>
      <c r="G348" s="5">
        <f t="shared" si="47"/>
        <v>3223.8000000000011</v>
      </c>
      <c r="H348" s="5">
        <f t="shared" si="43"/>
        <v>163.60000000000002</v>
      </c>
      <c r="J348" s="5">
        <v>3.4</v>
      </c>
      <c r="K348" s="5">
        <f t="shared" si="48"/>
        <v>564.19999999999982</v>
      </c>
      <c r="L348" s="5">
        <v>3.5</v>
      </c>
      <c r="M348" s="5">
        <f t="shared" si="49"/>
        <v>483.49999999999983</v>
      </c>
      <c r="N348" s="5">
        <v>-0.10000000000000009</v>
      </c>
      <c r="O348" s="5">
        <f t="shared" si="52"/>
        <v>143.79999999999998</v>
      </c>
      <c r="P348" s="5">
        <v>299</v>
      </c>
      <c r="Q348" s="24">
        <f t="shared" si="42"/>
        <v>0.44846153846153847</v>
      </c>
      <c r="R348" s="9">
        <f t="shared" si="45"/>
        <v>1.5696153846153846</v>
      </c>
      <c r="S348" s="9">
        <f t="shared" si="46"/>
        <v>1.8303846153846153</v>
      </c>
      <c r="T348" s="9">
        <f t="shared" si="50"/>
        <v>180.28729123094635</v>
      </c>
      <c r="V348" s="5">
        <v>1853.8</v>
      </c>
      <c r="X348" s="5">
        <f t="shared" si="51"/>
        <v>266884.79999999993</v>
      </c>
      <c r="Y348" s="5">
        <f t="shared" si="44"/>
        <v>12121</v>
      </c>
      <c r="AA348" s="5">
        <v>15.869149492282199</v>
      </c>
    </row>
    <row r="349" spans="1:27" s="5" customFormat="1" x14ac:dyDescent="0.25">
      <c r="A349" s="47"/>
      <c r="B349" s="44"/>
      <c r="C349" s="7">
        <v>41099</v>
      </c>
      <c r="D349" s="5">
        <v>16.600000000000001</v>
      </c>
      <c r="E349" s="5">
        <v>13.2</v>
      </c>
      <c r="F349" s="5">
        <v>19.7</v>
      </c>
      <c r="G349" s="5">
        <f t="shared" si="47"/>
        <v>3240.400000000001</v>
      </c>
      <c r="H349" s="5">
        <f t="shared" si="43"/>
        <v>180.20000000000002</v>
      </c>
      <c r="J349" s="5">
        <v>0</v>
      </c>
      <c r="K349" s="5">
        <f t="shared" si="48"/>
        <v>564.19999999999982</v>
      </c>
      <c r="L349" s="5">
        <v>2.2999999999999998</v>
      </c>
      <c r="M349" s="5">
        <f t="shared" si="49"/>
        <v>485.79999999999984</v>
      </c>
      <c r="N349" s="5">
        <v>-2.2999999999999998</v>
      </c>
      <c r="O349" s="5">
        <f t="shared" si="52"/>
        <v>141.49999999999997</v>
      </c>
      <c r="P349" s="5">
        <v>300</v>
      </c>
      <c r="Q349" s="24">
        <f t="shared" si="42"/>
        <v>0.43615384615384611</v>
      </c>
      <c r="R349" s="9">
        <f t="shared" si="45"/>
        <v>1.0031538461538461</v>
      </c>
      <c r="S349" s="9">
        <f t="shared" si="46"/>
        <v>-1.0031538461538461</v>
      </c>
      <c r="T349" s="9">
        <f t="shared" si="50"/>
        <v>179.2841373847925</v>
      </c>
      <c r="V349" s="5">
        <v>1103.4000000000001</v>
      </c>
      <c r="X349" s="5">
        <f t="shared" si="51"/>
        <v>267988.19999999995</v>
      </c>
      <c r="Y349" s="5">
        <f t="shared" si="44"/>
        <v>13224.4</v>
      </c>
      <c r="AA349" s="5">
        <v>15.845544046489801</v>
      </c>
    </row>
    <row r="350" spans="1:27" s="5" customFormat="1" x14ac:dyDescent="0.25">
      <c r="A350" s="47"/>
      <c r="B350" s="44"/>
      <c r="C350" s="7">
        <v>41100</v>
      </c>
      <c r="D350" s="5">
        <v>15.9</v>
      </c>
      <c r="E350" s="5">
        <v>13.8</v>
      </c>
      <c r="F350" s="5">
        <v>19.8</v>
      </c>
      <c r="G350" s="5">
        <f t="shared" si="47"/>
        <v>3256.3000000000011</v>
      </c>
      <c r="H350" s="5">
        <f t="shared" si="43"/>
        <v>196.10000000000002</v>
      </c>
      <c r="J350" s="5">
        <v>1.4</v>
      </c>
      <c r="K350" s="5">
        <f t="shared" si="48"/>
        <v>565.5999999999998</v>
      </c>
      <c r="L350" s="5">
        <v>3.1</v>
      </c>
      <c r="M350" s="5">
        <f t="shared" si="49"/>
        <v>488.89999999999986</v>
      </c>
      <c r="N350" s="5">
        <v>-1.7000000000000002</v>
      </c>
      <c r="O350" s="5">
        <f t="shared" si="52"/>
        <v>139.79999999999998</v>
      </c>
      <c r="P350" s="5">
        <v>301</v>
      </c>
      <c r="Q350" s="24">
        <f t="shared" si="42"/>
        <v>0.42384615384615387</v>
      </c>
      <c r="R350" s="9">
        <f t="shared" si="45"/>
        <v>1.313923076923077</v>
      </c>
      <c r="S350" s="9">
        <f t="shared" si="46"/>
        <v>8.607692307692294E-2</v>
      </c>
      <c r="T350" s="9">
        <f t="shared" si="50"/>
        <v>179.37021430786942</v>
      </c>
      <c r="V350" s="5">
        <v>1478.4</v>
      </c>
      <c r="X350" s="5">
        <f t="shared" si="51"/>
        <v>269466.59999999998</v>
      </c>
      <c r="Y350" s="5">
        <f t="shared" si="44"/>
        <v>14702.8</v>
      </c>
      <c r="AA350" s="5">
        <v>15.8207393593835</v>
      </c>
    </row>
    <row r="351" spans="1:27" s="5" customFormat="1" x14ac:dyDescent="0.25">
      <c r="A351" s="47"/>
      <c r="B351" s="44"/>
      <c r="C351" s="7">
        <v>41101</v>
      </c>
      <c r="D351" s="5">
        <v>15.4</v>
      </c>
      <c r="E351" s="5">
        <v>12</v>
      </c>
      <c r="F351" s="5">
        <v>19.100000000000001</v>
      </c>
      <c r="G351" s="5">
        <f t="shared" si="47"/>
        <v>3271.7000000000012</v>
      </c>
      <c r="H351" s="5">
        <f t="shared" si="43"/>
        <v>211.50000000000003</v>
      </c>
      <c r="J351" s="5">
        <v>2.9</v>
      </c>
      <c r="K351" s="5">
        <f t="shared" si="48"/>
        <v>568.49999999999977</v>
      </c>
      <c r="L351" s="5">
        <v>3.3</v>
      </c>
      <c r="M351" s="5">
        <f t="shared" si="49"/>
        <v>492.19999999999987</v>
      </c>
      <c r="N351" s="5">
        <v>-0.39999999999999991</v>
      </c>
      <c r="O351" s="5">
        <f t="shared" si="52"/>
        <v>139.39999999999998</v>
      </c>
      <c r="P351" s="5">
        <v>302</v>
      </c>
      <c r="Q351" s="24">
        <f t="shared" si="42"/>
        <v>0.41153846153846152</v>
      </c>
      <c r="R351" s="9">
        <f t="shared" si="45"/>
        <v>1.358076923076923</v>
      </c>
      <c r="S351" s="9">
        <f t="shared" si="46"/>
        <v>1.541923076923077</v>
      </c>
      <c r="T351" s="9">
        <f t="shared" si="50"/>
        <v>180.91213738479249</v>
      </c>
      <c r="V351" s="5">
        <v>1947</v>
      </c>
      <c r="X351" s="5">
        <f t="shared" si="51"/>
        <v>271413.59999999998</v>
      </c>
      <c r="Y351" s="5">
        <f t="shared" si="44"/>
        <v>16649.8</v>
      </c>
      <c r="AA351" s="5">
        <v>15.7947578302865</v>
      </c>
    </row>
    <row r="352" spans="1:27" s="5" customFormat="1" x14ac:dyDescent="0.25">
      <c r="A352" s="47"/>
      <c r="B352" s="44"/>
      <c r="C352" s="7">
        <v>41102</v>
      </c>
      <c r="D352" s="5">
        <v>15</v>
      </c>
      <c r="E352" s="5">
        <v>13.4</v>
      </c>
      <c r="F352" s="5">
        <v>17.2</v>
      </c>
      <c r="G352" s="5">
        <f t="shared" si="47"/>
        <v>3286.7000000000012</v>
      </c>
      <c r="H352" s="5">
        <f t="shared" si="43"/>
        <v>226.50000000000003</v>
      </c>
      <c r="J352" s="5">
        <v>11.5</v>
      </c>
      <c r="K352" s="5">
        <f t="shared" si="48"/>
        <v>579.99999999999977</v>
      </c>
      <c r="L352" s="5">
        <v>1.7</v>
      </c>
      <c r="M352" s="5">
        <f t="shared" si="49"/>
        <v>493.89999999999986</v>
      </c>
      <c r="N352" s="5">
        <v>9.8000000000000007</v>
      </c>
      <c r="O352" s="5">
        <f t="shared" si="52"/>
        <v>149.19999999999999</v>
      </c>
      <c r="P352" s="5">
        <v>303</v>
      </c>
      <c r="Q352" s="24">
        <f t="shared" si="42"/>
        <v>0.39923076923076917</v>
      </c>
      <c r="R352" s="9">
        <f t="shared" si="45"/>
        <v>0.67869230769230759</v>
      </c>
      <c r="S352" s="9">
        <f t="shared" si="46"/>
        <v>10.821307692307693</v>
      </c>
      <c r="T352" s="9">
        <f t="shared" si="50"/>
        <v>191.73344507710019</v>
      </c>
      <c r="V352" s="5">
        <v>646.5</v>
      </c>
      <c r="X352" s="5">
        <f t="shared" si="51"/>
        <v>272060.09999999998</v>
      </c>
      <c r="Y352" s="5">
        <f t="shared" si="44"/>
        <v>17296.3</v>
      </c>
      <c r="AA352" s="5">
        <v>15.7676224912632</v>
      </c>
    </row>
    <row r="353" spans="1:27" s="5" customFormat="1" x14ac:dyDescent="0.25">
      <c r="A353" s="47"/>
      <c r="B353" s="44"/>
      <c r="C353" s="7">
        <v>41103</v>
      </c>
      <c r="D353" s="5">
        <v>14.8</v>
      </c>
      <c r="E353" s="5">
        <v>14.1</v>
      </c>
      <c r="F353" s="5">
        <v>16.3</v>
      </c>
      <c r="G353" s="5">
        <f t="shared" si="47"/>
        <v>3301.5000000000014</v>
      </c>
      <c r="H353" s="5">
        <f t="shared" si="43"/>
        <v>241.30000000000004</v>
      </c>
      <c r="J353" s="5">
        <v>7.1</v>
      </c>
      <c r="K353" s="5">
        <f t="shared" si="48"/>
        <v>587.0999999999998</v>
      </c>
      <c r="L353" s="5">
        <v>1.7</v>
      </c>
      <c r="M353" s="5">
        <f t="shared" si="49"/>
        <v>495.59999999999985</v>
      </c>
      <c r="N353" s="5">
        <v>5.3999999999999995</v>
      </c>
      <c r="O353" s="5">
        <f t="shared" si="52"/>
        <v>154.6</v>
      </c>
      <c r="P353" s="5">
        <v>304</v>
      </c>
      <c r="Q353" s="24">
        <f t="shared" si="42"/>
        <v>0.38692307692307681</v>
      </c>
      <c r="R353" s="9">
        <f t="shared" si="45"/>
        <v>0.65776923076923055</v>
      </c>
      <c r="S353" s="9">
        <f t="shared" si="46"/>
        <v>6.4422307692307692</v>
      </c>
      <c r="T353" s="9">
        <f t="shared" si="50"/>
        <v>197.4</v>
      </c>
      <c r="V353" s="5">
        <v>918</v>
      </c>
      <c r="X353" s="5">
        <f t="shared" si="51"/>
        <v>272978.09999999998</v>
      </c>
      <c r="Y353" s="5">
        <f t="shared" si="44"/>
        <v>18214.3</v>
      </c>
      <c r="AA353" s="5">
        <v>15.7393569394096</v>
      </c>
    </row>
    <row r="354" spans="1:27" s="5" customFormat="1" x14ac:dyDescent="0.25">
      <c r="A354" s="47"/>
      <c r="B354" s="44"/>
      <c r="C354" s="7">
        <v>41104</v>
      </c>
      <c r="D354" s="5">
        <v>15.2</v>
      </c>
      <c r="E354" s="5">
        <v>12</v>
      </c>
      <c r="F354" s="5">
        <v>19.2</v>
      </c>
      <c r="G354" s="5">
        <f t="shared" si="47"/>
        <v>3316.7000000000012</v>
      </c>
      <c r="H354" s="5">
        <f t="shared" si="43"/>
        <v>256.50000000000006</v>
      </c>
      <c r="J354" s="5">
        <v>12.8</v>
      </c>
      <c r="K354" s="5">
        <f t="shared" si="48"/>
        <v>599.89999999999975</v>
      </c>
      <c r="L354" s="5">
        <v>3.2</v>
      </c>
      <c r="M354" s="5">
        <f t="shared" si="49"/>
        <v>498.79999999999984</v>
      </c>
      <c r="N354" s="5">
        <v>9.6000000000000014</v>
      </c>
      <c r="O354" s="5">
        <f t="shared" si="52"/>
        <v>164.2</v>
      </c>
      <c r="P354" s="5">
        <v>305</v>
      </c>
      <c r="Q354" s="24">
        <f t="shared" si="42"/>
        <v>0.37461538461538457</v>
      </c>
      <c r="R354" s="9">
        <f t="shared" si="45"/>
        <v>1.1987692307692306</v>
      </c>
      <c r="S354" s="9">
        <f t="shared" si="46"/>
        <v>11.601230769230771</v>
      </c>
      <c r="T354" s="9">
        <f t="shared" si="50"/>
        <v>197.4</v>
      </c>
      <c r="V354" s="5">
        <v>1837.9</v>
      </c>
      <c r="X354" s="5">
        <f t="shared" si="51"/>
        <v>274816</v>
      </c>
      <c r="Y354" s="5">
        <f t="shared" si="44"/>
        <v>20052.2</v>
      </c>
      <c r="AA354" s="5">
        <v>15.7099852695598</v>
      </c>
    </row>
    <row r="355" spans="1:27" s="5" customFormat="1" x14ac:dyDescent="0.25">
      <c r="A355" s="47"/>
      <c r="B355" s="44"/>
      <c r="C355" s="7">
        <v>41105</v>
      </c>
      <c r="D355" s="5">
        <v>14.7</v>
      </c>
      <c r="E355" s="5">
        <v>11.5</v>
      </c>
      <c r="F355" s="5">
        <v>18.600000000000001</v>
      </c>
      <c r="G355" s="5">
        <f t="shared" si="47"/>
        <v>3331.400000000001</v>
      </c>
      <c r="H355" s="5">
        <f t="shared" si="43"/>
        <v>271.20000000000005</v>
      </c>
      <c r="J355" s="5">
        <v>0.3</v>
      </c>
      <c r="K355" s="5">
        <f t="shared" si="48"/>
        <v>600.1999999999997</v>
      </c>
      <c r="L355" s="5">
        <v>3.1</v>
      </c>
      <c r="M355" s="5">
        <f t="shared" si="49"/>
        <v>501.89999999999986</v>
      </c>
      <c r="N355" s="5">
        <v>-2.8000000000000003</v>
      </c>
      <c r="O355" s="5">
        <f t="shared" si="52"/>
        <v>161.39999999999998</v>
      </c>
      <c r="P355" s="5">
        <v>306</v>
      </c>
      <c r="Q355" s="24">
        <f t="shared" si="42"/>
        <v>0.36230769230769222</v>
      </c>
      <c r="R355" s="9">
        <f t="shared" si="45"/>
        <v>1.1231538461538459</v>
      </c>
      <c r="S355" s="9">
        <f t="shared" si="46"/>
        <v>-0.8231538461538459</v>
      </c>
      <c r="T355" s="9">
        <f t="shared" si="50"/>
        <v>196.57684615384616</v>
      </c>
      <c r="V355" s="5">
        <v>1727.2</v>
      </c>
      <c r="X355" s="5">
        <f t="shared" si="51"/>
        <v>276543.2</v>
      </c>
      <c r="Y355" s="5">
        <f t="shared" si="44"/>
        <v>21779.4</v>
      </c>
      <c r="AA355" s="5">
        <v>15.6795320077421</v>
      </c>
    </row>
    <row r="356" spans="1:27" s="5" customFormat="1" x14ac:dyDescent="0.25">
      <c r="A356" s="47"/>
      <c r="B356" s="44"/>
      <c r="C356" s="7">
        <v>41106</v>
      </c>
      <c r="D356" s="5">
        <v>16.399999999999999</v>
      </c>
      <c r="E356" s="5">
        <v>10.6</v>
      </c>
      <c r="F356" s="5">
        <v>20.5</v>
      </c>
      <c r="G356" s="5">
        <f t="shared" si="47"/>
        <v>3347.8000000000011</v>
      </c>
      <c r="H356" s="5">
        <f t="shared" si="43"/>
        <v>287.60000000000002</v>
      </c>
      <c r="J356" s="5">
        <v>0</v>
      </c>
      <c r="K356" s="5">
        <f t="shared" si="48"/>
        <v>600.1999999999997</v>
      </c>
      <c r="L356" s="5">
        <v>2.2000000000000002</v>
      </c>
      <c r="M356" s="5">
        <f t="shared" si="49"/>
        <v>504.09999999999985</v>
      </c>
      <c r="N356" s="5">
        <v>-2.2000000000000002</v>
      </c>
      <c r="O356" s="5">
        <f t="shared" si="52"/>
        <v>159.19999999999999</v>
      </c>
      <c r="P356" s="5">
        <v>307</v>
      </c>
      <c r="Q356" s="24">
        <f t="shared" si="42"/>
        <v>0.35</v>
      </c>
      <c r="R356" s="9">
        <f t="shared" si="45"/>
        <v>0.77</v>
      </c>
      <c r="S356" s="9">
        <f t="shared" si="46"/>
        <v>-0.77</v>
      </c>
      <c r="T356" s="9">
        <f t="shared" si="50"/>
        <v>195.80684615384615</v>
      </c>
      <c r="V356" s="5">
        <v>1070.5999999999999</v>
      </c>
      <c r="X356" s="5">
        <f t="shared" si="51"/>
        <v>277613.8</v>
      </c>
      <c r="Y356" s="5">
        <f t="shared" si="44"/>
        <v>22850</v>
      </c>
    </row>
    <row r="357" spans="1:27" s="5" customFormat="1" x14ac:dyDescent="0.25">
      <c r="A357" s="74" t="s">
        <v>50</v>
      </c>
      <c r="B357" s="74"/>
      <c r="C357" s="74"/>
      <c r="D357" s="74"/>
      <c r="E357" s="74"/>
      <c r="F357" s="74"/>
      <c r="G357" s="74"/>
      <c r="H357" s="74"/>
      <c r="I357" s="74"/>
      <c r="J357" s="74"/>
      <c r="K357" s="74"/>
      <c r="L357" s="74"/>
      <c r="M357" s="74"/>
      <c r="N357" s="74"/>
      <c r="O357" s="74"/>
      <c r="P357" s="74"/>
      <c r="Q357" s="74"/>
      <c r="R357" s="74"/>
      <c r="S357" s="74"/>
      <c r="T357" s="74"/>
      <c r="U357" s="74"/>
      <c r="V357" s="74"/>
      <c r="W357" s="74"/>
      <c r="X357" s="74"/>
      <c r="Y357" s="74"/>
      <c r="Z357" s="74"/>
    </row>
  </sheetData>
  <mergeCells count="14">
    <mergeCell ref="D1:I2"/>
    <mergeCell ref="J1:U2"/>
    <mergeCell ref="V1:Z2"/>
    <mergeCell ref="P3:T3"/>
    <mergeCell ref="G4:H4"/>
    <mergeCell ref="X4:Y4"/>
    <mergeCell ref="A313:A338"/>
    <mergeCell ref="A357:Z357"/>
    <mergeCell ref="A49:Z49"/>
    <mergeCell ref="A50:A171"/>
    <mergeCell ref="A172:A211"/>
    <mergeCell ref="A212:A242"/>
    <mergeCell ref="A264:A291"/>
    <mergeCell ref="A292:A312"/>
  </mergeCells>
  <conditionalFormatting sqref="V1:V4">
    <cfRule type="cellIs" dxfId="21" priority="11" operator="between">
      <formula>899.999</formula>
      <formula>0</formula>
    </cfRule>
  </conditionalFormatting>
  <conditionalFormatting sqref="T1:T4">
    <cfRule type="cellIs" dxfId="20" priority="9" operator="equal">
      <formula>0</formula>
    </cfRule>
    <cfRule type="cellIs" dxfId="19" priority="10" operator="lessThanOrEqual">
      <formula>65.8</formula>
    </cfRule>
  </conditionalFormatting>
  <conditionalFormatting sqref="D5:F48 D50:F356 G50 I53 I57 I59 I61 I63 I179 I181 I183 I185 I213 I219 I221 I223 I225 I250 I252 I254 I256 I271 I273 I275 I277 I299 I301 I303 I305 I320 I322 I324 I326">
    <cfRule type="cellIs" dxfId="18" priority="6" operator="between">
      <formula>25</formula>
      <formula>40</formula>
    </cfRule>
    <cfRule type="cellIs" dxfId="17" priority="7" operator="between">
      <formula>0</formula>
      <formula>5</formula>
    </cfRule>
    <cfRule type="cellIs" dxfId="16" priority="8" operator="between">
      <formula>0</formula>
      <formula>-50</formula>
    </cfRule>
  </conditionalFormatting>
  <conditionalFormatting sqref="N5:N48 N50:N356">
    <cfRule type="cellIs" dxfId="15" priority="5" operator="between">
      <formula>0</formula>
      <formula>-40</formula>
    </cfRule>
  </conditionalFormatting>
  <conditionalFormatting sqref="V5:V357">
    <cfRule type="cellIs" dxfId="14" priority="4" operator="between">
      <formula>899.999</formula>
      <formula>0</formula>
    </cfRule>
  </conditionalFormatting>
  <conditionalFormatting sqref="S50:S356">
    <cfRule type="cellIs" dxfId="13" priority="3" operator="lessThanOrEqual">
      <formula>0</formula>
    </cfRule>
  </conditionalFormatting>
  <conditionalFormatting sqref="T5:T357">
    <cfRule type="cellIs" dxfId="12" priority="1" operator="equal">
      <formula>0</formula>
    </cfRule>
    <cfRule type="cellIs" dxfId="11" priority="2" operator="lessThanOrEqual">
      <formula>65.8</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A357"/>
  <sheetViews>
    <sheetView zoomScale="80" zoomScaleNormal="80" workbookViewId="0">
      <pane xSplit="3" ySplit="4" topLeftCell="D297" activePane="bottomRight" state="frozen"/>
      <selection pane="topRight" activeCell="D1" sqref="D1"/>
      <selection pane="bottomLeft" activeCell="A5" sqref="A5"/>
      <selection pane="bottomRight" activeCell="Q257" sqref="Q257"/>
    </sheetView>
  </sheetViews>
  <sheetFormatPr baseColWidth="10" defaultRowHeight="15" x14ac:dyDescent="0.25"/>
  <sheetData>
    <row r="1" spans="1:27" s="2" customFormat="1" x14ac:dyDescent="0.25">
      <c r="A1"/>
      <c r="B1" s="1"/>
      <c r="C1"/>
      <c r="D1" s="81" t="s">
        <v>0</v>
      </c>
      <c r="E1" s="81"/>
      <c r="F1" s="81"/>
      <c r="G1" s="81"/>
      <c r="H1" s="81"/>
      <c r="I1" s="81"/>
      <c r="J1" s="81" t="s">
        <v>1</v>
      </c>
      <c r="K1" s="81"/>
      <c r="L1" s="81"/>
      <c r="M1" s="81"/>
      <c r="N1" s="81"/>
      <c r="O1" s="81"/>
      <c r="P1" s="81"/>
      <c r="Q1" s="81"/>
      <c r="R1" s="81"/>
      <c r="S1" s="81"/>
      <c r="T1" s="81"/>
      <c r="U1" s="81"/>
      <c r="V1" s="81" t="s">
        <v>2</v>
      </c>
      <c r="W1" s="82"/>
      <c r="X1" s="82"/>
      <c r="Y1" s="82"/>
      <c r="Z1" s="82"/>
    </row>
    <row r="2" spans="1:27" s="2" customFormat="1" x14ac:dyDescent="0.25">
      <c r="A2"/>
      <c r="B2" s="1"/>
      <c r="C2"/>
      <c r="D2" s="81"/>
      <c r="E2" s="81"/>
      <c r="F2" s="81"/>
      <c r="G2" s="81"/>
      <c r="H2" s="81"/>
      <c r="I2" s="81"/>
      <c r="J2" s="81"/>
      <c r="K2" s="81"/>
      <c r="L2" s="81"/>
      <c r="M2" s="81"/>
      <c r="N2" s="81"/>
      <c r="O2" s="81"/>
      <c r="P2" s="81"/>
      <c r="Q2" s="81"/>
      <c r="R2" s="81"/>
      <c r="S2" s="81"/>
      <c r="T2" s="81"/>
      <c r="U2" s="81"/>
      <c r="V2" s="82"/>
      <c r="W2" s="82"/>
      <c r="X2" s="82"/>
      <c r="Y2" s="82"/>
      <c r="Z2" s="82"/>
    </row>
    <row r="3" spans="1:27" s="2" customFormat="1" x14ac:dyDescent="0.25">
      <c r="A3"/>
      <c r="B3" s="1"/>
      <c r="C3"/>
      <c r="D3" s="3"/>
      <c r="E3" s="3"/>
      <c r="F3" s="3"/>
      <c r="G3" s="3"/>
      <c r="H3" s="3"/>
      <c r="I3" s="3"/>
      <c r="J3" s="3"/>
      <c r="K3" s="3"/>
      <c r="L3" s="3"/>
      <c r="M3" s="3"/>
      <c r="N3" s="3"/>
      <c r="O3" s="3"/>
      <c r="P3" s="81" t="s">
        <v>3</v>
      </c>
      <c r="Q3" s="81"/>
      <c r="R3" s="81"/>
      <c r="S3" s="81"/>
      <c r="T3" s="81"/>
      <c r="U3" s="3"/>
      <c r="V3" s="4"/>
      <c r="W3" s="4"/>
      <c r="X3" s="4"/>
      <c r="Y3" s="4"/>
      <c r="Z3" s="4"/>
    </row>
    <row r="4" spans="1:27" s="2" customFormat="1" x14ac:dyDescent="0.25">
      <c r="A4" t="s">
        <v>4</v>
      </c>
      <c r="B4" s="1">
        <v>5</v>
      </c>
      <c r="C4" t="s">
        <v>5</v>
      </c>
      <c r="D4" t="s">
        <v>6</v>
      </c>
      <c r="E4" t="s">
        <v>7</v>
      </c>
      <c r="F4" t="s">
        <v>8</v>
      </c>
      <c r="G4" s="83" t="s">
        <v>9</v>
      </c>
      <c r="H4" s="83"/>
      <c r="I4" t="s">
        <v>10</v>
      </c>
      <c r="J4" t="s">
        <v>11</v>
      </c>
      <c r="K4" t="s">
        <v>12</v>
      </c>
      <c r="L4" t="s">
        <v>13</v>
      </c>
      <c r="M4" t="s">
        <v>14</v>
      </c>
      <c r="N4" t="s">
        <v>15</v>
      </c>
      <c r="O4" t="s">
        <v>16</v>
      </c>
      <c r="P4" t="s">
        <v>17</v>
      </c>
      <c r="Q4" t="s">
        <v>18</v>
      </c>
      <c r="R4" t="s">
        <v>19</v>
      </c>
      <c r="S4" t="s">
        <v>20</v>
      </c>
      <c r="T4" t="s">
        <v>21</v>
      </c>
      <c r="U4" t="s">
        <v>10</v>
      </c>
      <c r="V4" t="s">
        <v>22</v>
      </c>
      <c r="W4" t="s">
        <v>23</v>
      </c>
      <c r="X4" s="83" t="s">
        <v>24</v>
      </c>
      <c r="Y4" s="83"/>
      <c r="Z4" t="s">
        <v>10</v>
      </c>
      <c r="AA4" s="2" t="s">
        <v>25</v>
      </c>
    </row>
    <row r="5" spans="1:27" s="5" customFormat="1" x14ac:dyDescent="0.25">
      <c r="B5" s="6"/>
      <c r="C5" s="7">
        <v>40756</v>
      </c>
      <c r="D5" s="5">
        <v>20.3</v>
      </c>
      <c r="E5" s="5">
        <v>13.4</v>
      </c>
      <c r="F5" s="5">
        <v>27.7</v>
      </c>
      <c r="G5" s="8"/>
      <c r="H5" s="8"/>
      <c r="I5" s="8"/>
      <c r="J5" s="5">
        <v>0</v>
      </c>
      <c r="K5" s="8"/>
      <c r="L5" s="5">
        <v>4.5999999999999996</v>
      </c>
      <c r="M5" s="8"/>
      <c r="N5" s="5">
        <v>-4.5999999999999996</v>
      </c>
      <c r="O5" s="5">
        <v>0</v>
      </c>
      <c r="T5" s="9">
        <v>0</v>
      </c>
      <c r="V5" s="5">
        <v>2241.8000000000002</v>
      </c>
    </row>
    <row r="6" spans="1:27" s="5" customFormat="1" x14ac:dyDescent="0.25">
      <c r="B6" s="6"/>
      <c r="C6" s="7">
        <v>40757</v>
      </c>
      <c r="D6" s="5">
        <v>21.1</v>
      </c>
      <c r="E6" s="5">
        <v>15.8</v>
      </c>
      <c r="F6" s="5">
        <v>26.8</v>
      </c>
      <c r="G6" s="8"/>
      <c r="H6" s="8"/>
      <c r="I6" s="8"/>
      <c r="J6" s="5">
        <v>0</v>
      </c>
      <c r="K6" s="8"/>
      <c r="L6" s="5">
        <v>2</v>
      </c>
      <c r="M6" s="8"/>
      <c r="N6" s="5">
        <v>-2</v>
      </c>
      <c r="O6" s="5">
        <v>0</v>
      </c>
      <c r="T6" s="9">
        <v>0</v>
      </c>
      <c r="V6" s="5">
        <v>685.6</v>
      </c>
    </row>
    <row r="7" spans="1:27" s="5" customFormat="1" x14ac:dyDescent="0.25">
      <c r="B7" s="6"/>
      <c r="C7" s="7">
        <v>40758</v>
      </c>
      <c r="D7" s="5">
        <v>21.1</v>
      </c>
      <c r="E7" s="5">
        <v>16.7</v>
      </c>
      <c r="F7" s="5">
        <v>26.3</v>
      </c>
      <c r="G7" s="8"/>
      <c r="H7" s="8"/>
      <c r="I7" s="8"/>
      <c r="J7" s="5">
        <v>0.7</v>
      </c>
      <c r="K7" s="8"/>
      <c r="L7" s="5">
        <v>4.8</v>
      </c>
      <c r="M7" s="8"/>
      <c r="N7" s="5">
        <v>-4.0999999999999996</v>
      </c>
      <c r="O7" s="5">
        <v>0</v>
      </c>
      <c r="T7" s="9">
        <v>0</v>
      </c>
      <c r="V7" s="5">
        <v>2121.3000000000002</v>
      </c>
    </row>
    <row r="8" spans="1:27" s="5" customFormat="1" x14ac:dyDescent="0.25">
      <c r="B8" s="6"/>
      <c r="C8" s="7">
        <v>40759</v>
      </c>
      <c r="D8" s="5">
        <v>20</v>
      </c>
      <c r="E8" s="5">
        <v>18.2</v>
      </c>
      <c r="F8" s="5">
        <v>22.1</v>
      </c>
      <c r="G8" s="8"/>
      <c r="H8" s="8"/>
      <c r="I8" s="8"/>
      <c r="J8" s="5">
        <v>23.2</v>
      </c>
      <c r="K8" s="8"/>
      <c r="L8" s="5">
        <v>1.1000000000000001</v>
      </c>
      <c r="M8" s="8"/>
      <c r="N8" s="5">
        <v>22.099999999999998</v>
      </c>
      <c r="O8" s="5">
        <f t="shared" ref="O8:O48" si="0">O7+N8</f>
        <v>22.099999999999998</v>
      </c>
      <c r="T8" s="9">
        <f t="shared" ref="T8:T48" si="1">MIN(197.4,(T7+N8))</f>
        <v>22.099999999999998</v>
      </c>
      <c r="V8" s="5">
        <v>452.6</v>
      </c>
    </row>
    <row r="9" spans="1:27" s="5" customFormat="1" x14ac:dyDescent="0.25">
      <c r="B9" s="6"/>
      <c r="C9" s="7">
        <v>40760</v>
      </c>
      <c r="D9" s="5">
        <v>17.100000000000001</v>
      </c>
      <c r="E9" s="5">
        <v>15.3</v>
      </c>
      <c r="F9" s="5">
        <v>19</v>
      </c>
      <c r="G9" s="8"/>
      <c r="H9" s="8"/>
      <c r="I9" s="8"/>
      <c r="J9" s="5">
        <v>2.6</v>
      </c>
      <c r="K9" s="8"/>
      <c r="L9" s="5">
        <v>1.3</v>
      </c>
      <c r="M9" s="8"/>
      <c r="N9" s="5">
        <v>1.3</v>
      </c>
      <c r="O9" s="5">
        <f t="shared" si="0"/>
        <v>23.4</v>
      </c>
      <c r="T9" s="9">
        <f t="shared" si="1"/>
        <v>23.4</v>
      </c>
      <c r="V9" s="5">
        <v>632</v>
      </c>
    </row>
    <row r="10" spans="1:27" s="5" customFormat="1" x14ac:dyDescent="0.25">
      <c r="B10" s="6"/>
      <c r="C10" s="7">
        <v>40761</v>
      </c>
      <c r="D10" s="5">
        <v>15.8</v>
      </c>
      <c r="E10" s="5">
        <v>15.2</v>
      </c>
      <c r="F10" s="5">
        <v>17.399999999999999</v>
      </c>
      <c r="G10" s="8"/>
      <c r="H10" s="8"/>
      <c r="I10" s="8"/>
      <c r="J10" s="5">
        <v>6.8</v>
      </c>
      <c r="K10" s="8"/>
      <c r="L10" s="5">
        <v>1.9</v>
      </c>
      <c r="M10" s="8"/>
      <c r="N10" s="5">
        <v>4.9000000000000004</v>
      </c>
      <c r="O10" s="5">
        <f t="shared" si="0"/>
        <v>28.299999999999997</v>
      </c>
      <c r="T10" s="9">
        <f t="shared" si="1"/>
        <v>28.299999999999997</v>
      </c>
      <c r="V10" s="5">
        <v>986.8</v>
      </c>
    </row>
    <row r="11" spans="1:27" s="5" customFormat="1" x14ac:dyDescent="0.25">
      <c r="B11" s="6"/>
      <c r="C11" s="7">
        <v>40762</v>
      </c>
      <c r="D11" s="5">
        <v>15.3</v>
      </c>
      <c r="E11" s="5">
        <v>11.4</v>
      </c>
      <c r="F11" s="5">
        <v>19.8</v>
      </c>
      <c r="G11" s="8"/>
      <c r="H11" s="8"/>
      <c r="I11" s="8"/>
      <c r="J11" s="5">
        <v>9.6</v>
      </c>
      <c r="K11" s="8"/>
      <c r="L11" s="5">
        <v>2.5</v>
      </c>
      <c r="M11" s="8"/>
      <c r="N11" s="5">
        <v>7.1</v>
      </c>
      <c r="O11" s="5">
        <f t="shared" si="0"/>
        <v>35.4</v>
      </c>
      <c r="T11" s="9">
        <f t="shared" si="1"/>
        <v>35.4</v>
      </c>
      <c r="V11" s="5">
        <v>1143</v>
      </c>
    </row>
    <row r="12" spans="1:27" s="5" customFormat="1" x14ac:dyDescent="0.25">
      <c r="B12" s="6"/>
      <c r="C12" s="7">
        <v>40763</v>
      </c>
      <c r="D12" s="5">
        <v>16.3</v>
      </c>
      <c r="E12" s="5">
        <v>12.8</v>
      </c>
      <c r="F12" s="5">
        <v>21.1</v>
      </c>
      <c r="G12" s="8"/>
      <c r="H12" s="8"/>
      <c r="I12" s="8"/>
      <c r="J12" s="5">
        <v>0.1</v>
      </c>
      <c r="K12" s="8"/>
      <c r="L12" s="5">
        <v>3.2</v>
      </c>
      <c r="M12" s="8"/>
      <c r="N12" s="5">
        <v>-3.1</v>
      </c>
      <c r="O12" s="5">
        <f t="shared" si="0"/>
        <v>32.299999999999997</v>
      </c>
      <c r="T12" s="9">
        <f t="shared" si="1"/>
        <v>32.299999999999997</v>
      </c>
      <c r="V12" s="5">
        <v>1491.4</v>
      </c>
    </row>
    <row r="13" spans="1:27" s="5" customFormat="1" x14ac:dyDescent="0.25">
      <c r="B13" s="6"/>
      <c r="C13" s="7">
        <v>40764</v>
      </c>
      <c r="D13" s="5">
        <v>15.7</v>
      </c>
      <c r="E13" s="5">
        <v>12.5</v>
      </c>
      <c r="F13" s="5">
        <v>21.1</v>
      </c>
      <c r="G13" s="8"/>
      <c r="H13" s="8"/>
      <c r="I13" s="8"/>
      <c r="J13" s="5">
        <v>0</v>
      </c>
      <c r="K13" s="8"/>
      <c r="L13" s="5">
        <v>3.8</v>
      </c>
      <c r="M13" s="8"/>
      <c r="N13" s="5">
        <v>-3.8</v>
      </c>
      <c r="O13" s="5">
        <f t="shared" si="0"/>
        <v>28.499999999999996</v>
      </c>
      <c r="T13" s="9">
        <f t="shared" si="1"/>
        <v>28.499999999999996</v>
      </c>
      <c r="V13" s="5">
        <v>2034.6</v>
      </c>
    </row>
    <row r="14" spans="1:27" s="5" customFormat="1" x14ac:dyDescent="0.25">
      <c r="B14" s="6"/>
      <c r="C14" s="7">
        <v>40765</v>
      </c>
      <c r="D14" s="5">
        <v>16.5</v>
      </c>
      <c r="E14" s="5">
        <v>9.5</v>
      </c>
      <c r="F14" s="5">
        <v>23.2</v>
      </c>
      <c r="G14" s="8"/>
      <c r="H14" s="8"/>
      <c r="I14" s="8"/>
      <c r="J14" s="5">
        <v>0</v>
      </c>
      <c r="K14" s="8"/>
      <c r="L14" s="5">
        <v>4.4000000000000004</v>
      </c>
      <c r="M14" s="8"/>
      <c r="N14" s="5">
        <v>-4.4000000000000004</v>
      </c>
      <c r="O14" s="5">
        <f t="shared" si="0"/>
        <v>24.099999999999994</v>
      </c>
      <c r="T14" s="9">
        <f t="shared" si="1"/>
        <v>24.099999999999994</v>
      </c>
      <c r="V14" s="5">
        <v>2504.6</v>
      </c>
    </row>
    <row r="15" spans="1:27" s="5" customFormat="1" x14ac:dyDescent="0.25">
      <c r="B15" s="6"/>
      <c r="C15" s="7">
        <v>40766</v>
      </c>
      <c r="D15" s="5">
        <v>17.899999999999999</v>
      </c>
      <c r="E15" s="5">
        <v>11.7</v>
      </c>
      <c r="F15" s="5">
        <v>23.3</v>
      </c>
      <c r="G15" s="8"/>
      <c r="H15" s="8"/>
      <c r="I15" s="8"/>
      <c r="J15" s="5">
        <v>0.3</v>
      </c>
      <c r="K15" s="8"/>
      <c r="L15" s="5">
        <v>2.2999999999999998</v>
      </c>
      <c r="M15" s="8"/>
      <c r="N15" s="5">
        <v>-1.9999999999999998</v>
      </c>
      <c r="O15" s="5">
        <f t="shared" si="0"/>
        <v>22.099999999999994</v>
      </c>
      <c r="T15" s="9">
        <f t="shared" si="1"/>
        <v>22.099999999999994</v>
      </c>
      <c r="V15" s="5">
        <v>1223.2</v>
      </c>
    </row>
    <row r="16" spans="1:27" s="5" customFormat="1" x14ac:dyDescent="0.25">
      <c r="B16" s="6"/>
      <c r="C16" s="7">
        <v>40767</v>
      </c>
      <c r="D16" s="5">
        <v>19.2</v>
      </c>
      <c r="E16" s="5">
        <v>15.7</v>
      </c>
      <c r="F16" s="5">
        <v>22</v>
      </c>
      <c r="G16" s="8"/>
      <c r="H16" s="8"/>
      <c r="I16" s="8"/>
      <c r="J16" s="5">
        <v>0</v>
      </c>
      <c r="K16" s="8"/>
      <c r="L16" s="5">
        <v>1.9</v>
      </c>
      <c r="M16" s="8"/>
      <c r="N16" s="5">
        <v>-1.9</v>
      </c>
      <c r="O16" s="5">
        <f t="shared" si="0"/>
        <v>20.199999999999996</v>
      </c>
      <c r="T16" s="9">
        <f t="shared" si="1"/>
        <v>20.199999999999996</v>
      </c>
      <c r="V16" s="5">
        <v>898</v>
      </c>
    </row>
    <row r="17" spans="2:22" s="5" customFormat="1" x14ac:dyDescent="0.25">
      <c r="B17" s="6"/>
      <c r="C17" s="7">
        <v>40768</v>
      </c>
      <c r="D17" s="5">
        <v>18.600000000000001</v>
      </c>
      <c r="E17" s="5">
        <v>16.2</v>
      </c>
      <c r="F17" s="5">
        <v>22.2</v>
      </c>
      <c r="G17" s="8"/>
      <c r="H17" s="8"/>
      <c r="I17" s="8"/>
      <c r="J17" s="5">
        <v>18</v>
      </c>
      <c r="K17" s="8"/>
      <c r="L17" s="5">
        <v>1.3</v>
      </c>
      <c r="M17" s="8"/>
      <c r="N17" s="5">
        <v>16.7</v>
      </c>
      <c r="O17" s="5">
        <f t="shared" si="0"/>
        <v>36.899999999999991</v>
      </c>
      <c r="T17" s="9">
        <f t="shared" si="1"/>
        <v>36.899999999999991</v>
      </c>
      <c r="V17" s="5">
        <v>445.3</v>
      </c>
    </row>
    <row r="18" spans="2:22" s="5" customFormat="1" x14ac:dyDescent="0.25">
      <c r="B18" s="6"/>
      <c r="C18" s="7">
        <v>40769</v>
      </c>
      <c r="D18" s="5">
        <v>16.600000000000001</v>
      </c>
      <c r="E18" s="5">
        <v>15.2</v>
      </c>
      <c r="F18" s="5">
        <v>19.600000000000001</v>
      </c>
      <c r="G18" s="8"/>
      <c r="H18" s="8"/>
      <c r="I18" s="8"/>
      <c r="J18" s="5">
        <v>0.2</v>
      </c>
      <c r="K18" s="8"/>
      <c r="L18" s="5">
        <v>1.4</v>
      </c>
      <c r="M18" s="8"/>
      <c r="N18" s="5">
        <v>-1.2</v>
      </c>
      <c r="O18" s="5">
        <f t="shared" si="0"/>
        <v>35.699999999999989</v>
      </c>
      <c r="T18" s="9">
        <f t="shared" si="1"/>
        <v>35.699999999999989</v>
      </c>
      <c r="V18" s="5">
        <v>544</v>
      </c>
    </row>
    <row r="19" spans="2:22" s="5" customFormat="1" x14ac:dyDescent="0.25">
      <c r="B19" s="6"/>
      <c r="C19" s="7">
        <v>40770</v>
      </c>
      <c r="D19" s="5">
        <v>17.100000000000001</v>
      </c>
      <c r="E19" s="5">
        <v>11.1</v>
      </c>
      <c r="F19" s="5">
        <v>22.6</v>
      </c>
      <c r="G19" s="8"/>
      <c r="H19" s="8"/>
      <c r="I19" s="8"/>
      <c r="J19" s="5">
        <v>0</v>
      </c>
      <c r="K19" s="8"/>
      <c r="L19" s="5">
        <v>4</v>
      </c>
      <c r="M19" s="8"/>
      <c r="N19" s="5">
        <v>-4</v>
      </c>
      <c r="O19" s="5">
        <f t="shared" si="0"/>
        <v>31.699999999999989</v>
      </c>
      <c r="T19" s="9">
        <f t="shared" si="1"/>
        <v>31.699999999999989</v>
      </c>
      <c r="V19" s="5">
        <v>2230.5</v>
      </c>
    </row>
    <row r="20" spans="2:22" s="5" customFormat="1" x14ac:dyDescent="0.25">
      <c r="B20" s="6"/>
      <c r="C20" s="7">
        <v>40771</v>
      </c>
      <c r="D20" s="5">
        <v>18.899999999999999</v>
      </c>
      <c r="E20" s="5">
        <v>13.3</v>
      </c>
      <c r="F20" s="5">
        <v>24.6</v>
      </c>
      <c r="G20" s="8"/>
      <c r="H20" s="8"/>
      <c r="I20" s="8"/>
      <c r="J20" s="5">
        <v>0</v>
      </c>
      <c r="K20" s="8"/>
      <c r="L20" s="5">
        <v>3.5</v>
      </c>
      <c r="M20" s="8"/>
      <c r="N20" s="5">
        <v>-3.5</v>
      </c>
      <c r="O20" s="5">
        <f t="shared" si="0"/>
        <v>28.199999999999989</v>
      </c>
      <c r="T20" s="9">
        <f t="shared" si="1"/>
        <v>28.199999999999989</v>
      </c>
      <c r="V20" s="5">
        <v>1560</v>
      </c>
    </row>
    <row r="21" spans="2:22" s="5" customFormat="1" x14ac:dyDescent="0.25">
      <c r="B21" s="6"/>
      <c r="C21" s="7">
        <v>40772</v>
      </c>
      <c r="D21" s="5">
        <v>21.1</v>
      </c>
      <c r="E21" s="5">
        <v>15.3</v>
      </c>
      <c r="F21" s="5">
        <v>27.8</v>
      </c>
      <c r="G21" s="8"/>
      <c r="H21" s="8"/>
      <c r="I21" s="8"/>
      <c r="J21" s="5">
        <v>0</v>
      </c>
      <c r="K21" s="8"/>
      <c r="L21" s="5">
        <v>4</v>
      </c>
      <c r="M21" s="8"/>
      <c r="N21" s="5">
        <v>-4</v>
      </c>
      <c r="O21" s="5">
        <f t="shared" si="0"/>
        <v>24.199999999999989</v>
      </c>
      <c r="T21" s="9">
        <f t="shared" si="1"/>
        <v>24.199999999999989</v>
      </c>
      <c r="V21" s="5">
        <v>1789</v>
      </c>
    </row>
    <row r="22" spans="2:22" s="5" customFormat="1" x14ac:dyDescent="0.25">
      <c r="B22" s="6"/>
      <c r="C22" s="7">
        <v>40773</v>
      </c>
      <c r="D22" s="5">
        <v>20.9</v>
      </c>
      <c r="E22" s="5">
        <v>18.100000000000001</v>
      </c>
      <c r="F22" s="5">
        <v>26.3</v>
      </c>
      <c r="G22" s="8"/>
      <c r="H22" s="8"/>
      <c r="I22" s="8"/>
      <c r="J22" s="5">
        <v>0</v>
      </c>
      <c r="K22" s="8"/>
      <c r="L22" s="5">
        <v>2.2000000000000002</v>
      </c>
      <c r="M22" s="8"/>
      <c r="N22" s="5">
        <v>-2.2000000000000002</v>
      </c>
      <c r="O22" s="5">
        <f t="shared" si="0"/>
        <v>21.999999999999989</v>
      </c>
      <c r="T22" s="9">
        <f t="shared" si="1"/>
        <v>21.999999999999989</v>
      </c>
      <c r="V22" s="5">
        <v>856.5</v>
      </c>
    </row>
    <row r="23" spans="2:22" s="5" customFormat="1" x14ac:dyDescent="0.25">
      <c r="B23" s="6"/>
      <c r="C23" s="7">
        <v>40774</v>
      </c>
      <c r="D23" s="5">
        <v>19.2</v>
      </c>
      <c r="E23" s="5">
        <v>15.7</v>
      </c>
      <c r="F23" s="5">
        <v>23.6</v>
      </c>
      <c r="G23" s="8"/>
      <c r="H23" s="8"/>
      <c r="I23" s="8"/>
      <c r="J23" s="5">
        <v>0</v>
      </c>
      <c r="K23" s="8"/>
      <c r="L23" s="5">
        <v>4.5</v>
      </c>
      <c r="M23" s="8"/>
      <c r="N23" s="5">
        <v>-4.5</v>
      </c>
      <c r="O23" s="5">
        <f t="shared" si="0"/>
        <v>17.499999999999989</v>
      </c>
      <c r="T23" s="9">
        <f t="shared" si="1"/>
        <v>17.499999999999989</v>
      </c>
      <c r="V23" s="5">
        <v>2257.4</v>
      </c>
    </row>
    <row r="24" spans="2:22" s="5" customFormat="1" x14ac:dyDescent="0.25">
      <c r="B24" s="6"/>
      <c r="C24" s="7">
        <v>40775</v>
      </c>
      <c r="D24" s="5">
        <v>21.3</v>
      </c>
      <c r="E24" s="5">
        <v>12</v>
      </c>
      <c r="F24" s="5">
        <v>27.7</v>
      </c>
      <c r="G24" s="8"/>
      <c r="H24" s="8"/>
      <c r="I24" s="8"/>
      <c r="J24" s="5">
        <v>0.4</v>
      </c>
      <c r="K24" s="8"/>
      <c r="L24" s="5">
        <v>4</v>
      </c>
      <c r="M24" s="8"/>
      <c r="N24" s="5">
        <v>-3.6</v>
      </c>
      <c r="O24" s="5">
        <f t="shared" si="0"/>
        <v>13.89999999999999</v>
      </c>
      <c r="T24" s="9">
        <f t="shared" si="1"/>
        <v>13.89999999999999</v>
      </c>
      <c r="V24" s="5">
        <v>2110.9</v>
      </c>
    </row>
    <row r="25" spans="2:22" s="5" customFormat="1" x14ac:dyDescent="0.25">
      <c r="B25" s="6"/>
      <c r="C25" s="7">
        <v>40776</v>
      </c>
      <c r="D25" s="5">
        <v>20.9</v>
      </c>
      <c r="E25" s="5">
        <v>18.7</v>
      </c>
      <c r="F25" s="5">
        <v>25.1</v>
      </c>
      <c r="G25" s="8"/>
      <c r="H25" s="8"/>
      <c r="I25" s="8"/>
      <c r="J25" s="5">
        <v>0</v>
      </c>
      <c r="K25" s="8"/>
      <c r="L25" s="5">
        <v>3.3</v>
      </c>
      <c r="M25" s="8"/>
      <c r="N25" s="5">
        <v>-3.3</v>
      </c>
      <c r="O25" s="5">
        <f t="shared" si="0"/>
        <v>10.599999999999991</v>
      </c>
      <c r="T25" s="9">
        <f t="shared" si="1"/>
        <v>10.599999999999991</v>
      </c>
      <c r="V25" s="5">
        <v>1636.7</v>
      </c>
    </row>
    <row r="26" spans="2:22" s="5" customFormat="1" x14ac:dyDescent="0.25">
      <c r="B26" s="6"/>
      <c r="C26" s="7">
        <v>40777</v>
      </c>
      <c r="D26" s="5">
        <v>17.8</v>
      </c>
      <c r="E26" s="5">
        <v>16.7</v>
      </c>
      <c r="F26" s="5">
        <v>19</v>
      </c>
      <c r="G26" s="8"/>
      <c r="H26" s="8"/>
      <c r="I26" s="8"/>
      <c r="J26" s="5">
        <v>8.6</v>
      </c>
      <c r="K26" s="8"/>
      <c r="L26" s="5">
        <v>1.3</v>
      </c>
      <c r="M26" s="8"/>
      <c r="N26" s="5">
        <v>7.3</v>
      </c>
      <c r="O26" s="5">
        <f t="shared" si="0"/>
        <v>17.899999999999991</v>
      </c>
      <c r="T26" s="9">
        <f t="shared" si="1"/>
        <v>17.899999999999991</v>
      </c>
      <c r="V26" s="5">
        <v>754.2</v>
      </c>
    </row>
    <row r="27" spans="2:22" s="5" customFormat="1" x14ac:dyDescent="0.25">
      <c r="B27" s="6"/>
      <c r="C27" s="7">
        <v>40778</v>
      </c>
      <c r="D27" s="5">
        <v>18</v>
      </c>
      <c r="E27" s="5">
        <v>16.600000000000001</v>
      </c>
      <c r="F27" s="5">
        <v>21</v>
      </c>
      <c r="G27" s="8"/>
      <c r="H27" s="8"/>
      <c r="I27" s="8"/>
      <c r="J27" s="5">
        <v>0.2</v>
      </c>
      <c r="K27" s="8"/>
      <c r="L27" s="5">
        <v>1.5</v>
      </c>
      <c r="M27" s="8"/>
      <c r="N27" s="5">
        <v>-1.3</v>
      </c>
      <c r="O27" s="5">
        <f t="shared" si="0"/>
        <v>16.599999999999991</v>
      </c>
      <c r="T27" s="9">
        <f t="shared" si="1"/>
        <v>16.599999999999991</v>
      </c>
      <c r="V27" s="5">
        <v>574.70000000000005</v>
      </c>
    </row>
    <row r="28" spans="2:22" s="5" customFormat="1" x14ac:dyDescent="0.25">
      <c r="B28" s="6"/>
      <c r="C28" s="7">
        <v>40779</v>
      </c>
      <c r="D28" s="5">
        <v>17</v>
      </c>
      <c r="E28" s="5">
        <v>13.8</v>
      </c>
      <c r="F28" s="5">
        <v>21.1</v>
      </c>
      <c r="G28" s="8"/>
      <c r="H28" s="8"/>
      <c r="I28" s="8"/>
      <c r="J28" s="5">
        <v>0</v>
      </c>
      <c r="K28" s="8"/>
      <c r="L28" s="5">
        <v>2.5</v>
      </c>
      <c r="M28" s="8"/>
      <c r="N28" s="5">
        <v>-2.5</v>
      </c>
      <c r="O28" s="5">
        <f t="shared" si="0"/>
        <v>14.099999999999991</v>
      </c>
      <c r="T28" s="9">
        <f t="shared" si="1"/>
        <v>14.099999999999991</v>
      </c>
      <c r="V28" s="5">
        <v>1297.5</v>
      </c>
    </row>
    <row r="29" spans="2:22" s="5" customFormat="1" x14ac:dyDescent="0.25">
      <c r="B29" s="6"/>
      <c r="C29" s="7">
        <v>40780</v>
      </c>
      <c r="D29" s="5">
        <v>15.6</v>
      </c>
      <c r="E29" s="5">
        <v>13.1</v>
      </c>
      <c r="F29" s="5">
        <v>18.399999999999999</v>
      </c>
      <c r="G29" s="8"/>
      <c r="H29" s="8"/>
      <c r="I29" s="8"/>
      <c r="J29" s="5">
        <v>20.9</v>
      </c>
      <c r="K29" s="8"/>
      <c r="L29" s="5">
        <v>1.2</v>
      </c>
      <c r="M29" s="8"/>
      <c r="N29" s="5">
        <v>19.7</v>
      </c>
      <c r="O29" s="5">
        <f t="shared" si="0"/>
        <v>33.79999999999999</v>
      </c>
      <c r="T29" s="9">
        <f t="shared" si="1"/>
        <v>33.79999999999999</v>
      </c>
      <c r="V29" s="5">
        <v>782</v>
      </c>
    </row>
    <row r="30" spans="2:22" s="5" customFormat="1" x14ac:dyDescent="0.25">
      <c r="B30" s="6"/>
      <c r="C30" s="7">
        <v>40781</v>
      </c>
      <c r="D30" s="5">
        <v>13.9</v>
      </c>
      <c r="E30" s="5">
        <v>13.1</v>
      </c>
      <c r="F30" s="5">
        <v>16.899999999999999</v>
      </c>
      <c r="G30" s="8"/>
      <c r="H30" s="8"/>
      <c r="I30" s="8"/>
      <c r="J30" s="5">
        <v>7.6</v>
      </c>
      <c r="K30" s="8"/>
      <c r="L30" s="5">
        <v>2.4</v>
      </c>
      <c r="M30" s="8"/>
      <c r="N30" s="5">
        <v>5.1999999999999993</v>
      </c>
      <c r="O30" s="5">
        <f t="shared" si="0"/>
        <v>38.999999999999986</v>
      </c>
      <c r="T30" s="9">
        <f t="shared" si="1"/>
        <v>38.999999999999986</v>
      </c>
      <c r="V30" s="5">
        <v>1311.5</v>
      </c>
    </row>
    <row r="31" spans="2:22" s="5" customFormat="1" x14ac:dyDescent="0.25">
      <c r="B31" s="6"/>
      <c r="C31" s="7">
        <v>40782</v>
      </c>
      <c r="D31" s="5">
        <v>15</v>
      </c>
      <c r="E31" s="5">
        <v>11</v>
      </c>
      <c r="F31" s="5">
        <v>19.899999999999999</v>
      </c>
      <c r="G31" s="8"/>
      <c r="H31" s="8"/>
      <c r="I31" s="8"/>
      <c r="J31" s="5">
        <v>0.6</v>
      </c>
      <c r="K31" s="8"/>
      <c r="L31" s="5">
        <v>3.1</v>
      </c>
      <c r="M31" s="8"/>
      <c r="N31" s="5">
        <v>-2.5</v>
      </c>
      <c r="O31" s="5">
        <f t="shared" si="0"/>
        <v>36.499999999999986</v>
      </c>
      <c r="T31" s="9">
        <f t="shared" si="1"/>
        <v>36.499999999999986</v>
      </c>
      <c r="V31" s="5">
        <v>1738.8</v>
      </c>
    </row>
    <row r="32" spans="2:22" s="5" customFormat="1" x14ac:dyDescent="0.25">
      <c r="B32" s="6"/>
      <c r="C32" s="7">
        <v>40783</v>
      </c>
      <c r="D32" s="5">
        <v>14.1</v>
      </c>
      <c r="E32" s="5">
        <v>10.1</v>
      </c>
      <c r="F32" s="5">
        <v>20.399999999999999</v>
      </c>
      <c r="G32" s="8"/>
      <c r="H32" s="8"/>
      <c r="I32" s="8"/>
      <c r="J32" s="5">
        <v>0</v>
      </c>
      <c r="K32" s="8"/>
      <c r="L32" s="5">
        <v>2.6</v>
      </c>
      <c r="M32" s="8"/>
      <c r="N32" s="5">
        <v>-2.6</v>
      </c>
      <c r="O32" s="5">
        <f t="shared" si="0"/>
        <v>33.899999999999984</v>
      </c>
      <c r="T32" s="9">
        <f t="shared" si="1"/>
        <v>33.899999999999984</v>
      </c>
      <c r="V32" s="5">
        <v>1435.9</v>
      </c>
    </row>
    <row r="33" spans="2:22" s="5" customFormat="1" x14ac:dyDescent="0.25">
      <c r="B33" s="6"/>
      <c r="C33" s="7">
        <v>40784</v>
      </c>
      <c r="D33" s="5">
        <v>13.9</v>
      </c>
      <c r="E33" s="5">
        <v>9.6</v>
      </c>
      <c r="F33" s="5">
        <v>19.899999999999999</v>
      </c>
      <c r="G33" s="8"/>
      <c r="H33" s="8"/>
      <c r="I33" s="8"/>
      <c r="J33" s="5">
        <v>0</v>
      </c>
      <c r="K33" s="8"/>
      <c r="L33" s="5">
        <v>3</v>
      </c>
      <c r="M33" s="8"/>
      <c r="N33" s="5">
        <v>-3</v>
      </c>
      <c r="O33" s="5">
        <f t="shared" si="0"/>
        <v>30.899999999999984</v>
      </c>
      <c r="T33" s="9">
        <f t="shared" si="1"/>
        <v>30.899999999999984</v>
      </c>
      <c r="V33" s="5">
        <v>1756.6</v>
      </c>
    </row>
    <row r="34" spans="2:22" s="5" customFormat="1" x14ac:dyDescent="0.25">
      <c r="B34" s="6"/>
      <c r="C34" s="7">
        <v>40785</v>
      </c>
      <c r="D34" s="5">
        <v>14.8</v>
      </c>
      <c r="E34" s="5">
        <v>8.6</v>
      </c>
      <c r="F34" s="5">
        <v>20.7</v>
      </c>
      <c r="G34" s="8"/>
      <c r="H34" s="8"/>
      <c r="I34" s="8"/>
      <c r="J34" s="5">
        <v>0</v>
      </c>
      <c r="K34" s="8"/>
      <c r="L34" s="5">
        <v>2.8</v>
      </c>
      <c r="M34" s="8"/>
      <c r="N34" s="5">
        <v>-2.8</v>
      </c>
      <c r="O34" s="5">
        <f t="shared" si="0"/>
        <v>28.099999999999984</v>
      </c>
      <c r="T34" s="9">
        <f t="shared" si="1"/>
        <v>28.099999999999984</v>
      </c>
      <c r="V34" s="5">
        <v>1723.6</v>
      </c>
    </row>
    <row r="35" spans="2:22" s="5" customFormat="1" x14ac:dyDescent="0.25">
      <c r="B35" s="6"/>
      <c r="C35" s="7">
        <v>40786</v>
      </c>
      <c r="D35" s="5">
        <v>17.399999999999999</v>
      </c>
      <c r="E35" s="5">
        <v>11.6</v>
      </c>
      <c r="F35" s="5">
        <v>22.1</v>
      </c>
      <c r="G35" s="8"/>
      <c r="H35" s="8"/>
      <c r="I35" s="8"/>
      <c r="J35" s="5">
        <v>0</v>
      </c>
      <c r="K35" s="8"/>
      <c r="L35" s="5">
        <v>2.6</v>
      </c>
      <c r="M35" s="8"/>
      <c r="N35" s="5">
        <v>-2.6</v>
      </c>
      <c r="O35" s="5">
        <f t="shared" si="0"/>
        <v>25.499999999999982</v>
      </c>
      <c r="T35" s="9">
        <f t="shared" si="1"/>
        <v>25.499999999999982</v>
      </c>
      <c r="V35" s="5">
        <v>1066.2</v>
      </c>
    </row>
    <row r="36" spans="2:22" s="5" customFormat="1" x14ac:dyDescent="0.25">
      <c r="B36" s="6"/>
      <c r="C36" s="7">
        <v>40787</v>
      </c>
      <c r="D36" s="5">
        <v>19.7</v>
      </c>
      <c r="E36" s="5">
        <v>14</v>
      </c>
      <c r="F36" s="5">
        <v>24.4</v>
      </c>
      <c r="G36" s="8"/>
      <c r="H36" s="8"/>
      <c r="I36" s="8"/>
      <c r="J36" s="5">
        <v>0</v>
      </c>
      <c r="K36" s="8"/>
      <c r="L36" s="5">
        <v>1.9</v>
      </c>
      <c r="M36" s="8"/>
      <c r="N36" s="5">
        <v>-1.9</v>
      </c>
      <c r="O36" s="5">
        <f t="shared" si="0"/>
        <v>23.599999999999984</v>
      </c>
      <c r="T36" s="9">
        <f t="shared" si="1"/>
        <v>23.599999999999984</v>
      </c>
      <c r="V36" s="5">
        <v>1103</v>
      </c>
    </row>
    <row r="37" spans="2:22" s="5" customFormat="1" x14ac:dyDescent="0.25">
      <c r="B37" s="6"/>
      <c r="C37" s="7">
        <v>40788</v>
      </c>
      <c r="D37" s="5">
        <v>20.6</v>
      </c>
      <c r="E37" s="5">
        <v>14.2</v>
      </c>
      <c r="F37" s="5">
        <v>27.9</v>
      </c>
      <c r="G37" s="8"/>
      <c r="H37" s="8"/>
      <c r="I37" s="8"/>
      <c r="J37" s="5">
        <v>0</v>
      </c>
      <c r="K37" s="8"/>
      <c r="L37" s="5">
        <v>4.0999999999999996</v>
      </c>
      <c r="M37" s="8"/>
      <c r="N37" s="5">
        <v>-4.0999999999999996</v>
      </c>
      <c r="O37" s="5">
        <f t="shared" si="0"/>
        <v>19.499999999999986</v>
      </c>
      <c r="T37" s="9">
        <f t="shared" si="1"/>
        <v>19.499999999999986</v>
      </c>
      <c r="V37" s="5">
        <v>1930.1</v>
      </c>
    </row>
    <row r="38" spans="2:22" s="5" customFormat="1" x14ac:dyDescent="0.25">
      <c r="B38" s="6"/>
      <c r="C38" s="7">
        <v>40789</v>
      </c>
      <c r="D38" s="5">
        <v>19</v>
      </c>
      <c r="E38" s="5">
        <v>15.6</v>
      </c>
      <c r="F38" s="5">
        <v>22.2</v>
      </c>
      <c r="G38" s="8"/>
      <c r="H38" s="8"/>
      <c r="I38" s="8"/>
      <c r="J38" s="5">
        <v>0.6</v>
      </c>
      <c r="K38" s="8"/>
      <c r="L38" s="5">
        <v>1.2</v>
      </c>
      <c r="M38" s="8"/>
      <c r="N38" s="5">
        <v>-0.6</v>
      </c>
      <c r="O38" s="5">
        <f t="shared" si="0"/>
        <v>18.899999999999984</v>
      </c>
      <c r="T38" s="9">
        <f t="shared" si="1"/>
        <v>18.899999999999984</v>
      </c>
      <c r="V38" s="5">
        <v>501.3</v>
      </c>
    </row>
    <row r="39" spans="2:22" s="5" customFormat="1" x14ac:dyDescent="0.25">
      <c r="B39" s="6"/>
      <c r="C39" s="7">
        <v>40790</v>
      </c>
      <c r="D39" s="5">
        <v>16.399999999999999</v>
      </c>
      <c r="E39" s="5">
        <v>15.9</v>
      </c>
      <c r="F39" s="5">
        <v>17.5</v>
      </c>
      <c r="G39" s="8"/>
      <c r="H39" s="8"/>
      <c r="I39" s="8"/>
      <c r="J39" s="5">
        <v>7.9</v>
      </c>
      <c r="K39" s="8"/>
      <c r="L39" s="5">
        <v>1.4</v>
      </c>
      <c r="M39" s="8"/>
      <c r="N39" s="5">
        <v>6.5</v>
      </c>
      <c r="O39" s="5">
        <f t="shared" si="0"/>
        <v>25.399999999999984</v>
      </c>
      <c r="T39" s="9">
        <f t="shared" si="1"/>
        <v>25.399999999999984</v>
      </c>
      <c r="V39" s="5">
        <v>478.5</v>
      </c>
    </row>
    <row r="40" spans="2:22" s="5" customFormat="1" x14ac:dyDescent="0.25">
      <c r="B40" s="6"/>
      <c r="C40" s="7">
        <v>40791</v>
      </c>
      <c r="D40" s="5">
        <v>14.9</v>
      </c>
      <c r="E40" s="5">
        <v>11</v>
      </c>
      <c r="F40" s="5">
        <v>17.5</v>
      </c>
      <c r="G40" s="8"/>
      <c r="H40" s="8"/>
      <c r="I40" s="8"/>
      <c r="J40" s="5">
        <v>0</v>
      </c>
      <c r="K40" s="8"/>
      <c r="L40" s="5">
        <v>2.2999999999999998</v>
      </c>
      <c r="M40" s="8"/>
      <c r="N40" s="5">
        <v>-2.2999999999999998</v>
      </c>
      <c r="O40" s="5">
        <f t="shared" si="0"/>
        <v>23.099999999999984</v>
      </c>
      <c r="T40" s="9">
        <f t="shared" si="1"/>
        <v>23.099999999999984</v>
      </c>
      <c r="V40" s="5">
        <v>1571.7</v>
      </c>
    </row>
    <row r="41" spans="2:22" s="5" customFormat="1" x14ac:dyDescent="0.25">
      <c r="B41" s="6"/>
      <c r="C41" s="7">
        <v>40792</v>
      </c>
      <c r="D41" s="5">
        <v>17.2</v>
      </c>
      <c r="E41" s="5">
        <v>14.5</v>
      </c>
      <c r="F41" s="5">
        <v>19.899999999999999</v>
      </c>
      <c r="G41" s="8"/>
      <c r="H41" s="8"/>
      <c r="I41" s="8"/>
      <c r="J41" s="5">
        <v>2.9</v>
      </c>
      <c r="K41" s="8"/>
      <c r="L41" s="5">
        <v>1.5</v>
      </c>
      <c r="M41" s="8"/>
      <c r="N41" s="5">
        <v>1.4</v>
      </c>
      <c r="O41" s="5">
        <f t="shared" si="0"/>
        <v>24.499999999999982</v>
      </c>
      <c r="T41" s="9">
        <f t="shared" si="1"/>
        <v>24.499999999999982</v>
      </c>
      <c r="V41" s="5">
        <v>378.1</v>
      </c>
    </row>
    <row r="42" spans="2:22" s="5" customFormat="1" x14ac:dyDescent="0.25">
      <c r="B42" s="6"/>
      <c r="C42" s="7">
        <v>40793</v>
      </c>
      <c r="D42" s="5">
        <v>15.8</v>
      </c>
      <c r="E42" s="5">
        <v>12.2</v>
      </c>
      <c r="F42" s="5">
        <v>18.5</v>
      </c>
      <c r="G42" s="8"/>
      <c r="H42" s="8"/>
      <c r="I42" s="8"/>
      <c r="J42" s="5">
        <v>0</v>
      </c>
      <c r="K42" s="8"/>
      <c r="L42" s="5">
        <v>1.8</v>
      </c>
      <c r="M42" s="8"/>
      <c r="N42" s="5">
        <v>-1.8</v>
      </c>
      <c r="O42" s="5">
        <f t="shared" si="0"/>
        <v>22.699999999999982</v>
      </c>
      <c r="T42" s="9">
        <f t="shared" si="1"/>
        <v>22.699999999999982</v>
      </c>
      <c r="V42" s="5">
        <v>877.1</v>
      </c>
    </row>
    <row r="43" spans="2:22" s="5" customFormat="1" x14ac:dyDescent="0.25">
      <c r="B43" s="6"/>
      <c r="C43" s="7">
        <v>40794</v>
      </c>
      <c r="D43" s="5">
        <v>17.7</v>
      </c>
      <c r="E43" s="5">
        <v>12.8</v>
      </c>
      <c r="F43" s="5">
        <v>20.7</v>
      </c>
      <c r="G43" s="8"/>
      <c r="H43" s="8"/>
      <c r="I43" s="8"/>
      <c r="J43" s="5">
        <v>1</v>
      </c>
      <c r="K43" s="8"/>
      <c r="L43" s="5">
        <v>0.7</v>
      </c>
      <c r="M43" s="8"/>
      <c r="N43" s="5">
        <v>0.30000000000000004</v>
      </c>
      <c r="O43" s="5">
        <f t="shared" si="0"/>
        <v>22.999999999999982</v>
      </c>
      <c r="T43" s="9">
        <f t="shared" si="1"/>
        <v>22.999999999999982</v>
      </c>
      <c r="V43" s="5">
        <v>434.5</v>
      </c>
    </row>
    <row r="44" spans="2:22" s="5" customFormat="1" x14ac:dyDescent="0.25">
      <c r="B44" s="6"/>
      <c r="C44" s="7">
        <v>40795</v>
      </c>
      <c r="D44" s="5">
        <v>19.899999999999999</v>
      </c>
      <c r="E44" s="5">
        <v>16.7</v>
      </c>
      <c r="F44" s="5">
        <v>22.6</v>
      </c>
      <c r="G44" s="8"/>
      <c r="H44" s="8"/>
      <c r="I44" s="8"/>
      <c r="J44" s="5">
        <v>0.1</v>
      </c>
      <c r="K44" s="8"/>
      <c r="L44" s="5">
        <v>1</v>
      </c>
      <c r="M44" s="8"/>
      <c r="N44" s="5">
        <v>-0.9</v>
      </c>
      <c r="O44" s="5">
        <f t="shared" si="0"/>
        <v>22.099999999999984</v>
      </c>
      <c r="T44" s="9">
        <f t="shared" si="1"/>
        <v>22.099999999999984</v>
      </c>
      <c r="V44" s="5">
        <v>540.6</v>
      </c>
    </row>
    <row r="45" spans="2:22" s="5" customFormat="1" x14ac:dyDescent="0.25">
      <c r="B45" s="6"/>
      <c r="C45" s="7">
        <v>40796</v>
      </c>
      <c r="D45" s="5">
        <v>18.8</v>
      </c>
      <c r="E45" s="5">
        <v>17.100000000000001</v>
      </c>
      <c r="F45" s="5">
        <v>22.7</v>
      </c>
      <c r="G45" s="8"/>
      <c r="H45" s="8"/>
      <c r="I45" s="8"/>
      <c r="J45" s="5">
        <v>4.5999999999999996</v>
      </c>
      <c r="K45" s="8"/>
      <c r="L45" s="5">
        <v>1.3</v>
      </c>
      <c r="M45" s="8"/>
      <c r="N45" s="5">
        <v>3.3</v>
      </c>
      <c r="O45" s="5">
        <f t="shared" si="0"/>
        <v>25.399999999999984</v>
      </c>
      <c r="T45" s="9">
        <f t="shared" si="1"/>
        <v>25.399999999999984</v>
      </c>
      <c r="V45" s="5">
        <v>407.9</v>
      </c>
    </row>
    <row r="46" spans="2:22" s="5" customFormat="1" x14ac:dyDescent="0.25">
      <c r="B46" s="6"/>
      <c r="C46" s="7">
        <v>40797</v>
      </c>
      <c r="D46" s="5">
        <v>17.2</v>
      </c>
      <c r="E46" s="5">
        <v>14.4</v>
      </c>
      <c r="F46" s="5">
        <v>19.600000000000001</v>
      </c>
      <c r="G46" s="8"/>
      <c r="H46" s="8"/>
      <c r="I46" s="8"/>
      <c r="J46" s="5">
        <v>4.9000000000000004</v>
      </c>
      <c r="K46" s="8"/>
      <c r="L46" s="5">
        <v>1.5</v>
      </c>
      <c r="M46" s="8"/>
      <c r="N46" s="5">
        <v>3.4000000000000004</v>
      </c>
      <c r="O46" s="5">
        <f t="shared" si="0"/>
        <v>28.799999999999983</v>
      </c>
      <c r="T46" s="9">
        <f t="shared" si="1"/>
        <v>28.799999999999983</v>
      </c>
      <c r="V46" s="5">
        <v>578.9</v>
      </c>
    </row>
    <row r="47" spans="2:22" s="5" customFormat="1" x14ac:dyDescent="0.25">
      <c r="B47" s="6"/>
      <c r="C47" s="7">
        <v>40798</v>
      </c>
      <c r="D47" s="5">
        <v>18.600000000000001</v>
      </c>
      <c r="E47" s="5">
        <v>16.5</v>
      </c>
      <c r="F47" s="5">
        <v>21.7</v>
      </c>
      <c r="G47" s="8"/>
      <c r="H47" s="8"/>
      <c r="I47" s="8"/>
      <c r="J47" s="5">
        <v>0.6</v>
      </c>
      <c r="K47" s="8"/>
      <c r="L47" s="5">
        <v>1.7</v>
      </c>
      <c r="M47" s="8"/>
      <c r="N47" s="5">
        <v>-1.1000000000000001</v>
      </c>
      <c r="O47" s="5">
        <f t="shared" si="0"/>
        <v>27.699999999999982</v>
      </c>
      <c r="T47" s="9">
        <f t="shared" si="1"/>
        <v>27.699999999999982</v>
      </c>
      <c r="V47" s="5">
        <v>418.6</v>
      </c>
    </row>
    <row r="48" spans="2:22" s="5" customFormat="1" x14ac:dyDescent="0.25">
      <c r="B48" s="6"/>
      <c r="C48" s="7">
        <v>40799</v>
      </c>
      <c r="D48" s="5">
        <v>15.9</v>
      </c>
      <c r="E48" s="5">
        <v>14.5</v>
      </c>
      <c r="F48" s="5">
        <v>21.3</v>
      </c>
      <c r="G48" s="8"/>
      <c r="H48" s="8"/>
      <c r="I48" s="8"/>
      <c r="J48" s="5">
        <v>0.2</v>
      </c>
      <c r="K48" s="8"/>
      <c r="L48" s="5">
        <v>3.4</v>
      </c>
      <c r="M48" s="8"/>
      <c r="N48" s="5">
        <v>-3.1999999999999997</v>
      </c>
      <c r="O48" s="5">
        <f t="shared" si="0"/>
        <v>24.499999999999982</v>
      </c>
      <c r="T48" s="9">
        <f t="shared" si="1"/>
        <v>24.499999999999982</v>
      </c>
      <c r="V48" s="5">
        <v>1488.1</v>
      </c>
    </row>
    <row r="49" spans="1:27" s="5" customFormat="1" x14ac:dyDescent="0.25">
      <c r="A49" s="75" t="s">
        <v>26</v>
      </c>
      <c r="B49" s="75"/>
      <c r="C49" s="75"/>
      <c r="D49" s="75"/>
      <c r="E49" s="75"/>
      <c r="F49" s="75"/>
      <c r="G49" s="75"/>
      <c r="H49" s="75"/>
      <c r="I49" s="75"/>
      <c r="J49" s="75"/>
      <c r="K49" s="75"/>
      <c r="L49" s="75"/>
      <c r="M49" s="75"/>
      <c r="N49" s="75"/>
      <c r="O49" s="75"/>
      <c r="P49" s="75"/>
      <c r="Q49" s="75"/>
      <c r="R49" s="75"/>
      <c r="S49" s="75"/>
      <c r="T49" s="75"/>
      <c r="U49" s="75"/>
      <c r="V49" s="75"/>
      <c r="W49" s="75"/>
      <c r="X49" s="75"/>
      <c r="Y49" s="75"/>
      <c r="Z49" s="75"/>
    </row>
    <row r="50" spans="1:27" s="5" customFormat="1" x14ac:dyDescent="0.25">
      <c r="A50" s="76" t="s">
        <v>27</v>
      </c>
      <c r="B50" s="10"/>
      <c r="C50" s="11">
        <v>40800</v>
      </c>
      <c r="D50" s="5">
        <v>13.4</v>
      </c>
      <c r="E50" s="5">
        <v>7</v>
      </c>
      <c r="F50" s="5">
        <v>19.899999999999999</v>
      </c>
      <c r="G50" s="5">
        <v>13.4</v>
      </c>
      <c r="I50" s="12" t="s">
        <v>28</v>
      </c>
      <c r="J50" s="5">
        <v>0</v>
      </c>
      <c r="K50" s="5">
        <f>J50</f>
        <v>0</v>
      </c>
      <c r="L50" s="5">
        <v>1.9</v>
      </c>
      <c r="M50" s="5">
        <f>L50</f>
        <v>1.9</v>
      </c>
      <c r="N50" s="5">
        <v>-1.9</v>
      </c>
      <c r="O50" s="5">
        <f>O48+N50</f>
        <v>22.599999999999984</v>
      </c>
      <c r="P50" s="5">
        <v>1</v>
      </c>
      <c r="Q50" s="5">
        <v>0.35</v>
      </c>
      <c r="R50" s="9">
        <f t="shared" ref="R50:R113" si="2">Q50*L50</f>
        <v>0.66499999999999992</v>
      </c>
      <c r="S50" s="9">
        <f t="shared" ref="S50:S113" si="3">J50-R50</f>
        <v>-0.66499999999999992</v>
      </c>
      <c r="T50" s="9">
        <f>T48+S50</f>
        <v>23.834999999999983</v>
      </c>
      <c r="U50" s="12" t="s">
        <v>29</v>
      </c>
      <c r="V50" s="5">
        <v>933.5</v>
      </c>
      <c r="X50" s="5">
        <f>V50</f>
        <v>933.5</v>
      </c>
      <c r="Z50" s="12" t="s">
        <v>30</v>
      </c>
      <c r="AA50" s="5">
        <v>12.7247130029575</v>
      </c>
    </row>
    <row r="51" spans="1:27" s="5" customFormat="1" x14ac:dyDescent="0.25">
      <c r="A51" s="76"/>
      <c r="B51" s="10"/>
      <c r="C51" s="11">
        <v>40801</v>
      </c>
      <c r="D51" s="5">
        <v>14.6</v>
      </c>
      <c r="E51" s="5">
        <v>7.5</v>
      </c>
      <c r="F51" s="5">
        <v>21.2</v>
      </c>
      <c r="G51" s="5">
        <f>G50+D51</f>
        <v>28</v>
      </c>
      <c r="I51" s="5">
        <f>MIN(E50:E171)</f>
        <v>-0.1</v>
      </c>
      <c r="J51" s="5">
        <v>0</v>
      </c>
      <c r="K51" s="5">
        <f>K50+J51</f>
        <v>0</v>
      </c>
      <c r="L51" s="5">
        <v>1.9</v>
      </c>
      <c r="M51" s="5">
        <f>M50+L51</f>
        <v>3.8</v>
      </c>
      <c r="N51" s="5">
        <v>-1.9</v>
      </c>
      <c r="O51" s="5">
        <f t="shared" ref="O51:O64" si="4">O50+N51</f>
        <v>20.699999999999985</v>
      </c>
      <c r="P51" s="5">
        <v>2</v>
      </c>
      <c r="Q51" s="5">
        <v>0.35</v>
      </c>
      <c r="R51" s="9">
        <f t="shared" si="2"/>
        <v>0.66499999999999992</v>
      </c>
      <c r="S51" s="9">
        <f t="shared" si="3"/>
        <v>-0.66499999999999992</v>
      </c>
      <c r="T51" s="9">
        <f>MIN(197.4,(T50+S51))</f>
        <v>23.169999999999984</v>
      </c>
      <c r="U51" s="5">
        <v>78</v>
      </c>
      <c r="V51" s="5">
        <v>896.2</v>
      </c>
      <c r="X51" s="5">
        <f>X50+V51</f>
        <v>1829.7</v>
      </c>
      <c r="Z51" s="5">
        <v>61960.900000000023</v>
      </c>
      <c r="AA51" s="5">
        <v>12.667095814664201</v>
      </c>
    </row>
    <row r="52" spans="1:27" s="5" customFormat="1" x14ac:dyDescent="0.25">
      <c r="A52" s="76"/>
      <c r="B52" s="10"/>
      <c r="C52" s="11">
        <v>40802</v>
      </c>
      <c r="D52" s="5">
        <v>16.3</v>
      </c>
      <c r="E52" s="5">
        <v>11.1</v>
      </c>
      <c r="F52" s="5">
        <v>22.3</v>
      </c>
      <c r="G52" s="5">
        <f t="shared" ref="G52:G115" si="5">G51+D52</f>
        <v>44.3</v>
      </c>
      <c r="I52" s="12" t="s">
        <v>31</v>
      </c>
      <c r="J52" s="5">
        <v>0</v>
      </c>
      <c r="K52" s="5">
        <f t="shared" ref="K52:K115" si="6">K51+J52</f>
        <v>0</v>
      </c>
      <c r="L52" s="5">
        <v>1.9</v>
      </c>
      <c r="M52" s="5">
        <f t="shared" ref="M52:M115" si="7">M51+L52</f>
        <v>5.6999999999999993</v>
      </c>
      <c r="N52" s="5">
        <v>-1.9</v>
      </c>
      <c r="O52" s="5">
        <f t="shared" si="4"/>
        <v>18.799999999999986</v>
      </c>
      <c r="P52" s="5">
        <v>3</v>
      </c>
      <c r="Q52" s="5">
        <v>0.35</v>
      </c>
      <c r="R52" s="9">
        <f t="shared" si="2"/>
        <v>0.66499999999999992</v>
      </c>
      <c r="S52" s="9">
        <f t="shared" si="3"/>
        <v>-0.66499999999999992</v>
      </c>
      <c r="T52" s="9">
        <f t="shared" ref="T52:T115" si="8">MIN(197.4,(T51+S52))</f>
        <v>22.504999999999985</v>
      </c>
      <c r="U52" s="12" t="s">
        <v>32</v>
      </c>
      <c r="V52" s="5">
        <v>975.2</v>
      </c>
      <c r="X52" s="5">
        <f t="shared" ref="X52:X115" si="9">X51+V52</f>
        <v>2804.9</v>
      </c>
      <c r="Z52" s="12" t="s">
        <v>33</v>
      </c>
      <c r="AA52" s="5">
        <v>12.6094155464097</v>
      </c>
    </row>
    <row r="53" spans="1:27" s="5" customFormat="1" x14ac:dyDescent="0.25">
      <c r="A53" s="76"/>
      <c r="B53" s="10"/>
      <c r="C53" s="11">
        <v>40803</v>
      </c>
      <c r="D53" s="5">
        <v>14.8</v>
      </c>
      <c r="E53" s="5">
        <v>12.1</v>
      </c>
      <c r="F53" s="5">
        <v>18.3</v>
      </c>
      <c r="G53" s="5">
        <f t="shared" si="5"/>
        <v>59.099999999999994</v>
      </c>
      <c r="I53" s="5">
        <f>MAX(F50:F171)</f>
        <v>29.1</v>
      </c>
      <c r="J53" s="5">
        <v>5.2</v>
      </c>
      <c r="K53" s="5">
        <f t="shared" si="6"/>
        <v>5.2</v>
      </c>
      <c r="L53" s="5">
        <v>1.2</v>
      </c>
      <c r="M53" s="5">
        <f t="shared" si="7"/>
        <v>6.8999999999999995</v>
      </c>
      <c r="N53" s="5">
        <v>4</v>
      </c>
      <c r="O53" s="5">
        <f t="shared" si="4"/>
        <v>22.799999999999986</v>
      </c>
      <c r="P53" s="5">
        <v>4</v>
      </c>
      <c r="Q53" s="5">
        <v>0.35</v>
      </c>
      <c r="R53" s="9">
        <f t="shared" si="2"/>
        <v>0.42</v>
      </c>
      <c r="S53" s="9">
        <f t="shared" si="3"/>
        <v>4.78</v>
      </c>
      <c r="T53" s="9">
        <f t="shared" si="8"/>
        <v>27.284999999999986</v>
      </c>
      <c r="U53" s="5">
        <v>0</v>
      </c>
      <c r="V53" s="5">
        <v>596.70000000000005</v>
      </c>
      <c r="X53" s="5">
        <f t="shared" si="9"/>
        <v>3401.6000000000004</v>
      </c>
      <c r="Z53" s="5">
        <f>(Z51/100)/I63</f>
        <v>0.44321101573676702</v>
      </c>
      <c r="AA53" s="5">
        <v>12.5516779716794</v>
      </c>
    </row>
    <row r="54" spans="1:27" s="5" customFormat="1" x14ac:dyDescent="0.25">
      <c r="A54" s="76"/>
      <c r="B54" s="10"/>
      <c r="C54" s="11">
        <v>40804</v>
      </c>
      <c r="D54" s="5">
        <v>12.9</v>
      </c>
      <c r="E54" s="5">
        <v>8.1999999999999993</v>
      </c>
      <c r="F54" s="5">
        <v>17.5</v>
      </c>
      <c r="G54" s="5">
        <f t="shared" si="5"/>
        <v>72</v>
      </c>
      <c r="I54" s="12" t="s">
        <v>34</v>
      </c>
      <c r="J54" s="5">
        <v>3</v>
      </c>
      <c r="K54" s="5">
        <f t="shared" si="6"/>
        <v>8.1999999999999993</v>
      </c>
      <c r="L54" s="5">
        <v>1.6</v>
      </c>
      <c r="M54" s="5">
        <f t="shared" si="7"/>
        <v>8.5</v>
      </c>
      <c r="N54" s="5">
        <v>1.4</v>
      </c>
      <c r="O54" s="5">
        <f t="shared" si="4"/>
        <v>24.199999999999985</v>
      </c>
      <c r="P54" s="5">
        <v>5</v>
      </c>
      <c r="Q54" s="5">
        <v>0.35</v>
      </c>
      <c r="R54" s="9">
        <f t="shared" si="2"/>
        <v>0.55999999999999994</v>
      </c>
      <c r="S54" s="9">
        <f t="shared" si="3"/>
        <v>2.44</v>
      </c>
      <c r="T54" s="9">
        <f t="shared" si="8"/>
        <v>29.724999999999987</v>
      </c>
      <c r="U54" s="12" t="s">
        <v>35</v>
      </c>
      <c r="V54" s="5">
        <v>779.5</v>
      </c>
      <c r="X54" s="5">
        <f t="shared" si="9"/>
        <v>4181.1000000000004</v>
      </c>
      <c r="Z54" s="12" t="s">
        <v>36</v>
      </c>
      <c r="AA54" s="5">
        <v>12.4938887637508</v>
      </c>
    </row>
    <row r="55" spans="1:27" s="5" customFormat="1" x14ac:dyDescent="0.25">
      <c r="A55" s="76"/>
      <c r="B55" s="10"/>
      <c r="C55" s="11">
        <v>40805</v>
      </c>
      <c r="D55" s="5">
        <v>14.2</v>
      </c>
      <c r="E55" s="5">
        <v>10.5</v>
      </c>
      <c r="F55" s="5">
        <v>17.7</v>
      </c>
      <c r="G55" s="5">
        <f t="shared" si="5"/>
        <v>86.2</v>
      </c>
      <c r="I55" s="9">
        <f>AVERAGE(D50:D171)</f>
        <v>11.459016393442624</v>
      </c>
      <c r="J55" s="5">
        <v>0.2</v>
      </c>
      <c r="K55" s="5">
        <f t="shared" si="6"/>
        <v>8.3999999999999986</v>
      </c>
      <c r="L55" s="5">
        <v>1</v>
      </c>
      <c r="M55" s="5">
        <f t="shared" si="7"/>
        <v>9.5</v>
      </c>
      <c r="N55" s="5">
        <v>-0.8</v>
      </c>
      <c r="O55" s="5">
        <f t="shared" si="4"/>
        <v>23.399999999999984</v>
      </c>
      <c r="P55" s="5">
        <v>6</v>
      </c>
      <c r="Q55" s="5">
        <v>0.35</v>
      </c>
      <c r="R55" s="9">
        <f t="shared" si="2"/>
        <v>0.35</v>
      </c>
      <c r="S55" s="9">
        <f t="shared" si="3"/>
        <v>-0.14999999999999997</v>
      </c>
      <c r="T55" s="9">
        <f t="shared" si="8"/>
        <v>29.574999999999989</v>
      </c>
      <c r="U55" s="5">
        <v>89</v>
      </c>
      <c r="V55" s="5">
        <v>360.3</v>
      </c>
      <c r="X55" s="5">
        <f t="shared" si="9"/>
        <v>4541.4000000000005</v>
      </c>
      <c r="Z55" s="5">
        <v>102</v>
      </c>
      <c r="AA55" s="5">
        <v>12.436053511699001</v>
      </c>
    </row>
    <row r="56" spans="1:27" s="5" customFormat="1" x14ac:dyDescent="0.25">
      <c r="A56" s="76"/>
      <c r="B56" s="10"/>
      <c r="C56" s="11">
        <v>40806</v>
      </c>
      <c r="D56" s="5">
        <v>16.100000000000001</v>
      </c>
      <c r="E56" s="5">
        <v>13.9</v>
      </c>
      <c r="F56" s="5">
        <v>18.899999999999999</v>
      </c>
      <c r="G56" s="5">
        <f t="shared" si="5"/>
        <v>102.30000000000001</v>
      </c>
      <c r="I56" s="12" t="s">
        <v>37</v>
      </c>
      <c r="J56" s="5">
        <v>0</v>
      </c>
      <c r="K56" s="5">
        <f t="shared" si="6"/>
        <v>8.3999999999999986</v>
      </c>
      <c r="L56" s="5">
        <v>1.3</v>
      </c>
      <c r="M56" s="5">
        <f t="shared" si="7"/>
        <v>10.8</v>
      </c>
      <c r="N56" s="5">
        <v>-1.3</v>
      </c>
      <c r="O56" s="5">
        <f t="shared" si="4"/>
        <v>22.099999999999984</v>
      </c>
      <c r="P56" s="5">
        <v>7</v>
      </c>
      <c r="Q56" s="5">
        <v>0.35</v>
      </c>
      <c r="R56" s="9">
        <f t="shared" si="2"/>
        <v>0.45499999999999996</v>
      </c>
      <c r="S56" s="9">
        <f t="shared" si="3"/>
        <v>-0.45499999999999996</v>
      </c>
      <c r="T56" s="9">
        <f t="shared" si="8"/>
        <v>29.11999999999999</v>
      </c>
      <c r="U56" s="12" t="s">
        <v>38</v>
      </c>
      <c r="V56" s="5">
        <v>336.3</v>
      </c>
      <c r="X56" s="5">
        <f t="shared" si="9"/>
        <v>4877.7000000000007</v>
      </c>
      <c r="AA56" s="5">
        <v>12.378177736463099</v>
      </c>
    </row>
    <row r="57" spans="1:27" s="5" customFormat="1" x14ac:dyDescent="0.25">
      <c r="A57" s="76"/>
      <c r="B57" s="10"/>
      <c r="C57" s="11">
        <v>40807</v>
      </c>
      <c r="D57" s="5">
        <v>16.600000000000001</v>
      </c>
      <c r="E57" s="5">
        <v>14.7</v>
      </c>
      <c r="F57" s="5">
        <v>20.8</v>
      </c>
      <c r="G57" s="5">
        <f t="shared" si="5"/>
        <v>118.9</v>
      </c>
      <c r="I57" s="5">
        <v>1</v>
      </c>
      <c r="J57" s="5">
        <v>0</v>
      </c>
      <c r="K57" s="5">
        <f t="shared" si="6"/>
        <v>8.3999999999999986</v>
      </c>
      <c r="L57" s="5">
        <v>1.7</v>
      </c>
      <c r="M57" s="5">
        <f t="shared" si="7"/>
        <v>12.5</v>
      </c>
      <c r="N57" s="5">
        <v>-1.7</v>
      </c>
      <c r="O57" s="5">
        <f t="shared" si="4"/>
        <v>20.399999999999984</v>
      </c>
      <c r="P57" s="5">
        <v>8</v>
      </c>
      <c r="Q57" s="5">
        <v>0.35</v>
      </c>
      <c r="R57" s="9">
        <f t="shared" si="2"/>
        <v>0.59499999999999997</v>
      </c>
      <c r="S57" s="9">
        <f t="shared" si="3"/>
        <v>-0.59499999999999997</v>
      </c>
      <c r="T57" s="9">
        <f t="shared" si="8"/>
        <v>28.524999999999991</v>
      </c>
      <c r="U57" s="9">
        <f>MIN(T50:T171)</f>
        <v>8.3659821428571313</v>
      </c>
      <c r="V57" s="5">
        <v>369</v>
      </c>
      <c r="X57" s="5">
        <f t="shared" si="9"/>
        <v>5246.7000000000007</v>
      </c>
      <c r="AA57" s="5">
        <v>12.320266906978199</v>
      </c>
    </row>
    <row r="58" spans="1:27" s="5" customFormat="1" x14ac:dyDescent="0.25">
      <c r="A58" s="76"/>
      <c r="B58" s="10"/>
      <c r="C58" s="11">
        <v>40808</v>
      </c>
      <c r="D58" s="5">
        <v>13</v>
      </c>
      <c r="E58" s="5">
        <v>7.5</v>
      </c>
      <c r="F58" s="5">
        <v>19.5</v>
      </c>
      <c r="G58" s="5">
        <f t="shared" si="5"/>
        <v>131.9</v>
      </c>
      <c r="I58" s="12" t="s">
        <v>39</v>
      </c>
      <c r="J58" s="5">
        <v>0.1</v>
      </c>
      <c r="K58" s="5">
        <f t="shared" si="6"/>
        <v>8.4999999999999982</v>
      </c>
      <c r="L58" s="5">
        <v>1.9</v>
      </c>
      <c r="M58" s="5">
        <f t="shared" si="7"/>
        <v>14.4</v>
      </c>
      <c r="N58" s="5">
        <v>-1.7999999999999998</v>
      </c>
      <c r="O58" s="5">
        <f t="shared" si="4"/>
        <v>18.599999999999984</v>
      </c>
      <c r="P58" s="5">
        <v>9</v>
      </c>
      <c r="Q58" s="5">
        <v>0.35</v>
      </c>
      <c r="R58" s="9">
        <f t="shared" si="2"/>
        <v>0.66499999999999992</v>
      </c>
      <c r="S58" s="9">
        <f t="shared" si="3"/>
        <v>-0.56499999999999995</v>
      </c>
      <c r="T58" s="9">
        <f t="shared" si="8"/>
        <v>27.95999999999999</v>
      </c>
      <c r="U58" s="12" t="s">
        <v>40</v>
      </c>
      <c r="V58" s="5">
        <v>1072.5999999999999</v>
      </c>
      <c r="X58" s="5">
        <f t="shared" si="9"/>
        <v>6319.3000000000011</v>
      </c>
      <c r="AA58" s="5">
        <v>12.2623264563753</v>
      </c>
    </row>
    <row r="59" spans="1:27" s="5" customFormat="1" x14ac:dyDescent="0.25">
      <c r="A59" s="76"/>
      <c r="B59" s="10"/>
      <c r="C59" s="11">
        <v>40809</v>
      </c>
      <c r="D59" s="5">
        <v>13</v>
      </c>
      <c r="E59" s="5">
        <v>6.5</v>
      </c>
      <c r="F59" s="5">
        <v>20.7</v>
      </c>
      <c r="G59" s="5">
        <f t="shared" si="5"/>
        <v>144.9</v>
      </c>
      <c r="I59" s="5">
        <v>7</v>
      </c>
      <c r="J59" s="5">
        <v>0</v>
      </c>
      <c r="K59" s="5">
        <f t="shared" si="6"/>
        <v>8.4999999999999982</v>
      </c>
      <c r="L59" s="5">
        <v>2</v>
      </c>
      <c r="M59" s="5">
        <f t="shared" si="7"/>
        <v>16.399999999999999</v>
      </c>
      <c r="N59" s="5">
        <v>-2</v>
      </c>
      <c r="O59" s="5">
        <f t="shared" si="4"/>
        <v>16.599999999999984</v>
      </c>
      <c r="P59" s="5">
        <v>10</v>
      </c>
      <c r="Q59" s="5">
        <v>0.35</v>
      </c>
      <c r="R59" s="9">
        <f t="shared" si="2"/>
        <v>0.7</v>
      </c>
      <c r="S59" s="9">
        <f t="shared" si="3"/>
        <v>-0.7</v>
      </c>
      <c r="T59" s="9">
        <f t="shared" si="8"/>
        <v>27.259999999999991</v>
      </c>
      <c r="U59" s="9">
        <f>MAX(T50:T171)</f>
        <v>146.27508928571427</v>
      </c>
      <c r="V59" s="5">
        <v>940.8</v>
      </c>
      <c r="X59" s="5">
        <f t="shared" si="9"/>
        <v>7260.1000000000013</v>
      </c>
      <c r="AA59" s="5">
        <v>12.2043617982565</v>
      </c>
    </row>
    <row r="60" spans="1:27" s="5" customFormat="1" x14ac:dyDescent="0.25">
      <c r="A60" s="76"/>
      <c r="B60" s="10"/>
      <c r="C60" s="11">
        <v>40810</v>
      </c>
      <c r="D60" s="5">
        <v>14.5</v>
      </c>
      <c r="E60" s="5">
        <v>7.8</v>
      </c>
      <c r="F60" s="5">
        <v>22.6</v>
      </c>
      <c r="G60" s="5">
        <f t="shared" si="5"/>
        <v>159.4</v>
      </c>
      <c r="I60" s="12" t="s">
        <v>41</v>
      </c>
      <c r="J60" s="5">
        <v>0</v>
      </c>
      <c r="K60" s="5">
        <f t="shared" si="6"/>
        <v>8.4999999999999982</v>
      </c>
      <c r="L60" s="5">
        <v>3.1</v>
      </c>
      <c r="M60" s="5">
        <f t="shared" si="7"/>
        <v>19.5</v>
      </c>
      <c r="N60" s="5">
        <v>-3.1</v>
      </c>
      <c r="O60" s="5">
        <f t="shared" si="4"/>
        <v>13.499999999999984</v>
      </c>
      <c r="P60" s="5">
        <v>11</v>
      </c>
      <c r="Q60" s="5">
        <f>0.35+((P60-10)/112)*(1-0.35)</f>
        <v>0.35580357142857139</v>
      </c>
      <c r="R60" s="9">
        <f t="shared" si="2"/>
        <v>1.1029910714285713</v>
      </c>
      <c r="S60" s="9">
        <f t="shared" si="3"/>
        <v>-1.1029910714285713</v>
      </c>
      <c r="T60" s="9">
        <f t="shared" si="8"/>
        <v>26.157008928571418</v>
      </c>
      <c r="U60" s="12" t="s">
        <v>42</v>
      </c>
      <c r="V60" s="5">
        <v>1719.8</v>
      </c>
      <c r="X60" s="5">
        <f t="shared" si="9"/>
        <v>8979.9000000000015</v>
      </c>
      <c r="AA60" s="5">
        <v>12.1463783430485</v>
      </c>
    </row>
    <row r="61" spans="1:27" s="5" customFormat="1" x14ac:dyDescent="0.25">
      <c r="A61" s="76"/>
      <c r="B61" s="10"/>
      <c r="C61" s="11">
        <v>40811</v>
      </c>
      <c r="D61" s="5">
        <v>15.9</v>
      </c>
      <c r="E61" s="5">
        <v>9.4</v>
      </c>
      <c r="F61" s="5">
        <v>23.6</v>
      </c>
      <c r="G61" s="5">
        <f t="shared" si="5"/>
        <v>175.3</v>
      </c>
      <c r="I61" s="5">
        <v>23</v>
      </c>
      <c r="J61" s="5">
        <v>0</v>
      </c>
      <c r="K61" s="5">
        <f t="shared" si="6"/>
        <v>8.4999999999999982</v>
      </c>
      <c r="L61" s="5">
        <v>2.8</v>
      </c>
      <c r="M61" s="5">
        <f t="shared" si="7"/>
        <v>22.3</v>
      </c>
      <c r="N61" s="5">
        <v>-2.8</v>
      </c>
      <c r="O61" s="5">
        <f t="shared" si="4"/>
        <v>10.699999999999985</v>
      </c>
      <c r="P61" s="5">
        <v>12</v>
      </c>
      <c r="Q61" s="5">
        <f t="shared" ref="Q61:Q124" si="10">0.35+((P61-10)/112)*(1-0.35)</f>
        <v>0.36160714285714285</v>
      </c>
      <c r="R61" s="9">
        <f t="shared" si="2"/>
        <v>1.0125</v>
      </c>
      <c r="S61" s="9">
        <f t="shared" si="3"/>
        <v>-1.0125</v>
      </c>
      <c r="T61" s="9">
        <f t="shared" si="8"/>
        <v>25.144508928571419</v>
      </c>
      <c r="U61" s="24">
        <f>AVERAGE(T50:T171)</f>
        <v>54.763593384074937</v>
      </c>
      <c r="V61" s="5">
        <v>1437.5</v>
      </c>
      <c r="X61" s="5">
        <f t="shared" si="9"/>
        <v>10417.400000000001</v>
      </c>
      <c r="AA61" s="5">
        <v>12.0883815144407</v>
      </c>
    </row>
    <row r="62" spans="1:27" s="5" customFormat="1" x14ac:dyDescent="0.25">
      <c r="A62" s="76"/>
      <c r="B62" s="10"/>
      <c r="C62" s="11">
        <v>40812</v>
      </c>
      <c r="D62" s="5">
        <v>18.3</v>
      </c>
      <c r="E62" s="5">
        <v>14.2</v>
      </c>
      <c r="F62" s="5">
        <v>24</v>
      </c>
      <c r="G62" s="5">
        <f t="shared" si="5"/>
        <v>193.60000000000002</v>
      </c>
      <c r="I62" s="12" t="s">
        <v>43</v>
      </c>
      <c r="J62" s="5">
        <v>0.1</v>
      </c>
      <c r="K62" s="5">
        <f t="shared" si="6"/>
        <v>8.5999999999999979</v>
      </c>
      <c r="L62" s="5">
        <v>1.2</v>
      </c>
      <c r="M62" s="5">
        <f t="shared" si="7"/>
        <v>23.5</v>
      </c>
      <c r="N62" s="5">
        <v>-1.0999999999999999</v>
      </c>
      <c r="O62" s="5">
        <f t="shared" si="4"/>
        <v>9.5999999999999854</v>
      </c>
      <c r="P62" s="5">
        <v>13</v>
      </c>
      <c r="Q62" s="5">
        <f t="shared" si="10"/>
        <v>0.36741071428571426</v>
      </c>
      <c r="R62" s="9">
        <f t="shared" si="2"/>
        <v>0.44089285714285709</v>
      </c>
      <c r="S62" s="9">
        <f t="shared" si="3"/>
        <v>-0.34089285714285711</v>
      </c>
      <c r="T62" s="9">
        <f t="shared" si="8"/>
        <v>24.803616071428561</v>
      </c>
      <c r="V62" s="5">
        <v>497.4</v>
      </c>
      <c r="X62" s="5">
        <f t="shared" si="9"/>
        <v>10914.800000000001</v>
      </c>
      <c r="AA62" s="5">
        <v>12.030376765913299</v>
      </c>
    </row>
    <row r="63" spans="1:27" s="5" customFormat="1" x14ac:dyDescent="0.25">
      <c r="A63" s="76"/>
      <c r="B63" s="10"/>
      <c r="C63" s="11">
        <v>40813</v>
      </c>
      <c r="D63" s="5">
        <v>19.100000000000001</v>
      </c>
      <c r="E63" s="5">
        <v>12.3</v>
      </c>
      <c r="F63" s="5">
        <v>27.4</v>
      </c>
      <c r="G63" s="5">
        <f t="shared" si="5"/>
        <v>212.70000000000002</v>
      </c>
      <c r="I63" s="5">
        <v>1398</v>
      </c>
      <c r="J63" s="5">
        <v>0</v>
      </c>
      <c r="K63" s="5">
        <f t="shared" si="6"/>
        <v>8.5999999999999979</v>
      </c>
      <c r="L63" s="5">
        <v>3.1</v>
      </c>
      <c r="M63" s="5">
        <f t="shared" si="7"/>
        <v>26.6</v>
      </c>
      <c r="N63" s="5">
        <v>-3.1</v>
      </c>
      <c r="O63" s="5">
        <f t="shared" si="4"/>
        <v>6.4999999999999858</v>
      </c>
      <c r="P63" s="5">
        <v>14</v>
      </c>
      <c r="Q63" s="5">
        <f t="shared" si="10"/>
        <v>0.37321428571428572</v>
      </c>
      <c r="R63" s="9">
        <f t="shared" si="2"/>
        <v>1.1569642857142857</v>
      </c>
      <c r="S63" s="9">
        <f t="shared" si="3"/>
        <v>-1.1569642857142857</v>
      </c>
      <c r="T63" s="9">
        <f t="shared" si="8"/>
        <v>23.646651785714276</v>
      </c>
      <c r="U63" s="9">
        <f>(U61*100)/197.4</f>
        <v>27.742448522834316</v>
      </c>
      <c r="V63" s="5">
        <v>1325.1</v>
      </c>
      <c r="X63" s="5">
        <f t="shared" si="9"/>
        <v>12239.900000000001</v>
      </c>
      <c r="AA63" s="5">
        <v>11.972369597360601</v>
      </c>
    </row>
    <row r="64" spans="1:27" s="5" customFormat="1" x14ac:dyDescent="0.25">
      <c r="A64" s="76"/>
      <c r="B64" s="10"/>
      <c r="C64" s="11">
        <v>40814</v>
      </c>
      <c r="D64" s="5">
        <v>19.600000000000001</v>
      </c>
      <c r="E64" s="5">
        <v>13.7</v>
      </c>
      <c r="F64" s="5">
        <v>27.6</v>
      </c>
      <c r="G64" s="5">
        <f t="shared" si="5"/>
        <v>232.3</v>
      </c>
      <c r="J64" s="5">
        <v>0</v>
      </c>
      <c r="K64" s="5">
        <f t="shared" si="6"/>
        <v>8.5999999999999979</v>
      </c>
      <c r="L64" s="5">
        <v>4</v>
      </c>
      <c r="M64" s="5">
        <f t="shared" si="7"/>
        <v>30.6</v>
      </c>
      <c r="N64" s="5">
        <v>-4</v>
      </c>
      <c r="O64" s="5">
        <f t="shared" si="4"/>
        <v>2.4999999999999858</v>
      </c>
      <c r="P64" s="5">
        <v>15</v>
      </c>
      <c r="Q64" s="5">
        <f t="shared" si="10"/>
        <v>0.37901785714285713</v>
      </c>
      <c r="R64" s="9">
        <f t="shared" si="2"/>
        <v>1.5160714285714285</v>
      </c>
      <c r="S64" s="9">
        <f t="shared" si="3"/>
        <v>-1.5160714285714285</v>
      </c>
      <c r="T64" s="9">
        <f t="shared" si="8"/>
        <v>22.130580357142847</v>
      </c>
      <c r="V64" s="5">
        <v>1681.6</v>
      </c>
      <c r="X64" s="5">
        <f t="shared" si="9"/>
        <v>13921.500000000002</v>
      </c>
      <c r="AA64" s="5">
        <v>11.9143655718154</v>
      </c>
    </row>
    <row r="65" spans="1:27" s="5" customFormat="1" x14ac:dyDescent="0.25">
      <c r="A65" s="76"/>
      <c r="B65" s="10"/>
      <c r="C65" s="11">
        <v>40815</v>
      </c>
      <c r="D65" s="5">
        <v>19.399999999999999</v>
      </c>
      <c r="E65" s="5">
        <v>12.6</v>
      </c>
      <c r="F65" s="5">
        <v>28.7</v>
      </c>
      <c r="G65" s="5">
        <f t="shared" si="5"/>
        <v>251.70000000000002</v>
      </c>
      <c r="J65" s="5">
        <v>0</v>
      </c>
      <c r="K65" s="5">
        <f t="shared" si="6"/>
        <v>8.5999999999999979</v>
      </c>
      <c r="L65" s="5">
        <v>4</v>
      </c>
      <c r="M65" s="5">
        <f t="shared" si="7"/>
        <v>34.6</v>
      </c>
      <c r="N65" s="5">
        <v>-4</v>
      </c>
      <c r="O65" s="5">
        <v>0</v>
      </c>
      <c r="P65" s="5">
        <v>16</v>
      </c>
      <c r="Q65" s="5">
        <f t="shared" si="10"/>
        <v>0.38482142857142854</v>
      </c>
      <c r="R65" s="9">
        <f t="shared" si="2"/>
        <v>1.5392857142857141</v>
      </c>
      <c r="S65" s="9">
        <f t="shared" si="3"/>
        <v>-1.5392857142857141</v>
      </c>
      <c r="T65" s="9">
        <f t="shared" si="8"/>
        <v>20.591294642857132</v>
      </c>
      <c r="V65" s="5">
        <v>1717.7</v>
      </c>
      <c r="X65" s="5">
        <f t="shared" si="9"/>
        <v>15639.200000000003</v>
      </c>
      <c r="AA65" s="5">
        <v>11.856370332278001</v>
      </c>
    </row>
    <row r="66" spans="1:27" s="5" customFormat="1" x14ac:dyDescent="0.25">
      <c r="A66" s="76"/>
      <c r="B66" s="10"/>
      <c r="C66" s="11">
        <v>40816</v>
      </c>
      <c r="D66" s="5">
        <v>19.5</v>
      </c>
      <c r="E66" s="5">
        <v>11.9</v>
      </c>
      <c r="F66" s="5">
        <v>29.1</v>
      </c>
      <c r="G66" s="5">
        <f t="shared" si="5"/>
        <v>271.20000000000005</v>
      </c>
      <c r="J66" s="5">
        <v>0</v>
      </c>
      <c r="K66" s="5">
        <f t="shared" si="6"/>
        <v>8.5999999999999979</v>
      </c>
      <c r="L66" s="5">
        <v>4.2</v>
      </c>
      <c r="M66" s="5">
        <f t="shared" si="7"/>
        <v>38.800000000000004</v>
      </c>
      <c r="N66" s="5">
        <v>-4.2</v>
      </c>
      <c r="O66" s="5">
        <v>0</v>
      </c>
      <c r="P66" s="5">
        <v>17</v>
      </c>
      <c r="Q66" s="5">
        <f t="shared" si="10"/>
        <v>0.390625</v>
      </c>
      <c r="R66" s="9">
        <f t="shared" si="2"/>
        <v>1.640625</v>
      </c>
      <c r="S66" s="9">
        <f t="shared" si="3"/>
        <v>-1.640625</v>
      </c>
      <c r="T66" s="9">
        <f t="shared" si="8"/>
        <v>18.950669642857132</v>
      </c>
      <c r="V66" s="5">
        <v>1721.5</v>
      </c>
      <c r="X66" s="5">
        <f t="shared" si="9"/>
        <v>17360.700000000004</v>
      </c>
      <c r="AA66" s="5">
        <v>11.7983896186562</v>
      </c>
    </row>
    <row r="67" spans="1:27" s="5" customFormat="1" x14ac:dyDescent="0.25">
      <c r="A67" s="76"/>
      <c r="B67" s="10"/>
      <c r="C67" s="11">
        <v>40817</v>
      </c>
      <c r="D67" s="5">
        <v>18.399999999999999</v>
      </c>
      <c r="E67" s="5">
        <v>11.7</v>
      </c>
      <c r="F67" s="5">
        <v>27.6</v>
      </c>
      <c r="G67" s="5">
        <f t="shared" si="5"/>
        <v>289.60000000000002</v>
      </c>
      <c r="J67" s="5">
        <v>0</v>
      </c>
      <c r="K67" s="5">
        <f t="shared" si="6"/>
        <v>8.5999999999999979</v>
      </c>
      <c r="L67" s="5">
        <v>3.9</v>
      </c>
      <c r="M67" s="5">
        <f t="shared" si="7"/>
        <v>42.7</v>
      </c>
      <c r="N67" s="5">
        <v>-3.9</v>
      </c>
      <c r="O67" s="5">
        <v>0</v>
      </c>
      <c r="P67" s="5">
        <v>18</v>
      </c>
      <c r="Q67" s="5">
        <f t="shared" si="10"/>
        <v>0.39642857142857141</v>
      </c>
      <c r="R67" s="9">
        <f t="shared" si="2"/>
        <v>1.5460714285714285</v>
      </c>
      <c r="S67" s="9">
        <f t="shared" si="3"/>
        <v>-1.5460714285714285</v>
      </c>
      <c r="T67" s="9">
        <f t="shared" si="8"/>
        <v>17.404598214285706</v>
      </c>
      <c r="V67" s="5">
        <v>1648.6</v>
      </c>
      <c r="X67" s="5">
        <f t="shared" si="9"/>
        <v>19009.300000000003</v>
      </c>
      <c r="AA67" s="5">
        <v>11.740429284817401</v>
      </c>
    </row>
    <row r="68" spans="1:27" s="5" customFormat="1" x14ac:dyDescent="0.25">
      <c r="A68" s="76"/>
      <c r="B68" s="10"/>
      <c r="C68" s="11">
        <v>40818</v>
      </c>
      <c r="D68" s="5">
        <v>18</v>
      </c>
      <c r="E68" s="5">
        <v>10.4</v>
      </c>
      <c r="F68" s="5">
        <v>28.3</v>
      </c>
      <c r="G68" s="5">
        <f t="shared" si="5"/>
        <v>307.60000000000002</v>
      </c>
      <c r="J68" s="5">
        <v>0</v>
      </c>
      <c r="K68" s="5">
        <f t="shared" si="6"/>
        <v>8.5999999999999979</v>
      </c>
      <c r="L68" s="5">
        <v>3.8</v>
      </c>
      <c r="M68" s="5">
        <f t="shared" si="7"/>
        <v>46.5</v>
      </c>
      <c r="N68" s="5">
        <v>-3.8</v>
      </c>
      <c r="O68" s="5">
        <v>0</v>
      </c>
      <c r="P68" s="5">
        <v>19</v>
      </c>
      <c r="Q68" s="5">
        <f t="shared" si="10"/>
        <v>0.40223214285714282</v>
      </c>
      <c r="R68" s="9">
        <f t="shared" si="2"/>
        <v>1.5284821428571427</v>
      </c>
      <c r="S68" s="9">
        <f t="shared" si="3"/>
        <v>-1.5284821428571427</v>
      </c>
      <c r="T68" s="9">
        <f t="shared" si="8"/>
        <v>15.876116071428562</v>
      </c>
      <c r="V68" s="5">
        <v>1677.1</v>
      </c>
      <c r="X68" s="5">
        <f t="shared" si="9"/>
        <v>20686.400000000001</v>
      </c>
      <c r="AA68" s="5">
        <v>11.6824953157588</v>
      </c>
    </row>
    <row r="69" spans="1:27" s="5" customFormat="1" x14ac:dyDescent="0.25">
      <c r="A69" s="76"/>
      <c r="B69" s="10"/>
      <c r="C69" s="11">
        <v>40819</v>
      </c>
      <c r="D69" s="5">
        <v>17.600000000000001</v>
      </c>
      <c r="E69" s="5">
        <v>9.5</v>
      </c>
      <c r="F69" s="5">
        <v>26.4</v>
      </c>
      <c r="G69" s="5">
        <f t="shared" si="5"/>
        <v>325.20000000000005</v>
      </c>
      <c r="J69" s="5">
        <v>0</v>
      </c>
      <c r="K69" s="5">
        <f t="shared" si="6"/>
        <v>8.5999999999999979</v>
      </c>
      <c r="L69" s="5">
        <v>3.8</v>
      </c>
      <c r="M69" s="5">
        <f t="shared" si="7"/>
        <v>50.3</v>
      </c>
      <c r="N69" s="5">
        <v>-3.8</v>
      </c>
      <c r="O69" s="5">
        <v>0</v>
      </c>
      <c r="P69" s="5">
        <v>20</v>
      </c>
      <c r="Q69" s="5">
        <f t="shared" si="10"/>
        <v>0.40803571428571428</v>
      </c>
      <c r="R69" s="9">
        <f t="shared" si="2"/>
        <v>1.5505357142857141</v>
      </c>
      <c r="S69" s="9">
        <f t="shared" si="3"/>
        <v>-1.5505357142857141</v>
      </c>
      <c r="T69" s="9">
        <f t="shared" si="8"/>
        <v>14.325580357142847</v>
      </c>
      <c r="V69" s="5">
        <v>1585.8</v>
      </c>
      <c r="X69" s="5">
        <f t="shared" si="9"/>
        <v>22272.2</v>
      </c>
      <c r="AA69" s="5">
        <v>11.624593844895101</v>
      </c>
    </row>
    <row r="70" spans="1:27" s="5" customFormat="1" x14ac:dyDescent="0.25">
      <c r="A70" s="76"/>
      <c r="B70" s="10"/>
      <c r="C70" s="11">
        <v>40820</v>
      </c>
      <c r="D70" s="5">
        <v>17.8</v>
      </c>
      <c r="E70" s="5">
        <v>15</v>
      </c>
      <c r="F70" s="5">
        <v>21.1</v>
      </c>
      <c r="G70" s="5">
        <f t="shared" si="5"/>
        <v>343.00000000000006</v>
      </c>
      <c r="J70" s="5">
        <v>0</v>
      </c>
      <c r="K70" s="5">
        <f t="shared" si="6"/>
        <v>8.5999999999999979</v>
      </c>
      <c r="L70" s="5">
        <v>1.3</v>
      </c>
      <c r="M70" s="5">
        <f t="shared" si="7"/>
        <v>51.599999999999994</v>
      </c>
      <c r="N70" s="5">
        <v>-1.3</v>
      </c>
      <c r="O70" s="5">
        <v>0</v>
      </c>
      <c r="P70" s="5">
        <v>21</v>
      </c>
      <c r="Q70" s="5">
        <f t="shared" si="10"/>
        <v>0.41383928571428569</v>
      </c>
      <c r="R70" s="9">
        <f t="shared" si="2"/>
        <v>0.53799107142857139</v>
      </c>
      <c r="S70" s="9">
        <f t="shared" si="3"/>
        <v>-0.53799107142857139</v>
      </c>
      <c r="T70" s="9">
        <f t="shared" si="8"/>
        <v>13.787589285714276</v>
      </c>
      <c r="V70" s="5">
        <v>319.39999999999998</v>
      </c>
      <c r="X70" s="5">
        <f t="shared" si="9"/>
        <v>22591.600000000002</v>
      </c>
      <c r="AA70" s="5">
        <v>11.566731171465699</v>
      </c>
    </row>
    <row r="71" spans="1:27" s="5" customFormat="1" x14ac:dyDescent="0.25">
      <c r="A71" s="76"/>
      <c r="B71" s="10"/>
      <c r="C71" s="11">
        <v>40821</v>
      </c>
      <c r="D71" s="5">
        <v>18</v>
      </c>
      <c r="E71" s="5">
        <v>15.5</v>
      </c>
      <c r="F71" s="5">
        <v>20.8</v>
      </c>
      <c r="G71" s="5">
        <f t="shared" si="5"/>
        <v>361.00000000000006</v>
      </c>
      <c r="J71" s="5">
        <v>0.6</v>
      </c>
      <c r="K71" s="5">
        <f t="shared" si="6"/>
        <v>9.1999999999999975</v>
      </c>
      <c r="L71" s="5">
        <v>1.4</v>
      </c>
      <c r="M71" s="5">
        <f t="shared" si="7"/>
        <v>52.999999999999993</v>
      </c>
      <c r="N71" s="5">
        <v>-0.79999999999999993</v>
      </c>
      <c r="O71" s="5">
        <v>0</v>
      </c>
      <c r="P71" s="5">
        <v>22</v>
      </c>
      <c r="Q71" s="5">
        <f t="shared" si="10"/>
        <v>0.4196428571428571</v>
      </c>
      <c r="R71" s="9">
        <f t="shared" si="2"/>
        <v>0.58749999999999991</v>
      </c>
      <c r="S71" s="9">
        <f t="shared" si="3"/>
        <v>1.2500000000000067E-2</v>
      </c>
      <c r="T71" s="9">
        <f t="shared" si="8"/>
        <v>13.800089285714275</v>
      </c>
      <c r="V71" s="5">
        <v>273.7</v>
      </c>
      <c r="X71" s="5">
        <f t="shared" si="9"/>
        <v>22865.300000000003</v>
      </c>
      <c r="AA71" s="5">
        <v>11.5089137780611</v>
      </c>
    </row>
    <row r="72" spans="1:27" s="5" customFormat="1" x14ac:dyDescent="0.25">
      <c r="A72" s="76"/>
      <c r="B72" s="10"/>
      <c r="C72" s="11">
        <v>40822</v>
      </c>
      <c r="D72" s="5">
        <v>15</v>
      </c>
      <c r="E72" s="5">
        <v>12.8</v>
      </c>
      <c r="F72" s="5">
        <v>17.2</v>
      </c>
      <c r="G72" s="5">
        <f t="shared" si="5"/>
        <v>376.00000000000006</v>
      </c>
      <c r="J72" s="5">
        <v>0.7</v>
      </c>
      <c r="K72" s="5">
        <f t="shared" si="6"/>
        <v>9.8999999999999968</v>
      </c>
      <c r="L72" s="5">
        <v>1.5</v>
      </c>
      <c r="M72" s="5">
        <f t="shared" si="7"/>
        <v>54.499999999999993</v>
      </c>
      <c r="N72" s="5">
        <v>-0.8</v>
      </c>
      <c r="O72" s="5">
        <v>0</v>
      </c>
      <c r="P72" s="5">
        <v>23</v>
      </c>
      <c r="Q72" s="5">
        <f t="shared" si="10"/>
        <v>0.42544642857142856</v>
      </c>
      <c r="R72" s="9">
        <f t="shared" si="2"/>
        <v>0.63816964285714284</v>
      </c>
      <c r="S72" s="9">
        <f t="shared" si="3"/>
        <v>6.1830357142857117E-2</v>
      </c>
      <c r="T72" s="9">
        <f t="shared" si="8"/>
        <v>13.861919642857131</v>
      </c>
      <c r="V72" s="5">
        <v>577.5</v>
      </c>
      <c r="X72" s="5">
        <f t="shared" si="9"/>
        <v>23442.800000000003</v>
      </c>
      <c r="AA72" s="5">
        <v>11.451148348265299</v>
      </c>
    </row>
    <row r="73" spans="1:27" s="5" customFormat="1" x14ac:dyDescent="0.25">
      <c r="A73" s="76"/>
      <c r="B73" s="10"/>
      <c r="C73" s="11">
        <v>40823</v>
      </c>
      <c r="D73" s="5">
        <v>11.5</v>
      </c>
      <c r="E73" s="5">
        <v>10.3</v>
      </c>
      <c r="F73" s="5">
        <v>13.6</v>
      </c>
      <c r="G73" s="5">
        <f t="shared" si="5"/>
        <v>387.50000000000006</v>
      </c>
      <c r="J73" s="5">
        <v>2.6</v>
      </c>
      <c r="K73" s="5">
        <f t="shared" si="6"/>
        <v>12.499999999999996</v>
      </c>
      <c r="L73" s="5">
        <v>1.4</v>
      </c>
      <c r="M73" s="5">
        <f t="shared" si="7"/>
        <v>55.899999999999991</v>
      </c>
      <c r="N73" s="5">
        <v>1.2000000000000002</v>
      </c>
      <c r="O73" s="5">
        <f>O72+N73</f>
        <v>1.2000000000000002</v>
      </c>
      <c r="P73" s="5">
        <v>24</v>
      </c>
      <c r="Q73" s="5">
        <f t="shared" si="10"/>
        <v>0.43124999999999997</v>
      </c>
      <c r="R73" s="9">
        <f t="shared" si="2"/>
        <v>0.6037499999999999</v>
      </c>
      <c r="S73" s="9">
        <f t="shared" si="3"/>
        <v>1.9962500000000003</v>
      </c>
      <c r="T73" s="9">
        <f t="shared" si="8"/>
        <v>15.858169642857131</v>
      </c>
      <c r="V73" s="5">
        <v>386.4</v>
      </c>
      <c r="X73" s="5">
        <f t="shared" si="9"/>
        <v>23829.200000000004</v>
      </c>
      <c r="AA73" s="5">
        <v>11.393441784411801</v>
      </c>
    </row>
    <row r="74" spans="1:27" s="5" customFormat="1" x14ac:dyDescent="0.25">
      <c r="A74" s="76"/>
      <c r="B74" s="10"/>
      <c r="C74" s="11">
        <v>40824</v>
      </c>
      <c r="D74" s="5">
        <v>13</v>
      </c>
      <c r="E74" s="5">
        <v>9.6999999999999993</v>
      </c>
      <c r="F74" s="5">
        <v>15.7</v>
      </c>
      <c r="G74" s="5">
        <f t="shared" si="5"/>
        <v>400.50000000000006</v>
      </c>
      <c r="J74" s="5">
        <v>0.1</v>
      </c>
      <c r="K74" s="5">
        <f t="shared" si="6"/>
        <v>12.599999999999996</v>
      </c>
      <c r="L74" s="5">
        <v>1.5</v>
      </c>
      <c r="M74" s="5">
        <f t="shared" si="7"/>
        <v>57.399999999999991</v>
      </c>
      <c r="N74" s="5">
        <v>-1.4</v>
      </c>
      <c r="O74" s="5">
        <v>0</v>
      </c>
      <c r="P74" s="5">
        <v>25</v>
      </c>
      <c r="Q74" s="5">
        <f t="shared" si="10"/>
        <v>0.43705357142857137</v>
      </c>
      <c r="R74" s="9">
        <f t="shared" si="2"/>
        <v>0.65558035714285712</v>
      </c>
      <c r="S74" s="9">
        <f t="shared" si="3"/>
        <v>-0.55558035714285714</v>
      </c>
      <c r="T74" s="9">
        <f t="shared" si="8"/>
        <v>15.302589285714275</v>
      </c>
      <c r="V74" s="5">
        <v>613.20000000000005</v>
      </c>
      <c r="X74" s="5">
        <f t="shared" si="9"/>
        <v>24442.400000000005</v>
      </c>
      <c r="AA74" s="5">
        <v>11.335801225446801</v>
      </c>
    </row>
    <row r="75" spans="1:27" s="5" customFormat="1" x14ac:dyDescent="0.25">
      <c r="A75" s="76"/>
      <c r="B75" s="10"/>
      <c r="C75" s="11">
        <v>40825</v>
      </c>
      <c r="D75" s="5">
        <v>16.5</v>
      </c>
      <c r="E75" s="5">
        <v>13</v>
      </c>
      <c r="F75" s="5">
        <v>20.5</v>
      </c>
      <c r="G75" s="5">
        <f t="shared" si="5"/>
        <v>417.00000000000006</v>
      </c>
      <c r="J75" s="5">
        <v>0</v>
      </c>
      <c r="K75" s="5">
        <f t="shared" si="6"/>
        <v>12.599999999999996</v>
      </c>
      <c r="L75" s="5">
        <v>1.3</v>
      </c>
      <c r="M75" s="5">
        <f t="shared" si="7"/>
        <v>58.699999999999989</v>
      </c>
      <c r="N75" s="5">
        <v>-1.3</v>
      </c>
      <c r="O75" s="5">
        <v>0</v>
      </c>
      <c r="P75" s="5">
        <v>26</v>
      </c>
      <c r="Q75" s="5">
        <f t="shared" si="10"/>
        <v>0.44285714285714284</v>
      </c>
      <c r="R75" s="9">
        <f t="shared" si="2"/>
        <v>0.57571428571428573</v>
      </c>
      <c r="S75" s="9">
        <f t="shared" si="3"/>
        <v>-0.57571428571428573</v>
      </c>
      <c r="T75" s="9">
        <f t="shared" si="8"/>
        <v>14.726874999999989</v>
      </c>
      <c r="V75" s="5">
        <v>263.10000000000002</v>
      </c>
      <c r="X75" s="5">
        <f t="shared" si="9"/>
        <v>24705.500000000004</v>
      </c>
      <c r="AA75" s="5">
        <v>11.278234064892301</v>
      </c>
    </row>
    <row r="76" spans="1:27" s="5" customFormat="1" x14ac:dyDescent="0.25">
      <c r="A76" s="76"/>
      <c r="B76" s="10"/>
      <c r="C76" s="11">
        <v>40826</v>
      </c>
      <c r="D76" s="5">
        <v>15.5</v>
      </c>
      <c r="E76" s="5">
        <v>13.9</v>
      </c>
      <c r="F76" s="5">
        <v>16.600000000000001</v>
      </c>
      <c r="G76" s="5">
        <f t="shared" si="5"/>
        <v>432.50000000000006</v>
      </c>
      <c r="J76" s="5">
        <v>0.2</v>
      </c>
      <c r="K76" s="5">
        <f t="shared" si="6"/>
        <v>12.799999999999995</v>
      </c>
      <c r="L76" s="5">
        <v>0.8</v>
      </c>
      <c r="M76" s="5">
        <f t="shared" si="7"/>
        <v>59.499999999999986</v>
      </c>
      <c r="N76" s="5">
        <v>-0.60000000000000009</v>
      </c>
      <c r="O76" s="5">
        <v>0</v>
      </c>
      <c r="P76" s="5">
        <v>27</v>
      </c>
      <c r="Q76" s="5">
        <f t="shared" si="10"/>
        <v>0.44866071428571425</v>
      </c>
      <c r="R76" s="9">
        <f t="shared" si="2"/>
        <v>0.35892857142857143</v>
      </c>
      <c r="S76" s="9">
        <f t="shared" si="3"/>
        <v>-0.15892857142857142</v>
      </c>
      <c r="T76" s="9">
        <f t="shared" si="8"/>
        <v>14.567946428571418</v>
      </c>
      <c r="V76" s="5">
        <v>242.8</v>
      </c>
      <c r="X76" s="5">
        <f t="shared" si="9"/>
        <v>24948.300000000003</v>
      </c>
      <c r="AA76" s="5">
        <v>11.220747968898101</v>
      </c>
    </row>
    <row r="77" spans="1:27" s="5" customFormat="1" x14ac:dyDescent="0.25">
      <c r="A77" s="76"/>
      <c r="B77" s="10"/>
      <c r="C77" s="11">
        <v>40827</v>
      </c>
      <c r="D77" s="5">
        <v>15.3</v>
      </c>
      <c r="E77" s="5">
        <v>13.8</v>
      </c>
      <c r="F77" s="5">
        <v>17</v>
      </c>
      <c r="G77" s="5">
        <f t="shared" si="5"/>
        <v>447.80000000000007</v>
      </c>
      <c r="J77" s="5">
        <v>0</v>
      </c>
      <c r="K77" s="5">
        <f t="shared" si="6"/>
        <v>12.799999999999995</v>
      </c>
      <c r="L77" s="5">
        <v>0.8</v>
      </c>
      <c r="M77" s="5">
        <f t="shared" si="7"/>
        <v>60.299999999999983</v>
      </c>
      <c r="N77" s="5">
        <v>-0.8</v>
      </c>
      <c r="O77" s="5">
        <v>0</v>
      </c>
      <c r="P77" s="5">
        <v>28</v>
      </c>
      <c r="Q77" s="5">
        <f t="shared" si="10"/>
        <v>0.45446428571428571</v>
      </c>
      <c r="R77" s="9">
        <f t="shared" si="2"/>
        <v>0.3635714285714286</v>
      </c>
      <c r="S77" s="9">
        <f t="shared" si="3"/>
        <v>-0.3635714285714286</v>
      </c>
      <c r="T77" s="9">
        <f t="shared" si="8"/>
        <v>14.204374999999988</v>
      </c>
      <c r="V77" s="5">
        <v>228.9</v>
      </c>
      <c r="X77" s="5">
        <f t="shared" si="9"/>
        <v>25177.200000000004</v>
      </c>
      <c r="AA77" s="5">
        <v>11.163350894371</v>
      </c>
    </row>
    <row r="78" spans="1:27" s="5" customFormat="1" x14ac:dyDescent="0.25">
      <c r="A78" s="76"/>
      <c r="B78" s="10"/>
      <c r="C78" s="11">
        <v>40828</v>
      </c>
      <c r="D78" s="5">
        <v>15.1</v>
      </c>
      <c r="E78" s="5">
        <v>13.9</v>
      </c>
      <c r="F78" s="5">
        <v>16.8</v>
      </c>
      <c r="G78" s="5">
        <f t="shared" si="5"/>
        <v>462.90000000000009</v>
      </c>
      <c r="J78" s="5">
        <v>0</v>
      </c>
      <c r="K78" s="5">
        <f t="shared" si="6"/>
        <v>12.799999999999995</v>
      </c>
      <c r="L78" s="5">
        <v>0.8</v>
      </c>
      <c r="M78" s="5">
        <f t="shared" si="7"/>
        <v>61.09999999999998</v>
      </c>
      <c r="N78" s="5">
        <v>-0.8</v>
      </c>
      <c r="O78" s="5">
        <v>0</v>
      </c>
      <c r="P78" s="5">
        <v>29</v>
      </c>
      <c r="Q78" s="5">
        <f t="shared" si="10"/>
        <v>0.46026785714285712</v>
      </c>
      <c r="R78" s="9">
        <f t="shared" si="2"/>
        <v>0.36821428571428572</v>
      </c>
      <c r="S78" s="9">
        <f t="shared" si="3"/>
        <v>-0.36821428571428572</v>
      </c>
      <c r="T78" s="9">
        <f t="shared" si="8"/>
        <v>13.836160714285702</v>
      </c>
      <c r="V78" s="5">
        <v>237.1</v>
      </c>
      <c r="X78" s="5">
        <f t="shared" si="9"/>
        <v>25414.300000000003</v>
      </c>
      <c r="AA78" s="5">
        <v>11.1060511071659</v>
      </c>
    </row>
    <row r="79" spans="1:27" s="5" customFormat="1" x14ac:dyDescent="0.25">
      <c r="A79" s="76"/>
      <c r="B79" s="10"/>
      <c r="C79" s="11">
        <v>40829</v>
      </c>
      <c r="D79" s="5">
        <v>15.5</v>
      </c>
      <c r="E79" s="5">
        <v>12</v>
      </c>
      <c r="F79" s="5">
        <v>19.7</v>
      </c>
      <c r="G79" s="5">
        <f t="shared" si="5"/>
        <v>478.40000000000009</v>
      </c>
      <c r="J79" s="5">
        <v>0.1</v>
      </c>
      <c r="K79" s="5">
        <f t="shared" si="6"/>
        <v>12.899999999999995</v>
      </c>
      <c r="L79" s="5">
        <v>0.7</v>
      </c>
      <c r="M79" s="5">
        <f t="shared" si="7"/>
        <v>61.799999999999983</v>
      </c>
      <c r="N79" s="5">
        <v>-0.6</v>
      </c>
      <c r="O79" s="5">
        <v>0</v>
      </c>
      <c r="P79" s="5">
        <v>30</v>
      </c>
      <c r="Q79" s="5">
        <f t="shared" si="10"/>
        <v>0.46607142857142858</v>
      </c>
      <c r="R79" s="9">
        <f t="shared" si="2"/>
        <v>0.32624999999999998</v>
      </c>
      <c r="S79" s="9">
        <f t="shared" si="3"/>
        <v>-0.22624999999999998</v>
      </c>
      <c r="T79" s="9">
        <f t="shared" si="8"/>
        <v>13.609910714285702</v>
      </c>
      <c r="V79" s="5">
        <v>207.9</v>
      </c>
      <c r="X79" s="5">
        <f t="shared" si="9"/>
        <v>25622.200000000004</v>
      </c>
      <c r="AA79" s="5">
        <v>11.0488572003194</v>
      </c>
    </row>
    <row r="80" spans="1:27" s="5" customFormat="1" x14ac:dyDescent="0.25">
      <c r="A80" s="76"/>
      <c r="B80" s="10"/>
      <c r="C80" s="11">
        <v>40830</v>
      </c>
      <c r="D80" s="5">
        <v>13.8</v>
      </c>
      <c r="E80" s="5">
        <v>12.4</v>
      </c>
      <c r="F80" s="5">
        <v>19.8</v>
      </c>
      <c r="G80" s="5">
        <f t="shared" si="5"/>
        <v>492.2000000000001</v>
      </c>
      <c r="J80" s="5">
        <v>0</v>
      </c>
      <c r="K80" s="5">
        <f t="shared" si="6"/>
        <v>12.899999999999995</v>
      </c>
      <c r="L80" s="5">
        <v>2.8</v>
      </c>
      <c r="M80" s="5">
        <f t="shared" si="7"/>
        <v>64.59999999999998</v>
      </c>
      <c r="N80" s="5">
        <v>-2.8</v>
      </c>
      <c r="O80" s="5">
        <v>0</v>
      </c>
      <c r="P80" s="5">
        <v>31</v>
      </c>
      <c r="Q80" s="5">
        <f t="shared" si="10"/>
        <v>0.47187499999999999</v>
      </c>
      <c r="R80" s="9">
        <f t="shared" si="2"/>
        <v>1.3212499999999998</v>
      </c>
      <c r="S80" s="9">
        <f t="shared" si="3"/>
        <v>-1.3212499999999998</v>
      </c>
      <c r="T80" s="9">
        <f t="shared" si="8"/>
        <v>12.288660714285703</v>
      </c>
      <c r="V80" s="5">
        <v>1218.2</v>
      </c>
      <c r="X80" s="5">
        <f t="shared" si="9"/>
        <v>26840.400000000005</v>
      </c>
      <c r="AA80" s="5">
        <v>10.9917781123049</v>
      </c>
    </row>
    <row r="81" spans="1:27" s="5" customFormat="1" x14ac:dyDescent="0.25">
      <c r="A81" s="76"/>
      <c r="B81" s="10"/>
      <c r="C81" s="11">
        <v>40831</v>
      </c>
      <c r="D81" s="5">
        <v>9.8000000000000007</v>
      </c>
      <c r="E81" s="5">
        <v>3.6</v>
      </c>
      <c r="F81" s="5">
        <v>18</v>
      </c>
      <c r="G81" s="5">
        <f t="shared" si="5"/>
        <v>502.00000000000011</v>
      </c>
      <c r="J81" s="5">
        <v>0.1</v>
      </c>
      <c r="K81" s="5">
        <f t="shared" si="6"/>
        <v>12.999999999999995</v>
      </c>
      <c r="L81" s="5">
        <v>2.2999999999999998</v>
      </c>
      <c r="M81" s="5">
        <f t="shared" si="7"/>
        <v>66.899999999999977</v>
      </c>
      <c r="N81" s="5">
        <v>-2.1999999999999997</v>
      </c>
      <c r="O81" s="5">
        <v>0</v>
      </c>
      <c r="P81" s="5">
        <v>32</v>
      </c>
      <c r="Q81" s="5">
        <f t="shared" si="10"/>
        <v>0.4776785714285714</v>
      </c>
      <c r="R81" s="9">
        <f t="shared" si="2"/>
        <v>1.0986607142857141</v>
      </c>
      <c r="S81" s="9">
        <f t="shared" si="3"/>
        <v>-0.99866071428571412</v>
      </c>
      <c r="T81" s="9">
        <f t="shared" si="8"/>
        <v>11.289999999999988</v>
      </c>
      <c r="V81" s="5">
        <v>1329.8</v>
      </c>
      <c r="X81" s="5">
        <f t="shared" si="9"/>
        <v>28170.200000000004</v>
      </c>
      <c r="AA81" s="5">
        <v>10.9348231452836</v>
      </c>
    </row>
    <row r="82" spans="1:27" s="5" customFormat="1" x14ac:dyDescent="0.25">
      <c r="A82" s="76"/>
      <c r="B82" s="10"/>
      <c r="C82" s="11">
        <v>40832</v>
      </c>
      <c r="D82" s="5">
        <v>10.1</v>
      </c>
      <c r="E82" s="5">
        <v>3</v>
      </c>
      <c r="F82" s="5">
        <v>17.399999999999999</v>
      </c>
      <c r="G82" s="5">
        <f t="shared" si="5"/>
        <v>512.10000000000014</v>
      </c>
      <c r="J82" s="5">
        <v>0.2</v>
      </c>
      <c r="K82" s="5">
        <f t="shared" si="6"/>
        <v>13.199999999999994</v>
      </c>
      <c r="L82" s="5">
        <v>1.5</v>
      </c>
      <c r="M82" s="5">
        <f t="shared" si="7"/>
        <v>68.399999999999977</v>
      </c>
      <c r="N82" s="5">
        <v>-1.3</v>
      </c>
      <c r="O82" s="5">
        <v>0</v>
      </c>
      <c r="P82" s="5">
        <v>33</v>
      </c>
      <c r="Q82" s="5">
        <f t="shared" si="10"/>
        <v>0.48348214285714286</v>
      </c>
      <c r="R82" s="9">
        <f t="shared" si="2"/>
        <v>0.72522321428571423</v>
      </c>
      <c r="S82" s="9">
        <f t="shared" si="3"/>
        <v>-0.52522321428571428</v>
      </c>
      <c r="T82" s="9">
        <f t="shared" si="8"/>
        <v>10.764776785714274</v>
      </c>
      <c r="V82" s="5">
        <v>813</v>
      </c>
      <c r="X82" s="5">
        <f t="shared" si="9"/>
        <v>28983.200000000004</v>
      </c>
      <c r="AA82" s="5">
        <v>10.878001983322999</v>
      </c>
    </row>
    <row r="83" spans="1:27" s="5" customFormat="1" x14ac:dyDescent="0.25">
      <c r="A83" s="76"/>
      <c r="B83" s="10"/>
      <c r="C83" s="11">
        <v>40833</v>
      </c>
      <c r="D83" s="5">
        <v>13.2</v>
      </c>
      <c r="E83" s="5">
        <v>7.6</v>
      </c>
      <c r="F83" s="5">
        <v>19.600000000000001</v>
      </c>
      <c r="G83" s="5">
        <f t="shared" si="5"/>
        <v>525.30000000000018</v>
      </c>
      <c r="J83" s="5">
        <v>0</v>
      </c>
      <c r="K83" s="5">
        <f t="shared" si="6"/>
        <v>13.199999999999994</v>
      </c>
      <c r="L83" s="5">
        <v>2.1</v>
      </c>
      <c r="M83" s="5">
        <f t="shared" si="7"/>
        <v>70.499999999999972</v>
      </c>
      <c r="N83" s="5">
        <v>-2.1</v>
      </c>
      <c r="O83" s="5">
        <v>0</v>
      </c>
      <c r="P83" s="5">
        <v>34</v>
      </c>
      <c r="Q83" s="5">
        <f t="shared" si="10"/>
        <v>0.48928571428571427</v>
      </c>
      <c r="R83" s="9">
        <f t="shared" si="2"/>
        <v>1.0275000000000001</v>
      </c>
      <c r="S83" s="9">
        <f t="shared" si="3"/>
        <v>-1.0275000000000001</v>
      </c>
      <c r="T83" s="9">
        <f t="shared" si="8"/>
        <v>9.7372767857142737</v>
      </c>
      <c r="V83" s="5">
        <v>1143.5999999999999</v>
      </c>
      <c r="X83" s="5">
        <f t="shared" si="9"/>
        <v>30126.800000000003</v>
      </c>
      <c r="AA83" s="5">
        <v>10.8213247105489</v>
      </c>
    </row>
    <row r="84" spans="1:27" s="5" customFormat="1" x14ac:dyDescent="0.25">
      <c r="A84" s="76"/>
      <c r="B84" s="10"/>
      <c r="C84" s="11">
        <v>40834</v>
      </c>
      <c r="D84" s="5">
        <v>11.5</v>
      </c>
      <c r="E84" s="5">
        <v>11.3</v>
      </c>
      <c r="F84" s="5">
        <v>12.4</v>
      </c>
      <c r="G84" s="5">
        <f t="shared" si="5"/>
        <v>536.80000000000018</v>
      </c>
      <c r="J84" s="5">
        <v>1.9</v>
      </c>
      <c r="K84" s="5">
        <f t="shared" si="6"/>
        <v>15.099999999999994</v>
      </c>
      <c r="L84" s="5">
        <v>0.5</v>
      </c>
      <c r="M84" s="5">
        <f t="shared" si="7"/>
        <v>70.999999999999972</v>
      </c>
      <c r="N84" s="5">
        <v>1.4</v>
      </c>
      <c r="O84" s="5">
        <f>O83+N84</f>
        <v>1.4</v>
      </c>
      <c r="P84" s="5">
        <v>35</v>
      </c>
      <c r="Q84" s="5">
        <f t="shared" si="10"/>
        <v>0.49508928571428568</v>
      </c>
      <c r="R84" s="9">
        <f t="shared" si="2"/>
        <v>0.24754464285714284</v>
      </c>
      <c r="S84" s="9">
        <f t="shared" si="3"/>
        <v>1.6524553571428571</v>
      </c>
      <c r="T84" s="9">
        <f t="shared" si="8"/>
        <v>11.389732142857131</v>
      </c>
      <c r="V84" s="5">
        <v>181.7</v>
      </c>
      <c r="X84" s="5">
        <f t="shared" si="9"/>
        <v>30308.500000000004</v>
      </c>
      <c r="AA84" s="5">
        <v>10.764801829194701</v>
      </c>
    </row>
    <row r="85" spans="1:27" s="5" customFormat="1" x14ac:dyDescent="0.25">
      <c r="A85" s="76"/>
      <c r="B85" s="10"/>
      <c r="C85" s="11">
        <v>40835</v>
      </c>
      <c r="D85" s="5">
        <v>8.4</v>
      </c>
      <c r="E85" s="5">
        <v>5</v>
      </c>
      <c r="F85" s="5">
        <v>14.9</v>
      </c>
      <c r="G85" s="5">
        <f t="shared" si="5"/>
        <v>545.20000000000016</v>
      </c>
      <c r="J85" s="5">
        <v>1.3</v>
      </c>
      <c r="K85" s="5">
        <f t="shared" si="6"/>
        <v>16.399999999999995</v>
      </c>
      <c r="L85" s="5">
        <v>1.7</v>
      </c>
      <c r="M85" s="5">
        <f t="shared" si="7"/>
        <v>72.699999999999974</v>
      </c>
      <c r="N85" s="5">
        <v>-0.39999999999999991</v>
      </c>
      <c r="O85" s="5">
        <f>O84+N85</f>
        <v>1</v>
      </c>
      <c r="P85" s="5">
        <v>36</v>
      </c>
      <c r="Q85" s="5">
        <f t="shared" si="10"/>
        <v>0.50089285714285714</v>
      </c>
      <c r="R85" s="9">
        <f t="shared" si="2"/>
        <v>0.8515178571428571</v>
      </c>
      <c r="S85" s="9">
        <f t="shared" si="3"/>
        <v>0.44848214285714294</v>
      </c>
      <c r="T85" s="9">
        <f t="shared" si="8"/>
        <v>11.838214285714274</v>
      </c>
      <c r="V85" s="5">
        <v>883.3</v>
      </c>
      <c r="X85" s="5">
        <f t="shared" si="9"/>
        <v>31191.800000000003</v>
      </c>
      <c r="AA85" s="5">
        <v>10.7084442775047</v>
      </c>
    </row>
    <row r="86" spans="1:27" s="5" customFormat="1" x14ac:dyDescent="0.25">
      <c r="A86" s="76"/>
      <c r="B86" s="10"/>
      <c r="C86" s="11">
        <v>40836</v>
      </c>
      <c r="D86" s="5">
        <v>7.9</v>
      </c>
      <c r="E86" s="5">
        <v>4.3</v>
      </c>
      <c r="F86" s="5">
        <v>14.3</v>
      </c>
      <c r="G86" s="5">
        <f t="shared" si="5"/>
        <v>553.10000000000014</v>
      </c>
      <c r="J86" s="5">
        <v>0</v>
      </c>
      <c r="K86" s="5">
        <f t="shared" si="6"/>
        <v>16.399999999999995</v>
      </c>
      <c r="L86" s="5">
        <v>0.8</v>
      </c>
      <c r="M86" s="5">
        <f t="shared" si="7"/>
        <v>73.499999999999972</v>
      </c>
      <c r="N86" s="5">
        <v>-0.8</v>
      </c>
      <c r="O86" s="5">
        <f>O85+N86</f>
        <v>0.19999999999999996</v>
      </c>
      <c r="P86" s="5">
        <v>37</v>
      </c>
      <c r="Q86" s="5">
        <f t="shared" si="10"/>
        <v>0.5066964285714286</v>
      </c>
      <c r="R86" s="9">
        <f t="shared" si="2"/>
        <v>0.40535714285714292</v>
      </c>
      <c r="S86" s="9">
        <f t="shared" si="3"/>
        <v>-0.40535714285714292</v>
      </c>
      <c r="T86" s="9">
        <f t="shared" si="8"/>
        <v>11.432857142857131</v>
      </c>
      <c r="V86" s="5">
        <v>547.70000000000005</v>
      </c>
      <c r="X86" s="5">
        <f t="shared" si="9"/>
        <v>31739.500000000004</v>
      </c>
      <c r="AA86" s="5">
        <v>10.652263447446201</v>
      </c>
    </row>
    <row r="87" spans="1:27" s="5" customFormat="1" x14ac:dyDescent="0.25">
      <c r="A87" s="76"/>
      <c r="B87" s="10"/>
      <c r="C87" s="11">
        <v>40837</v>
      </c>
      <c r="D87" s="5">
        <v>7.1</v>
      </c>
      <c r="E87" s="5">
        <v>2.4</v>
      </c>
      <c r="F87" s="5">
        <v>14.6</v>
      </c>
      <c r="G87" s="5">
        <f t="shared" si="5"/>
        <v>560.20000000000016</v>
      </c>
      <c r="J87" s="5">
        <v>0</v>
      </c>
      <c r="K87" s="5">
        <f t="shared" si="6"/>
        <v>16.399999999999995</v>
      </c>
      <c r="L87" s="5">
        <v>1.8</v>
      </c>
      <c r="M87" s="5">
        <f t="shared" si="7"/>
        <v>75.299999999999969</v>
      </c>
      <c r="N87" s="5">
        <v>-1.8</v>
      </c>
      <c r="O87" s="5">
        <v>0</v>
      </c>
      <c r="P87" s="5">
        <v>38</v>
      </c>
      <c r="Q87" s="5">
        <f t="shared" si="10"/>
        <v>0.51249999999999996</v>
      </c>
      <c r="R87" s="9">
        <f t="shared" si="2"/>
        <v>0.92249999999999999</v>
      </c>
      <c r="S87" s="9">
        <f t="shared" si="3"/>
        <v>-0.92249999999999999</v>
      </c>
      <c r="T87" s="9">
        <f t="shared" si="8"/>
        <v>10.510357142857131</v>
      </c>
      <c r="V87" s="5">
        <v>1158.4000000000001</v>
      </c>
      <c r="X87" s="5">
        <f t="shared" si="9"/>
        <v>32897.9</v>
      </c>
      <c r="AA87" s="5">
        <v>10.5962712021773</v>
      </c>
    </row>
    <row r="88" spans="1:27" s="5" customFormat="1" x14ac:dyDescent="0.25">
      <c r="A88" s="76"/>
      <c r="B88" s="10"/>
      <c r="C88" s="11">
        <v>40838</v>
      </c>
      <c r="D88" s="5">
        <v>9.1</v>
      </c>
      <c r="E88" s="5">
        <v>2.5</v>
      </c>
      <c r="F88" s="5">
        <v>15.3</v>
      </c>
      <c r="G88" s="5">
        <f t="shared" si="5"/>
        <v>569.30000000000018</v>
      </c>
      <c r="J88" s="5">
        <v>0.1</v>
      </c>
      <c r="K88" s="5">
        <f t="shared" si="6"/>
        <v>16.499999999999996</v>
      </c>
      <c r="L88" s="5">
        <v>1.6</v>
      </c>
      <c r="M88" s="5">
        <f t="shared" si="7"/>
        <v>76.899999999999963</v>
      </c>
      <c r="N88" s="5">
        <v>-1.5</v>
      </c>
      <c r="O88" s="5">
        <v>0</v>
      </c>
      <c r="P88" s="5">
        <v>39</v>
      </c>
      <c r="Q88" s="5">
        <f t="shared" si="10"/>
        <v>0.51830357142857142</v>
      </c>
      <c r="R88" s="9">
        <f t="shared" si="2"/>
        <v>0.82928571428571429</v>
      </c>
      <c r="S88" s="9">
        <f t="shared" si="3"/>
        <v>-0.72928571428571431</v>
      </c>
      <c r="T88" s="9">
        <f t="shared" si="8"/>
        <v>9.7810714285714173</v>
      </c>
      <c r="V88" s="5">
        <v>1161.9000000000001</v>
      </c>
      <c r="X88" s="5">
        <f t="shared" si="9"/>
        <v>34059.800000000003</v>
      </c>
      <c r="AA88" s="5">
        <v>10.540479893213901</v>
      </c>
    </row>
    <row r="89" spans="1:27" s="5" customFormat="1" x14ac:dyDescent="0.25">
      <c r="A89" s="76"/>
      <c r="B89" s="10"/>
      <c r="C89" s="11">
        <v>40839</v>
      </c>
      <c r="D89" s="5">
        <v>14.9</v>
      </c>
      <c r="E89" s="5">
        <v>9</v>
      </c>
      <c r="F89" s="5">
        <v>20.5</v>
      </c>
      <c r="G89" s="5">
        <f t="shared" si="5"/>
        <v>584.20000000000016</v>
      </c>
      <c r="J89" s="5">
        <v>0</v>
      </c>
      <c r="K89" s="5">
        <f t="shared" si="6"/>
        <v>16.499999999999996</v>
      </c>
      <c r="L89" s="5">
        <v>2.7</v>
      </c>
      <c r="M89" s="5">
        <f t="shared" si="7"/>
        <v>79.599999999999966</v>
      </c>
      <c r="N89" s="5">
        <v>-2.7</v>
      </c>
      <c r="O89" s="5">
        <v>0</v>
      </c>
      <c r="P89" s="5">
        <v>40</v>
      </c>
      <c r="Q89" s="5">
        <f t="shared" si="10"/>
        <v>0.52410714285714288</v>
      </c>
      <c r="R89" s="9">
        <f t="shared" si="2"/>
        <v>1.4150892857142858</v>
      </c>
      <c r="S89" s="9">
        <f t="shared" si="3"/>
        <v>-1.4150892857142858</v>
      </c>
      <c r="T89" s="9">
        <f t="shared" si="8"/>
        <v>8.3659821428571313</v>
      </c>
      <c r="V89" s="5">
        <v>998.6</v>
      </c>
      <c r="X89" s="5">
        <f t="shared" si="9"/>
        <v>35058.400000000001</v>
      </c>
      <c r="AA89" s="5">
        <v>10.4849023772331</v>
      </c>
    </row>
    <row r="90" spans="1:27" s="5" customFormat="1" x14ac:dyDescent="0.25">
      <c r="A90" s="76"/>
      <c r="B90" s="10"/>
      <c r="C90" s="11">
        <v>40840</v>
      </c>
      <c r="D90" s="5">
        <v>14.2</v>
      </c>
      <c r="E90" s="5">
        <v>12.7</v>
      </c>
      <c r="F90" s="5">
        <v>17</v>
      </c>
      <c r="G90" s="5">
        <f t="shared" si="5"/>
        <v>598.4000000000002</v>
      </c>
      <c r="J90" s="5">
        <v>4.9000000000000004</v>
      </c>
      <c r="K90" s="5">
        <f t="shared" si="6"/>
        <v>21.4</v>
      </c>
      <c r="L90" s="5">
        <v>1.7</v>
      </c>
      <c r="M90" s="5">
        <f t="shared" si="7"/>
        <v>81.299999999999969</v>
      </c>
      <c r="N90" s="5">
        <v>3.2</v>
      </c>
      <c r="O90" s="5">
        <f t="shared" ref="O90:O153" si="11">O89+N90</f>
        <v>3.2</v>
      </c>
      <c r="P90" s="5">
        <v>41</v>
      </c>
      <c r="Q90" s="5">
        <f t="shared" si="10"/>
        <v>0.52991071428571423</v>
      </c>
      <c r="R90" s="9">
        <f t="shared" si="2"/>
        <v>0.90084821428571416</v>
      </c>
      <c r="S90" s="9">
        <f t="shared" si="3"/>
        <v>3.999151785714286</v>
      </c>
      <c r="T90" s="9">
        <f t="shared" si="8"/>
        <v>12.365133928571417</v>
      </c>
      <c r="V90" s="5">
        <v>218.1</v>
      </c>
      <c r="X90" s="5">
        <f t="shared" si="9"/>
        <v>35276.5</v>
      </c>
      <c r="AA90" s="5">
        <v>10.429552032444199</v>
      </c>
    </row>
    <row r="91" spans="1:27" s="5" customFormat="1" x14ac:dyDescent="0.25">
      <c r="A91" s="76"/>
      <c r="B91" s="10"/>
      <c r="C91" s="11">
        <v>40841</v>
      </c>
      <c r="D91" s="5">
        <v>9.9</v>
      </c>
      <c r="E91" s="5">
        <v>8.6999999999999993</v>
      </c>
      <c r="F91" s="5">
        <v>12.9</v>
      </c>
      <c r="G91" s="5">
        <f t="shared" si="5"/>
        <v>608.30000000000018</v>
      </c>
      <c r="J91" s="5">
        <v>4.8</v>
      </c>
      <c r="K91" s="5">
        <f t="shared" si="6"/>
        <v>26.2</v>
      </c>
      <c r="L91" s="5">
        <v>1.1000000000000001</v>
      </c>
      <c r="M91" s="5">
        <f t="shared" si="7"/>
        <v>82.399999999999963</v>
      </c>
      <c r="N91" s="5">
        <v>3.6999999999999997</v>
      </c>
      <c r="O91" s="5">
        <f t="shared" si="11"/>
        <v>6.9</v>
      </c>
      <c r="P91" s="5">
        <v>42</v>
      </c>
      <c r="Q91" s="5">
        <f t="shared" si="10"/>
        <v>0.5357142857142857</v>
      </c>
      <c r="R91" s="9">
        <f t="shared" si="2"/>
        <v>0.5892857142857143</v>
      </c>
      <c r="S91" s="9">
        <f t="shared" si="3"/>
        <v>4.2107142857142854</v>
      </c>
      <c r="T91" s="9">
        <f t="shared" si="8"/>
        <v>16.575848214285703</v>
      </c>
      <c r="V91" s="5">
        <v>727.4</v>
      </c>
      <c r="X91" s="5">
        <f t="shared" si="9"/>
        <v>36003.9</v>
      </c>
      <c r="AA91" s="5">
        <v>10.374442774453</v>
      </c>
    </row>
    <row r="92" spans="1:27" s="5" customFormat="1" x14ac:dyDescent="0.25">
      <c r="A92" s="76"/>
      <c r="B92" s="10"/>
      <c r="C92" s="11">
        <v>40842</v>
      </c>
      <c r="D92" s="5">
        <v>11.6</v>
      </c>
      <c r="E92" s="5">
        <v>7.4</v>
      </c>
      <c r="F92" s="5">
        <v>17</v>
      </c>
      <c r="G92" s="5">
        <f t="shared" si="5"/>
        <v>619.9000000000002</v>
      </c>
      <c r="J92" s="5">
        <v>1.5</v>
      </c>
      <c r="K92" s="5">
        <f t="shared" si="6"/>
        <v>27.7</v>
      </c>
      <c r="L92" s="5">
        <v>1.2</v>
      </c>
      <c r="M92" s="5">
        <f t="shared" si="7"/>
        <v>83.599999999999966</v>
      </c>
      <c r="N92" s="5">
        <v>0.30000000000000004</v>
      </c>
      <c r="O92" s="5">
        <f t="shared" si="11"/>
        <v>7.2</v>
      </c>
      <c r="P92" s="5">
        <v>43</v>
      </c>
      <c r="Q92" s="5">
        <f t="shared" si="10"/>
        <v>0.54151785714285716</v>
      </c>
      <c r="R92" s="9">
        <f t="shared" si="2"/>
        <v>0.64982142857142855</v>
      </c>
      <c r="S92" s="9">
        <f t="shared" si="3"/>
        <v>0.85017857142857145</v>
      </c>
      <c r="T92" s="9">
        <f t="shared" si="8"/>
        <v>17.426026785714274</v>
      </c>
      <c r="V92" s="5">
        <v>402.3</v>
      </c>
      <c r="X92" s="5">
        <f t="shared" si="9"/>
        <v>36406.200000000004</v>
      </c>
      <c r="AA92" s="5">
        <v>10.3195890715385</v>
      </c>
    </row>
    <row r="93" spans="1:27" s="5" customFormat="1" x14ac:dyDescent="0.25">
      <c r="A93" s="76"/>
      <c r="B93" s="10"/>
      <c r="C93" s="11">
        <v>40843</v>
      </c>
      <c r="D93" s="5">
        <v>13.1</v>
      </c>
      <c r="E93" s="5">
        <v>11.8</v>
      </c>
      <c r="F93" s="5">
        <v>15.6</v>
      </c>
      <c r="G93" s="5">
        <f t="shared" si="5"/>
        <v>633.00000000000023</v>
      </c>
      <c r="J93" s="5">
        <v>0.9</v>
      </c>
      <c r="K93" s="5">
        <f t="shared" si="6"/>
        <v>28.599999999999998</v>
      </c>
      <c r="L93" s="5">
        <v>1.3</v>
      </c>
      <c r="M93" s="5">
        <f t="shared" si="7"/>
        <v>84.899999999999963</v>
      </c>
      <c r="N93" s="5">
        <v>-0.4</v>
      </c>
      <c r="O93" s="5">
        <f t="shared" si="11"/>
        <v>6.8</v>
      </c>
      <c r="P93" s="5">
        <v>44</v>
      </c>
      <c r="Q93" s="5">
        <f t="shared" si="10"/>
        <v>0.54732142857142851</v>
      </c>
      <c r="R93" s="9">
        <f t="shared" si="2"/>
        <v>0.71151785714285709</v>
      </c>
      <c r="S93" s="9">
        <f t="shared" si="3"/>
        <v>0.18848214285714293</v>
      </c>
      <c r="T93" s="9">
        <f t="shared" si="8"/>
        <v>17.614508928571418</v>
      </c>
      <c r="V93" s="5">
        <v>249</v>
      </c>
      <c r="X93" s="5">
        <f t="shared" si="9"/>
        <v>36655.200000000004</v>
      </c>
      <c r="AA93" s="5">
        <v>10.265005959254699</v>
      </c>
    </row>
    <row r="94" spans="1:27" s="5" customFormat="1" x14ac:dyDescent="0.25">
      <c r="A94" s="76"/>
      <c r="B94" s="10"/>
      <c r="C94" s="11">
        <v>40844</v>
      </c>
      <c r="D94" s="5">
        <v>13.5</v>
      </c>
      <c r="E94" s="5">
        <v>11.9</v>
      </c>
      <c r="F94" s="5">
        <v>15.4</v>
      </c>
      <c r="G94" s="5">
        <f t="shared" si="5"/>
        <v>646.50000000000023</v>
      </c>
      <c r="J94" s="5">
        <v>0.1</v>
      </c>
      <c r="K94" s="5">
        <f t="shared" si="6"/>
        <v>28.7</v>
      </c>
      <c r="L94" s="5">
        <v>0.4</v>
      </c>
      <c r="M94" s="5">
        <f t="shared" si="7"/>
        <v>85.299999999999969</v>
      </c>
      <c r="N94" s="5">
        <v>-0.30000000000000004</v>
      </c>
      <c r="O94" s="5">
        <f t="shared" si="11"/>
        <v>6.5</v>
      </c>
      <c r="P94" s="5">
        <v>45</v>
      </c>
      <c r="Q94" s="5">
        <f t="shared" si="10"/>
        <v>0.55312499999999998</v>
      </c>
      <c r="R94" s="9">
        <f t="shared" si="2"/>
        <v>0.22125</v>
      </c>
      <c r="S94" s="9">
        <f t="shared" si="3"/>
        <v>-0.12125</v>
      </c>
      <c r="T94" s="9">
        <f t="shared" si="8"/>
        <v>17.493258928571418</v>
      </c>
      <c r="V94" s="5">
        <v>207.8</v>
      </c>
      <c r="X94" s="5">
        <f t="shared" si="9"/>
        <v>36863.000000000007</v>
      </c>
      <c r="AA94" s="5">
        <v>10.210709054264401</v>
      </c>
    </row>
    <row r="95" spans="1:27" s="5" customFormat="1" x14ac:dyDescent="0.25">
      <c r="A95" s="76"/>
      <c r="B95" s="10"/>
      <c r="C95" s="11">
        <v>40845</v>
      </c>
      <c r="D95" s="5">
        <v>12.3</v>
      </c>
      <c r="E95" s="5">
        <v>11.8</v>
      </c>
      <c r="F95" s="5">
        <v>14.2</v>
      </c>
      <c r="G95" s="5">
        <f t="shared" si="5"/>
        <v>658.80000000000018</v>
      </c>
      <c r="J95" s="5">
        <v>0</v>
      </c>
      <c r="K95" s="5">
        <f t="shared" si="6"/>
        <v>28.7</v>
      </c>
      <c r="L95" s="5">
        <v>0.5</v>
      </c>
      <c r="M95" s="5">
        <f t="shared" si="7"/>
        <v>85.799999999999969</v>
      </c>
      <c r="N95" s="5">
        <v>-0.5</v>
      </c>
      <c r="O95" s="5">
        <f t="shared" si="11"/>
        <v>6</v>
      </c>
      <c r="P95" s="5">
        <v>46</v>
      </c>
      <c r="Q95" s="5">
        <f t="shared" si="10"/>
        <v>0.55892857142857144</v>
      </c>
      <c r="R95" s="9">
        <f t="shared" si="2"/>
        <v>0.27946428571428572</v>
      </c>
      <c r="S95" s="9">
        <f t="shared" si="3"/>
        <v>-0.27946428571428572</v>
      </c>
      <c r="T95" s="9">
        <f t="shared" si="8"/>
        <v>17.213794642857131</v>
      </c>
      <c r="V95" s="5">
        <v>302.10000000000002</v>
      </c>
      <c r="X95" s="5">
        <f t="shared" si="9"/>
        <v>37165.100000000006</v>
      </c>
      <c r="AA95" s="5">
        <v>10.1567145673041</v>
      </c>
    </row>
    <row r="96" spans="1:27" s="5" customFormat="1" x14ac:dyDescent="0.25">
      <c r="A96" s="76"/>
      <c r="B96" s="10"/>
      <c r="C96" s="11">
        <v>40846</v>
      </c>
      <c r="D96" s="5">
        <v>13.8</v>
      </c>
      <c r="E96" s="5">
        <v>10.199999999999999</v>
      </c>
      <c r="F96" s="5">
        <v>17.5</v>
      </c>
      <c r="G96" s="5">
        <f t="shared" si="5"/>
        <v>672.60000000000014</v>
      </c>
      <c r="J96" s="5">
        <v>0</v>
      </c>
      <c r="K96" s="5">
        <f t="shared" si="6"/>
        <v>28.7</v>
      </c>
      <c r="L96" s="5">
        <v>0.6</v>
      </c>
      <c r="M96" s="5">
        <f t="shared" si="7"/>
        <v>86.399999999999963</v>
      </c>
      <c r="N96" s="5">
        <v>-0.6</v>
      </c>
      <c r="O96" s="5">
        <f t="shared" si="11"/>
        <v>5.4</v>
      </c>
      <c r="P96" s="5">
        <v>47</v>
      </c>
      <c r="Q96" s="5">
        <f t="shared" si="10"/>
        <v>0.56473214285714279</v>
      </c>
      <c r="R96" s="9">
        <f t="shared" si="2"/>
        <v>0.33883928571428568</v>
      </c>
      <c r="S96" s="9">
        <f t="shared" si="3"/>
        <v>-0.33883928571428568</v>
      </c>
      <c r="T96" s="9">
        <f t="shared" si="8"/>
        <v>16.874955357142845</v>
      </c>
      <c r="V96" s="5">
        <v>171.9</v>
      </c>
      <c r="X96" s="5">
        <f t="shared" si="9"/>
        <v>37337.000000000007</v>
      </c>
      <c r="AA96" s="5">
        <v>10.1030393151739</v>
      </c>
    </row>
    <row r="97" spans="1:27" s="5" customFormat="1" x14ac:dyDescent="0.25">
      <c r="A97" s="76"/>
      <c r="B97" s="10"/>
      <c r="C97" s="11">
        <v>40847</v>
      </c>
      <c r="D97" s="5">
        <v>13.9</v>
      </c>
      <c r="E97" s="5">
        <v>10.8</v>
      </c>
      <c r="F97" s="5">
        <v>18.100000000000001</v>
      </c>
      <c r="G97" s="5">
        <f t="shared" si="5"/>
        <v>686.50000000000011</v>
      </c>
      <c r="J97" s="5">
        <v>0.1</v>
      </c>
      <c r="K97" s="5">
        <f t="shared" si="6"/>
        <v>28.8</v>
      </c>
      <c r="L97" s="5">
        <v>1.1000000000000001</v>
      </c>
      <c r="M97" s="5">
        <f t="shared" si="7"/>
        <v>87.499999999999957</v>
      </c>
      <c r="N97" s="5">
        <v>-1</v>
      </c>
      <c r="O97" s="5">
        <f t="shared" si="11"/>
        <v>4.4000000000000004</v>
      </c>
      <c r="P97" s="5">
        <v>48</v>
      </c>
      <c r="Q97" s="5">
        <f t="shared" si="10"/>
        <v>0.57053571428571426</v>
      </c>
      <c r="R97" s="9">
        <f t="shared" si="2"/>
        <v>0.62758928571428574</v>
      </c>
      <c r="S97" s="9">
        <f t="shared" si="3"/>
        <v>-0.52758928571428576</v>
      </c>
      <c r="T97" s="9">
        <f t="shared" si="8"/>
        <v>16.34736607142856</v>
      </c>
      <c r="V97" s="5">
        <v>685.6</v>
      </c>
      <c r="X97" s="5">
        <f t="shared" si="9"/>
        <v>38022.600000000006</v>
      </c>
      <c r="AA97" s="5">
        <v>10.0497007316379</v>
      </c>
    </row>
    <row r="98" spans="1:27" s="5" customFormat="1" x14ac:dyDescent="0.25">
      <c r="A98" s="76"/>
      <c r="B98" s="10"/>
      <c r="C98" s="11">
        <v>40848</v>
      </c>
      <c r="D98" s="5">
        <v>13</v>
      </c>
      <c r="E98" s="5">
        <v>11.6</v>
      </c>
      <c r="F98" s="5">
        <v>16.399999999999999</v>
      </c>
      <c r="G98" s="5">
        <f t="shared" si="5"/>
        <v>699.50000000000011</v>
      </c>
      <c r="J98" s="5">
        <v>0</v>
      </c>
      <c r="K98" s="5">
        <f t="shared" si="6"/>
        <v>28.8</v>
      </c>
      <c r="L98" s="5">
        <v>1.8</v>
      </c>
      <c r="M98" s="5">
        <f t="shared" si="7"/>
        <v>89.299999999999955</v>
      </c>
      <c r="N98" s="5">
        <v>-1.8</v>
      </c>
      <c r="O98" s="5">
        <f t="shared" si="11"/>
        <v>2.6000000000000005</v>
      </c>
      <c r="P98" s="5">
        <v>49</v>
      </c>
      <c r="Q98" s="5">
        <f t="shared" si="10"/>
        <v>0.57633928571428572</v>
      </c>
      <c r="R98" s="9">
        <f t="shared" si="2"/>
        <v>1.0374107142857143</v>
      </c>
      <c r="S98" s="9">
        <f t="shared" si="3"/>
        <v>-1.0374107142857143</v>
      </c>
      <c r="T98" s="9">
        <f t="shared" si="8"/>
        <v>15.309955357142846</v>
      </c>
      <c r="V98" s="5">
        <v>940.8</v>
      </c>
      <c r="X98" s="5">
        <f t="shared" si="9"/>
        <v>38963.400000000009</v>
      </c>
      <c r="AA98" s="5">
        <v>9.9967168771169792</v>
      </c>
    </row>
    <row r="99" spans="1:27" s="5" customFormat="1" x14ac:dyDescent="0.25">
      <c r="A99" s="76"/>
      <c r="B99" s="10"/>
      <c r="C99" s="11">
        <v>40849</v>
      </c>
      <c r="D99" s="5">
        <v>14</v>
      </c>
      <c r="E99" s="5">
        <v>9.1999999999999993</v>
      </c>
      <c r="F99" s="5">
        <v>17.600000000000001</v>
      </c>
      <c r="G99" s="5">
        <f t="shared" si="5"/>
        <v>713.50000000000011</v>
      </c>
      <c r="J99" s="5">
        <v>8.6</v>
      </c>
      <c r="K99" s="5">
        <f t="shared" si="6"/>
        <v>37.4</v>
      </c>
      <c r="L99" s="5">
        <v>0.6</v>
      </c>
      <c r="M99" s="5">
        <f t="shared" si="7"/>
        <v>89.899999999999949</v>
      </c>
      <c r="N99" s="5">
        <v>8</v>
      </c>
      <c r="O99" s="5">
        <f t="shared" si="11"/>
        <v>10.600000000000001</v>
      </c>
      <c r="P99" s="5">
        <v>50</v>
      </c>
      <c r="Q99" s="5">
        <f t="shared" si="10"/>
        <v>0.58214285714285707</v>
      </c>
      <c r="R99" s="9">
        <f t="shared" si="2"/>
        <v>0.34928571428571425</v>
      </c>
      <c r="S99" s="9">
        <f t="shared" si="3"/>
        <v>8.2507142857142846</v>
      </c>
      <c r="T99" s="9">
        <f t="shared" si="8"/>
        <v>23.560669642857128</v>
      </c>
      <c r="V99" s="5">
        <v>236.8</v>
      </c>
      <c r="X99" s="5">
        <f t="shared" si="9"/>
        <v>39200.200000000012</v>
      </c>
      <c r="AA99" s="5">
        <v>9.9441064470457103</v>
      </c>
    </row>
    <row r="100" spans="1:27" s="5" customFormat="1" x14ac:dyDescent="0.25">
      <c r="A100" s="76"/>
      <c r="B100" s="10"/>
      <c r="C100" s="11">
        <v>40850</v>
      </c>
      <c r="D100" s="5">
        <v>15.1</v>
      </c>
      <c r="E100" s="5">
        <v>13.2</v>
      </c>
      <c r="F100" s="5">
        <v>17.100000000000001</v>
      </c>
      <c r="G100" s="5">
        <f t="shared" si="5"/>
        <v>728.60000000000014</v>
      </c>
      <c r="J100" s="5">
        <v>14.5</v>
      </c>
      <c r="K100" s="5">
        <f t="shared" si="6"/>
        <v>51.9</v>
      </c>
      <c r="L100" s="5">
        <v>1.1000000000000001</v>
      </c>
      <c r="M100" s="5">
        <f t="shared" si="7"/>
        <v>90.999999999999943</v>
      </c>
      <c r="N100" s="5">
        <v>13.4</v>
      </c>
      <c r="O100" s="5">
        <f t="shared" si="11"/>
        <v>24</v>
      </c>
      <c r="P100" s="5">
        <v>51</v>
      </c>
      <c r="Q100" s="5">
        <f t="shared" si="10"/>
        <v>0.58794642857142854</v>
      </c>
      <c r="R100" s="9">
        <f t="shared" si="2"/>
        <v>0.6467410714285714</v>
      </c>
      <c r="S100" s="9">
        <f t="shared" si="3"/>
        <v>13.853258928571428</v>
      </c>
      <c r="T100" s="9">
        <f t="shared" si="8"/>
        <v>37.413928571428556</v>
      </c>
      <c r="V100" s="5">
        <v>649.20000000000005</v>
      </c>
      <c r="X100" s="5">
        <f t="shared" si="9"/>
        <v>39849.400000000009</v>
      </c>
      <c r="AA100" s="5">
        <v>9.8918887787624996</v>
      </c>
    </row>
    <row r="101" spans="1:27" s="5" customFormat="1" x14ac:dyDescent="0.25">
      <c r="A101" s="76"/>
      <c r="B101" s="10"/>
      <c r="C101" s="11">
        <v>40851</v>
      </c>
      <c r="D101" s="5">
        <v>11.9</v>
      </c>
      <c r="E101" s="5">
        <v>10.9</v>
      </c>
      <c r="F101" s="5">
        <v>14.5</v>
      </c>
      <c r="G101" s="5">
        <f t="shared" si="5"/>
        <v>740.50000000000011</v>
      </c>
      <c r="J101" s="5">
        <v>0.5</v>
      </c>
      <c r="K101" s="5">
        <f t="shared" si="6"/>
        <v>52.4</v>
      </c>
      <c r="L101" s="5">
        <v>1</v>
      </c>
      <c r="M101" s="5">
        <f t="shared" si="7"/>
        <v>91.999999999999943</v>
      </c>
      <c r="N101" s="5">
        <v>-0.5</v>
      </c>
      <c r="O101" s="5">
        <f t="shared" si="11"/>
        <v>23.5</v>
      </c>
      <c r="P101" s="5">
        <v>52</v>
      </c>
      <c r="Q101" s="5">
        <f t="shared" si="10"/>
        <v>0.59375</v>
      </c>
      <c r="R101" s="9">
        <f t="shared" si="2"/>
        <v>0.59375</v>
      </c>
      <c r="S101" s="9">
        <f t="shared" si="3"/>
        <v>-9.375E-2</v>
      </c>
      <c r="T101" s="9">
        <f t="shared" si="8"/>
        <v>37.320178571428556</v>
      </c>
      <c r="V101" s="5">
        <v>500.3</v>
      </c>
      <c r="X101" s="5">
        <f t="shared" si="9"/>
        <v>40349.700000000012</v>
      </c>
      <c r="AA101" s="5">
        <v>9.8400838567940205</v>
      </c>
    </row>
    <row r="102" spans="1:27" s="5" customFormat="1" x14ac:dyDescent="0.25">
      <c r="A102" s="76"/>
      <c r="B102" s="10"/>
      <c r="C102" s="11">
        <v>40852</v>
      </c>
      <c r="D102" s="5">
        <v>12.1</v>
      </c>
      <c r="E102" s="5">
        <v>8.1</v>
      </c>
      <c r="F102" s="5">
        <v>14.5</v>
      </c>
      <c r="G102" s="5">
        <f t="shared" si="5"/>
        <v>752.60000000000014</v>
      </c>
      <c r="J102" s="5">
        <v>0.1</v>
      </c>
      <c r="K102" s="5">
        <f t="shared" si="6"/>
        <v>52.5</v>
      </c>
      <c r="L102" s="5">
        <v>0.3</v>
      </c>
      <c r="M102" s="5">
        <f t="shared" si="7"/>
        <v>92.29999999999994</v>
      </c>
      <c r="N102" s="5">
        <v>-0.19999999999999998</v>
      </c>
      <c r="O102" s="5">
        <f t="shared" si="11"/>
        <v>23.3</v>
      </c>
      <c r="P102" s="5">
        <v>53</v>
      </c>
      <c r="Q102" s="5">
        <f t="shared" si="10"/>
        <v>0.59955357142857146</v>
      </c>
      <c r="R102" s="9">
        <f t="shared" si="2"/>
        <v>0.17986607142857144</v>
      </c>
      <c r="S102" s="9">
        <f t="shared" si="3"/>
        <v>-7.9866071428571439E-2</v>
      </c>
      <c r="T102" s="9">
        <f t="shared" si="8"/>
        <v>37.240312499999987</v>
      </c>
      <c r="V102" s="5">
        <v>559.4</v>
      </c>
      <c r="X102" s="5">
        <f t="shared" si="9"/>
        <v>40909.100000000013</v>
      </c>
      <c r="AA102" s="5">
        <v>9.7887123163906296</v>
      </c>
    </row>
    <row r="103" spans="1:27" s="5" customFormat="1" x14ac:dyDescent="0.25">
      <c r="A103" s="76"/>
      <c r="B103" s="10"/>
      <c r="C103" s="11">
        <v>40853</v>
      </c>
      <c r="D103" s="5">
        <v>12.4</v>
      </c>
      <c r="E103" s="5">
        <v>12.3</v>
      </c>
      <c r="F103" s="5">
        <v>12.8</v>
      </c>
      <c r="G103" s="5">
        <f t="shared" si="5"/>
        <v>765.00000000000011</v>
      </c>
      <c r="J103" s="5">
        <v>0</v>
      </c>
      <c r="K103" s="5">
        <f t="shared" si="6"/>
        <v>52.5</v>
      </c>
      <c r="L103" s="5">
        <v>1</v>
      </c>
      <c r="M103" s="5">
        <f t="shared" si="7"/>
        <v>93.29999999999994</v>
      </c>
      <c r="N103" s="5">
        <v>-1</v>
      </c>
      <c r="O103" s="5">
        <f t="shared" si="11"/>
        <v>22.3</v>
      </c>
      <c r="P103" s="5">
        <v>54</v>
      </c>
      <c r="Q103" s="5">
        <f t="shared" si="10"/>
        <v>0.60535714285714282</v>
      </c>
      <c r="R103" s="9">
        <f t="shared" si="2"/>
        <v>0.60535714285714282</v>
      </c>
      <c r="S103" s="9">
        <f t="shared" si="3"/>
        <v>-0.60535714285714282</v>
      </c>
      <c r="T103" s="9">
        <f t="shared" si="8"/>
        <v>36.634955357142843</v>
      </c>
      <c r="V103" s="5">
        <v>137.19999999999999</v>
      </c>
      <c r="X103" s="5">
        <f t="shared" si="9"/>
        <v>41046.30000000001</v>
      </c>
      <c r="AA103" s="5">
        <v>9.7377954451645401</v>
      </c>
    </row>
    <row r="104" spans="1:27" s="5" customFormat="1" x14ac:dyDescent="0.25">
      <c r="A104" s="76"/>
      <c r="B104" s="10"/>
      <c r="C104" s="11">
        <v>40854</v>
      </c>
      <c r="D104" s="5">
        <v>11.9</v>
      </c>
      <c r="E104" s="5">
        <v>11.6</v>
      </c>
      <c r="F104" s="5">
        <v>12.3</v>
      </c>
      <c r="G104" s="5">
        <f t="shared" si="5"/>
        <v>776.90000000000009</v>
      </c>
      <c r="J104" s="5">
        <v>0.2</v>
      </c>
      <c r="K104" s="5">
        <f t="shared" si="6"/>
        <v>52.7</v>
      </c>
      <c r="L104" s="5">
        <v>0.3</v>
      </c>
      <c r="M104" s="5">
        <f t="shared" si="7"/>
        <v>93.599999999999937</v>
      </c>
      <c r="N104" s="5">
        <v>-9.9999999999999978E-2</v>
      </c>
      <c r="O104" s="5">
        <f t="shared" si="11"/>
        <v>22.2</v>
      </c>
      <c r="P104" s="5">
        <v>55</v>
      </c>
      <c r="Q104" s="5">
        <f t="shared" si="10"/>
        <v>0.61116071428571428</v>
      </c>
      <c r="R104" s="9">
        <f t="shared" si="2"/>
        <v>0.18334821428571427</v>
      </c>
      <c r="S104" s="9">
        <f t="shared" si="3"/>
        <v>1.6651785714285744E-2</v>
      </c>
      <c r="T104" s="9">
        <f t="shared" si="8"/>
        <v>36.651607142857131</v>
      </c>
      <c r="V104" s="5">
        <v>163.69999999999999</v>
      </c>
      <c r="X104" s="5">
        <f t="shared" si="9"/>
        <v>41210.000000000007</v>
      </c>
      <c r="AA104" s="5">
        <v>9.6873551826779796</v>
      </c>
    </row>
    <row r="105" spans="1:27" s="5" customFormat="1" x14ac:dyDescent="0.25">
      <c r="A105" s="76"/>
      <c r="B105" s="10"/>
      <c r="C105" s="11">
        <v>40855</v>
      </c>
      <c r="D105" s="5">
        <v>11.1</v>
      </c>
      <c r="E105" s="5">
        <v>10.7</v>
      </c>
      <c r="F105" s="5">
        <v>11.4</v>
      </c>
      <c r="G105" s="5">
        <f t="shared" si="5"/>
        <v>788.00000000000011</v>
      </c>
      <c r="J105" s="5">
        <v>0.6</v>
      </c>
      <c r="K105" s="5">
        <f t="shared" si="6"/>
        <v>53.300000000000004</v>
      </c>
      <c r="L105" s="5">
        <v>0.5</v>
      </c>
      <c r="M105" s="5">
        <f t="shared" si="7"/>
        <v>94.099999999999937</v>
      </c>
      <c r="N105" s="5">
        <v>9.9999999999999978E-2</v>
      </c>
      <c r="O105" s="5">
        <f t="shared" si="11"/>
        <v>22.3</v>
      </c>
      <c r="P105" s="5">
        <v>56</v>
      </c>
      <c r="Q105" s="5">
        <f t="shared" si="10"/>
        <v>0.61696428571428563</v>
      </c>
      <c r="R105" s="9">
        <f t="shared" si="2"/>
        <v>0.30848214285714282</v>
      </c>
      <c r="S105" s="9">
        <f t="shared" si="3"/>
        <v>0.29151785714285716</v>
      </c>
      <c r="T105" s="9">
        <f t="shared" si="8"/>
        <v>36.943124999999988</v>
      </c>
      <c r="V105" s="5">
        <v>223.8</v>
      </c>
      <c r="X105" s="5">
        <f t="shared" si="9"/>
        <v>41433.80000000001</v>
      </c>
      <c r="AA105" s="5">
        <v>9.6374141178255108</v>
      </c>
    </row>
    <row r="106" spans="1:27" s="5" customFormat="1" x14ac:dyDescent="0.25">
      <c r="A106" s="76"/>
      <c r="B106" s="10"/>
      <c r="C106" s="11">
        <v>40856</v>
      </c>
      <c r="D106" s="5">
        <v>13</v>
      </c>
      <c r="E106" s="5">
        <v>11.1</v>
      </c>
      <c r="F106" s="5">
        <v>16.899999999999999</v>
      </c>
      <c r="G106" s="5">
        <f t="shared" si="5"/>
        <v>801.00000000000011</v>
      </c>
      <c r="J106" s="5">
        <v>0.6</v>
      </c>
      <c r="K106" s="5">
        <f t="shared" si="6"/>
        <v>53.900000000000006</v>
      </c>
      <c r="L106" s="5">
        <v>1.2</v>
      </c>
      <c r="M106" s="5">
        <f t="shared" si="7"/>
        <v>95.29999999999994</v>
      </c>
      <c r="N106" s="5">
        <v>-0.6</v>
      </c>
      <c r="O106" s="5">
        <f t="shared" si="11"/>
        <v>21.7</v>
      </c>
      <c r="P106" s="5">
        <v>57</v>
      </c>
      <c r="Q106" s="5">
        <f t="shared" si="10"/>
        <v>0.62276785714285721</v>
      </c>
      <c r="R106" s="9">
        <f t="shared" si="2"/>
        <v>0.74732142857142858</v>
      </c>
      <c r="S106" s="9">
        <f t="shared" si="3"/>
        <v>-0.1473214285714286</v>
      </c>
      <c r="T106" s="9">
        <f t="shared" si="8"/>
        <v>36.795803571428557</v>
      </c>
      <c r="V106" s="5">
        <v>514.5</v>
      </c>
      <c r="X106" s="5">
        <f t="shared" si="9"/>
        <v>41948.30000000001</v>
      </c>
      <c r="AA106" s="5">
        <v>9.5879954838522501</v>
      </c>
    </row>
    <row r="107" spans="1:27" s="5" customFormat="1" x14ac:dyDescent="0.25">
      <c r="A107" s="76"/>
      <c r="B107" s="10"/>
      <c r="C107" s="11">
        <v>40857</v>
      </c>
      <c r="D107" s="5">
        <v>11.8</v>
      </c>
      <c r="E107" s="5">
        <v>10.8</v>
      </c>
      <c r="F107" s="5">
        <v>12.8</v>
      </c>
      <c r="G107" s="5">
        <f t="shared" si="5"/>
        <v>812.80000000000007</v>
      </c>
      <c r="J107" s="5">
        <v>0.9</v>
      </c>
      <c r="K107" s="5">
        <f t="shared" si="6"/>
        <v>54.800000000000004</v>
      </c>
      <c r="L107" s="5">
        <v>0.3</v>
      </c>
      <c r="M107" s="5">
        <f t="shared" si="7"/>
        <v>95.599999999999937</v>
      </c>
      <c r="N107" s="5">
        <v>0.60000000000000009</v>
      </c>
      <c r="O107" s="5">
        <f t="shared" si="11"/>
        <v>22.3</v>
      </c>
      <c r="P107" s="5">
        <v>58</v>
      </c>
      <c r="Q107" s="5">
        <f t="shared" si="10"/>
        <v>0.62857142857142856</v>
      </c>
      <c r="R107" s="9">
        <f t="shared" si="2"/>
        <v>0.18857142857142856</v>
      </c>
      <c r="S107" s="9">
        <f t="shared" si="3"/>
        <v>0.71142857142857152</v>
      </c>
      <c r="T107" s="9">
        <f t="shared" si="8"/>
        <v>37.507232142857127</v>
      </c>
      <c r="V107" s="5">
        <v>152.4</v>
      </c>
      <c r="X107" s="5">
        <f t="shared" si="9"/>
        <v>42100.700000000012</v>
      </c>
      <c r="AA107" s="5">
        <v>9.5391231508480097</v>
      </c>
    </row>
    <row r="108" spans="1:27" s="5" customFormat="1" x14ac:dyDescent="0.25">
      <c r="A108" s="76"/>
      <c r="B108" s="10"/>
      <c r="C108" s="11">
        <v>40858</v>
      </c>
      <c r="D108" s="5">
        <v>13.9</v>
      </c>
      <c r="E108" s="5">
        <v>10.9</v>
      </c>
      <c r="F108" s="5">
        <v>17.7</v>
      </c>
      <c r="G108" s="5">
        <f t="shared" si="5"/>
        <v>826.7</v>
      </c>
      <c r="J108" s="5">
        <v>0</v>
      </c>
      <c r="K108" s="5">
        <f t="shared" si="6"/>
        <v>54.800000000000004</v>
      </c>
      <c r="L108" s="5">
        <v>1.2</v>
      </c>
      <c r="M108" s="5">
        <f t="shared" si="7"/>
        <v>96.79999999999994</v>
      </c>
      <c r="N108" s="5">
        <v>-1.2</v>
      </c>
      <c r="O108" s="5">
        <f t="shared" si="11"/>
        <v>21.1</v>
      </c>
      <c r="P108" s="5">
        <v>59</v>
      </c>
      <c r="Q108" s="5">
        <f t="shared" si="10"/>
        <v>0.63437499999999991</v>
      </c>
      <c r="R108" s="9">
        <f t="shared" si="2"/>
        <v>0.76124999999999987</v>
      </c>
      <c r="S108" s="9">
        <f t="shared" si="3"/>
        <v>-0.76124999999999987</v>
      </c>
      <c r="T108" s="9">
        <f t="shared" si="8"/>
        <v>36.74598214285713</v>
      </c>
      <c r="V108" s="5">
        <v>428.4</v>
      </c>
      <c r="X108" s="5">
        <f t="shared" si="9"/>
        <v>42529.100000000013</v>
      </c>
      <c r="AA108" s="5">
        <v>9.4908216155575502</v>
      </c>
    </row>
    <row r="109" spans="1:27" s="5" customFormat="1" x14ac:dyDescent="0.25">
      <c r="A109" s="76"/>
      <c r="B109" s="10"/>
      <c r="C109" s="11">
        <v>40859</v>
      </c>
      <c r="D109" s="5">
        <v>14.4</v>
      </c>
      <c r="E109" s="5">
        <v>12.2</v>
      </c>
      <c r="F109" s="5">
        <v>17.5</v>
      </c>
      <c r="G109" s="5">
        <f t="shared" si="5"/>
        <v>841.1</v>
      </c>
      <c r="J109" s="5">
        <v>0</v>
      </c>
      <c r="K109" s="5">
        <f t="shared" si="6"/>
        <v>54.800000000000004</v>
      </c>
      <c r="L109" s="5">
        <v>1.1000000000000001</v>
      </c>
      <c r="M109" s="5">
        <f t="shared" si="7"/>
        <v>97.899999999999935</v>
      </c>
      <c r="N109" s="5">
        <v>-1.1000000000000001</v>
      </c>
      <c r="O109" s="5">
        <f t="shared" si="11"/>
        <v>20</v>
      </c>
      <c r="P109" s="5">
        <v>60</v>
      </c>
      <c r="Q109" s="5">
        <f t="shared" si="10"/>
        <v>0.64017857142857149</v>
      </c>
      <c r="R109" s="9">
        <f t="shared" si="2"/>
        <v>0.70419642857142872</v>
      </c>
      <c r="S109" s="9">
        <f t="shared" si="3"/>
        <v>-0.70419642857142872</v>
      </c>
      <c r="T109" s="9">
        <f t="shared" si="8"/>
        <v>36.041785714285702</v>
      </c>
      <c r="V109" s="5">
        <v>576</v>
      </c>
      <c r="X109" s="5">
        <f t="shared" si="9"/>
        <v>43105.100000000013</v>
      </c>
      <c r="AA109" s="5">
        <v>9.4431159883480404</v>
      </c>
    </row>
    <row r="110" spans="1:27" s="5" customFormat="1" x14ac:dyDescent="0.25">
      <c r="A110" s="76"/>
      <c r="B110" s="10"/>
      <c r="C110" s="11">
        <v>40860</v>
      </c>
      <c r="D110" s="5">
        <v>12.9</v>
      </c>
      <c r="E110" s="5">
        <v>10.6</v>
      </c>
      <c r="F110" s="5">
        <v>16.8</v>
      </c>
      <c r="G110" s="5">
        <f t="shared" si="5"/>
        <v>854</v>
      </c>
      <c r="J110" s="5">
        <v>0</v>
      </c>
      <c r="K110" s="5">
        <f t="shared" si="6"/>
        <v>54.800000000000004</v>
      </c>
      <c r="L110" s="5">
        <v>1.4</v>
      </c>
      <c r="M110" s="5">
        <f t="shared" si="7"/>
        <v>99.29999999999994</v>
      </c>
      <c r="N110" s="5">
        <v>-1.4</v>
      </c>
      <c r="O110" s="5">
        <f t="shared" si="11"/>
        <v>18.600000000000001</v>
      </c>
      <c r="P110" s="5">
        <v>61</v>
      </c>
      <c r="Q110" s="5">
        <f t="shared" si="10"/>
        <v>0.64598214285714284</v>
      </c>
      <c r="R110" s="9">
        <f t="shared" si="2"/>
        <v>0.90437499999999993</v>
      </c>
      <c r="S110" s="9">
        <f t="shared" si="3"/>
        <v>-0.90437499999999993</v>
      </c>
      <c r="T110" s="9">
        <f t="shared" si="8"/>
        <v>35.1374107142857</v>
      </c>
      <c r="V110" s="5">
        <v>822.8</v>
      </c>
      <c r="X110" s="5">
        <f t="shared" si="9"/>
        <v>43927.900000000016</v>
      </c>
      <c r="AA110" s="5">
        <v>9.3960319771778806</v>
      </c>
    </row>
    <row r="111" spans="1:27" s="5" customFormat="1" x14ac:dyDescent="0.25">
      <c r="A111" s="76"/>
      <c r="B111" s="10"/>
      <c r="C111" s="11">
        <v>40861</v>
      </c>
      <c r="D111" s="5">
        <v>11.1</v>
      </c>
      <c r="E111" s="5">
        <v>9.6</v>
      </c>
      <c r="F111" s="5">
        <v>14.5</v>
      </c>
      <c r="G111" s="5">
        <f t="shared" si="5"/>
        <v>865.1</v>
      </c>
      <c r="J111" s="5">
        <v>0</v>
      </c>
      <c r="K111" s="5">
        <f t="shared" si="6"/>
        <v>54.800000000000004</v>
      </c>
      <c r="L111" s="5">
        <v>1.1000000000000001</v>
      </c>
      <c r="M111" s="5">
        <f t="shared" si="7"/>
        <v>100.39999999999993</v>
      </c>
      <c r="N111" s="5">
        <v>-1.1000000000000001</v>
      </c>
      <c r="O111" s="5">
        <f t="shared" si="11"/>
        <v>17.5</v>
      </c>
      <c r="P111" s="5">
        <v>62</v>
      </c>
      <c r="Q111" s="5">
        <f t="shared" si="10"/>
        <v>0.6517857142857143</v>
      </c>
      <c r="R111" s="9">
        <f t="shared" si="2"/>
        <v>0.71696428571428583</v>
      </c>
      <c r="S111" s="9">
        <f t="shared" si="3"/>
        <v>-0.71696428571428583</v>
      </c>
      <c r="T111" s="9">
        <f t="shared" si="8"/>
        <v>34.420446428571417</v>
      </c>
      <c r="V111" s="5">
        <v>268.89999999999998</v>
      </c>
      <c r="X111" s="5">
        <f t="shared" si="9"/>
        <v>44196.800000000017</v>
      </c>
      <c r="AA111" s="5">
        <v>9.3495958684151308</v>
      </c>
    </row>
    <row r="112" spans="1:27" s="5" customFormat="1" x14ac:dyDescent="0.25">
      <c r="A112" s="76"/>
      <c r="B112" s="10"/>
      <c r="C112" s="11">
        <v>40862</v>
      </c>
      <c r="D112" s="5">
        <v>9.6999999999999993</v>
      </c>
      <c r="E112" s="5">
        <v>6.5</v>
      </c>
      <c r="F112" s="5">
        <v>14.8</v>
      </c>
      <c r="G112" s="5">
        <f t="shared" si="5"/>
        <v>874.80000000000007</v>
      </c>
      <c r="J112" s="5">
        <v>0</v>
      </c>
      <c r="K112" s="5">
        <f t="shared" si="6"/>
        <v>54.800000000000004</v>
      </c>
      <c r="L112" s="5">
        <v>1.1000000000000001</v>
      </c>
      <c r="M112" s="5">
        <f t="shared" si="7"/>
        <v>101.49999999999993</v>
      </c>
      <c r="N112" s="5">
        <v>-1.1000000000000001</v>
      </c>
      <c r="O112" s="5">
        <f t="shared" si="11"/>
        <v>16.399999999999999</v>
      </c>
      <c r="P112" s="5">
        <v>63</v>
      </c>
      <c r="Q112" s="5">
        <f t="shared" si="10"/>
        <v>0.65758928571428577</v>
      </c>
      <c r="R112" s="9">
        <f t="shared" si="2"/>
        <v>0.72334821428571439</v>
      </c>
      <c r="S112" s="9">
        <f t="shared" si="3"/>
        <v>-0.72334821428571439</v>
      </c>
      <c r="T112" s="9">
        <f t="shared" si="8"/>
        <v>33.697098214285703</v>
      </c>
      <c r="V112" s="5">
        <v>643.9</v>
      </c>
      <c r="X112" s="5">
        <f t="shared" si="9"/>
        <v>44840.700000000019</v>
      </c>
      <c r="AA112" s="5">
        <v>9.3038345043603208</v>
      </c>
    </row>
    <row r="113" spans="1:27" s="5" customFormat="1" x14ac:dyDescent="0.25">
      <c r="A113" s="76"/>
      <c r="B113" s="10"/>
      <c r="C113" s="11">
        <v>40863</v>
      </c>
      <c r="D113" s="5">
        <v>10.9</v>
      </c>
      <c r="E113" s="5">
        <v>8</v>
      </c>
      <c r="F113" s="5">
        <v>14.4</v>
      </c>
      <c r="G113" s="5">
        <f t="shared" si="5"/>
        <v>885.7</v>
      </c>
      <c r="J113" s="5">
        <v>0.9</v>
      </c>
      <c r="K113" s="5">
        <f t="shared" si="6"/>
        <v>55.7</v>
      </c>
      <c r="L113" s="5">
        <v>0.5</v>
      </c>
      <c r="M113" s="5">
        <f t="shared" si="7"/>
        <v>101.99999999999993</v>
      </c>
      <c r="N113" s="5">
        <v>0.4</v>
      </c>
      <c r="O113" s="5">
        <f t="shared" si="11"/>
        <v>16.799999999999997</v>
      </c>
      <c r="P113" s="5">
        <v>64</v>
      </c>
      <c r="Q113" s="5">
        <f t="shared" si="10"/>
        <v>0.66339285714285712</v>
      </c>
      <c r="R113" s="9">
        <f t="shared" si="2"/>
        <v>0.33169642857142856</v>
      </c>
      <c r="S113" s="9">
        <f t="shared" si="3"/>
        <v>0.56830357142857146</v>
      </c>
      <c r="T113" s="9">
        <f t="shared" si="8"/>
        <v>34.265401785714275</v>
      </c>
      <c r="V113" s="5">
        <v>166.1</v>
      </c>
      <c r="X113" s="5">
        <f t="shared" si="9"/>
        <v>45006.800000000017</v>
      </c>
      <c r="AA113" s="5">
        <v>9.2587752573368096</v>
      </c>
    </row>
    <row r="114" spans="1:27" s="5" customFormat="1" x14ac:dyDescent="0.25">
      <c r="A114" s="76"/>
      <c r="B114" s="10"/>
      <c r="C114" s="11">
        <v>40864</v>
      </c>
      <c r="D114" s="5">
        <v>11.7</v>
      </c>
      <c r="E114" s="5">
        <v>10.5</v>
      </c>
      <c r="F114" s="5">
        <v>15.5</v>
      </c>
      <c r="G114" s="5">
        <f t="shared" si="5"/>
        <v>897.40000000000009</v>
      </c>
      <c r="J114" s="5">
        <v>0.2</v>
      </c>
      <c r="K114" s="5">
        <f t="shared" si="6"/>
        <v>55.900000000000006</v>
      </c>
      <c r="L114" s="5">
        <v>1.3</v>
      </c>
      <c r="M114" s="5">
        <f t="shared" si="7"/>
        <v>103.29999999999993</v>
      </c>
      <c r="N114" s="5">
        <v>-1.1000000000000001</v>
      </c>
      <c r="O114" s="5">
        <f t="shared" si="11"/>
        <v>15.699999999999998</v>
      </c>
      <c r="P114" s="5">
        <v>65</v>
      </c>
      <c r="Q114" s="5">
        <f t="shared" si="10"/>
        <v>0.66919642857142847</v>
      </c>
      <c r="R114" s="9">
        <f t="shared" ref="R114:R177" si="12">Q114*L114</f>
        <v>0.86995535714285699</v>
      </c>
      <c r="S114" s="9">
        <f t="shared" ref="S114:S177" si="13">J114-R114</f>
        <v>-0.66995535714285692</v>
      </c>
      <c r="T114" s="9">
        <f t="shared" si="8"/>
        <v>33.595446428571421</v>
      </c>
      <c r="V114" s="5">
        <v>672.5</v>
      </c>
      <c r="X114" s="5">
        <f t="shared" si="9"/>
        <v>45679.300000000017</v>
      </c>
      <c r="AA114" s="5">
        <v>9.2144460002220008</v>
      </c>
    </row>
    <row r="115" spans="1:27" s="5" customFormat="1" x14ac:dyDescent="0.25">
      <c r="A115" s="76"/>
      <c r="B115" s="10"/>
      <c r="C115" s="11">
        <v>40865</v>
      </c>
      <c r="D115" s="5">
        <v>10.1</v>
      </c>
      <c r="E115" s="5">
        <v>7.1</v>
      </c>
      <c r="F115" s="5">
        <v>15.4</v>
      </c>
      <c r="G115" s="5">
        <f t="shared" si="5"/>
        <v>907.50000000000011</v>
      </c>
      <c r="J115" s="5">
        <v>0</v>
      </c>
      <c r="K115" s="5">
        <f t="shared" si="6"/>
        <v>55.900000000000006</v>
      </c>
      <c r="L115" s="5">
        <v>1.4</v>
      </c>
      <c r="M115" s="5">
        <f t="shared" si="7"/>
        <v>104.69999999999993</v>
      </c>
      <c r="N115" s="5">
        <v>-1.4</v>
      </c>
      <c r="O115" s="5">
        <f t="shared" si="11"/>
        <v>14.299999999999997</v>
      </c>
      <c r="P115" s="5">
        <v>66</v>
      </c>
      <c r="Q115" s="5">
        <f t="shared" si="10"/>
        <v>0.67500000000000004</v>
      </c>
      <c r="R115" s="9">
        <f t="shared" si="12"/>
        <v>0.94499999999999995</v>
      </c>
      <c r="S115" s="9">
        <f t="shared" si="13"/>
        <v>-0.94499999999999995</v>
      </c>
      <c r="T115" s="9">
        <f t="shared" si="8"/>
        <v>32.650446428571421</v>
      </c>
      <c r="V115" s="5">
        <v>402.2</v>
      </c>
      <c r="X115" s="5">
        <f t="shared" si="9"/>
        <v>46081.500000000015</v>
      </c>
      <c r="AA115" s="5">
        <v>9.1708750733060302</v>
      </c>
    </row>
    <row r="116" spans="1:27" s="5" customFormat="1" x14ac:dyDescent="0.25">
      <c r="A116" s="76"/>
      <c r="B116" s="10"/>
      <c r="C116" s="11">
        <v>40866</v>
      </c>
      <c r="D116" s="5">
        <v>9.3000000000000007</v>
      </c>
      <c r="E116" s="5">
        <v>6.1</v>
      </c>
      <c r="F116" s="5">
        <v>14.2</v>
      </c>
      <c r="G116" s="5">
        <f t="shared" ref="G116:G179" si="14">G115+D116</f>
        <v>916.80000000000007</v>
      </c>
      <c r="J116" s="5">
        <v>0</v>
      </c>
      <c r="K116" s="5">
        <f t="shared" ref="K116:K179" si="15">K115+J116</f>
        <v>55.900000000000006</v>
      </c>
      <c r="L116" s="5">
        <v>1.2</v>
      </c>
      <c r="M116" s="5">
        <f t="shared" ref="M116:M179" si="16">M115+L116</f>
        <v>105.89999999999993</v>
      </c>
      <c r="N116" s="5">
        <v>-1.2</v>
      </c>
      <c r="O116" s="5">
        <f t="shared" si="11"/>
        <v>13.099999999999998</v>
      </c>
      <c r="P116" s="5">
        <v>67</v>
      </c>
      <c r="Q116" s="5">
        <f t="shared" si="10"/>
        <v>0.6808035714285714</v>
      </c>
      <c r="R116" s="9">
        <f t="shared" si="12"/>
        <v>0.8169642857142857</v>
      </c>
      <c r="S116" s="9">
        <f t="shared" si="13"/>
        <v>-0.8169642857142857</v>
      </c>
      <c r="T116" s="9">
        <f t="shared" ref="T116:T179" si="17">MIN(197.4,(T115+S116))</f>
        <v>31.833482142857136</v>
      </c>
      <c r="V116" s="5">
        <v>781.8</v>
      </c>
      <c r="X116" s="5">
        <f t="shared" ref="X116:X179" si="18">X115+V116</f>
        <v>46863.300000000017</v>
      </c>
      <c r="AA116" s="5">
        <v>9.1280912473793894</v>
      </c>
    </row>
    <row r="117" spans="1:27" s="5" customFormat="1" x14ac:dyDescent="0.25">
      <c r="A117" s="76"/>
      <c r="B117" s="10"/>
      <c r="C117" s="11">
        <v>40867</v>
      </c>
      <c r="D117" s="5">
        <v>9.9</v>
      </c>
      <c r="E117" s="5">
        <v>6.4</v>
      </c>
      <c r="F117" s="5">
        <v>15.4</v>
      </c>
      <c r="G117" s="5">
        <f t="shared" si="14"/>
        <v>926.7</v>
      </c>
      <c r="J117" s="5">
        <v>0.1</v>
      </c>
      <c r="K117" s="5">
        <f t="shared" si="15"/>
        <v>56.000000000000007</v>
      </c>
      <c r="L117" s="5">
        <v>1.1000000000000001</v>
      </c>
      <c r="M117" s="5">
        <f t="shared" si="16"/>
        <v>106.99999999999993</v>
      </c>
      <c r="N117" s="5">
        <v>-1</v>
      </c>
      <c r="O117" s="5">
        <f t="shared" si="11"/>
        <v>12.099999999999998</v>
      </c>
      <c r="P117" s="5">
        <v>68</v>
      </c>
      <c r="Q117" s="5">
        <f t="shared" si="10"/>
        <v>0.68660714285714286</v>
      </c>
      <c r="R117" s="9">
        <f t="shared" si="12"/>
        <v>0.75526785714285716</v>
      </c>
      <c r="S117" s="9">
        <f t="shared" si="13"/>
        <v>-0.65526785714285718</v>
      </c>
      <c r="T117" s="9">
        <f t="shared" si="17"/>
        <v>31.178214285714279</v>
      </c>
      <c r="V117" s="5">
        <v>699.4</v>
      </c>
      <c r="X117" s="5">
        <f t="shared" si="18"/>
        <v>47562.700000000019</v>
      </c>
      <c r="AA117" s="5">
        <v>9.0861236829689993</v>
      </c>
    </row>
    <row r="118" spans="1:27" s="5" customFormat="1" x14ac:dyDescent="0.25">
      <c r="A118" s="76"/>
      <c r="B118" s="10"/>
      <c r="C118" s="11">
        <v>40868</v>
      </c>
      <c r="D118" s="5">
        <v>11.3</v>
      </c>
      <c r="E118" s="5">
        <v>7.8</v>
      </c>
      <c r="F118" s="5">
        <v>15.6</v>
      </c>
      <c r="G118" s="5">
        <f t="shared" si="14"/>
        <v>938</v>
      </c>
      <c r="J118" s="5">
        <v>0</v>
      </c>
      <c r="K118" s="5">
        <f t="shared" si="15"/>
        <v>56.000000000000007</v>
      </c>
      <c r="L118" s="5">
        <v>0.6</v>
      </c>
      <c r="M118" s="5">
        <f t="shared" si="16"/>
        <v>107.59999999999992</v>
      </c>
      <c r="N118" s="5">
        <v>-0.6</v>
      </c>
      <c r="O118" s="5">
        <f t="shared" si="11"/>
        <v>11.499999999999998</v>
      </c>
      <c r="P118" s="5">
        <v>69</v>
      </c>
      <c r="Q118" s="5">
        <f t="shared" si="10"/>
        <v>0.69241071428571432</v>
      </c>
      <c r="R118" s="9">
        <f t="shared" si="12"/>
        <v>0.41544642857142861</v>
      </c>
      <c r="S118" s="9">
        <f t="shared" si="13"/>
        <v>-0.41544642857142861</v>
      </c>
      <c r="T118" s="9">
        <f t="shared" si="17"/>
        <v>30.762767857142851</v>
      </c>
      <c r="V118" s="5">
        <v>160</v>
      </c>
      <c r="X118" s="5">
        <f t="shared" si="18"/>
        <v>47722.700000000019</v>
      </c>
      <c r="AA118" s="5">
        <v>9.0450018856624599</v>
      </c>
    </row>
    <row r="119" spans="1:27" s="5" customFormat="1" x14ac:dyDescent="0.25">
      <c r="A119" s="76"/>
      <c r="B119" s="10"/>
      <c r="C119" s="11">
        <v>40869</v>
      </c>
      <c r="D119" s="5">
        <v>11.8</v>
      </c>
      <c r="E119" s="5">
        <v>8.3000000000000007</v>
      </c>
      <c r="F119" s="5">
        <v>15.9</v>
      </c>
      <c r="G119" s="5">
        <f t="shared" si="14"/>
        <v>949.8</v>
      </c>
      <c r="J119" s="5">
        <v>0</v>
      </c>
      <c r="K119" s="5">
        <f t="shared" si="15"/>
        <v>56.000000000000007</v>
      </c>
      <c r="L119" s="5">
        <v>0.7</v>
      </c>
      <c r="M119" s="5">
        <f t="shared" si="16"/>
        <v>108.29999999999993</v>
      </c>
      <c r="N119" s="5">
        <v>-0.7</v>
      </c>
      <c r="O119" s="5">
        <f t="shared" si="11"/>
        <v>10.799999999999999</v>
      </c>
      <c r="P119" s="5">
        <v>70</v>
      </c>
      <c r="Q119" s="5">
        <f t="shared" si="10"/>
        <v>0.69821428571428568</v>
      </c>
      <c r="R119" s="9">
        <f t="shared" si="12"/>
        <v>0.48874999999999996</v>
      </c>
      <c r="S119" s="9">
        <f t="shared" si="13"/>
        <v>-0.48874999999999996</v>
      </c>
      <c r="T119" s="9">
        <f t="shared" si="17"/>
        <v>30.274017857142852</v>
      </c>
      <c r="V119" s="5">
        <v>283.2</v>
      </c>
      <c r="X119" s="5">
        <f t="shared" si="18"/>
        <v>48005.900000000016</v>
      </c>
      <c r="AA119" s="5">
        <v>9.0047556574835408</v>
      </c>
    </row>
    <row r="120" spans="1:27" s="5" customFormat="1" x14ac:dyDescent="0.25">
      <c r="A120" s="76"/>
      <c r="B120" s="10"/>
      <c r="C120" s="11">
        <v>40870</v>
      </c>
      <c r="D120" s="5">
        <v>9.6999999999999993</v>
      </c>
      <c r="E120" s="5">
        <v>9.1</v>
      </c>
      <c r="F120" s="5">
        <v>13.8</v>
      </c>
      <c r="G120" s="5">
        <f t="shared" si="14"/>
        <v>959.5</v>
      </c>
      <c r="J120" s="5">
        <v>0.1</v>
      </c>
      <c r="K120" s="5">
        <f t="shared" si="15"/>
        <v>56.100000000000009</v>
      </c>
      <c r="L120" s="5">
        <v>1.1000000000000001</v>
      </c>
      <c r="M120" s="5">
        <f t="shared" si="16"/>
        <v>109.39999999999992</v>
      </c>
      <c r="N120" s="5">
        <v>-1</v>
      </c>
      <c r="O120" s="5">
        <f t="shared" si="11"/>
        <v>9.7999999999999989</v>
      </c>
      <c r="P120" s="5">
        <v>71</v>
      </c>
      <c r="Q120" s="5">
        <f t="shared" si="10"/>
        <v>0.70401785714285703</v>
      </c>
      <c r="R120" s="9">
        <f t="shared" si="12"/>
        <v>0.77441964285714282</v>
      </c>
      <c r="S120" s="9">
        <f t="shared" si="13"/>
        <v>-0.67441964285714284</v>
      </c>
      <c r="T120" s="9">
        <f t="shared" si="17"/>
        <v>29.599598214285709</v>
      </c>
      <c r="V120" s="5">
        <v>511.3</v>
      </c>
      <c r="X120" s="5">
        <f t="shared" si="18"/>
        <v>48517.200000000019</v>
      </c>
      <c r="AA120" s="13">
        <v>8.9654150443073704</v>
      </c>
    </row>
    <row r="121" spans="1:27" s="5" customFormat="1" x14ac:dyDescent="0.25">
      <c r="A121" s="76"/>
      <c r="B121" s="10"/>
      <c r="C121" s="11">
        <v>40871</v>
      </c>
      <c r="D121" s="5">
        <v>6.8</v>
      </c>
      <c r="E121" s="5">
        <v>2.9</v>
      </c>
      <c r="F121" s="5">
        <v>9.1</v>
      </c>
      <c r="G121" s="5">
        <f t="shared" si="14"/>
        <v>966.3</v>
      </c>
      <c r="J121" s="5">
        <v>0</v>
      </c>
      <c r="K121" s="5">
        <f t="shared" si="15"/>
        <v>56.100000000000009</v>
      </c>
      <c r="L121" s="5">
        <v>0.4</v>
      </c>
      <c r="M121" s="5">
        <f t="shared" si="16"/>
        <v>109.79999999999993</v>
      </c>
      <c r="N121" s="5">
        <v>-0.4</v>
      </c>
      <c r="O121" s="5">
        <f t="shared" si="11"/>
        <v>9.3999999999999986</v>
      </c>
      <c r="P121" s="5">
        <v>72</v>
      </c>
      <c r="Q121" s="5">
        <f t="shared" si="10"/>
        <v>0.7098214285714286</v>
      </c>
      <c r="R121" s="9">
        <f t="shared" si="12"/>
        <v>0.28392857142857147</v>
      </c>
      <c r="S121" s="9">
        <f t="shared" si="13"/>
        <v>-0.28392857142857147</v>
      </c>
      <c r="T121" s="9">
        <f t="shared" si="17"/>
        <v>29.315669642857138</v>
      </c>
      <c r="V121" s="5">
        <v>225.5</v>
      </c>
      <c r="X121" s="5">
        <f t="shared" si="18"/>
        <v>48742.700000000019</v>
      </c>
      <c r="AA121" s="13">
        <v>8.9270102793325297</v>
      </c>
    </row>
    <row r="122" spans="1:27" s="5" customFormat="1" x14ac:dyDescent="0.25">
      <c r="A122" s="76"/>
      <c r="B122" s="10"/>
      <c r="C122" s="11">
        <v>40872</v>
      </c>
      <c r="D122" s="5">
        <v>9.1</v>
      </c>
      <c r="E122" s="5">
        <v>9</v>
      </c>
      <c r="F122" s="5">
        <v>11.9</v>
      </c>
      <c r="G122" s="5">
        <f t="shared" si="14"/>
        <v>975.4</v>
      </c>
      <c r="J122" s="5">
        <v>0.6</v>
      </c>
      <c r="K122" s="5">
        <f t="shared" si="15"/>
        <v>56.70000000000001</v>
      </c>
      <c r="L122" s="5">
        <v>0.7</v>
      </c>
      <c r="M122" s="5">
        <f t="shared" si="16"/>
        <v>110.49999999999993</v>
      </c>
      <c r="N122" s="5">
        <v>-9.9999999999999978E-2</v>
      </c>
      <c r="O122" s="5">
        <f t="shared" si="11"/>
        <v>9.2999999999999989</v>
      </c>
      <c r="P122" s="5">
        <v>73</v>
      </c>
      <c r="Q122" s="5">
        <f t="shared" si="10"/>
        <v>0.71562499999999996</v>
      </c>
      <c r="R122" s="9">
        <f t="shared" si="12"/>
        <v>0.50093749999999992</v>
      </c>
      <c r="S122" s="9">
        <f t="shared" si="13"/>
        <v>9.9062500000000053E-2</v>
      </c>
      <c r="T122" s="9">
        <f t="shared" si="17"/>
        <v>29.414732142857137</v>
      </c>
      <c r="V122" s="5">
        <v>207.2</v>
      </c>
      <c r="X122" s="5">
        <f t="shared" si="18"/>
        <v>48949.900000000016</v>
      </c>
      <c r="AA122" s="13">
        <v>8.8895717226579496</v>
      </c>
    </row>
    <row r="123" spans="1:27" s="5" customFormat="1" x14ac:dyDescent="0.25">
      <c r="A123" s="76"/>
      <c r="B123" s="10"/>
      <c r="C123" s="11">
        <v>40873</v>
      </c>
      <c r="D123" s="5">
        <v>6.1</v>
      </c>
      <c r="E123" s="5">
        <v>0.7</v>
      </c>
      <c r="F123" s="5">
        <v>11.3</v>
      </c>
      <c r="G123" s="5">
        <f t="shared" si="14"/>
        <v>981.5</v>
      </c>
      <c r="J123" s="5">
        <v>0.2</v>
      </c>
      <c r="K123" s="5">
        <f t="shared" si="15"/>
        <v>56.900000000000013</v>
      </c>
      <c r="L123" s="5">
        <v>0.6</v>
      </c>
      <c r="M123" s="5">
        <f t="shared" si="16"/>
        <v>111.09999999999992</v>
      </c>
      <c r="N123" s="5">
        <v>-0.39999999999999997</v>
      </c>
      <c r="O123" s="5">
        <f t="shared" si="11"/>
        <v>8.8999999999999986</v>
      </c>
      <c r="P123" s="5">
        <v>74</v>
      </c>
      <c r="Q123" s="5">
        <f t="shared" si="10"/>
        <v>0.72142857142857142</v>
      </c>
      <c r="R123" s="9">
        <f t="shared" si="12"/>
        <v>0.43285714285714283</v>
      </c>
      <c r="S123" s="9">
        <f t="shared" si="13"/>
        <v>-0.23285714285714282</v>
      </c>
      <c r="T123" s="9">
        <f t="shared" si="17"/>
        <v>29.181874999999994</v>
      </c>
      <c r="V123" s="5">
        <v>409</v>
      </c>
      <c r="X123" s="5">
        <f t="shared" si="18"/>
        <v>49358.900000000016</v>
      </c>
      <c r="AA123" s="13">
        <v>8.8531297970460692</v>
      </c>
    </row>
    <row r="124" spans="1:27" s="5" customFormat="1" x14ac:dyDescent="0.25">
      <c r="A124" s="76"/>
      <c r="B124" s="10"/>
      <c r="C124" s="11">
        <v>40874</v>
      </c>
      <c r="D124" s="5">
        <v>11.2</v>
      </c>
      <c r="E124" s="5">
        <v>7.2</v>
      </c>
      <c r="F124" s="5">
        <v>14.8</v>
      </c>
      <c r="G124" s="5">
        <f t="shared" si="14"/>
        <v>992.7</v>
      </c>
      <c r="J124" s="5">
        <v>0.2</v>
      </c>
      <c r="K124" s="5">
        <f t="shared" si="15"/>
        <v>57.100000000000016</v>
      </c>
      <c r="L124" s="5">
        <v>0.3</v>
      </c>
      <c r="M124" s="5">
        <f t="shared" si="16"/>
        <v>111.39999999999992</v>
      </c>
      <c r="N124" s="5">
        <v>-9.9999999999999978E-2</v>
      </c>
      <c r="O124" s="5">
        <f t="shared" si="11"/>
        <v>8.7999999999999989</v>
      </c>
      <c r="P124" s="5">
        <v>75</v>
      </c>
      <c r="Q124" s="5">
        <f t="shared" si="10"/>
        <v>0.72723214285714288</v>
      </c>
      <c r="R124" s="9">
        <f t="shared" si="12"/>
        <v>0.21816964285714285</v>
      </c>
      <c r="S124" s="9">
        <f t="shared" si="13"/>
        <v>-1.8169642857142843E-2</v>
      </c>
      <c r="T124" s="9">
        <f t="shared" si="17"/>
        <v>29.163705357142852</v>
      </c>
      <c r="V124" s="5">
        <v>141.6</v>
      </c>
      <c r="X124" s="5">
        <f t="shared" si="18"/>
        <v>49500.500000000015</v>
      </c>
      <c r="AA124" s="13">
        <v>8.8177149199891005</v>
      </c>
    </row>
    <row r="125" spans="1:27" s="5" customFormat="1" x14ac:dyDescent="0.25">
      <c r="A125" s="76"/>
      <c r="B125" s="10"/>
      <c r="C125" s="11">
        <v>40875</v>
      </c>
      <c r="D125" s="5">
        <v>10.4</v>
      </c>
      <c r="E125" s="5">
        <v>7.5</v>
      </c>
      <c r="F125" s="5">
        <v>13.4</v>
      </c>
      <c r="G125" s="5">
        <f t="shared" si="14"/>
        <v>1003.1</v>
      </c>
      <c r="J125" s="5">
        <v>0.4</v>
      </c>
      <c r="K125" s="5">
        <f t="shared" si="15"/>
        <v>57.500000000000014</v>
      </c>
      <c r="L125" s="5">
        <v>0.2</v>
      </c>
      <c r="M125" s="5">
        <f t="shared" si="16"/>
        <v>111.59999999999992</v>
      </c>
      <c r="N125" s="5">
        <v>0.2</v>
      </c>
      <c r="O125" s="5">
        <f t="shared" si="11"/>
        <v>8.9999999999999982</v>
      </c>
      <c r="P125" s="5">
        <v>76</v>
      </c>
      <c r="Q125" s="5">
        <f t="shared" ref="Q125:Q171" si="19">0.35+((P125-10)/112)*(1-0.35)</f>
        <v>0.73303571428571423</v>
      </c>
      <c r="R125" s="9">
        <f t="shared" si="12"/>
        <v>0.14660714285714285</v>
      </c>
      <c r="S125" s="9">
        <f t="shared" si="13"/>
        <v>0.2533928571428572</v>
      </c>
      <c r="T125" s="9">
        <f t="shared" si="17"/>
        <v>29.417098214285708</v>
      </c>
      <c r="V125" s="5">
        <v>132.80000000000001</v>
      </c>
      <c r="X125" s="5">
        <f t="shared" si="18"/>
        <v>49633.300000000017</v>
      </c>
      <c r="AA125" s="13">
        <v>8.7833574322332097</v>
      </c>
    </row>
    <row r="126" spans="1:27" s="5" customFormat="1" x14ac:dyDescent="0.25">
      <c r="A126" s="76"/>
      <c r="B126" s="10"/>
      <c r="C126" s="11">
        <v>40876</v>
      </c>
      <c r="D126" s="5">
        <v>10.199999999999999</v>
      </c>
      <c r="E126" s="5">
        <v>9.6</v>
      </c>
      <c r="F126" s="5">
        <v>12</v>
      </c>
      <c r="G126" s="5">
        <f t="shared" si="14"/>
        <v>1013.3000000000001</v>
      </c>
      <c r="J126" s="5">
        <v>2.2000000000000002</v>
      </c>
      <c r="K126" s="5">
        <f t="shared" si="15"/>
        <v>59.700000000000017</v>
      </c>
      <c r="L126" s="5">
        <v>0.5</v>
      </c>
      <c r="M126" s="5">
        <f t="shared" si="16"/>
        <v>112.09999999999992</v>
      </c>
      <c r="N126" s="5">
        <v>1.7000000000000002</v>
      </c>
      <c r="O126" s="5">
        <f t="shared" si="11"/>
        <v>10.7</v>
      </c>
      <c r="P126" s="5">
        <v>77</v>
      </c>
      <c r="Q126" s="5">
        <f t="shared" si="19"/>
        <v>0.7388392857142857</v>
      </c>
      <c r="R126" s="9">
        <f t="shared" si="12"/>
        <v>0.36941964285714285</v>
      </c>
      <c r="S126" s="9">
        <f t="shared" si="13"/>
        <v>1.8305803571428574</v>
      </c>
      <c r="T126" s="9">
        <f t="shared" si="17"/>
        <v>31.247678571428565</v>
      </c>
      <c r="V126" s="5">
        <v>108</v>
      </c>
      <c r="X126" s="5">
        <f t="shared" si="18"/>
        <v>49741.300000000017</v>
      </c>
      <c r="AA126" s="13">
        <v>8.7500875229543809</v>
      </c>
    </row>
    <row r="127" spans="1:27" s="5" customFormat="1" x14ac:dyDescent="0.25">
      <c r="A127" s="76"/>
      <c r="B127" s="10"/>
      <c r="C127" s="11">
        <v>40877</v>
      </c>
      <c r="D127" s="5">
        <v>8.6</v>
      </c>
      <c r="E127" s="5">
        <v>3.1</v>
      </c>
      <c r="F127" s="5">
        <v>14</v>
      </c>
      <c r="G127" s="5">
        <f t="shared" si="14"/>
        <v>1021.9000000000001</v>
      </c>
      <c r="J127" s="5">
        <v>1.1000000000000001</v>
      </c>
      <c r="K127" s="5">
        <f t="shared" si="15"/>
        <v>60.800000000000018</v>
      </c>
      <c r="L127" s="5">
        <v>1</v>
      </c>
      <c r="M127" s="5">
        <f t="shared" si="16"/>
        <v>113.09999999999992</v>
      </c>
      <c r="N127" s="5">
        <v>0.10000000000000009</v>
      </c>
      <c r="O127" s="5">
        <f t="shared" si="11"/>
        <v>10.799999999999999</v>
      </c>
      <c r="P127" s="5">
        <v>78</v>
      </c>
      <c r="Q127" s="5">
        <f t="shared" si="19"/>
        <v>0.74464285714285716</v>
      </c>
      <c r="R127" s="9">
        <f t="shared" si="12"/>
        <v>0.74464285714285716</v>
      </c>
      <c r="S127" s="9">
        <f t="shared" si="13"/>
        <v>0.35535714285714293</v>
      </c>
      <c r="T127" s="9">
        <f t="shared" si="17"/>
        <v>31.60303571428571</v>
      </c>
      <c r="V127" s="5">
        <v>543.9</v>
      </c>
      <c r="X127" s="5">
        <f t="shared" si="18"/>
        <v>50285.200000000019</v>
      </c>
      <c r="AA127" s="13">
        <v>8.7179351518204609</v>
      </c>
    </row>
    <row r="128" spans="1:27" s="5" customFormat="1" x14ac:dyDescent="0.25">
      <c r="A128" s="76"/>
      <c r="B128" s="10"/>
      <c r="C128" s="11">
        <v>40878</v>
      </c>
      <c r="D128" s="5">
        <v>12.8</v>
      </c>
      <c r="E128" s="5">
        <v>10.1</v>
      </c>
      <c r="F128" s="5">
        <v>13.8</v>
      </c>
      <c r="G128" s="5">
        <f t="shared" si="14"/>
        <v>1034.7</v>
      </c>
      <c r="J128" s="5">
        <v>11.6</v>
      </c>
      <c r="K128" s="5">
        <f t="shared" si="15"/>
        <v>72.40000000000002</v>
      </c>
      <c r="L128" s="5">
        <v>0.1</v>
      </c>
      <c r="M128" s="5">
        <f t="shared" si="16"/>
        <v>113.19999999999992</v>
      </c>
      <c r="N128" s="5">
        <v>11.5</v>
      </c>
      <c r="O128" s="5">
        <f t="shared" si="11"/>
        <v>22.299999999999997</v>
      </c>
      <c r="P128" s="5">
        <v>79</v>
      </c>
      <c r="Q128" s="5">
        <f t="shared" si="19"/>
        <v>0.75044642857142851</v>
      </c>
      <c r="R128" s="9">
        <f t="shared" si="12"/>
        <v>7.5044642857142851E-2</v>
      </c>
      <c r="S128" s="9">
        <f t="shared" si="13"/>
        <v>11.524955357142856</v>
      </c>
      <c r="T128" s="9">
        <f t="shared" si="17"/>
        <v>43.127991071428568</v>
      </c>
      <c r="V128" s="5">
        <v>83.4</v>
      </c>
      <c r="X128" s="5">
        <f t="shared" si="18"/>
        <v>50368.60000000002</v>
      </c>
      <c r="AA128" s="13">
        <v>8.6869299682154892</v>
      </c>
    </row>
    <row r="129" spans="1:27" s="5" customFormat="1" x14ac:dyDescent="0.25">
      <c r="A129" s="76"/>
      <c r="B129" s="10"/>
      <c r="C129" s="11">
        <v>40879</v>
      </c>
      <c r="D129" s="5">
        <v>8</v>
      </c>
      <c r="E129" s="5">
        <v>5.2</v>
      </c>
      <c r="F129" s="5">
        <v>11.1</v>
      </c>
      <c r="G129" s="5">
        <f t="shared" si="14"/>
        <v>1042.7</v>
      </c>
      <c r="J129" s="5">
        <v>5.4</v>
      </c>
      <c r="K129" s="5">
        <f t="shared" si="15"/>
        <v>77.800000000000026</v>
      </c>
      <c r="L129" s="5">
        <v>0.8</v>
      </c>
      <c r="M129" s="5">
        <f t="shared" si="16"/>
        <v>113.99999999999991</v>
      </c>
      <c r="N129" s="5">
        <v>4.6000000000000005</v>
      </c>
      <c r="O129" s="5">
        <f t="shared" si="11"/>
        <v>26.9</v>
      </c>
      <c r="P129" s="5">
        <v>80</v>
      </c>
      <c r="Q129" s="5">
        <f t="shared" si="19"/>
        <v>0.75624999999999998</v>
      </c>
      <c r="R129" s="9">
        <f t="shared" si="12"/>
        <v>0.60499999999999998</v>
      </c>
      <c r="S129" s="9">
        <f t="shared" si="13"/>
        <v>4.7949999999999999</v>
      </c>
      <c r="T129" s="9">
        <f t="shared" si="17"/>
        <v>47.922991071428569</v>
      </c>
      <c r="V129" s="5">
        <v>596.20000000000005</v>
      </c>
      <c r="X129" s="5">
        <f t="shared" si="18"/>
        <v>50964.800000000017</v>
      </c>
      <c r="AA129" s="13">
        <v>8.6571012279438708</v>
      </c>
    </row>
    <row r="130" spans="1:27" s="5" customFormat="1" x14ac:dyDescent="0.25">
      <c r="A130" s="76"/>
      <c r="B130" s="10"/>
      <c r="C130" s="11">
        <v>40880</v>
      </c>
      <c r="D130" s="5">
        <v>11.5</v>
      </c>
      <c r="E130" s="5">
        <v>7.6</v>
      </c>
      <c r="F130" s="5">
        <v>13.1</v>
      </c>
      <c r="G130" s="5">
        <f t="shared" si="14"/>
        <v>1054.2</v>
      </c>
      <c r="J130" s="5">
        <v>2.2000000000000002</v>
      </c>
      <c r="K130" s="5">
        <f t="shared" si="15"/>
        <v>80.000000000000028</v>
      </c>
      <c r="L130" s="5">
        <v>0</v>
      </c>
      <c r="M130" s="5">
        <f t="shared" si="16"/>
        <v>113.99999999999991</v>
      </c>
      <c r="N130" s="5">
        <v>2.2000000000000002</v>
      </c>
      <c r="O130" s="5">
        <f t="shared" si="11"/>
        <v>29.099999999999998</v>
      </c>
      <c r="P130" s="5">
        <v>81</v>
      </c>
      <c r="Q130" s="5">
        <f t="shared" si="19"/>
        <v>0.76205357142857144</v>
      </c>
      <c r="R130" s="9">
        <f t="shared" si="12"/>
        <v>0</v>
      </c>
      <c r="S130" s="9">
        <f t="shared" si="13"/>
        <v>2.2000000000000002</v>
      </c>
      <c r="T130" s="9">
        <f t="shared" si="17"/>
        <v>50.122991071428572</v>
      </c>
      <c r="V130" s="5">
        <v>78.2</v>
      </c>
      <c r="X130" s="5">
        <f t="shared" si="18"/>
        <v>51043.000000000015</v>
      </c>
      <c r="AA130" s="13">
        <v>8.6284777077740902</v>
      </c>
    </row>
    <row r="131" spans="1:27" s="5" customFormat="1" x14ac:dyDescent="0.25">
      <c r="A131" s="76"/>
      <c r="B131" s="10"/>
      <c r="C131" s="11">
        <v>40881</v>
      </c>
      <c r="D131" s="5">
        <v>12.5</v>
      </c>
      <c r="E131" s="5">
        <v>11.2</v>
      </c>
      <c r="F131" s="5">
        <v>14.9</v>
      </c>
      <c r="G131" s="5">
        <f t="shared" si="14"/>
        <v>1066.7</v>
      </c>
      <c r="J131" s="5">
        <v>2.5</v>
      </c>
      <c r="K131" s="5">
        <f t="shared" si="15"/>
        <v>82.500000000000028</v>
      </c>
      <c r="L131" s="5">
        <v>1</v>
      </c>
      <c r="M131" s="5">
        <f t="shared" si="16"/>
        <v>114.99999999999991</v>
      </c>
      <c r="N131" s="5">
        <v>1.5</v>
      </c>
      <c r="O131" s="5">
        <f t="shared" si="11"/>
        <v>30.599999999999998</v>
      </c>
      <c r="P131" s="5">
        <v>82</v>
      </c>
      <c r="Q131" s="5">
        <f t="shared" si="19"/>
        <v>0.7678571428571429</v>
      </c>
      <c r="R131" s="9">
        <f t="shared" si="12"/>
        <v>0.7678571428571429</v>
      </c>
      <c r="S131" s="9">
        <f t="shared" si="13"/>
        <v>1.7321428571428572</v>
      </c>
      <c r="T131" s="9">
        <f t="shared" si="17"/>
        <v>51.855133928571426</v>
      </c>
      <c r="V131" s="5">
        <v>104.8</v>
      </c>
      <c r="X131" s="5">
        <f t="shared" si="18"/>
        <v>51147.800000000017</v>
      </c>
      <c r="AA131" s="13">
        <v>8.6010876182217704</v>
      </c>
    </row>
    <row r="132" spans="1:27" s="5" customFormat="1" x14ac:dyDescent="0.25">
      <c r="A132" s="76"/>
      <c r="B132" s="10"/>
      <c r="C132" s="11">
        <v>40882</v>
      </c>
      <c r="D132" s="5">
        <v>7.3</v>
      </c>
      <c r="E132" s="5">
        <v>5</v>
      </c>
      <c r="F132" s="5">
        <v>11</v>
      </c>
      <c r="G132" s="5">
        <f t="shared" si="14"/>
        <v>1074</v>
      </c>
      <c r="J132" s="5">
        <v>0</v>
      </c>
      <c r="K132" s="5">
        <f t="shared" si="15"/>
        <v>82.500000000000028</v>
      </c>
      <c r="L132" s="5">
        <v>1.2</v>
      </c>
      <c r="M132" s="5">
        <f t="shared" si="16"/>
        <v>116.19999999999992</v>
      </c>
      <c r="N132" s="5">
        <v>-1.2</v>
      </c>
      <c r="O132" s="5">
        <f t="shared" si="11"/>
        <v>29.4</v>
      </c>
      <c r="P132" s="5">
        <v>83</v>
      </c>
      <c r="Q132" s="5">
        <f t="shared" si="19"/>
        <v>0.77366071428571437</v>
      </c>
      <c r="R132" s="9">
        <f t="shared" si="12"/>
        <v>0.92839285714285724</v>
      </c>
      <c r="S132" s="9">
        <f t="shared" si="13"/>
        <v>-0.92839285714285724</v>
      </c>
      <c r="T132" s="9">
        <f t="shared" si="17"/>
        <v>50.926741071428566</v>
      </c>
      <c r="V132" s="5">
        <v>533.29999999999995</v>
      </c>
      <c r="X132" s="5">
        <f t="shared" si="18"/>
        <v>51681.10000000002</v>
      </c>
      <c r="AA132" s="13">
        <v>8.5749585150120193</v>
      </c>
    </row>
    <row r="133" spans="1:27" s="5" customFormat="1" x14ac:dyDescent="0.25">
      <c r="A133" s="76"/>
      <c r="B133" s="10"/>
      <c r="C133" s="11">
        <v>40883</v>
      </c>
      <c r="D133" s="5">
        <v>8</v>
      </c>
      <c r="E133" s="5">
        <v>4.2</v>
      </c>
      <c r="F133" s="5">
        <v>10.6</v>
      </c>
      <c r="G133" s="5">
        <f t="shared" si="14"/>
        <v>1082</v>
      </c>
      <c r="J133" s="5">
        <v>0</v>
      </c>
      <c r="K133" s="5">
        <f t="shared" si="15"/>
        <v>82.500000000000028</v>
      </c>
      <c r="L133" s="5">
        <v>0.6</v>
      </c>
      <c r="M133" s="5">
        <f t="shared" si="16"/>
        <v>116.79999999999991</v>
      </c>
      <c r="N133" s="5">
        <v>-0.6</v>
      </c>
      <c r="O133" s="5">
        <f t="shared" si="11"/>
        <v>28.799999999999997</v>
      </c>
      <c r="P133" s="5">
        <v>84</v>
      </c>
      <c r="Q133" s="5">
        <f t="shared" si="19"/>
        <v>0.77946428571428572</v>
      </c>
      <c r="R133" s="9">
        <f t="shared" si="12"/>
        <v>0.46767857142857139</v>
      </c>
      <c r="S133" s="9">
        <f t="shared" si="13"/>
        <v>-0.46767857142857139</v>
      </c>
      <c r="T133" s="9">
        <f t="shared" si="17"/>
        <v>50.459062499999995</v>
      </c>
      <c r="V133" s="5">
        <v>347.7</v>
      </c>
      <c r="X133" s="5">
        <f t="shared" si="18"/>
        <v>52028.800000000017</v>
      </c>
      <c r="AA133" s="13">
        <v>8.5501172096972606</v>
      </c>
    </row>
    <row r="134" spans="1:27" s="5" customFormat="1" x14ac:dyDescent="0.25">
      <c r="A134" s="76"/>
      <c r="B134" s="10"/>
      <c r="C134" s="11">
        <v>40884</v>
      </c>
      <c r="D134" s="5">
        <v>9.3000000000000007</v>
      </c>
      <c r="E134" s="5">
        <v>8.5</v>
      </c>
      <c r="F134" s="5">
        <v>11.3</v>
      </c>
      <c r="G134" s="5">
        <f t="shared" si="14"/>
        <v>1091.3</v>
      </c>
      <c r="J134" s="5">
        <v>1.8</v>
      </c>
      <c r="K134" s="5">
        <f t="shared" si="15"/>
        <v>84.300000000000026</v>
      </c>
      <c r="L134" s="5">
        <v>0.8</v>
      </c>
      <c r="M134" s="5">
        <f t="shared" si="16"/>
        <v>117.59999999999991</v>
      </c>
      <c r="N134" s="5">
        <v>1</v>
      </c>
      <c r="O134" s="5">
        <f t="shared" si="11"/>
        <v>29.799999999999997</v>
      </c>
      <c r="P134" s="5">
        <v>85</v>
      </c>
      <c r="Q134" s="5">
        <f t="shared" si="19"/>
        <v>0.78526785714285707</v>
      </c>
      <c r="R134" s="9">
        <f t="shared" si="12"/>
        <v>0.62821428571428573</v>
      </c>
      <c r="S134" s="9">
        <f t="shared" si="13"/>
        <v>1.1717857142857144</v>
      </c>
      <c r="T134" s="9">
        <f t="shared" si="17"/>
        <v>51.630848214285706</v>
      </c>
      <c r="V134" s="5">
        <v>125.4</v>
      </c>
      <c r="X134" s="5">
        <f t="shared" si="18"/>
        <v>52154.200000000019</v>
      </c>
      <c r="AA134" s="13">
        <v>8.5265896799417202</v>
      </c>
    </row>
    <row r="135" spans="1:27" s="5" customFormat="1" x14ac:dyDescent="0.25">
      <c r="A135" s="76"/>
      <c r="B135" s="10"/>
      <c r="C135" s="11">
        <v>40885</v>
      </c>
      <c r="D135" s="5">
        <v>10.5</v>
      </c>
      <c r="E135" s="5">
        <v>4.9000000000000004</v>
      </c>
      <c r="F135" s="5">
        <v>12.7</v>
      </c>
      <c r="G135" s="5">
        <f t="shared" si="14"/>
        <v>1101.8</v>
      </c>
      <c r="J135" s="5">
        <v>4</v>
      </c>
      <c r="K135" s="5">
        <f t="shared" si="15"/>
        <v>88.300000000000026</v>
      </c>
      <c r="L135" s="5">
        <v>0.2</v>
      </c>
      <c r="M135" s="5">
        <f t="shared" si="16"/>
        <v>117.79999999999991</v>
      </c>
      <c r="N135" s="5">
        <v>3.8</v>
      </c>
      <c r="O135" s="5">
        <f t="shared" si="11"/>
        <v>33.599999999999994</v>
      </c>
      <c r="P135" s="5">
        <v>86</v>
      </c>
      <c r="Q135" s="5">
        <f t="shared" si="19"/>
        <v>0.79107142857142865</v>
      </c>
      <c r="R135" s="9">
        <f t="shared" si="12"/>
        <v>0.15821428571428575</v>
      </c>
      <c r="S135" s="9">
        <f t="shared" si="13"/>
        <v>3.8417857142857144</v>
      </c>
      <c r="T135" s="9">
        <f t="shared" si="17"/>
        <v>55.472633928571419</v>
      </c>
      <c r="V135" s="5">
        <v>106.4</v>
      </c>
      <c r="X135" s="5">
        <f t="shared" si="18"/>
        <v>52260.60000000002</v>
      </c>
      <c r="AA135" s="13">
        <v>8.5044009800137506</v>
      </c>
    </row>
    <row r="136" spans="1:27" s="5" customFormat="1" x14ac:dyDescent="0.25">
      <c r="A136" s="76"/>
      <c r="B136" s="10"/>
      <c r="C136" s="11">
        <v>40886</v>
      </c>
      <c r="D136" s="5">
        <v>8.8000000000000007</v>
      </c>
      <c r="E136" s="5">
        <v>8.4</v>
      </c>
      <c r="F136" s="5">
        <v>9.4</v>
      </c>
      <c r="G136" s="5">
        <f t="shared" si="14"/>
        <v>1110.5999999999999</v>
      </c>
      <c r="J136" s="5">
        <v>4.7</v>
      </c>
      <c r="K136" s="5">
        <f t="shared" si="15"/>
        <v>93.000000000000028</v>
      </c>
      <c r="L136" s="5">
        <v>0.3</v>
      </c>
      <c r="M136" s="5">
        <f t="shared" si="16"/>
        <v>118.09999999999991</v>
      </c>
      <c r="N136" s="5">
        <v>4.4000000000000004</v>
      </c>
      <c r="O136" s="5">
        <f t="shared" si="11"/>
        <v>37.999999999999993</v>
      </c>
      <c r="P136" s="5">
        <v>87</v>
      </c>
      <c r="Q136" s="5">
        <f t="shared" si="19"/>
        <v>0.796875</v>
      </c>
      <c r="R136" s="9">
        <f t="shared" si="12"/>
        <v>0.23906249999999998</v>
      </c>
      <c r="S136" s="9">
        <f t="shared" si="13"/>
        <v>4.4609375</v>
      </c>
      <c r="T136" s="9">
        <f t="shared" si="17"/>
        <v>59.933571428571419</v>
      </c>
      <c r="V136" s="5">
        <v>139.19999999999999</v>
      </c>
      <c r="X136" s="5">
        <f t="shared" si="18"/>
        <v>52399.800000000017</v>
      </c>
      <c r="AA136" s="13">
        <v>8.4835751520538096</v>
      </c>
    </row>
    <row r="137" spans="1:27" s="5" customFormat="1" x14ac:dyDescent="0.25">
      <c r="A137" s="76"/>
      <c r="B137" s="14">
        <v>1</v>
      </c>
      <c r="C137" s="11">
        <v>40887</v>
      </c>
      <c r="D137" s="5">
        <v>4.8</v>
      </c>
      <c r="E137" s="5">
        <v>2.8</v>
      </c>
      <c r="F137" s="5">
        <v>9.4</v>
      </c>
      <c r="G137" s="5">
        <f t="shared" si="14"/>
        <v>1115.3999999999999</v>
      </c>
      <c r="J137" s="5">
        <v>0</v>
      </c>
      <c r="K137" s="5">
        <f t="shared" si="15"/>
        <v>93.000000000000028</v>
      </c>
      <c r="L137" s="5">
        <v>0.8</v>
      </c>
      <c r="M137" s="5">
        <f t="shared" si="16"/>
        <v>118.89999999999991</v>
      </c>
      <c r="N137" s="5">
        <v>-0.8</v>
      </c>
      <c r="O137" s="5">
        <f t="shared" si="11"/>
        <v>37.199999999999996</v>
      </c>
      <c r="P137" s="5">
        <v>88</v>
      </c>
      <c r="Q137" s="5">
        <f t="shared" si="19"/>
        <v>0.80267857142857135</v>
      </c>
      <c r="R137" s="9">
        <f t="shared" si="12"/>
        <v>0.64214285714285713</v>
      </c>
      <c r="S137" s="9">
        <f t="shared" si="13"/>
        <v>-0.64214285714285713</v>
      </c>
      <c r="T137" s="9">
        <f t="shared" si="17"/>
        <v>59.291428571428561</v>
      </c>
      <c r="V137" s="5">
        <v>615.20000000000005</v>
      </c>
      <c r="X137" s="5">
        <f t="shared" si="18"/>
        <v>53015.000000000015</v>
      </c>
      <c r="AA137" s="13">
        <v>8.4641351387067392</v>
      </c>
    </row>
    <row r="138" spans="1:27" s="5" customFormat="1" x14ac:dyDescent="0.25">
      <c r="A138" s="76"/>
      <c r="B138" s="10"/>
      <c r="C138" s="11">
        <v>40888</v>
      </c>
      <c r="D138" s="5">
        <v>5.2</v>
      </c>
      <c r="E138" s="5">
        <v>-0.1</v>
      </c>
      <c r="F138" s="5">
        <v>9.6999999999999993</v>
      </c>
      <c r="G138" s="5">
        <f t="shared" si="14"/>
        <v>1120.5999999999999</v>
      </c>
      <c r="J138" s="5">
        <v>4.8</v>
      </c>
      <c r="K138" s="5">
        <f t="shared" si="15"/>
        <v>97.800000000000026</v>
      </c>
      <c r="L138" s="5">
        <v>0.2</v>
      </c>
      <c r="M138" s="5">
        <f t="shared" si="16"/>
        <v>119.09999999999991</v>
      </c>
      <c r="N138" s="5">
        <v>4.5999999999999996</v>
      </c>
      <c r="O138" s="5">
        <f t="shared" si="11"/>
        <v>41.8</v>
      </c>
      <c r="P138" s="5">
        <v>89</v>
      </c>
      <c r="Q138" s="5">
        <f t="shared" si="19"/>
        <v>0.80848214285714293</v>
      </c>
      <c r="R138" s="9">
        <f t="shared" si="12"/>
        <v>0.1616964285714286</v>
      </c>
      <c r="S138" s="9">
        <f t="shared" si="13"/>
        <v>4.6383035714285716</v>
      </c>
      <c r="T138" s="9">
        <f t="shared" si="17"/>
        <v>63.929732142857134</v>
      </c>
      <c r="V138" s="5">
        <v>122.5</v>
      </c>
      <c r="X138" s="5">
        <f t="shared" si="18"/>
        <v>53137.500000000015</v>
      </c>
      <c r="AA138" s="13">
        <v>8.4461026977227203</v>
      </c>
    </row>
    <row r="139" spans="1:27" s="5" customFormat="1" x14ac:dyDescent="0.25">
      <c r="A139" s="76"/>
      <c r="B139" s="10"/>
      <c r="C139" s="11">
        <v>40889</v>
      </c>
      <c r="D139" s="5">
        <v>8.4</v>
      </c>
      <c r="E139" s="5">
        <v>4.0999999999999996</v>
      </c>
      <c r="F139" s="5">
        <v>12.6</v>
      </c>
      <c r="G139" s="5">
        <f t="shared" si="14"/>
        <v>1129</v>
      </c>
      <c r="J139" s="5">
        <v>12.6</v>
      </c>
      <c r="K139" s="5">
        <f t="shared" si="15"/>
        <v>110.40000000000002</v>
      </c>
      <c r="L139" s="5">
        <v>0.9</v>
      </c>
      <c r="M139" s="5">
        <f t="shared" si="16"/>
        <v>119.99999999999991</v>
      </c>
      <c r="N139" s="5">
        <v>11.7</v>
      </c>
      <c r="O139" s="5">
        <f t="shared" si="11"/>
        <v>53.5</v>
      </c>
      <c r="P139" s="5">
        <v>90</v>
      </c>
      <c r="Q139" s="5">
        <f t="shared" si="19"/>
        <v>0.81428571428571428</v>
      </c>
      <c r="R139" s="9">
        <f t="shared" si="12"/>
        <v>0.73285714285714287</v>
      </c>
      <c r="S139" s="9">
        <f t="shared" si="13"/>
        <v>11.867142857142857</v>
      </c>
      <c r="T139" s="9">
        <f t="shared" si="17"/>
        <v>75.796874999999986</v>
      </c>
      <c r="V139" s="5">
        <v>482.7</v>
      </c>
      <c r="X139" s="5">
        <f t="shared" si="18"/>
        <v>53620.200000000012</v>
      </c>
      <c r="AA139" s="13">
        <v>8.4294983191401904</v>
      </c>
    </row>
    <row r="140" spans="1:27" s="5" customFormat="1" x14ac:dyDescent="0.25">
      <c r="A140" s="76"/>
      <c r="B140" s="10"/>
      <c r="C140" s="11">
        <v>40890</v>
      </c>
      <c r="D140" s="5">
        <v>10.3</v>
      </c>
      <c r="E140" s="5">
        <v>7.7</v>
      </c>
      <c r="F140" s="5">
        <v>12.4</v>
      </c>
      <c r="G140" s="5">
        <f t="shared" si="14"/>
        <v>1139.3</v>
      </c>
      <c r="J140" s="5">
        <v>8.8000000000000007</v>
      </c>
      <c r="K140" s="5">
        <f t="shared" si="15"/>
        <v>119.20000000000002</v>
      </c>
      <c r="L140" s="5">
        <v>1.1000000000000001</v>
      </c>
      <c r="M140" s="5">
        <f t="shared" si="16"/>
        <v>121.09999999999991</v>
      </c>
      <c r="N140" s="5">
        <v>7.7000000000000011</v>
      </c>
      <c r="O140" s="5">
        <f t="shared" si="11"/>
        <v>61.2</v>
      </c>
      <c r="P140" s="5">
        <v>91</v>
      </c>
      <c r="Q140" s="5">
        <f t="shared" si="19"/>
        <v>0.82008928571428563</v>
      </c>
      <c r="R140" s="9">
        <f t="shared" si="12"/>
        <v>0.90209821428571424</v>
      </c>
      <c r="S140" s="9">
        <f t="shared" si="13"/>
        <v>7.8979017857142866</v>
      </c>
      <c r="T140" s="9">
        <f t="shared" si="17"/>
        <v>83.694776785714268</v>
      </c>
      <c r="V140" s="5">
        <v>410.4</v>
      </c>
      <c r="X140" s="5">
        <f t="shared" si="18"/>
        <v>54030.600000000013</v>
      </c>
      <c r="AA140" s="13">
        <v>8.4143411456663699</v>
      </c>
    </row>
    <row r="141" spans="1:27" s="5" customFormat="1" x14ac:dyDescent="0.25">
      <c r="A141" s="76"/>
      <c r="B141" s="10"/>
      <c r="C141" s="11">
        <v>40891</v>
      </c>
      <c r="D141" s="5">
        <v>6.7</v>
      </c>
      <c r="E141" s="5">
        <v>5.8</v>
      </c>
      <c r="F141" s="5">
        <v>8.6999999999999993</v>
      </c>
      <c r="G141" s="5">
        <f t="shared" si="14"/>
        <v>1146</v>
      </c>
      <c r="J141" s="5">
        <v>0.7</v>
      </c>
      <c r="K141" s="5">
        <f t="shared" si="15"/>
        <v>119.90000000000002</v>
      </c>
      <c r="L141" s="5">
        <v>1</v>
      </c>
      <c r="M141" s="5">
        <f t="shared" si="16"/>
        <v>122.09999999999991</v>
      </c>
      <c r="N141" s="5">
        <v>-0.30000000000000004</v>
      </c>
      <c r="O141" s="5">
        <f t="shared" si="11"/>
        <v>60.900000000000006</v>
      </c>
      <c r="P141" s="5">
        <v>92</v>
      </c>
      <c r="Q141" s="5">
        <f t="shared" si="19"/>
        <v>0.8258928571428571</v>
      </c>
      <c r="R141" s="9">
        <f t="shared" si="12"/>
        <v>0.8258928571428571</v>
      </c>
      <c r="S141" s="9">
        <f t="shared" si="13"/>
        <v>-0.12589285714285714</v>
      </c>
      <c r="T141" s="9">
        <f t="shared" si="17"/>
        <v>83.56888392857141</v>
      </c>
      <c r="V141" s="5">
        <v>259.3</v>
      </c>
      <c r="X141" s="5">
        <f t="shared" si="18"/>
        <v>54289.900000000016</v>
      </c>
      <c r="AA141" s="13">
        <v>8.4006488968663096</v>
      </c>
    </row>
    <row r="142" spans="1:27" s="5" customFormat="1" x14ac:dyDescent="0.25">
      <c r="A142" s="76"/>
      <c r="B142" s="10"/>
      <c r="C142" s="11">
        <v>40892</v>
      </c>
      <c r="D142" s="5">
        <v>7.9</v>
      </c>
      <c r="E142" s="5">
        <v>5</v>
      </c>
      <c r="F142" s="5">
        <v>13.4</v>
      </c>
      <c r="G142" s="5">
        <f t="shared" si="14"/>
        <v>1153.9000000000001</v>
      </c>
      <c r="J142" s="5">
        <v>24.5</v>
      </c>
      <c r="K142" s="5">
        <f t="shared" si="15"/>
        <v>144.40000000000003</v>
      </c>
      <c r="L142" s="5">
        <v>1.4</v>
      </c>
      <c r="M142" s="5">
        <f t="shared" si="16"/>
        <v>123.49999999999991</v>
      </c>
      <c r="N142" s="5">
        <v>23.1</v>
      </c>
      <c r="O142" s="5">
        <f t="shared" si="11"/>
        <v>84</v>
      </c>
      <c r="P142" s="5">
        <v>93</v>
      </c>
      <c r="Q142" s="5">
        <f t="shared" si="19"/>
        <v>0.83169642857142856</v>
      </c>
      <c r="R142" s="9">
        <f t="shared" si="12"/>
        <v>1.1643749999999999</v>
      </c>
      <c r="S142" s="9">
        <f t="shared" si="13"/>
        <v>23.335625</v>
      </c>
      <c r="T142" s="9">
        <f t="shared" si="17"/>
        <v>106.9045089285714</v>
      </c>
      <c r="V142" s="5">
        <v>108.8</v>
      </c>
      <c r="X142" s="5">
        <f t="shared" si="18"/>
        <v>54398.700000000019</v>
      </c>
      <c r="AA142" s="13">
        <v>8.3884377977584599</v>
      </c>
    </row>
    <row r="143" spans="1:27" s="5" customFormat="1" x14ac:dyDescent="0.25">
      <c r="A143" s="76"/>
      <c r="B143" s="10"/>
      <c r="C143" s="11">
        <v>40893</v>
      </c>
      <c r="D143" s="5">
        <v>7.1</v>
      </c>
      <c r="E143" s="5">
        <v>4.2</v>
      </c>
      <c r="F143" s="5">
        <v>9.4</v>
      </c>
      <c r="G143" s="5">
        <f t="shared" si="14"/>
        <v>1161</v>
      </c>
      <c r="J143" s="5">
        <v>3.6</v>
      </c>
      <c r="K143" s="5">
        <f t="shared" si="15"/>
        <v>148.00000000000003</v>
      </c>
      <c r="L143" s="5">
        <v>0.2</v>
      </c>
      <c r="M143" s="5">
        <f t="shared" si="16"/>
        <v>123.69999999999992</v>
      </c>
      <c r="N143" s="5">
        <v>3.4</v>
      </c>
      <c r="O143" s="5">
        <f t="shared" si="11"/>
        <v>87.4</v>
      </c>
      <c r="P143" s="5">
        <v>94</v>
      </c>
      <c r="Q143" s="5">
        <f t="shared" si="19"/>
        <v>0.83750000000000002</v>
      </c>
      <c r="R143" s="9">
        <f t="shared" si="12"/>
        <v>0.16750000000000001</v>
      </c>
      <c r="S143" s="9">
        <f t="shared" si="13"/>
        <v>3.4325000000000001</v>
      </c>
      <c r="T143" s="9">
        <f t="shared" si="17"/>
        <v>110.33700892857141</v>
      </c>
      <c r="V143" s="5">
        <v>125.7</v>
      </c>
      <c r="X143" s="5">
        <f t="shared" si="18"/>
        <v>54524.400000000016</v>
      </c>
      <c r="AA143" s="13">
        <v>8.3777225123951595</v>
      </c>
    </row>
    <row r="144" spans="1:27" s="5" customFormat="1" x14ac:dyDescent="0.25">
      <c r="A144" s="76"/>
      <c r="B144" s="14">
        <v>2</v>
      </c>
      <c r="C144" s="11">
        <v>40894</v>
      </c>
      <c r="D144" s="5">
        <v>4.8</v>
      </c>
      <c r="E144" s="5">
        <v>3.3</v>
      </c>
      <c r="F144" s="5">
        <v>6.3</v>
      </c>
      <c r="G144" s="5">
        <f t="shared" si="14"/>
        <v>1165.8</v>
      </c>
      <c r="J144" s="5">
        <v>9.3000000000000007</v>
      </c>
      <c r="K144" s="5">
        <f t="shared" si="15"/>
        <v>157.30000000000004</v>
      </c>
      <c r="L144" s="5">
        <v>0.6</v>
      </c>
      <c r="M144" s="5">
        <f t="shared" si="16"/>
        <v>124.29999999999991</v>
      </c>
      <c r="N144" s="5">
        <v>8.7000000000000011</v>
      </c>
      <c r="O144" s="5">
        <f t="shared" si="11"/>
        <v>96.100000000000009</v>
      </c>
      <c r="P144" s="5">
        <v>95</v>
      </c>
      <c r="Q144" s="5">
        <f t="shared" si="19"/>
        <v>0.84330357142857149</v>
      </c>
      <c r="R144" s="9">
        <f t="shared" si="12"/>
        <v>0.50598214285714282</v>
      </c>
      <c r="S144" s="9">
        <f t="shared" si="13"/>
        <v>8.7940178571428582</v>
      </c>
      <c r="T144" s="9">
        <f t="shared" si="17"/>
        <v>119.13102678571427</v>
      </c>
      <c r="V144" s="5">
        <v>196.1</v>
      </c>
      <c r="X144" s="5">
        <f t="shared" si="18"/>
        <v>54720.500000000015</v>
      </c>
      <c r="AA144" s="13">
        <v>8.3685160829780205</v>
      </c>
    </row>
    <row r="145" spans="1:27" s="5" customFormat="1" x14ac:dyDescent="0.25">
      <c r="A145" s="76"/>
      <c r="B145" s="14">
        <v>3</v>
      </c>
      <c r="C145" s="11">
        <v>40895</v>
      </c>
      <c r="D145" s="5">
        <v>4.3</v>
      </c>
      <c r="E145" s="5">
        <v>1.6</v>
      </c>
      <c r="F145" s="5">
        <v>8.1</v>
      </c>
      <c r="G145" s="5">
        <f t="shared" si="14"/>
        <v>1170.0999999999999</v>
      </c>
      <c r="J145" s="5">
        <v>2.2999999999999998</v>
      </c>
      <c r="K145" s="5">
        <f t="shared" si="15"/>
        <v>159.60000000000005</v>
      </c>
      <c r="L145" s="5">
        <v>0.8</v>
      </c>
      <c r="M145" s="5">
        <f t="shared" si="16"/>
        <v>125.09999999999991</v>
      </c>
      <c r="N145" s="5">
        <v>1.4999999999999998</v>
      </c>
      <c r="O145" s="5">
        <f t="shared" si="11"/>
        <v>97.600000000000009</v>
      </c>
      <c r="P145" s="5">
        <v>96</v>
      </c>
      <c r="Q145" s="5">
        <f t="shared" si="19"/>
        <v>0.84910714285714284</v>
      </c>
      <c r="R145" s="9">
        <f t="shared" si="12"/>
        <v>0.67928571428571427</v>
      </c>
      <c r="S145" s="9">
        <f t="shared" si="13"/>
        <v>1.6207142857142856</v>
      </c>
      <c r="T145" s="9">
        <f t="shared" si="17"/>
        <v>120.75174107142855</v>
      </c>
      <c r="V145" s="5">
        <v>535.79999999999995</v>
      </c>
      <c r="X145" s="5">
        <f t="shared" si="18"/>
        <v>55256.300000000017</v>
      </c>
      <c r="AA145" s="13">
        <v>8.3608298750230894</v>
      </c>
    </row>
    <row r="146" spans="1:27" s="5" customFormat="1" x14ac:dyDescent="0.25">
      <c r="A146" s="76"/>
      <c r="B146" s="10"/>
      <c r="C146" s="11">
        <v>40896</v>
      </c>
      <c r="D146" s="5">
        <v>6.4</v>
      </c>
      <c r="E146" s="5">
        <v>4.0999999999999996</v>
      </c>
      <c r="F146" s="5">
        <v>10.5</v>
      </c>
      <c r="G146" s="5">
        <f t="shared" si="14"/>
        <v>1176.5</v>
      </c>
      <c r="J146" s="5">
        <v>5.7</v>
      </c>
      <c r="K146" s="5">
        <f t="shared" si="15"/>
        <v>165.30000000000004</v>
      </c>
      <c r="L146" s="5">
        <v>0.5</v>
      </c>
      <c r="M146" s="5">
        <f t="shared" si="16"/>
        <v>125.59999999999991</v>
      </c>
      <c r="N146" s="5">
        <v>5.2</v>
      </c>
      <c r="O146" s="5">
        <f t="shared" si="11"/>
        <v>102.80000000000001</v>
      </c>
      <c r="P146" s="5">
        <v>97</v>
      </c>
      <c r="Q146" s="5">
        <f t="shared" si="19"/>
        <v>0.8549107142857143</v>
      </c>
      <c r="R146" s="9">
        <f t="shared" si="12"/>
        <v>0.42745535714285715</v>
      </c>
      <c r="S146" s="9">
        <f t="shared" si="13"/>
        <v>5.2725446428571434</v>
      </c>
      <c r="T146" s="9">
        <f t="shared" si="17"/>
        <v>126.0242857142857</v>
      </c>
      <c r="V146" s="5">
        <v>68.400000000000006</v>
      </c>
      <c r="X146" s="5">
        <f t="shared" si="18"/>
        <v>55324.700000000019</v>
      </c>
      <c r="AA146" s="13">
        <v>8.3546735290476395</v>
      </c>
    </row>
    <row r="147" spans="1:27" s="5" customFormat="1" x14ac:dyDescent="0.25">
      <c r="A147" s="76"/>
      <c r="B147" s="10"/>
      <c r="C147" s="11">
        <v>40897</v>
      </c>
      <c r="D147" s="5">
        <v>9.8000000000000007</v>
      </c>
      <c r="E147" s="5">
        <v>8.1999999999999993</v>
      </c>
      <c r="F147" s="5">
        <v>11.6</v>
      </c>
      <c r="G147" s="5">
        <f t="shared" si="14"/>
        <v>1186.3</v>
      </c>
      <c r="J147" s="5">
        <v>3.2</v>
      </c>
      <c r="K147" s="5">
        <f t="shared" si="15"/>
        <v>168.50000000000003</v>
      </c>
      <c r="L147" s="5">
        <v>0.4</v>
      </c>
      <c r="M147" s="5">
        <f t="shared" si="16"/>
        <v>125.99999999999991</v>
      </c>
      <c r="N147" s="5">
        <v>2.8000000000000003</v>
      </c>
      <c r="O147" s="5">
        <f t="shared" si="11"/>
        <v>105.60000000000001</v>
      </c>
      <c r="P147" s="5">
        <v>98</v>
      </c>
      <c r="Q147" s="5">
        <f t="shared" si="19"/>
        <v>0.86071428571428565</v>
      </c>
      <c r="R147" s="9">
        <f t="shared" si="12"/>
        <v>0.34428571428571431</v>
      </c>
      <c r="S147" s="9">
        <f t="shared" si="13"/>
        <v>2.8557142857142859</v>
      </c>
      <c r="T147" s="9">
        <f t="shared" si="17"/>
        <v>128.88</v>
      </c>
      <c r="V147" s="5">
        <v>181.2</v>
      </c>
      <c r="X147" s="5">
        <f t="shared" si="18"/>
        <v>55505.900000000016</v>
      </c>
      <c r="AA147" s="13">
        <v>8.3500549192009093</v>
      </c>
    </row>
    <row r="148" spans="1:27" s="5" customFormat="1" x14ac:dyDescent="0.25">
      <c r="A148" s="76"/>
      <c r="B148" s="10"/>
      <c r="C148" s="11">
        <v>40898</v>
      </c>
      <c r="D148" s="5">
        <v>11.2</v>
      </c>
      <c r="E148" s="5">
        <v>8.1</v>
      </c>
      <c r="F148" s="5">
        <v>11.9</v>
      </c>
      <c r="G148" s="5">
        <f t="shared" si="14"/>
        <v>1197.5</v>
      </c>
      <c r="J148" s="5">
        <v>0.2</v>
      </c>
      <c r="K148" s="5">
        <f t="shared" si="15"/>
        <v>168.70000000000002</v>
      </c>
      <c r="L148" s="5">
        <v>0</v>
      </c>
      <c r="M148" s="5">
        <f t="shared" si="16"/>
        <v>125.99999999999991</v>
      </c>
      <c r="N148" s="5">
        <v>0.2</v>
      </c>
      <c r="O148" s="5">
        <f t="shared" si="11"/>
        <v>105.80000000000001</v>
      </c>
      <c r="P148" s="5">
        <v>99</v>
      </c>
      <c r="Q148" s="5">
        <f t="shared" si="19"/>
        <v>0.86651785714285712</v>
      </c>
      <c r="R148" s="9">
        <f t="shared" si="12"/>
        <v>0</v>
      </c>
      <c r="S148" s="9">
        <f t="shared" si="13"/>
        <v>0.2</v>
      </c>
      <c r="T148" s="9">
        <f t="shared" si="17"/>
        <v>129.07999999999998</v>
      </c>
      <c r="V148" s="5">
        <v>50.1</v>
      </c>
      <c r="X148" s="5">
        <f t="shared" si="18"/>
        <v>55556.000000000015</v>
      </c>
      <c r="AA148" s="13">
        <v>8.3469801192051296</v>
      </c>
    </row>
    <row r="149" spans="1:27" s="5" customFormat="1" x14ac:dyDescent="0.25">
      <c r="A149" s="76"/>
      <c r="B149" s="10"/>
      <c r="C149" s="11">
        <v>40899</v>
      </c>
      <c r="D149" s="5">
        <v>10.9</v>
      </c>
      <c r="E149" s="5">
        <v>10</v>
      </c>
      <c r="F149" s="5">
        <v>12.6</v>
      </c>
      <c r="G149" s="5">
        <f t="shared" si="14"/>
        <v>1208.4000000000001</v>
      </c>
      <c r="J149" s="5">
        <v>0</v>
      </c>
      <c r="K149" s="5">
        <f t="shared" si="15"/>
        <v>168.70000000000002</v>
      </c>
      <c r="L149" s="5">
        <v>0.6</v>
      </c>
      <c r="M149" s="5">
        <f t="shared" si="16"/>
        <v>126.59999999999991</v>
      </c>
      <c r="N149" s="5">
        <v>-0.6</v>
      </c>
      <c r="O149" s="5">
        <f t="shared" si="11"/>
        <v>105.20000000000002</v>
      </c>
      <c r="P149" s="5">
        <v>100</v>
      </c>
      <c r="Q149" s="5">
        <f t="shared" si="19"/>
        <v>0.87232142857142858</v>
      </c>
      <c r="R149" s="9">
        <f t="shared" si="12"/>
        <v>0.5233928571428571</v>
      </c>
      <c r="S149" s="9">
        <f t="shared" si="13"/>
        <v>-0.5233928571428571</v>
      </c>
      <c r="T149" s="9">
        <f t="shared" si="17"/>
        <v>128.55660714285713</v>
      </c>
      <c r="V149" s="5">
        <v>196</v>
      </c>
      <c r="X149" s="5">
        <f t="shared" si="18"/>
        <v>55752.000000000015</v>
      </c>
      <c r="AA149" s="13">
        <v>8.3454533759116405</v>
      </c>
    </row>
    <row r="150" spans="1:27" s="5" customFormat="1" x14ac:dyDescent="0.25">
      <c r="A150" s="76"/>
      <c r="B150" s="10"/>
      <c r="C150" s="11">
        <v>40900</v>
      </c>
      <c r="D150" s="5">
        <v>8.9</v>
      </c>
      <c r="E150" s="5">
        <v>8.1999999999999993</v>
      </c>
      <c r="F150" s="5">
        <v>10.5</v>
      </c>
      <c r="G150" s="5">
        <f t="shared" si="14"/>
        <v>1217.3000000000002</v>
      </c>
      <c r="J150" s="5">
        <v>4.7</v>
      </c>
      <c r="K150" s="5">
        <f t="shared" si="15"/>
        <v>173.4</v>
      </c>
      <c r="L150" s="5">
        <v>0.7</v>
      </c>
      <c r="M150" s="5">
        <f t="shared" si="16"/>
        <v>127.29999999999991</v>
      </c>
      <c r="N150" s="5">
        <v>4</v>
      </c>
      <c r="O150" s="5">
        <f t="shared" si="11"/>
        <v>109.20000000000002</v>
      </c>
      <c r="P150" s="5">
        <v>101</v>
      </c>
      <c r="Q150" s="5">
        <f t="shared" si="19"/>
        <v>0.87812500000000004</v>
      </c>
      <c r="R150" s="9">
        <f t="shared" si="12"/>
        <v>0.61468749999999994</v>
      </c>
      <c r="S150" s="9">
        <f t="shared" si="13"/>
        <v>4.0853125000000006</v>
      </c>
      <c r="T150" s="9">
        <f t="shared" si="17"/>
        <v>132.64191964285715</v>
      </c>
      <c r="V150" s="5">
        <v>142.9</v>
      </c>
      <c r="X150" s="5">
        <f t="shared" si="18"/>
        <v>55894.900000000016</v>
      </c>
      <c r="AA150" s="13">
        <v>8.3454770907109808</v>
      </c>
    </row>
    <row r="151" spans="1:27" s="5" customFormat="1" x14ac:dyDescent="0.25">
      <c r="A151" s="76"/>
      <c r="B151" s="10"/>
      <c r="C151" s="11">
        <v>40901</v>
      </c>
      <c r="D151" s="5">
        <v>6.9</v>
      </c>
      <c r="E151" s="5">
        <v>3.9</v>
      </c>
      <c r="F151" s="5">
        <v>9.5</v>
      </c>
      <c r="G151" s="5">
        <f t="shared" si="14"/>
        <v>1224.2000000000003</v>
      </c>
      <c r="J151" s="5">
        <v>0.1</v>
      </c>
      <c r="K151" s="5">
        <f t="shared" si="15"/>
        <v>173.5</v>
      </c>
      <c r="L151" s="5">
        <v>0.8</v>
      </c>
      <c r="M151" s="5">
        <f t="shared" si="16"/>
        <v>128.09999999999991</v>
      </c>
      <c r="N151" s="5">
        <v>-0.70000000000000007</v>
      </c>
      <c r="O151" s="5">
        <f t="shared" si="11"/>
        <v>108.50000000000001</v>
      </c>
      <c r="P151" s="5">
        <v>102</v>
      </c>
      <c r="Q151" s="5">
        <f t="shared" si="19"/>
        <v>0.8839285714285714</v>
      </c>
      <c r="R151" s="9">
        <f t="shared" si="12"/>
        <v>0.70714285714285718</v>
      </c>
      <c r="S151" s="9">
        <f t="shared" si="13"/>
        <v>-0.60714285714285721</v>
      </c>
      <c r="T151" s="9">
        <f t="shared" si="17"/>
        <v>132.03477678571429</v>
      </c>
      <c r="V151" s="5">
        <v>569.1</v>
      </c>
      <c r="X151" s="5">
        <f t="shared" si="18"/>
        <v>56464.000000000015</v>
      </c>
      <c r="AA151" s="13">
        <v>8.3470518089656096</v>
      </c>
    </row>
    <row r="152" spans="1:27" s="5" customFormat="1" x14ac:dyDescent="0.25">
      <c r="A152" s="76"/>
      <c r="B152" s="10"/>
      <c r="C152" s="11">
        <v>40902</v>
      </c>
      <c r="D152" s="5">
        <v>9</v>
      </c>
      <c r="E152" s="5">
        <v>7.2</v>
      </c>
      <c r="F152" s="5">
        <v>11.4</v>
      </c>
      <c r="G152" s="5">
        <f t="shared" si="14"/>
        <v>1233.2000000000003</v>
      </c>
      <c r="J152" s="5">
        <v>0</v>
      </c>
      <c r="K152" s="5">
        <f t="shared" si="15"/>
        <v>173.5</v>
      </c>
      <c r="L152" s="5">
        <v>0.7</v>
      </c>
      <c r="M152" s="5">
        <f t="shared" si="16"/>
        <v>128.7999999999999</v>
      </c>
      <c r="N152" s="5">
        <v>-0.7</v>
      </c>
      <c r="O152" s="5">
        <f t="shared" si="11"/>
        <v>107.80000000000001</v>
      </c>
      <c r="P152" s="5">
        <v>103</v>
      </c>
      <c r="Q152" s="5">
        <f t="shared" si="19"/>
        <v>0.88973214285714286</v>
      </c>
      <c r="R152" s="9">
        <f t="shared" si="12"/>
        <v>0.62281249999999999</v>
      </c>
      <c r="S152" s="9">
        <f t="shared" si="13"/>
        <v>-0.62281249999999999</v>
      </c>
      <c r="T152" s="9">
        <f t="shared" si="17"/>
        <v>131.41196428571428</v>
      </c>
      <c r="V152" s="5">
        <v>107.8</v>
      </c>
      <c r="X152" s="5">
        <f t="shared" si="18"/>
        <v>56571.800000000017</v>
      </c>
      <c r="AA152" s="13">
        <v>8.3501762175618701</v>
      </c>
    </row>
    <row r="153" spans="1:27" s="5" customFormat="1" x14ac:dyDescent="0.25">
      <c r="A153" s="76"/>
      <c r="B153" s="10"/>
      <c r="C153" s="11">
        <v>40903</v>
      </c>
      <c r="D153" s="5">
        <v>6.6</v>
      </c>
      <c r="E153" s="5">
        <v>5.5</v>
      </c>
      <c r="F153" s="5">
        <v>12.3</v>
      </c>
      <c r="G153" s="5">
        <f t="shared" si="14"/>
        <v>1239.8000000000002</v>
      </c>
      <c r="J153" s="5">
        <v>0</v>
      </c>
      <c r="K153" s="5">
        <f t="shared" si="15"/>
        <v>173.5</v>
      </c>
      <c r="L153" s="5">
        <v>1.2</v>
      </c>
      <c r="M153" s="5">
        <f t="shared" si="16"/>
        <v>129.99999999999989</v>
      </c>
      <c r="N153" s="5">
        <v>-1.2</v>
      </c>
      <c r="O153" s="5">
        <f t="shared" si="11"/>
        <v>106.60000000000001</v>
      </c>
      <c r="P153" s="5">
        <v>104</v>
      </c>
      <c r="Q153" s="5">
        <f t="shared" si="19"/>
        <v>0.89553571428571432</v>
      </c>
      <c r="R153" s="9">
        <f t="shared" si="12"/>
        <v>1.0746428571428572</v>
      </c>
      <c r="S153" s="9">
        <f t="shared" si="13"/>
        <v>-1.0746428571428572</v>
      </c>
      <c r="T153" s="9">
        <f t="shared" si="17"/>
        <v>130.33732142857141</v>
      </c>
      <c r="V153" s="5">
        <v>614.20000000000005</v>
      </c>
      <c r="X153" s="5">
        <f t="shared" si="18"/>
        <v>57186.000000000015</v>
      </c>
      <c r="AA153" s="13">
        <v>8.3548471506033692</v>
      </c>
    </row>
    <row r="154" spans="1:27" s="5" customFormat="1" x14ac:dyDescent="0.25">
      <c r="A154" s="76"/>
      <c r="B154" s="14">
        <v>4</v>
      </c>
      <c r="C154" s="11">
        <v>40904</v>
      </c>
      <c r="D154" s="5">
        <v>1.7</v>
      </c>
      <c r="E154" s="5">
        <v>0</v>
      </c>
      <c r="F154" s="5">
        <v>5.2</v>
      </c>
      <c r="G154" s="5">
        <f t="shared" si="14"/>
        <v>1241.5000000000002</v>
      </c>
      <c r="J154" s="5">
        <v>0</v>
      </c>
      <c r="K154" s="5">
        <f t="shared" si="15"/>
        <v>173.5</v>
      </c>
      <c r="L154" s="5">
        <v>0.6</v>
      </c>
      <c r="M154" s="5">
        <f t="shared" si="16"/>
        <v>130.59999999999988</v>
      </c>
      <c r="N154" s="5">
        <v>-0.6</v>
      </c>
      <c r="O154" s="5">
        <f t="shared" ref="O154:O217" si="20">O153+N154</f>
        <v>106.00000000000001</v>
      </c>
      <c r="P154" s="5">
        <v>105</v>
      </c>
      <c r="Q154" s="5">
        <f t="shared" si="19"/>
        <v>0.90133928571428568</v>
      </c>
      <c r="R154" s="9">
        <f t="shared" si="12"/>
        <v>0.54080357142857138</v>
      </c>
      <c r="S154" s="9">
        <f t="shared" si="13"/>
        <v>-0.54080357142857138</v>
      </c>
      <c r="T154" s="9">
        <f t="shared" si="17"/>
        <v>129.79651785714285</v>
      </c>
      <c r="V154" s="5">
        <v>281.8</v>
      </c>
      <c r="X154" s="5">
        <f t="shared" si="18"/>
        <v>57467.800000000017</v>
      </c>
      <c r="AA154" s="13">
        <v>8.3610596031940396</v>
      </c>
    </row>
    <row r="155" spans="1:27" s="5" customFormat="1" x14ac:dyDescent="0.25">
      <c r="A155" s="76"/>
      <c r="B155" s="10"/>
      <c r="C155" s="11">
        <v>40905</v>
      </c>
      <c r="D155" s="5">
        <v>6.3</v>
      </c>
      <c r="E155" s="5">
        <v>2.6</v>
      </c>
      <c r="F155" s="5">
        <v>11.2</v>
      </c>
      <c r="G155" s="5">
        <f t="shared" si="14"/>
        <v>1247.8000000000002</v>
      </c>
      <c r="J155" s="5">
        <v>0.5</v>
      </c>
      <c r="K155" s="5">
        <f t="shared" si="15"/>
        <v>174</v>
      </c>
      <c r="L155" s="5">
        <v>0.5</v>
      </c>
      <c r="M155" s="5">
        <f t="shared" si="16"/>
        <v>131.09999999999988</v>
      </c>
      <c r="N155" s="5">
        <v>0</v>
      </c>
      <c r="O155" s="5">
        <f t="shared" si="20"/>
        <v>106.00000000000001</v>
      </c>
      <c r="P155" s="5">
        <v>106</v>
      </c>
      <c r="Q155" s="5">
        <f t="shared" si="19"/>
        <v>0.90714285714285714</v>
      </c>
      <c r="R155" s="9">
        <f t="shared" si="12"/>
        <v>0.45357142857142857</v>
      </c>
      <c r="S155" s="9">
        <f t="shared" si="13"/>
        <v>4.642857142857143E-2</v>
      </c>
      <c r="T155" s="9">
        <f t="shared" si="17"/>
        <v>129.84294642857142</v>
      </c>
      <c r="V155" s="5">
        <v>201.5</v>
      </c>
      <c r="X155" s="5">
        <f t="shared" si="18"/>
        <v>57669.300000000017</v>
      </c>
      <c r="AA155" s="13">
        <v>8.3688067531851402</v>
      </c>
    </row>
    <row r="156" spans="1:27" s="5" customFormat="1" x14ac:dyDescent="0.25">
      <c r="A156" s="76"/>
      <c r="B156" s="10"/>
      <c r="C156" s="11">
        <v>40906</v>
      </c>
      <c r="D156" s="5">
        <v>6.1</v>
      </c>
      <c r="E156" s="5">
        <v>3.1</v>
      </c>
      <c r="F156" s="5">
        <v>8.8000000000000007</v>
      </c>
      <c r="G156" s="5">
        <f t="shared" si="14"/>
        <v>1253.9000000000001</v>
      </c>
      <c r="J156" s="5">
        <v>1.3</v>
      </c>
      <c r="K156" s="5">
        <f t="shared" si="15"/>
        <v>175.3</v>
      </c>
      <c r="L156" s="5">
        <v>0.6</v>
      </c>
      <c r="M156" s="5">
        <f t="shared" si="16"/>
        <v>131.69999999999987</v>
      </c>
      <c r="N156" s="5">
        <v>0.70000000000000007</v>
      </c>
      <c r="O156" s="5">
        <f t="shared" si="20"/>
        <v>106.70000000000002</v>
      </c>
      <c r="P156" s="5">
        <v>107</v>
      </c>
      <c r="Q156" s="5">
        <f t="shared" si="19"/>
        <v>0.9129464285714286</v>
      </c>
      <c r="R156" s="9">
        <f t="shared" si="12"/>
        <v>0.54776785714285714</v>
      </c>
      <c r="S156" s="9">
        <f t="shared" si="13"/>
        <v>0.7522321428571429</v>
      </c>
      <c r="T156" s="9">
        <f t="shared" si="17"/>
        <v>130.59517857142856</v>
      </c>
      <c r="V156" s="5">
        <v>364.4</v>
      </c>
      <c r="X156" s="5">
        <f t="shared" si="18"/>
        <v>58033.700000000019</v>
      </c>
      <c r="AA156" s="13">
        <v>8.3780799906893897</v>
      </c>
    </row>
    <row r="157" spans="1:27" s="5" customFormat="1" x14ac:dyDescent="0.25">
      <c r="A157" s="76"/>
      <c r="B157" s="10"/>
      <c r="C157" s="11">
        <v>40907</v>
      </c>
      <c r="D157" s="5">
        <v>10.4</v>
      </c>
      <c r="E157" s="5">
        <v>7.3</v>
      </c>
      <c r="F157" s="5">
        <v>12.4</v>
      </c>
      <c r="G157" s="5">
        <f t="shared" si="14"/>
        <v>1264.3000000000002</v>
      </c>
      <c r="J157" s="5">
        <v>3.3</v>
      </c>
      <c r="K157" s="5">
        <f t="shared" si="15"/>
        <v>178.60000000000002</v>
      </c>
      <c r="L157" s="5">
        <v>0.3</v>
      </c>
      <c r="M157" s="5">
        <f t="shared" si="16"/>
        <v>131.99999999999989</v>
      </c>
      <c r="N157" s="5">
        <v>3</v>
      </c>
      <c r="O157" s="5">
        <f t="shared" si="20"/>
        <v>109.70000000000002</v>
      </c>
      <c r="P157" s="5">
        <v>108</v>
      </c>
      <c r="Q157" s="5">
        <f t="shared" si="19"/>
        <v>0.91874999999999996</v>
      </c>
      <c r="R157" s="9">
        <f t="shared" si="12"/>
        <v>0.27562499999999995</v>
      </c>
      <c r="S157" s="9">
        <f t="shared" si="13"/>
        <v>3.024375</v>
      </c>
      <c r="T157" s="9">
        <f t="shared" si="17"/>
        <v>133.61955357142855</v>
      </c>
      <c r="V157" s="5">
        <v>126</v>
      </c>
      <c r="X157" s="5">
        <f t="shared" si="18"/>
        <v>58159.700000000019</v>
      </c>
      <c r="AA157" s="13">
        <v>8.3888689550965605</v>
      </c>
    </row>
    <row r="158" spans="1:27" s="5" customFormat="1" x14ac:dyDescent="0.25">
      <c r="A158" s="76"/>
      <c r="B158" s="10"/>
      <c r="C158" s="11">
        <v>40908</v>
      </c>
      <c r="D158" s="5">
        <v>12.7</v>
      </c>
      <c r="E158" s="5">
        <v>11.7</v>
      </c>
      <c r="F158" s="5">
        <v>13.4</v>
      </c>
      <c r="G158" s="5">
        <f t="shared" si="14"/>
        <v>1277.0000000000002</v>
      </c>
      <c r="J158" s="5">
        <v>1.2</v>
      </c>
      <c r="K158" s="5">
        <f t="shared" si="15"/>
        <v>179.8</v>
      </c>
      <c r="L158" s="5">
        <v>0.3</v>
      </c>
      <c r="M158" s="5">
        <f t="shared" si="16"/>
        <v>132.2999999999999</v>
      </c>
      <c r="N158" s="5">
        <v>0.89999999999999991</v>
      </c>
      <c r="O158" s="5">
        <f t="shared" si="20"/>
        <v>110.60000000000002</v>
      </c>
      <c r="P158" s="5">
        <v>109</v>
      </c>
      <c r="Q158" s="5">
        <f t="shared" si="19"/>
        <v>0.92455357142857142</v>
      </c>
      <c r="R158" s="9">
        <f t="shared" si="12"/>
        <v>0.27736607142857139</v>
      </c>
      <c r="S158" s="9">
        <f t="shared" si="13"/>
        <v>0.92263392857142856</v>
      </c>
      <c r="T158" s="9">
        <f t="shared" si="17"/>
        <v>134.54218749999998</v>
      </c>
      <c r="V158" s="5">
        <v>125.4</v>
      </c>
      <c r="X158" s="5">
        <f t="shared" si="18"/>
        <v>58285.10000000002</v>
      </c>
      <c r="AA158" s="13">
        <v>8.4011615792606609</v>
      </c>
    </row>
    <row r="159" spans="1:27" s="5" customFormat="1" x14ac:dyDescent="0.25">
      <c r="A159" s="76"/>
      <c r="B159" s="10"/>
      <c r="C159" s="11">
        <v>40909</v>
      </c>
      <c r="D159" s="5">
        <v>12.4</v>
      </c>
      <c r="E159" s="5">
        <v>12</v>
      </c>
      <c r="F159" s="5">
        <v>13.5</v>
      </c>
      <c r="G159" s="5">
        <f t="shared" si="14"/>
        <v>1289.4000000000003</v>
      </c>
      <c r="J159" s="5">
        <v>9.1999999999999993</v>
      </c>
      <c r="K159" s="5">
        <f t="shared" si="15"/>
        <v>189</v>
      </c>
      <c r="L159" s="5">
        <v>0.4</v>
      </c>
      <c r="M159" s="5">
        <f t="shared" si="16"/>
        <v>132.6999999999999</v>
      </c>
      <c r="N159" s="5">
        <v>8.7999999999999989</v>
      </c>
      <c r="O159" s="5">
        <f t="shared" si="20"/>
        <v>119.40000000000002</v>
      </c>
      <c r="P159" s="5">
        <v>110</v>
      </c>
      <c r="Q159" s="5">
        <f t="shared" si="19"/>
        <v>0.93035714285714288</v>
      </c>
      <c r="R159" s="9">
        <f t="shared" si="12"/>
        <v>0.37214285714285716</v>
      </c>
      <c r="S159" s="9">
        <f t="shared" si="13"/>
        <v>8.8278571428571428</v>
      </c>
      <c r="T159" s="9">
        <f t="shared" si="17"/>
        <v>143.37004464285712</v>
      </c>
      <c r="V159" s="5">
        <v>66.8</v>
      </c>
      <c r="X159" s="5">
        <f t="shared" si="18"/>
        <v>58351.900000000023</v>
      </c>
      <c r="AA159" s="13">
        <v>8.4193892160187005</v>
      </c>
    </row>
    <row r="160" spans="1:27" s="5" customFormat="1" x14ac:dyDescent="0.25">
      <c r="A160" s="76"/>
      <c r="B160" s="10"/>
      <c r="C160" s="11">
        <v>40910</v>
      </c>
      <c r="D160" s="5">
        <v>7.8</v>
      </c>
      <c r="E160" s="5">
        <v>6.5</v>
      </c>
      <c r="F160" s="5">
        <v>10.9</v>
      </c>
      <c r="G160" s="5">
        <f t="shared" si="14"/>
        <v>1297.2000000000003</v>
      </c>
      <c r="J160" s="5">
        <v>0.2</v>
      </c>
      <c r="K160" s="5">
        <f t="shared" si="15"/>
        <v>189.2</v>
      </c>
      <c r="L160" s="5">
        <v>1.1000000000000001</v>
      </c>
      <c r="M160" s="5">
        <f t="shared" si="16"/>
        <v>133.7999999999999</v>
      </c>
      <c r="N160" s="5">
        <v>-0.90000000000000013</v>
      </c>
      <c r="O160" s="5">
        <f t="shared" si="20"/>
        <v>118.50000000000001</v>
      </c>
      <c r="P160" s="5">
        <v>111</v>
      </c>
      <c r="Q160" s="5">
        <f t="shared" si="19"/>
        <v>0.93616071428571435</v>
      </c>
      <c r="R160" s="9">
        <f t="shared" si="12"/>
        <v>1.0297767857142859</v>
      </c>
      <c r="S160" s="9">
        <f t="shared" si="13"/>
        <v>-0.82977678571428592</v>
      </c>
      <c r="T160" s="9">
        <f t="shared" si="17"/>
        <v>142.54026785714285</v>
      </c>
      <c r="V160" s="5">
        <v>576.4</v>
      </c>
      <c r="X160" s="5">
        <f t="shared" si="18"/>
        <v>58928.300000000025</v>
      </c>
      <c r="AA160" s="13">
        <v>8.4350877093723202</v>
      </c>
    </row>
    <row r="161" spans="1:27" s="5" customFormat="1" x14ac:dyDescent="0.25">
      <c r="A161" s="76"/>
      <c r="B161" s="10"/>
      <c r="C161" s="11">
        <v>40911</v>
      </c>
      <c r="D161" s="5">
        <v>11.3</v>
      </c>
      <c r="E161" s="5">
        <v>6.9</v>
      </c>
      <c r="F161" s="5">
        <v>14.2</v>
      </c>
      <c r="G161" s="5">
        <f t="shared" si="14"/>
        <v>1308.5000000000002</v>
      </c>
      <c r="J161" s="5">
        <v>4.3</v>
      </c>
      <c r="K161" s="5">
        <f t="shared" si="15"/>
        <v>193.5</v>
      </c>
      <c r="L161" s="5">
        <v>0.6</v>
      </c>
      <c r="M161" s="5">
        <f t="shared" si="16"/>
        <v>134.39999999999989</v>
      </c>
      <c r="N161" s="5">
        <v>3.6999999999999997</v>
      </c>
      <c r="O161" s="5">
        <f t="shared" si="20"/>
        <v>122.20000000000002</v>
      </c>
      <c r="P161" s="5">
        <v>112</v>
      </c>
      <c r="Q161" s="5">
        <f t="shared" si="19"/>
        <v>0.9419642857142857</v>
      </c>
      <c r="R161" s="9">
        <f t="shared" si="12"/>
        <v>0.56517857142857142</v>
      </c>
      <c r="S161" s="9">
        <f t="shared" si="13"/>
        <v>3.7348214285714283</v>
      </c>
      <c r="T161" s="9">
        <f t="shared" si="17"/>
        <v>146.27508928571427</v>
      </c>
      <c r="V161" s="5">
        <v>100.2</v>
      </c>
      <c r="X161" s="5">
        <f t="shared" si="18"/>
        <v>59028.500000000022</v>
      </c>
      <c r="AA161" s="13">
        <v>8.4522385901356891</v>
      </c>
    </row>
    <row r="162" spans="1:27" s="5" customFormat="1" x14ac:dyDescent="0.25">
      <c r="A162" s="76"/>
      <c r="B162" s="10"/>
      <c r="C162" s="11">
        <v>40912</v>
      </c>
      <c r="D162" s="5">
        <v>9</v>
      </c>
      <c r="E162" s="5">
        <v>6.1</v>
      </c>
      <c r="F162" s="5">
        <v>10.6</v>
      </c>
      <c r="G162" s="5">
        <f t="shared" si="14"/>
        <v>1317.5000000000002</v>
      </c>
      <c r="J162" s="5">
        <v>0</v>
      </c>
      <c r="K162" s="5">
        <f t="shared" si="15"/>
        <v>193.5</v>
      </c>
      <c r="L162" s="5">
        <v>1.2</v>
      </c>
      <c r="M162" s="5">
        <f t="shared" si="16"/>
        <v>135.59999999999988</v>
      </c>
      <c r="N162" s="5">
        <v>-1.2</v>
      </c>
      <c r="O162" s="5">
        <f t="shared" si="20"/>
        <v>121.00000000000001</v>
      </c>
      <c r="P162" s="5">
        <v>113</v>
      </c>
      <c r="Q162" s="5">
        <f t="shared" si="19"/>
        <v>0.94776785714285716</v>
      </c>
      <c r="R162" s="9">
        <f t="shared" si="12"/>
        <v>1.1373214285714286</v>
      </c>
      <c r="S162" s="9">
        <f t="shared" si="13"/>
        <v>-1.1373214285714286</v>
      </c>
      <c r="T162" s="9">
        <f t="shared" si="17"/>
        <v>145.13776785714285</v>
      </c>
      <c r="V162" s="5">
        <v>487.1</v>
      </c>
      <c r="X162" s="5">
        <f t="shared" si="18"/>
        <v>59515.60000000002</v>
      </c>
      <c r="AA162" s="13">
        <v>8.4708231076445308</v>
      </c>
    </row>
    <row r="163" spans="1:27" s="5" customFormat="1" x14ac:dyDescent="0.25">
      <c r="A163" s="76"/>
      <c r="B163" s="10"/>
      <c r="C163" s="11">
        <v>40913</v>
      </c>
      <c r="D163" s="5">
        <v>10.3</v>
      </c>
      <c r="E163" s="5">
        <v>9.8000000000000007</v>
      </c>
      <c r="F163" s="5">
        <v>12</v>
      </c>
      <c r="G163" s="5">
        <f t="shared" si="14"/>
        <v>1327.8000000000002</v>
      </c>
      <c r="J163" s="5">
        <v>0.7</v>
      </c>
      <c r="K163" s="5">
        <f t="shared" si="15"/>
        <v>194.2</v>
      </c>
      <c r="L163" s="5">
        <v>1.3</v>
      </c>
      <c r="M163" s="5">
        <f t="shared" si="16"/>
        <v>136.89999999999989</v>
      </c>
      <c r="N163" s="5">
        <v>-0.60000000000000009</v>
      </c>
      <c r="O163" s="5">
        <f t="shared" si="20"/>
        <v>120.40000000000002</v>
      </c>
      <c r="P163" s="5">
        <v>114</v>
      </c>
      <c r="Q163" s="5">
        <f t="shared" si="19"/>
        <v>0.95357142857142863</v>
      </c>
      <c r="R163" s="9">
        <f t="shared" si="12"/>
        <v>1.2396428571428573</v>
      </c>
      <c r="S163" s="9">
        <f t="shared" si="13"/>
        <v>-0.53964285714285731</v>
      </c>
      <c r="T163" s="9">
        <f t="shared" si="17"/>
        <v>144.59812499999998</v>
      </c>
      <c r="V163" s="5">
        <v>108.8</v>
      </c>
      <c r="X163" s="5">
        <f t="shared" si="18"/>
        <v>59624.400000000023</v>
      </c>
      <c r="AA163" s="13">
        <v>8.4908211407778005</v>
      </c>
    </row>
    <row r="164" spans="1:27" s="5" customFormat="1" x14ac:dyDescent="0.25">
      <c r="A164" s="76"/>
      <c r="B164" s="10"/>
      <c r="C164" s="11">
        <v>40914</v>
      </c>
      <c r="D164" s="5">
        <v>8.5</v>
      </c>
      <c r="E164" s="5">
        <v>6.2</v>
      </c>
      <c r="F164" s="5">
        <v>10.7</v>
      </c>
      <c r="G164" s="5">
        <f t="shared" si="14"/>
        <v>1336.3000000000002</v>
      </c>
      <c r="J164" s="5">
        <v>0</v>
      </c>
      <c r="K164" s="5">
        <f t="shared" si="15"/>
        <v>194.2</v>
      </c>
      <c r="L164" s="5">
        <v>0.9</v>
      </c>
      <c r="M164" s="5">
        <f t="shared" si="16"/>
        <v>137.7999999999999</v>
      </c>
      <c r="N164" s="5">
        <v>-0.9</v>
      </c>
      <c r="O164" s="5">
        <f t="shared" si="20"/>
        <v>119.50000000000001</v>
      </c>
      <c r="P164" s="5">
        <v>115</v>
      </c>
      <c r="Q164" s="5">
        <f t="shared" si="19"/>
        <v>0.95937499999999998</v>
      </c>
      <c r="R164" s="9">
        <f t="shared" si="12"/>
        <v>0.86343749999999997</v>
      </c>
      <c r="S164" s="9">
        <f t="shared" si="13"/>
        <v>-0.86343749999999997</v>
      </c>
      <c r="T164" s="9">
        <f t="shared" si="17"/>
        <v>143.73468749999998</v>
      </c>
      <c r="V164" s="5">
        <v>535.4</v>
      </c>
      <c r="X164" s="5">
        <f t="shared" si="18"/>
        <v>60159.800000000025</v>
      </c>
      <c r="AA164" s="13">
        <v>8.5122112765059796</v>
      </c>
    </row>
    <row r="165" spans="1:27" s="5" customFormat="1" x14ac:dyDescent="0.25">
      <c r="A165" s="76"/>
      <c r="B165" s="10"/>
      <c r="C165" s="11">
        <v>40915</v>
      </c>
      <c r="D165" s="5">
        <v>9.9</v>
      </c>
      <c r="E165" s="5">
        <v>8.6</v>
      </c>
      <c r="F165" s="5">
        <v>11.3</v>
      </c>
      <c r="G165" s="5">
        <f t="shared" si="14"/>
        <v>1346.2000000000003</v>
      </c>
      <c r="J165" s="5">
        <v>0.3</v>
      </c>
      <c r="K165" s="5">
        <f t="shared" si="15"/>
        <v>194.5</v>
      </c>
      <c r="L165" s="5">
        <v>0.5</v>
      </c>
      <c r="M165" s="5">
        <f t="shared" si="16"/>
        <v>138.2999999999999</v>
      </c>
      <c r="N165" s="5">
        <v>-0.2</v>
      </c>
      <c r="O165" s="5">
        <f t="shared" si="20"/>
        <v>119.30000000000001</v>
      </c>
      <c r="P165" s="5">
        <v>116</v>
      </c>
      <c r="Q165" s="5">
        <f t="shared" si="19"/>
        <v>0.96517857142857144</v>
      </c>
      <c r="R165" s="9">
        <f t="shared" si="12"/>
        <v>0.48258928571428572</v>
      </c>
      <c r="S165" s="9">
        <f t="shared" si="13"/>
        <v>-0.18258928571428573</v>
      </c>
      <c r="T165" s="9">
        <f t="shared" si="17"/>
        <v>143.55209821428571</v>
      </c>
      <c r="V165" s="5">
        <v>149</v>
      </c>
      <c r="X165" s="5">
        <f t="shared" si="18"/>
        <v>60308.800000000025</v>
      </c>
      <c r="AA165" s="13">
        <v>8.5349708918221392</v>
      </c>
    </row>
    <row r="166" spans="1:27" s="5" customFormat="1" x14ac:dyDescent="0.25">
      <c r="A166" s="76"/>
      <c r="B166" s="10"/>
      <c r="C166" s="11">
        <v>40916</v>
      </c>
      <c r="D166" s="5">
        <v>9</v>
      </c>
      <c r="E166" s="5">
        <v>8.6</v>
      </c>
      <c r="F166" s="5">
        <v>9.6999999999999993</v>
      </c>
      <c r="G166" s="5">
        <f t="shared" si="14"/>
        <v>1355.2000000000003</v>
      </c>
      <c r="J166" s="5">
        <v>0.2</v>
      </c>
      <c r="K166" s="5">
        <f t="shared" si="15"/>
        <v>194.7</v>
      </c>
      <c r="L166" s="5">
        <v>0.7</v>
      </c>
      <c r="M166" s="5">
        <f t="shared" si="16"/>
        <v>138.99999999999989</v>
      </c>
      <c r="N166" s="5">
        <v>-0.49999999999999994</v>
      </c>
      <c r="O166" s="5">
        <f t="shared" si="20"/>
        <v>118.80000000000001</v>
      </c>
      <c r="P166" s="5">
        <v>117</v>
      </c>
      <c r="Q166" s="5">
        <f t="shared" si="19"/>
        <v>0.9709821428571429</v>
      </c>
      <c r="R166" s="9">
        <f t="shared" si="12"/>
        <v>0.6796875</v>
      </c>
      <c r="S166" s="9">
        <f t="shared" si="13"/>
        <v>-0.47968749999999999</v>
      </c>
      <c r="T166" s="9">
        <f t="shared" si="17"/>
        <v>143.0724107142857</v>
      </c>
      <c r="V166" s="5">
        <v>179.8</v>
      </c>
      <c r="X166" s="5">
        <f t="shared" si="18"/>
        <v>60488.600000000028</v>
      </c>
      <c r="AA166" s="13">
        <v>8.5590762384411292</v>
      </c>
    </row>
    <row r="167" spans="1:27" s="5" customFormat="1" x14ac:dyDescent="0.25">
      <c r="A167" s="76"/>
      <c r="B167" s="10"/>
      <c r="C167" s="11">
        <v>40917</v>
      </c>
      <c r="D167" s="5">
        <v>9.6999999999999993</v>
      </c>
      <c r="E167" s="5">
        <v>8.3000000000000007</v>
      </c>
      <c r="F167" s="5">
        <v>12.9</v>
      </c>
      <c r="G167" s="5">
        <f t="shared" si="14"/>
        <v>1364.9000000000003</v>
      </c>
      <c r="J167" s="5">
        <v>0.4</v>
      </c>
      <c r="K167" s="5">
        <f t="shared" si="15"/>
        <v>195.1</v>
      </c>
      <c r="L167" s="5">
        <v>0.5</v>
      </c>
      <c r="M167" s="5">
        <f t="shared" si="16"/>
        <v>139.49999999999989</v>
      </c>
      <c r="N167" s="5">
        <v>-9.9999999999999978E-2</v>
      </c>
      <c r="O167" s="5">
        <f t="shared" si="20"/>
        <v>118.70000000000002</v>
      </c>
      <c r="P167" s="5">
        <v>118</v>
      </c>
      <c r="Q167" s="5">
        <f t="shared" si="19"/>
        <v>0.97678571428571426</v>
      </c>
      <c r="R167" s="9">
        <f t="shared" si="12"/>
        <v>0.48839285714285713</v>
      </c>
      <c r="S167" s="9">
        <f t="shared" si="13"/>
        <v>-8.8392857142857106E-2</v>
      </c>
      <c r="T167" s="9">
        <f t="shared" si="17"/>
        <v>142.98401785714285</v>
      </c>
      <c r="V167" s="5">
        <v>192</v>
      </c>
      <c r="X167" s="5">
        <f t="shared" si="18"/>
        <v>60680.600000000028</v>
      </c>
      <c r="AA167" s="13">
        <v>8.5845025296519992</v>
      </c>
    </row>
    <row r="168" spans="1:27" s="5" customFormat="1" x14ac:dyDescent="0.25">
      <c r="A168" s="76"/>
      <c r="B168" s="10"/>
      <c r="C168" s="11">
        <v>40918</v>
      </c>
      <c r="D168" s="5">
        <v>8.8000000000000007</v>
      </c>
      <c r="E168" s="5">
        <v>7.6</v>
      </c>
      <c r="F168" s="5">
        <v>10.1</v>
      </c>
      <c r="G168" s="5">
        <f t="shared" si="14"/>
        <v>1373.7000000000003</v>
      </c>
      <c r="J168" s="5">
        <v>0</v>
      </c>
      <c r="K168" s="5">
        <f t="shared" si="15"/>
        <v>195.1</v>
      </c>
      <c r="L168" s="5">
        <v>0.3</v>
      </c>
      <c r="M168" s="5">
        <f t="shared" si="16"/>
        <v>139.7999999999999</v>
      </c>
      <c r="N168" s="5">
        <v>-0.3</v>
      </c>
      <c r="O168" s="5">
        <f t="shared" si="20"/>
        <v>118.40000000000002</v>
      </c>
      <c r="P168" s="5">
        <v>119</v>
      </c>
      <c r="Q168" s="5">
        <f t="shared" si="19"/>
        <v>0.98258928571428572</v>
      </c>
      <c r="R168" s="9">
        <f t="shared" si="12"/>
        <v>0.29477678571428573</v>
      </c>
      <c r="S168" s="9">
        <f t="shared" si="13"/>
        <v>-0.29477678571428573</v>
      </c>
      <c r="T168" s="9">
        <f t="shared" si="17"/>
        <v>142.68924107142857</v>
      </c>
      <c r="V168" s="5">
        <v>138.30000000000001</v>
      </c>
      <c r="X168" s="5">
        <f t="shared" si="18"/>
        <v>60818.900000000031</v>
      </c>
      <c r="AA168" s="13">
        <v>8.61122402871605</v>
      </c>
    </row>
    <row r="169" spans="1:27" s="5" customFormat="1" x14ac:dyDescent="0.25">
      <c r="A169" s="76"/>
      <c r="B169" s="10"/>
      <c r="C169" s="11">
        <v>40919</v>
      </c>
      <c r="D169" s="5">
        <v>8.6</v>
      </c>
      <c r="E169" s="5">
        <v>7.4</v>
      </c>
      <c r="F169" s="5">
        <v>10.4</v>
      </c>
      <c r="G169" s="5">
        <f t="shared" si="14"/>
        <v>1382.3000000000002</v>
      </c>
      <c r="J169" s="5">
        <v>0</v>
      </c>
      <c r="K169" s="5">
        <f t="shared" si="15"/>
        <v>195.1</v>
      </c>
      <c r="L169" s="5">
        <v>0.7</v>
      </c>
      <c r="M169" s="5">
        <f t="shared" si="16"/>
        <v>140.49999999999989</v>
      </c>
      <c r="N169" s="5">
        <v>-0.7</v>
      </c>
      <c r="O169" s="5">
        <f t="shared" si="20"/>
        <v>117.70000000000002</v>
      </c>
      <c r="P169" s="5">
        <v>120</v>
      </c>
      <c r="Q169" s="5">
        <f t="shared" si="19"/>
        <v>0.98839285714285707</v>
      </c>
      <c r="R169" s="9">
        <f t="shared" si="12"/>
        <v>0.69187499999999991</v>
      </c>
      <c r="S169" s="9">
        <f t="shared" si="13"/>
        <v>-0.69187499999999991</v>
      </c>
      <c r="T169" s="9">
        <f t="shared" si="17"/>
        <v>141.99736607142856</v>
      </c>
      <c r="V169" s="5">
        <v>186.7</v>
      </c>
      <c r="X169" s="5">
        <f t="shared" si="18"/>
        <v>61005.600000000028</v>
      </c>
      <c r="AA169" s="13">
        <v>8.6392141382164898</v>
      </c>
    </row>
    <row r="170" spans="1:27" s="5" customFormat="1" x14ac:dyDescent="0.25">
      <c r="A170" s="76"/>
      <c r="B170" s="10"/>
      <c r="C170" s="11">
        <v>40920</v>
      </c>
      <c r="D170" s="5">
        <v>8.3000000000000007</v>
      </c>
      <c r="E170" s="5">
        <v>5.0999999999999996</v>
      </c>
      <c r="F170" s="5">
        <v>11.7</v>
      </c>
      <c r="G170" s="5">
        <f t="shared" si="14"/>
        <v>1390.6000000000001</v>
      </c>
      <c r="J170" s="5">
        <v>0.8</v>
      </c>
      <c r="K170" s="5">
        <f t="shared" si="15"/>
        <v>195.9</v>
      </c>
      <c r="L170" s="5">
        <v>1</v>
      </c>
      <c r="M170" s="5">
        <f t="shared" si="16"/>
        <v>141.49999999999989</v>
      </c>
      <c r="N170" s="5">
        <v>-0.19999999999999996</v>
      </c>
      <c r="O170" s="5">
        <f t="shared" si="20"/>
        <v>117.50000000000001</v>
      </c>
      <c r="P170" s="5">
        <v>121</v>
      </c>
      <c r="Q170" s="5">
        <f t="shared" si="19"/>
        <v>0.99419642857142854</v>
      </c>
      <c r="R170" s="9">
        <f t="shared" si="12"/>
        <v>0.99419642857142854</v>
      </c>
      <c r="S170" s="9">
        <f t="shared" si="13"/>
        <v>-0.19419642857142849</v>
      </c>
      <c r="T170" s="9">
        <f t="shared" si="17"/>
        <v>141.80316964285714</v>
      </c>
      <c r="V170" s="5">
        <v>598.20000000000005</v>
      </c>
      <c r="X170" s="5">
        <f t="shared" si="18"/>
        <v>61603.800000000025</v>
      </c>
      <c r="AA170" s="13">
        <v>8.6684454897849594</v>
      </c>
    </row>
    <row r="171" spans="1:27" s="55" customFormat="1" ht="15.75" thickBot="1" x14ac:dyDescent="0.3">
      <c r="A171" s="76"/>
      <c r="B171" s="53"/>
      <c r="C171" s="71">
        <v>40921</v>
      </c>
      <c r="D171" s="55">
        <v>7.4</v>
      </c>
      <c r="E171" s="55">
        <v>5.4</v>
      </c>
      <c r="F171" s="55">
        <v>10</v>
      </c>
      <c r="G171" s="55">
        <f t="shared" si="14"/>
        <v>1398.0000000000002</v>
      </c>
      <c r="J171" s="55">
        <v>0.1</v>
      </c>
      <c r="K171" s="55">
        <f t="shared" si="15"/>
        <v>196</v>
      </c>
      <c r="L171" s="55">
        <v>0.5</v>
      </c>
      <c r="M171" s="55">
        <f t="shared" si="16"/>
        <v>141.99999999999989</v>
      </c>
      <c r="N171" s="55">
        <v>-0.4</v>
      </c>
      <c r="O171" s="55">
        <f t="shared" si="20"/>
        <v>117.10000000000001</v>
      </c>
      <c r="P171" s="55">
        <v>122</v>
      </c>
      <c r="Q171" s="55">
        <f t="shared" si="19"/>
        <v>1</v>
      </c>
      <c r="R171" s="56">
        <f t="shared" si="12"/>
        <v>0.5</v>
      </c>
      <c r="S171" s="56">
        <f t="shared" si="13"/>
        <v>-0.4</v>
      </c>
      <c r="T171" s="56">
        <f t="shared" si="17"/>
        <v>141.40316964285714</v>
      </c>
      <c r="V171" s="55">
        <v>357.1</v>
      </c>
      <c r="W171" s="55">
        <f>(X171/100)/I63</f>
        <v>0.44321101573676702</v>
      </c>
      <c r="X171" s="55">
        <f t="shared" si="18"/>
        <v>61960.900000000023</v>
      </c>
      <c r="AA171" s="72">
        <v>8.6988900336550294</v>
      </c>
    </row>
    <row r="172" spans="1:27" s="5" customFormat="1" x14ac:dyDescent="0.25">
      <c r="A172" s="77" t="s">
        <v>44</v>
      </c>
      <c r="B172" s="14">
        <v>5</v>
      </c>
      <c r="C172" s="18">
        <v>40922</v>
      </c>
      <c r="D172" s="5">
        <v>1.8</v>
      </c>
      <c r="E172" s="5">
        <v>-0.8</v>
      </c>
      <c r="F172" s="5">
        <v>6.9</v>
      </c>
      <c r="G172" s="5">
        <f t="shared" si="14"/>
        <v>1399.8000000000002</v>
      </c>
      <c r="H172" s="5">
        <f>D172</f>
        <v>1.8</v>
      </c>
      <c r="I172" s="19" t="s">
        <v>28</v>
      </c>
      <c r="J172" s="5">
        <v>0.1</v>
      </c>
      <c r="K172" s="5">
        <f t="shared" si="15"/>
        <v>196.1</v>
      </c>
      <c r="L172" s="5">
        <v>0.9</v>
      </c>
      <c r="M172" s="5">
        <f t="shared" si="16"/>
        <v>142.89999999999989</v>
      </c>
      <c r="N172" s="5">
        <v>-0.8</v>
      </c>
      <c r="O172" s="5">
        <f t="shared" si="20"/>
        <v>116.30000000000001</v>
      </c>
      <c r="P172" s="5">
        <v>123</v>
      </c>
      <c r="Q172" s="5">
        <v>1</v>
      </c>
      <c r="R172" s="9">
        <f t="shared" si="12"/>
        <v>0.9</v>
      </c>
      <c r="S172" s="9">
        <f t="shared" si="13"/>
        <v>-0.8</v>
      </c>
      <c r="T172" s="9">
        <f t="shared" si="17"/>
        <v>140.60316964285713</v>
      </c>
      <c r="U172" s="19" t="s">
        <v>29</v>
      </c>
      <c r="V172" s="5">
        <v>691.5</v>
      </c>
      <c r="X172" s="5">
        <f t="shared" si="18"/>
        <v>62652.400000000023</v>
      </c>
      <c r="Y172" s="5">
        <f>V172</f>
        <v>691.5</v>
      </c>
      <c r="Z172" s="19" t="s">
        <v>30</v>
      </c>
      <c r="AA172" s="13">
        <v>8.7305191275220508</v>
      </c>
    </row>
    <row r="173" spans="1:27" s="5" customFormat="1" x14ac:dyDescent="0.25">
      <c r="A173" s="77"/>
      <c r="B173" s="14">
        <v>6</v>
      </c>
      <c r="C173" s="18">
        <v>40923</v>
      </c>
      <c r="D173" s="5">
        <v>0.2</v>
      </c>
      <c r="E173" s="5">
        <v>-0.9</v>
      </c>
      <c r="F173" s="5">
        <v>3.5</v>
      </c>
      <c r="G173" s="5">
        <f t="shared" si="14"/>
        <v>1400.0000000000002</v>
      </c>
      <c r="H173" s="5">
        <f>H172+D173</f>
        <v>2</v>
      </c>
      <c r="I173" s="5">
        <f>MIN(E172:E211)</f>
        <v>-7.9</v>
      </c>
      <c r="J173" s="5">
        <v>0</v>
      </c>
      <c r="K173" s="5">
        <f t="shared" si="15"/>
        <v>196.1</v>
      </c>
      <c r="L173" s="5">
        <v>0.7</v>
      </c>
      <c r="M173" s="5">
        <f t="shared" si="16"/>
        <v>143.59999999999988</v>
      </c>
      <c r="N173" s="5">
        <v>-0.7</v>
      </c>
      <c r="O173" s="5">
        <f t="shared" si="20"/>
        <v>115.60000000000001</v>
      </c>
      <c r="P173" s="5">
        <v>124</v>
      </c>
      <c r="Q173" s="5">
        <v>1</v>
      </c>
      <c r="R173" s="9">
        <f t="shared" si="12"/>
        <v>0.7</v>
      </c>
      <c r="S173" s="9">
        <f t="shared" si="13"/>
        <v>-0.7</v>
      </c>
      <c r="T173" s="9">
        <f t="shared" si="17"/>
        <v>139.90316964285714</v>
      </c>
      <c r="U173" s="5">
        <v>31</v>
      </c>
      <c r="V173" s="5">
        <v>745.7</v>
      </c>
      <c r="X173" s="5">
        <f t="shared" si="18"/>
        <v>63398.10000000002</v>
      </c>
      <c r="Y173" s="5">
        <f>Y172+V173</f>
        <v>1437.2</v>
      </c>
      <c r="Z173" s="5">
        <v>21928.199999999997</v>
      </c>
      <c r="AA173" s="13">
        <v>8.7633036242218001</v>
      </c>
    </row>
    <row r="174" spans="1:27" s="5" customFormat="1" x14ac:dyDescent="0.25">
      <c r="A174" s="77"/>
      <c r="B174" s="14">
        <v>7</v>
      </c>
      <c r="C174" s="18">
        <v>40924</v>
      </c>
      <c r="D174" s="5">
        <v>0.1</v>
      </c>
      <c r="E174" s="5">
        <v>-2.7</v>
      </c>
      <c r="F174" s="5">
        <v>5</v>
      </c>
      <c r="G174" s="5">
        <f t="shared" si="14"/>
        <v>1400.1000000000001</v>
      </c>
      <c r="H174" s="5">
        <f t="shared" ref="H174:H237" si="21">H173+D174</f>
        <v>2.1</v>
      </c>
      <c r="I174" s="19" t="s">
        <v>31</v>
      </c>
      <c r="J174" s="5">
        <v>0</v>
      </c>
      <c r="K174" s="5">
        <f t="shared" si="15"/>
        <v>196.1</v>
      </c>
      <c r="L174" s="5">
        <v>0.7</v>
      </c>
      <c r="M174" s="5">
        <f t="shared" si="16"/>
        <v>144.29999999999987</v>
      </c>
      <c r="N174" s="5">
        <v>-0.7</v>
      </c>
      <c r="O174" s="5">
        <f t="shared" si="20"/>
        <v>114.9</v>
      </c>
      <c r="P174" s="5">
        <v>125</v>
      </c>
      <c r="Q174" s="5">
        <v>1</v>
      </c>
      <c r="R174" s="9">
        <f t="shared" si="12"/>
        <v>0.7</v>
      </c>
      <c r="S174" s="9">
        <f t="shared" si="13"/>
        <v>-0.7</v>
      </c>
      <c r="T174" s="9">
        <f t="shared" si="17"/>
        <v>139.20316964285715</v>
      </c>
      <c r="U174" s="19" t="s">
        <v>32</v>
      </c>
      <c r="V174" s="5">
        <v>753.9</v>
      </c>
      <c r="X174" s="5">
        <f t="shared" si="18"/>
        <v>64152.000000000022</v>
      </c>
      <c r="Y174" s="5">
        <f t="shared" ref="Y174:Y237" si="22">Y173+V174</f>
        <v>2191.1</v>
      </c>
      <c r="Z174" s="19" t="s">
        <v>33</v>
      </c>
      <c r="AA174" s="13">
        <v>8.7972139577765898</v>
      </c>
    </row>
    <row r="175" spans="1:27" s="5" customFormat="1" x14ac:dyDescent="0.25">
      <c r="A175" s="77"/>
      <c r="B175" s="14">
        <v>8</v>
      </c>
      <c r="C175" s="18">
        <v>40925</v>
      </c>
      <c r="D175" s="5">
        <v>-1.2</v>
      </c>
      <c r="E175" s="5">
        <v>-4.7</v>
      </c>
      <c r="F175" s="5">
        <v>1.4</v>
      </c>
      <c r="G175" s="5">
        <v>1400.1</v>
      </c>
      <c r="H175" s="5">
        <v>2.1</v>
      </c>
      <c r="I175" s="5">
        <f>MAX(F172:F211)</f>
        <v>14</v>
      </c>
      <c r="J175" s="5">
        <v>0.1</v>
      </c>
      <c r="K175" s="5">
        <f t="shared" si="15"/>
        <v>196.2</v>
      </c>
      <c r="L175" s="5">
        <v>0.3</v>
      </c>
      <c r="M175" s="5">
        <f t="shared" si="16"/>
        <v>144.59999999999988</v>
      </c>
      <c r="N175" s="5">
        <v>-0.19999999999999998</v>
      </c>
      <c r="O175" s="5">
        <f t="shared" si="20"/>
        <v>114.7</v>
      </c>
      <c r="P175" s="5">
        <v>126</v>
      </c>
      <c r="Q175" s="5">
        <v>1</v>
      </c>
      <c r="R175" s="9">
        <f t="shared" si="12"/>
        <v>0.3</v>
      </c>
      <c r="S175" s="9">
        <f t="shared" si="13"/>
        <v>-0.19999999999999998</v>
      </c>
      <c r="T175" s="9">
        <f t="shared" si="17"/>
        <v>139.00316964285716</v>
      </c>
      <c r="U175" s="5">
        <v>0</v>
      </c>
      <c r="V175" s="5">
        <v>233.8</v>
      </c>
      <c r="X175" s="5">
        <f t="shared" si="18"/>
        <v>64385.800000000025</v>
      </c>
      <c r="Y175" s="5">
        <f t="shared" si="22"/>
        <v>2424.9</v>
      </c>
      <c r="Z175" s="5">
        <f>(Z173/100)/I185</f>
        <v>1.3931512071156289</v>
      </c>
      <c r="AA175" s="13">
        <v>8.8322202273963804</v>
      </c>
    </row>
    <row r="176" spans="1:27" s="5" customFormat="1" x14ac:dyDescent="0.25">
      <c r="A176" s="77"/>
      <c r="B176" s="10"/>
      <c r="C176" s="18">
        <v>40926</v>
      </c>
      <c r="D176" s="5">
        <v>5.7</v>
      </c>
      <c r="E176" s="5">
        <v>-0.7</v>
      </c>
      <c r="F176" s="5">
        <v>11.6</v>
      </c>
      <c r="G176" s="5">
        <f t="shared" si="14"/>
        <v>1405.8</v>
      </c>
      <c r="H176" s="5">
        <f t="shared" si="21"/>
        <v>7.8000000000000007</v>
      </c>
      <c r="I176" s="19" t="s">
        <v>34</v>
      </c>
      <c r="J176" s="5">
        <v>0.7</v>
      </c>
      <c r="K176" s="5">
        <f t="shared" si="15"/>
        <v>196.89999999999998</v>
      </c>
      <c r="L176" s="5">
        <v>0.3</v>
      </c>
      <c r="M176" s="5">
        <f t="shared" si="16"/>
        <v>144.89999999999989</v>
      </c>
      <c r="N176" s="5">
        <v>0.39999999999999997</v>
      </c>
      <c r="O176" s="5">
        <f t="shared" si="20"/>
        <v>115.10000000000001</v>
      </c>
      <c r="P176" s="5">
        <v>127</v>
      </c>
      <c r="Q176" s="5">
        <v>1</v>
      </c>
      <c r="R176" s="9">
        <f t="shared" si="12"/>
        <v>0.3</v>
      </c>
      <c r="S176" s="9">
        <f t="shared" si="13"/>
        <v>0.39999999999999997</v>
      </c>
      <c r="T176" s="9">
        <f t="shared" si="17"/>
        <v>139.40316964285716</v>
      </c>
      <c r="U176" s="19" t="s">
        <v>35</v>
      </c>
      <c r="V176" s="5">
        <v>152.30000000000001</v>
      </c>
      <c r="X176" s="5">
        <f t="shared" si="18"/>
        <v>64538.100000000028</v>
      </c>
      <c r="Y176" s="5">
        <f t="shared" si="22"/>
        <v>2577.2000000000003</v>
      </c>
      <c r="Z176" s="19" t="s">
        <v>36</v>
      </c>
      <c r="AA176" s="13">
        <v>8.8682922790623309</v>
      </c>
    </row>
    <row r="177" spans="1:27" s="5" customFormat="1" x14ac:dyDescent="0.25">
      <c r="A177" s="77"/>
      <c r="B177" s="10"/>
      <c r="C177" s="18">
        <v>40927</v>
      </c>
      <c r="D177" s="5">
        <v>11.6</v>
      </c>
      <c r="E177" s="5">
        <v>10.1</v>
      </c>
      <c r="F177" s="5">
        <v>14</v>
      </c>
      <c r="G177" s="5">
        <f t="shared" si="14"/>
        <v>1417.3999999999999</v>
      </c>
      <c r="H177" s="5">
        <f t="shared" si="21"/>
        <v>19.399999999999999</v>
      </c>
      <c r="I177" s="5">
        <f>AVERAGE(D172:D211)</f>
        <v>3.4550000000000005</v>
      </c>
      <c r="J177" s="5">
        <v>0.7</v>
      </c>
      <c r="K177" s="5">
        <f t="shared" si="15"/>
        <v>197.59999999999997</v>
      </c>
      <c r="L177" s="5">
        <v>0.8</v>
      </c>
      <c r="M177" s="5">
        <f t="shared" si="16"/>
        <v>145.6999999999999</v>
      </c>
      <c r="N177" s="5">
        <v>-0.10000000000000009</v>
      </c>
      <c r="O177" s="5">
        <f t="shared" si="20"/>
        <v>115.00000000000001</v>
      </c>
      <c r="P177" s="5">
        <v>128</v>
      </c>
      <c r="Q177" s="5">
        <v>1</v>
      </c>
      <c r="R177" s="9">
        <f t="shared" si="12"/>
        <v>0.8</v>
      </c>
      <c r="S177" s="9">
        <f t="shared" si="13"/>
        <v>-0.10000000000000009</v>
      </c>
      <c r="T177" s="9">
        <f t="shared" si="17"/>
        <v>139.30316964285717</v>
      </c>
      <c r="U177" s="5">
        <v>0</v>
      </c>
      <c r="V177" s="5">
        <v>136.5</v>
      </c>
      <c r="X177" s="5">
        <f t="shared" si="18"/>
        <v>64674.600000000028</v>
      </c>
      <c r="Y177" s="5">
        <f t="shared" si="22"/>
        <v>2713.7000000000003</v>
      </c>
      <c r="Z177" s="5">
        <v>31</v>
      </c>
      <c r="AA177" s="13">
        <v>8.9053997843622401</v>
      </c>
    </row>
    <row r="178" spans="1:27" s="5" customFormat="1" x14ac:dyDescent="0.25">
      <c r="A178" s="77"/>
      <c r="B178" s="10"/>
      <c r="C178" s="18">
        <v>40928</v>
      </c>
      <c r="D178" s="5">
        <v>9</v>
      </c>
      <c r="E178" s="5">
        <v>8</v>
      </c>
      <c r="F178" s="5">
        <v>11.7</v>
      </c>
      <c r="G178" s="5">
        <f t="shared" si="14"/>
        <v>1426.3999999999999</v>
      </c>
      <c r="H178" s="5">
        <f t="shared" si="21"/>
        <v>28.4</v>
      </c>
      <c r="I178" s="19" t="s">
        <v>37</v>
      </c>
      <c r="J178" s="5">
        <v>0</v>
      </c>
      <c r="K178" s="5">
        <f t="shared" si="15"/>
        <v>197.59999999999997</v>
      </c>
      <c r="L178" s="5">
        <v>0.9</v>
      </c>
      <c r="M178" s="5">
        <f t="shared" si="16"/>
        <v>146.59999999999991</v>
      </c>
      <c r="N178" s="5">
        <v>-0.9</v>
      </c>
      <c r="O178" s="5">
        <f t="shared" si="20"/>
        <v>114.10000000000001</v>
      </c>
      <c r="P178" s="5">
        <v>129</v>
      </c>
      <c r="Q178" s="5">
        <v>1</v>
      </c>
      <c r="R178" s="9">
        <f t="shared" ref="R178:R241" si="23">Q178*L178</f>
        <v>0.9</v>
      </c>
      <c r="S178" s="9">
        <f t="shared" ref="S178:S241" si="24">J178-R178</f>
        <v>-0.9</v>
      </c>
      <c r="T178" s="9">
        <f t="shared" si="17"/>
        <v>138.40316964285716</v>
      </c>
      <c r="U178" s="19" t="s">
        <v>38</v>
      </c>
      <c r="V178" s="5">
        <v>208.9</v>
      </c>
      <c r="X178" s="5">
        <f t="shared" si="18"/>
        <v>64883.500000000029</v>
      </c>
      <c r="Y178" s="5">
        <f t="shared" si="22"/>
        <v>2922.6000000000004</v>
      </c>
      <c r="AA178" s="13">
        <v>8.9435123162883503</v>
      </c>
    </row>
    <row r="179" spans="1:27" s="5" customFormat="1" x14ac:dyDescent="0.25">
      <c r="A179" s="77"/>
      <c r="B179" s="10"/>
      <c r="C179" s="18">
        <v>40929</v>
      </c>
      <c r="D179" s="5">
        <v>11.7</v>
      </c>
      <c r="E179" s="5">
        <v>8.9</v>
      </c>
      <c r="F179" s="5">
        <v>13.5</v>
      </c>
      <c r="G179" s="5">
        <f t="shared" si="14"/>
        <v>1438.1</v>
      </c>
      <c r="H179" s="5">
        <f t="shared" si="21"/>
        <v>40.099999999999994</v>
      </c>
      <c r="I179" s="5">
        <v>24</v>
      </c>
      <c r="J179" s="5">
        <v>0</v>
      </c>
      <c r="K179" s="5">
        <f t="shared" si="15"/>
        <v>197.59999999999997</v>
      </c>
      <c r="L179" s="5">
        <v>0.4</v>
      </c>
      <c r="M179" s="5">
        <f t="shared" si="16"/>
        <v>146.99999999999991</v>
      </c>
      <c r="N179" s="5">
        <v>-0.4</v>
      </c>
      <c r="O179" s="5">
        <f t="shared" si="20"/>
        <v>113.7</v>
      </c>
      <c r="P179" s="5">
        <v>130</v>
      </c>
      <c r="Q179" s="5">
        <v>1</v>
      </c>
      <c r="R179" s="9">
        <f t="shared" si="23"/>
        <v>0.4</v>
      </c>
      <c r="S179" s="9">
        <f t="shared" si="24"/>
        <v>-0.4</v>
      </c>
      <c r="T179" s="9">
        <f t="shared" si="17"/>
        <v>138.00316964285716</v>
      </c>
      <c r="U179" s="9">
        <f>MIN(T172:T211)</f>
        <v>136.40316964285716</v>
      </c>
      <c r="V179" s="5">
        <v>176.1</v>
      </c>
      <c r="X179" s="5">
        <f t="shared" si="18"/>
        <v>65059.600000000028</v>
      </c>
      <c r="Y179" s="5">
        <f t="shared" si="22"/>
        <v>3098.7000000000003</v>
      </c>
      <c r="AA179" s="13">
        <v>8.9825994217501801</v>
      </c>
    </row>
    <row r="180" spans="1:27" s="5" customFormat="1" x14ac:dyDescent="0.25">
      <c r="A180" s="77"/>
      <c r="B180" s="10"/>
      <c r="C180" s="18">
        <v>40930</v>
      </c>
      <c r="D180" s="5">
        <v>10.1</v>
      </c>
      <c r="E180" s="5">
        <v>9.3000000000000007</v>
      </c>
      <c r="F180" s="5">
        <v>10.8</v>
      </c>
      <c r="G180" s="5">
        <f t="shared" ref="G180:G243" si="25">G179+D180</f>
        <v>1448.1999999999998</v>
      </c>
      <c r="H180" s="5">
        <f t="shared" si="21"/>
        <v>50.199999999999996</v>
      </c>
      <c r="I180" s="19" t="s">
        <v>39</v>
      </c>
      <c r="J180" s="5">
        <v>0</v>
      </c>
      <c r="K180" s="5">
        <f t="shared" ref="K180:K243" si="26">K179+J180</f>
        <v>197.59999999999997</v>
      </c>
      <c r="L180" s="5">
        <v>0.6</v>
      </c>
      <c r="M180" s="5">
        <f t="shared" ref="M180:M243" si="27">M179+L180</f>
        <v>147.59999999999991</v>
      </c>
      <c r="N180" s="5">
        <v>-0.6</v>
      </c>
      <c r="O180" s="5">
        <f t="shared" si="20"/>
        <v>113.10000000000001</v>
      </c>
      <c r="P180" s="5">
        <v>131</v>
      </c>
      <c r="Q180" s="5">
        <v>1</v>
      </c>
      <c r="R180" s="9">
        <f t="shared" si="23"/>
        <v>0.6</v>
      </c>
      <c r="S180" s="9">
        <f t="shared" si="24"/>
        <v>-0.6</v>
      </c>
      <c r="T180" s="9">
        <f t="shared" ref="T180:T243" si="28">MIN(197.4,(T179+S180))</f>
        <v>137.40316964285716</v>
      </c>
      <c r="U180" s="19" t="s">
        <v>40</v>
      </c>
      <c r="V180" s="5">
        <v>182.8</v>
      </c>
      <c r="X180" s="5">
        <f t="shared" ref="X180:X243" si="29">X179+V180</f>
        <v>65242.400000000031</v>
      </c>
      <c r="Y180" s="5">
        <f t="shared" si="22"/>
        <v>3281.5000000000005</v>
      </c>
      <c r="AA180" s="5">
        <v>9.02263069059555</v>
      </c>
    </row>
    <row r="181" spans="1:27" s="5" customFormat="1" x14ac:dyDescent="0.25">
      <c r="A181" s="77"/>
      <c r="B181" s="10"/>
      <c r="C181" s="18">
        <v>40931</v>
      </c>
      <c r="D181" s="5">
        <v>8.6999999999999993</v>
      </c>
      <c r="E181" s="5">
        <v>7.5</v>
      </c>
      <c r="F181" s="5">
        <v>10.7</v>
      </c>
      <c r="G181" s="5">
        <f t="shared" si="25"/>
        <v>1456.8999999999999</v>
      </c>
      <c r="H181" s="5">
        <f t="shared" si="21"/>
        <v>58.899999999999991</v>
      </c>
      <c r="I181" s="5">
        <v>0</v>
      </c>
      <c r="J181" s="5">
        <v>0.1</v>
      </c>
      <c r="K181" s="5">
        <f t="shared" si="26"/>
        <v>197.69999999999996</v>
      </c>
      <c r="L181" s="5">
        <v>0.6</v>
      </c>
      <c r="M181" s="5">
        <f t="shared" si="27"/>
        <v>148.1999999999999</v>
      </c>
      <c r="N181" s="5">
        <v>-0.5</v>
      </c>
      <c r="O181" s="5">
        <f t="shared" si="20"/>
        <v>112.60000000000001</v>
      </c>
      <c r="P181" s="5">
        <v>132</v>
      </c>
      <c r="Q181" s="5">
        <v>1</v>
      </c>
      <c r="R181" s="9">
        <f t="shared" si="23"/>
        <v>0.6</v>
      </c>
      <c r="S181" s="9">
        <f t="shared" si="24"/>
        <v>-0.5</v>
      </c>
      <c r="T181" s="9">
        <f t="shared" si="28"/>
        <v>136.90316964285716</v>
      </c>
      <c r="U181" s="9">
        <f>MAX(T172:T211)</f>
        <v>150.70316964285715</v>
      </c>
      <c r="V181" s="5">
        <v>199</v>
      </c>
      <c r="X181" s="5">
        <f t="shared" si="29"/>
        <v>65441.400000000031</v>
      </c>
      <c r="Y181" s="5">
        <f t="shared" si="22"/>
        <v>3480.5000000000005</v>
      </c>
      <c r="AA181" s="5">
        <v>9.0635758209727104</v>
      </c>
    </row>
    <row r="182" spans="1:27" s="5" customFormat="1" x14ac:dyDescent="0.25">
      <c r="A182" s="77"/>
      <c r="B182" s="10"/>
      <c r="C182" s="18">
        <v>40932</v>
      </c>
      <c r="D182" s="5">
        <v>9.6999999999999993</v>
      </c>
      <c r="E182" s="5">
        <v>6.8</v>
      </c>
      <c r="F182" s="5">
        <v>13</v>
      </c>
      <c r="G182" s="5">
        <f t="shared" si="25"/>
        <v>1466.6</v>
      </c>
      <c r="H182" s="5">
        <f t="shared" si="21"/>
        <v>68.599999999999994</v>
      </c>
      <c r="I182" s="19" t="s">
        <v>41</v>
      </c>
      <c r="J182" s="5">
        <v>0</v>
      </c>
      <c r="K182" s="5">
        <f t="shared" si="26"/>
        <v>197.69999999999996</v>
      </c>
      <c r="L182" s="5">
        <v>0.5</v>
      </c>
      <c r="M182" s="5">
        <f t="shared" si="27"/>
        <v>148.6999999999999</v>
      </c>
      <c r="N182" s="5">
        <v>-0.5</v>
      </c>
      <c r="O182" s="5">
        <f t="shared" si="20"/>
        <v>112.10000000000001</v>
      </c>
      <c r="P182" s="5">
        <v>133</v>
      </c>
      <c r="Q182" s="5">
        <v>1</v>
      </c>
      <c r="R182" s="9">
        <f t="shared" si="23"/>
        <v>0.5</v>
      </c>
      <c r="S182" s="9">
        <f t="shared" si="24"/>
        <v>-0.5</v>
      </c>
      <c r="T182" s="9">
        <f t="shared" si="28"/>
        <v>136.40316964285716</v>
      </c>
      <c r="U182" s="19" t="s">
        <v>42</v>
      </c>
      <c r="V182" s="5">
        <v>233.4</v>
      </c>
      <c r="X182" s="5">
        <f t="shared" si="29"/>
        <v>65674.800000000032</v>
      </c>
      <c r="Y182" s="5">
        <f t="shared" si="22"/>
        <v>3713.9000000000005</v>
      </c>
      <c r="AA182" s="5">
        <v>9.1054046809047993</v>
      </c>
    </row>
    <row r="183" spans="1:27" s="5" customFormat="1" x14ac:dyDescent="0.25">
      <c r="A183" s="77"/>
      <c r="B183" s="10"/>
      <c r="C183" s="18">
        <v>40933</v>
      </c>
      <c r="D183" s="5">
        <v>9.1999999999999993</v>
      </c>
      <c r="E183" s="5">
        <v>9</v>
      </c>
      <c r="F183" s="5">
        <v>9.5</v>
      </c>
      <c r="G183" s="5">
        <f t="shared" si="25"/>
        <v>1475.8</v>
      </c>
      <c r="H183" s="5">
        <f t="shared" si="21"/>
        <v>77.8</v>
      </c>
      <c r="I183" s="5">
        <v>6</v>
      </c>
      <c r="J183" s="5">
        <v>1.9</v>
      </c>
      <c r="K183" s="5">
        <f t="shared" si="26"/>
        <v>199.59999999999997</v>
      </c>
      <c r="L183" s="5">
        <v>0.3</v>
      </c>
      <c r="M183" s="5">
        <f t="shared" si="27"/>
        <v>148.99999999999991</v>
      </c>
      <c r="N183" s="5">
        <v>1.5999999999999999</v>
      </c>
      <c r="O183" s="5">
        <f t="shared" si="20"/>
        <v>113.7</v>
      </c>
      <c r="P183" s="5">
        <v>134</v>
      </c>
      <c r="Q183" s="5">
        <v>1</v>
      </c>
      <c r="R183" s="9">
        <f t="shared" si="23"/>
        <v>0.3</v>
      </c>
      <c r="S183" s="9">
        <f t="shared" si="24"/>
        <v>1.5999999999999999</v>
      </c>
      <c r="T183" s="9">
        <f t="shared" si="28"/>
        <v>138.00316964285716</v>
      </c>
      <c r="U183" s="24">
        <f>AVERAGE(T172:T211)</f>
        <v>142.08066964285715</v>
      </c>
      <c r="V183" s="5">
        <v>147.5</v>
      </c>
      <c r="X183" s="5">
        <f t="shared" si="29"/>
        <v>65822.300000000032</v>
      </c>
      <c r="Y183" s="5">
        <f t="shared" si="22"/>
        <v>3861.4000000000005</v>
      </c>
      <c r="AA183" s="5">
        <v>9.1480873659837592</v>
      </c>
    </row>
    <row r="184" spans="1:27" s="5" customFormat="1" x14ac:dyDescent="0.25">
      <c r="A184" s="77"/>
      <c r="B184" s="10"/>
      <c r="C184" s="18">
        <v>40934</v>
      </c>
      <c r="D184" s="5">
        <v>7.1</v>
      </c>
      <c r="E184" s="5">
        <v>6.2</v>
      </c>
      <c r="F184" s="5">
        <v>9.4</v>
      </c>
      <c r="G184" s="5">
        <f t="shared" si="25"/>
        <v>1482.8999999999999</v>
      </c>
      <c r="H184" s="5">
        <f t="shared" si="21"/>
        <v>84.899999999999991</v>
      </c>
      <c r="I184" s="19" t="s">
        <v>43</v>
      </c>
      <c r="J184" s="5">
        <v>0.8</v>
      </c>
      <c r="K184" s="5">
        <f t="shared" si="26"/>
        <v>200.39999999999998</v>
      </c>
      <c r="L184" s="5">
        <v>1.2</v>
      </c>
      <c r="M184" s="5">
        <f t="shared" si="27"/>
        <v>150.1999999999999</v>
      </c>
      <c r="N184" s="5">
        <v>-0.39999999999999991</v>
      </c>
      <c r="O184" s="5">
        <f t="shared" si="20"/>
        <v>113.3</v>
      </c>
      <c r="P184" s="5">
        <v>135</v>
      </c>
      <c r="Q184" s="5">
        <v>1</v>
      </c>
      <c r="R184" s="9">
        <f t="shared" si="23"/>
        <v>1.2</v>
      </c>
      <c r="S184" s="9">
        <f t="shared" si="24"/>
        <v>-0.39999999999999991</v>
      </c>
      <c r="T184" s="9">
        <f t="shared" si="28"/>
        <v>137.60316964285715</v>
      </c>
      <c r="U184" s="19" t="s">
        <v>45</v>
      </c>
      <c r="V184" s="5">
        <v>693.5</v>
      </c>
      <c r="X184" s="5">
        <f t="shared" si="29"/>
        <v>66515.800000000032</v>
      </c>
      <c r="Y184" s="5">
        <f t="shared" si="22"/>
        <v>4554.9000000000005</v>
      </c>
      <c r="AA184" s="5">
        <v>9.1915942531253005</v>
      </c>
    </row>
    <row r="185" spans="1:27" s="5" customFormat="1" x14ac:dyDescent="0.25">
      <c r="A185" s="77"/>
      <c r="B185" s="10"/>
      <c r="C185" s="18">
        <v>40935</v>
      </c>
      <c r="D185" s="5">
        <v>4.0999999999999996</v>
      </c>
      <c r="E185" s="5">
        <v>-1</v>
      </c>
      <c r="F185" s="5">
        <v>10.7</v>
      </c>
      <c r="G185" s="5">
        <f t="shared" si="25"/>
        <v>1486.9999999999998</v>
      </c>
      <c r="H185" s="5">
        <f t="shared" si="21"/>
        <v>88.999999999999986</v>
      </c>
      <c r="I185" s="5">
        <v>157.4</v>
      </c>
      <c r="J185" s="5">
        <v>5.4</v>
      </c>
      <c r="K185" s="5">
        <f t="shared" si="26"/>
        <v>205.79999999999998</v>
      </c>
      <c r="L185" s="5">
        <v>1.2</v>
      </c>
      <c r="M185" s="5">
        <f t="shared" si="27"/>
        <v>151.39999999999989</v>
      </c>
      <c r="N185" s="5">
        <v>4.2</v>
      </c>
      <c r="O185" s="5">
        <f t="shared" si="20"/>
        <v>117.5</v>
      </c>
      <c r="P185" s="5">
        <v>136</v>
      </c>
      <c r="Q185" s="5">
        <v>1</v>
      </c>
      <c r="R185" s="9">
        <f t="shared" si="23"/>
        <v>1.2</v>
      </c>
      <c r="S185" s="9">
        <f t="shared" si="24"/>
        <v>4.2</v>
      </c>
      <c r="T185" s="9">
        <f t="shared" si="28"/>
        <v>141.80316964285714</v>
      </c>
      <c r="U185" s="9">
        <v>8</v>
      </c>
      <c r="V185" s="5">
        <v>825.9</v>
      </c>
      <c r="X185" s="5">
        <f t="shared" si="29"/>
        <v>67341.700000000026</v>
      </c>
      <c r="Y185" s="5">
        <f t="shared" si="22"/>
        <v>5380.8</v>
      </c>
      <c r="AA185" s="5">
        <v>9.2358960503577805</v>
      </c>
    </row>
    <row r="186" spans="1:27" s="5" customFormat="1" x14ac:dyDescent="0.25">
      <c r="A186" s="77"/>
      <c r="B186" s="10"/>
      <c r="C186" s="18">
        <v>40936</v>
      </c>
      <c r="D186" s="5">
        <v>4.3</v>
      </c>
      <c r="E186" s="5">
        <v>3.2</v>
      </c>
      <c r="F186" s="5">
        <v>6.9</v>
      </c>
      <c r="G186" s="5">
        <f t="shared" si="25"/>
        <v>1491.2999999999997</v>
      </c>
      <c r="H186" s="5">
        <f t="shared" si="21"/>
        <v>93.299999999999983</v>
      </c>
      <c r="J186" s="5">
        <v>0.6</v>
      </c>
      <c r="K186" s="5">
        <f t="shared" si="26"/>
        <v>206.39999999999998</v>
      </c>
      <c r="L186" s="5">
        <v>0.6</v>
      </c>
      <c r="M186" s="5">
        <f t="shared" si="27"/>
        <v>151.99999999999989</v>
      </c>
      <c r="N186" s="5">
        <v>0</v>
      </c>
      <c r="O186" s="5">
        <f t="shared" si="20"/>
        <v>117.5</v>
      </c>
      <c r="P186" s="5">
        <v>137</v>
      </c>
      <c r="Q186" s="5">
        <v>1</v>
      </c>
      <c r="R186" s="9">
        <f t="shared" si="23"/>
        <v>0.6</v>
      </c>
      <c r="S186" s="9">
        <f t="shared" si="24"/>
        <v>0</v>
      </c>
      <c r="T186" s="9">
        <f t="shared" si="28"/>
        <v>141.80316964285714</v>
      </c>
      <c r="V186" s="5">
        <v>477.5</v>
      </c>
      <c r="X186" s="5">
        <f t="shared" si="29"/>
        <v>67819.200000000026</v>
      </c>
      <c r="Y186" s="5">
        <f t="shared" si="22"/>
        <v>5858.3</v>
      </c>
      <c r="AA186" s="5">
        <v>9.2809638426474006</v>
      </c>
    </row>
    <row r="187" spans="1:27" s="5" customFormat="1" x14ac:dyDescent="0.25">
      <c r="A187" s="77"/>
      <c r="B187" s="10"/>
      <c r="C187" s="18">
        <v>40937</v>
      </c>
      <c r="D187" s="5">
        <v>4.2</v>
      </c>
      <c r="E187" s="5">
        <v>2.7</v>
      </c>
      <c r="F187" s="5">
        <v>7</v>
      </c>
      <c r="G187" s="5">
        <f t="shared" si="25"/>
        <v>1495.4999999999998</v>
      </c>
      <c r="H187" s="5">
        <f t="shared" si="21"/>
        <v>97.499999999999986</v>
      </c>
      <c r="J187" s="5">
        <v>2.5</v>
      </c>
      <c r="K187" s="5">
        <f t="shared" si="26"/>
        <v>208.89999999999998</v>
      </c>
      <c r="L187" s="5">
        <v>0.6</v>
      </c>
      <c r="M187" s="5">
        <f t="shared" si="27"/>
        <v>152.59999999999988</v>
      </c>
      <c r="N187" s="5">
        <v>1.9</v>
      </c>
      <c r="O187" s="5">
        <f t="shared" si="20"/>
        <v>119.4</v>
      </c>
      <c r="P187" s="5">
        <v>138</v>
      </c>
      <c r="Q187" s="5">
        <v>1</v>
      </c>
      <c r="R187" s="9">
        <f t="shared" si="23"/>
        <v>0.6</v>
      </c>
      <c r="S187" s="9">
        <f t="shared" si="24"/>
        <v>1.9</v>
      </c>
      <c r="T187" s="9">
        <f t="shared" si="28"/>
        <v>143.70316964285715</v>
      </c>
      <c r="U187" s="9">
        <f>(U183*100)/197.4</f>
        <v>71.976023122014752</v>
      </c>
      <c r="V187" s="5">
        <v>482</v>
      </c>
      <c r="X187" s="5">
        <f t="shared" si="29"/>
        <v>68301.200000000026</v>
      </c>
      <c r="Y187" s="5">
        <f t="shared" si="22"/>
        <v>6340.3</v>
      </c>
      <c r="AA187" s="5">
        <v>9.3267691337885896</v>
      </c>
    </row>
    <row r="188" spans="1:27" s="5" customFormat="1" x14ac:dyDescent="0.25">
      <c r="A188" s="77"/>
      <c r="B188" s="10"/>
      <c r="C188" s="18">
        <v>40938</v>
      </c>
      <c r="D188" s="5">
        <v>1.7</v>
      </c>
      <c r="E188" s="5">
        <v>0.9</v>
      </c>
      <c r="F188" s="5">
        <v>2.5</v>
      </c>
      <c r="G188" s="5">
        <f t="shared" si="25"/>
        <v>1497.1999999999998</v>
      </c>
      <c r="H188" s="5">
        <f t="shared" si="21"/>
        <v>99.199999999999989</v>
      </c>
      <c r="J188" s="5">
        <v>7.2</v>
      </c>
      <c r="K188" s="5">
        <f t="shared" si="26"/>
        <v>216.09999999999997</v>
      </c>
      <c r="L188" s="5">
        <v>0.2</v>
      </c>
      <c r="M188" s="5">
        <f t="shared" si="27"/>
        <v>152.79999999999987</v>
      </c>
      <c r="N188" s="5">
        <v>7</v>
      </c>
      <c r="O188" s="5">
        <f t="shared" si="20"/>
        <v>126.4</v>
      </c>
      <c r="P188" s="5">
        <v>139</v>
      </c>
      <c r="Q188" s="5">
        <v>1</v>
      </c>
      <c r="R188" s="9">
        <f t="shared" si="23"/>
        <v>0.2</v>
      </c>
      <c r="S188" s="9">
        <f t="shared" si="24"/>
        <v>7</v>
      </c>
      <c r="T188" s="9">
        <f t="shared" si="28"/>
        <v>150.70316964285715</v>
      </c>
      <c r="V188" s="5">
        <v>92.9</v>
      </c>
      <c r="X188" s="5">
        <f t="shared" si="29"/>
        <v>68394.10000000002</v>
      </c>
      <c r="Y188" s="5">
        <f t="shared" si="22"/>
        <v>6433.2</v>
      </c>
      <c r="AA188" s="5">
        <v>9.37328388441213</v>
      </c>
    </row>
    <row r="189" spans="1:27" s="5" customFormat="1" x14ac:dyDescent="0.25">
      <c r="A189" s="77"/>
      <c r="B189" s="10"/>
      <c r="C189" s="18">
        <v>40939</v>
      </c>
      <c r="D189" s="5">
        <v>0.8</v>
      </c>
      <c r="E189" s="5">
        <v>-0.3</v>
      </c>
      <c r="F189" s="5">
        <v>2.5</v>
      </c>
      <c r="G189" s="5">
        <f t="shared" si="25"/>
        <v>1497.9999999999998</v>
      </c>
      <c r="H189" s="5">
        <f t="shared" si="21"/>
        <v>99.999999999999986</v>
      </c>
      <c r="J189" s="5">
        <v>0.2</v>
      </c>
      <c r="K189" s="5">
        <f t="shared" si="26"/>
        <v>216.29999999999995</v>
      </c>
      <c r="L189" s="5">
        <v>0.6</v>
      </c>
      <c r="M189" s="5">
        <f t="shared" si="27"/>
        <v>153.39999999999986</v>
      </c>
      <c r="N189" s="5">
        <v>-0.39999999999999997</v>
      </c>
      <c r="O189" s="5">
        <f t="shared" si="20"/>
        <v>126</v>
      </c>
      <c r="P189" s="5">
        <v>140</v>
      </c>
      <c r="Q189" s="5">
        <v>1</v>
      </c>
      <c r="R189" s="9">
        <f t="shared" si="23"/>
        <v>0.6</v>
      </c>
      <c r="S189" s="9">
        <f t="shared" si="24"/>
        <v>-0.39999999999999997</v>
      </c>
      <c r="T189" s="9">
        <f t="shared" si="28"/>
        <v>150.30316964285714</v>
      </c>
      <c r="V189" s="5">
        <v>720.2</v>
      </c>
      <c r="X189" s="5">
        <f t="shared" si="29"/>
        <v>69114.300000000017</v>
      </c>
      <c r="Y189" s="5">
        <f t="shared" si="22"/>
        <v>7153.4</v>
      </c>
      <c r="AA189" s="5">
        <v>9.4204805461851908</v>
      </c>
    </row>
    <row r="190" spans="1:27" s="5" customFormat="1" x14ac:dyDescent="0.25">
      <c r="A190" s="77"/>
      <c r="B190" s="10"/>
      <c r="C190" s="18">
        <v>40940</v>
      </c>
      <c r="D190" s="5">
        <v>-1.5</v>
      </c>
      <c r="E190" s="5">
        <v>-2.8</v>
      </c>
      <c r="F190" s="5">
        <v>0.9</v>
      </c>
      <c r="G190" s="5">
        <v>1498</v>
      </c>
      <c r="H190" s="5">
        <v>100</v>
      </c>
      <c r="J190" s="5">
        <v>0</v>
      </c>
      <c r="K190" s="5">
        <f t="shared" si="26"/>
        <v>216.29999999999995</v>
      </c>
      <c r="L190" s="5">
        <v>0.9</v>
      </c>
      <c r="M190" s="5">
        <f t="shared" si="27"/>
        <v>154.29999999999987</v>
      </c>
      <c r="N190" s="5">
        <v>-0.9</v>
      </c>
      <c r="O190" s="5">
        <f t="shared" si="20"/>
        <v>125.1</v>
      </c>
      <c r="P190" s="5">
        <v>141</v>
      </c>
      <c r="Q190" s="5">
        <v>1</v>
      </c>
      <c r="R190" s="9">
        <f t="shared" si="23"/>
        <v>0.9</v>
      </c>
      <c r="S190" s="9">
        <f t="shared" si="24"/>
        <v>-0.9</v>
      </c>
      <c r="T190" s="9">
        <f t="shared" si="28"/>
        <v>149.40316964285714</v>
      </c>
      <c r="V190" s="5">
        <v>689.7</v>
      </c>
      <c r="X190" s="5">
        <f t="shared" si="29"/>
        <v>69804.000000000015</v>
      </c>
      <c r="Y190" s="5">
        <f t="shared" si="22"/>
        <v>7843.0999999999995</v>
      </c>
      <c r="AA190" s="5">
        <v>9.4683320922958405</v>
      </c>
    </row>
    <row r="191" spans="1:27" s="5" customFormat="1" x14ac:dyDescent="0.25">
      <c r="A191" s="77"/>
      <c r="B191" s="10"/>
      <c r="C191" s="18">
        <v>40941</v>
      </c>
      <c r="D191" s="5">
        <v>-2.1</v>
      </c>
      <c r="E191" s="5">
        <v>-4.5999999999999996</v>
      </c>
      <c r="F191" s="5">
        <v>2.5</v>
      </c>
      <c r="G191" s="5">
        <v>1498</v>
      </c>
      <c r="H191" s="5">
        <v>100</v>
      </c>
      <c r="J191" s="5">
        <v>0</v>
      </c>
      <c r="K191" s="5">
        <f t="shared" si="26"/>
        <v>216.29999999999995</v>
      </c>
      <c r="L191" s="5">
        <v>1.8</v>
      </c>
      <c r="M191" s="5">
        <f t="shared" si="27"/>
        <v>156.09999999999988</v>
      </c>
      <c r="N191" s="5">
        <v>-1.8</v>
      </c>
      <c r="O191" s="5">
        <f t="shared" si="20"/>
        <v>123.3</v>
      </c>
      <c r="P191" s="5">
        <v>142</v>
      </c>
      <c r="Q191" s="5">
        <v>1</v>
      </c>
      <c r="R191" s="9">
        <f t="shared" si="23"/>
        <v>1.8</v>
      </c>
      <c r="S191" s="9">
        <f t="shared" si="24"/>
        <v>-1.8</v>
      </c>
      <c r="T191" s="9">
        <f t="shared" si="28"/>
        <v>147.60316964285713</v>
      </c>
      <c r="V191" s="5">
        <v>1038.0999999999999</v>
      </c>
      <c r="X191" s="5">
        <f t="shared" si="29"/>
        <v>70842.10000000002</v>
      </c>
      <c r="Y191" s="5">
        <f t="shared" si="22"/>
        <v>8881.1999999999989</v>
      </c>
      <c r="AA191" s="5">
        <v>9.5168120443305408</v>
      </c>
    </row>
    <row r="192" spans="1:27" s="5" customFormat="1" x14ac:dyDescent="0.25">
      <c r="A192" s="77"/>
      <c r="B192" s="10"/>
      <c r="C192" s="18">
        <v>40942</v>
      </c>
      <c r="D192" s="5">
        <v>-3.8</v>
      </c>
      <c r="E192" s="5">
        <v>-7.9</v>
      </c>
      <c r="F192" s="5">
        <v>2</v>
      </c>
      <c r="G192" s="5">
        <v>1498</v>
      </c>
      <c r="H192" s="5">
        <v>100</v>
      </c>
      <c r="J192" s="5">
        <v>0</v>
      </c>
      <c r="K192" s="5">
        <f t="shared" si="26"/>
        <v>216.29999999999995</v>
      </c>
      <c r="L192" s="5">
        <v>1.2</v>
      </c>
      <c r="M192" s="5">
        <f t="shared" si="27"/>
        <v>157.29999999999987</v>
      </c>
      <c r="N192" s="5">
        <v>-1.2</v>
      </c>
      <c r="O192" s="5">
        <f t="shared" si="20"/>
        <v>122.1</v>
      </c>
      <c r="P192" s="5">
        <v>143</v>
      </c>
      <c r="Q192" s="5">
        <v>1</v>
      </c>
      <c r="R192" s="9">
        <f t="shared" si="23"/>
        <v>1.2</v>
      </c>
      <c r="S192" s="9">
        <f t="shared" si="24"/>
        <v>-1.2</v>
      </c>
      <c r="T192" s="9">
        <f t="shared" si="28"/>
        <v>146.40316964285714</v>
      </c>
      <c r="V192" s="5">
        <v>1054.4000000000001</v>
      </c>
      <c r="X192" s="5">
        <f t="shared" si="29"/>
        <v>71896.500000000015</v>
      </c>
      <c r="Y192" s="5">
        <f t="shared" si="22"/>
        <v>9935.5999999999985</v>
      </c>
      <c r="AA192" s="5">
        <v>9.5658944956672105</v>
      </c>
    </row>
    <row r="193" spans="1:27" s="5" customFormat="1" x14ac:dyDescent="0.25">
      <c r="A193" s="77"/>
      <c r="B193" s="10"/>
      <c r="C193" s="18">
        <v>40943</v>
      </c>
      <c r="D193" s="5">
        <v>-0.7</v>
      </c>
      <c r="E193" s="5">
        <v>-5.9</v>
      </c>
      <c r="F193" s="5">
        <v>3.9</v>
      </c>
      <c r="G193" s="5">
        <v>1498</v>
      </c>
      <c r="H193" s="5">
        <v>100</v>
      </c>
      <c r="J193" s="5">
        <v>0</v>
      </c>
      <c r="K193" s="5">
        <f t="shared" si="26"/>
        <v>216.29999999999995</v>
      </c>
      <c r="L193" s="5">
        <v>0.9</v>
      </c>
      <c r="M193" s="5">
        <f t="shared" si="27"/>
        <v>158.19999999999987</v>
      </c>
      <c r="N193" s="5">
        <v>-0.9</v>
      </c>
      <c r="O193" s="5">
        <f t="shared" si="20"/>
        <v>121.19999999999999</v>
      </c>
      <c r="P193" s="5">
        <v>144</v>
      </c>
      <c r="Q193" s="5">
        <v>1</v>
      </c>
      <c r="R193" s="9">
        <f t="shared" si="23"/>
        <v>0.9</v>
      </c>
      <c r="S193" s="9">
        <f t="shared" si="24"/>
        <v>-0.9</v>
      </c>
      <c r="T193" s="9">
        <f t="shared" si="28"/>
        <v>145.50316964285713</v>
      </c>
      <c r="V193" s="5">
        <v>872.3</v>
      </c>
      <c r="X193" s="5">
        <f t="shared" si="29"/>
        <v>72768.800000000017</v>
      </c>
      <c r="Y193" s="5">
        <f t="shared" si="22"/>
        <v>10807.899999999998</v>
      </c>
      <c r="AA193" s="5">
        <v>9.6155541315168893</v>
      </c>
    </row>
    <row r="194" spans="1:27" s="5" customFormat="1" x14ac:dyDescent="0.25">
      <c r="A194" s="77"/>
      <c r="B194" s="10"/>
      <c r="C194" s="18">
        <v>40944</v>
      </c>
      <c r="D194" s="5">
        <v>1.2</v>
      </c>
      <c r="E194" s="5">
        <v>-0.1</v>
      </c>
      <c r="F194" s="5">
        <v>4.0999999999999996</v>
      </c>
      <c r="G194" s="5">
        <f t="shared" si="25"/>
        <v>1499.2</v>
      </c>
      <c r="H194" s="5">
        <f t="shared" si="21"/>
        <v>101.2</v>
      </c>
      <c r="J194" s="5">
        <v>0</v>
      </c>
      <c r="K194" s="5">
        <f t="shared" si="26"/>
        <v>216.29999999999995</v>
      </c>
      <c r="L194" s="5">
        <v>0.3</v>
      </c>
      <c r="M194" s="5">
        <f t="shared" si="27"/>
        <v>158.49999999999989</v>
      </c>
      <c r="N194" s="5">
        <v>-0.3</v>
      </c>
      <c r="O194" s="5">
        <f t="shared" si="20"/>
        <v>120.89999999999999</v>
      </c>
      <c r="P194" s="5">
        <v>145</v>
      </c>
      <c r="Q194" s="5">
        <v>1</v>
      </c>
      <c r="R194" s="9">
        <f t="shared" si="23"/>
        <v>0.3</v>
      </c>
      <c r="S194" s="9">
        <f t="shared" si="24"/>
        <v>-0.3</v>
      </c>
      <c r="T194" s="9">
        <f t="shared" si="28"/>
        <v>145.20316964285712</v>
      </c>
      <c r="V194" s="5">
        <v>209.8</v>
      </c>
      <c r="X194" s="5">
        <f t="shared" si="29"/>
        <v>72978.60000000002</v>
      </c>
      <c r="Y194" s="5">
        <f t="shared" si="22"/>
        <v>11017.699999999997</v>
      </c>
      <c r="AA194" s="5">
        <v>9.6657662457569504</v>
      </c>
    </row>
    <row r="195" spans="1:27" s="5" customFormat="1" x14ac:dyDescent="0.25">
      <c r="A195" s="77"/>
      <c r="B195" s="10"/>
      <c r="C195" s="18">
        <v>40945</v>
      </c>
      <c r="D195" s="5">
        <v>0.5</v>
      </c>
      <c r="E195" s="5">
        <v>-3.1</v>
      </c>
      <c r="F195" s="5">
        <v>3.4</v>
      </c>
      <c r="G195" s="5">
        <f t="shared" si="25"/>
        <v>1499.7</v>
      </c>
      <c r="H195" s="5">
        <f t="shared" si="21"/>
        <v>101.7</v>
      </c>
      <c r="J195" s="5">
        <v>1.2</v>
      </c>
      <c r="K195" s="5">
        <f t="shared" si="26"/>
        <v>217.49999999999994</v>
      </c>
      <c r="L195" s="5">
        <v>0.3</v>
      </c>
      <c r="M195" s="5">
        <f t="shared" si="27"/>
        <v>158.7999999999999</v>
      </c>
      <c r="N195" s="5">
        <v>0.89999999999999991</v>
      </c>
      <c r="O195" s="5">
        <f t="shared" si="20"/>
        <v>121.8</v>
      </c>
      <c r="P195" s="5">
        <v>146</v>
      </c>
      <c r="Q195" s="5">
        <v>1</v>
      </c>
      <c r="R195" s="9">
        <f t="shared" si="23"/>
        <v>0.3</v>
      </c>
      <c r="S195" s="9">
        <f t="shared" si="24"/>
        <v>0.89999999999999991</v>
      </c>
      <c r="T195" s="9">
        <f t="shared" si="28"/>
        <v>146.10316964285713</v>
      </c>
      <c r="V195" s="5">
        <v>248.9</v>
      </c>
      <c r="X195" s="5">
        <f t="shared" si="29"/>
        <v>73227.500000000015</v>
      </c>
      <c r="Y195" s="5">
        <f t="shared" si="22"/>
        <v>11266.599999999997</v>
      </c>
      <c r="AA195" s="5">
        <v>9.7165067547050707</v>
      </c>
    </row>
    <row r="196" spans="1:27" s="5" customFormat="1" x14ac:dyDescent="0.25">
      <c r="A196" s="77"/>
      <c r="B196" s="10"/>
      <c r="C196" s="18">
        <v>40946</v>
      </c>
      <c r="D196" s="5">
        <v>0</v>
      </c>
      <c r="E196" s="5">
        <v>-0.5</v>
      </c>
      <c r="F196" s="5">
        <v>2.4</v>
      </c>
      <c r="G196" s="5">
        <f t="shared" si="25"/>
        <v>1499.7</v>
      </c>
      <c r="H196" s="5">
        <f t="shared" si="21"/>
        <v>101.7</v>
      </c>
      <c r="J196" s="5">
        <v>0</v>
      </c>
      <c r="K196" s="5">
        <f t="shared" si="26"/>
        <v>217.49999999999994</v>
      </c>
      <c r="L196" s="5">
        <v>1.3</v>
      </c>
      <c r="M196" s="5">
        <f t="shared" si="27"/>
        <v>160.09999999999991</v>
      </c>
      <c r="N196" s="5">
        <v>-1.3</v>
      </c>
      <c r="O196" s="5">
        <f t="shared" si="20"/>
        <v>120.5</v>
      </c>
      <c r="P196" s="5">
        <v>147</v>
      </c>
      <c r="Q196" s="5">
        <v>1</v>
      </c>
      <c r="R196" s="9">
        <f t="shared" si="23"/>
        <v>1.3</v>
      </c>
      <c r="S196" s="9">
        <f t="shared" si="24"/>
        <v>-1.3</v>
      </c>
      <c r="T196" s="9">
        <f t="shared" si="28"/>
        <v>144.80316964285711</v>
      </c>
      <c r="V196" s="5">
        <v>1052.2</v>
      </c>
      <c r="X196" s="5">
        <f t="shared" si="29"/>
        <v>74279.700000000012</v>
      </c>
      <c r="Y196" s="5">
        <f t="shared" si="22"/>
        <v>12318.799999999997</v>
      </c>
      <c r="AA196" s="5">
        <v>9.7677522079885293</v>
      </c>
    </row>
    <row r="197" spans="1:27" s="5" customFormat="1" x14ac:dyDescent="0.25">
      <c r="A197" s="77"/>
      <c r="B197" s="10"/>
      <c r="C197" s="18">
        <v>40947</v>
      </c>
      <c r="D197" s="5">
        <v>-2.8</v>
      </c>
      <c r="E197" s="5">
        <v>-4.4000000000000004</v>
      </c>
      <c r="F197" s="5">
        <v>-1</v>
      </c>
      <c r="G197" s="5">
        <v>1499.7</v>
      </c>
      <c r="H197" s="5">
        <v>101.7</v>
      </c>
      <c r="J197" s="5">
        <v>0</v>
      </c>
      <c r="K197" s="5">
        <f t="shared" si="26"/>
        <v>217.49999999999994</v>
      </c>
      <c r="L197" s="5">
        <v>1</v>
      </c>
      <c r="M197" s="5">
        <f t="shared" si="27"/>
        <v>161.09999999999991</v>
      </c>
      <c r="N197" s="5">
        <v>-1</v>
      </c>
      <c r="O197" s="5">
        <f t="shared" si="20"/>
        <v>119.5</v>
      </c>
      <c r="P197" s="5">
        <v>148</v>
      </c>
      <c r="Q197" s="5">
        <v>1</v>
      </c>
      <c r="R197" s="9">
        <f t="shared" si="23"/>
        <v>1</v>
      </c>
      <c r="S197" s="9">
        <f t="shared" si="24"/>
        <v>-1</v>
      </c>
      <c r="T197" s="9">
        <f t="shared" si="28"/>
        <v>143.80316964285711</v>
      </c>
      <c r="V197" s="5">
        <v>1007.8</v>
      </c>
      <c r="X197" s="5">
        <f t="shared" si="29"/>
        <v>75287.500000000015</v>
      </c>
      <c r="Y197" s="5">
        <f t="shared" si="22"/>
        <v>13326.599999999997</v>
      </c>
      <c r="AA197" s="5">
        <v>9.8194797966666592</v>
      </c>
    </row>
    <row r="198" spans="1:27" s="5" customFormat="1" x14ac:dyDescent="0.25">
      <c r="A198" s="77"/>
      <c r="B198" s="10"/>
      <c r="C198" s="18">
        <v>40948</v>
      </c>
      <c r="D198" s="5">
        <v>-1.8</v>
      </c>
      <c r="E198" s="5">
        <v>-6.4</v>
      </c>
      <c r="F198" s="5">
        <v>0.9</v>
      </c>
      <c r="G198" s="5">
        <v>1499.7</v>
      </c>
      <c r="H198" s="5">
        <v>101.7</v>
      </c>
      <c r="J198" s="5">
        <v>0</v>
      </c>
      <c r="K198" s="5">
        <f t="shared" si="26"/>
        <v>217.49999999999994</v>
      </c>
      <c r="L198" s="5">
        <v>0.5</v>
      </c>
      <c r="M198" s="5">
        <f t="shared" si="27"/>
        <v>161.59999999999991</v>
      </c>
      <c r="N198" s="5">
        <v>-0.5</v>
      </c>
      <c r="O198" s="5">
        <f t="shared" si="20"/>
        <v>119</v>
      </c>
      <c r="P198" s="5">
        <v>149</v>
      </c>
      <c r="Q198" s="5">
        <v>1</v>
      </c>
      <c r="R198" s="9">
        <f t="shared" si="23"/>
        <v>0.5</v>
      </c>
      <c r="S198" s="9">
        <f t="shared" si="24"/>
        <v>-0.5</v>
      </c>
      <c r="T198" s="9">
        <f t="shared" si="28"/>
        <v>143.30316964285711</v>
      </c>
      <c r="V198" s="5">
        <v>568.9</v>
      </c>
      <c r="X198" s="5">
        <f t="shared" si="29"/>
        <v>75856.400000000009</v>
      </c>
      <c r="Y198" s="5">
        <f t="shared" si="22"/>
        <v>13895.499999999996</v>
      </c>
      <c r="AA198" s="5">
        <v>9.87166735876594</v>
      </c>
    </row>
    <row r="199" spans="1:27" s="5" customFormat="1" x14ac:dyDescent="0.25">
      <c r="A199" s="77"/>
      <c r="B199" s="10"/>
      <c r="C199" s="18">
        <v>40949</v>
      </c>
      <c r="D199" s="5">
        <v>-1.9</v>
      </c>
      <c r="E199" s="5">
        <v>-2.9</v>
      </c>
      <c r="F199" s="5">
        <v>-0.1</v>
      </c>
      <c r="G199" s="5">
        <v>1499.7</v>
      </c>
      <c r="H199" s="5">
        <v>101.7</v>
      </c>
      <c r="J199" s="5">
        <v>0</v>
      </c>
      <c r="K199" s="5">
        <f t="shared" si="26"/>
        <v>217.49999999999994</v>
      </c>
      <c r="L199" s="5">
        <v>0.7</v>
      </c>
      <c r="M199" s="5">
        <f t="shared" si="27"/>
        <v>162.2999999999999</v>
      </c>
      <c r="N199" s="5">
        <v>-0.7</v>
      </c>
      <c r="O199" s="5">
        <f t="shared" si="20"/>
        <v>118.3</v>
      </c>
      <c r="P199" s="5">
        <v>150</v>
      </c>
      <c r="Q199" s="5">
        <v>1</v>
      </c>
      <c r="R199" s="9">
        <f t="shared" si="23"/>
        <v>0.7</v>
      </c>
      <c r="S199" s="9">
        <f t="shared" si="24"/>
        <v>-0.7</v>
      </c>
      <c r="T199" s="9">
        <f t="shared" si="28"/>
        <v>142.60316964285713</v>
      </c>
      <c r="V199" s="5">
        <v>366.7</v>
      </c>
      <c r="X199" s="5">
        <f t="shared" si="29"/>
        <v>76223.100000000006</v>
      </c>
      <c r="Y199" s="5">
        <f t="shared" si="22"/>
        <v>14262.199999999997</v>
      </c>
      <c r="AA199" s="5">
        <v>9.9242933823874697</v>
      </c>
    </row>
    <row r="200" spans="1:27" s="5" customFormat="1" x14ac:dyDescent="0.25">
      <c r="A200" s="77"/>
      <c r="B200" s="10"/>
      <c r="C200" s="18">
        <v>40950</v>
      </c>
      <c r="D200" s="5">
        <v>-3.4</v>
      </c>
      <c r="E200" s="5">
        <v>-7.8</v>
      </c>
      <c r="F200" s="5">
        <v>1.9</v>
      </c>
      <c r="G200" s="5">
        <v>1499.7</v>
      </c>
      <c r="H200" s="5">
        <v>101.7</v>
      </c>
      <c r="J200" s="5">
        <v>0</v>
      </c>
      <c r="K200" s="5">
        <f t="shared" si="26"/>
        <v>217.49999999999994</v>
      </c>
      <c r="L200" s="5">
        <v>1</v>
      </c>
      <c r="M200" s="5">
        <f t="shared" si="27"/>
        <v>163.2999999999999</v>
      </c>
      <c r="N200" s="5">
        <v>-1</v>
      </c>
      <c r="O200" s="5">
        <f t="shared" si="20"/>
        <v>117.3</v>
      </c>
      <c r="P200" s="5">
        <v>151</v>
      </c>
      <c r="Q200" s="5">
        <v>1</v>
      </c>
      <c r="R200" s="9">
        <f t="shared" si="23"/>
        <v>1</v>
      </c>
      <c r="S200" s="9">
        <f t="shared" si="24"/>
        <v>-1</v>
      </c>
      <c r="T200" s="9">
        <f t="shared" si="28"/>
        <v>141.60316964285713</v>
      </c>
      <c r="V200" s="5">
        <v>1171.2</v>
      </c>
      <c r="X200" s="5">
        <f t="shared" si="29"/>
        <v>77394.3</v>
      </c>
      <c r="Y200" s="5">
        <f t="shared" si="22"/>
        <v>15433.399999999998</v>
      </c>
      <c r="AA200" s="5">
        <v>9.9773370065455698</v>
      </c>
    </row>
    <row r="201" spans="1:27" s="5" customFormat="1" x14ac:dyDescent="0.25">
      <c r="A201" s="77"/>
      <c r="B201" s="10"/>
      <c r="C201" s="18">
        <v>40951</v>
      </c>
      <c r="D201" s="5">
        <v>0.7</v>
      </c>
      <c r="E201" s="5">
        <v>-5.3</v>
      </c>
      <c r="F201" s="5">
        <v>4.2</v>
      </c>
      <c r="G201" s="5">
        <f t="shared" si="25"/>
        <v>1500.4</v>
      </c>
      <c r="H201" s="5">
        <f t="shared" si="21"/>
        <v>102.4</v>
      </c>
      <c r="J201" s="5">
        <v>0</v>
      </c>
      <c r="K201" s="5">
        <f t="shared" si="26"/>
        <v>217.49999999999994</v>
      </c>
      <c r="L201" s="5">
        <v>0.7</v>
      </c>
      <c r="M201" s="5">
        <f t="shared" si="27"/>
        <v>163.99999999999989</v>
      </c>
      <c r="N201" s="5">
        <v>-0.7</v>
      </c>
      <c r="O201" s="5">
        <f t="shared" si="20"/>
        <v>116.6</v>
      </c>
      <c r="P201" s="5">
        <v>152</v>
      </c>
      <c r="Q201" s="5">
        <v>1</v>
      </c>
      <c r="R201" s="9">
        <f t="shared" si="23"/>
        <v>0.7</v>
      </c>
      <c r="S201" s="9">
        <f t="shared" si="24"/>
        <v>-0.7</v>
      </c>
      <c r="T201" s="9">
        <f t="shared" si="28"/>
        <v>140.90316964285714</v>
      </c>
      <c r="V201" s="5">
        <v>944</v>
      </c>
      <c r="X201" s="5">
        <f t="shared" si="29"/>
        <v>78338.3</v>
      </c>
      <c r="Y201" s="5">
        <f t="shared" si="22"/>
        <v>16377.399999999998</v>
      </c>
      <c r="AA201" s="5">
        <v>10.0307780198942</v>
      </c>
    </row>
    <row r="202" spans="1:27" s="5" customFormat="1" x14ac:dyDescent="0.25">
      <c r="A202" s="77"/>
      <c r="B202" s="10"/>
      <c r="C202" s="18">
        <v>40952</v>
      </c>
      <c r="D202" s="5">
        <v>4.5</v>
      </c>
      <c r="E202" s="5">
        <v>2.9</v>
      </c>
      <c r="F202" s="5">
        <v>5.5</v>
      </c>
      <c r="G202" s="5">
        <f t="shared" si="25"/>
        <v>1504.9</v>
      </c>
      <c r="H202" s="5">
        <f t="shared" si="21"/>
        <v>106.9</v>
      </c>
      <c r="J202" s="5">
        <v>2.2000000000000002</v>
      </c>
      <c r="K202" s="5">
        <f t="shared" si="26"/>
        <v>219.69999999999993</v>
      </c>
      <c r="L202" s="5">
        <v>0.2</v>
      </c>
      <c r="M202" s="5">
        <f t="shared" si="27"/>
        <v>164.19999999999987</v>
      </c>
      <c r="N202" s="5">
        <v>2</v>
      </c>
      <c r="O202" s="5">
        <f t="shared" si="20"/>
        <v>118.6</v>
      </c>
      <c r="P202" s="5">
        <v>153</v>
      </c>
      <c r="Q202" s="5">
        <v>1</v>
      </c>
      <c r="R202" s="9">
        <f t="shared" si="23"/>
        <v>0.2</v>
      </c>
      <c r="S202" s="9">
        <f t="shared" si="24"/>
        <v>2</v>
      </c>
      <c r="T202" s="9">
        <f t="shared" si="28"/>
        <v>142.90316964285714</v>
      </c>
      <c r="V202" s="5">
        <v>225.2</v>
      </c>
      <c r="X202" s="5">
        <f t="shared" si="29"/>
        <v>78563.5</v>
      </c>
      <c r="Y202" s="5">
        <f t="shared" si="22"/>
        <v>16602.599999999999</v>
      </c>
      <c r="AA202" s="5">
        <v>10.084596857494899</v>
      </c>
    </row>
    <row r="203" spans="1:27" s="5" customFormat="1" x14ac:dyDescent="0.25">
      <c r="A203" s="77"/>
      <c r="B203" s="10">
        <v>4</v>
      </c>
      <c r="C203" s="18">
        <v>40953</v>
      </c>
      <c r="D203" s="5">
        <v>5.5</v>
      </c>
      <c r="E203" s="5">
        <v>3.7</v>
      </c>
      <c r="F203" s="5">
        <v>7.3</v>
      </c>
      <c r="G203" s="5">
        <f t="shared" si="25"/>
        <v>1510.4</v>
      </c>
      <c r="H203" s="5">
        <f t="shared" si="21"/>
        <v>112.4</v>
      </c>
      <c r="J203" s="5">
        <v>0</v>
      </c>
      <c r="K203" s="5">
        <f t="shared" si="26"/>
        <v>219.69999999999993</v>
      </c>
      <c r="L203" s="5">
        <v>0.6</v>
      </c>
      <c r="M203" s="5">
        <f t="shared" si="27"/>
        <v>164.79999999999987</v>
      </c>
      <c r="N203" s="5">
        <v>-0.6</v>
      </c>
      <c r="O203" s="5">
        <f t="shared" si="20"/>
        <v>118</v>
      </c>
      <c r="P203" s="5">
        <v>154</v>
      </c>
      <c r="Q203" s="5">
        <v>1</v>
      </c>
      <c r="R203" s="9">
        <f t="shared" si="23"/>
        <v>0.6</v>
      </c>
      <c r="S203" s="9">
        <f t="shared" si="24"/>
        <v>-0.6</v>
      </c>
      <c r="T203" s="9">
        <f t="shared" si="28"/>
        <v>142.30316964285714</v>
      </c>
      <c r="V203" s="5">
        <v>312.60000000000002</v>
      </c>
      <c r="X203" s="5">
        <f t="shared" si="29"/>
        <v>78876.100000000006</v>
      </c>
      <c r="Y203" s="5">
        <f t="shared" si="22"/>
        <v>16915.199999999997</v>
      </c>
      <c r="AA203" s="5">
        <v>10.138774595775301</v>
      </c>
    </row>
    <row r="204" spans="1:27" s="5" customFormat="1" x14ac:dyDescent="0.25">
      <c r="A204" s="77"/>
      <c r="B204" s="10"/>
      <c r="C204" s="18">
        <v>40954</v>
      </c>
      <c r="D204" s="5">
        <v>7.2</v>
      </c>
      <c r="E204" s="5">
        <v>5.3</v>
      </c>
      <c r="F204" s="5">
        <v>9.5</v>
      </c>
      <c r="G204" s="5">
        <f t="shared" si="25"/>
        <v>1517.6000000000001</v>
      </c>
      <c r="H204" s="5">
        <f t="shared" si="21"/>
        <v>119.60000000000001</v>
      </c>
      <c r="J204" s="5">
        <v>0</v>
      </c>
      <c r="K204" s="5">
        <f t="shared" si="26"/>
        <v>219.69999999999993</v>
      </c>
      <c r="L204" s="5">
        <v>0.8</v>
      </c>
      <c r="M204" s="5">
        <f t="shared" si="27"/>
        <v>165.59999999999988</v>
      </c>
      <c r="N204" s="5">
        <v>-0.8</v>
      </c>
      <c r="O204" s="5">
        <f t="shared" si="20"/>
        <v>117.2</v>
      </c>
      <c r="P204" s="5">
        <v>155</v>
      </c>
      <c r="Q204" s="5">
        <v>1</v>
      </c>
      <c r="R204" s="9">
        <f t="shared" si="23"/>
        <v>0.8</v>
      </c>
      <c r="S204" s="9">
        <f t="shared" si="24"/>
        <v>-0.8</v>
      </c>
      <c r="T204" s="9">
        <f t="shared" si="28"/>
        <v>141.50316964285713</v>
      </c>
      <c r="V204" s="5">
        <v>312.7</v>
      </c>
      <c r="X204" s="5">
        <f t="shared" si="29"/>
        <v>79188.800000000003</v>
      </c>
      <c r="Y204" s="5">
        <f t="shared" si="22"/>
        <v>17227.899999999998</v>
      </c>
      <c r="AA204" s="5">
        <v>10.193292945824201</v>
      </c>
    </row>
    <row r="205" spans="1:27" s="5" customFormat="1" x14ac:dyDescent="0.25">
      <c r="A205" s="77"/>
      <c r="B205" s="10"/>
      <c r="C205" s="18">
        <v>40955</v>
      </c>
      <c r="D205" s="5">
        <v>7</v>
      </c>
      <c r="E205" s="5">
        <v>5.3</v>
      </c>
      <c r="F205" s="5">
        <v>9.1999999999999993</v>
      </c>
      <c r="G205" s="5">
        <f t="shared" si="25"/>
        <v>1524.6000000000001</v>
      </c>
      <c r="H205" s="5">
        <f t="shared" si="21"/>
        <v>126.60000000000001</v>
      </c>
      <c r="J205" s="5">
        <v>0</v>
      </c>
      <c r="K205" s="5">
        <f t="shared" si="26"/>
        <v>219.69999999999993</v>
      </c>
      <c r="L205" s="5">
        <v>0.7</v>
      </c>
      <c r="M205" s="5">
        <f t="shared" si="27"/>
        <v>166.29999999999987</v>
      </c>
      <c r="N205" s="5">
        <v>-0.7</v>
      </c>
      <c r="O205" s="5">
        <f t="shared" si="20"/>
        <v>116.5</v>
      </c>
      <c r="P205" s="5">
        <v>156</v>
      </c>
      <c r="Q205" s="5">
        <v>1</v>
      </c>
      <c r="R205" s="9">
        <f t="shared" si="23"/>
        <v>0.7</v>
      </c>
      <c r="S205" s="9">
        <f t="shared" si="24"/>
        <v>-0.7</v>
      </c>
      <c r="T205" s="9">
        <f t="shared" si="28"/>
        <v>140.80316964285714</v>
      </c>
      <c r="V205" s="5">
        <v>203.7</v>
      </c>
      <c r="X205" s="5">
        <f t="shared" si="29"/>
        <v>79392.5</v>
      </c>
      <c r="Y205" s="5">
        <f t="shared" si="22"/>
        <v>17431.599999999999</v>
      </c>
      <c r="AA205" s="5">
        <v>10.248134245162101</v>
      </c>
    </row>
    <row r="206" spans="1:27" s="5" customFormat="1" x14ac:dyDescent="0.25">
      <c r="A206" s="77"/>
      <c r="B206" s="10"/>
      <c r="C206" s="18">
        <v>40956</v>
      </c>
      <c r="D206" s="5">
        <v>7.7</v>
      </c>
      <c r="E206" s="5">
        <v>5.6</v>
      </c>
      <c r="F206" s="5">
        <v>9.1</v>
      </c>
      <c r="G206" s="5">
        <f t="shared" si="25"/>
        <v>1532.3000000000002</v>
      </c>
      <c r="H206" s="5">
        <f t="shared" si="21"/>
        <v>134.30000000000001</v>
      </c>
      <c r="J206" s="5">
        <v>1.2</v>
      </c>
      <c r="K206" s="5">
        <f t="shared" si="26"/>
        <v>220.89999999999992</v>
      </c>
      <c r="L206" s="5">
        <v>0.3</v>
      </c>
      <c r="M206" s="5">
        <f t="shared" si="27"/>
        <v>166.59999999999988</v>
      </c>
      <c r="N206" s="5">
        <v>0.89999999999999991</v>
      </c>
      <c r="O206" s="5">
        <f t="shared" si="20"/>
        <v>117.4</v>
      </c>
      <c r="P206" s="5">
        <v>157</v>
      </c>
      <c r="Q206" s="5">
        <v>1</v>
      </c>
      <c r="R206" s="9">
        <f t="shared" si="23"/>
        <v>0.3</v>
      </c>
      <c r="S206" s="9">
        <f t="shared" si="24"/>
        <v>0.89999999999999991</v>
      </c>
      <c r="T206" s="9">
        <f t="shared" si="28"/>
        <v>141.70316964285715</v>
      </c>
      <c r="V206" s="5">
        <v>150.6</v>
      </c>
      <c r="X206" s="5">
        <f t="shared" si="29"/>
        <v>79543.100000000006</v>
      </c>
      <c r="Y206" s="5">
        <f t="shared" si="22"/>
        <v>17582.199999999997</v>
      </c>
      <c r="AA206" s="5">
        <v>10.3032814481223</v>
      </c>
    </row>
    <row r="207" spans="1:27" s="5" customFormat="1" x14ac:dyDescent="0.25">
      <c r="A207" s="77"/>
      <c r="B207" s="10"/>
      <c r="C207" s="18">
        <v>40957</v>
      </c>
      <c r="D207" s="5">
        <v>8.3000000000000007</v>
      </c>
      <c r="E207" s="5">
        <v>7.4</v>
      </c>
      <c r="F207" s="5">
        <v>9.9</v>
      </c>
      <c r="G207" s="5">
        <f t="shared" si="25"/>
        <v>1540.6000000000001</v>
      </c>
      <c r="H207" s="5">
        <f t="shared" si="21"/>
        <v>142.60000000000002</v>
      </c>
      <c r="J207" s="5">
        <v>3.1</v>
      </c>
      <c r="K207" s="5">
        <f t="shared" si="26"/>
        <v>223.99999999999991</v>
      </c>
      <c r="L207" s="5">
        <v>0.6</v>
      </c>
      <c r="M207" s="5">
        <f t="shared" si="27"/>
        <v>167.19999999999987</v>
      </c>
      <c r="N207" s="5">
        <v>2.5</v>
      </c>
      <c r="O207" s="5">
        <f t="shared" si="20"/>
        <v>119.9</v>
      </c>
      <c r="P207" s="5">
        <v>158</v>
      </c>
      <c r="Q207" s="5">
        <v>1</v>
      </c>
      <c r="R207" s="9">
        <f t="shared" si="23"/>
        <v>0.6</v>
      </c>
      <c r="S207" s="9">
        <f t="shared" si="24"/>
        <v>2.5</v>
      </c>
      <c r="T207" s="9">
        <f t="shared" si="28"/>
        <v>144.20316964285715</v>
      </c>
      <c r="V207" s="5">
        <v>231.6</v>
      </c>
      <c r="X207" s="5">
        <f t="shared" si="29"/>
        <v>79774.700000000012</v>
      </c>
      <c r="Y207" s="5">
        <f t="shared" si="22"/>
        <v>17813.799999999996</v>
      </c>
      <c r="AA207" s="5">
        <v>10.358718114969401</v>
      </c>
    </row>
    <row r="208" spans="1:27" s="5" customFormat="1" x14ac:dyDescent="0.25">
      <c r="A208" s="77"/>
      <c r="B208" s="10"/>
      <c r="C208" s="18">
        <v>40958</v>
      </c>
      <c r="D208" s="5">
        <v>3.9</v>
      </c>
      <c r="E208" s="5">
        <v>0.9</v>
      </c>
      <c r="F208" s="5">
        <v>9.9</v>
      </c>
      <c r="G208" s="5">
        <f t="shared" si="25"/>
        <v>1544.5000000000002</v>
      </c>
      <c r="H208" s="5">
        <f t="shared" si="21"/>
        <v>146.50000000000003</v>
      </c>
      <c r="J208" s="5">
        <v>0</v>
      </c>
      <c r="K208" s="5">
        <f t="shared" si="26"/>
        <v>223.99999999999991</v>
      </c>
      <c r="L208" s="5">
        <v>1.5</v>
      </c>
      <c r="M208" s="5">
        <f t="shared" si="27"/>
        <v>168.69999999999987</v>
      </c>
      <c r="N208" s="5">
        <v>-1.5</v>
      </c>
      <c r="O208" s="5">
        <f t="shared" si="20"/>
        <v>118.4</v>
      </c>
      <c r="P208" s="5">
        <v>159</v>
      </c>
      <c r="Q208" s="5">
        <v>1</v>
      </c>
      <c r="R208" s="9">
        <f t="shared" si="23"/>
        <v>1.5</v>
      </c>
      <c r="S208" s="9">
        <f t="shared" si="24"/>
        <v>-1.5</v>
      </c>
      <c r="T208" s="9">
        <f t="shared" si="28"/>
        <v>142.70316964285715</v>
      </c>
      <c r="V208" s="5">
        <v>1067.2</v>
      </c>
      <c r="X208" s="5">
        <f t="shared" si="29"/>
        <v>80841.900000000009</v>
      </c>
      <c r="Y208" s="5">
        <f t="shared" si="22"/>
        <v>18880.999999999996</v>
      </c>
      <c r="AA208" s="5">
        <v>10.4144283998791</v>
      </c>
    </row>
    <row r="209" spans="1:27" s="5" customFormat="1" x14ac:dyDescent="0.25">
      <c r="A209" s="77"/>
      <c r="B209" s="10"/>
      <c r="C209" s="18">
        <v>40959</v>
      </c>
      <c r="D209" s="5">
        <v>3</v>
      </c>
      <c r="E209" s="5">
        <v>-2.2000000000000002</v>
      </c>
      <c r="F209" s="5">
        <v>10.3</v>
      </c>
      <c r="G209" s="5">
        <f t="shared" si="25"/>
        <v>1547.5000000000002</v>
      </c>
      <c r="H209" s="5">
        <f t="shared" si="21"/>
        <v>149.50000000000003</v>
      </c>
      <c r="J209" s="5">
        <v>0</v>
      </c>
      <c r="K209" s="5">
        <f t="shared" si="26"/>
        <v>223.99999999999991</v>
      </c>
      <c r="L209" s="5">
        <v>1.3</v>
      </c>
      <c r="M209" s="5">
        <f t="shared" si="27"/>
        <v>169.99999999999989</v>
      </c>
      <c r="N209" s="5">
        <v>-1.3</v>
      </c>
      <c r="O209" s="5">
        <f t="shared" si="20"/>
        <v>117.10000000000001</v>
      </c>
      <c r="P209" s="5">
        <v>160</v>
      </c>
      <c r="Q209" s="5">
        <v>1</v>
      </c>
      <c r="R209" s="9">
        <f t="shared" si="23"/>
        <v>1.3</v>
      </c>
      <c r="S209" s="9">
        <f t="shared" si="24"/>
        <v>-1.3</v>
      </c>
      <c r="T209" s="9">
        <f t="shared" si="28"/>
        <v>141.40316964285714</v>
      </c>
      <c r="V209" s="5">
        <v>1098.3</v>
      </c>
      <c r="X209" s="5">
        <f t="shared" si="29"/>
        <v>81940.200000000012</v>
      </c>
      <c r="Y209" s="5">
        <f t="shared" si="22"/>
        <v>19979.299999999996</v>
      </c>
      <c r="AA209" s="5">
        <v>10.4703970378929</v>
      </c>
    </row>
    <row r="210" spans="1:27" s="5" customFormat="1" x14ac:dyDescent="0.25">
      <c r="A210" s="77"/>
      <c r="B210" s="10">
        <v>5</v>
      </c>
      <c r="C210" s="18">
        <v>40960</v>
      </c>
      <c r="D210" s="5">
        <v>3.8</v>
      </c>
      <c r="E210" s="5">
        <v>-0.1</v>
      </c>
      <c r="F210" s="5">
        <v>10.7</v>
      </c>
      <c r="G210" s="5">
        <f t="shared" si="25"/>
        <v>1551.3000000000002</v>
      </c>
      <c r="H210" s="5">
        <f t="shared" si="21"/>
        <v>153.30000000000004</v>
      </c>
      <c r="J210" s="5">
        <v>0</v>
      </c>
      <c r="K210" s="5">
        <f t="shared" si="26"/>
        <v>223.99999999999991</v>
      </c>
      <c r="L210" s="5">
        <v>1.4</v>
      </c>
      <c r="M210" s="5">
        <f t="shared" si="27"/>
        <v>171.39999999999989</v>
      </c>
      <c r="N210" s="5">
        <v>-1.4</v>
      </c>
      <c r="O210" s="5">
        <f t="shared" si="20"/>
        <v>115.7</v>
      </c>
      <c r="P210" s="5">
        <v>161</v>
      </c>
      <c r="Q210" s="5">
        <v>1</v>
      </c>
      <c r="R210" s="9">
        <f t="shared" si="23"/>
        <v>1.4</v>
      </c>
      <c r="S210" s="9">
        <f t="shared" si="24"/>
        <v>-1.4</v>
      </c>
      <c r="T210" s="9">
        <f t="shared" si="28"/>
        <v>140.00316964285713</v>
      </c>
      <c r="V210" s="5">
        <v>1080.5</v>
      </c>
      <c r="X210" s="5">
        <f t="shared" si="29"/>
        <v>83020.700000000012</v>
      </c>
      <c r="Y210" s="5">
        <f t="shared" si="22"/>
        <v>21059.799999999996</v>
      </c>
      <c r="AA210" s="5">
        <v>10.526609330957299</v>
      </c>
    </row>
    <row r="211" spans="1:27" s="55" customFormat="1" ht="15.75" thickBot="1" x14ac:dyDescent="0.3">
      <c r="A211" s="77"/>
      <c r="B211" s="53"/>
      <c r="C211" s="54">
        <v>40961</v>
      </c>
      <c r="D211" s="55">
        <v>4.0999999999999996</v>
      </c>
      <c r="E211" s="55">
        <v>-2.9</v>
      </c>
      <c r="F211" s="55">
        <v>9.1999999999999993</v>
      </c>
      <c r="G211" s="55">
        <f t="shared" si="25"/>
        <v>1555.4</v>
      </c>
      <c r="H211" s="55">
        <f t="shared" si="21"/>
        <v>157.40000000000003</v>
      </c>
      <c r="J211" s="55">
        <v>0.9</v>
      </c>
      <c r="K211" s="55">
        <f t="shared" si="26"/>
        <v>224.89999999999992</v>
      </c>
      <c r="L211" s="55">
        <v>0.9</v>
      </c>
      <c r="M211" s="55">
        <f t="shared" si="27"/>
        <v>172.2999999999999</v>
      </c>
      <c r="N211" s="55">
        <v>0</v>
      </c>
      <c r="O211" s="55">
        <f t="shared" si="20"/>
        <v>115.7</v>
      </c>
      <c r="P211" s="55">
        <v>162</v>
      </c>
      <c r="Q211" s="55">
        <v>1</v>
      </c>
      <c r="R211" s="56">
        <f t="shared" si="23"/>
        <v>0.9</v>
      </c>
      <c r="S211" s="56">
        <f t="shared" si="24"/>
        <v>0</v>
      </c>
      <c r="T211" s="56">
        <f t="shared" si="28"/>
        <v>140.00316964285713</v>
      </c>
      <c r="V211" s="55">
        <v>868.4</v>
      </c>
      <c r="W211" s="55">
        <f>(Y211/100)/I185</f>
        <v>1.3931512071156289</v>
      </c>
      <c r="X211" s="55">
        <f t="shared" si="29"/>
        <v>83889.1</v>
      </c>
      <c r="Y211" s="55">
        <f t="shared" si="22"/>
        <v>21928.199999999997</v>
      </c>
      <c r="AA211" s="55">
        <v>10.5830511331501</v>
      </c>
    </row>
    <row r="212" spans="1:27" s="5" customFormat="1" ht="15" customHeight="1" x14ac:dyDescent="0.25">
      <c r="A212" s="78" t="s">
        <v>46</v>
      </c>
      <c r="B212" s="10"/>
      <c r="C212" s="22">
        <v>40962</v>
      </c>
      <c r="D212" s="5">
        <v>10.7</v>
      </c>
      <c r="E212" s="5">
        <v>7.2</v>
      </c>
      <c r="F212" s="5">
        <v>13.4</v>
      </c>
      <c r="G212" s="5">
        <f t="shared" si="25"/>
        <v>1566.1000000000001</v>
      </c>
      <c r="H212" s="5">
        <v>10.7</v>
      </c>
      <c r="I212" s="23" t="s">
        <v>28</v>
      </c>
      <c r="J212" s="5">
        <v>0.3</v>
      </c>
      <c r="K212" s="5">
        <f t="shared" si="26"/>
        <v>225.19999999999993</v>
      </c>
      <c r="L212" s="5">
        <v>0.3</v>
      </c>
      <c r="M212" s="5">
        <f t="shared" si="27"/>
        <v>172.59999999999991</v>
      </c>
      <c r="N212" s="5">
        <v>0</v>
      </c>
      <c r="O212" s="5">
        <f t="shared" si="20"/>
        <v>115.7</v>
      </c>
      <c r="P212" s="5">
        <v>163</v>
      </c>
      <c r="Q212" s="24">
        <f>1+((P212-162)/30)*(1.15-1)</f>
        <v>1.0049999999999999</v>
      </c>
      <c r="R212" s="9">
        <f t="shared" si="23"/>
        <v>0.30149999999999993</v>
      </c>
      <c r="S212" s="9">
        <f t="shared" si="24"/>
        <v>-1.4999999999999458E-3</v>
      </c>
      <c r="T212" s="9">
        <f t="shared" si="28"/>
        <v>140.00166964285714</v>
      </c>
      <c r="U212" s="23" t="s">
        <v>29</v>
      </c>
      <c r="V212" s="5">
        <v>118.5</v>
      </c>
      <c r="X212" s="5">
        <f t="shared" si="29"/>
        <v>84007.6</v>
      </c>
      <c r="Y212" s="5">
        <v>118.5</v>
      </c>
      <c r="Z212" s="23" t="s">
        <v>30</v>
      </c>
      <c r="AA212" s="5">
        <v>10.639708835189101</v>
      </c>
    </row>
    <row r="213" spans="1:27" s="5" customFormat="1" x14ac:dyDescent="0.25">
      <c r="A213" s="78"/>
      <c r="B213" s="10"/>
      <c r="C213" s="22">
        <v>40963</v>
      </c>
      <c r="D213" s="5">
        <v>10.7</v>
      </c>
      <c r="E213" s="5">
        <v>10.199999999999999</v>
      </c>
      <c r="F213" s="5">
        <v>11.5</v>
      </c>
      <c r="G213" s="5">
        <f t="shared" si="25"/>
        <v>1576.8000000000002</v>
      </c>
      <c r="H213" s="5">
        <f t="shared" si="21"/>
        <v>21.4</v>
      </c>
      <c r="I213" s="5">
        <f>MIN(E212:E241)</f>
        <v>-0.1</v>
      </c>
      <c r="J213" s="5">
        <v>0.4</v>
      </c>
      <c r="K213" s="5">
        <f t="shared" si="26"/>
        <v>225.59999999999994</v>
      </c>
      <c r="L213" s="5">
        <v>0.2</v>
      </c>
      <c r="M213" s="5">
        <f t="shared" si="27"/>
        <v>172.7999999999999</v>
      </c>
      <c r="N213" s="5">
        <v>0.2</v>
      </c>
      <c r="O213" s="5">
        <f t="shared" si="20"/>
        <v>115.9</v>
      </c>
      <c r="P213" s="5">
        <v>164</v>
      </c>
      <c r="Q213" s="24">
        <f t="shared" ref="Q213:Q241" si="30">1+((P213-162)/30)*(1.15-1)</f>
        <v>1.01</v>
      </c>
      <c r="R213" s="9">
        <f t="shared" si="23"/>
        <v>0.20200000000000001</v>
      </c>
      <c r="S213" s="9">
        <f t="shared" si="24"/>
        <v>0.19800000000000001</v>
      </c>
      <c r="T213" s="9">
        <f t="shared" si="28"/>
        <v>140.19966964285715</v>
      </c>
      <c r="U213" s="5">
        <v>25</v>
      </c>
      <c r="V213" s="5">
        <v>176.2</v>
      </c>
      <c r="X213" s="5">
        <f t="shared" si="29"/>
        <v>84183.8</v>
      </c>
      <c r="Y213" s="5">
        <f t="shared" si="22"/>
        <v>294.7</v>
      </c>
      <c r="Z213" s="5">
        <v>24313.4</v>
      </c>
      <c r="AA213" s="5">
        <v>10.696569348312501</v>
      </c>
    </row>
    <row r="214" spans="1:27" s="5" customFormat="1" x14ac:dyDescent="0.25">
      <c r="A214" s="78"/>
      <c r="B214" s="10"/>
      <c r="C214" s="22">
        <v>40964</v>
      </c>
      <c r="D214" s="5">
        <v>9.5</v>
      </c>
      <c r="E214" s="5">
        <v>8.6999999999999993</v>
      </c>
      <c r="F214" s="5">
        <v>11.5</v>
      </c>
      <c r="G214" s="5">
        <f t="shared" si="25"/>
        <v>1586.3000000000002</v>
      </c>
      <c r="H214" s="5">
        <f t="shared" si="21"/>
        <v>30.9</v>
      </c>
      <c r="I214" s="23" t="s">
        <v>31</v>
      </c>
      <c r="J214" s="5">
        <v>0.1</v>
      </c>
      <c r="K214" s="5">
        <f t="shared" si="26"/>
        <v>225.69999999999993</v>
      </c>
      <c r="L214" s="5">
        <v>0.5</v>
      </c>
      <c r="M214" s="5">
        <f t="shared" si="27"/>
        <v>173.2999999999999</v>
      </c>
      <c r="N214" s="5">
        <v>-0.4</v>
      </c>
      <c r="O214" s="5">
        <f t="shared" si="20"/>
        <v>115.5</v>
      </c>
      <c r="P214" s="5">
        <v>165</v>
      </c>
      <c r="Q214" s="24">
        <f t="shared" si="30"/>
        <v>1.0149999999999999</v>
      </c>
      <c r="R214" s="9">
        <f t="shared" si="23"/>
        <v>0.50749999999999995</v>
      </c>
      <c r="S214" s="9">
        <f t="shared" si="24"/>
        <v>-0.40749999999999997</v>
      </c>
      <c r="T214" s="9">
        <f t="shared" si="28"/>
        <v>139.79216964285715</v>
      </c>
      <c r="U214" s="23" t="s">
        <v>32</v>
      </c>
      <c r="V214" s="5">
        <v>231.5</v>
      </c>
      <c r="X214" s="5">
        <f t="shared" si="29"/>
        <v>84415.3</v>
      </c>
      <c r="Y214" s="5">
        <f t="shared" si="22"/>
        <v>526.20000000000005</v>
      </c>
      <c r="Z214" s="23" t="s">
        <v>33</v>
      </c>
      <c r="AA214" s="5">
        <v>10.7536200876135</v>
      </c>
    </row>
    <row r="215" spans="1:27" s="5" customFormat="1" x14ac:dyDescent="0.25">
      <c r="A215" s="78"/>
      <c r="B215" s="10"/>
      <c r="C215" s="22">
        <v>40965</v>
      </c>
      <c r="D215" s="5">
        <v>8.5</v>
      </c>
      <c r="E215" s="5">
        <v>7.8</v>
      </c>
      <c r="F215" s="5">
        <v>11.6</v>
      </c>
      <c r="G215" s="5">
        <f t="shared" si="25"/>
        <v>1594.8000000000002</v>
      </c>
      <c r="H215" s="5">
        <f t="shared" si="21"/>
        <v>39.4</v>
      </c>
      <c r="I215" s="5">
        <f>MAX(F212:F241)</f>
        <v>20.100000000000001</v>
      </c>
      <c r="J215" s="5">
        <v>0</v>
      </c>
      <c r="K215" s="5">
        <f t="shared" si="26"/>
        <v>225.69999999999993</v>
      </c>
      <c r="L215" s="5">
        <v>1.2</v>
      </c>
      <c r="M215" s="5">
        <f t="shared" si="27"/>
        <v>174.49999999999989</v>
      </c>
      <c r="N215" s="5">
        <v>-1.2</v>
      </c>
      <c r="O215" s="5">
        <f t="shared" si="20"/>
        <v>114.3</v>
      </c>
      <c r="P215" s="5">
        <v>166</v>
      </c>
      <c r="Q215" s="24">
        <f t="shared" si="30"/>
        <v>1.02</v>
      </c>
      <c r="R215" s="9">
        <f t="shared" si="23"/>
        <v>1.224</v>
      </c>
      <c r="S215" s="9">
        <f t="shared" si="24"/>
        <v>-1.224</v>
      </c>
      <c r="T215" s="9">
        <f t="shared" si="28"/>
        <v>138.56816964285716</v>
      </c>
      <c r="U215" s="5">
        <v>0</v>
      </c>
      <c r="V215" s="5">
        <v>565.4</v>
      </c>
      <c r="X215" s="5">
        <f t="shared" si="29"/>
        <v>84980.7</v>
      </c>
      <c r="Y215" s="5">
        <f t="shared" si="22"/>
        <v>1091.5999999999999</v>
      </c>
      <c r="Z215" s="5">
        <f>(Z213/100)/I225</f>
        <v>0.94164988381099934</v>
      </c>
      <c r="AA215" s="5">
        <v>10.810848954906399</v>
      </c>
    </row>
    <row r="216" spans="1:27" s="5" customFormat="1" x14ac:dyDescent="0.25">
      <c r="A216" s="78"/>
      <c r="B216" s="10"/>
      <c r="C216" s="22">
        <v>40966</v>
      </c>
      <c r="D216" s="5">
        <v>7.3</v>
      </c>
      <c r="E216" s="5">
        <v>4.2</v>
      </c>
      <c r="F216" s="5">
        <v>9.6999999999999993</v>
      </c>
      <c r="G216" s="5">
        <f t="shared" si="25"/>
        <v>1602.1000000000001</v>
      </c>
      <c r="H216" s="5">
        <f t="shared" si="21"/>
        <v>46.699999999999996</v>
      </c>
      <c r="I216" s="23" t="s">
        <v>34</v>
      </c>
      <c r="J216" s="5">
        <v>0</v>
      </c>
      <c r="K216" s="5">
        <f t="shared" si="26"/>
        <v>225.69999999999993</v>
      </c>
      <c r="L216" s="5">
        <v>1.2</v>
      </c>
      <c r="M216" s="5">
        <f t="shared" si="27"/>
        <v>175.69999999999987</v>
      </c>
      <c r="N216" s="5">
        <v>-1.2</v>
      </c>
      <c r="O216" s="5">
        <f t="shared" si="20"/>
        <v>113.1</v>
      </c>
      <c r="P216" s="5">
        <v>167</v>
      </c>
      <c r="Q216" s="24">
        <f t="shared" si="30"/>
        <v>1.0249999999999999</v>
      </c>
      <c r="R216" s="9">
        <f t="shared" si="23"/>
        <v>1.2299999999999998</v>
      </c>
      <c r="S216" s="9">
        <f t="shared" si="24"/>
        <v>-1.2299999999999998</v>
      </c>
      <c r="T216" s="9">
        <f t="shared" si="28"/>
        <v>137.33816964285717</v>
      </c>
      <c r="U216" s="23" t="s">
        <v>35</v>
      </c>
      <c r="V216" s="5">
        <v>811.5</v>
      </c>
      <c r="X216" s="5">
        <f t="shared" si="29"/>
        <v>85792.2</v>
      </c>
      <c r="Y216" s="5">
        <f t="shared" si="22"/>
        <v>1903.1</v>
      </c>
      <c r="Z216" s="23" t="s">
        <v>36</v>
      </c>
      <c r="AA216" s="5">
        <v>10.868244321193201</v>
      </c>
    </row>
    <row r="217" spans="1:27" s="5" customFormat="1" x14ac:dyDescent="0.25">
      <c r="A217" s="78"/>
      <c r="B217" s="10">
        <v>6</v>
      </c>
      <c r="C217" s="22">
        <v>40967</v>
      </c>
      <c r="D217" s="5">
        <v>9.1999999999999993</v>
      </c>
      <c r="E217" s="5">
        <v>6</v>
      </c>
      <c r="F217" s="5">
        <v>13.3</v>
      </c>
      <c r="G217" s="5">
        <f t="shared" si="25"/>
        <v>1611.3000000000002</v>
      </c>
      <c r="H217" s="5">
        <f t="shared" si="21"/>
        <v>55.899999999999991</v>
      </c>
      <c r="I217" s="5">
        <f>AVERAGE(D212:D241)</f>
        <v>8.6066666666666656</v>
      </c>
      <c r="J217" s="5">
        <v>0</v>
      </c>
      <c r="K217" s="5">
        <f t="shared" si="26"/>
        <v>225.69999999999993</v>
      </c>
      <c r="L217" s="5">
        <v>0.8</v>
      </c>
      <c r="M217" s="5">
        <f t="shared" si="27"/>
        <v>176.49999999999989</v>
      </c>
      <c r="N217" s="5">
        <v>-0.8</v>
      </c>
      <c r="O217" s="5">
        <f t="shared" si="20"/>
        <v>112.3</v>
      </c>
      <c r="P217" s="5">
        <v>168</v>
      </c>
      <c r="Q217" s="24">
        <f t="shared" si="30"/>
        <v>1.03</v>
      </c>
      <c r="R217" s="9">
        <f t="shared" si="23"/>
        <v>0.82400000000000007</v>
      </c>
      <c r="S217" s="9">
        <f t="shared" si="24"/>
        <v>-0.82400000000000007</v>
      </c>
      <c r="T217" s="9">
        <f t="shared" si="28"/>
        <v>136.51416964285715</v>
      </c>
      <c r="U217" s="5">
        <v>0</v>
      </c>
      <c r="V217" s="5">
        <v>325.8</v>
      </c>
      <c r="X217" s="5">
        <f t="shared" si="29"/>
        <v>86118</v>
      </c>
      <c r="Y217" s="5">
        <f t="shared" si="22"/>
        <v>2228.9</v>
      </c>
      <c r="Z217" s="5">
        <v>18</v>
      </c>
      <c r="AA217" s="5">
        <v>10.9257950087975</v>
      </c>
    </row>
    <row r="218" spans="1:27" s="5" customFormat="1" x14ac:dyDescent="0.25">
      <c r="A218" s="78"/>
      <c r="B218" s="10"/>
      <c r="C218" s="22">
        <v>40968</v>
      </c>
      <c r="D218" s="5">
        <v>9</v>
      </c>
      <c r="E218" s="5">
        <v>3</v>
      </c>
      <c r="F218" s="5">
        <v>16</v>
      </c>
      <c r="G218" s="5">
        <f t="shared" si="25"/>
        <v>1620.3000000000002</v>
      </c>
      <c r="H218" s="5">
        <f t="shared" si="21"/>
        <v>64.899999999999991</v>
      </c>
      <c r="I218" s="23" t="s">
        <v>37</v>
      </c>
      <c r="J218" s="5">
        <v>0</v>
      </c>
      <c r="K218" s="5">
        <f t="shared" si="26"/>
        <v>225.69999999999993</v>
      </c>
      <c r="L218" s="5">
        <v>2</v>
      </c>
      <c r="M218" s="5">
        <f t="shared" si="27"/>
        <v>178.49999999999989</v>
      </c>
      <c r="N218" s="5">
        <v>-2</v>
      </c>
      <c r="O218" s="5">
        <f t="shared" ref="O218:O281" si="31">O217+N218</f>
        <v>110.3</v>
      </c>
      <c r="P218" s="5">
        <v>169</v>
      </c>
      <c r="Q218" s="24">
        <f t="shared" si="30"/>
        <v>1.0349999999999999</v>
      </c>
      <c r="R218" s="9">
        <f t="shared" si="23"/>
        <v>2.0699999999999998</v>
      </c>
      <c r="S218" s="9">
        <f t="shared" si="24"/>
        <v>-2.0699999999999998</v>
      </c>
      <c r="T218" s="9">
        <f t="shared" si="28"/>
        <v>134.44416964285716</v>
      </c>
      <c r="U218" s="23" t="s">
        <v>38</v>
      </c>
      <c r="V218" s="5">
        <v>1375.3</v>
      </c>
      <c r="X218" s="5">
        <f t="shared" si="29"/>
        <v>87493.3</v>
      </c>
      <c r="Y218" s="5">
        <f t="shared" si="22"/>
        <v>3604.2</v>
      </c>
      <c r="AA218" s="5">
        <v>10.9834902732216</v>
      </c>
    </row>
    <row r="219" spans="1:27" s="5" customFormat="1" x14ac:dyDescent="0.25">
      <c r="A219" s="78"/>
      <c r="B219" s="10"/>
      <c r="C219" s="22">
        <v>40969</v>
      </c>
      <c r="D219" s="5">
        <v>8.1</v>
      </c>
      <c r="E219" s="5">
        <v>3.4</v>
      </c>
      <c r="F219" s="5">
        <v>11.6</v>
      </c>
      <c r="G219" s="5">
        <f t="shared" si="25"/>
        <v>1628.4</v>
      </c>
      <c r="H219" s="5">
        <f t="shared" si="21"/>
        <v>72.999999999999986</v>
      </c>
      <c r="I219" s="5">
        <v>1</v>
      </c>
      <c r="J219" s="5">
        <v>0.1</v>
      </c>
      <c r="K219" s="5">
        <f t="shared" si="26"/>
        <v>225.79999999999993</v>
      </c>
      <c r="L219" s="5">
        <v>1.2</v>
      </c>
      <c r="M219" s="5">
        <f t="shared" si="27"/>
        <v>179.69999999999987</v>
      </c>
      <c r="N219" s="5">
        <v>-1.0999999999999999</v>
      </c>
      <c r="O219" s="5">
        <f t="shared" si="31"/>
        <v>109.2</v>
      </c>
      <c r="P219" s="5">
        <v>170</v>
      </c>
      <c r="Q219" s="24">
        <f t="shared" si="30"/>
        <v>1.04</v>
      </c>
      <c r="R219" s="9">
        <f t="shared" si="23"/>
        <v>1.248</v>
      </c>
      <c r="S219" s="9">
        <f t="shared" si="24"/>
        <v>-1.1479999999999999</v>
      </c>
      <c r="T219" s="9">
        <f t="shared" si="28"/>
        <v>133.29616964285717</v>
      </c>
      <c r="U219" s="9">
        <f>MIN(T212:T241)</f>
        <v>119.92866964285716</v>
      </c>
      <c r="V219" s="5">
        <v>989.2</v>
      </c>
      <c r="X219" s="5">
        <f t="shared" si="29"/>
        <v>88482.5</v>
      </c>
      <c r="Y219" s="5">
        <f t="shared" si="22"/>
        <v>4593.3999999999996</v>
      </c>
      <c r="AA219" s="5">
        <v>11.0413197847836</v>
      </c>
    </row>
    <row r="220" spans="1:27" s="5" customFormat="1" x14ac:dyDescent="0.25">
      <c r="A220" s="78"/>
      <c r="B220" s="10"/>
      <c r="C220" s="22">
        <v>40970</v>
      </c>
      <c r="D220" s="5">
        <v>9.1999999999999993</v>
      </c>
      <c r="E220" s="5">
        <v>7.2</v>
      </c>
      <c r="F220" s="5">
        <v>12</v>
      </c>
      <c r="G220" s="5">
        <f t="shared" si="25"/>
        <v>1637.6000000000001</v>
      </c>
      <c r="H220" s="5">
        <f t="shared" si="21"/>
        <v>82.199999999999989</v>
      </c>
      <c r="I220" s="23" t="s">
        <v>39</v>
      </c>
      <c r="J220" s="5">
        <v>0</v>
      </c>
      <c r="K220" s="5">
        <f t="shared" si="26"/>
        <v>225.79999999999993</v>
      </c>
      <c r="L220" s="5">
        <v>1.1000000000000001</v>
      </c>
      <c r="M220" s="5">
        <f t="shared" si="27"/>
        <v>180.79999999999987</v>
      </c>
      <c r="N220" s="5">
        <v>-1.1000000000000001</v>
      </c>
      <c r="O220" s="5">
        <f t="shared" si="31"/>
        <v>108.10000000000001</v>
      </c>
      <c r="P220" s="5">
        <v>171</v>
      </c>
      <c r="Q220" s="24">
        <f t="shared" si="30"/>
        <v>1.0449999999999999</v>
      </c>
      <c r="R220" s="9">
        <f t="shared" si="23"/>
        <v>1.1495</v>
      </c>
      <c r="S220" s="9">
        <f t="shared" si="24"/>
        <v>-1.1495</v>
      </c>
      <c r="T220" s="9">
        <f t="shared" si="28"/>
        <v>132.14666964285718</v>
      </c>
      <c r="U220" s="23" t="s">
        <v>40</v>
      </c>
      <c r="V220" s="5">
        <v>639.6</v>
      </c>
      <c r="X220" s="5">
        <f t="shared" si="29"/>
        <v>89122.1</v>
      </c>
      <c r="Y220" s="5">
        <f t="shared" si="22"/>
        <v>5233</v>
      </c>
      <c r="AA220" s="5">
        <v>11.0992736100799</v>
      </c>
    </row>
    <row r="221" spans="1:27" s="5" customFormat="1" x14ac:dyDescent="0.25">
      <c r="A221" s="78"/>
      <c r="B221" s="10"/>
      <c r="C221" s="22">
        <v>40971</v>
      </c>
      <c r="D221" s="5">
        <v>10</v>
      </c>
      <c r="E221" s="5">
        <v>5.5</v>
      </c>
      <c r="F221" s="5">
        <v>14.1</v>
      </c>
      <c r="G221" s="5">
        <f t="shared" si="25"/>
        <v>1647.6000000000001</v>
      </c>
      <c r="H221" s="5">
        <f t="shared" si="21"/>
        <v>92.199999999999989</v>
      </c>
      <c r="I221" s="5">
        <v>0</v>
      </c>
      <c r="J221" s="5">
        <v>1.5</v>
      </c>
      <c r="K221" s="5">
        <f t="shared" si="26"/>
        <v>227.29999999999993</v>
      </c>
      <c r="L221" s="5">
        <v>1.1000000000000001</v>
      </c>
      <c r="M221" s="5">
        <f t="shared" si="27"/>
        <v>181.89999999999986</v>
      </c>
      <c r="N221" s="5">
        <v>0.39999999999999991</v>
      </c>
      <c r="O221" s="5">
        <f t="shared" si="31"/>
        <v>108.50000000000001</v>
      </c>
      <c r="P221" s="5">
        <v>172</v>
      </c>
      <c r="Q221" s="24">
        <f t="shared" si="30"/>
        <v>1.05</v>
      </c>
      <c r="R221" s="9">
        <f t="shared" si="23"/>
        <v>1.1550000000000002</v>
      </c>
      <c r="S221" s="9">
        <f t="shared" si="24"/>
        <v>0.34499999999999975</v>
      </c>
      <c r="T221" s="9">
        <f t="shared" si="28"/>
        <v>132.49166964285718</v>
      </c>
      <c r="U221" s="9">
        <f>MAX(T212:T241)</f>
        <v>140.19966964285715</v>
      </c>
      <c r="V221" s="5">
        <v>858</v>
      </c>
      <c r="X221" s="5">
        <f t="shared" si="29"/>
        <v>89980.1</v>
      </c>
      <c r="Y221" s="5">
        <f t="shared" si="22"/>
        <v>6091</v>
      </c>
      <c r="AA221" s="5">
        <v>11.157342193318399</v>
      </c>
    </row>
    <row r="222" spans="1:27" s="5" customFormat="1" x14ac:dyDescent="0.25">
      <c r="A222" s="78"/>
      <c r="B222" s="10"/>
      <c r="C222" s="22">
        <v>40972</v>
      </c>
      <c r="D222" s="5">
        <v>8.1999999999999993</v>
      </c>
      <c r="E222" s="5">
        <v>6.7</v>
      </c>
      <c r="F222" s="5">
        <v>10.3</v>
      </c>
      <c r="G222" s="5">
        <f t="shared" si="25"/>
        <v>1655.8000000000002</v>
      </c>
      <c r="H222" s="5">
        <f t="shared" si="21"/>
        <v>100.39999999999999</v>
      </c>
      <c r="I222" s="23" t="s">
        <v>41</v>
      </c>
      <c r="J222" s="5">
        <v>4.3</v>
      </c>
      <c r="K222" s="5">
        <f t="shared" si="26"/>
        <v>231.59999999999994</v>
      </c>
      <c r="L222" s="5">
        <v>0.6</v>
      </c>
      <c r="M222" s="5">
        <f t="shared" si="27"/>
        <v>182.49999999999986</v>
      </c>
      <c r="N222" s="5">
        <v>3.6999999999999997</v>
      </c>
      <c r="O222" s="5">
        <f t="shared" si="31"/>
        <v>112.20000000000002</v>
      </c>
      <c r="P222" s="5">
        <v>173</v>
      </c>
      <c r="Q222" s="24">
        <f t="shared" si="30"/>
        <v>1.0549999999999999</v>
      </c>
      <c r="R222" s="9">
        <f t="shared" si="23"/>
        <v>0.6329999999999999</v>
      </c>
      <c r="S222" s="9">
        <f t="shared" si="24"/>
        <v>3.6669999999999998</v>
      </c>
      <c r="T222" s="9">
        <f t="shared" si="28"/>
        <v>136.15866964285718</v>
      </c>
      <c r="U222" s="23" t="s">
        <v>42</v>
      </c>
      <c r="V222" s="5">
        <v>254.2</v>
      </c>
      <c r="X222" s="5">
        <f t="shared" si="29"/>
        <v>90234.3</v>
      </c>
      <c r="Y222" s="5">
        <f t="shared" si="22"/>
        <v>6345.2</v>
      </c>
      <c r="AA222" s="5">
        <v>11.215516337560899</v>
      </c>
    </row>
    <row r="223" spans="1:27" s="5" customFormat="1" x14ac:dyDescent="0.25">
      <c r="A223" s="78"/>
      <c r="B223" s="10"/>
      <c r="C223" s="22">
        <v>40973</v>
      </c>
      <c r="D223" s="5">
        <v>5.6</v>
      </c>
      <c r="E223" s="5">
        <v>2</v>
      </c>
      <c r="F223" s="5">
        <v>11.4</v>
      </c>
      <c r="G223" s="5">
        <f t="shared" si="25"/>
        <v>1661.4</v>
      </c>
      <c r="H223" s="5">
        <f t="shared" si="21"/>
        <v>105.99999999999999</v>
      </c>
      <c r="I223" s="5">
        <v>15</v>
      </c>
      <c r="J223" s="5">
        <v>0.6</v>
      </c>
      <c r="K223" s="5">
        <f t="shared" si="26"/>
        <v>232.19999999999993</v>
      </c>
      <c r="L223" s="5">
        <v>1.6</v>
      </c>
      <c r="M223" s="5">
        <f t="shared" si="27"/>
        <v>184.09999999999985</v>
      </c>
      <c r="N223" s="5">
        <v>-1</v>
      </c>
      <c r="O223" s="5">
        <f t="shared" si="31"/>
        <v>111.20000000000002</v>
      </c>
      <c r="P223" s="5">
        <v>174</v>
      </c>
      <c r="Q223" s="24">
        <f t="shared" si="30"/>
        <v>1.06</v>
      </c>
      <c r="R223" s="9">
        <f t="shared" si="23"/>
        <v>1.6960000000000002</v>
      </c>
      <c r="S223" s="9">
        <f t="shared" si="24"/>
        <v>-1.0960000000000001</v>
      </c>
      <c r="T223" s="9">
        <f t="shared" si="28"/>
        <v>135.06266964285717</v>
      </c>
      <c r="U223" s="24">
        <f>AVERAGE(T212:T241)</f>
        <v>133.01826964285718</v>
      </c>
      <c r="V223" s="5">
        <v>908.9</v>
      </c>
      <c r="X223" s="5">
        <f t="shared" si="29"/>
        <v>91143.2</v>
      </c>
      <c r="Y223" s="5">
        <f t="shared" si="22"/>
        <v>7254.0999999999995</v>
      </c>
      <c r="AA223" s="5">
        <v>11.2737871859081</v>
      </c>
    </row>
    <row r="224" spans="1:27" s="5" customFormat="1" x14ac:dyDescent="0.25">
      <c r="A224" s="78"/>
      <c r="B224" s="10">
        <v>7</v>
      </c>
      <c r="C224" s="22">
        <v>40974</v>
      </c>
      <c r="D224" s="5">
        <v>4.8</v>
      </c>
      <c r="E224" s="5">
        <v>1.8</v>
      </c>
      <c r="F224" s="5">
        <v>9.8000000000000007</v>
      </c>
      <c r="G224" s="5">
        <f t="shared" si="25"/>
        <v>1666.2</v>
      </c>
      <c r="H224" s="5">
        <f t="shared" si="21"/>
        <v>110.79999999999998</v>
      </c>
      <c r="I224" s="23" t="s">
        <v>43</v>
      </c>
      <c r="J224" s="5">
        <v>0</v>
      </c>
      <c r="K224" s="5">
        <f t="shared" si="26"/>
        <v>232.19999999999993</v>
      </c>
      <c r="L224" s="5">
        <v>1.9</v>
      </c>
      <c r="M224" s="5">
        <f t="shared" si="27"/>
        <v>185.99999999999986</v>
      </c>
      <c r="N224" s="5">
        <v>-1.9</v>
      </c>
      <c r="O224" s="5">
        <f t="shared" si="31"/>
        <v>109.30000000000001</v>
      </c>
      <c r="P224" s="5">
        <v>175</v>
      </c>
      <c r="Q224" s="24">
        <f t="shared" si="30"/>
        <v>1.0649999999999999</v>
      </c>
      <c r="R224" s="9">
        <f t="shared" si="23"/>
        <v>2.0234999999999999</v>
      </c>
      <c r="S224" s="9">
        <f t="shared" si="24"/>
        <v>-2.0234999999999999</v>
      </c>
      <c r="T224" s="9">
        <f t="shared" si="28"/>
        <v>133.03916964285716</v>
      </c>
      <c r="V224" s="5">
        <v>1287.7</v>
      </c>
      <c r="X224" s="5">
        <f t="shared" si="29"/>
        <v>92430.9</v>
      </c>
      <c r="Y224" s="5">
        <f t="shared" si="22"/>
        <v>8541.7999999999993</v>
      </c>
      <c r="AA224" s="5">
        <v>11.332146202658601</v>
      </c>
    </row>
    <row r="225" spans="1:27" s="5" customFormat="1" x14ac:dyDescent="0.25">
      <c r="A225" s="78"/>
      <c r="B225" s="10"/>
      <c r="C225" s="22">
        <v>40975</v>
      </c>
      <c r="D225" s="5">
        <v>6.1</v>
      </c>
      <c r="E225" s="5">
        <v>0.7</v>
      </c>
      <c r="F225" s="5">
        <v>11.5</v>
      </c>
      <c r="G225" s="5">
        <f t="shared" si="25"/>
        <v>1672.3</v>
      </c>
      <c r="H225" s="5">
        <f t="shared" si="21"/>
        <v>116.89999999999998</v>
      </c>
      <c r="I225" s="5">
        <v>258.2</v>
      </c>
      <c r="J225" s="5">
        <v>3.2</v>
      </c>
      <c r="K225" s="5">
        <f t="shared" si="26"/>
        <v>235.39999999999992</v>
      </c>
      <c r="L225" s="5">
        <v>0.9</v>
      </c>
      <c r="M225" s="5">
        <f t="shared" si="27"/>
        <v>186.89999999999986</v>
      </c>
      <c r="N225" s="5">
        <v>2.3000000000000003</v>
      </c>
      <c r="O225" s="5">
        <f t="shared" si="31"/>
        <v>111.60000000000001</v>
      </c>
      <c r="P225" s="5">
        <v>176</v>
      </c>
      <c r="Q225" s="24">
        <f t="shared" si="30"/>
        <v>1.07</v>
      </c>
      <c r="R225" s="9">
        <f t="shared" si="23"/>
        <v>0.96300000000000008</v>
      </c>
      <c r="S225" s="9">
        <f t="shared" si="24"/>
        <v>2.2370000000000001</v>
      </c>
      <c r="T225" s="9">
        <f t="shared" si="28"/>
        <v>135.27616964285716</v>
      </c>
      <c r="U225" s="9">
        <f>(U223*100)/197.4</f>
        <v>67.385141663048216</v>
      </c>
      <c r="V225" s="5">
        <v>358.7</v>
      </c>
      <c r="X225" s="5">
        <f t="shared" si="29"/>
        <v>92789.599999999991</v>
      </c>
      <c r="Y225" s="5">
        <f t="shared" si="22"/>
        <v>8900.5</v>
      </c>
      <c r="AA225" s="5">
        <v>11.390585154468599</v>
      </c>
    </row>
    <row r="226" spans="1:27" s="5" customFormat="1" x14ac:dyDescent="0.25">
      <c r="A226" s="78"/>
      <c r="B226" s="10"/>
      <c r="C226" s="22">
        <v>40976</v>
      </c>
      <c r="D226" s="5">
        <v>6.1</v>
      </c>
      <c r="E226" s="5">
        <v>2.5</v>
      </c>
      <c r="F226" s="5">
        <v>12.1</v>
      </c>
      <c r="G226" s="5">
        <f t="shared" si="25"/>
        <v>1678.3999999999999</v>
      </c>
      <c r="H226" s="5">
        <f t="shared" si="21"/>
        <v>122.99999999999997</v>
      </c>
      <c r="J226" s="5">
        <v>0</v>
      </c>
      <c r="K226" s="5">
        <f t="shared" si="26"/>
        <v>235.39999999999992</v>
      </c>
      <c r="L226" s="5">
        <v>1.6</v>
      </c>
      <c r="M226" s="5">
        <f t="shared" si="27"/>
        <v>188.49999999999986</v>
      </c>
      <c r="N226" s="5">
        <v>-1.6</v>
      </c>
      <c r="O226" s="5">
        <f t="shared" si="31"/>
        <v>110.00000000000001</v>
      </c>
      <c r="P226" s="5">
        <v>177</v>
      </c>
      <c r="Q226" s="24">
        <f t="shared" si="30"/>
        <v>1.075</v>
      </c>
      <c r="R226" s="9">
        <f t="shared" si="23"/>
        <v>1.72</v>
      </c>
      <c r="S226" s="9">
        <f t="shared" si="24"/>
        <v>-1.72</v>
      </c>
      <c r="T226" s="9">
        <f t="shared" si="28"/>
        <v>133.55616964285716</v>
      </c>
      <c r="V226" s="5">
        <v>884.1</v>
      </c>
      <c r="X226" s="5">
        <f t="shared" si="29"/>
        <v>93673.7</v>
      </c>
      <c r="Y226" s="5">
        <f t="shared" si="22"/>
        <v>9784.6</v>
      </c>
      <c r="AA226" s="5">
        <v>11.4490960915339</v>
      </c>
    </row>
    <row r="227" spans="1:27" s="5" customFormat="1" x14ac:dyDescent="0.25">
      <c r="A227" s="78"/>
      <c r="B227" s="10"/>
      <c r="C227" s="22">
        <v>40977</v>
      </c>
      <c r="D227" s="5">
        <v>6.8</v>
      </c>
      <c r="E227" s="5">
        <v>-0.1</v>
      </c>
      <c r="F227" s="5">
        <v>14.2</v>
      </c>
      <c r="G227" s="5">
        <f t="shared" si="25"/>
        <v>1685.1999999999998</v>
      </c>
      <c r="H227" s="5">
        <f t="shared" si="21"/>
        <v>129.79999999999998</v>
      </c>
      <c r="J227" s="5">
        <v>0</v>
      </c>
      <c r="K227" s="5">
        <f t="shared" si="26"/>
        <v>235.39999999999992</v>
      </c>
      <c r="L227" s="5">
        <v>1.7</v>
      </c>
      <c r="M227" s="5">
        <f t="shared" si="27"/>
        <v>190.19999999999985</v>
      </c>
      <c r="N227" s="5">
        <v>-1.7</v>
      </c>
      <c r="O227" s="5">
        <f t="shared" si="31"/>
        <v>108.30000000000001</v>
      </c>
      <c r="P227" s="5">
        <v>178</v>
      </c>
      <c r="Q227" s="24">
        <f t="shared" si="30"/>
        <v>1.0799999999999998</v>
      </c>
      <c r="R227" s="9">
        <f t="shared" si="23"/>
        <v>1.8359999999999996</v>
      </c>
      <c r="S227" s="9">
        <f t="shared" si="24"/>
        <v>-1.8359999999999996</v>
      </c>
      <c r="T227" s="9">
        <f t="shared" si="28"/>
        <v>131.72016964285714</v>
      </c>
      <c r="V227" s="5">
        <v>1256.0999999999999</v>
      </c>
      <c r="X227" s="5">
        <f t="shared" si="29"/>
        <v>94929.8</v>
      </c>
      <c r="Y227" s="5">
        <f t="shared" si="22"/>
        <v>11040.7</v>
      </c>
      <c r="AA227" s="5">
        <v>11.507671328814601</v>
      </c>
    </row>
    <row r="228" spans="1:27" s="5" customFormat="1" x14ac:dyDescent="0.25">
      <c r="A228" s="78"/>
      <c r="B228" s="10"/>
      <c r="C228" s="22">
        <v>40978</v>
      </c>
      <c r="D228" s="5">
        <v>9.1999999999999993</v>
      </c>
      <c r="E228" s="5">
        <v>7.2</v>
      </c>
      <c r="F228" s="5">
        <v>12.1</v>
      </c>
      <c r="G228" s="5">
        <f t="shared" si="25"/>
        <v>1694.3999999999999</v>
      </c>
      <c r="H228" s="5">
        <f t="shared" si="21"/>
        <v>138.99999999999997</v>
      </c>
      <c r="J228" s="5">
        <v>0</v>
      </c>
      <c r="K228" s="5">
        <f t="shared" si="26"/>
        <v>235.39999999999992</v>
      </c>
      <c r="L228" s="5">
        <v>0.6</v>
      </c>
      <c r="M228" s="5">
        <f t="shared" si="27"/>
        <v>190.79999999999984</v>
      </c>
      <c r="N228" s="5">
        <v>-0.6</v>
      </c>
      <c r="O228" s="5">
        <f t="shared" si="31"/>
        <v>107.70000000000002</v>
      </c>
      <c r="P228" s="5">
        <v>179</v>
      </c>
      <c r="Q228" s="24">
        <f t="shared" si="30"/>
        <v>1.085</v>
      </c>
      <c r="R228" s="9">
        <f t="shared" si="23"/>
        <v>0.65099999999999991</v>
      </c>
      <c r="S228" s="9">
        <f t="shared" si="24"/>
        <v>-0.65099999999999991</v>
      </c>
      <c r="T228" s="9">
        <f t="shared" si="28"/>
        <v>131.06916964285713</v>
      </c>
      <c r="V228" s="5">
        <v>355.7</v>
      </c>
      <c r="X228" s="5">
        <f t="shared" si="29"/>
        <v>95285.5</v>
      </c>
      <c r="Y228" s="5">
        <f t="shared" si="22"/>
        <v>11396.400000000001</v>
      </c>
      <c r="AA228" s="5">
        <v>11.5663034273196</v>
      </c>
    </row>
    <row r="229" spans="1:27" s="5" customFormat="1" x14ac:dyDescent="0.25">
      <c r="A229" s="78"/>
      <c r="B229" s="10"/>
      <c r="C229" s="22">
        <v>40979</v>
      </c>
      <c r="D229" s="5">
        <v>9.4</v>
      </c>
      <c r="E229" s="5">
        <v>6.5</v>
      </c>
      <c r="F229" s="5">
        <v>12.1</v>
      </c>
      <c r="G229" s="5">
        <f t="shared" si="25"/>
        <v>1703.8</v>
      </c>
      <c r="H229" s="5">
        <f t="shared" si="21"/>
        <v>148.39999999999998</v>
      </c>
      <c r="J229" s="5">
        <v>0</v>
      </c>
      <c r="K229" s="5">
        <f t="shared" si="26"/>
        <v>235.39999999999992</v>
      </c>
      <c r="L229" s="5">
        <v>0.5</v>
      </c>
      <c r="M229" s="5">
        <f t="shared" si="27"/>
        <v>191.29999999999984</v>
      </c>
      <c r="N229" s="5">
        <v>-0.5</v>
      </c>
      <c r="O229" s="5">
        <f t="shared" si="31"/>
        <v>107.20000000000002</v>
      </c>
      <c r="P229" s="5">
        <v>180</v>
      </c>
      <c r="Q229" s="24">
        <f t="shared" si="30"/>
        <v>1.0899999999999999</v>
      </c>
      <c r="R229" s="9">
        <f t="shared" si="23"/>
        <v>0.54499999999999993</v>
      </c>
      <c r="S229" s="9">
        <f t="shared" si="24"/>
        <v>-0.54499999999999993</v>
      </c>
      <c r="T229" s="9">
        <f t="shared" si="28"/>
        <v>130.52416964285715</v>
      </c>
      <c r="V229" s="5">
        <v>413.6</v>
      </c>
      <c r="X229" s="5">
        <f t="shared" si="29"/>
        <v>95699.1</v>
      </c>
      <c r="Y229" s="5">
        <f t="shared" si="22"/>
        <v>11810.000000000002</v>
      </c>
      <c r="AA229" s="5">
        <v>11.6249851754635</v>
      </c>
    </row>
    <row r="230" spans="1:27" s="5" customFormat="1" x14ac:dyDescent="0.25">
      <c r="A230" s="78"/>
      <c r="B230" s="10"/>
      <c r="C230" s="22">
        <v>40980</v>
      </c>
      <c r="D230" s="5">
        <v>9.6</v>
      </c>
      <c r="E230" s="5">
        <v>2.8</v>
      </c>
      <c r="F230" s="5">
        <v>17</v>
      </c>
      <c r="G230" s="5">
        <f t="shared" si="25"/>
        <v>1713.3999999999999</v>
      </c>
      <c r="H230" s="5">
        <f t="shared" si="21"/>
        <v>157.99999999999997</v>
      </c>
      <c r="J230" s="5">
        <v>0</v>
      </c>
      <c r="K230" s="5">
        <f t="shared" si="26"/>
        <v>235.39999999999992</v>
      </c>
      <c r="L230" s="5">
        <v>2.2999999999999998</v>
      </c>
      <c r="M230" s="5">
        <f t="shared" si="27"/>
        <v>193.59999999999985</v>
      </c>
      <c r="N230" s="5">
        <v>-2.2999999999999998</v>
      </c>
      <c r="O230" s="5">
        <f t="shared" si="31"/>
        <v>104.90000000000002</v>
      </c>
      <c r="P230" s="5">
        <v>181</v>
      </c>
      <c r="Q230" s="24">
        <f t="shared" si="30"/>
        <v>1.095</v>
      </c>
      <c r="R230" s="9">
        <f t="shared" si="23"/>
        <v>2.5185</v>
      </c>
      <c r="S230" s="9">
        <f t="shared" si="24"/>
        <v>-2.5185</v>
      </c>
      <c r="T230" s="9">
        <f t="shared" si="28"/>
        <v>128.00566964285716</v>
      </c>
      <c r="V230" s="5">
        <v>1641.9</v>
      </c>
      <c r="X230" s="5">
        <f t="shared" si="29"/>
        <v>97341</v>
      </c>
      <c r="Y230" s="5">
        <f t="shared" si="22"/>
        <v>13451.900000000001</v>
      </c>
      <c r="AA230" s="5">
        <v>11.6837095705081</v>
      </c>
    </row>
    <row r="231" spans="1:27" s="5" customFormat="1" x14ac:dyDescent="0.25">
      <c r="A231" s="78"/>
      <c r="B231" s="10">
        <v>8</v>
      </c>
      <c r="C231" s="22">
        <v>40981</v>
      </c>
      <c r="D231" s="5">
        <v>9.1999999999999993</v>
      </c>
      <c r="E231" s="5">
        <v>5.0999999999999996</v>
      </c>
      <c r="F231" s="5">
        <v>14.8</v>
      </c>
      <c r="G231" s="5">
        <f t="shared" si="25"/>
        <v>1722.6</v>
      </c>
      <c r="H231" s="5">
        <f t="shared" si="21"/>
        <v>167.19999999999996</v>
      </c>
      <c r="J231" s="5">
        <v>0</v>
      </c>
      <c r="K231" s="5">
        <f t="shared" si="26"/>
        <v>235.39999999999992</v>
      </c>
      <c r="L231" s="5">
        <v>2</v>
      </c>
      <c r="M231" s="5">
        <f t="shared" si="27"/>
        <v>195.59999999999985</v>
      </c>
      <c r="N231" s="5">
        <v>-2</v>
      </c>
      <c r="O231" s="5">
        <f t="shared" si="31"/>
        <v>102.90000000000002</v>
      </c>
      <c r="P231" s="5">
        <v>182</v>
      </c>
      <c r="Q231" s="24">
        <f t="shared" si="30"/>
        <v>1.0999999999999999</v>
      </c>
      <c r="R231" s="9">
        <f t="shared" si="23"/>
        <v>2.1999999999999997</v>
      </c>
      <c r="S231" s="9">
        <f t="shared" si="24"/>
        <v>-2.1999999999999997</v>
      </c>
      <c r="T231" s="9">
        <f t="shared" si="28"/>
        <v>125.80566964285715</v>
      </c>
      <c r="V231" s="5">
        <v>1411.6</v>
      </c>
      <c r="X231" s="5">
        <f t="shared" si="29"/>
        <v>98752.6</v>
      </c>
      <c r="Y231" s="5">
        <f t="shared" si="22"/>
        <v>14863.500000000002</v>
      </c>
      <c r="AA231" s="5">
        <v>11.7424698000957</v>
      </c>
    </row>
    <row r="232" spans="1:27" s="5" customFormat="1" x14ac:dyDescent="0.25">
      <c r="A232" s="78"/>
      <c r="B232" s="10"/>
      <c r="C232" s="22">
        <v>40982</v>
      </c>
      <c r="D232" s="5">
        <v>10.199999999999999</v>
      </c>
      <c r="E232" s="5">
        <v>4.2</v>
      </c>
      <c r="F232" s="5">
        <v>15.3</v>
      </c>
      <c r="G232" s="5">
        <f t="shared" si="25"/>
        <v>1732.8</v>
      </c>
      <c r="H232" s="5">
        <f t="shared" si="21"/>
        <v>177.39999999999995</v>
      </c>
      <c r="J232" s="5">
        <v>0</v>
      </c>
      <c r="K232" s="5">
        <f t="shared" si="26"/>
        <v>235.39999999999992</v>
      </c>
      <c r="L232" s="5">
        <v>2.1</v>
      </c>
      <c r="M232" s="5">
        <f t="shared" si="27"/>
        <v>197.69999999999985</v>
      </c>
      <c r="N232" s="5">
        <v>-2.1</v>
      </c>
      <c r="O232" s="5">
        <f t="shared" si="31"/>
        <v>100.80000000000003</v>
      </c>
      <c r="P232" s="5">
        <v>183</v>
      </c>
      <c r="Q232" s="24">
        <f t="shared" si="30"/>
        <v>1.105</v>
      </c>
      <c r="R232" s="9">
        <f t="shared" si="23"/>
        <v>2.3205</v>
      </c>
      <c r="S232" s="9">
        <f t="shared" si="24"/>
        <v>-2.3205</v>
      </c>
      <c r="T232" s="9">
        <f t="shared" si="28"/>
        <v>123.48516964285716</v>
      </c>
      <c r="V232" s="5">
        <v>1663.1</v>
      </c>
      <c r="X232" s="5">
        <f t="shared" si="29"/>
        <v>100415.70000000001</v>
      </c>
      <c r="Y232" s="5">
        <f t="shared" si="22"/>
        <v>16526.600000000002</v>
      </c>
      <c r="AA232" s="5">
        <v>11.8012592238835</v>
      </c>
    </row>
    <row r="233" spans="1:27" s="5" customFormat="1" x14ac:dyDescent="0.25">
      <c r="A233" s="78"/>
      <c r="B233" s="10"/>
      <c r="C233" s="22">
        <v>40983</v>
      </c>
      <c r="D233" s="5">
        <v>10.4</v>
      </c>
      <c r="E233" s="5">
        <v>4.0999999999999996</v>
      </c>
      <c r="F233" s="5">
        <v>17.2</v>
      </c>
      <c r="G233" s="5">
        <f t="shared" si="25"/>
        <v>1743.2</v>
      </c>
      <c r="H233" s="5">
        <f t="shared" si="21"/>
        <v>187.79999999999995</v>
      </c>
      <c r="J233" s="5">
        <v>0</v>
      </c>
      <c r="K233" s="5">
        <f t="shared" si="26"/>
        <v>235.39999999999992</v>
      </c>
      <c r="L233" s="5">
        <v>2.2999999999999998</v>
      </c>
      <c r="M233" s="5">
        <f t="shared" si="27"/>
        <v>199.99999999999986</v>
      </c>
      <c r="N233" s="5">
        <v>-2.2999999999999998</v>
      </c>
      <c r="O233" s="5">
        <f t="shared" si="31"/>
        <v>98.500000000000028</v>
      </c>
      <c r="P233" s="5">
        <v>184</v>
      </c>
      <c r="Q233" s="24">
        <f t="shared" si="30"/>
        <v>1.1099999999999999</v>
      </c>
      <c r="R233" s="9">
        <f t="shared" si="23"/>
        <v>2.5529999999999995</v>
      </c>
      <c r="S233" s="9">
        <f t="shared" si="24"/>
        <v>-2.5529999999999995</v>
      </c>
      <c r="T233" s="9">
        <f t="shared" si="28"/>
        <v>120.93216964285716</v>
      </c>
      <c r="V233" s="5">
        <v>1568.7</v>
      </c>
      <c r="X233" s="5">
        <f t="shared" si="29"/>
        <v>101984.40000000001</v>
      </c>
      <c r="Y233" s="5">
        <f t="shared" si="22"/>
        <v>18095.300000000003</v>
      </c>
      <c r="AA233" s="5">
        <v>11.8600713552808</v>
      </c>
    </row>
    <row r="234" spans="1:27" s="5" customFormat="1" x14ac:dyDescent="0.25">
      <c r="A234" s="78"/>
      <c r="B234" s="10"/>
      <c r="C234" s="22">
        <v>40984</v>
      </c>
      <c r="D234" s="5">
        <v>9.3000000000000007</v>
      </c>
      <c r="E234" s="5">
        <v>8.1</v>
      </c>
      <c r="F234" s="5">
        <v>11</v>
      </c>
      <c r="G234" s="5">
        <f t="shared" si="25"/>
        <v>1752.5</v>
      </c>
      <c r="H234" s="5">
        <f t="shared" si="21"/>
        <v>197.09999999999997</v>
      </c>
      <c r="J234" s="5">
        <v>0</v>
      </c>
      <c r="K234" s="5">
        <f t="shared" si="26"/>
        <v>235.39999999999992</v>
      </c>
      <c r="L234" s="5">
        <v>0.9</v>
      </c>
      <c r="M234" s="5">
        <f t="shared" si="27"/>
        <v>200.89999999999986</v>
      </c>
      <c r="N234" s="5">
        <v>-0.9</v>
      </c>
      <c r="O234" s="5">
        <f t="shared" si="31"/>
        <v>97.600000000000023</v>
      </c>
      <c r="P234" s="5">
        <v>185</v>
      </c>
      <c r="Q234" s="24">
        <f t="shared" si="30"/>
        <v>1.115</v>
      </c>
      <c r="R234" s="9">
        <f t="shared" si="23"/>
        <v>1.0035000000000001</v>
      </c>
      <c r="S234" s="9">
        <f t="shared" si="24"/>
        <v>-1.0035000000000001</v>
      </c>
      <c r="T234" s="9">
        <f t="shared" si="28"/>
        <v>119.92866964285716</v>
      </c>
      <c r="V234" s="5">
        <v>648.1</v>
      </c>
      <c r="X234" s="5">
        <f t="shared" si="29"/>
        <v>102632.50000000001</v>
      </c>
      <c r="Y234" s="5">
        <f t="shared" si="22"/>
        <v>18743.400000000001</v>
      </c>
      <c r="AA234" s="5">
        <v>11.9188998432952</v>
      </c>
    </row>
    <row r="235" spans="1:27" s="5" customFormat="1" x14ac:dyDescent="0.25">
      <c r="A235" s="78"/>
      <c r="B235" s="10"/>
      <c r="C235" s="22">
        <v>40985</v>
      </c>
      <c r="D235" s="5">
        <v>8.4</v>
      </c>
      <c r="E235" s="5">
        <v>7</v>
      </c>
      <c r="F235" s="5">
        <v>10.9</v>
      </c>
      <c r="G235" s="5">
        <f t="shared" si="25"/>
        <v>1760.9</v>
      </c>
      <c r="H235" s="5">
        <f t="shared" si="21"/>
        <v>205.49999999999997</v>
      </c>
      <c r="J235" s="5">
        <v>13.7</v>
      </c>
      <c r="K235" s="5">
        <f t="shared" si="26"/>
        <v>249.09999999999991</v>
      </c>
      <c r="L235" s="5">
        <v>0.5</v>
      </c>
      <c r="M235" s="5">
        <f t="shared" si="27"/>
        <v>201.39999999999986</v>
      </c>
      <c r="N235" s="5">
        <v>13.2</v>
      </c>
      <c r="O235" s="5">
        <f t="shared" si="31"/>
        <v>110.80000000000003</v>
      </c>
      <c r="P235" s="5">
        <v>186</v>
      </c>
      <c r="Q235" s="24">
        <f t="shared" si="30"/>
        <v>1.1199999999999999</v>
      </c>
      <c r="R235" s="9">
        <f t="shared" si="23"/>
        <v>0.55999999999999994</v>
      </c>
      <c r="S235" s="9">
        <f t="shared" si="24"/>
        <v>13.139999999999999</v>
      </c>
      <c r="T235" s="9">
        <f t="shared" si="28"/>
        <v>133.06866964285715</v>
      </c>
      <c r="V235" s="5">
        <v>245.6</v>
      </c>
      <c r="X235" s="5">
        <f t="shared" si="29"/>
        <v>102878.10000000002</v>
      </c>
      <c r="Y235" s="5">
        <f t="shared" si="22"/>
        <v>18989</v>
      </c>
      <c r="AA235" s="5">
        <v>11.9777384544863</v>
      </c>
    </row>
    <row r="236" spans="1:27" s="5" customFormat="1" x14ac:dyDescent="0.25">
      <c r="A236" s="78"/>
      <c r="B236" s="10"/>
      <c r="C236" s="22">
        <v>40986</v>
      </c>
      <c r="D236" s="5">
        <v>5.8</v>
      </c>
      <c r="E236" s="5">
        <v>4.2</v>
      </c>
      <c r="F236" s="5">
        <v>8</v>
      </c>
      <c r="G236" s="5">
        <f t="shared" si="25"/>
        <v>1766.7</v>
      </c>
      <c r="H236" s="5">
        <f t="shared" si="21"/>
        <v>211.29999999999998</v>
      </c>
      <c r="J236" s="5">
        <v>5.6</v>
      </c>
      <c r="K236" s="5">
        <f t="shared" si="26"/>
        <v>254.6999999999999</v>
      </c>
      <c r="L236" s="5">
        <v>0.5</v>
      </c>
      <c r="M236" s="5">
        <f t="shared" si="27"/>
        <v>201.89999999999986</v>
      </c>
      <c r="N236" s="5">
        <v>5.0999999999999996</v>
      </c>
      <c r="O236" s="5">
        <f t="shared" si="31"/>
        <v>115.90000000000002</v>
      </c>
      <c r="P236" s="5">
        <v>187</v>
      </c>
      <c r="Q236" s="24">
        <f t="shared" si="30"/>
        <v>1.125</v>
      </c>
      <c r="R236" s="9">
        <f t="shared" si="23"/>
        <v>0.5625</v>
      </c>
      <c r="S236" s="9">
        <f t="shared" si="24"/>
        <v>5.0374999999999996</v>
      </c>
      <c r="T236" s="9">
        <f t="shared" si="28"/>
        <v>138.10616964285714</v>
      </c>
      <c r="V236" s="5">
        <v>294.60000000000002</v>
      </c>
      <c r="X236" s="5">
        <f t="shared" si="29"/>
        <v>103172.70000000003</v>
      </c>
      <c r="Y236" s="5">
        <f t="shared" si="22"/>
        <v>19283.599999999999</v>
      </c>
      <c r="AA236" s="5">
        <v>12.0365810550304</v>
      </c>
    </row>
    <row r="237" spans="1:27" s="5" customFormat="1" x14ac:dyDescent="0.25">
      <c r="A237" s="78"/>
      <c r="B237" s="10"/>
      <c r="C237" s="22">
        <v>40987</v>
      </c>
      <c r="D237" s="5">
        <v>6.8</v>
      </c>
      <c r="E237" s="5">
        <v>3.3</v>
      </c>
      <c r="F237" s="5">
        <v>12.6</v>
      </c>
      <c r="G237" s="5">
        <f t="shared" si="25"/>
        <v>1773.5</v>
      </c>
      <c r="H237" s="5">
        <f t="shared" si="21"/>
        <v>218.1</v>
      </c>
      <c r="J237" s="5">
        <v>0.1</v>
      </c>
      <c r="K237" s="5">
        <f t="shared" si="26"/>
        <v>254.7999999999999</v>
      </c>
      <c r="L237" s="5">
        <v>1.4</v>
      </c>
      <c r="M237" s="5">
        <f t="shared" si="27"/>
        <v>203.29999999999987</v>
      </c>
      <c r="N237" s="5">
        <v>-1.2999999999999998</v>
      </c>
      <c r="O237" s="5">
        <f t="shared" si="31"/>
        <v>114.60000000000002</v>
      </c>
      <c r="P237" s="5">
        <v>188</v>
      </c>
      <c r="Q237" s="24">
        <f t="shared" si="30"/>
        <v>1.1299999999999999</v>
      </c>
      <c r="R237" s="9">
        <f t="shared" si="23"/>
        <v>1.5819999999999999</v>
      </c>
      <c r="S237" s="9">
        <f t="shared" si="24"/>
        <v>-1.4819999999999998</v>
      </c>
      <c r="T237" s="9">
        <f t="shared" si="28"/>
        <v>136.62416964285714</v>
      </c>
      <c r="V237" s="5">
        <v>941.5</v>
      </c>
      <c r="X237" s="5">
        <f t="shared" si="29"/>
        <v>104114.20000000003</v>
      </c>
      <c r="Y237" s="5">
        <f t="shared" si="22"/>
        <v>20225.099999999999</v>
      </c>
      <c r="AA237" s="5">
        <v>12.095421592892601</v>
      </c>
    </row>
    <row r="238" spans="1:27" s="5" customFormat="1" x14ac:dyDescent="0.25">
      <c r="A238" s="78"/>
      <c r="B238" s="10">
        <v>9</v>
      </c>
      <c r="C238" s="22">
        <v>40988</v>
      </c>
      <c r="D238" s="5">
        <v>6.4</v>
      </c>
      <c r="E238" s="5">
        <v>0</v>
      </c>
      <c r="F238" s="5">
        <v>12.5</v>
      </c>
      <c r="G238" s="5">
        <f t="shared" si="25"/>
        <v>1779.9</v>
      </c>
      <c r="H238" s="5">
        <f t="shared" ref="H238:H301" si="32">H237+D238</f>
        <v>224.5</v>
      </c>
      <c r="J238" s="5">
        <v>0.1</v>
      </c>
      <c r="K238" s="5">
        <f t="shared" si="26"/>
        <v>254.89999999999989</v>
      </c>
      <c r="L238" s="5">
        <v>1</v>
      </c>
      <c r="M238" s="5">
        <f t="shared" si="27"/>
        <v>204.29999999999987</v>
      </c>
      <c r="N238" s="5">
        <v>-0.9</v>
      </c>
      <c r="O238" s="5">
        <f t="shared" si="31"/>
        <v>113.70000000000002</v>
      </c>
      <c r="P238" s="5">
        <v>189</v>
      </c>
      <c r="Q238" s="24">
        <f t="shared" si="30"/>
        <v>1.135</v>
      </c>
      <c r="R238" s="9">
        <f t="shared" si="23"/>
        <v>1.135</v>
      </c>
      <c r="S238" s="9">
        <f t="shared" si="24"/>
        <v>-1.0349999999999999</v>
      </c>
      <c r="T238" s="9">
        <f t="shared" si="28"/>
        <v>135.58916964285714</v>
      </c>
      <c r="V238" s="5">
        <v>890.9</v>
      </c>
      <c r="X238" s="5">
        <f t="shared" si="29"/>
        <v>105005.10000000002</v>
      </c>
      <c r="Y238" s="5">
        <f t="shared" ref="Y238:Y301" si="33">Y237+V238</f>
        <v>21116</v>
      </c>
      <c r="AA238" s="5">
        <v>12.1542540801066</v>
      </c>
    </row>
    <row r="239" spans="1:27" s="5" customFormat="1" x14ac:dyDescent="0.25">
      <c r="A239" s="78"/>
      <c r="B239" s="10"/>
      <c r="C239" s="22">
        <v>40989</v>
      </c>
      <c r="D239" s="5">
        <v>9.8000000000000007</v>
      </c>
      <c r="E239" s="5">
        <v>4</v>
      </c>
      <c r="F239" s="5">
        <v>13.7</v>
      </c>
      <c r="G239" s="5">
        <f t="shared" si="25"/>
        <v>1789.7</v>
      </c>
      <c r="H239" s="5">
        <f t="shared" si="32"/>
        <v>234.3</v>
      </c>
      <c r="J239" s="5">
        <v>0.2</v>
      </c>
      <c r="K239" s="5">
        <f t="shared" si="26"/>
        <v>255.09999999999988</v>
      </c>
      <c r="L239" s="5">
        <v>0.7</v>
      </c>
      <c r="M239" s="5">
        <f t="shared" si="27"/>
        <v>204.99999999999986</v>
      </c>
      <c r="N239" s="5">
        <v>-0.49999999999999994</v>
      </c>
      <c r="O239" s="5">
        <f t="shared" si="31"/>
        <v>113.20000000000002</v>
      </c>
      <c r="P239" s="5">
        <v>190</v>
      </c>
      <c r="Q239" s="24">
        <f t="shared" si="30"/>
        <v>1.1399999999999999</v>
      </c>
      <c r="R239" s="9">
        <f t="shared" si="23"/>
        <v>0.79799999999999993</v>
      </c>
      <c r="S239" s="9">
        <f t="shared" si="24"/>
        <v>-0.59799999999999986</v>
      </c>
      <c r="T239" s="9">
        <f t="shared" si="28"/>
        <v>134.99116964285713</v>
      </c>
      <c r="V239" s="5">
        <v>558.9</v>
      </c>
      <c r="X239" s="5">
        <f t="shared" si="29"/>
        <v>105564.00000000001</v>
      </c>
      <c r="Y239" s="5">
        <f t="shared" si="33"/>
        <v>21674.9</v>
      </c>
      <c r="AA239" s="5">
        <v>12.2130725751594</v>
      </c>
    </row>
    <row r="240" spans="1:27" s="5" customFormat="1" x14ac:dyDescent="0.25">
      <c r="A240" s="78"/>
      <c r="B240" s="10"/>
      <c r="C240" s="22">
        <v>40990</v>
      </c>
      <c r="D240" s="5">
        <v>12.1</v>
      </c>
      <c r="E240" s="5">
        <v>11.1</v>
      </c>
      <c r="F240" s="5">
        <v>14.7</v>
      </c>
      <c r="G240" s="5">
        <f t="shared" si="25"/>
        <v>1801.8</v>
      </c>
      <c r="H240" s="5">
        <f t="shared" si="32"/>
        <v>246.4</v>
      </c>
      <c r="J240" s="5">
        <v>0.2</v>
      </c>
      <c r="K240" s="5">
        <f t="shared" si="26"/>
        <v>255.29999999999987</v>
      </c>
      <c r="L240" s="5">
        <v>2</v>
      </c>
      <c r="M240" s="5">
        <f t="shared" si="27"/>
        <v>206.99999999999986</v>
      </c>
      <c r="N240" s="5">
        <v>-1.8</v>
      </c>
      <c r="O240" s="5">
        <f t="shared" si="31"/>
        <v>111.40000000000002</v>
      </c>
      <c r="P240" s="5">
        <v>191</v>
      </c>
      <c r="Q240" s="24">
        <f t="shared" si="30"/>
        <v>1.145</v>
      </c>
      <c r="R240" s="9">
        <f t="shared" si="23"/>
        <v>2.29</v>
      </c>
      <c r="S240" s="9">
        <f t="shared" si="24"/>
        <v>-2.09</v>
      </c>
      <c r="T240" s="9">
        <f t="shared" si="28"/>
        <v>132.90116964285713</v>
      </c>
      <c r="V240" s="5">
        <v>1104.4000000000001</v>
      </c>
      <c r="W240" s="25"/>
      <c r="X240" s="5">
        <f t="shared" si="29"/>
        <v>106668.40000000001</v>
      </c>
      <c r="Y240" s="5">
        <f t="shared" si="33"/>
        <v>22779.300000000003</v>
      </c>
      <c r="AA240" s="5">
        <v>12.2718711654767</v>
      </c>
    </row>
    <row r="241" spans="1:27" s="50" customFormat="1" ht="15" customHeight="1" thickBot="1" x14ac:dyDescent="0.3">
      <c r="A241" s="78"/>
      <c r="B241" s="48"/>
      <c r="C241" s="49">
        <v>40991</v>
      </c>
      <c r="D241" s="50">
        <v>11.8</v>
      </c>
      <c r="E241" s="51">
        <v>3.2</v>
      </c>
      <c r="F241" s="50">
        <v>20.100000000000001</v>
      </c>
      <c r="G241" s="50">
        <f t="shared" si="25"/>
        <v>1813.6</v>
      </c>
      <c r="H241" s="50">
        <f t="shared" si="32"/>
        <v>258.2</v>
      </c>
      <c r="J241" s="50">
        <v>0</v>
      </c>
      <c r="K241" s="50">
        <f t="shared" si="26"/>
        <v>255.29999999999987</v>
      </c>
      <c r="L241" s="50">
        <v>2.6</v>
      </c>
      <c r="M241" s="50">
        <f t="shared" si="27"/>
        <v>209.59999999999985</v>
      </c>
      <c r="N241" s="51">
        <v>-2.6</v>
      </c>
      <c r="O241" s="50">
        <f t="shared" si="31"/>
        <v>108.80000000000003</v>
      </c>
      <c r="P241" s="50">
        <v>192</v>
      </c>
      <c r="Q241" s="64">
        <f t="shared" si="30"/>
        <v>1.1499999999999999</v>
      </c>
      <c r="R241" s="52">
        <f t="shared" si="23"/>
        <v>2.9899999999999998</v>
      </c>
      <c r="S241" s="52">
        <f t="shared" si="24"/>
        <v>-2.9899999999999998</v>
      </c>
      <c r="T241" s="52">
        <f t="shared" si="28"/>
        <v>129.91116964285712</v>
      </c>
      <c r="V241" s="50">
        <v>1534.1</v>
      </c>
      <c r="X241" s="50">
        <f t="shared" si="29"/>
        <v>108202.50000000001</v>
      </c>
      <c r="Y241" s="50">
        <f t="shared" si="33"/>
        <v>24313.4</v>
      </c>
      <c r="AA241" s="50">
        <v>12.3306439500082</v>
      </c>
    </row>
    <row r="242" spans="1:27" s="25" customFormat="1" x14ac:dyDescent="0.25">
      <c r="A242" s="28" t="s">
        <v>47</v>
      </c>
      <c r="B242" s="59"/>
      <c r="C242" s="60">
        <v>40992</v>
      </c>
      <c r="D242" s="25">
        <v>13</v>
      </c>
      <c r="E242" s="25">
        <v>5.5</v>
      </c>
      <c r="F242" s="25">
        <v>21.8</v>
      </c>
      <c r="G242" s="25">
        <f t="shared" si="25"/>
        <v>1826.6</v>
      </c>
      <c r="H242" s="25">
        <f>D242</f>
        <v>13</v>
      </c>
      <c r="I242" s="30" t="s">
        <v>28</v>
      </c>
      <c r="J242" s="25">
        <v>0</v>
      </c>
      <c r="K242" s="25">
        <f t="shared" si="26"/>
        <v>255.29999999999987</v>
      </c>
      <c r="L242" s="25">
        <v>3.1</v>
      </c>
      <c r="M242" s="25">
        <f t="shared" si="27"/>
        <v>212.69999999999985</v>
      </c>
      <c r="N242" s="25">
        <v>-3.1</v>
      </c>
      <c r="O242" s="25">
        <f t="shared" si="31"/>
        <v>105.70000000000003</v>
      </c>
      <c r="P242" s="25">
        <v>193</v>
      </c>
      <c r="Q242" s="57">
        <f t="shared" ref="Q242" si="34">1+((P242-162)/31)*(1.15-1)</f>
        <v>1.1499999999999999</v>
      </c>
      <c r="R242" s="58">
        <f t="shared" ref="R242:R305" si="35">Q242*L242</f>
        <v>3.5649999999999999</v>
      </c>
      <c r="S242" s="58">
        <f t="shared" ref="S242:S305" si="36">J242-R242</f>
        <v>-3.5649999999999999</v>
      </c>
      <c r="T242" s="58">
        <f t="shared" si="28"/>
        <v>126.34616964285712</v>
      </c>
      <c r="U242" s="30" t="s">
        <v>51</v>
      </c>
      <c r="V242" s="25">
        <v>1829.1</v>
      </c>
      <c r="X242" s="25">
        <f t="shared" si="29"/>
        <v>110031.60000000002</v>
      </c>
      <c r="Y242" s="25">
        <f>V242</f>
        <v>1829.1</v>
      </c>
      <c r="Z242" s="30" t="s">
        <v>53</v>
      </c>
      <c r="AA242" s="25">
        <v>12.389385021906101</v>
      </c>
    </row>
    <row r="243" spans="1:27" s="5" customFormat="1" x14ac:dyDescent="0.25">
      <c r="A243" s="31"/>
      <c r="B243" s="6"/>
      <c r="C243" s="29">
        <v>40993</v>
      </c>
      <c r="D243" s="5">
        <v>12.7</v>
      </c>
      <c r="E243" s="5">
        <v>4.8</v>
      </c>
      <c r="F243" s="5">
        <v>21.9</v>
      </c>
      <c r="G243" s="5">
        <f t="shared" si="25"/>
        <v>1839.3</v>
      </c>
      <c r="H243" s="25">
        <f t="shared" si="32"/>
        <v>25.7</v>
      </c>
      <c r="I243" s="5">
        <f>MIN(E242:E262)</f>
        <v>1</v>
      </c>
      <c r="J243" s="5">
        <v>0</v>
      </c>
      <c r="K243" s="5">
        <f t="shared" si="26"/>
        <v>255.29999999999987</v>
      </c>
      <c r="L243" s="5">
        <v>3.5</v>
      </c>
      <c r="M243" s="5">
        <f t="shared" si="27"/>
        <v>216.19999999999985</v>
      </c>
      <c r="N243" s="5">
        <v>-3.5</v>
      </c>
      <c r="O243" s="5">
        <f t="shared" si="31"/>
        <v>102.20000000000003</v>
      </c>
      <c r="P243" s="5">
        <v>194</v>
      </c>
      <c r="Q243" s="5">
        <v>1.1499999999999999</v>
      </c>
      <c r="R243" s="9">
        <f t="shared" si="35"/>
        <v>4.0249999999999995</v>
      </c>
      <c r="S243" s="9">
        <f t="shared" si="36"/>
        <v>-4.0249999999999995</v>
      </c>
      <c r="T243" s="9">
        <f t="shared" si="28"/>
        <v>122.32116964285711</v>
      </c>
      <c r="U243" s="5">
        <v>0</v>
      </c>
      <c r="V243" s="5">
        <v>2052.8000000000002</v>
      </c>
      <c r="X243" s="5">
        <f t="shared" si="29"/>
        <v>112084.40000000002</v>
      </c>
      <c r="Y243" s="25">
        <f t="shared" si="33"/>
        <v>3881.9</v>
      </c>
      <c r="Z243" s="5">
        <v>34162.199999999997</v>
      </c>
      <c r="AA243" s="5">
        <v>12.4480884512964</v>
      </c>
    </row>
    <row r="244" spans="1:27" s="5" customFormat="1" x14ac:dyDescent="0.25">
      <c r="A244" s="31"/>
      <c r="B244" s="6"/>
      <c r="C244" s="29">
        <v>40994</v>
      </c>
      <c r="D244" s="5">
        <v>13.9</v>
      </c>
      <c r="E244" s="5">
        <v>6.2</v>
      </c>
      <c r="F244" s="5">
        <v>22.8</v>
      </c>
      <c r="G244" s="5">
        <f t="shared" ref="G244:G307" si="37">G243+D244</f>
        <v>1853.2</v>
      </c>
      <c r="H244" s="25">
        <f t="shared" si="32"/>
        <v>39.6</v>
      </c>
      <c r="I244" s="30" t="s">
        <v>31</v>
      </c>
      <c r="J244" s="5">
        <v>0</v>
      </c>
      <c r="K244" s="5">
        <f t="shared" ref="K244:K307" si="38">K243+J244</f>
        <v>255.29999999999987</v>
      </c>
      <c r="L244" s="5">
        <v>4.2</v>
      </c>
      <c r="M244" s="5">
        <f t="shared" ref="M244:M307" si="39">M243+L244</f>
        <v>220.39999999999984</v>
      </c>
      <c r="N244" s="5">
        <v>-4.2</v>
      </c>
      <c r="O244" s="5">
        <f t="shared" si="31"/>
        <v>98.000000000000028</v>
      </c>
      <c r="P244" s="5">
        <v>195</v>
      </c>
      <c r="Q244" s="5">
        <v>1.1499999999999999</v>
      </c>
      <c r="R244" s="9">
        <f t="shared" si="35"/>
        <v>4.83</v>
      </c>
      <c r="S244" s="9">
        <f t="shared" si="36"/>
        <v>-4.83</v>
      </c>
      <c r="T244" s="9">
        <f t="shared" ref="T244:T307" si="40">MIN(197.4,(T243+S244))</f>
        <v>117.49116964285712</v>
      </c>
      <c r="U244" s="30" t="s">
        <v>52</v>
      </c>
      <c r="V244" s="5">
        <v>2053.6</v>
      </c>
      <c r="X244" s="5">
        <f t="shared" ref="X244:X307" si="41">X243+V244</f>
        <v>114138.00000000003</v>
      </c>
      <c r="Y244" s="25">
        <f t="shared" si="33"/>
        <v>5935.5</v>
      </c>
      <c r="Z244" s="30" t="s">
        <v>33</v>
      </c>
      <c r="AA244" s="5">
        <v>12.506748268137301</v>
      </c>
    </row>
    <row r="245" spans="1:27" s="5" customFormat="1" x14ac:dyDescent="0.25">
      <c r="A245" s="31"/>
      <c r="B245" s="6"/>
      <c r="C245" s="29">
        <v>40995</v>
      </c>
      <c r="D245" s="5">
        <v>13.2</v>
      </c>
      <c r="E245" s="5">
        <v>5.6</v>
      </c>
      <c r="F245" s="5">
        <v>21.7</v>
      </c>
      <c r="G245" s="5">
        <f t="shared" si="37"/>
        <v>1866.4</v>
      </c>
      <c r="H245" s="25">
        <f t="shared" si="32"/>
        <v>52.8</v>
      </c>
      <c r="I245" s="5">
        <f>MAX(F242:F262)</f>
        <v>22.8</v>
      </c>
      <c r="J245" s="5">
        <v>0</v>
      </c>
      <c r="K245" s="5">
        <f t="shared" si="38"/>
        <v>255.29999999999987</v>
      </c>
      <c r="L245" s="5">
        <v>4</v>
      </c>
      <c r="M245" s="5">
        <f t="shared" si="39"/>
        <v>224.39999999999984</v>
      </c>
      <c r="N245" s="5">
        <v>-4</v>
      </c>
      <c r="O245" s="5">
        <f t="shared" si="31"/>
        <v>94.000000000000028</v>
      </c>
      <c r="P245" s="5">
        <v>196</v>
      </c>
      <c r="Q245" s="5">
        <v>1.1499999999999999</v>
      </c>
      <c r="R245" s="9">
        <f t="shared" si="35"/>
        <v>4.5999999999999996</v>
      </c>
      <c r="S245" s="9">
        <f t="shared" si="36"/>
        <v>-4.5999999999999996</v>
      </c>
      <c r="T245" s="9">
        <f t="shared" si="40"/>
        <v>112.89116964285712</v>
      </c>
      <c r="U245" s="5">
        <v>0</v>
      </c>
      <c r="V245" s="5">
        <v>2133.6</v>
      </c>
      <c r="X245" s="5">
        <f t="shared" si="41"/>
        <v>116271.60000000003</v>
      </c>
      <c r="Y245" s="25">
        <f t="shared" si="33"/>
        <v>8069.1</v>
      </c>
      <c r="Z245" s="5">
        <f>(Z243/100)/I255</f>
        <v>1.6152340425531913</v>
      </c>
      <c r="AA245" s="5">
        <v>12.565358445162101</v>
      </c>
    </row>
    <row r="246" spans="1:27" s="5" customFormat="1" x14ac:dyDescent="0.25">
      <c r="A246" s="31"/>
      <c r="B246" s="6"/>
      <c r="C246" s="29">
        <v>40996</v>
      </c>
      <c r="D246" s="5">
        <v>13.1</v>
      </c>
      <c r="E246" s="5">
        <v>4.8</v>
      </c>
      <c r="F246" s="5">
        <v>22.5</v>
      </c>
      <c r="G246" s="5">
        <f t="shared" si="37"/>
        <v>1879.5</v>
      </c>
      <c r="H246" s="25">
        <f t="shared" si="32"/>
        <v>65.899999999999991</v>
      </c>
      <c r="I246" s="30" t="s">
        <v>34</v>
      </c>
      <c r="J246" s="5">
        <v>0</v>
      </c>
      <c r="K246" s="5">
        <f t="shared" si="38"/>
        <v>255.29999999999987</v>
      </c>
      <c r="L246" s="5">
        <v>3.8</v>
      </c>
      <c r="M246" s="5">
        <f t="shared" si="39"/>
        <v>228.19999999999985</v>
      </c>
      <c r="N246" s="5">
        <v>-3.8</v>
      </c>
      <c r="O246" s="5">
        <f t="shared" si="31"/>
        <v>90.200000000000031</v>
      </c>
      <c r="P246" s="5">
        <v>197</v>
      </c>
      <c r="Q246" s="5">
        <v>1.1499999999999999</v>
      </c>
      <c r="R246" s="9">
        <f t="shared" si="35"/>
        <v>4.3699999999999992</v>
      </c>
      <c r="S246" s="9">
        <f t="shared" si="36"/>
        <v>-4.3699999999999992</v>
      </c>
      <c r="T246" s="9">
        <f t="shared" si="40"/>
        <v>108.52116964285712</v>
      </c>
      <c r="U246" s="30" t="s">
        <v>38</v>
      </c>
      <c r="V246" s="5">
        <v>2121.6999999999998</v>
      </c>
      <c r="X246" s="5">
        <f t="shared" si="41"/>
        <v>118393.30000000003</v>
      </c>
      <c r="Y246" s="25">
        <f t="shared" si="33"/>
        <v>10190.799999999999</v>
      </c>
      <c r="Z246" s="30" t="s">
        <v>36</v>
      </c>
      <c r="AA246" s="5">
        <v>12.6239128809042</v>
      </c>
    </row>
    <row r="247" spans="1:27" s="5" customFormat="1" x14ac:dyDescent="0.25">
      <c r="A247" s="28" t="s">
        <v>48</v>
      </c>
      <c r="B247" s="6"/>
      <c r="C247" s="29">
        <v>40997</v>
      </c>
      <c r="D247" s="5">
        <v>12.1</v>
      </c>
      <c r="E247" s="5">
        <v>5.4</v>
      </c>
      <c r="F247" s="5">
        <v>20.9</v>
      </c>
      <c r="G247" s="5">
        <f t="shared" si="37"/>
        <v>1891.6</v>
      </c>
      <c r="H247" s="25">
        <f t="shared" si="32"/>
        <v>77.999999999999986</v>
      </c>
      <c r="I247" s="9">
        <f>AVERAGE(D242:D262)</f>
        <v>10.071428571428569</v>
      </c>
      <c r="J247" s="5">
        <v>0</v>
      </c>
      <c r="K247" s="5">
        <f t="shared" si="38"/>
        <v>255.29999999999987</v>
      </c>
      <c r="L247" s="5">
        <v>3.7</v>
      </c>
      <c r="M247" s="5">
        <f t="shared" si="39"/>
        <v>231.89999999999984</v>
      </c>
      <c r="N247" s="5">
        <v>-3.7</v>
      </c>
      <c r="O247" s="5">
        <f t="shared" si="31"/>
        <v>86.500000000000028</v>
      </c>
      <c r="P247" s="5">
        <v>198</v>
      </c>
      <c r="Q247" s="5">
        <v>1.1499999999999999</v>
      </c>
      <c r="R247" s="9">
        <f t="shared" si="35"/>
        <v>4.2549999999999999</v>
      </c>
      <c r="S247" s="9">
        <f t="shared" si="36"/>
        <v>-4.2549999999999999</v>
      </c>
      <c r="T247" s="9">
        <f t="shared" si="40"/>
        <v>104.26616964285712</v>
      </c>
      <c r="U247" s="9">
        <f>MIN(T242:T262)</f>
        <v>77.941169642857119</v>
      </c>
      <c r="V247" s="5">
        <v>2106</v>
      </c>
      <c r="X247" s="5">
        <f t="shared" si="41"/>
        <v>120499.30000000003</v>
      </c>
      <c r="Y247" s="25">
        <f t="shared" si="33"/>
        <v>12296.8</v>
      </c>
      <c r="Z247" s="5">
        <v>3</v>
      </c>
      <c r="AA247" s="5">
        <v>12.6824053828018</v>
      </c>
    </row>
    <row r="248" spans="1:27" s="5" customFormat="1" x14ac:dyDescent="0.25">
      <c r="A248" s="31"/>
      <c r="B248" s="6"/>
      <c r="C248" s="29">
        <v>40998</v>
      </c>
      <c r="D248" s="5">
        <v>11.6</v>
      </c>
      <c r="E248" s="5">
        <v>4.9000000000000004</v>
      </c>
      <c r="F248" s="5">
        <v>18.8</v>
      </c>
      <c r="G248" s="5">
        <f t="shared" si="37"/>
        <v>1903.1999999999998</v>
      </c>
      <c r="H248" s="25">
        <f t="shared" si="32"/>
        <v>89.59999999999998</v>
      </c>
      <c r="I248" s="30" t="s">
        <v>37</v>
      </c>
      <c r="J248" s="5">
        <v>0</v>
      </c>
      <c r="K248" s="5">
        <f t="shared" si="38"/>
        <v>255.29999999999987</v>
      </c>
      <c r="L248" s="5">
        <v>3.2</v>
      </c>
      <c r="M248" s="5">
        <f t="shared" si="39"/>
        <v>235.09999999999982</v>
      </c>
      <c r="N248" s="5">
        <v>-3.2</v>
      </c>
      <c r="O248" s="5">
        <f t="shared" si="31"/>
        <v>83.300000000000026</v>
      </c>
      <c r="P248" s="5">
        <v>199</v>
      </c>
      <c r="Q248" s="5">
        <v>1.1499999999999999</v>
      </c>
      <c r="R248" s="9">
        <f t="shared" si="35"/>
        <v>3.6799999999999997</v>
      </c>
      <c r="S248" s="9">
        <f t="shared" si="36"/>
        <v>-3.6799999999999997</v>
      </c>
      <c r="T248" s="9">
        <f t="shared" si="40"/>
        <v>100.58616964285713</v>
      </c>
      <c r="U248" s="30" t="s">
        <v>40</v>
      </c>
      <c r="V248" s="5">
        <v>2044.8</v>
      </c>
      <c r="X248" s="5">
        <f t="shared" si="41"/>
        <v>122544.10000000003</v>
      </c>
      <c r="Y248" s="25">
        <f t="shared" si="33"/>
        <v>14341.599999999999</v>
      </c>
      <c r="AA248" s="5">
        <v>12.7408296503808</v>
      </c>
    </row>
    <row r="249" spans="1:27" s="5" customFormat="1" x14ac:dyDescent="0.25">
      <c r="A249" s="31"/>
      <c r="B249" s="6"/>
      <c r="C249" s="29">
        <v>40999</v>
      </c>
      <c r="D249" s="5">
        <v>10.4</v>
      </c>
      <c r="E249" s="5">
        <v>6.3</v>
      </c>
      <c r="F249" s="5">
        <v>17.399999999999999</v>
      </c>
      <c r="G249" s="5">
        <f t="shared" si="37"/>
        <v>1913.6</v>
      </c>
      <c r="H249" s="25">
        <f t="shared" si="32"/>
        <v>99.999999999999986</v>
      </c>
      <c r="I249" s="5">
        <v>0</v>
      </c>
      <c r="J249" s="5">
        <v>0</v>
      </c>
      <c r="K249" s="5">
        <f t="shared" si="38"/>
        <v>255.29999999999987</v>
      </c>
      <c r="L249" s="5">
        <v>2.4</v>
      </c>
      <c r="M249" s="5">
        <f t="shared" si="39"/>
        <v>237.49999999999983</v>
      </c>
      <c r="N249" s="5">
        <v>-2.4</v>
      </c>
      <c r="O249" s="5">
        <f t="shared" si="31"/>
        <v>80.90000000000002</v>
      </c>
      <c r="P249" s="5">
        <v>200</v>
      </c>
      <c r="Q249" s="5">
        <v>1.1499999999999999</v>
      </c>
      <c r="R249" s="9">
        <f t="shared" si="35"/>
        <v>2.76</v>
      </c>
      <c r="S249" s="9">
        <f t="shared" si="36"/>
        <v>-2.76</v>
      </c>
      <c r="T249" s="9">
        <f t="shared" si="40"/>
        <v>97.826169642857124</v>
      </c>
      <c r="U249" s="9">
        <f>MAX(T242:T262)</f>
        <v>126.34616964285712</v>
      </c>
      <c r="V249" s="5">
        <v>1419.2</v>
      </c>
      <c r="X249" s="5">
        <f t="shared" si="41"/>
        <v>123963.30000000003</v>
      </c>
      <c r="Y249" s="25">
        <f t="shared" si="33"/>
        <v>15760.8</v>
      </c>
      <c r="AA249" s="5">
        <v>12.7991792585143</v>
      </c>
    </row>
    <row r="250" spans="1:27" s="5" customFormat="1" x14ac:dyDescent="0.25">
      <c r="A250" s="31"/>
      <c r="B250" s="6"/>
      <c r="C250" s="29">
        <v>41000</v>
      </c>
      <c r="D250" s="5">
        <v>8.3000000000000007</v>
      </c>
      <c r="E250" s="26">
        <v>3.3</v>
      </c>
      <c r="F250" s="5">
        <v>11.7</v>
      </c>
      <c r="G250" s="5">
        <f t="shared" si="37"/>
        <v>1921.8999999999999</v>
      </c>
      <c r="H250" s="25">
        <f t="shared" si="32"/>
        <v>108.29999999999998</v>
      </c>
      <c r="I250" s="30" t="s">
        <v>39</v>
      </c>
      <c r="J250" s="5">
        <v>0</v>
      </c>
      <c r="K250" s="5">
        <f t="shared" si="38"/>
        <v>255.29999999999987</v>
      </c>
      <c r="L250" s="5">
        <v>2.8</v>
      </c>
      <c r="M250" s="5">
        <f t="shared" si="39"/>
        <v>240.29999999999984</v>
      </c>
      <c r="N250" s="26">
        <v>-2.8</v>
      </c>
      <c r="O250" s="5">
        <f t="shared" si="31"/>
        <v>78.100000000000023</v>
      </c>
      <c r="P250" s="5">
        <v>201</v>
      </c>
      <c r="Q250" s="5">
        <v>1.1499999999999999</v>
      </c>
      <c r="R250" s="9">
        <f t="shared" si="35"/>
        <v>3.2199999999999998</v>
      </c>
      <c r="S250" s="9">
        <f t="shared" si="36"/>
        <v>-3.2199999999999998</v>
      </c>
      <c r="T250" s="9">
        <f t="shared" si="40"/>
        <v>94.606169642857125</v>
      </c>
      <c r="U250" s="30" t="s">
        <v>42</v>
      </c>
      <c r="V250" s="5">
        <v>2148.1999999999998</v>
      </c>
      <c r="W250" s="32"/>
      <c r="X250" s="25">
        <f t="shared" si="41"/>
        <v>126111.50000000003</v>
      </c>
      <c r="Y250" s="25">
        <f t="shared" si="33"/>
        <v>17909</v>
      </c>
      <c r="AA250" s="5">
        <v>12.8574476407617</v>
      </c>
    </row>
    <row r="251" spans="1:27" s="5" customFormat="1" ht="15" customHeight="1" x14ac:dyDescent="0.25">
      <c r="A251" s="31"/>
      <c r="B251" s="6"/>
      <c r="C251" s="29">
        <v>41001</v>
      </c>
      <c r="D251" s="5">
        <v>8.1</v>
      </c>
      <c r="E251" s="5">
        <v>1.7</v>
      </c>
      <c r="F251" s="5">
        <v>16.600000000000001</v>
      </c>
      <c r="G251" s="5">
        <f t="shared" si="37"/>
        <v>1929.9999999999998</v>
      </c>
      <c r="H251" s="25">
        <f t="shared" si="32"/>
        <v>116.39999999999998</v>
      </c>
      <c r="I251" s="26">
        <v>0</v>
      </c>
      <c r="J251" s="5">
        <v>0</v>
      </c>
      <c r="K251" s="5">
        <f t="shared" si="38"/>
        <v>255.29999999999987</v>
      </c>
      <c r="L251" s="5">
        <v>3.4</v>
      </c>
      <c r="M251" s="5">
        <f t="shared" si="39"/>
        <v>243.69999999999985</v>
      </c>
      <c r="N251" s="5">
        <v>-3.4</v>
      </c>
      <c r="O251" s="5">
        <f t="shared" si="31"/>
        <v>74.700000000000017</v>
      </c>
      <c r="P251" s="5">
        <v>202</v>
      </c>
      <c r="Q251" s="5">
        <v>1.1499999999999999</v>
      </c>
      <c r="R251" s="9">
        <f t="shared" si="35"/>
        <v>3.9099999999999997</v>
      </c>
      <c r="S251" s="9">
        <f t="shared" si="36"/>
        <v>-3.9099999999999997</v>
      </c>
      <c r="T251" s="9">
        <f t="shared" si="40"/>
        <v>90.696169642857129</v>
      </c>
      <c r="U251" s="24">
        <f>AVERAGE(T242:T262)</f>
        <v>96.588074404761869</v>
      </c>
      <c r="V251" s="5">
        <v>2228.8000000000002</v>
      </c>
      <c r="X251" s="5">
        <f t="shared" si="41"/>
        <v>128340.30000000003</v>
      </c>
      <c r="Y251" s="25">
        <f t="shared" si="33"/>
        <v>20137.8</v>
      </c>
      <c r="AA251" s="5">
        <v>12.915628072785401</v>
      </c>
    </row>
    <row r="252" spans="1:27" s="5" customFormat="1" x14ac:dyDescent="0.25">
      <c r="A252" s="31"/>
      <c r="B252" s="6"/>
      <c r="C252" s="29">
        <v>41002</v>
      </c>
      <c r="D252" s="5">
        <v>7.2</v>
      </c>
      <c r="E252" s="5">
        <v>1.6</v>
      </c>
      <c r="F252" s="5">
        <v>12.3</v>
      </c>
      <c r="G252" s="5">
        <f t="shared" si="37"/>
        <v>1937.1999999999998</v>
      </c>
      <c r="H252" s="25">
        <f t="shared" si="32"/>
        <v>123.59999999999998</v>
      </c>
      <c r="I252" s="30" t="s">
        <v>41</v>
      </c>
      <c r="J252" s="5">
        <v>0.1</v>
      </c>
      <c r="K252" s="5">
        <f t="shared" si="38"/>
        <v>255.39999999999986</v>
      </c>
      <c r="L252" s="5">
        <v>1.7</v>
      </c>
      <c r="M252" s="5">
        <f t="shared" si="39"/>
        <v>245.39999999999984</v>
      </c>
      <c r="N252" s="5">
        <v>-1.5999999999999999</v>
      </c>
      <c r="O252" s="5">
        <f t="shared" si="31"/>
        <v>73.100000000000023</v>
      </c>
      <c r="P252" s="5">
        <v>203</v>
      </c>
      <c r="Q252" s="5">
        <v>1.1499999999999999</v>
      </c>
      <c r="R252" s="9">
        <f t="shared" si="35"/>
        <v>1.9549999999999998</v>
      </c>
      <c r="S252" s="9">
        <f t="shared" si="36"/>
        <v>-1.8549999999999998</v>
      </c>
      <c r="T252" s="9">
        <f t="shared" si="40"/>
        <v>88.841169642857125</v>
      </c>
      <c r="V252" s="5">
        <v>1418.6</v>
      </c>
      <c r="X252" s="5">
        <f t="shared" si="41"/>
        <v>129758.90000000004</v>
      </c>
      <c r="Y252" s="25">
        <f t="shared" si="33"/>
        <v>21556.399999999998</v>
      </c>
      <c r="AA252" s="5">
        <v>12.973713655852</v>
      </c>
    </row>
    <row r="253" spans="1:27" s="5" customFormat="1" x14ac:dyDescent="0.25">
      <c r="A253" s="31"/>
      <c r="B253" s="6"/>
      <c r="C253" s="29">
        <v>41003</v>
      </c>
      <c r="D253" s="5">
        <v>7.9</v>
      </c>
      <c r="E253" s="5">
        <v>4.7</v>
      </c>
      <c r="F253" s="5">
        <v>11.7</v>
      </c>
      <c r="G253" s="5">
        <f t="shared" si="37"/>
        <v>1945.1</v>
      </c>
      <c r="H253" s="25">
        <f t="shared" si="32"/>
        <v>131.49999999999997</v>
      </c>
      <c r="I253" s="5">
        <v>12</v>
      </c>
      <c r="J253" s="5">
        <v>0</v>
      </c>
      <c r="K253" s="5">
        <f t="shared" si="38"/>
        <v>255.39999999999986</v>
      </c>
      <c r="L253" s="5">
        <v>2</v>
      </c>
      <c r="M253" s="5">
        <f t="shared" si="39"/>
        <v>247.39999999999984</v>
      </c>
      <c r="N253" s="5">
        <v>-2</v>
      </c>
      <c r="O253" s="5">
        <f t="shared" si="31"/>
        <v>71.100000000000023</v>
      </c>
      <c r="P253" s="5">
        <v>204</v>
      </c>
      <c r="Q253" s="5">
        <v>1.1499999999999999</v>
      </c>
      <c r="R253" s="9">
        <f t="shared" si="35"/>
        <v>2.2999999999999998</v>
      </c>
      <c r="S253" s="9">
        <f t="shared" si="36"/>
        <v>-2.2999999999999998</v>
      </c>
      <c r="T253" s="9">
        <f t="shared" si="40"/>
        <v>86.541169642857128</v>
      </c>
      <c r="U253" s="9">
        <f>(U251*100)/197.4</f>
        <v>48.930128877792228</v>
      </c>
      <c r="V253" s="5">
        <v>1437.4</v>
      </c>
      <c r="X253" s="5">
        <f t="shared" si="41"/>
        <v>131196.30000000005</v>
      </c>
      <c r="Y253" s="25">
        <f t="shared" si="33"/>
        <v>22993.8</v>
      </c>
      <c r="AA253" s="5">
        <v>13.0316973004188</v>
      </c>
    </row>
    <row r="254" spans="1:27" s="5" customFormat="1" x14ac:dyDescent="0.25">
      <c r="A254" s="31"/>
      <c r="B254" s="6"/>
      <c r="C254" s="29">
        <v>41004</v>
      </c>
      <c r="D254" s="5">
        <v>9.8000000000000007</v>
      </c>
      <c r="E254" s="5">
        <v>3.9</v>
      </c>
      <c r="F254" s="5">
        <v>16.5</v>
      </c>
      <c r="G254" s="5">
        <f t="shared" si="37"/>
        <v>1954.8999999999999</v>
      </c>
      <c r="H254" s="25">
        <f t="shared" si="32"/>
        <v>141.29999999999998</v>
      </c>
      <c r="I254" s="30" t="s">
        <v>43</v>
      </c>
      <c r="J254" s="5">
        <v>0.2</v>
      </c>
      <c r="K254" s="5">
        <f t="shared" si="38"/>
        <v>255.59999999999985</v>
      </c>
      <c r="L254" s="5">
        <v>2.8</v>
      </c>
      <c r="M254" s="5">
        <f t="shared" si="39"/>
        <v>250.19999999999985</v>
      </c>
      <c r="N254" s="5">
        <v>-2.5999999999999996</v>
      </c>
      <c r="O254" s="5">
        <f t="shared" si="31"/>
        <v>68.500000000000028</v>
      </c>
      <c r="P254" s="5">
        <v>205</v>
      </c>
      <c r="Q254" s="5">
        <v>1.1499999999999999</v>
      </c>
      <c r="R254" s="9">
        <f t="shared" si="35"/>
        <v>3.2199999999999998</v>
      </c>
      <c r="S254" s="9">
        <f t="shared" si="36"/>
        <v>-3.0199999999999996</v>
      </c>
      <c r="T254" s="9">
        <f t="shared" si="40"/>
        <v>83.521169642857132</v>
      </c>
      <c r="V254" s="5">
        <v>1804.6</v>
      </c>
      <c r="X254" s="5">
        <f t="shared" si="41"/>
        <v>133000.90000000005</v>
      </c>
      <c r="Y254" s="25">
        <f t="shared" si="33"/>
        <v>24798.399999999998</v>
      </c>
      <c r="AA254" s="5">
        <v>13.0895717098142</v>
      </c>
    </row>
    <row r="255" spans="1:27" s="5" customFormat="1" x14ac:dyDescent="0.25">
      <c r="A255" s="31"/>
      <c r="B255" s="6"/>
      <c r="C255" s="29">
        <v>41005</v>
      </c>
      <c r="D255" s="5">
        <v>8.1</v>
      </c>
      <c r="E255" s="5">
        <v>4.9000000000000004</v>
      </c>
      <c r="F255" s="5">
        <v>13.5</v>
      </c>
      <c r="G255" s="5">
        <f t="shared" si="37"/>
        <v>1962.9999999999998</v>
      </c>
      <c r="H255" s="25">
        <f t="shared" si="32"/>
        <v>149.39999999999998</v>
      </c>
      <c r="I255" s="5">
        <v>211.5</v>
      </c>
      <c r="J255" s="5">
        <v>0</v>
      </c>
      <c r="K255" s="5">
        <f t="shared" si="38"/>
        <v>255.59999999999985</v>
      </c>
      <c r="L255" s="5">
        <v>3.2</v>
      </c>
      <c r="M255" s="5">
        <f t="shared" si="39"/>
        <v>253.39999999999984</v>
      </c>
      <c r="N255" s="5">
        <v>-3.2</v>
      </c>
      <c r="O255" s="5">
        <f t="shared" si="31"/>
        <v>65.300000000000026</v>
      </c>
      <c r="P255" s="5">
        <v>206</v>
      </c>
      <c r="Q255" s="5">
        <v>1.1499999999999999</v>
      </c>
      <c r="R255" s="9">
        <f t="shared" si="35"/>
        <v>3.6799999999999997</v>
      </c>
      <c r="S255" s="9">
        <f t="shared" si="36"/>
        <v>-3.6799999999999997</v>
      </c>
      <c r="T255" s="9">
        <f t="shared" si="40"/>
        <v>79.841169642857125</v>
      </c>
      <c r="V255" s="5">
        <v>2161.3000000000002</v>
      </c>
      <c r="X255" s="5">
        <f t="shared" si="41"/>
        <v>135162.20000000004</v>
      </c>
      <c r="Y255" s="25">
        <f t="shared" si="33"/>
        <v>26959.699999999997</v>
      </c>
      <c r="AA255" s="5">
        <v>13.1473293640191</v>
      </c>
    </row>
    <row r="256" spans="1:27" s="5" customFormat="1" x14ac:dyDescent="0.25">
      <c r="A256" s="31"/>
      <c r="B256" s="6"/>
      <c r="C256" s="29">
        <v>41006</v>
      </c>
      <c r="D256" s="5">
        <v>7.9</v>
      </c>
      <c r="E256" s="5">
        <v>1</v>
      </c>
      <c r="F256" s="5">
        <v>12.3</v>
      </c>
      <c r="G256" s="5">
        <f t="shared" si="37"/>
        <v>1970.8999999999999</v>
      </c>
      <c r="H256" s="25">
        <f t="shared" si="32"/>
        <v>157.29999999999998</v>
      </c>
      <c r="J256" s="5">
        <v>0.2</v>
      </c>
      <c r="K256" s="5">
        <f t="shared" si="38"/>
        <v>255.79999999999984</v>
      </c>
      <c r="L256" s="5">
        <v>1.2</v>
      </c>
      <c r="M256" s="5">
        <f t="shared" si="39"/>
        <v>254.59999999999982</v>
      </c>
      <c r="N256" s="5">
        <v>-1</v>
      </c>
      <c r="O256" s="5">
        <f t="shared" si="31"/>
        <v>64.300000000000026</v>
      </c>
      <c r="P256" s="5">
        <v>207</v>
      </c>
      <c r="Q256" s="5">
        <v>1.1499999999999999</v>
      </c>
      <c r="R256" s="9">
        <f t="shared" si="35"/>
        <v>1.38</v>
      </c>
      <c r="S256" s="9">
        <f t="shared" si="36"/>
        <v>-1.18</v>
      </c>
      <c r="T256" s="9">
        <f t="shared" si="40"/>
        <v>78.661169642857118</v>
      </c>
      <c r="V256" s="5">
        <v>992.7</v>
      </c>
      <c r="X256" s="5">
        <f t="shared" si="41"/>
        <v>136154.90000000005</v>
      </c>
      <c r="Y256" s="25">
        <f t="shared" si="33"/>
        <v>27952.399999999998</v>
      </c>
      <c r="AA256" s="5">
        <v>13.204962503558599</v>
      </c>
    </row>
    <row r="257" spans="1:27" s="5" customFormat="1" x14ac:dyDescent="0.25">
      <c r="A257" s="31"/>
      <c r="B257" s="6"/>
      <c r="C257" s="29">
        <v>41007</v>
      </c>
      <c r="D257" s="5">
        <v>10.7</v>
      </c>
      <c r="E257" s="5">
        <v>7.8</v>
      </c>
      <c r="F257" s="5">
        <v>12.9</v>
      </c>
      <c r="G257" s="5">
        <f t="shared" si="37"/>
        <v>1981.6</v>
      </c>
      <c r="H257" s="25">
        <f t="shared" si="32"/>
        <v>167.99999999999997</v>
      </c>
      <c r="J257" s="5">
        <v>0.2</v>
      </c>
      <c r="K257" s="5">
        <f t="shared" si="38"/>
        <v>255.99999999999983</v>
      </c>
      <c r="L257" s="5">
        <v>0.8</v>
      </c>
      <c r="M257" s="5">
        <f t="shared" si="39"/>
        <v>255.39999999999984</v>
      </c>
      <c r="N257" s="5">
        <v>-0.60000000000000009</v>
      </c>
      <c r="O257" s="5">
        <f t="shared" si="31"/>
        <v>63.700000000000024</v>
      </c>
      <c r="P257" s="5">
        <v>208</v>
      </c>
      <c r="Q257" s="5">
        <v>1.1499999999999999</v>
      </c>
      <c r="R257" s="9">
        <f t="shared" si="35"/>
        <v>0.91999999999999993</v>
      </c>
      <c r="S257" s="9">
        <f t="shared" si="36"/>
        <v>-0.72</v>
      </c>
      <c r="T257" s="9">
        <f t="shared" si="40"/>
        <v>77.941169642857119</v>
      </c>
      <c r="V257" s="5">
        <v>463.3</v>
      </c>
      <c r="X257" s="5">
        <f t="shared" si="41"/>
        <v>136618.20000000004</v>
      </c>
      <c r="Y257" s="25">
        <f t="shared" si="33"/>
        <v>28415.699999999997</v>
      </c>
      <c r="AA257" s="5">
        <v>13.2624631135172</v>
      </c>
    </row>
    <row r="258" spans="1:27" s="5" customFormat="1" x14ac:dyDescent="0.25">
      <c r="A258" s="31"/>
      <c r="B258" s="6"/>
      <c r="C258" s="29">
        <v>41008</v>
      </c>
      <c r="D258" s="5">
        <v>10.6</v>
      </c>
      <c r="E258" s="5">
        <v>9.1999999999999993</v>
      </c>
      <c r="F258" s="5">
        <v>12.5</v>
      </c>
      <c r="G258" s="5">
        <f t="shared" si="37"/>
        <v>1992.1999999999998</v>
      </c>
      <c r="H258" s="25">
        <f t="shared" si="32"/>
        <v>178.59999999999997</v>
      </c>
      <c r="J258" s="5">
        <v>14.9</v>
      </c>
      <c r="K258" s="5">
        <f t="shared" si="38"/>
        <v>270.89999999999981</v>
      </c>
      <c r="L258" s="5">
        <v>0.9</v>
      </c>
      <c r="M258" s="5">
        <f t="shared" si="39"/>
        <v>256.29999999999984</v>
      </c>
      <c r="N258" s="5">
        <v>14</v>
      </c>
      <c r="O258" s="5">
        <f t="shared" si="31"/>
        <v>77.700000000000017</v>
      </c>
      <c r="P258" s="5">
        <v>209</v>
      </c>
      <c r="Q258" s="5">
        <v>1.1499999999999999</v>
      </c>
      <c r="R258" s="9">
        <f t="shared" si="35"/>
        <v>1.0349999999999999</v>
      </c>
      <c r="S258" s="9">
        <f t="shared" si="36"/>
        <v>13.865</v>
      </c>
      <c r="T258" s="9">
        <f t="shared" si="40"/>
        <v>91.806169642857114</v>
      </c>
      <c r="V258" s="5">
        <v>397.6</v>
      </c>
      <c r="X258" s="5">
        <f t="shared" si="41"/>
        <v>137015.80000000005</v>
      </c>
      <c r="Y258" s="25">
        <f t="shared" si="33"/>
        <v>28813.299999999996</v>
      </c>
      <c r="AA258" s="5">
        <v>13.319822907690501</v>
      </c>
    </row>
    <row r="259" spans="1:27" s="5" customFormat="1" x14ac:dyDescent="0.25">
      <c r="A259" s="31"/>
      <c r="B259" s="6"/>
      <c r="C259" s="29">
        <v>41009</v>
      </c>
      <c r="D259" s="5">
        <v>8.9</v>
      </c>
      <c r="E259" s="5">
        <v>8</v>
      </c>
      <c r="F259" s="5">
        <v>13.1</v>
      </c>
      <c r="G259" s="5">
        <f t="shared" si="37"/>
        <v>2001.1</v>
      </c>
      <c r="H259" s="25">
        <f t="shared" si="32"/>
        <v>187.49999999999997</v>
      </c>
      <c r="J259" s="5">
        <v>3.1</v>
      </c>
      <c r="K259" s="5">
        <f t="shared" si="38"/>
        <v>273.99999999999983</v>
      </c>
      <c r="L259" s="5">
        <v>2</v>
      </c>
      <c r="M259" s="5">
        <f t="shared" si="39"/>
        <v>258.29999999999984</v>
      </c>
      <c r="N259" s="5">
        <v>1.1000000000000001</v>
      </c>
      <c r="O259" s="5">
        <f t="shared" si="31"/>
        <v>78.800000000000011</v>
      </c>
      <c r="P259" s="5">
        <v>210</v>
      </c>
      <c r="Q259" s="5">
        <v>1.1499999999999999</v>
      </c>
      <c r="R259" s="9">
        <f t="shared" si="35"/>
        <v>2.2999999999999998</v>
      </c>
      <c r="S259" s="9">
        <f t="shared" si="36"/>
        <v>0.80000000000000027</v>
      </c>
      <c r="T259" s="9">
        <f t="shared" si="40"/>
        <v>92.606169642857111</v>
      </c>
      <c r="V259" s="5">
        <v>1237</v>
      </c>
      <c r="X259" s="5">
        <f t="shared" si="41"/>
        <v>138252.80000000005</v>
      </c>
      <c r="Y259" s="25">
        <f t="shared" si="33"/>
        <v>30050.299999999996</v>
      </c>
      <c r="AA259" s="5">
        <v>13.3770333128915</v>
      </c>
    </row>
    <row r="260" spans="1:27" s="5" customFormat="1" x14ac:dyDescent="0.25">
      <c r="A260" s="31"/>
      <c r="B260" s="6"/>
      <c r="C260" s="29">
        <v>41010</v>
      </c>
      <c r="D260" s="5">
        <v>7.9</v>
      </c>
      <c r="E260" s="5">
        <v>4</v>
      </c>
      <c r="F260" s="5">
        <v>14.1</v>
      </c>
      <c r="G260" s="5">
        <f t="shared" si="37"/>
        <v>2009</v>
      </c>
      <c r="H260" s="25">
        <f t="shared" si="32"/>
        <v>195.39999999999998</v>
      </c>
      <c r="J260" s="5">
        <v>1.4</v>
      </c>
      <c r="K260" s="5">
        <f t="shared" si="38"/>
        <v>275.39999999999981</v>
      </c>
      <c r="L260" s="5">
        <v>2</v>
      </c>
      <c r="M260" s="5">
        <f t="shared" si="39"/>
        <v>260.29999999999984</v>
      </c>
      <c r="N260" s="5">
        <v>-0.60000000000000009</v>
      </c>
      <c r="O260" s="5">
        <f t="shared" si="31"/>
        <v>78.200000000000017</v>
      </c>
      <c r="P260" s="5">
        <v>211</v>
      </c>
      <c r="Q260" s="5">
        <v>1.1499999999999999</v>
      </c>
      <c r="R260" s="9">
        <f t="shared" si="35"/>
        <v>2.2999999999999998</v>
      </c>
      <c r="S260" s="9">
        <f t="shared" si="36"/>
        <v>-0.89999999999999991</v>
      </c>
      <c r="T260" s="9">
        <f t="shared" si="40"/>
        <v>91.706169642857105</v>
      </c>
      <c r="V260" s="5">
        <v>1233</v>
      </c>
      <c r="X260" s="5">
        <f t="shared" si="41"/>
        <v>139485.80000000005</v>
      </c>
      <c r="Y260" s="25">
        <f t="shared" si="33"/>
        <v>31283.299999999996</v>
      </c>
      <c r="AA260" s="5">
        <v>13.4340854534294</v>
      </c>
    </row>
    <row r="261" spans="1:27" s="5" customFormat="1" x14ac:dyDescent="0.25">
      <c r="A261" s="31"/>
      <c r="B261" s="6"/>
      <c r="C261" s="29">
        <v>41011</v>
      </c>
      <c r="D261" s="5">
        <v>8.4</v>
      </c>
      <c r="E261" s="5">
        <v>1.9</v>
      </c>
      <c r="F261" s="5">
        <v>14.9</v>
      </c>
      <c r="G261" s="5">
        <f t="shared" si="37"/>
        <v>2017.4</v>
      </c>
      <c r="H261" s="25">
        <f t="shared" si="32"/>
        <v>203.79999999999998</v>
      </c>
      <c r="J261" s="5">
        <v>0.4</v>
      </c>
      <c r="K261" s="5">
        <f t="shared" si="38"/>
        <v>275.79999999999978</v>
      </c>
      <c r="L261" s="5">
        <v>3</v>
      </c>
      <c r="M261" s="5">
        <f t="shared" si="39"/>
        <v>263.29999999999984</v>
      </c>
      <c r="N261" s="5">
        <v>-2.6</v>
      </c>
      <c r="O261" s="5">
        <f t="shared" si="31"/>
        <v>75.600000000000023</v>
      </c>
      <c r="P261" s="5">
        <v>212</v>
      </c>
      <c r="Q261" s="5">
        <v>1.1499999999999999</v>
      </c>
      <c r="R261" s="9">
        <f t="shared" si="35"/>
        <v>3.4499999999999997</v>
      </c>
      <c r="S261" s="9">
        <f t="shared" si="36"/>
        <v>-3.05</v>
      </c>
      <c r="T261" s="9">
        <f t="shared" si="40"/>
        <v>88.656169642857108</v>
      </c>
      <c r="V261" s="5">
        <v>2130.8000000000002</v>
      </c>
      <c r="X261" s="5">
        <f t="shared" si="41"/>
        <v>141616.60000000003</v>
      </c>
      <c r="Y261" s="25">
        <f t="shared" si="33"/>
        <v>33414.1</v>
      </c>
      <c r="AA261" s="5">
        <v>13.490970135784</v>
      </c>
    </row>
    <row r="262" spans="1:27" s="55" customFormat="1" ht="15.75" thickBot="1" x14ac:dyDescent="0.3">
      <c r="A262" s="61" t="s">
        <v>49</v>
      </c>
      <c r="B262" s="62"/>
      <c r="C262" s="63">
        <v>41012</v>
      </c>
      <c r="D262" s="55">
        <v>7.7</v>
      </c>
      <c r="E262" s="55">
        <v>5.5</v>
      </c>
      <c r="F262" s="55">
        <v>10.9</v>
      </c>
      <c r="G262" s="55">
        <f t="shared" si="37"/>
        <v>2025.1000000000001</v>
      </c>
      <c r="H262" s="55">
        <f t="shared" si="32"/>
        <v>211.49999999999997</v>
      </c>
      <c r="J262" s="55">
        <v>5.4</v>
      </c>
      <c r="K262" s="55">
        <f t="shared" si="38"/>
        <v>281.19999999999976</v>
      </c>
      <c r="L262" s="55">
        <v>1.2</v>
      </c>
      <c r="M262" s="55">
        <f t="shared" si="39"/>
        <v>264.49999999999983</v>
      </c>
      <c r="N262" s="55">
        <v>4.2</v>
      </c>
      <c r="O262" s="55">
        <f t="shared" si="31"/>
        <v>79.800000000000026</v>
      </c>
      <c r="P262" s="55">
        <v>213</v>
      </c>
      <c r="Q262" s="55">
        <v>1.1499999999999999</v>
      </c>
      <c r="R262" s="56">
        <f t="shared" si="35"/>
        <v>1.38</v>
      </c>
      <c r="S262" s="56">
        <f t="shared" si="36"/>
        <v>4.0200000000000005</v>
      </c>
      <c r="T262" s="56">
        <f t="shared" si="40"/>
        <v>92.676169642857104</v>
      </c>
      <c r="V262" s="55">
        <v>748.1</v>
      </c>
      <c r="X262" s="55">
        <f t="shared" si="41"/>
        <v>142364.70000000004</v>
      </c>
      <c r="Y262" s="55">
        <f t="shared" si="33"/>
        <v>34162.199999999997</v>
      </c>
      <c r="AA262" s="55">
        <v>13.547677833501201</v>
      </c>
    </row>
    <row r="263" spans="1:27" s="25" customFormat="1" x14ac:dyDescent="0.25">
      <c r="A263" s="84">
        <v>300</v>
      </c>
      <c r="B263" s="65"/>
      <c r="C263" s="66">
        <v>41013</v>
      </c>
      <c r="D263" s="25">
        <v>7.6</v>
      </c>
      <c r="E263" s="25">
        <v>5.6</v>
      </c>
      <c r="F263" s="25">
        <v>11.1</v>
      </c>
      <c r="G263" s="25">
        <f t="shared" si="37"/>
        <v>2032.7</v>
      </c>
      <c r="H263" s="25">
        <f>D263</f>
        <v>7.6</v>
      </c>
      <c r="I263" s="37" t="s">
        <v>28</v>
      </c>
      <c r="J263" s="25">
        <v>10.4</v>
      </c>
      <c r="K263" s="25">
        <f t="shared" si="38"/>
        <v>291.59999999999974</v>
      </c>
      <c r="L263" s="25">
        <v>0.8</v>
      </c>
      <c r="M263" s="25">
        <f t="shared" si="39"/>
        <v>265.29999999999984</v>
      </c>
      <c r="N263" s="25">
        <v>9.6</v>
      </c>
      <c r="O263" s="25">
        <f t="shared" si="31"/>
        <v>89.40000000000002</v>
      </c>
      <c r="P263" s="25">
        <v>214</v>
      </c>
      <c r="Q263" s="25">
        <v>1.1499999999999999</v>
      </c>
      <c r="R263" s="58">
        <f t="shared" si="35"/>
        <v>0.91999999999999993</v>
      </c>
      <c r="S263" s="58">
        <f t="shared" si="36"/>
        <v>9.48</v>
      </c>
      <c r="T263" s="58">
        <f t="shared" si="40"/>
        <v>102.15616964285711</v>
      </c>
      <c r="U263" s="37" t="s">
        <v>32</v>
      </c>
      <c r="V263" s="25">
        <v>461.5</v>
      </c>
      <c r="X263" s="25">
        <f t="shared" si="41"/>
        <v>142826.20000000004</v>
      </c>
      <c r="Y263" s="25">
        <f>V263</f>
        <v>461.5</v>
      </c>
      <c r="Z263" s="37" t="s">
        <v>53</v>
      </c>
      <c r="AA263" s="25">
        <v>13.6041986723355</v>
      </c>
    </row>
    <row r="264" spans="1:27" s="5" customFormat="1" ht="15" customHeight="1" x14ac:dyDescent="0.25">
      <c r="A264" s="79"/>
      <c r="B264" s="10"/>
      <c r="C264" s="36">
        <v>41014</v>
      </c>
      <c r="D264" s="5">
        <v>6.9</v>
      </c>
      <c r="E264" s="5">
        <v>5.6</v>
      </c>
      <c r="F264" s="5">
        <v>9.9</v>
      </c>
      <c r="G264" s="5">
        <f t="shared" si="37"/>
        <v>2039.6000000000001</v>
      </c>
      <c r="H264" s="25">
        <f t="shared" si="32"/>
        <v>14.5</v>
      </c>
      <c r="I264" s="5">
        <f>MIN(E263:E291)</f>
        <v>1.9</v>
      </c>
      <c r="J264" s="5">
        <v>0</v>
      </c>
      <c r="K264" s="5">
        <f t="shared" si="38"/>
        <v>291.59999999999974</v>
      </c>
      <c r="L264" s="5">
        <v>2.5</v>
      </c>
      <c r="M264" s="5">
        <f t="shared" si="39"/>
        <v>267.79999999999984</v>
      </c>
      <c r="N264" s="5">
        <v>-2.5</v>
      </c>
      <c r="O264" s="5">
        <f t="shared" si="31"/>
        <v>86.90000000000002</v>
      </c>
      <c r="P264" s="5">
        <v>215</v>
      </c>
      <c r="Q264" s="5">
        <v>1.1499999999999999</v>
      </c>
      <c r="R264" s="9">
        <f t="shared" si="35"/>
        <v>2.875</v>
      </c>
      <c r="S264" s="9">
        <f t="shared" si="36"/>
        <v>-2.875</v>
      </c>
      <c r="T264" s="9">
        <f t="shared" si="40"/>
        <v>99.281169642857108</v>
      </c>
      <c r="U264" s="5">
        <v>0</v>
      </c>
      <c r="V264" s="5">
        <v>1824</v>
      </c>
      <c r="X264" s="5">
        <f t="shared" si="41"/>
        <v>144650.20000000004</v>
      </c>
      <c r="Y264" s="25">
        <f t="shared" si="33"/>
        <v>2285.5</v>
      </c>
      <c r="Z264" s="5">
        <v>31075.7</v>
      </c>
      <c r="AA264" s="5">
        <v>13.660522415674199</v>
      </c>
    </row>
    <row r="265" spans="1:27" s="5" customFormat="1" x14ac:dyDescent="0.25">
      <c r="A265" s="79"/>
      <c r="B265" s="10"/>
      <c r="C265" s="36">
        <v>41015</v>
      </c>
      <c r="D265" s="5">
        <v>6.9</v>
      </c>
      <c r="E265" s="5">
        <v>1.9</v>
      </c>
      <c r="F265" s="5">
        <v>10.6</v>
      </c>
      <c r="G265" s="5">
        <f t="shared" si="37"/>
        <v>2046.5000000000002</v>
      </c>
      <c r="H265" s="25">
        <f t="shared" si="32"/>
        <v>21.4</v>
      </c>
      <c r="I265" s="37" t="s">
        <v>31</v>
      </c>
      <c r="J265" s="5">
        <v>0.1</v>
      </c>
      <c r="K265" s="5">
        <f t="shared" si="38"/>
        <v>291.69999999999976</v>
      </c>
      <c r="L265" s="5">
        <v>1.8</v>
      </c>
      <c r="M265" s="5">
        <f t="shared" si="39"/>
        <v>269.59999999999985</v>
      </c>
      <c r="N265" s="5">
        <v>-1.7</v>
      </c>
      <c r="O265" s="5">
        <f t="shared" si="31"/>
        <v>85.200000000000017</v>
      </c>
      <c r="P265" s="5">
        <v>216</v>
      </c>
      <c r="Q265" s="5">
        <v>1.1499999999999999</v>
      </c>
      <c r="R265" s="9">
        <f t="shared" si="35"/>
        <v>2.0699999999999998</v>
      </c>
      <c r="S265" s="9">
        <f t="shared" si="36"/>
        <v>-1.9699999999999998</v>
      </c>
      <c r="T265" s="9">
        <f t="shared" si="40"/>
        <v>97.311169642857109</v>
      </c>
      <c r="U265" s="37" t="s">
        <v>35</v>
      </c>
      <c r="V265" s="5">
        <v>1278.2</v>
      </c>
      <c r="X265" s="5">
        <f t="shared" si="41"/>
        <v>145928.40000000005</v>
      </c>
      <c r="Y265" s="25">
        <f t="shared" si="33"/>
        <v>3563.7</v>
      </c>
      <c r="Z265" s="37" t="s">
        <v>33</v>
      </c>
      <c r="AA265" s="5">
        <v>13.7166384502749</v>
      </c>
    </row>
    <row r="266" spans="1:27" s="5" customFormat="1" x14ac:dyDescent="0.25">
      <c r="A266" s="79"/>
      <c r="B266" s="10"/>
      <c r="C266" s="36">
        <v>41016</v>
      </c>
      <c r="D266" s="5">
        <v>8.6999999999999993</v>
      </c>
      <c r="E266" s="5">
        <v>4</v>
      </c>
      <c r="F266" s="5">
        <v>11.6</v>
      </c>
      <c r="G266" s="5">
        <f t="shared" si="37"/>
        <v>2055.2000000000003</v>
      </c>
      <c r="H266" s="25">
        <f t="shared" si="32"/>
        <v>30.099999999999998</v>
      </c>
      <c r="I266" s="5">
        <f>MAX(F263:F291)</f>
        <v>23.6</v>
      </c>
      <c r="J266" s="5">
        <v>7.5</v>
      </c>
      <c r="K266" s="5">
        <f t="shared" si="38"/>
        <v>299.19999999999976</v>
      </c>
      <c r="L266" s="5">
        <v>0.8</v>
      </c>
      <c r="M266" s="5">
        <f t="shared" si="39"/>
        <v>270.39999999999986</v>
      </c>
      <c r="N266" s="5">
        <v>6.7</v>
      </c>
      <c r="O266" s="5">
        <f t="shared" si="31"/>
        <v>91.90000000000002</v>
      </c>
      <c r="P266" s="5">
        <v>217</v>
      </c>
      <c r="Q266" s="5">
        <v>1.1499999999999999</v>
      </c>
      <c r="R266" s="9">
        <f t="shared" si="35"/>
        <v>0.91999999999999993</v>
      </c>
      <c r="S266" s="9">
        <f t="shared" si="36"/>
        <v>6.58</v>
      </c>
      <c r="T266" s="9">
        <f t="shared" si="40"/>
        <v>103.89116964285711</v>
      </c>
      <c r="U266" s="5">
        <v>0</v>
      </c>
      <c r="V266" s="5">
        <v>752.5</v>
      </c>
      <c r="X266" s="5">
        <f t="shared" si="41"/>
        <v>146680.90000000005</v>
      </c>
      <c r="Y266" s="25">
        <f t="shared" si="33"/>
        <v>4316.2</v>
      </c>
      <c r="Z266" s="5">
        <f>(Z264/100)/I276</f>
        <v>1.00862382343395</v>
      </c>
      <c r="AA266" s="5">
        <v>13.772535772356401</v>
      </c>
    </row>
    <row r="267" spans="1:27" s="5" customFormat="1" x14ac:dyDescent="0.25">
      <c r="A267" s="79"/>
      <c r="B267" s="10"/>
      <c r="C267" s="36">
        <v>41017</v>
      </c>
      <c r="D267" s="5">
        <v>8.5</v>
      </c>
      <c r="E267" s="5">
        <v>6.8</v>
      </c>
      <c r="F267" s="5">
        <v>11.1</v>
      </c>
      <c r="G267" s="5">
        <f t="shared" si="37"/>
        <v>2063.7000000000003</v>
      </c>
      <c r="H267" s="25">
        <f t="shared" si="32"/>
        <v>38.599999999999994</v>
      </c>
      <c r="I267" s="37" t="s">
        <v>34</v>
      </c>
      <c r="J267" s="5">
        <v>4.7</v>
      </c>
      <c r="K267" s="5">
        <f t="shared" si="38"/>
        <v>303.89999999999975</v>
      </c>
      <c r="L267" s="5">
        <v>1.1000000000000001</v>
      </c>
      <c r="M267" s="5">
        <f t="shared" si="39"/>
        <v>271.49999999999989</v>
      </c>
      <c r="N267" s="5">
        <v>3.6</v>
      </c>
      <c r="O267" s="5">
        <f t="shared" si="31"/>
        <v>95.500000000000014</v>
      </c>
      <c r="P267" s="5">
        <v>218</v>
      </c>
      <c r="Q267" s="5">
        <v>1.1499999999999999</v>
      </c>
      <c r="R267" s="9">
        <f t="shared" si="35"/>
        <v>1.2649999999999999</v>
      </c>
      <c r="S267" s="9">
        <f t="shared" si="36"/>
        <v>3.4350000000000005</v>
      </c>
      <c r="T267" s="9">
        <f t="shared" si="40"/>
        <v>107.32616964285711</v>
      </c>
      <c r="U267" s="37" t="s">
        <v>38</v>
      </c>
      <c r="V267" s="5">
        <v>591.70000000000005</v>
      </c>
      <c r="X267" s="5">
        <f t="shared" si="41"/>
        <v>147272.60000000006</v>
      </c>
      <c r="Y267" s="25">
        <f t="shared" si="33"/>
        <v>4907.8999999999996</v>
      </c>
      <c r="Z267" s="37" t="s">
        <v>36</v>
      </c>
      <c r="AA267" s="5">
        <v>13.828202974085199</v>
      </c>
    </row>
    <row r="268" spans="1:27" s="5" customFormat="1" x14ac:dyDescent="0.25">
      <c r="A268" s="79"/>
      <c r="B268" s="10"/>
      <c r="C268" s="36">
        <v>41018</v>
      </c>
      <c r="D268" s="5">
        <v>7.2</v>
      </c>
      <c r="E268" s="5">
        <v>4.5</v>
      </c>
      <c r="F268" s="5">
        <v>10.1</v>
      </c>
      <c r="G268" s="5">
        <f t="shared" si="37"/>
        <v>2070.9</v>
      </c>
      <c r="H268" s="25">
        <f t="shared" si="32"/>
        <v>45.8</v>
      </c>
      <c r="I268" s="9">
        <f>AVERAGE(D263:D291)</f>
        <v>10.624137931034481</v>
      </c>
      <c r="J268" s="5">
        <v>4.3</v>
      </c>
      <c r="K268" s="5">
        <f t="shared" si="38"/>
        <v>308.19999999999976</v>
      </c>
      <c r="L268" s="5">
        <v>1.2</v>
      </c>
      <c r="M268" s="5">
        <f t="shared" si="39"/>
        <v>272.69999999999987</v>
      </c>
      <c r="N268" s="5">
        <v>3.0999999999999996</v>
      </c>
      <c r="O268" s="5">
        <f t="shared" si="31"/>
        <v>98.600000000000009</v>
      </c>
      <c r="P268" s="5">
        <v>219</v>
      </c>
      <c r="Q268" s="5">
        <v>1.1499999999999999</v>
      </c>
      <c r="R268" s="9">
        <f t="shared" si="35"/>
        <v>1.38</v>
      </c>
      <c r="S268" s="9">
        <f t="shared" si="36"/>
        <v>2.92</v>
      </c>
      <c r="T268" s="9">
        <f t="shared" si="40"/>
        <v>110.24616964285711</v>
      </c>
      <c r="U268" s="9">
        <f>MIN(T263:T291)</f>
        <v>97.311169642857109</v>
      </c>
      <c r="V268" s="5">
        <v>849.6</v>
      </c>
      <c r="X268" s="5">
        <f t="shared" si="41"/>
        <v>148122.20000000007</v>
      </c>
      <c r="Y268" s="25">
        <f t="shared" si="33"/>
        <v>5757.5</v>
      </c>
      <c r="Z268" s="5">
        <v>14</v>
      </c>
      <c r="AA268" s="5">
        <v>13.8836282305015</v>
      </c>
    </row>
    <row r="269" spans="1:27" s="5" customFormat="1" x14ac:dyDescent="0.25">
      <c r="A269" s="79"/>
      <c r="B269" s="10"/>
      <c r="C269" s="36">
        <v>41019</v>
      </c>
      <c r="D269" s="5">
        <v>7.2</v>
      </c>
      <c r="E269" s="5">
        <v>3.1</v>
      </c>
      <c r="F269" s="5">
        <v>10.3</v>
      </c>
      <c r="G269" s="5">
        <f t="shared" si="37"/>
        <v>2078.1</v>
      </c>
      <c r="H269" s="25">
        <f t="shared" si="32"/>
        <v>53</v>
      </c>
      <c r="I269" s="37" t="s">
        <v>37</v>
      </c>
      <c r="J269" s="5">
        <v>7.3</v>
      </c>
      <c r="K269" s="5">
        <f t="shared" si="38"/>
        <v>315.49999999999977</v>
      </c>
      <c r="L269" s="5">
        <v>1</v>
      </c>
      <c r="M269" s="5">
        <f t="shared" si="39"/>
        <v>273.69999999999987</v>
      </c>
      <c r="N269" s="5">
        <v>6.3</v>
      </c>
      <c r="O269" s="5">
        <f t="shared" si="31"/>
        <v>104.9</v>
      </c>
      <c r="P269" s="5">
        <v>220</v>
      </c>
      <c r="Q269" s="5">
        <v>1.1499999999999999</v>
      </c>
      <c r="R269" s="9">
        <f t="shared" si="35"/>
        <v>1.1499999999999999</v>
      </c>
      <c r="S269" s="9">
        <f t="shared" si="36"/>
        <v>6.15</v>
      </c>
      <c r="T269" s="9">
        <f t="shared" si="40"/>
        <v>116.39616964285712</v>
      </c>
      <c r="U269" s="37" t="s">
        <v>40</v>
      </c>
      <c r="V269" s="5">
        <v>785.8</v>
      </c>
      <c r="X269" s="5">
        <f t="shared" si="41"/>
        <v>148908.00000000006</v>
      </c>
      <c r="Y269" s="25">
        <f t="shared" si="33"/>
        <v>6543.3</v>
      </c>
      <c r="AA269" s="5">
        <v>13.938799286936201</v>
      </c>
    </row>
    <row r="270" spans="1:27" s="5" customFormat="1" x14ac:dyDescent="0.25">
      <c r="A270" s="79"/>
      <c r="B270" s="10"/>
      <c r="C270" s="36">
        <v>41020</v>
      </c>
      <c r="D270" s="5">
        <v>8.1999999999999993</v>
      </c>
      <c r="E270" s="5">
        <v>5.5</v>
      </c>
      <c r="F270" s="5">
        <v>11.9</v>
      </c>
      <c r="G270" s="5">
        <f t="shared" si="37"/>
        <v>2086.2999999999997</v>
      </c>
      <c r="H270" s="25">
        <f t="shared" si="32"/>
        <v>61.2</v>
      </c>
      <c r="I270" s="5">
        <v>0</v>
      </c>
      <c r="J270" s="5">
        <v>4.3</v>
      </c>
      <c r="K270" s="5">
        <f t="shared" si="38"/>
        <v>319.79999999999978</v>
      </c>
      <c r="L270" s="5">
        <v>1.8</v>
      </c>
      <c r="M270" s="5">
        <f t="shared" si="39"/>
        <v>275.49999999999989</v>
      </c>
      <c r="N270" s="5">
        <v>2.5</v>
      </c>
      <c r="O270" s="5">
        <f t="shared" si="31"/>
        <v>107.4</v>
      </c>
      <c r="P270" s="5">
        <v>221</v>
      </c>
      <c r="Q270" s="5">
        <v>1.1499999999999999</v>
      </c>
      <c r="R270" s="9">
        <f t="shared" si="35"/>
        <v>2.0699999999999998</v>
      </c>
      <c r="S270" s="9">
        <f t="shared" si="36"/>
        <v>2.23</v>
      </c>
      <c r="T270" s="9">
        <f t="shared" si="40"/>
        <v>118.62616964285712</v>
      </c>
      <c r="U270" s="9">
        <f>MAX(T263:T291)</f>
        <v>181.64616964285713</v>
      </c>
      <c r="V270" s="5">
        <v>1209</v>
      </c>
      <c r="X270" s="5">
        <f t="shared" si="41"/>
        <v>150117.00000000006</v>
      </c>
      <c r="Y270" s="25">
        <f t="shared" si="33"/>
        <v>7752.3</v>
      </c>
      <c r="AA270" s="5">
        <v>13.9937034469721</v>
      </c>
    </row>
    <row r="271" spans="1:27" s="5" customFormat="1" x14ac:dyDescent="0.25">
      <c r="A271" s="79"/>
      <c r="B271" s="10"/>
      <c r="C271" s="36">
        <v>41021</v>
      </c>
      <c r="D271" s="5">
        <v>7.3</v>
      </c>
      <c r="E271" s="5">
        <v>5</v>
      </c>
      <c r="F271" s="5">
        <v>10.1</v>
      </c>
      <c r="G271" s="5">
        <f t="shared" si="37"/>
        <v>2093.6</v>
      </c>
      <c r="H271" s="25">
        <f t="shared" si="32"/>
        <v>68.5</v>
      </c>
      <c r="I271" s="37" t="s">
        <v>39</v>
      </c>
      <c r="J271" s="5">
        <v>9</v>
      </c>
      <c r="K271" s="5">
        <f t="shared" si="38"/>
        <v>328.79999999999978</v>
      </c>
      <c r="L271" s="5">
        <v>1.3</v>
      </c>
      <c r="M271" s="5">
        <f t="shared" si="39"/>
        <v>276.7999999999999</v>
      </c>
      <c r="N271" s="5">
        <v>7.7</v>
      </c>
      <c r="O271" s="5">
        <f t="shared" si="31"/>
        <v>115.10000000000001</v>
      </c>
      <c r="P271" s="5">
        <v>222</v>
      </c>
      <c r="Q271" s="5">
        <v>1.1499999999999999</v>
      </c>
      <c r="R271" s="9">
        <f t="shared" si="35"/>
        <v>1.4949999999999999</v>
      </c>
      <c r="S271" s="9">
        <f t="shared" si="36"/>
        <v>7.5049999999999999</v>
      </c>
      <c r="T271" s="9">
        <f t="shared" si="40"/>
        <v>126.13116964285712</v>
      </c>
      <c r="U271" s="37" t="s">
        <v>42</v>
      </c>
      <c r="V271" s="5">
        <v>965.4</v>
      </c>
      <c r="X271" s="5">
        <f t="shared" si="41"/>
        <v>151082.40000000005</v>
      </c>
      <c r="Y271" s="25">
        <f t="shared" si="33"/>
        <v>8717.7000000000007</v>
      </c>
      <c r="AA271" s="5">
        <v>14.0483275610059</v>
      </c>
    </row>
    <row r="272" spans="1:27" s="5" customFormat="1" x14ac:dyDescent="0.25">
      <c r="A272" s="79"/>
      <c r="B272" s="10"/>
      <c r="C272" s="36">
        <v>41022</v>
      </c>
      <c r="D272" s="5">
        <v>8.8000000000000007</v>
      </c>
      <c r="E272" s="5">
        <v>4.4000000000000004</v>
      </c>
      <c r="F272" s="5">
        <v>12.6</v>
      </c>
      <c r="G272" s="5">
        <f t="shared" si="37"/>
        <v>2102.4</v>
      </c>
      <c r="H272" s="25">
        <f t="shared" si="32"/>
        <v>77.3</v>
      </c>
      <c r="I272" s="5">
        <v>0</v>
      </c>
      <c r="J272" s="5">
        <v>14.3</v>
      </c>
      <c r="K272" s="5">
        <f t="shared" si="38"/>
        <v>343.0999999999998</v>
      </c>
      <c r="L272" s="5">
        <v>1.7</v>
      </c>
      <c r="M272" s="5">
        <f t="shared" si="39"/>
        <v>278.49999999999989</v>
      </c>
      <c r="N272" s="5">
        <v>12.600000000000001</v>
      </c>
      <c r="O272" s="5">
        <f t="shared" si="31"/>
        <v>127.70000000000002</v>
      </c>
      <c r="P272" s="5">
        <v>223</v>
      </c>
      <c r="Q272" s="5">
        <v>1.1499999999999999</v>
      </c>
      <c r="R272" s="9">
        <f t="shared" si="35"/>
        <v>1.9549999999999998</v>
      </c>
      <c r="S272" s="9">
        <f t="shared" si="36"/>
        <v>12.345000000000001</v>
      </c>
      <c r="T272" s="9">
        <f t="shared" si="40"/>
        <v>138.47616964285712</v>
      </c>
      <c r="U272" s="24">
        <f>AVERAGE(T263:T291)</f>
        <v>150.54323860837434</v>
      </c>
      <c r="V272" s="5">
        <v>1359</v>
      </c>
      <c r="X272" s="5">
        <f t="shared" si="41"/>
        <v>152441.40000000005</v>
      </c>
      <c r="Y272" s="25">
        <f t="shared" si="33"/>
        <v>10076.700000000001</v>
      </c>
      <c r="AA272" s="5">
        <v>14.102658015474701</v>
      </c>
    </row>
    <row r="273" spans="1:27" s="5" customFormat="1" x14ac:dyDescent="0.25">
      <c r="A273" s="79"/>
      <c r="B273" s="10"/>
      <c r="C273" s="36">
        <v>41023</v>
      </c>
      <c r="D273" s="5">
        <v>9.9</v>
      </c>
      <c r="E273" s="5">
        <v>7.4</v>
      </c>
      <c r="F273" s="5">
        <v>13.3</v>
      </c>
      <c r="G273" s="5">
        <f t="shared" si="37"/>
        <v>2112.3000000000002</v>
      </c>
      <c r="H273" s="25">
        <f t="shared" si="32"/>
        <v>87.2</v>
      </c>
      <c r="I273" s="37" t="s">
        <v>41</v>
      </c>
      <c r="J273" s="5">
        <v>12</v>
      </c>
      <c r="K273" s="5">
        <f t="shared" si="38"/>
        <v>355.0999999999998</v>
      </c>
      <c r="L273" s="5">
        <v>1.7</v>
      </c>
      <c r="M273" s="5">
        <f t="shared" si="39"/>
        <v>280.19999999999987</v>
      </c>
      <c r="N273" s="5">
        <v>10.3</v>
      </c>
      <c r="O273" s="5">
        <f t="shared" si="31"/>
        <v>138.00000000000003</v>
      </c>
      <c r="P273" s="5">
        <v>224</v>
      </c>
      <c r="Q273" s="5">
        <v>1.1499999999999999</v>
      </c>
      <c r="R273" s="9">
        <f t="shared" si="35"/>
        <v>1.9549999999999998</v>
      </c>
      <c r="S273" s="9">
        <f t="shared" si="36"/>
        <v>10.045</v>
      </c>
      <c r="T273" s="9">
        <f t="shared" si="40"/>
        <v>148.5211696428571</v>
      </c>
      <c r="V273" s="5">
        <v>927.6</v>
      </c>
      <c r="X273" s="5">
        <f t="shared" si="41"/>
        <v>153369.00000000006</v>
      </c>
      <c r="Y273" s="25">
        <f t="shared" si="33"/>
        <v>11004.300000000001</v>
      </c>
      <c r="AA273" s="5">
        <v>14.156680722811201</v>
      </c>
    </row>
    <row r="274" spans="1:27" s="5" customFormat="1" x14ac:dyDescent="0.25">
      <c r="A274" s="79"/>
      <c r="B274" s="10"/>
      <c r="C274" s="36">
        <v>41024</v>
      </c>
      <c r="D274" s="5">
        <v>10.9</v>
      </c>
      <c r="E274" s="5">
        <v>7.8</v>
      </c>
      <c r="F274" s="5">
        <v>15.2</v>
      </c>
      <c r="G274" s="5">
        <f t="shared" si="37"/>
        <v>2123.2000000000003</v>
      </c>
      <c r="H274" s="25">
        <f t="shared" si="32"/>
        <v>98.100000000000009</v>
      </c>
      <c r="I274" s="5">
        <v>6</v>
      </c>
      <c r="J274" s="5">
        <v>8.5</v>
      </c>
      <c r="K274" s="5">
        <f t="shared" si="38"/>
        <v>363.5999999999998</v>
      </c>
      <c r="L274" s="5">
        <v>2.1</v>
      </c>
      <c r="M274" s="5">
        <f t="shared" si="39"/>
        <v>282.2999999999999</v>
      </c>
      <c r="N274" s="5">
        <v>6.4</v>
      </c>
      <c r="O274" s="5">
        <f t="shared" si="31"/>
        <v>144.40000000000003</v>
      </c>
      <c r="P274" s="5">
        <v>225</v>
      </c>
      <c r="Q274" s="5">
        <v>1.1499999999999999</v>
      </c>
      <c r="R274" s="9">
        <f t="shared" si="35"/>
        <v>2.415</v>
      </c>
      <c r="S274" s="9">
        <f t="shared" si="36"/>
        <v>6.085</v>
      </c>
      <c r="T274" s="9">
        <f t="shared" si="40"/>
        <v>154.60616964285711</v>
      </c>
      <c r="U274" s="9">
        <f>(U272*100)/197.4</f>
        <v>76.263038808700273</v>
      </c>
      <c r="V274" s="5">
        <v>569.6</v>
      </c>
      <c r="X274" s="5">
        <f t="shared" si="41"/>
        <v>153938.60000000006</v>
      </c>
      <c r="Y274" s="25">
        <f t="shared" si="33"/>
        <v>11573.900000000001</v>
      </c>
      <c r="AA274" s="5">
        <v>14.210381112199199</v>
      </c>
    </row>
    <row r="275" spans="1:27" s="5" customFormat="1" x14ac:dyDescent="0.25">
      <c r="A275" s="79"/>
      <c r="B275" s="10"/>
      <c r="C275" s="36">
        <v>41025</v>
      </c>
      <c r="D275" s="5">
        <v>11.2</v>
      </c>
      <c r="E275" s="5">
        <v>9.5</v>
      </c>
      <c r="F275" s="5">
        <v>13.6</v>
      </c>
      <c r="G275" s="5">
        <f t="shared" si="37"/>
        <v>2134.4</v>
      </c>
      <c r="H275" s="25">
        <f t="shared" si="32"/>
        <v>109.30000000000001</v>
      </c>
      <c r="I275" s="37" t="s">
        <v>43</v>
      </c>
      <c r="J275" s="5">
        <v>4.5</v>
      </c>
      <c r="K275" s="5">
        <f t="shared" si="38"/>
        <v>368.0999999999998</v>
      </c>
      <c r="L275" s="5">
        <v>2.2000000000000002</v>
      </c>
      <c r="M275" s="5">
        <f t="shared" si="39"/>
        <v>284.49999999999989</v>
      </c>
      <c r="N275" s="5">
        <v>2.2999999999999998</v>
      </c>
      <c r="O275" s="5">
        <f t="shared" si="31"/>
        <v>146.70000000000005</v>
      </c>
      <c r="P275" s="5">
        <v>226</v>
      </c>
      <c r="Q275" s="5">
        <v>1.1499999999999999</v>
      </c>
      <c r="R275" s="9">
        <f t="shared" si="35"/>
        <v>2.5299999999999998</v>
      </c>
      <c r="S275" s="9">
        <f t="shared" si="36"/>
        <v>1.9700000000000002</v>
      </c>
      <c r="T275" s="9">
        <f t="shared" si="40"/>
        <v>156.57616964285711</v>
      </c>
      <c r="V275" s="5">
        <v>1358.3</v>
      </c>
      <c r="X275" s="5">
        <f t="shared" si="41"/>
        <v>155296.90000000005</v>
      </c>
      <c r="Y275" s="25">
        <f t="shared" si="33"/>
        <v>12932.2</v>
      </c>
      <c r="AA275" s="5">
        <v>14.2637441212025</v>
      </c>
    </row>
    <row r="276" spans="1:27" s="5" customFormat="1" x14ac:dyDescent="0.25">
      <c r="A276" s="79"/>
      <c r="B276" s="10"/>
      <c r="C276" s="36">
        <v>41026</v>
      </c>
      <c r="D276" s="5">
        <v>10.8</v>
      </c>
      <c r="E276" s="5">
        <v>8.1999999999999993</v>
      </c>
      <c r="F276" s="5">
        <v>14.2</v>
      </c>
      <c r="G276" s="5">
        <f t="shared" si="37"/>
        <v>2145.2000000000003</v>
      </c>
      <c r="H276" s="25">
        <f t="shared" si="32"/>
        <v>120.10000000000001</v>
      </c>
      <c r="I276" s="5">
        <v>308.10000000000002</v>
      </c>
      <c r="J276" s="5">
        <v>6.7</v>
      </c>
      <c r="K276" s="5">
        <f t="shared" si="38"/>
        <v>374.79999999999978</v>
      </c>
      <c r="L276" s="5">
        <v>2</v>
      </c>
      <c r="M276" s="5">
        <f t="shared" si="39"/>
        <v>286.49999999999989</v>
      </c>
      <c r="N276" s="5">
        <v>4.7</v>
      </c>
      <c r="O276" s="5">
        <f t="shared" si="31"/>
        <v>151.40000000000003</v>
      </c>
      <c r="P276" s="5">
        <v>227</v>
      </c>
      <c r="Q276" s="5">
        <v>1.1499999999999999</v>
      </c>
      <c r="R276" s="9">
        <f t="shared" si="35"/>
        <v>2.2999999999999998</v>
      </c>
      <c r="S276" s="9">
        <f t="shared" si="36"/>
        <v>4.4000000000000004</v>
      </c>
      <c r="T276" s="9">
        <f t="shared" si="40"/>
        <v>160.97616964285712</v>
      </c>
      <c r="V276" s="5">
        <v>1382.7</v>
      </c>
      <c r="X276" s="5">
        <f t="shared" si="41"/>
        <v>156679.60000000006</v>
      </c>
      <c r="Y276" s="25">
        <f t="shared" si="33"/>
        <v>14314.900000000001</v>
      </c>
      <c r="AA276" s="5">
        <v>14.316754188346501</v>
      </c>
    </row>
    <row r="277" spans="1:27" s="5" customFormat="1" x14ac:dyDescent="0.25">
      <c r="A277" s="79"/>
      <c r="B277" s="10"/>
      <c r="C277" s="36">
        <v>41027</v>
      </c>
      <c r="D277" s="5">
        <v>9.6</v>
      </c>
      <c r="E277" s="5">
        <v>8.5</v>
      </c>
      <c r="F277" s="5">
        <v>10.6</v>
      </c>
      <c r="G277" s="5">
        <f t="shared" si="37"/>
        <v>2154.8000000000002</v>
      </c>
      <c r="H277" s="25">
        <f t="shared" si="32"/>
        <v>129.70000000000002</v>
      </c>
      <c r="J277" s="5">
        <v>11.5</v>
      </c>
      <c r="K277" s="5">
        <f t="shared" si="38"/>
        <v>386.29999999999978</v>
      </c>
      <c r="L277" s="5">
        <v>0.6</v>
      </c>
      <c r="M277" s="5">
        <f t="shared" si="39"/>
        <v>287.09999999999991</v>
      </c>
      <c r="N277" s="5">
        <v>10.9</v>
      </c>
      <c r="O277" s="5">
        <f t="shared" si="31"/>
        <v>162.30000000000004</v>
      </c>
      <c r="P277" s="5">
        <v>228</v>
      </c>
      <c r="Q277" s="5">
        <v>1.1499999999999999</v>
      </c>
      <c r="R277" s="9">
        <f t="shared" si="35"/>
        <v>0.69</v>
      </c>
      <c r="S277" s="9">
        <f t="shared" si="36"/>
        <v>10.81</v>
      </c>
      <c r="T277" s="9">
        <f t="shared" si="40"/>
        <v>171.78616964285712</v>
      </c>
      <c r="V277" s="5">
        <v>372.2</v>
      </c>
      <c r="X277" s="5">
        <f t="shared" si="41"/>
        <v>157051.80000000008</v>
      </c>
      <c r="Y277" s="25">
        <f t="shared" si="33"/>
        <v>14687.100000000002</v>
      </c>
      <c r="AA277" s="5">
        <v>14.3693952467345</v>
      </c>
    </row>
    <row r="278" spans="1:27" s="5" customFormat="1" x14ac:dyDescent="0.25">
      <c r="A278" s="79"/>
      <c r="B278" s="10"/>
      <c r="C278" s="36">
        <v>41028</v>
      </c>
      <c r="D278" s="5">
        <v>9.1999999999999993</v>
      </c>
      <c r="E278" s="5">
        <v>9.1</v>
      </c>
      <c r="F278" s="5">
        <v>9.3000000000000007</v>
      </c>
      <c r="G278" s="5">
        <f t="shared" si="37"/>
        <v>2164</v>
      </c>
      <c r="H278" s="25">
        <f t="shared" si="32"/>
        <v>138.9</v>
      </c>
      <c r="J278" s="5">
        <v>4.2</v>
      </c>
      <c r="K278" s="5">
        <f t="shared" si="38"/>
        <v>390.49999999999977</v>
      </c>
      <c r="L278" s="5">
        <v>0.9</v>
      </c>
      <c r="M278" s="5">
        <f t="shared" si="39"/>
        <v>287.99999999999989</v>
      </c>
      <c r="N278" s="5">
        <v>3.3000000000000003</v>
      </c>
      <c r="O278" s="5">
        <f t="shared" si="31"/>
        <v>165.60000000000005</v>
      </c>
      <c r="P278" s="5">
        <v>229</v>
      </c>
      <c r="Q278" s="5">
        <v>1.1499999999999999</v>
      </c>
      <c r="R278" s="9">
        <f t="shared" si="35"/>
        <v>1.0349999999999999</v>
      </c>
      <c r="S278" s="9">
        <f t="shared" si="36"/>
        <v>3.165</v>
      </c>
      <c r="T278" s="9">
        <f t="shared" si="40"/>
        <v>174.95116964285711</v>
      </c>
      <c r="V278" s="5">
        <v>412</v>
      </c>
      <c r="X278" s="5">
        <f t="shared" si="41"/>
        <v>157463.80000000008</v>
      </c>
      <c r="Y278" s="25">
        <f t="shared" si="33"/>
        <v>15099.100000000002</v>
      </c>
      <c r="AA278" s="5">
        <v>14.421650718784701</v>
      </c>
    </row>
    <row r="279" spans="1:27" s="5" customFormat="1" x14ac:dyDescent="0.25">
      <c r="A279" s="79"/>
      <c r="B279" s="10"/>
      <c r="C279" s="36">
        <v>41029</v>
      </c>
      <c r="D279" s="5">
        <v>10.9</v>
      </c>
      <c r="E279" s="5">
        <v>8.4</v>
      </c>
      <c r="F279" s="5">
        <v>14.5</v>
      </c>
      <c r="G279" s="5">
        <f t="shared" si="37"/>
        <v>2174.9</v>
      </c>
      <c r="H279" s="25">
        <f t="shared" si="32"/>
        <v>149.80000000000001</v>
      </c>
      <c r="J279" s="5">
        <v>0.3</v>
      </c>
      <c r="K279" s="5">
        <f t="shared" si="38"/>
        <v>390.79999999999978</v>
      </c>
      <c r="L279" s="5">
        <v>2.1</v>
      </c>
      <c r="M279" s="5">
        <f t="shared" si="39"/>
        <v>290.09999999999991</v>
      </c>
      <c r="N279" s="5">
        <v>-1.8</v>
      </c>
      <c r="O279" s="5">
        <f t="shared" si="31"/>
        <v>163.80000000000004</v>
      </c>
      <c r="P279" s="5">
        <v>230</v>
      </c>
      <c r="Q279" s="5">
        <v>1.1499999999999999</v>
      </c>
      <c r="R279" s="9">
        <f t="shared" si="35"/>
        <v>2.415</v>
      </c>
      <c r="S279" s="9">
        <f t="shared" si="36"/>
        <v>-2.1150000000000002</v>
      </c>
      <c r="T279" s="9">
        <f t="shared" si="40"/>
        <v>172.8361696428571</v>
      </c>
      <c r="V279" s="5">
        <v>982.5</v>
      </c>
      <c r="X279" s="5">
        <f t="shared" si="41"/>
        <v>158446.30000000008</v>
      </c>
      <c r="Y279" s="25">
        <f t="shared" si="33"/>
        <v>16081.600000000002</v>
      </c>
      <c r="AA279" s="5">
        <v>14.4735035121777</v>
      </c>
    </row>
    <row r="280" spans="1:27" s="5" customFormat="1" x14ac:dyDescent="0.25">
      <c r="A280" s="79"/>
      <c r="B280" s="10"/>
      <c r="C280" s="36">
        <v>41030</v>
      </c>
      <c r="D280" s="5">
        <v>11.2</v>
      </c>
      <c r="E280" s="5">
        <v>7.1</v>
      </c>
      <c r="F280" s="5">
        <v>16.7</v>
      </c>
      <c r="G280" s="5">
        <f t="shared" si="37"/>
        <v>2186.1</v>
      </c>
      <c r="H280" s="25">
        <f t="shared" si="32"/>
        <v>161</v>
      </c>
      <c r="J280" s="5">
        <v>1.8</v>
      </c>
      <c r="K280" s="5">
        <f t="shared" si="38"/>
        <v>392.5999999999998</v>
      </c>
      <c r="L280" s="5">
        <v>1.8</v>
      </c>
      <c r="M280" s="5">
        <f t="shared" si="39"/>
        <v>291.89999999999992</v>
      </c>
      <c r="N280" s="5">
        <v>0</v>
      </c>
      <c r="O280" s="5">
        <f t="shared" si="31"/>
        <v>163.80000000000004</v>
      </c>
      <c r="P280" s="5">
        <v>231</v>
      </c>
      <c r="Q280" s="5">
        <v>1.1499999999999999</v>
      </c>
      <c r="R280" s="9">
        <f t="shared" si="35"/>
        <v>2.0699999999999998</v>
      </c>
      <c r="S280" s="9">
        <f t="shared" si="36"/>
        <v>-0.2699999999999998</v>
      </c>
      <c r="T280" s="9">
        <f t="shared" si="40"/>
        <v>172.56616964285709</v>
      </c>
      <c r="V280" s="5">
        <v>1073.2</v>
      </c>
      <c r="X280" s="5">
        <f t="shared" si="41"/>
        <v>159519.50000000009</v>
      </c>
      <c r="Y280" s="25">
        <f t="shared" si="33"/>
        <v>17154.800000000003</v>
      </c>
      <c r="AA280" s="5">
        <v>14.5249360171082</v>
      </c>
    </row>
    <row r="281" spans="1:27" s="5" customFormat="1" x14ac:dyDescent="0.25">
      <c r="A281" s="79"/>
      <c r="B281" s="10"/>
      <c r="C281" s="36">
        <v>41031</v>
      </c>
      <c r="D281" s="5">
        <v>13.5</v>
      </c>
      <c r="E281" s="5">
        <v>6.9</v>
      </c>
      <c r="F281" s="5">
        <v>20.6</v>
      </c>
      <c r="G281" s="5">
        <f t="shared" si="37"/>
        <v>2199.6</v>
      </c>
      <c r="H281" s="25">
        <f t="shared" si="32"/>
        <v>174.5</v>
      </c>
      <c r="J281" s="5">
        <v>0</v>
      </c>
      <c r="K281" s="5">
        <f t="shared" si="38"/>
        <v>392.5999999999998</v>
      </c>
      <c r="L281" s="5">
        <v>3.3</v>
      </c>
      <c r="M281" s="5">
        <f t="shared" si="39"/>
        <v>295.19999999999993</v>
      </c>
      <c r="N281" s="5">
        <v>-3.3</v>
      </c>
      <c r="O281" s="5">
        <f t="shared" si="31"/>
        <v>160.50000000000003</v>
      </c>
      <c r="P281" s="5">
        <v>232</v>
      </c>
      <c r="Q281" s="5">
        <v>1.1499999999999999</v>
      </c>
      <c r="R281" s="9">
        <f t="shared" si="35"/>
        <v>3.7949999999999995</v>
      </c>
      <c r="S281" s="9">
        <f t="shared" si="36"/>
        <v>-3.7949999999999995</v>
      </c>
      <c r="T281" s="9">
        <f t="shared" si="40"/>
        <v>168.7711696428571</v>
      </c>
      <c r="V281" s="5">
        <v>1957.5</v>
      </c>
      <c r="X281" s="5">
        <f t="shared" si="41"/>
        <v>161477.00000000009</v>
      </c>
      <c r="Y281" s="25">
        <f t="shared" si="33"/>
        <v>19112.300000000003</v>
      </c>
      <c r="AA281" s="5">
        <v>14.575930104935701</v>
      </c>
    </row>
    <row r="282" spans="1:27" s="5" customFormat="1" x14ac:dyDescent="0.25">
      <c r="A282" s="79"/>
      <c r="B282" s="10"/>
      <c r="C282" s="36">
        <v>41032</v>
      </c>
      <c r="D282" s="5">
        <v>14.6</v>
      </c>
      <c r="E282" s="5">
        <v>8.8000000000000007</v>
      </c>
      <c r="F282" s="5">
        <v>19.3</v>
      </c>
      <c r="G282" s="5">
        <f t="shared" si="37"/>
        <v>2214.1999999999998</v>
      </c>
      <c r="H282" s="25">
        <f t="shared" si="32"/>
        <v>189.1</v>
      </c>
      <c r="J282" s="5">
        <v>0</v>
      </c>
      <c r="K282" s="5">
        <f t="shared" si="38"/>
        <v>392.5999999999998</v>
      </c>
      <c r="L282" s="5">
        <v>3.4</v>
      </c>
      <c r="M282" s="5">
        <f t="shared" si="39"/>
        <v>298.59999999999991</v>
      </c>
      <c r="N282" s="5">
        <v>-3.4</v>
      </c>
      <c r="O282" s="5">
        <f t="shared" ref="O282:O345" si="42">O281+N282</f>
        <v>157.10000000000002</v>
      </c>
      <c r="P282" s="5">
        <v>233</v>
      </c>
      <c r="Q282" s="5">
        <v>1.1499999999999999</v>
      </c>
      <c r="R282" s="9">
        <f t="shared" si="35"/>
        <v>3.9099999999999997</v>
      </c>
      <c r="S282" s="9">
        <f t="shared" si="36"/>
        <v>-3.9099999999999997</v>
      </c>
      <c r="T282" s="9">
        <f t="shared" si="40"/>
        <v>164.86116964285711</v>
      </c>
      <c r="V282" s="5">
        <v>2279.8000000000002</v>
      </c>
      <c r="X282" s="5">
        <f t="shared" si="41"/>
        <v>163756.80000000008</v>
      </c>
      <c r="Y282" s="25">
        <f t="shared" si="33"/>
        <v>21392.100000000002</v>
      </c>
      <c r="AA282" s="5">
        <v>14.6264671283348</v>
      </c>
    </row>
    <row r="283" spans="1:27" s="5" customFormat="1" x14ac:dyDescent="0.25">
      <c r="A283" s="79"/>
      <c r="B283" s="10"/>
      <c r="C283" s="36">
        <v>41033</v>
      </c>
      <c r="D283" s="5">
        <v>12.1</v>
      </c>
      <c r="E283" s="5">
        <v>10.9</v>
      </c>
      <c r="F283" s="5">
        <v>16.100000000000001</v>
      </c>
      <c r="G283" s="5">
        <f t="shared" si="37"/>
        <v>2226.2999999999997</v>
      </c>
      <c r="H283" s="25">
        <f t="shared" si="32"/>
        <v>201.2</v>
      </c>
      <c r="J283" s="5">
        <v>4.2</v>
      </c>
      <c r="K283" s="5">
        <f t="shared" si="38"/>
        <v>396.79999999999978</v>
      </c>
      <c r="L283" s="5">
        <v>1.2</v>
      </c>
      <c r="M283" s="5">
        <f t="shared" si="39"/>
        <v>299.7999999999999</v>
      </c>
      <c r="N283" s="5">
        <v>3</v>
      </c>
      <c r="O283" s="5">
        <f t="shared" si="42"/>
        <v>160.10000000000002</v>
      </c>
      <c r="P283" s="5">
        <v>234</v>
      </c>
      <c r="Q283" s="5">
        <v>1.1499999999999999</v>
      </c>
      <c r="R283" s="9">
        <f t="shared" si="35"/>
        <v>1.38</v>
      </c>
      <c r="S283" s="9">
        <f t="shared" si="36"/>
        <v>2.8200000000000003</v>
      </c>
      <c r="T283" s="9">
        <f t="shared" si="40"/>
        <v>167.6811696428571</v>
      </c>
      <c r="V283" s="5">
        <v>678.4</v>
      </c>
      <c r="W283" s="25"/>
      <c r="X283" s="25">
        <f t="shared" si="41"/>
        <v>164435.20000000007</v>
      </c>
      <c r="Y283" s="25">
        <f t="shared" si="33"/>
        <v>22070.500000000004</v>
      </c>
      <c r="AA283" s="5">
        <v>14.676527923044199</v>
      </c>
    </row>
    <row r="284" spans="1:27" s="5" customFormat="1" ht="15" customHeight="1" x14ac:dyDescent="0.25">
      <c r="A284" s="79"/>
      <c r="B284" s="10"/>
      <c r="C284" s="36">
        <v>41034</v>
      </c>
      <c r="D284" s="5">
        <v>10.3</v>
      </c>
      <c r="E284" s="5">
        <v>6.6</v>
      </c>
      <c r="F284" s="5">
        <v>15.9</v>
      </c>
      <c r="G284" s="5">
        <f t="shared" si="37"/>
        <v>2236.6</v>
      </c>
      <c r="H284" s="25">
        <f t="shared" si="32"/>
        <v>211.5</v>
      </c>
      <c r="J284" s="5">
        <v>14.4</v>
      </c>
      <c r="K284" s="5">
        <f t="shared" si="38"/>
        <v>411.19999999999976</v>
      </c>
      <c r="L284" s="5">
        <v>1.8</v>
      </c>
      <c r="M284" s="5">
        <f t="shared" si="39"/>
        <v>301.59999999999991</v>
      </c>
      <c r="N284" s="5">
        <v>12.6</v>
      </c>
      <c r="O284" s="5">
        <f t="shared" si="42"/>
        <v>172.70000000000002</v>
      </c>
      <c r="P284" s="5">
        <v>235</v>
      </c>
      <c r="Q284" s="5">
        <v>1.1499999999999999</v>
      </c>
      <c r="R284" s="9">
        <f t="shared" si="35"/>
        <v>2.0699999999999998</v>
      </c>
      <c r="S284" s="9">
        <f t="shared" si="36"/>
        <v>12.33</v>
      </c>
      <c r="T284" s="9">
        <f t="shared" si="40"/>
        <v>180.01116964285711</v>
      </c>
      <c r="V284" s="5">
        <v>1009</v>
      </c>
      <c r="X284" s="5">
        <f t="shared" si="41"/>
        <v>165444.20000000007</v>
      </c>
      <c r="Y284" s="25">
        <f t="shared" si="33"/>
        <v>23079.500000000004</v>
      </c>
      <c r="AA284" s="5">
        <v>14.7260928113191</v>
      </c>
    </row>
    <row r="285" spans="1:27" s="5" customFormat="1" x14ac:dyDescent="0.25">
      <c r="A285" s="79"/>
      <c r="B285" s="10"/>
      <c r="C285" s="36">
        <v>41035</v>
      </c>
      <c r="D285" s="5">
        <v>10</v>
      </c>
      <c r="E285" s="5">
        <v>9.1</v>
      </c>
      <c r="F285" s="5">
        <v>11.5</v>
      </c>
      <c r="G285" s="5">
        <f t="shared" si="37"/>
        <v>2246.6</v>
      </c>
      <c r="H285" s="25">
        <f t="shared" si="32"/>
        <v>221.5</v>
      </c>
      <c r="J285" s="5">
        <v>0.7</v>
      </c>
      <c r="K285" s="5">
        <f t="shared" si="38"/>
        <v>411.89999999999975</v>
      </c>
      <c r="L285" s="5">
        <v>1</v>
      </c>
      <c r="M285" s="5">
        <f t="shared" si="39"/>
        <v>302.59999999999991</v>
      </c>
      <c r="N285" s="5">
        <v>-0.30000000000000004</v>
      </c>
      <c r="O285" s="5">
        <f t="shared" si="42"/>
        <v>172.4</v>
      </c>
      <c r="P285" s="5">
        <v>236</v>
      </c>
      <c r="Q285" s="5">
        <v>1.1499999999999999</v>
      </c>
      <c r="R285" s="9">
        <f t="shared" si="35"/>
        <v>1.1499999999999999</v>
      </c>
      <c r="S285" s="9">
        <f t="shared" si="36"/>
        <v>-0.44999999999999996</v>
      </c>
      <c r="T285" s="9">
        <f t="shared" si="40"/>
        <v>179.56116964285712</v>
      </c>
      <c r="V285" s="5">
        <v>858.5</v>
      </c>
      <c r="X285" s="5">
        <f t="shared" si="41"/>
        <v>166302.70000000007</v>
      </c>
      <c r="Y285" s="25">
        <f t="shared" si="33"/>
        <v>23938.000000000004</v>
      </c>
      <c r="AA285" s="5">
        <v>14.7751416071881</v>
      </c>
    </row>
    <row r="286" spans="1:27" s="5" customFormat="1" x14ac:dyDescent="0.25">
      <c r="A286" s="79"/>
      <c r="B286" s="10"/>
      <c r="C286" s="36">
        <v>41036</v>
      </c>
      <c r="D286" s="5">
        <v>12.5</v>
      </c>
      <c r="E286" s="5">
        <v>7</v>
      </c>
      <c r="F286" s="5">
        <v>16.2</v>
      </c>
      <c r="G286" s="5">
        <f t="shared" si="37"/>
        <v>2259.1</v>
      </c>
      <c r="H286" s="25">
        <f t="shared" si="32"/>
        <v>234</v>
      </c>
      <c r="J286" s="5">
        <v>4.0999999999999996</v>
      </c>
      <c r="K286" s="5">
        <f t="shared" si="38"/>
        <v>415.99999999999977</v>
      </c>
      <c r="L286" s="5">
        <v>2.1</v>
      </c>
      <c r="M286" s="5">
        <f t="shared" si="39"/>
        <v>304.69999999999993</v>
      </c>
      <c r="N286" s="5">
        <v>1.9999999999999996</v>
      </c>
      <c r="O286" s="5">
        <f t="shared" si="42"/>
        <v>174.4</v>
      </c>
      <c r="P286" s="5">
        <v>237</v>
      </c>
      <c r="Q286" s="5">
        <v>1.1499999999999999</v>
      </c>
      <c r="R286" s="9">
        <f t="shared" si="35"/>
        <v>2.415</v>
      </c>
      <c r="S286" s="9">
        <f t="shared" si="36"/>
        <v>1.6849999999999996</v>
      </c>
      <c r="T286" s="9">
        <f t="shared" si="40"/>
        <v>181.24616964285713</v>
      </c>
      <c r="V286" s="5">
        <v>1710.9</v>
      </c>
      <c r="X286" s="5">
        <f t="shared" si="41"/>
        <v>168013.60000000006</v>
      </c>
      <c r="Y286" s="25">
        <f t="shared" si="33"/>
        <v>25648.900000000005</v>
      </c>
      <c r="AA286" s="5">
        <v>14.823653623621601</v>
      </c>
    </row>
    <row r="287" spans="1:27" s="5" customFormat="1" x14ac:dyDescent="0.25">
      <c r="A287" s="79"/>
      <c r="B287" s="10"/>
      <c r="C287" s="36">
        <v>41037</v>
      </c>
      <c r="D287" s="5">
        <v>14.5</v>
      </c>
      <c r="E287" s="5">
        <v>12.2</v>
      </c>
      <c r="F287" s="5">
        <v>17.7</v>
      </c>
      <c r="G287" s="5">
        <f t="shared" si="37"/>
        <v>2273.6</v>
      </c>
      <c r="H287" s="25">
        <f t="shared" si="32"/>
        <v>248.5</v>
      </c>
      <c r="J287" s="5">
        <v>0.7</v>
      </c>
      <c r="K287" s="5">
        <f t="shared" si="38"/>
        <v>416.69999999999976</v>
      </c>
      <c r="L287" s="5">
        <v>1.2</v>
      </c>
      <c r="M287" s="5">
        <f t="shared" si="39"/>
        <v>305.89999999999992</v>
      </c>
      <c r="N287" s="5">
        <v>-0.5</v>
      </c>
      <c r="O287" s="5">
        <f t="shared" si="42"/>
        <v>173.9</v>
      </c>
      <c r="P287" s="5">
        <v>238</v>
      </c>
      <c r="Q287" s="5">
        <v>1.1499999999999999</v>
      </c>
      <c r="R287" s="9">
        <f t="shared" si="35"/>
        <v>1.38</v>
      </c>
      <c r="S287" s="9">
        <f t="shared" si="36"/>
        <v>-0.67999999999999994</v>
      </c>
      <c r="T287" s="9">
        <f t="shared" si="40"/>
        <v>180.56616964285712</v>
      </c>
      <c r="V287" s="5">
        <v>504.8</v>
      </c>
      <c r="X287" s="5">
        <f t="shared" si="41"/>
        <v>168518.40000000005</v>
      </c>
      <c r="Y287" s="25">
        <f t="shared" si="33"/>
        <v>26153.700000000004</v>
      </c>
      <c r="AA287" s="5">
        <v>14.8716076817126</v>
      </c>
    </row>
    <row r="288" spans="1:27" s="5" customFormat="1" x14ac:dyDescent="0.25">
      <c r="A288" s="79"/>
      <c r="B288" s="10"/>
      <c r="C288" s="36">
        <v>41038</v>
      </c>
      <c r="D288" s="5">
        <v>16</v>
      </c>
      <c r="E288" s="5">
        <v>13.7</v>
      </c>
      <c r="F288" s="5">
        <v>17.5</v>
      </c>
      <c r="G288" s="5">
        <f t="shared" si="37"/>
        <v>2289.6</v>
      </c>
      <c r="H288" s="25">
        <f t="shared" si="32"/>
        <v>264.5</v>
      </c>
      <c r="J288" s="5">
        <v>2</v>
      </c>
      <c r="K288" s="5">
        <f t="shared" si="38"/>
        <v>418.69999999999976</v>
      </c>
      <c r="L288" s="5">
        <v>0.8</v>
      </c>
      <c r="M288" s="5">
        <f t="shared" si="39"/>
        <v>306.69999999999993</v>
      </c>
      <c r="N288" s="5">
        <v>1.2</v>
      </c>
      <c r="O288" s="5">
        <f t="shared" si="42"/>
        <v>175.1</v>
      </c>
      <c r="P288" s="5">
        <v>239</v>
      </c>
      <c r="Q288" s="5">
        <v>1.1499999999999999</v>
      </c>
      <c r="R288" s="9">
        <f t="shared" si="35"/>
        <v>0.91999999999999993</v>
      </c>
      <c r="S288" s="9">
        <f t="shared" si="36"/>
        <v>1.08</v>
      </c>
      <c r="T288" s="9">
        <f t="shared" si="40"/>
        <v>181.64616964285713</v>
      </c>
      <c r="V288" s="5">
        <v>454.2</v>
      </c>
      <c r="X288" s="5">
        <f t="shared" si="41"/>
        <v>168972.60000000006</v>
      </c>
      <c r="Y288" s="25">
        <f t="shared" si="33"/>
        <v>26607.900000000005</v>
      </c>
      <c r="AA288" s="5">
        <v>14.9189821219744</v>
      </c>
    </row>
    <row r="289" spans="1:27" s="5" customFormat="1" x14ac:dyDescent="0.25">
      <c r="A289" s="79"/>
      <c r="B289" s="10"/>
      <c r="C289" s="36">
        <v>41039</v>
      </c>
      <c r="D289" s="5">
        <v>18.399999999999999</v>
      </c>
      <c r="E289" s="5">
        <v>15.8</v>
      </c>
      <c r="F289" s="5">
        <v>23.6</v>
      </c>
      <c r="G289" s="5">
        <f t="shared" si="37"/>
        <v>2308</v>
      </c>
      <c r="H289" s="25">
        <f t="shared" si="32"/>
        <v>282.89999999999998</v>
      </c>
      <c r="J289" s="5">
        <v>0.2</v>
      </c>
      <c r="K289" s="5">
        <f t="shared" si="38"/>
        <v>418.89999999999975</v>
      </c>
      <c r="L289" s="5">
        <v>2.4</v>
      </c>
      <c r="M289" s="5">
        <f t="shared" si="39"/>
        <v>309.09999999999991</v>
      </c>
      <c r="N289" s="5">
        <v>-2.1999999999999997</v>
      </c>
      <c r="O289" s="5">
        <f t="shared" si="42"/>
        <v>172.9</v>
      </c>
      <c r="P289" s="5">
        <v>240</v>
      </c>
      <c r="Q289" s="5">
        <v>1.1499999999999999</v>
      </c>
      <c r="R289" s="9">
        <f t="shared" si="35"/>
        <v>2.76</v>
      </c>
      <c r="S289" s="9">
        <f t="shared" si="36"/>
        <v>-2.5599999999999996</v>
      </c>
      <c r="T289" s="9">
        <f t="shared" si="40"/>
        <v>179.08616964285713</v>
      </c>
      <c r="V289" s="5">
        <v>627.9</v>
      </c>
      <c r="X289" s="5">
        <f t="shared" si="41"/>
        <v>169600.50000000006</v>
      </c>
      <c r="Y289" s="25">
        <f t="shared" si="33"/>
        <v>27235.800000000007</v>
      </c>
      <c r="AA289" s="5">
        <v>14.9657548178534</v>
      </c>
    </row>
    <row r="290" spans="1:27" s="5" customFormat="1" x14ac:dyDescent="0.25">
      <c r="A290" s="79"/>
      <c r="B290" s="10"/>
      <c r="C290" s="36">
        <v>41040</v>
      </c>
      <c r="D290" s="5">
        <v>13.3</v>
      </c>
      <c r="E290" s="5">
        <v>11.9</v>
      </c>
      <c r="F290" s="5">
        <v>14.7</v>
      </c>
      <c r="G290" s="5">
        <f t="shared" si="37"/>
        <v>2321.3000000000002</v>
      </c>
      <c r="H290" s="25">
        <f t="shared" si="32"/>
        <v>296.2</v>
      </c>
      <c r="J290" s="5">
        <v>0</v>
      </c>
      <c r="K290" s="5">
        <f t="shared" si="38"/>
        <v>418.89999999999975</v>
      </c>
      <c r="L290" s="5">
        <v>1.3</v>
      </c>
      <c r="M290" s="5">
        <f t="shared" si="39"/>
        <v>310.39999999999992</v>
      </c>
      <c r="N290" s="5">
        <v>-1.3</v>
      </c>
      <c r="O290" s="5">
        <f t="shared" si="42"/>
        <v>171.6</v>
      </c>
      <c r="P290" s="5">
        <v>241</v>
      </c>
      <c r="Q290" s="5">
        <v>1.1499999999999999</v>
      </c>
      <c r="R290" s="9">
        <f t="shared" si="35"/>
        <v>1.4949999999999999</v>
      </c>
      <c r="S290" s="9">
        <f t="shared" si="36"/>
        <v>-1.4949999999999999</v>
      </c>
      <c r="T290" s="9">
        <f t="shared" si="40"/>
        <v>177.59116964285712</v>
      </c>
      <c r="V290" s="5">
        <v>862.5</v>
      </c>
      <c r="X290" s="5">
        <f t="shared" si="41"/>
        <v>170463.00000000006</v>
      </c>
      <c r="Y290" s="25">
        <f t="shared" si="33"/>
        <v>28098.300000000007</v>
      </c>
      <c r="AA290" s="5">
        <v>15.011903191555099</v>
      </c>
    </row>
    <row r="291" spans="1:27" s="55" customFormat="1" ht="15.75" thickBot="1" x14ac:dyDescent="0.3">
      <c r="A291" s="85"/>
      <c r="B291" s="53">
        <v>300</v>
      </c>
      <c r="C291" s="67">
        <v>41041</v>
      </c>
      <c r="D291" s="55">
        <v>11.9</v>
      </c>
      <c r="E291" s="55">
        <v>9.8000000000000007</v>
      </c>
      <c r="F291" s="55">
        <v>15.4</v>
      </c>
      <c r="G291" s="55">
        <f t="shared" si="37"/>
        <v>2333.2000000000003</v>
      </c>
      <c r="H291" s="55">
        <f t="shared" si="32"/>
        <v>308.09999999999997</v>
      </c>
      <c r="J291" s="55">
        <v>0</v>
      </c>
      <c r="K291" s="55">
        <f t="shared" si="38"/>
        <v>418.89999999999975</v>
      </c>
      <c r="L291" s="55">
        <v>4.8</v>
      </c>
      <c r="M291" s="55">
        <f t="shared" si="39"/>
        <v>315.19999999999993</v>
      </c>
      <c r="N291" s="55">
        <v>-4.8</v>
      </c>
      <c r="O291" s="55">
        <f t="shared" si="42"/>
        <v>166.79999999999998</v>
      </c>
      <c r="P291" s="55">
        <v>242</v>
      </c>
      <c r="Q291" s="55">
        <v>1.1499999999999999</v>
      </c>
      <c r="R291" s="56">
        <f t="shared" si="35"/>
        <v>5.52</v>
      </c>
      <c r="S291" s="56">
        <f t="shared" si="36"/>
        <v>-5.52</v>
      </c>
      <c r="T291" s="56">
        <f t="shared" si="40"/>
        <v>172.07116964285711</v>
      </c>
      <c r="V291" s="55">
        <v>2977.4</v>
      </c>
      <c r="X291" s="55">
        <f t="shared" si="41"/>
        <v>173440.40000000005</v>
      </c>
      <c r="Y291" s="55">
        <f t="shared" si="33"/>
        <v>31075.700000000008</v>
      </c>
      <c r="AA291" s="55">
        <v>15.0574042322748</v>
      </c>
    </row>
    <row r="292" spans="1:27" s="5" customFormat="1" x14ac:dyDescent="0.25">
      <c r="A292" s="80">
        <v>600</v>
      </c>
      <c r="B292" s="10"/>
      <c r="C292" s="39">
        <v>41042</v>
      </c>
      <c r="D292" s="5">
        <v>11.2</v>
      </c>
      <c r="E292" s="5">
        <v>6.8</v>
      </c>
      <c r="F292" s="5">
        <v>15.8</v>
      </c>
      <c r="G292" s="5">
        <f t="shared" si="37"/>
        <v>2344.4</v>
      </c>
      <c r="H292" s="25">
        <f>D292</f>
        <v>11.2</v>
      </c>
      <c r="I292" s="40" t="s">
        <v>28</v>
      </c>
      <c r="J292" s="5">
        <v>0</v>
      </c>
      <c r="K292" s="5">
        <f t="shared" si="38"/>
        <v>418.89999999999975</v>
      </c>
      <c r="L292" s="5">
        <v>4.5</v>
      </c>
      <c r="M292" s="5">
        <f t="shared" si="39"/>
        <v>319.69999999999993</v>
      </c>
      <c r="N292" s="5">
        <v>-4.5</v>
      </c>
      <c r="O292" s="5">
        <f t="shared" si="42"/>
        <v>162.29999999999998</v>
      </c>
      <c r="P292" s="5">
        <v>243</v>
      </c>
      <c r="Q292" s="24">
        <f>1.15+((P292-242)/65)*(0.35-1.15)</f>
        <v>1.1376923076923076</v>
      </c>
      <c r="R292" s="9">
        <f t="shared" si="35"/>
        <v>5.1196153846153845</v>
      </c>
      <c r="S292" s="9">
        <f t="shared" si="36"/>
        <v>-5.1196153846153845</v>
      </c>
      <c r="T292" s="9">
        <f t="shared" si="40"/>
        <v>166.95155425824174</v>
      </c>
      <c r="U292" s="40" t="s">
        <v>29</v>
      </c>
      <c r="V292" s="5">
        <v>2975.3</v>
      </c>
      <c r="X292" s="5">
        <f t="shared" si="41"/>
        <v>176415.70000000004</v>
      </c>
      <c r="Y292" s="25">
        <f>V292</f>
        <v>2975.3</v>
      </c>
      <c r="Z292" s="40" t="s">
        <v>30</v>
      </c>
      <c r="AA292" s="5">
        <v>15.1022345169196</v>
      </c>
    </row>
    <row r="293" spans="1:27" s="5" customFormat="1" x14ac:dyDescent="0.25">
      <c r="A293" s="80"/>
      <c r="B293" s="10"/>
      <c r="C293" s="39">
        <v>41043</v>
      </c>
      <c r="D293" s="5">
        <v>11.3</v>
      </c>
      <c r="E293" s="5">
        <v>5.8</v>
      </c>
      <c r="F293" s="5">
        <v>17.8</v>
      </c>
      <c r="G293" s="5">
        <f t="shared" si="37"/>
        <v>2355.7000000000003</v>
      </c>
      <c r="H293" s="25">
        <f t="shared" si="32"/>
        <v>22.5</v>
      </c>
      <c r="I293" s="5">
        <f>MIN(E292:E312)</f>
        <v>5.3</v>
      </c>
      <c r="J293" s="5">
        <v>0.1</v>
      </c>
      <c r="K293" s="5">
        <f t="shared" si="38"/>
        <v>418.99999999999977</v>
      </c>
      <c r="L293" s="5">
        <v>4.2</v>
      </c>
      <c r="M293" s="5">
        <f t="shared" si="39"/>
        <v>323.89999999999992</v>
      </c>
      <c r="N293" s="5">
        <v>-4.1000000000000005</v>
      </c>
      <c r="O293" s="5">
        <f t="shared" si="42"/>
        <v>158.19999999999999</v>
      </c>
      <c r="P293" s="5">
        <v>244</v>
      </c>
      <c r="Q293" s="24">
        <f t="shared" ref="Q293:Q356" si="43">1.15+((P293-242)/65)*(0.35-1.15)</f>
        <v>1.1253846153846152</v>
      </c>
      <c r="R293" s="9">
        <f t="shared" si="35"/>
        <v>4.7266153846153838</v>
      </c>
      <c r="S293" s="9">
        <f t="shared" si="36"/>
        <v>-4.6266153846153841</v>
      </c>
      <c r="T293" s="9">
        <f t="shared" si="40"/>
        <v>162.32493887362637</v>
      </c>
      <c r="U293" s="5">
        <v>18</v>
      </c>
      <c r="V293" s="5">
        <v>2719.9</v>
      </c>
      <c r="X293" s="5">
        <f t="shared" si="41"/>
        <v>179135.60000000003</v>
      </c>
      <c r="Y293" s="25">
        <f t="shared" si="33"/>
        <v>5695.2000000000007</v>
      </c>
      <c r="Z293" s="5">
        <v>44077.1</v>
      </c>
      <c r="AA293" s="5">
        <v>15.1463702334015</v>
      </c>
    </row>
    <row r="294" spans="1:27" s="5" customFormat="1" x14ac:dyDescent="0.25">
      <c r="A294" s="80"/>
      <c r="B294" s="10"/>
      <c r="C294" s="39">
        <v>41044</v>
      </c>
      <c r="D294" s="5">
        <v>9.4</v>
      </c>
      <c r="E294" s="5">
        <v>7.9</v>
      </c>
      <c r="F294" s="5">
        <v>12.2</v>
      </c>
      <c r="G294" s="5">
        <f t="shared" si="37"/>
        <v>2365.1000000000004</v>
      </c>
      <c r="H294" s="25">
        <f t="shared" si="32"/>
        <v>31.9</v>
      </c>
      <c r="I294" s="40" t="s">
        <v>31</v>
      </c>
      <c r="J294" s="5">
        <v>2.1</v>
      </c>
      <c r="K294" s="5">
        <f t="shared" si="38"/>
        <v>421.0999999999998</v>
      </c>
      <c r="L294" s="5">
        <v>3.9</v>
      </c>
      <c r="M294" s="5">
        <f t="shared" si="39"/>
        <v>327.7999999999999</v>
      </c>
      <c r="N294" s="5">
        <v>-1.7999999999999998</v>
      </c>
      <c r="O294" s="5">
        <f t="shared" si="42"/>
        <v>156.39999999999998</v>
      </c>
      <c r="P294" s="5">
        <v>245</v>
      </c>
      <c r="Q294" s="24">
        <f t="shared" si="43"/>
        <v>1.1130769230769231</v>
      </c>
      <c r="R294" s="9">
        <f t="shared" si="35"/>
        <v>4.3410000000000002</v>
      </c>
      <c r="S294" s="9">
        <f t="shared" si="36"/>
        <v>-2.2410000000000001</v>
      </c>
      <c r="T294" s="9">
        <f t="shared" si="40"/>
        <v>160.08393887362635</v>
      </c>
      <c r="U294" s="40" t="s">
        <v>32</v>
      </c>
      <c r="V294" s="5">
        <v>2732.8</v>
      </c>
      <c r="X294" s="5">
        <f t="shared" si="41"/>
        <v>181868.40000000002</v>
      </c>
      <c r="Y294" s="25">
        <f t="shared" si="33"/>
        <v>8428</v>
      </c>
      <c r="Z294" s="40" t="s">
        <v>33</v>
      </c>
      <c r="AA294" s="5">
        <v>15.1897872065722</v>
      </c>
    </row>
    <row r="295" spans="1:27" s="5" customFormat="1" x14ac:dyDescent="0.25">
      <c r="A295" s="80"/>
      <c r="B295" s="10"/>
      <c r="C295" s="39">
        <v>41045</v>
      </c>
      <c r="D295" s="5">
        <v>11</v>
      </c>
      <c r="E295" s="5">
        <v>5.3</v>
      </c>
      <c r="F295" s="5">
        <v>15.4</v>
      </c>
      <c r="G295" s="5">
        <f t="shared" si="37"/>
        <v>2376.1000000000004</v>
      </c>
      <c r="H295" s="25">
        <f t="shared" si="32"/>
        <v>42.9</v>
      </c>
      <c r="I295" s="5">
        <f>MAX(F292:F312)</f>
        <v>29.7</v>
      </c>
      <c r="J295" s="5">
        <v>0</v>
      </c>
      <c r="K295" s="5">
        <f t="shared" si="38"/>
        <v>421.0999999999998</v>
      </c>
      <c r="L295" s="5">
        <v>2.8</v>
      </c>
      <c r="M295" s="5">
        <f t="shared" si="39"/>
        <v>330.59999999999991</v>
      </c>
      <c r="N295" s="5">
        <v>-2.8</v>
      </c>
      <c r="O295" s="5">
        <f t="shared" si="42"/>
        <v>153.59999999999997</v>
      </c>
      <c r="P295" s="5">
        <v>246</v>
      </c>
      <c r="Q295" s="24">
        <f t="shared" si="43"/>
        <v>1.1007692307692307</v>
      </c>
      <c r="R295" s="9">
        <f t="shared" si="35"/>
        <v>3.082153846153846</v>
      </c>
      <c r="S295" s="9">
        <f t="shared" si="36"/>
        <v>-3.082153846153846</v>
      </c>
      <c r="T295" s="9">
        <f t="shared" si="40"/>
        <v>157.00178502747249</v>
      </c>
      <c r="U295" s="5">
        <v>0</v>
      </c>
      <c r="V295" s="5">
        <v>1732.5</v>
      </c>
      <c r="X295" s="5">
        <f t="shared" si="41"/>
        <v>183600.90000000002</v>
      </c>
      <c r="Y295" s="25">
        <f t="shared" si="33"/>
        <v>10160.5</v>
      </c>
      <c r="Z295" s="5">
        <f>(Z293/100)/I305</f>
        <v>1.4064167198468411</v>
      </c>
      <c r="AA295" s="5">
        <v>15.2324609268607</v>
      </c>
    </row>
    <row r="296" spans="1:27" s="5" customFormat="1" x14ac:dyDescent="0.25">
      <c r="A296" s="80"/>
      <c r="B296" s="10"/>
      <c r="C296" s="39">
        <v>41046</v>
      </c>
      <c r="D296" s="5">
        <v>12.7</v>
      </c>
      <c r="E296" s="5">
        <v>9.1999999999999993</v>
      </c>
      <c r="F296" s="5">
        <v>15.9</v>
      </c>
      <c r="G296" s="5">
        <f t="shared" si="37"/>
        <v>2388.8000000000002</v>
      </c>
      <c r="H296" s="25">
        <f t="shared" si="32"/>
        <v>55.599999999999994</v>
      </c>
      <c r="I296" s="40" t="s">
        <v>34</v>
      </c>
      <c r="J296" s="5">
        <v>0.8</v>
      </c>
      <c r="K296" s="5">
        <f t="shared" si="38"/>
        <v>421.89999999999981</v>
      </c>
      <c r="L296" s="5">
        <v>2.9</v>
      </c>
      <c r="M296" s="5">
        <f t="shared" si="39"/>
        <v>333.49999999999989</v>
      </c>
      <c r="N296" s="5">
        <v>-2.0999999999999996</v>
      </c>
      <c r="O296" s="5">
        <f t="shared" si="42"/>
        <v>151.49999999999997</v>
      </c>
      <c r="P296" s="5">
        <v>247</v>
      </c>
      <c r="Q296" s="24">
        <f t="shared" si="43"/>
        <v>1.0884615384615384</v>
      </c>
      <c r="R296" s="9">
        <f t="shared" si="35"/>
        <v>3.1565384615384611</v>
      </c>
      <c r="S296" s="9">
        <f t="shared" si="36"/>
        <v>-2.3565384615384612</v>
      </c>
      <c r="T296" s="9">
        <f t="shared" si="40"/>
        <v>154.64524656593403</v>
      </c>
      <c r="U296" s="40" t="s">
        <v>35</v>
      </c>
      <c r="V296" s="5">
        <v>1330.3</v>
      </c>
      <c r="X296" s="5">
        <f t="shared" si="41"/>
        <v>184931.20000000001</v>
      </c>
      <c r="Y296" s="25">
        <f t="shared" si="33"/>
        <v>11490.8</v>
      </c>
      <c r="Z296" s="40" t="s">
        <v>36</v>
      </c>
      <c r="AA296" s="5">
        <v>15.274366581663999</v>
      </c>
    </row>
    <row r="297" spans="1:27" s="5" customFormat="1" x14ac:dyDescent="0.25">
      <c r="A297" s="80"/>
      <c r="B297" s="10"/>
      <c r="C297" s="39">
        <v>41047</v>
      </c>
      <c r="D297" s="5">
        <v>12.6</v>
      </c>
      <c r="E297" s="5">
        <v>12.4</v>
      </c>
      <c r="F297" s="5">
        <v>14.2</v>
      </c>
      <c r="G297" s="5">
        <f t="shared" si="37"/>
        <v>2401.4</v>
      </c>
      <c r="H297" s="25">
        <f t="shared" si="32"/>
        <v>68.199999999999989</v>
      </c>
      <c r="I297" s="9">
        <f>AVERAGE(D292:D312)</f>
        <v>14.923809523809526</v>
      </c>
      <c r="J297" s="5">
        <v>0</v>
      </c>
      <c r="K297" s="5">
        <f t="shared" si="38"/>
        <v>421.89999999999981</v>
      </c>
      <c r="L297" s="5">
        <v>2.2999999999999998</v>
      </c>
      <c r="M297" s="5">
        <f t="shared" si="39"/>
        <v>335.7999999999999</v>
      </c>
      <c r="N297" s="5">
        <v>-2.2999999999999998</v>
      </c>
      <c r="O297" s="5">
        <f t="shared" si="42"/>
        <v>149.19999999999996</v>
      </c>
      <c r="P297" s="5">
        <v>248</v>
      </c>
      <c r="Q297" s="24">
        <f t="shared" si="43"/>
        <v>1.076153846153846</v>
      </c>
      <c r="R297" s="9">
        <f t="shared" si="35"/>
        <v>2.4751538461538458</v>
      </c>
      <c r="S297" s="9">
        <f t="shared" si="36"/>
        <v>-2.4751538461538458</v>
      </c>
      <c r="T297" s="9">
        <f t="shared" si="40"/>
        <v>152.17009271978017</v>
      </c>
      <c r="U297" s="5">
        <v>0</v>
      </c>
      <c r="V297" s="5">
        <v>1410.8</v>
      </c>
      <c r="X297" s="5">
        <f t="shared" si="41"/>
        <v>186342</v>
      </c>
      <c r="Y297" s="25">
        <f t="shared" si="33"/>
        <v>12901.599999999999</v>
      </c>
      <c r="Z297" s="5">
        <v>3</v>
      </c>
      <c r="AA297" s="5">
        <v>15.315479089526701</v>
      </c>
    </row>
    <row r="298" spans="1:27" s="5" customFormat="1" x14ac:dyDescent="0.25">
      <c r="A298" s="80"/>
      <c r="B298" s="10"/>
      <c r="C298" s="39">
        <v>41048</v>
      </c>
      <c r="D298" s="5">
        <v>9.6999999999999993</v>
      </c>
      <c r="E298" s="5">
        <v>7.6</v>
      </c>
      <c r="F298" s="5">
        <v>11.4</v>
      </c>
      <c r="G298" s="5">
        <f t="shared" si="37"/>
        <v>2411.1</v>
      </c>
      <c r="H298" s="25">
        <f t="shared" si="32"/>
        <v>77.899999999999991</v>
      </c>
      <c r="I298" s="40" t="s">
        <v>37</v>
      </c>
      <c r="J298" s="5">
        <v>7.5</v>
      </c>
      <c r="K298" s="5">
        <f t="shared" si="38"/>
        <v>429.39999999999981</v>
      </c>
      <c r="L298" s="5">
        <v>1</v>
      </c>
      <c r="M298" s="5">
        <f t="shared" si="39"/>
        <v>336.7999999999999</v>
      </c>
      <c r="N298" s="5">
        <v>6.5</v>
      </c>
      <c r="O298" s="5">
        <f t="shared" si="42"/>
        <v>155.69999999999996</v>
      </c>
      <c r="P298" s="5">
        <v>249</v>
      </c>
      <c r="Q298" s="24">
        <f t="shared" si="43"/>
        <v>1.0638461538461537</v>
      </c>
      <c r="R298" s="9">
        <f t="shared" si="35"/>
        <v>1.0638461538461537</v>
      </c>
      <c r="S298" s="9">
        <f t="shared" si="36"/>
        <v>6.4361538461538466</v>
      </c>
      <c r="T298" s="9">
        <f t="shared" si="40"/>
        <v>158.60624656593401</v>
      </c>
      <c r="U298" s="40" t="s">
        <v>38</v>
      </c>
      <c r="V298" s="5">
        <v>575.79999999999995</v>
      </c>
      <c r="X298" s="5">
        <f t="shared" si="41"/>
        <v>186917.8</v>
      </c>
      <c r="Y298" s="25">
        <f t="shared" si="33"/>
        <v>13477.399999999998</v>
      </c>
      <c r="AA298" s="5">
        <v>15.355773137132701</v>
      </c>
    </row>
    <row r="299" spans="1:27" s="5" customFormat="1" x14ac:dyDescent="0.25">
      <c r="A299" s="80"/>
      <c r="B299" s="10"/>
      <c r="C299" s="39">
        <v>41049</v>
      </c>
      <c r="D299" s="5">
        <v>10.5</v>
      </c>
      <c r="E299" s="5">
        <v>9.1</v>
      </c>
      <c r="F299" s="5">
        <v>11.4</v>
      </c>
      <c r="G299" s="5">
        <f t="shared" si="37"/>
        <v>2421.6</v>
      </c>
      <c r="H299" s="25">
        <f t="shared" si="32"/>
        <v>88.399999999999991</v>
      </c>
      <c r="I299" s="5">
        <v>0</v>
      </c>
      <c r="J299" s="5">
        <v>13.2</v>
      </c>
      <c r="K299" s="5">
        <f t="shared" si="38"/>
        <v>442.5999999999998</v>
      </c>
      <c r="L299" s="5">
        <v>0.7</v>
      </c>
      <c r="M299" s="5">
        <f t="shared" si="39"/>
        <v>337.49999999999989</v>
      </c>
      <c r="N299" s="5">
        <v>12.5</v>
      </c>
      <c r="O299" s="5">
        <f t="shared" si="42"/>
        <v>168.19999999999996</v>
      </c>
      <c r="P299" s="5">
        <v>250</v>
      </c>
      <c r="Q299" s="24">
        <f t="shared" si="43"/>
        <v>1.0515384615384615</v>
      </c>
      <c r="R299" s="9">
        <f t="shared" si="35"/>
        <v>0.73607692307692307</v>
      </c>
      <c r="S299" s="9">
        <f t="shared" si="36"/>
        <v>12.463923076923077</v>
      </c>
      <c r="T299" s="9">
        <f t="shared" si="40"/>
        <v>171.07016964285708</v>
      </c>
      <c r="U299" s="9">
        <f>MIN(T292:T312)</f>
        <v>131.37016964285709</v>
      </c>
      <c r="V299" s="5">
        <v>419.5</v>
      </c>
      <c r="X299" s="5">
        <f t="shared" si="41"/>
        <v>187337.3</v>
      </c>
      <c r="Y299" s="25">
        <f t="shared" si="33"/>
        <v>13896.899999999998</v>
      </c>
      <c r="AA299" s="5">
        <v>15.3952232191133</v>
      </c>
    </row>
    <row r="300" spans="1:27" s="5" customFormat="1" x14ac:dyDescent="0.25">
      <c r="A300" s="80"/>
      <c r="B300" s="10"/>
      <c r="C300" s="39">
        <v>41050</v>
      </c>
      <c r="D300" s="5">
        <v>11.4</v>
      </c>
      <c r="E300" s="5">
        <v>10.8</v>
      </c>
      <c r="F300" s="5">
        <v>12.7</v>
      </c>
      <c r="G300" s="5">
        <f t="shared" si="37"/>
        <v>2433</v>
      </c>
      <c r="H300" s="25">
        <f t="shared" si="32"/>
        <v>99.8</v>
      </c>
      <c r="I300" s="40" t="s">
        <v>39</v>
      </c>
      <c r="J300" s="5">
        <v>1.2</v>
      </c>
      <c r="K300" s="5">
        <f t="shared" si="38"/>
        <v>443.79999999999978</v>
      </c>
      <c r="L300" s="5">
        <v>1.4</v>
      </c>
      <c r="M300" s="5">
        <f t="shared" si="39"/>
        <v>338.89999999999986</v>
      </c>
      <c r="N300" s="5">
        <v>-0.19999999999999996</v>
      </c>
      <c r="O300" s="5">
        <f t="shared" si="42"/>
        <v>167.99999999999997</v>
      </c>
      <c r="P300" s="5">
        <v>251</v>
      </c>
      <c r="Q300" s="24">
        <f t="shared" si="43"/>
        <v>1.0392307692307692</v>
      </c>
      <c r="R300" s="9">
        <f t="shared" si="35"/>
        <v>1.4549230769230768</v>
      </c>
      <c r="S300" s="9">
        <f t="shared" si="36"/>
        <v>-0.25492307692307681</v>
      </c>
      <c r="T300" s="9">
        <f t="shared" si="40"/>
        <v>170.81524656593402</v>
      </c>
      <c r="U300" s="40" t="s">
        <v>40</v>
      </c>
      <c r="V300" s="5">
        <v>804.1</v>
      </c>
      <c r="X300" s="5">
        <f t="shared" si="41"/>
        <v>188141.4</v>
      </c>
      <c r="Y300" s="25">
        <f t="shared" si="33"/>
        <v>14700.999999999998</v>
      </c>
      <c r="AA300" s="5">
        <v>15.433803680661301</v>
      </c>
    </row>
    <row r="301" spans="1:27" s="5" customFormat="1" x14ac:dyDescent="0.25">
      <c r="A301" s="80"/>
      <c r="B301" s="10"/>
      <c r="C301" s="39">
        <v>41051</v>
      </c>
      <c r="D301" s="5">
        <v>14.1</v>
      </c>
      <c r="E301" s="5">
        <v>8.8000000000000007</v>
      </c>
      <c r="F301" s="5">
        <v>19.399999999999999</v>
      </c>
      <c r="G301" s="5">
        <f t="shared" si="37"/>
        <v>2447.1</v>
      </c>
      <c r="H301" s="25">
        <f t="shared" si="32"/>
        <v>113.89999999999999</v>
      </c>
      <c r="I301" s="5">
        <v>2</v>
      </c>
      <c r="J301" s="5">
        <v>0</v>
      </c>
      <c r="K301" s="5">
        <f t="shared" si="38"/>
        <v>443.79999999999978</v>
      </c>
      <c r="L301" s="5">
        <v>2.8</v>
      </c>
      <c r="M301" s="5">
        <f t="shared" si="39"/>
        <v>341.69999999999987</v>
      </c>
      <c r="N301" s="5">
        <v>-2.8</v>
      </c>
      <c r="O301" s="5">
        <f t="shared" si="42"/>
        <v>165.19999999999996</v>
      </c>
      <c r="P301" s="5">
        <v>252</v>
      </c>
      <c r="Q301" s="24">
        <f t="shared" si="43"/>
        <v>1.0269230769230768</v>
      </c>
      <c r="R301" s="9">
        <f t="shared" si="35"/>
        <v>2.8753846153846148</v>
      </c>
      <c r="S301" s="9">
        <f t="shared" si="36"/>
        <v>-2.8753846153846148</v>
      </c>
      <c r="T301" s="9">
        <f t="shared" si="40"/>
        <v>167.93986195054941</v>
      </c>
      <c r="U301" s="9">
        <f>MAX(T292:T312)</f>
        <v>171.07016964285708</v>
      </c>
      <c r="V301" s="5">
        <v>1802.4</v>
      </c>
      <c r="X301" s="5">
        <f t="shared" si="41"/>
        <v>189943.8</v>
      </c>
      <c r="Y301" s="25">
        <f t="shared" si="33"/>
        <v>16503.399999999998</v>
      </c>
      <c r="AA301" s="5">
        <v>15.471488762918799</v>
      </c>
    </row>
    <row r="302" spans="1:27" s="5" customFormat="1" x14ac:dyDescent="0.25">
      <c r="A302" s="80"/>
      <c r="B302" s="10"/>
      <c r="C302" s="39">
        <v>41052</v>
      </c>
      <c r="D302" s="5">
        <v>14.9</v>
      </c>
      <c r="E302" s="5">
        <v>9.1999999999999993</v>
      </c>
      <c r="F302" s="5">
        <v>20.399999999999999</v>
      </c>
      <c r="G302" s="5">
        <f t="shared" si="37"/>
        <v>2462</v>
      </c>
      <c r="H302" s="25">
        <f t="shared" ref="H302:H356" si="44">H301+D302</f>
        <v>128.79999999999998</v>
      </c>
      <c r="I302" s="40" t="s">
        <v>41</v>
      </c>
      <c r="J302" s="5">
        <v>0</v>
      </c>
      <c r="K302" s="5">
        <f t="shared" si="38"/>
        <v>443.79999999999978</v>
      </c>
      <c r="L302" s="5">
        <v>4.0999999999999996</v>
      </c>
      <c r="M302" s="5">
        <f t="shared" si="39"/>
        <v>345.7999999999999</v>
      </c>
      <c r="N302" s="5">
        <v>-4.0999999999999996</v>
      </c>
      <c r="O302" s="5">
        <f t="shared" si="42"/>
        <v>161.09999999999997</v>
      </c>
      <c r="P302" s="5">
        <v>253</v>
      </c>
      <c r="Q302" s="24">
        <f t="shared" si="43"/>
        <v>1.0146153846153845</v>
      </c>
      <c r="R302" s="9">
        <f t="shared" si="35"/>
        <v>4.1599230769230759</v>
      </c>
      <c r="S302" s="9">
        <f t="shared" si="36"/>
        <v>-4.1599230769230759</v>
      </c>
      <c r="T302" s="9">
        <f t="shared" si="40"/>
        <v>163.77993887362635</v>
      </c>
      <c r="U302" s="40" t="s">
        <v>42</v>
      </c>
      <c r="V302" s="5">
        <v>2836.9</v>
      </c>
      <c r="X302" s="5">
        <f t="shared" si="41"/>
        <v>192780.69999999998</v>
      </c>
      <c r="Y302" s="25">
        <f t="shared" ref="Y302:Y356" si="45">Y301+V302</f>
        <v>19340.3</v>
      </c>
      <c r="AA302" s="5">
        <v>15.508252651086901</v>
      </c>
    </row>
    <row r="303" spans="1:27" s="5" customFormat="1" x14ac:dyDescent="0.25">
      <c r="A303" s="80"/>
      <c r="B303" s="10"/>
      <c r="C303" s="39">
        <v>41053</v>
      </c>
      <c r="D303" s="5">
        <v>17.7</v>
      </c>
      <c r="E303" s="5">
        <v>10.199999999999999</v>
      </c>
      <c r="F303" s="5">
        <v>23.7</v>
      </c>
      <c r="G303" s="5">
        <f t="shared" si="37"/>
        <v>2479.6999999999998</v>
      </c>
      <c r="H303" s="25">
        <f t="shared" si="44"/>
        <v>146.49999999999997</v>
      </c>
      <c r="I303" s="5">
        <v>0</v>
      </c>
      <c r="J303" s="5">
        <v>0</v>
      </c>
      <c r="K303" s="5">
        <f t="shared" si="38"/>
        <v>443.79999999999978</v>
      </c>
      <c r="L303" s="5">
        <v>4.4000000000000004</v>
      </c>
      <c r="M303" s="5">
        <f t="shared" si="39"/>
        <v>350.19999999999987</v>
      </c>
      <c r="N303" s="5">
        <v>-4.4000000000000004</v>
      </c>
      <c r="O303" s="5">
        <f t="shared" si="42"/>
        <v>156.69999999999996</v>
      </c>
      <c r="P303" s="5">
        <v>254</v>
      </c>
      <c r="Q303" s="24">
        <f t="shared" si="43"/>
        <v>1.0023076923076921</v>
      </c>
      <c r="R303" s="9">
        <f t="shared" si="35"/>
        <v>4.4101538461538459</v>
      </c>
      <c r="S303" s="9">
        <f t="shared" si="36"/>
        <v>-4.4101538461538459</v>
      </c>
      <c r="T303" s="9">
        <f t="shared" si="40"/>
        <v>159.36978502747252</v>
      </c>
      <c r="U303" s="24">
        <f>AVERAGE(T292:T312)</f>
        <v>154.50905975274722</v>
      </c>
      <c r="V303" s="5">
        <v>2733.6</v>
      </c>
      <c r="X303" s="5">
        <f t="shared" si="41"/>
        <v>195514.3</v>
      </c>
      <c r="Y303" s="25">
        <f t="shared" si="45"/>
        <v>22073.899999999998</v>
      </c>
      <c r="AA303" s="5">
        <v>15.544069525182699</v>
      </c>
    </row>
    <row r="304" spans="1:27" s="5" customFormat="1" x14ac:dyDescent="0.25">
      <c r="A304" s="80"/>
      <c r="B304" s="10"/>
      <c r="C304" s="39">
        <v>41054</v>
      </c>
      <c r="D304" s="5">
        <v>22.1</v>
      </c>
      <c r="E304" s="5">
        <v>15</v>
      </c>
      <c r="F304" s="5">
        <v>29.7</v>
      </c>
      <c r="G304" s="5">
        <f t="shared" si="37"/>
        <v>2501.7999999999997</v>
      </c>
      <c r="H304" s="25">
        <f t="shared" si="44"/>
        <v>168.59999999999997</v>
      </c>
      <c r="I304" s="40" t="s">
        <v>43</v>
      </c>
      <c r="J304" s="5">
        <v>0</v>
      </c>
      <c r="K304" s="5">
        <f t="shared" si="38"/>
        <v>443.79999999999978</v>
      </c>
      <c r="L304" s="5">
        <v>6.2</v>
      </c>
      <c r="M304" s="5">
        <f t="shared" si="39"/>
        <v>356.39999999999986</v>
      </c>
      <c r="N304" s="5">
        <v>-6.2</v>
      </c>
      <c r="O304" s="5">
        <f t="shared" si="42"/>
        <v>150.49999999999997</v>
      </c>
      <c r="P304" s="5">
        <v>255</v>
      </c>
      <c r="Q304" s="24">
        <f t="shared" si="43"/>
        <v>0.98999999999999988</v>
      </c>
      <c r="R304" s="9">
        <f t="shared" si="35"/>
        <v>6.137999999999999</v>
      </c>
      <c r="S304" s="9">
        <f t="shared" si="36"/>
        <v>-6.137999999999999</v>
      </c>
      <c r="T304" s="9">
        <f t="shared" si="40"/>
        <v>153.23178502747251</v>
      </c>
      <c r="V304" s="5">
        <v>2615.9</v>
      </c>
      <c r="X304" s="5">
        <f t="shared" si="41"/>
        <v>198130.19999999998</v>
      </c>
      <c r="Y304" s="25">
        <f t="shared" si="45"/>
        <v>24689.8</v>
      </c>
      <c r="AA304" s="5">
        <v>15.578913613345801</v>
      </c>
    </row>
    <row r="305" spans="1:27" s="5" customFormat="1" x14ac:dyDescent="0.25">
      <c r="A305" s="80"/>
      <c r="B305" s="10"/>
      <c r="C305" s="39">
        <v>41055</v>
      </c>
      <c r="D305" s="5">
        <v>19.8</v>
      </c>
      <c r="E305" s="5">
        <v>17.600000000000001</v>
      </c>
      <c r="F305" s="5">
        <v>25.7</v>
      </c>
      <c r="G305" s="5">
        <f t="shared" si="37"/>
        <v>2521.6</v>
      </c>
      <c r="H305" s="25">
        <f t="shared" si="44"/>
        <v>188.39999999999998</v>
      </c>
      <c r="I305" s="5">
        <v>313.39999999999998</v>
      </c>
      <c r="J305" s="5">
        <v>10.8</v>
      </c>
      <c r="K305" s="5">
        <f t="shared" si="38"/>
        <v>454.5999999999998</v>
      </c>
      <c r="L305" s="5">
        <v>6.2</v>
      </c>
      <c r="M305" s="5">
        <f t="shared" si="39"/>
        <v>362.59999999999985</v>
      </c>
      <c r="N305" s="5">
        <v>4.6000000000000005</v>
      </c>
      <c r="O305" s="5">
        <f t="shared" si="42"/>
        <v>155.09999999999997</v>
      </c>
      <c r="P305" s="5">
        <v>256</v>
      </c>
      <c r="Q305" s="24">
        <f t="shared" si="43"/>
        <v>0.97769230769230764</v>
      </c>
      <c r="R305" s="9">
        <f t="shared" si="35"/>
        <v>6.0616923076923079</v>
      </c>
      <c r="S305" s="9">
        <f t="shared" si="36"/>
        <v>4.7383076923076928</v>
      </c>
      <c r="T305" s="9">
        <f t="shared" si="40"/>
        <v>157.97009271978021</v>
      </c>
      <c r="U305" s="9">
        <f>(U303*100)/197.4</f>
        <v>78.272066744046214</v>
      </c>
      <c r="V305" s="5">
        <v>2658</v>
      </c>
      <c r="X305" s="5">
        <f t="shared" si="41"/>
        <v>200788.19999999998</v>
      </c>
      <c r="Y305" s="25">
        <f t="shared" si="45"/>
        <v>27347.8</v>
      </c>
      <c r="AA305" s="5">
        <v>15.612759247572299</v>
      </c>
    </row>
    <row r="306" spans="1:27" s="5" customFormat="1" x14ac:dyDescent="0.25">
      <c r="A306" s="80"/>
      <c r="B306" s="10"/>
      <c r="C306" s="39">
        <v>41056</v>
      </c>
      <c r="D306" s="5">
        <v>17.399999999999999</v>
      </c>
      <c r="E306" s="5">
        <v>12.1</v>
      </c>
      <c r="F306" s="5">
        <v>23.1</v>
      </c>
      <c r="G306" s="5">
        <f t="shared" si="37"/>
        <v>2539</v>
      </c>
      <c r="H306" s="25">
        <f t="shared" si="44"/>
        <v>205.79999999999998</v>
      </c>
      <c r="J306" s="5">
        <v>0</v>
      </c>
      <c r="K306" s="5">
        <f t="shared" si="38"/>
        <v>454.5999999999998</v>
      </c>
      <c r="L306" s="5">
        <v>4.5999999999999996</v>
      </c>
      <c r="M306" s="5">
        <f t="shared" si="39"/>
        <v>367.19999999999987</v>
      </c>
      <c r="N306" s="5">
        <v>-4.5999999999999996</v>
      </c>
      <c r="O306" s="5">
        <f t="shared" si="42"/>
        <v>150.49999999999997</v>
      </c>
      <c r="P306" s="5">
        <v>257</v>
      </c>
      <c r="Q306" s="24">
        <f t="shared" si="43"/>
        <v>0.96538461538461529</v>
      </c>
      <c r="R306" s="9">
        <f t="shared" ref="R306:R356" si="46">Q306*L306</f>
        <v>4.4407692307692299</v>
      </c>
      <c r="S306" s="9">
        <f t="shared" ref="S306:S356" si="47">J306-R306</f>
        <v>-4.4407692307692299</v>
      </c>
      <c r="T306" s="9">
        <f t="shared" si="40"/>
        <v>153.52932348901098</v>
      </c>
      <c r="V306" s="5">
        <v>2546.1</v>
      </c>
      <c r="W306" s="25"/>
      <c r="X306" s="25">
        <f t="shared" si="41"/>
        <v>203334.3</v>
      </c>
      <c r="Y306" s="25">
        <f t="shared" si="45"/>
        <v>29893.899999999998</v>
      </c>
      <c r="AA306" s="5">
        <v>15.6455809217266</v>
      </c>
    </row>
    <row r="307" spans="1:27" s="5" customFormat="1" ht="15" customHeight="1" x14ac:dyDescent="0.25">
      <c r="A307" s="80"/>
      <c r="B307" s="10"/>
      <c r="C307" s="39">
        <v>41057</v>
      </c>
      <c r="D307" s="5">
        <v>17.8</v>
      </c>
      <c r="E307" s="5">
        <v>12.1</v>
      </c>
      <c r="F307" s="5">
        <v>22</v>
      </c>
      <c r="G307" s="5">
        <f t="shared" si="37"/>
        <v>2556.8000000000002</v>
      </c>
      <c r="H307" s="25">
        <f t="shared" si="44"/>
        <v>223.6</v>
      </c>
      <c r="J307" s="5">
        <v>0</v>
      </c>
      <c r="K307" s="5">
        <f t="shared" si="38"/>
        <v>454.5999999999998</v>
      </c>
      <c r="L307" s="5">
        <v>4.2</v>
      </c>
      <c r="M307" s="5">
        <f t="shared" si="39"/>
        <v>371.39999999999986</v>
      </c>
      <c r="N307" s="5">
        <v>-4.2</v>
      </c>
      <c r="O307" s="5">
        <f t="shared" si="42"/>
        <v>146.29999999999998</v>
      </c>
      <c r="P307" s="5">
        <v>258</v>
      </c>
      <c r="Q307" s="24">
        <f t="shared" si="43"/>
        <v>0.95307692307692293</v>
      </c>
      <c r="R307" s="9">
        <f t="shared" si="46"/>
        <v>4.0029230769230768</v>
      </c>
      <c r="S307" s="9">
        <f t="shared" si="47"/>
        <v>-4.0029230769230768</v>
      </c>
      <c r="T307" s="9">
        <f t="shared" si="40"/>
        <v>149.5264004120879</v>
      </c>
      <c r="V307" s="5">
        <v>2488.8000000000002</v>
      </c>
      <c r="X307" s="5">
        <f t="shared" si="41"/>
        <v>205823.09999999998</v>
      </c>
      <c r="Y307" s="25">
        <f t="shared" si="45"/>
        <v>32382.699999999997</v>
      </c>
      <c r="AA307" s="5">
        <v>15.677353351658899</v>
      </c>
    </row>
    <row r="308" spans="1:27" s="5" customFormat="1" x14ac:dyDescent="0.25">
      <c r="A308" s="80"/>
      <c r="B308" s="10"/>
      <c r="C308" s="39">
        <v>41058</v>
      </c>
      <c r="D308" s="5">
        <v>18.600000000000001</v>
      </c>
      <c r="E308" s="5">
        <v>13.9</v>
      </c>
      <c r="F308" s="5">
        <v>24.9</v>
      </c>
      <c r="G308" s="5">
        <f t="shared" ref="G308:G356" si="48">G307+D308</f>
        <v>2575.4</v>
      </c>
      <c r="H308" s="25">
        <f t="shared" si="44"/>
        <v>242.2</v>
      </c>
      <c r="J308" s="5">
        <v>0</v>
      </c>
      <c r="K308" s="5">
        <f t="shared" ref="K308:K356" si="49">K307+J308</f>
        <v>454.5999999999998</v>
      </c>
      <c r="L308" s="5">
        <v>5.6</v>
      </c>
      <c r="M308" s="5">
        <f t="shared" ref="M308:M356" si="50">M307+L308</f>
        <v>376.99999999999989</v>
      </c>
      <c r="N308" s="5">
        <v>-5.6</v>
      </c>
      <c r="O308" s="5">
        <f t="shared" si="42"/>
        <v>140.69999999999999</v>
      </c>
      <c r="P308" s="5">
        <v>259</v>
      </c>
      <c r="Q308" s="24">
        <f t="shared" si="43"/>
        <v>0.94076923076923069</v>
      </c>
      <c r="R308" s="9">
        <f t="shared" si="46"/>
        <v>5.2683076923076912</v>
      </c>
      <c r="S308" s="9">
        <f t="shared" si="47"/>
        <v>-5.2683076923076912</v>
      </c>
      <c r="T308" s="9">
        <f t="shared" ref="T308:T356" si="51">MIN(197.4,(T307+S308))</f>
        <v>144.25809271978019</v>
      </c>
      <c r="V308" s="5">
        <v>2920.4</v>
      </c>
      <c r="X308" s="5">
        <f t="shared" ref="X308:X356" si="52">X307+V308</f>
        <v>208743.49999999997</v>
      </c>
      <c r="Y308" s="25">
        <f t="shared" si="45"/>
        <v>35303.1</v>
      </c>
      <c r="AA308" s="5">
        <v>15.7080515372264</v>
      </c>
    </row>
    <row r="309" spans="1:27" s="5" customFormat="1" x14ac:dyDescent="0.25">
      <c r="A309" s="80"/>
      <c r="B309" s="10"/>
      <c r="C309" s="39">
        <v>41059</v>
      </c>
      <c r="D309" s="5">
        <v>16.600000000000001</v>
      </c>
      <c r="E309" s="5">
        <v>12.9</v>
      </c>
      <c r="F309" s="5">
        <v>21.6</v>
      </c>
      <c r="G309" s="5">
        <f t="shared" si="48"/>
        <v>2592</v>
      </c>
      <c r="H309" s="25">
        <f t="shared" si="44"/>
        <v>258.8</v>
      </c>
      <c r="J309" s="5">
        <v>0</v>
      </c>
      <c r="K309" s="5">
        <f t="shared" si="49"/>
        <v>454.5999999999998</v>
      </c>
      <c r="L309" s="5">
        <v>4.0999999999999996</v>
      </c>
      <c r="M309" s="5">
        <f t="shared" si="50"/>
        <v>381.09999999999991</v>
      </c>
      <c r="N309" s="5">
        <v>-4.0999999999999996</v>
      </c>
      <c r="O309" s="5">
        <f t="shared" si="42"/>
        <v>136.6</v>
      </c>
      <c r="P309" s="5">
        <v>260</v>
      </c>
      <c r="Q309" s="24">
        <f t="shared" si="43"/>
        <v>0.92846153846153834</v>
      </c>
      <c r="R309" s="9">
        <f t="shared" si="46"/>
        <v>3.8066923076923067</v>
      </c>
      <c r="S309" s="9">
        <f t="shared" si="47"/>
        <v>-3.8066923076923067</v>
      </c>
      <c r="T309" s="9">
        <f t="shared" si="51"/>
        <v>140.45140041208788</v>
      </c>
      <c r="V309" s="5">
        <v>2428.6999999999998</v>
      </c>
      <c r="X309" s="5">
        <f t="shared" si="52"/>
        <v>211172.19999999998</v>
      </c>
      <c r="Y309" s="25">
        <f t="shared" si="45"/>
        <v>37731.799999999996</v>
      </c>
      <c r="AA309" s="5">
        <v>15.7376508259911</v>
      </c>
    </row>
    <row r="310" spans="1:27" s="5" customFormat="1" x14ac:dyDescent="0.25">
      <c r="A310" s="80"/>
      <c r="B310" s="10"/>
      <c r="C310" s="39">
        <v>41060</v>
      </c>
      <c r="D310" s="5">
        <v>16.399999999999999</v>
      </c>
      <c r="E310" s="5">
        <v>11.4</v>
      </c>
      <c r="F310" s="5">
        <v>21.7</v>
      </c>
      <c r="G310" s="5">
        <f t="shared" si="48"/>
        <v>2608.4</v>
      </c>
      <c r="H310" s="25">
        <f t="shared" si="44"/>
        <v>275.2</v>
      </c>
      <c r="J310" s="5">
        <v>0</v>
      </c>
      <c r="K310" s="5">
        <f t="shared" si="49"/>
        <v>454.5999999999998</v>
      </c>
      <c r="L310" s="5">
        <v>4.0999999999999996</v>
      </c>
      <c r="M310" s="5">
        <f t="shared" si="50"/>
        <v>385.19999999999993</v>
      </c>
      <c r="N310" s="5">
        <v>-4.0999999999999996</v>
      </c>
      <c r="O310" s="5">
        <f t="shared" si="42"/>
        <v>132.5</v>
      </c>
      <c r="P310" s="5">
        <v>261</v>
      </c>
      <c r="Q310" s="24">
        <f t="shared" si="43"/>
        <v>0.9161538461538461</v>
      </c>
      <c r="R310" s="9">
        <f t="shared" si="46"/>
        <v>3.7562307692307688</v>
      </c>
      <c r="S310" s="9">
        <f t="shared" si="47"/>
        <v>-3.7562307692307688</v>
      </c>
      <c r="T310" s="9">
        <f t="shared" si="51"/>
        <v>136.69516964285711</v>
      </c>
      <c r="V310" s="5">
        <v>2586.1999999999998</v>
      </c>
      <c r="X310" s="5">
        <f t="shared" si="52"/>
        <v>213758.4</v>
      </c>
      <c r="Y310" s="25">
        <f t="shared" si="45"/>
        <v>40317.999999999993</v>
      </c>
      <c r="AA310" s="5">
        <v>15.7661269783405</v>
      </c>
    </row>
    <row r="311" spans="1:27" s="5" customFormat="1" x14ac:dyDescent="0.25">
      <c r="A311" s="80"/>
      <c r="B311" s="10"/>
      <c r="C311" s="39">
        <v>41061</v>
      </c>
      <c r="D311" s="5">
        <v>18.100000000000001</v>
      </c>
      <c r="E311" s="5">
        <v>12.3</v>
      </c>
      <c r="F311" s="5">
        <v>23.7</v>
      </c>
      <c r="G311" s="5">
        <f t="shared" si="48"/>
        <v>2626.5</v>
      </c>
      <c r="H311" s="25">
        <f t="shared" si="44"/>
        <v>293.3</v>
      </c>
      <c r="J311" s="5">
        <v>0</v>
      </c>
      <c r="K311" s="5">
        <f t="shared" si="49"/>
        <v>454.5999999999998</v>
      </c>
      <c r="L311" s="5">
        <v>4.2</v>
      </c>
      <c r="M311" s="5">
        <f t="shared" si="50"/>
        <v>389.39999999999992</v>
      </c>
      <c r="N311" s="5">
        <v>-4.2</v>
      </c>
      <c r="O311" s="5">
        <f t="shared" si="42"/>
        <v>128.30000000000001</v>
      </c>
      <c r="P311" s="5">
        <v>262</v>
      </c>
      <c r="Q311" s="24">
        <f t="shared" si="43"/>
        <v>0.90384615384615374</v>
      </c>
      <c r="R311" s="9">
        <f t="shared" si="46"/>
        <v>3.796153846153846</v>
      </c>
      <c r="S311" s="9">
        <f t="shared" si="47"/>
        <v>-3.796153846153846</v>
      </c>
      <c r="T311" s="9">
        <f t="shared" si="51"/>
        <v>132.89901579670325</v>
      </c>
      <c r="V311" s="5">
        <v>2458.8000000000002</v>
      </c>
      <c r="X311" s="5">
        <f t="shared" si="52"/>
        <v>216217.19999999998</v>
      </c>
      <c r="Y311" s="25">
        <f t="shared" si="45"/>
        <v>42776.799999999996</v>
      </c>
      <c r="AA311" s="5">
        <v>15.793456233751099</v>
      </c>
    </row>
    <row r="312" spans="1:27" s="55" customFormat="1" ht="15.75" thickBot="1" x14ac:dyDescent="0.3">
      <c r="A312" s="80"/>
      <c r="B312" s="53">
        <v>600</v>
      </c>
      <c r="C312" s="68">
        <v>41062</v>
      </c>
      <c r="D312" s="55">
        <v>20.100000000000001</v>
      </c>
      <c r="E312" s="55">
        <v>16.5</v>
      </c>
      <c r="F312" s="55">
        <v>23.9</v>
      </c>
      <c r="G312" s="55">
        <f t="shared" si="48"/>
        <v>2646.6</v>
      </c>
      <c r="H312" s="55">
        <f t="shared" si="44"/>
        <v>313.40000000000003</v>
      </c>
      <c r="J312" s="55">
        <v>0.7</v>
      </c>
      <c r="K312" s="55">
        <f t="shared" si="49"/>
        <v>455.29999999999978</v>
      </c>
      <c r="L312" s="55">
        <v>2.5</v>
      </c>
      <c r="M312" s="55">
        <f t="shared" si="50"/>
        <v>391.89999999999992</v>
      </c>
      <c r="N312" s="55">
        <v>-1.8</v>
      </c>
      <c r="O312" s="55">
        <f t="shared" si="42"/>
        <v>126.50000000000001</v>
      </c>
      <c r="P312" s="55">
        <v>263</v>
      </c>
      <c r="Q312" s="64">
        <f t="shared" si="43"/>
        <v>0.89153846153846139</v>
      </c>
      <c r="R312" s="56">
        <f t="shared" si="46"/>
        <v>2.2288461538461535</v>
      </c>
      <c r="S312" s="56">
        <f t="shared" si="47"/>
        <v>-1.5288461538461535</v>
      </c>
      <c r="T312" s="56">
        <f t="shared" si="51"/>
        <v>131.37016964285709</v>
      </c>
      <c r="V312" s="55">
        <v>1300.3</v>
      </c>
      <c r="X312" s="55">
        <f t="shared" si="52"/>
        <v>217517.49999999997</v>
      </c>
      <c r="Y312" s="55">
        <f t="shared" si="45"/>
        <v>44077.1</v>
      </c>
      <c r="AA312" s="55">
        <v>15.819615377891401</v>
      </c>
    </row>
    <row r="313" spans="1:27" s="5" customFormat="1" x14ac:dyDescent="0.25">
      <c r="A313" s="73">
        <v>1000</v>
      </c>
      <c r="B313" s="10"/>
      <c r="C313" s="42">
        <v>41063</v>
      </c>
      <c r="D313" s="5">
        <v>16.100000000000001</v>
      </c>
      <c r="E313" s="5">
        <v>12.7</v>
      </c>
      <c r="F313" s="5">
        <v>19</v>
      </c>
      <c r="G313" s="5">
        <f t="shared" si="48"/>
        <v>2662.7</v>
      </c>
      <c r="H313" s="25">
        <f>D313</f>
        <v>16.100000000000001</v>
      </c>
      <c r="I313" s="43" t="s">
        <v>28</v>
      </c>
      <c r="J313" s="5">
        <v>0</v>
      </c>
      <c r="K313" s="5">
        <f t="shared" si="49"/>
        <v>455.29999999999978</v>
      </c>
      <c r="L313" s="5">
        <v>3.4</v>
      </c>
      <c r="M313" s="5">
        <f t="shared" si="50"/>
        <v>395.2999999999999</v>
      </c>
      <c r="N313" s="5">
        <v>-3.4</v>
      </c>
      <c r="O313" s="5">
        <f t="shared" si="42"/>
        <v>123.10000000000001</v>
      </c>
      <c r="P313" s="5">
        <v>264</v>
      </c>
      <c r="Q313" s="24">
        <f t="shared" si="43"/>
        <v>0.87923076923076915</v>
      </c>
      <c r="R313" s="9">
        <f t="shared" si="46"/>
        <v>2.9893846153846151</v>
      </c>
      <c r="S313" s="9">
        <f t="shared" si="47"/>
        <v>-2.9893846153846151</v>
      </c>
      <c r="T313" s="9">
        <f t="shared" si="51"/>
        <v>128.38078502747248</v>
      </c>
      <c r="U313" s="43" t="s">
        <v>29</v>
      </c>
      <c r="V313" s="5">
        <v>2012.8</v>
      </c>
      <c r="X313" s="5">
        <f t="shared" si="52"/>
        <v>219530.29999999996</v>
      </c>
      <c r="Y313" s="25">
        <f>V313</f>
        <v>2012.8</v>
      </c>
      <c r="Z313" s="43" t="s">
        <v>30</v>
      </c>
      <c r="AA313" s="5">
        <v>15.8445818102358</v>
      </c>
    </row>
    <row r="314" spans="1:27" s="5" customFormat="1" x14ac:dyDescent="0.25">
      <c r="A314" s="73"/>
      <c r="B314" s="10"/>
      <c r="C314" s="42">
        <v>41064</v>
      </c>
      <c r="D314" s="5">
        <v>14.4</v>
      </c>
      <c r="E314" s="5">
        <v>11.8</v>
      </c>
      <c r="F314" s="5">
        <v>16.8</v>
      </c>
      <c r="G314" s="5">
        <f t="shared" si="48"/>
        <v>2677.1</v>
      </c>
      <c r="H314" s="25">
        <f t="shared" si="44"/>
        <v>30.5</v>
      </c>
      <c r="I314" s="5">
        <f>MIN(E313:E338)</f>
        <v>9.4</v>
      </c>
      <c r="J314" s="5">
        <v>0.7</v>
      </c>
      <c r="K314" s="5">
        <f t="shared" si="49"/>
        <v>455.99999999999977</v>
      </c>
      <c r="L314" s="5">
        <v>1.4</v>
      </c>
      <c r="M314" s="5">
        <f t="shared" si="50"/>
        <v>396.69999999999987</v>
      </c>
      <c r="N314" s="5">
        <v>-0.7</v>
      </c>
      <c r="O314" s="5">
        <f t="shared" si="42"/>
        <v>122.4</v>
      </c>
      <c r="P314" s="5">
        <v>265</v>
      </c>
      <c r="Q314" s="24">
        <f t="shared" si="43"/>
        <v>0.86692307692307691</v>
      </c>
      <c r="R314" s="9">
        <f t="shared" si="46"/>
        <v>1.2136923076923076</v>
      </c>
      <c r="S314" s="9">
        <f t="shared" si="47"/>
        <v>-0.51369230769230767</v>
      </c>
      <c r="T314" s="9">
        <f t="shared" si="51"/>
        <v>127.86709271978017</v>
      </c>
      <c r="U314" s="5">
        <v>14</v>
      </c>
      <c r="V314" s="5">
        <v>729</v>
      </c>
      <c r="X314" s="5">
        <f t="shared" si="52"/>
        <v>220259.29999999996</v>
      </c>
      <c r="Y314" s="25">
        <f t="shared" si="45"/>
        <v>2741.8</v>
      </c>
      <c r="Z314" s="5">
        <v>37246.300000000003</v>
      </c>
      <c r="AA314" s="5">
        <v>15.868333611840001</v>
      </c>
    </row>
    <row r="315" spans="1:27" s="5" customFormat="1" x14ac:dyDescent="0.25">
      <c r="A315" s="73"/>
      <c r="B315" s="10"/>
      <c r="C315" s="42">
        <v>41065</v>
      </c>
      <c r="D315" s="5">
        <v>13.7</v>
      </c>
      <c r="E315" s="5">
        <v>11.8</v>
      </c>
      <c r="F315" s="5">
        <v>15.5</v>
      </c>
      <c r="G315" s="5">
        <f t="shared" si="48"/>
        <v>2690.7999999999997</v>
      </c>
      <c r="H315" s="25">
        <f t="shared" si="44"/>
        <v>44.2</v>
      </c>
      <c r="I315" s="43" t="s">
        <v>31</v>
      </c>
      <c r="J315" s="5">
        <v>4.5999999999999996</v>
      </c>
      <c r="K315" s="5">
        <f t="shared" si="49"/>
        <v>460.5999999999998</v>
      </c>
      <c r="L315" s="5">
        <v>1.4</v>
      </c>
      <c r="M315" s="5">
        <f t="shared" si="50"/>
        <v>398.09999999999985</v>
      </c>
      <c r="N315" s="5">
        <v>3.1999999999999997</v>
      </c>
      <c r="O315" s="5">
        <f t="shared" si="42"/>
        <v>125.60000000000001</v>
      </c>
      <c r="P315" s="5">
        <v>266</v>
      </c>
      <c r="Q315" s="24">
        <f t="shared" si="43"/>
        <v>0.85461538461538455</v>
      </c>
      <c r="R315" s="9">
        <f t="shared" si="46"/>
        <v>1.1964615384615382</v>
      </c>
      <c r="S315" s="9">
        <f t="shared" si="47"/>
        <v>3.4035384615384614</v>
      </c>
      <c r="T315" s="9">
        <f t="shared" si="51"/>
        <v>131.27063118131863</v>
      </c>
      <c r="U315" s="43" t="s">
        <v>32</v>
      </c>
      <c r="V315" s="5">
        <v>639.5</v>
      </c>
      <c r="X315" s="5">
        <f t="shared" si="52"/>
        <v>220898.79999999996</v>
      </c>
      <c r="Y315" s="25">
        <f t="shared" si="45"/>
        <v>3381.3</v>
      </c>
      <c r="Z315" s="43" t="s">
        <v>33</v>
      </c>
      <c r="AA315" s="5">
        <v>15.8908496129102</v>
      </c>
    </row>
    <row r="316" spans="1:27" s="5" customFormat="1" x14ac:dyDescent="0.25">
      <c r="A316" s="73"/>
      <c r="B316" s="10"/>
      <c r="C316" s="42">
        <v>41066</v>
      </c>
      <c r="D316" s="5">
        <v>15.6</v>
      </c>
      <c r="E316" s="5">
        <v>13.4</v>
      </c>
      <c r="F316" s="5">
        <v>18.3</v>
      </c>
      <c r="G316" s="5">
        <f t="shared" si="48"/>
        <v>2706.3999999999996</v>
      </c>
      <c r="H316" s="25">
        <f t="shared" si="44"/>
        <v>59.800000000000004</v>
      </c>
      <c r="I316" s="5">
        <f>MAX(F313:F338)</f>
        <v>28.2</v>
      </c>
      <c r="J316" s="5">
        <v>2</v>
      </c>
      <c r="K316" s="5">
        <f t="shared" si="49"/>
        <v>462.5999999999998</v>
      </c>
      <c r="L316" s="5">
        <v>1.5</v>
      </c>
      <c r="M316" s="5">
        <f t="shared" si="50"/>
        <v>399.59999999999985</v>
      </c>
      <c r="N316" s="5">
        <v>0.5</v>
      </c>
      <c r="O316" s="5">
        <f t="shared" si="42"/>
        <v>126.10000000000001</v>
      </c>
      <c r="P316" s="5">
        <v>267</v>
      </c>
      <c r="Q316" s="24">
        <f t="shared" si="43"/>
        <v>0.8423076923076922</v>
      </c>
      <c r="R316" s="9">
        <f t="shared" si="46"/>
        <v>1.2634615384615384</v>
      </c>
      <c r="S316" s="9">
        <f t="shared" si="47"/>
        <v>0.73653846153846159</v>
      </c>
      <c r="T316" s="9">
        <f t="shared" si="51"/>
        <v>132.00716964285709</v>
      </c>
      <c r="U316" s="5">
        <v>0</v>
      </c>
      <c r="V316" s="5">
        <v>956.8</v>
      </c>
      <c r="X316" s="5">
        <f t="shared" si="52"/>
        <v>221855.59999999995</v>
      </c>
      <c r="Y316" s="25">
        <f t="shared" si="45"/>
        <v>4338.1000000000004</v>
      </c>
      <c r="Z316" s="5">
        <f>(Z314/100)/I326</f>
        <v>0.90053916827852998</v>
      </c>
      <c r="AA316" s="5">
        <v>15.9121094597803</v>
      </c>
    </row>
    <row r="317" spans="1:27" s="5" customFormat="1" x14ac:dyDescent="0.25">
      <c r="A317" s="73"/>
      <c r="B317" s="10"/>
      <c r="C317" s="42">
        <v>41067</v>
      </c>
      <c r="D317" s="5">
        <v>15.9</v>
      </c>
      <c r="E317" s="5">
        <v>14.6</v>
      </c>
      <c r="F317" s="5">
        <v>18</v>
      </c>
      <c r="G317" s="5">
        <f t="shared" si="48"/>
        <v>2722.2999999999997</v>
      </c>
      <c r="H317" s="25">
        <f t="shared" si="44"/>
        <v>75.7</v>
      </c>
      <c r="I317" s="43" t="s">
        <v>34</v>
      </c>
      <c r="J317" s="5">
        <v>21.6</v>
      </c>
      <c r="K317" s="5">
        <f t="shared" si="49"/>
        <v>484.19999999999982</v>
      </c>
      <c r="L317" s="5">
        <v>2</v>
      </c>
      <c r="M317" s="5">
        <f t="shared" si="50"/>
        <v>401.59999999999985</v>
      </c>
      <c r="N317" s="5">
        <v>19.600000000000001</v>
      </c>
      <c r="O317" s="5">
        <f t="shared" si="42"/>
        <v>145.70000000000002</v>
      </c>
      <c r="P317" s="5">
        <v>268</v>
      </c>
      <c r="Q317" s="24">
        <f t="shared" si="43"/>
        <v>0.82999999999999985</v>
      </c>
      <c r="R317" s="9">
        <f t="shared" si="46"/>
        <v>1.6599999999999997</v>
      </c>
      <c r="S317" s="9">
        <f t="shared" si="47"/>
        <v>19.940000000000001</v>
      </c>
      <c r="T317" s="9">
        <f t="shared" si="51"/>
        <v>151.94716964285709</v>
      </c>
      <c r="U317" s="43" t="s">
        <v>35</v>
      </c>
      <c r="V317" s="5">
        <v>877.5</v>
      </c>
      <c r="X317" s="5">
        <f t="shared" si="52"/>
        <v>222733.09999999995</v>
      </c>
      <c r="Y317" s="25">
        <f t="shared" si="45"/>
        <v>5215.6000000000004</v>
      </c>
      <c r="Z317" s="43" t="s">
        <v>36</v>
      </c>
      <c r="AA317" s="5">
        <v>15.932093680898401</v>
      </c>
    </row>
    <row r="318" spans="1:27" s="5" customFormat="1" x14ac:dyDescent="0.25">
      <c r="A318" s="73"/>
      <c r="B318" s="10"/>
      <c r="C318" s="42">
        <v>41068</v>
      </c>
      <c r="D318" s="5">
        <v>14.9</v>
      </c>
      <c r="E318" s="5">
        <v>13.3</v>
      </c>
      <c r="F318" s="5">
        <v>18.2</v>
      </c>
      <c r="G318" s="5">
        <f t="shared" si="48"/>
        <v>2737.2</v>
      </c>
      <c r="H318" s="25">
        <f t="shared" si="44"/>
        <v>90.600000000000009</v>
      </c>
      <c r="I318" s="5">
        <f>AVERAGE(D313:D338)</f>
        <v>15.907692307692306</v>
      </c>
      <c r="J318" s="5">
        <v>0</v>
      </c>
      <c r="K318" s="5">
        <f t="shared" si="49"/>
        <v>484.19999999999982</v>
      </c>
      <c r="L318" s="5">
        <v>4.4000000000000004</v>
      </c>
      <c r="M318" s="5">
        <f t="shared" si="50"/>
        <v>405.99999999999983</v>
      </c>
      <c r="N318" s="5">
        <v>-4.4000000000000004</v>
      </c>
      <c r="O318" s="5">
        <f t="shared" si="42"/>
        <v>141.30000000000001</v>
      </c>
      <c r="P318" s="5">
        <v>269</v>
      </c>
      <c r="Q318" s="24">
        <f t="shared" si="43"/>
        <v>0.81769230769230761</v>
      </c>
      <c r="R318" s="9">
        <f t="shared" si="46"/>
        <v>3.5978461538461537</v>
      </c>
      <c r="S318" s="9">
        <f t="shared" si="47"/>
        <v>-3.5978461538461537</v>
      </c>
      <c r="T318" s="9">
        <f t="shared" si="51"/>
        <v>148.34932348901094</v>
      </c>
      <c r="U318" s="5">
        <v>0</v>
      </c>
      <c r="V318" s="5">
        <v>2300.8000000000002</v>
      </c>
      <c r="X318" s="5">
        <f t="shared" si="52"/>
        <v>225033.89999999994</v>
      </c>
      <c r="Y318" s="25">
        <f t="shared" si="45"/>
        <v>7516.4000000000005</v>
      </c>
      <c r="Z318" s="5">
        <v>9</v>
      </c>
      <c r="AA318" s="5">
        <v>15.950783751414001</v>
      </c>
    </row>
    <row r="319" spans="1:27" s="5" customFormat="1" x14ac:dyDescent="0.25">
      <c r="A319" s="73"/>
      <c r="B319" s="10"/>
      <c r="C319" s="42">
        <v>41069</v>
      </c>
      <c r="D319" s="5">
        <v>12.8</v>
      </c>
      <c r="E319" s="5">
        <v>9.4</v>
      </c>
      <c r="F319" s="5">
        <v>14.9</v>
      </c>
      <c r="G319" s="5">
        <f t="shared" si="48"/>
        <v>2750</v>
      </c>
      <c r="H319" s="25">
        <f t="shared" si="44"/>
        <v>103.4</v>
      </c>
      <c r="I319" s="43" t="s">
        <v>37</v>
      </c>
      <c r="J319" s="5">
        <v>4.4000000000000004</v>
      </c>
      <c r="K319" s="5">
        <f t="shared" si="49"/>
        <v>488.5999999999998</v>
      </c>
      <c r="L319" s="5">
        <v>1.1000000000000001</v>
      </c>
      <c r="M319" s="5">
        <f t="shared" si="50"/>
        <v>407.09999999999985</v>
      </c>
      <c r="N319" s="5">
        <v>3.3000000000000003</v>
      </c>
      <c r="O319" s="5">
        <f t="shared" si="42"/>
        <v>144.60000000000002</v>
      </c>
      <c r="P319" s="5">
        <v>270</v>
      </c>
      <c r="Q319" s="24">
        <f t="shared" si="43"/>
        <v>0.80538461538461537</v>
      </c>
      <c r="R319" s="9">
        <f t="shared" si="46"/>
        <v>0.88592307692307692</v>
      </c>
      <c r="S319" s="9">
        <f t="shared" si="47"/>
        <v>3.5140769230769235</v>
      </c>
      <c r="T319" s="9">
        <f t="shared" si="51"/>
        <v>151.86340041208786</v>
      </c>
      <c r="U319" s="43" t="s">
        <v>38</v>
      </c>
      <c r="V319" s="5">
        <v>732.4</v>
      </c>
      <c r="X319" s="5">
        <f t="shared" si="52"/>
        <v>225766.29999999993</v>
      </c>
      <c r="Y319" s="25">
        <f t="shared" si="45"/>
        <v>8248.8000000000011</v>
      </c>
      <c r="AA319" s="5">
        <v>15.968162155951299</v>
      </c>
    </row>
    <row r="320" spans="1:27" s="5" customFormat="1" x14ac:dyDescent="0.25">
      <c r="A320" s="73"/>
      <c r="B320" s="10"/>
      <c r="C320" s="42">
        <v>41070</v>
      </c>
      <c r="D320" s="5">
        <v>15.1</v>
      </c>
      <c r="E320" s="5">
        <v>12.5</v>
      </c>
      <c r="F320" s="5">
        <v>18.5</v>
      </c>
      <c r="G320" s="5">
        <f t="shared" si="48"/>
        <v>2765.1</v>
      </c>
      <c r="H320" s="25">
        <f t="shared" si="44"/>
        <v>118.5</v>
      </c>
      <c r="I320" s="5">
        <v>0</v>
      </c>
      <c r="J320" s="5">
        <v>1.4</v>
      </c>
      <c r="K320" s="5">
        <f t="shared" si="49"/>
        <v>489.99999999999977</v>
      </c>
      <c r="L320" s="5">
        <v>1.8</v>
      </c>
      <c r="M320" s="5">
        <f t="shared" si="50"/>
        <v>408.89999999999986</v>
      </c>
      <c r="N320" s="5">
        <v>-0.40000000000000013</v>
      </c>
      <c r="O320" s="5">
        <f t="shared" si="42"/>
        <v>144.20000000000002</v>
      </c>
      <c r="P320" s="5">
        <v>271</v>
      </c>
      <c r="Q320" s="24">
        <f t="shared" si="43"/>
        <v>0.79307692307692301</v>
      </c>
      <c r="R320" s="9">
        <f t="shared" si="46"/>
        <v>1.4275384615384614</v>
      </c>
      <c r="S320" s="9">
        <f t="shared" si="47"/>
        <v>-2.7538461538461512E-2</v>
      </c>
      <c r="T320" s="9">
        <f t="shared" si="51"/>
        <v>151.8358619505494</v>
      </c>
      <c r="U320" s="9">
        <f>MIN(T313:T338)</f>
        <v>127.86709271978017</v>
      </c>
      <c r="V320" s="5">
        <v>831.3</v>
      </c>
      <c r="X320" s="5">
        <f t="shared" si="52"/>
        <v>226597.59999999992</v>
      </c>
      <c r="Y320" s="25">
        <f t="shared" si="45"/>
        <v>9080.1</v>
      </c>
      <c r="AA320" s="5">
        <v>15.984212449150601</v>
      </c>
    </row>
    <row r="321" spans="1:27" s="5" customFormat="1" x14ac:dyDescent="0.25">
      <c r="A321" s="73"/>
      <c r="B321" s="10"/>
      <c r="C321" s="42">
        <v>41071</v>
      </c>
      <c r="D321" s="5">
        <v>13.6</v>
      </c>
      <c r="E321" s="5">
        <v>12.3</v>
      </c>
      <c r="F321" s="5">
        <v>17</v>
      </c>
      <c r="G321" s="5">
        <f t="shared" si="48"/>
        <v>2778.7</v>
      </c>
      <c r="H321" s="25">
        <f t="shared" si="44"/>
        <v>132.1</v>
      </c>
      <c r="I321" s="43" t="s">
        <v>39</v>
      </c>
      <c r="J321" s="5">
        <v>6</v>
      </c>
      <c r="K321" s="5">
        <f t="shared" si="49"/>
        <v>495.99999999999977</v>
      </c>
      <c r="L321" s="5">
        <v>2</v>
      </c>
      <c r="M321" s="5">
        <f t="shared" si="50"/>
        <v>410.89999999999986</v>
      </c>
      <c r="N321" s="5">
        <v>4</v>
      </c>
      <c r="O321" s="5">
        <f t="shared" si="42"/>
        <v>148.20000000000002</v>
      </c>
      <c r="P321" s="5">
        <v>272</v>
      </c>
      <c r="Q321" s="24">
        <f t="shared" si="43"/>
        <v>0.78076923076923066</v>
      </c>
      <c r="R321" s="9">
        <f t="shared" si="46"/>
        <v>1.5615384615384613</v>
      </c>
      <c r="S321" s="9">
        <f t="shared" si="47"/>
        <v>4.4384615384615387</v>
      </c>
      <c r="T321" s="9">
        <f t="shared" si="51"/>
        <v>156.27432348901095</v>
      </c>
      <c r="U321" s="43" t="s">
        <v>40</v>
      </c>
      <c r="V321" s="5">
        <v>1114.8</v>
      </c>
      <c r="X321" s="5">
        <f t="shared" si="52"/>
        <v>227712.39999999991</v>
      </c>
      <c r="Y321" s="25">
        <f t="shared" si="45"/>
        <v>10194.9</v>
      </c>
      <c r="AA321" s="5">
        <v>15.9989193135647</v>
      </c>
    </row>
    <row r="322" spans="1:27" s="5" customFormat="1" x14ac:dyDescent="0.25">
      <c r="A322" s="73"/>
      <c r="B322" s="10"/>
      <c r="C322" s="42">
        <v>41072</v>
      </c>
      <c r="D322" s="5">
        <v>13.9</v>
      </c>
      <c r="E322" s="5">
        <v>10.7</v>
      </c>
      <c r="F322" s="5">
        <v>16.600000000000001</v>
      </c>
      <c r="G322" s="5">
        <f t="shared" si="48"/>
        <v>2792.6</v>
      </c>
      <c r="H322" s="25">
        <f t="shared" si="44"/>
        <v>146</v>
      </c>
      <c r="I322" s="5">
        <v>2</v>
      </c>
      <c r="J322" s="5">
        <v>2.9</v>
      </c>
      <c r="K322" s="5">
        <f t="shared" si="49"/>
        <v>498.89999999999975</v>
      </c>
      <c r="L322" s="5">
        <v>2</v>
      </c>
      <c r="M322" s="5">
        <f t="shared" si="50"/>
        <v>412.89999999999986</v>
      </c>
      <c r="N322" s="5">
        <v>0.89999999999999991</v>
      </c>
      <c r="O322" s="5">
        <f t="shared" si="42"/>
        <v>149.10000000000002</v>
      </c>
      <c r="P322" s="5">
        <v>273</v>
      </c>
      <c r="Q322" s="24">
        <f t="shared" si="43"/>
        <v>0.76846153846153831</v>
      </c>
      <c r="R322" s="9">
        <f t="shared" si="46"/>
        <v>1.5369230769230766</v>
      </c>
      <c r="S322" s="9">
        <f t="shared" si="47"/>
        <v>1.3630769230769233</v>
      </c>
      <c r="T322" s="9">
        <f t="shared" si="51"/>
        <v>157.63740041208789</v>
      </c>
      <c r="U322" s="9">
        <f>MAX(T313:T338)</f>
        <v>168.37616964285709</v>
      </c>
      <c r="V322" s="5">
        <v>1278</v>
      </c>
      <c r="X322" s="5">
        <f t="shared" si="52"/>
        <v>228990.39999999991</v>
      </c>
      <c r="Y322" s="25">
        <f t="shared" si="45"/>
        <v>11472.9</v>
      </c>
      <c r="AA322" s="5">
        <v>16.012268614500002</v>
      </c>
    </row>
    <row r="323" spans="1:27" s="5" customFormat="1" x14ac:dyDescent="0.25">
      <c r="A323" s="73"/>
      <c r="B323" s="10"/>
      <c r="C323" s="42">
        <v>41073</v>
      </c>
      <c r="D323" s="5">
        <v>13.3</v>
      </c>
      <c r="E323" s="5">
        <v>11</v>
      </c>
      <c r="F323" s="5">
        <v>15.7</v>
      </c>
      <c r="G323" s="5">
        <f t="shared" si="48"/>
        <v>2805.9</v>
      </c>
      <c r="H323" s="25">
        <f t="shared" si="44"/>
        <v>159.30000000000001</v>
      </c>
      <c r="I323" s="43" t="s">
        <v>41</v>
      </c>
      <c r="J323" s="5">
        <v>0.1</v>
      </c>
      <c r="K323" s="5">
        <f t="shared" si="49"/>
        <v>498.99999999999977</v>
      </c>
      <c r="L323" s="5">
        <v>2.4</v>
      </c>
      <c r="M323" s="5">
        <f t="shared" si="50"/>
        <v>415.29999999999984</v>
      </c>
      <c r="N323" s="5">
        <v>-2.2999999999999998</v>
      </c>
      <c r="O323" s="5">
        <f t="shared" si="42"/>
        <v>146.80000000000001</v>
      </c>
      <c r="P323" s="5">
        <v>274</v>
      </c>
      <c r="Q323" s="24">
        <f t="shared" si="43"/>
        <v>0.75615384615384607</v>
      </c>
      <c r="R323" s="9">
        <f t="shared" si="46"/>
        <v>1.8147692307692305</v>
      </c>
      <c r="S323" s="9">
        <f t="shared" si="47"/>
        <v>-1.7147692307692304</v>
      </c>
      <c r="T323" s="9">
        <f t="shared" si="51"/>
        <v>155.92263118131865</v>
      </c>
      <c r="U323" s="43" t="s">
        <v>42</v>
      </c>
      <c r="V323" s="5">
        <v>1492.3</v>
      </c>
      <c r="X323" s="5">
        <f t="shared" si="52"/>
        <v>230482.6999999999</v>
      </c>
      <c r="Y323" s="25">
        <f t="shared" si="45"/>
        <v>12965.199999999999</v>
      </c>
      <c r="AA323" s="5">
        <v>16.024247451408399</v>
      </c>
    </row>
    <row r="324" spans="1:27" s="5" customFormat="1" x14ac:dyDescent="0.25">
      <c r="A324" s="73"/>
      <c r="B324" s="10"/>
      <c r="C324" s="42">
        <v>41074</v>
      </c>
      <c r="D324" s="5">
        <v>14.5</v>
      </c>
      <c r="E324" s="5">
        <v>10.3</v>
      </c>
      <c r="F324" s="5">
        <v>17.399999999999999</v>
      </c>
      <c r="G324" s="5">
        <f t="shared" si="48"/>
        <v>2820.4</v>
      </c>
      <c r="H324" s="25">
        <f t="shared" si="44"/>
        <v>173.8</v>
      </c>
      <c r="I324" s="5">
        <v>0</v>
      </c>
      <c r="J324" s="5">
        <v>0.7</v>
      </c>
      <c r="K324" s="5">
        <f t="shared" si="49"/>
        <v>499.69999999999976</v>
      </c>
      <c r="L324" s="5">
        <v>1.2</v>
      </c>
      <c r="M324" s="5">
        <f t="shared" si="50"/>
        <v>416.49999999999983</v>
      </c>
      <c r="N324" s="5">
        <v>-0.5</v>
      </c>
      <c r="O324" s="5">
        <f t="shared" si="42"/>
        <v>146.30000000000001</v>
      </c>
      <c r="P324" s="5">
        <v>275</v>
      </c>
      <c r="Q324" s="24">
        <f t="shared" si="43"/>
        <v>0.74384615384615382</v>
      </c>
      <c r="R324" s="9">
        <f t="shared" si="46"/>
        <v>0.89261538461538459</v>
      </c>
      <c r="S324" s="9">
        <f t="shared" si="47"/>
        <v>-0.19261538461538463</v>
      </c>
      <c r="T324" s="9">
        <f t="shared" si="51"/>
        <v>155.73001579670327</v>
      </c>
      <c r="U324" s="24">
        <f>AVERAGE(T313:T338)</f>
        <v>155.1050660925612</v>
      </c>
      <c r="V324" s="5">
        <v>738</v>
      </c>
      <c r="X324" s="5">
        <f t="shared" si="52"/>
        <v>231220.6999999999</v>
      </c>
      <c r="Y324" s="25">
        <f t="shared" si="45"/>
        <v>13703.199999999999</v>
      </c>
      <c r="AA324" s="5">
        <v>16.034844205448401</v>
      </c>
    </row>
    <row r="325" spans="1:27" s="5" customFormat="1" x14ac:dyDescent="0.25">
      <c r="A325" s="73"/>
      <c r="B325" s="10"/>
      <c r="C325" s="42">
        <v>41075</v>
      </c>
      <c r="D325" s="5">
        <v>15.3</v>
      </c>
      <c r="E325" s="5">
        <v>14.2</v>
      </c>
      <c r="F325" s="5">
        <v>17.8</v>
      </c>
      <c r="G325" s="5">
        <f t="shared" si="48"/>
        <v>2835.7000000000003</v>
      </c>
      <c r="H325" s="25">
        <f t="shared" si="44"/>
        <v>189.10000000000002</v>
      </c>
      <c r="I325" s="43" t="s">
        <v>43</v>
      </c>
      <c r="J325" s="5">
        <v>5</v>
      </c>
      <c r="K325" s="5">
        <f t="shared" si="49"/>
        <v>504.69999999999976</v>
      </c>
      <c r="L325" s="5">
        <v>2</v>
      </c>
      <c r="M325" s="5">
        <f t="shared" si="50"/>
        <v>418.49999999999983</v>
      </c>
      <c r="N325" s="5">
        <v>3</v>
      </c>
      <c r="O325" s="5">
        <f t="shared" si="42"/>
        <v>149.30000000000001</v>
      </c>
      <c r="P325" s="5">
        <v>276</v>
      </c>
      <c r="Q325" s="24">
        <f t="shared" si="43"/>
        <v>0.73153846153846147</v>
      </c>
      <c r="R325" s="9">
        <f t="shared" si="46"/>
        <v>1.4630769230769229</v>
      </c>
      <c r="S325" s="9">
        <f t="shared" si="47"/>
        <v>3.5369230769230771</v>
      </c>
      <c r="T325" s="9">
        <f t="shared" si="51"/>
        <v>159.26693887362634</v>
      </c>
      <c r="V325" s="5">
        <v>745</v>
      </c>
      <c r="X325" s="5">
        <f t="shared" si="52"/>
        <v>231965.6999999999</v>
      </c>
      <c r="Y325" s="25">
        <f t="shared" si="45"/>
        <v>14448.199999999999</v>
      </c>
      <c r="AA325" s="5">
        <v>16.0440485828574</v>
      </c>
    </row>
    <row r="326" spans="1:27" s="5" customFormat="1" x14ac:dyDescent="0.25">
      <c r="A326" s="73"/>
      <c r="B326" s="10"/>
      <c r="C326" s="42">
        <v>41076</v>
      </c>
      <c r="D326" s="5">
        <v>15.1</v>
      </c>
      <c r="E326" s="5">
        <v>12.6</v>
      </c>
      <c r="F326" s="5">
        <v>18.5</v>
      </c>
      <c r="G326" s="5">
        <f t="shared" si="48"/>
        <v>2850.8</v>
      </c>
      <c r="H326" s="25">
        <f t="shared" si="44"/>
        <v>204.20000000000002</v>
      </c>
      <c r="I326" s="5">
        <v>413.6</v>
      </c>
      <c r="J326" s="5">
        <v>0</v>
      </c>
      <c r="K326" s="5">
        <f t="shared" si="49"/>
        <v>504.69999999999976</v>
      </c>
      <c r="L326" s="5">
        <v>3.8</v>
      </c>
      <c r="M326" s="5">
        <f t="shared" si="50"/>
        <v>422.29999999999984</v>
      </c>
      <c r="N326" s="5">
        <v>-3.8</v>
      </c>
      <c r="O326" s="5">
        <f t="shared" si="42"/>
        <v>145.5</v>
      </c>
      <c r="P326" s="5">
        <v>277</v>
      </c>
      <c r="Q326" s="24">
        <f t="shared" si="43"/>
        <v>0.71923076923076912</v>
      </c>
      <c r="R326" s="9">
        <f t="shared" si="46"/>
        <v>2.7330769230769225</v>
      </c>
      <c r="S326" s="9">
        <f t="shared" si="47"/>
        <v>-2.7330769230769225</v>
      </c>
      <c r="T326" s="9">
        <f t="shared" si="51"/>
        <v>156.53386195054941</v>
      </c>
      <c r="U326" s="9">
        <f>(U324*100)/197.4</f>
        <v>78.573994981034048</v>
      </c>
      <c r="V326" s="5">
        <v>2146.5</v>
      </c>
      <c r="X326" s="5">
        <f t="shared" si="52"/>
        <v>234112.1999999999</v>
      </c>
      <c r="Y326" s="25">
        <f t="shared" si="45"/>
        <v>16594.699999999997</v>
      </c>
      <c r="AA326" s="5">
        <v>16.051851653800099</v>
      </c>
    </row>
    <row r="327" spans="1:27" s="5" customFormat="1" x14ac:dyDescent="0.25">
      <c r="A327" s="73"/>
      <c r="B327" s="10"/>
      <c r="C327" s="42">
        <v>41077</v>
      </c>
      <c r="D327" s="5">
        <v>15.4</v>
      </c>
      <c r="E327" s="5">
        <v>11.7</v>
      </c>
      <c r="F327" s="5">
        <v>18.899999999999999</v>
      </c>
      <c r="G327" s="5">
        <f t="shared" si="48"/>
        <v>2866.2000000000003</v>
      </c>
      <c r="H327" s="25">
        <f t="shared" si="44"/>
        <v>219.60000000000002</v>
      </c>
      <c r="J327" s="5">
        <v>11.9</v>
      </c>
      <c r="K327" s="5">
        <f t="shared" si="49"/>
        <v>516.5999999999998</v>
      </c>
      <c r="L327" s="5">
        <v>3.5</v>
      </c>
      <c r="M327" s="5">
        <f t="shared" si="50"/>
        <v>425.79999999999984</v>
      </c>
      <c r="N327" s="5">
        <v>8.4</v>
      </c>
      <c r="O327" s="5">
        <f t="shared" si="42"/>
        <v>153.9</v>
      </c>
      <c r="P327" s="5">
        <v>278</v>
      </c>
      <c r="Q327" s="24">
        <f t="shared" si="43"/>
        <v>0.70692307692307677</v>
      </c>
      <c r="R327" s="9">
        <f t="shared" si="46"/>
        <v>2.4742307692307688</v>
      </c>
      <c r="S327" s="9">
        <f t="shared" si="47"/>
        <v>9.425769230769232</v>
      </c>
      <c r="T327" s="9">
        <f t="shared" si="51"/>
        <v>165.95963118131863</v>
      </c>
      <c r="V327" s="5">
        <v>2160.1999999999998</v>
      </c>
      <c r="X327" s="5">
        <f t="shared" si="52"/>
        <v>236272.39999999991</v>
      </c>
      <c r="Y327" s="25">
        <f t="shared" si="45"/>
        <v>18754.899999999998</v>
      </c>
      <c r="AA327" s="5">
        <v>16.0582458863922</v>
      </c>
    </row>
    <row r="328" spans="1:27" s="5" customFormat="1" x14ac:dyDescent="0.25">
      <c r="A328" s="73"/>
      <c r="B328" s="10"/>
      <c r="C328" s="42">
        <v>41078</v>
      </c>
      <c r="D328" s="5">
        <v>14.9</v>
      </c>
      <c r="E328" s="5">
        <v>11.8</v>
      </c>
      <c r="F328" s="5">
        <v>19.399999999999999</v>
      </c>
      <c r="G328" s="5">
        <f t="shared" si="48"/>
        <v>2881.1000000000004</v>
      </c>
      <c r="H328" s="25">
        <f t="shared" si="44"/>
        <v>234.50000000000003</v>
      </c>
      <c r="J328" s="5">
        <v>0</v>
      </c>
      <c r="K328" s="5">
        <f t="shared" si="49"/>
        <v>516.5999999999998</v>
      </c>
      <c r="L328" s="5">
        <v>2.4</v>
      </c>
      <c r="M328" s="5">
        <f t="shared" si="50"/>
        <v>428.19999999999982</v>
      </c>
      <c r="N328" s="5">
        <v>-2.4</v>
      </c>
      <c r="O328" s="5">
        <f t="shared" si="42"/>
        <v>151.5</v>
      </c>
      <c r="P328" s="5">
        <v>279</v>
      </c>
      <c r="Q328" s="24">
        <f t="shared" si="43"/>
        <v>0.69461538461538463</v>
      </c>
      <c r="R328" s="9">
        <f t="shared" si="46"/>
        <v>1.6670769230769231</v>
      </c>
      <c r="S328" s="9">
        <f t="shared" si="47"/>
        <v>-1.6670769230769231</v>
      </c>
      <c r="T328" s="9">
        <f t="shared" si="51"/>
        <v>164.29255425824169</v>
      </c>
      <c r="V328" s="5">
        <v>1437.5</v>
      </c>
      <c r="X328" s="5">
        <f t="shared" si="52"/>
        <v>237709.89999999991</v>
      </c>
      <c r="Y328" s="25">
        <f t="shared" si="45"/>
        <v>20192.399999999998</v>
      </c>
      <c r="AA328" s="5">
        <v>16.063225175626499</v>
      </c>
    </row>
    <row r="329" spans="1:27" s="5" customFormat="1" x14ac:dyDescent="0.25">
      <c r="A329" s="73"/>
      <c r="B329" s="10"/>
      <c r="C329" s="42">
        <v>41079</v>
      </c>
      <c r="D329" s="5">
        <v>16.7</v>
      </c>
      <c r="E329" s="5">
        <v>10.9</v>
      </c>
      <c r="F329" s="5">
        <v>20.9</v>
      </c>
      <c r="G329" s="5">
        <f t="shared" si="48"/>
        <v>2897.8</v>
      </c>
      <c r="H329" s="25">
        <f t="shared" si="44"/>
        <v>251.20000000000002</v>
      </c>
      <c r="J329" s="5">
        <v>0</v>
      </c>
      <c r="K329" s="5">
        <f t="shared" si="49"/>
        <v>516.5999999999998</v>
      </c>
      <c r="L329" s="5">
        <v>3.8</v>
      </c>
      <c r="M329" s="5">
        <f t="shared" si="50"/>
        <v>431.99999999999983</v>
      </c>
      <c r="N329" s="5">
        <v>-3.8</v>
      </c>
      <c r="O329" s="5">
        <f t="shared" si="42"/>
        <v>147.69999999999999</v>
      </c>
      <c r="P329" s="5">
        <v>280</v>
      </c>
      <c r="Q329" s="24">
        <f t="shared" si="43"/>
        <v>0.68230769230769228</v>
      </c>
      <c r="R329" s="9">
        <f t="shared" si="46"/>
        <v>2.5927692307692305</v>
      </c>
      <c r="S329" s="9">
        <f t="shared" si="47"/>
        <v>-2.5927692307692305</v>
      </c>
      <c r="T329" s="9">
        <f t="shared" si="51"/>
        <v>161.69978502747247</v>
      </c>
      <c r="V329" s="5">
        <v>2255.6</v>
      </c>
      <c r="X329" s="5">
        <f t="shared" si="52"/>
        <v>239965.49999999991</v>
      </c>
      <c r="Y329" s="25">
        <f t="shared" si="45"/>
        <v>22447.999999999996</v>
      </c>
      <c r="AA329" s="5">
        <v>16.066784866973201</v>
      </c>
    </row>
    <row r="330" spans="1:27" s="5" customFormat="1" x14ac:dyDescent="0.25">
      <c r="A330" s="73"/>
      <c r="B330" s="10"/>
      <c r="C330" s="42">
        <v>41080</v>
      </c>
      <c r="D330" s="5">
        <v>19.399999999999999</v>
      </c>
      <c r="E330" s="5">
        <v>15.3</v>
      </c>
      <c r="F330" s="5">
        <v>22.4</v>
      </c>
      <c r="G330" s="5">
        <f t="shared" si="48"/>
        <v>2917.2000000000003</v>
      </c>
      <c r="H330" s="25">
        <f t="shared" si="44"/>
        <v>270.60000000000002</v>
      </c>
      <c r="J330" s="5">
        <v>3</v>
      </c>
      <c r="K330" s="5">
        <f t="shared" si="49"/>
        <v>519.5999999999998</v>
      </c>
      <c r="L330" s="5">
        <v>2.5</v>
      </c>
      <c r="M330" s="5">
        <f t="shared" si="50"/>
        <v>434.49999999999983</v>
      </c>
      <c r="N330" s="5">
        <v>0.5</v>
      </c>
      <c r="O330" s="5">
        <f t="shared" si="42"/>
        <v>148.19999999999999</v>
      </c>
      <c r="P330" s="5">
        <v>281</v>
      </c>
      <c r="Q330" s="24">
        <f t="shared" si="43"/>
        <v>0.66999999999999993</v>
      </c>
      <c r="R330" s="9">
        <f t="shared" si="46"/>
        <v>1.6749999999999998</v>
      </c>
      <c r="S330" s="9">
        <f t="shared" si="47"/>
        <v>1.3250000000000002</v>
      </c>
      <c r="T330" s="9">
        <f t="shared" si="51"/>
        <v>163.02478502747246</v>
      </c>
      <c r="V330" s="5">
        <v>1225.4000000000001</v>
      </c>
      <c r="X330" s="5">
        <f t="shared" si="52"/>
        <v>241190.89999999991</v>
      </c>
      <c r="Y330" s="25">
        <f t="shared" si="45"/>
        <v>23673.399999999998</v>
      </c>
      <c r="AA330" s="5">
        <v>16.068921774459099</v>
      </c>
    </row>
    <row r="331" spans="1:27" s="5" customFormat="1" x14ac:dyDescent="0.25">
      <c r="A331" s="73"/>
      <c r="B331" s="10"/>
      <c r="C331" s="42">
        <v>41081</v>
      </c>
      <c r="D331" s="5">
        <v>16.100000000000001</v>
      </c>
      <c r="E331" s="5">
        <v>15.3</v>
      </c>
      <c r="F331" s="5">
        <v>17.7</v>
      </c>
      <c r="G331" s="5">
        <f t="shared" si="48"/>
        <v>2933.3</v>
      </c>
      <c r="H331" s="25">
        <f t="shared" si="44"/>
        <v>286.70000000000005</v>
      </c>
      <c r="J331" s="5">
        <v>4.0999999999999996</v>
      </c>
      <c r="K331" s="5">
        <f t="shared" si="49"/>
        <v>523.69999999999982</v>
      </c>
      <c r="L331" s="5">
        <v>3.1</v>
      </c>
      <c r="M331" s="5">
        <f t="shared" si="50"/>
        <v>437.59999999999985</v>
      </c>
      <c r="N331" s="5">
        <v>0.99999999999999956</v>
      </c>
      <c r="O331" s="5">
        <f t="shared" si="42"/>
        <v>149.19999999999999</v>
      </c>
      <c r="P331" s="5">
        <v>282</v>
      </c>
      <c r="Q331" s="24">
        <f t="shared" si="43"/>
        <v>0.65769230769230758</v>
      </c>
      <c r="R331" s="9">
        <f t="shared" si="46"/>
        <v>2.0388461538461535</v>
      </c>
      <c r="S331" s="9">
        <f t="shared" si="47"/>
        <v>2.0611538461538461</v>
      </c>
      <c r="T331" s="9">
        <f t="shared" si="51"/>
        <v>165.0859388736263</v>
      </c>
      <c r="V331" s="5">
        <v>1842.4</v>
      </c>
      <c r="X331" s="5">
        <f t="shared" si="52"/>
        <v>243033.2999999999</v>
      </c>
      <c r="Y331" s="25">
        <f t="shared" si="45"/>
        <v>25515.8</v>
      </c>
      <c r="AA331" s="5">
        <v>16.069634193082901</v>
      </c>
    </row>
    <row r="332" spans="1:27" s="5" customFormat="1" x14ac:dyDescent="0.25">
      <c r="A332" s="73"/>
      <c r="B332" s="10"/>
      <c r="C332" s="42">
        <v>41082</v>
      </c>
      <c r="D332" s="5">
        <v>15.9</v>
      </c>
      <c r="E332" s="5">
        <v>12.9</v>
      </c>
      <c r="F332" s="5">
        <v>20.100000000000001</v>
      </c>
      <c r="G332" s="5">
        <f t="shared" si="48"/>
        <v>2949.2000000000003</v>
      </c>
      <c r="H332" s="25">
        <f t="shared" si="44"/>
        <v>302.60000000000002</v>
      </c>
      <c r="J332" s="5">
        <v>0</v>
      </c>
      <c r="K332" s="5">
        <f t="shared" si="49"/>
        <v>523.69999999999982</v>
      </c>
      <c r="L332" s="5">
        <v>4.3</v>
      </c>
      <c r="M332" s="5">
        <f t="shared" si="50"/>
        <v>441.89999999999986</v>
      </c>
      <c r="N332" s="5">
        <v>-4.3</v>
      </c>
      <c r="O332" s="5">
        <f t="shared" si="42"/>
        <v>144.89999999999998</v>
      </c>
      <c r="P332" s="5">
        <v>283</v>
      </c>
      <c r="Q332" s="24">
        <f t="shared" si="43"/>
        <v>0.64538461538461533</v>
      </c>
      <c r="R332" s="9">
        <f t="shared" si="46"/>
        <v>2.7751538461538456</v>
      </c>
      <c r="S332" s="9">
        <f t="shared" si="47"/>
        <v>-2.7751538461538456</v>
      </c>
      <c r="T332" s="9">
        <f t="shared" si="51"/>
        <v>162.31078502747246</v>
      </c>
      <c r="V332" s="5">
        <v>2364.4</v>
      </c>
      <c r="W332" s="25"/>
      <c r="X332" s="25">
        <f t="shared" si="52"/>
        <v>245397.6999999999</v>
      </c>
      <c r="Y332" s="25">
        <f t="shared" si="45"/>
        <v>27880.2</v>
      </c>
      <c r="Z332" s="25"/>
      <c r="AA332" s="5">
        <v>16.068921905460201</v>
      </c>
    </row>
    <row r="333" spans="1:27" s="5" customFormat="1" ht="15" customHeight="1" x14ac:dyDescent="0.25">
      <c r="A333" s="73"/>
      <c r="B333" s="44"/>
      <c r="C333" s="42">
        <v>41083</v>
      </c>
      <c r="D333" s="5">
        <v>15.3</v>
      </c>
      <c r="E333" s="5">
        <v>11</v>
      </c>
      <c r="F333" s="5">
        <v>19</v>
      </c>
      <c r="G333" s="5">
        <f t="shared" si="48"/>
        <v>2964.5000000000005</v>
      </c>
      <c r="H333" s="25">
        <f t="shared" si="44"/>
        <v>317.90000000000003</v>
      </c>
      <c r="J333" s="5">
        <v>0</v>
      </c>
      <c r="K333" s="5">
        <f t="shared" si="49"/>
        <v>523.69999999999982</v>
      </c>
      <c r="L333" s="5">
        <v>3.3</v>
      </c>
      <c r="M333" s="5">
        <f t="shared" si="50"/>
        <v>445.19999999999987</v>
      </c>
      <c r="N333" s="5">
        <v>-3.3</v>
      </c>
      <c r="O333" s="5">
        <f t="shared" si="42"/>
        <v>141.59999999999997</v>
      </c>
      <c r="P333" s="5">
        <v>284</v>
      </c>
      <c r="Q333" s="24">
        <f t="shared" si="43"/>
        <v>0.63307692307692298</v>
      </c>
      <c r="R333" s="9">
        <f t="shared" si="46"/>
        <v>2.0891538461538457</v>
      </c>
      <c r="S333" s="9">
        <f t="shared" si="47"/>
        <v>-2.0891538461538457</v>
      </c>
      <c r="T333" s="9">
        <f t="shared" si="51"/>
        <v>160.22163118131863</v>
      </c>
      <c r="V333" s="5">
        <v>1986</v>
      </c>
      <c r="X333" s="5">
        <f t="shared" si="52"/>
        <v>247383.6999999999</v>
      </c>
      <c r="Y333" s="25">
        <f t="shared" si="45"/>
        <v>29866.2</v>
      </c>
      <c r="AA333" s="5">
        <v>16.0667861826471</v>
      </c>
    </row>
    <row r="334" spans="1:27" s="5" customFormat="1" x14ac:dyDescent="0.25">
      <c r="A334" s="73"/>
      <c r="B334" s="44"/>
      <c r="C334" s="42">
        <v>41084</v>
      </c>
      <c r="D334" s="5">
        <v>15.4</v>
      </c>
      <c r="E334" s="5">
        <v>13.1</v>
      </c>
      <c r="F334" s="5">
        <v>17.100000000000001</v>
      </c>
      <c r="G334" s="5">
        <f t="shared" si="48"/>
        <v>2979.9000000000005</v>
      </c>
      <c r="H334" s="25">
        <f t="shared" si="44"/>
        <v>333.3</v>
      </c>
      <c r="J334" s="5">
        <v>5.2</v>
      </c>
      <c r="K334" s="5">
        <f t="shared" si="49"/>
        <v>528.89999999999986</v>
      </c>
      <c r="L334" s="5">
        <v>0.9</v>
      </c>
      <c r="M334" s="5">
        <f t="shared" si="50"/>
        <v>446.09999999999985</v>
      </c>
      <c r="N334" s="5">
        <v>4.3</v>
      </c>
      <c r="O334" s="5">
        <f t="shared" si="42"/>
        <v>145.89999999999998</v>
      </c>
      <c r="P334" s="5">
        <v>285</v>
      </c>
      <c r="Q334" s="24">
        <f t="shared" si="43"/>
        <v>0.62076923076923074</v>
      </c>
      <c r="R334" s="9">
        <f t="shared" si="46"/>
        <v>0.55869230769230771</v>
      </c>
      <c r="S334" s="9">
        <f t="shared" si="47"/>
        <v>4.6413076923076924</v>
      </c>
      <c r="T334" s="9">
        <f t="shared" si="51"/>
        <v>164.86293887362632</v>
      </c>
      <c r="V334" s="5">
        <v>489.4</v>
      </c>
      <c r="X334" s="5">
        <f t="shared" si="52"/>
        <v>247873.09999999989</v>
      </c>
      <c r="Y334" s="25">
        <f t="shared" si="45"/>
        <v>30355.600000000002</v>
      </c>
      <c r="AA334" s="5">
        <v>16.063229779132801</v>
      </c>
    </row>
    <row r="335" spans="1:27" s="5" customFormat="1" x14ac:dyDescent="0.25">
      <c r="A335" s="73"/>
      <c r="B335" s="44"/>
      <c r="C335" s="42">
        <v>41085</v>
      </c>
      <c r="D335" s="5">
        <v>16.2</v>
      </c>
      <c r="E335" s="5">
        <v>13.9</v>
      </c>
      <c r="F335" s="5">
        <v>18</v>
      </c>
      <c r="G335" s="5">
        <f t="shared" si="48"/>
        <v>2996.1000000000004</v>
      </c>
      <c r="H335" s="25">
        <f t="shared" si="44"/>
        <v>349.5</v>
      </c>
      <c r="J335" s="5">
        <v>4</v>
      </c>
      <c r="K335" s="5">
        <f t="shared" si="49"/>
        <v>532.89999999999986</v>
      </c>
      <c r="L335" s="5">
        <v>0.8</v>
      </c>
      <c r="M335" s="5">
        <f t="shared" si="50"/>
        <v>446.89999999999986</v>
      </c>
      <c r="N335" s="5">
        <v>3.2</v>
      </c>
      <c r="O335" s="5">
        <f t="shared" si="42"/>
        <v>149.09999999999997</v>
      </c>
      <c r="P335" s="5">
        <v>286</v>
      </c>
      <c r="Q335" s="24">
        <f t="shared" si="43"/>
        <v>0.60846153846153839</v>
      </c>
      <c r="R335" s="9">
        <f t="shared" si="46"/>
        <v>0.48676923076923073</v>
      </c>
      <c r="S335" s="9">
        <f t="shared" si="47"/>
        <v>3.5132307692307694</v>
      </c>
      <c r="T335" s="9">
        <f t="shared" si="51"/>
        <v>168.37616964285709</v>
      </c>
      <c r="V335" s="5">
        <v>479.7</v>
      </c>
      <c r="X335" s="5">
        <f t="shared" si="52"/>
        <v>248352.7999999999</v>
      </c>
      <c r="Y335" s="25">
        <f t="shared" si="45"/>
        <v>30835.300000000003</v>
      </c>
      <c r="AA335" s="5">
        <v>16.058256922043999</v>
      </c>
    </row>
    <row r="336" spans="1:27" s="5" customFormat="1" x14ac:dyDescent="0.25">
      <c r="A336" s="73"/>
      <c r="B336" s="44"/>
      <c r="C336" s="42">
        <v>41086</v>
      </c>
      <c r="D336" s="5">
        <v>19.7</v>
      </c>
      <c r="E336" s="5">
        <v>16</v>
      </c>
      <c r="F336" s="5">
        <v>23.9</v>
      </c>
      <c r="G336" s="5">
        <f t="shared" si="48"/>
        <v>3015.8</v>
      </c>
      <c r="H336" s="25">
        <f t="shared" si="44"/>
        <v>369.2</v>
      </c>
      <c r="J336" s="5">
        <v>0.1</v>
      </c>
      <c r="K336" s="5">
        <f t="shared" si="49"/>
        <v>532.99999999999989</v>
      </c>
      <c r="L336" s="5">
        <v>2.7</v>
      </c>
      <c r="M336" s="5">
        <f t="shared" si="50"/>
        <v>449.59999999999985</v>
      </c>
      <c r="N336" s="5">
        <v>-2.6</v>
      </c>
      <c r="O336" s="5">
        <f t="shared" si="42"/>
        <v>146.49999999999997</v>
      </c>
      <c r="P336" s="5">
        <v>287</v>
      </c>
      <c r="Q336" s="24">
        <f t="shared" si="43"/>
        <v>0.59615384615384615</v>
      </c>
      <c r="R336" s="9">
        <f t="shared" si="46"/>
        <v>1.6096153846153847</v>
      </c>
      <c r="S336" s="9">
        <f t="shared" si="47"/>
        <v>-1.5096153846153846</v>
      </c>
      <c r="T336" s="9">
        <f t="shared" si="51"/>
        <v>166.86655425824171</v>
      </c>
      <c r="V336" s="5">
        <v>1425.9</v>
      </c>
      <c r="X336" s="5">
        <f t="shared" si="52"/>
        <v>249778.6999999999</v>
      </c>
      <c r="Y336" s="25">
        <f t="shared" si="45"/>
        <v>32261.200000000004</v>
      </c>
      <c r="AA336" s="5">
        <v>16.051873294648299</v>
      </c>
    </row>
    <row r="337" spans="1:27" s="5" customFormat="1" x14ac:dyDescent="0.25">
      <c r="A337" s="73"/>
      <c r="B337" s="44"/>
      <c r="C337" s="42">
        <v>41087</v>
      </c>
      <c r="D337" s="5">
        <v>22.7</v>
      </c>
      <c r="E337" s="5">
        <v>16.7</v>
      </c>
      <c r="F337" s="5">
        <v>28.2</v>
      </c>
      <c r="G337" s="5">
        <f t="shared" si="48"/>
        <v>3038.5</v>
      </c>
      <c r="H337" s="25">
        <f t="shared" si="44"/>
        <v>391.9</v>
      </c>
      <c r="J337" s="5">
        <v>0</v>
      </c>
      <c r="K337" s="5">
        <f t="shared" si="49"/>
        <v>532.99999999999989</v>
      </c>
      <c r="L337" s="5">
        <v>4.7</v>
      </c>
      <c r="M337" s="5">
        <f t="shared" si="50"/>
        <v>454.29999999999984</v>
      </c>
      <c r="N337" s="5">
        <v>-4.7</v>
      </c>
      <c r="O337" s="5">
        <f t="shared" si="42"/>
        <v>141.79999999999998</v>
      </c>
      <c r="P337" s="5">
        <v>288</v>
      </c>
      <c r="Q337" s="24">
        <f t="shared" si="43"/>
        <v>0.58384615384615379</v>
      </c>
      <c r="R337" s="9">
        <f t="shared" si="46"/>
        <v>2.7440769230769231</v>
      </c>
      <c r="S337" s="9">
        <f t="shared" si="47"/>
        <v>-2.7440769230769231</v>
      </c>
      <c r="T337" s="9">
        <f t="shared" si="51"/>
        <v>164.12247733516477</v>
      </c>
      <c r="V337" s="5">
        <v>2437</v>
      </c>
      <c r="X337" s="5">
        <f t="shared" si="52"/>
        <v>252215.6999999999</v>
      </c>
      <c r="Y337" s="25">
        <f t="shared" si="45"/>
        <v>34698.200000000004</v>
      </c>
      <c r="AA337" s="5">
        <v>16.044086014292098</v>
      </c>
    </row>
    <row r="338" spans="1:27" s="55" customFormat="1" ht="15.75" thickBot="1" x14ac:dyDescent="0.3">
      <c r="A338" s="73"/>
      <c r="B338" s="69">
        <v>1000</v>
      </c>
      <c r="C338" s="70">
        <v>41088</v>
      </c>
      <c r="D338" s="55">
        <v>21.7</v>
      </c>
      <c r="E338" s="55">
        <v>21.1</v>
      </c>
      <c r="F338" s="55">
        <v>26.8</v>
      </c>
      <c r="G338" s="55">
        <f t="shared" si="48"/>
        <v>3060.2</v>
      </c>
      <c r="H338" s="55">
        <f t="shared" si="44"/>
        <v>413.59999999999997</v>
      </c>
      <c r="J338" s="55">
        <v>0.1</v>
      </c>
      <c r="K338" s="55">
        <f t="shared" si="49"/>
        <v>533.09999999999991</v>
      </c>
      <c r="L338" s="55">
        <v>5.6</v>
      </c>
      <c r="M338" s="55">
        <f t="shared" si="50"/>
        <v>459.89999999999986</v>
      </c>
      <c r="N338" s="55">
        <v>-5.5</v>
      </c>
      <c r="O338" s="55">
        <f t="shared" si="42"/>
        <v>136.29999999999998</v>
      </c>
      <c r="P338" s="55">
        <v>289</v>
      </c>
      <c r="Q338" s="64">
        <f t="shared" si="43"/>
        <v>0.57153846153846155</v>
      </c>
      <c r="R338" s="56">
        <f t="shared" si="46"/>
        <v>3.2006153846153844</v>
      </c>
      <c r="S338" s="56">
        <f t="shared" si="47"/>
        <v>-3.1006153846153843</v>
      </c>
      <c r="T338" s="56">
        <f t="shared" si="51"/>
        <v>161.02186195054938</v>
      </c>
      <c r="V338" s="55">
        <v>2548.1</v>
      </c>
      <c r="X338" s="55">
        <f t="shared" si="52"/>
        <v>254763.7999999999</v>
      </c>
      <c r="Y338" s="55">
        <f t="shared" si="45"/>
        <v>37246.300000000003</v>
      </c>
      <c r="AA338" s="55">
        <v>16.034903604951001</v>
      </c>
    </row>
    <row r="339" spans="1:27" s="5" customFormat="1" x14ac:dyDescent="0.25">
      <c r="A339" s="47"/>
      <c r="B339" s="44"/>
      <c r="C339" s="7">
        <v>41089</v>
      </c>
      <c r="D339" s="5">
        <v>17.8</v>
      </c>
      <c r="E339" s="5">
        <v>14.3</v>
      </c>
      <c r="F339" s="5">
        <v>21.1</v>
      </c>
      <c r="G339" s="5">
        <f t="shared" si="48"/>
        <v>3078</v>
      </c>
      <c r="H339" s="25">
        <f t="shared" si="44"/>
        <v>431.4</v>
      </c>
      <c r="J339" s="5">
        <v>1.7</v>
      </c>
      <c r="K339" s="5">
        <f t="shared" si="49"/>
        <v>534.79999999999995</v>
      </c>
      <c r="L339" s="5">
        <v>3.9</v>
      </c>
      <c r="M339" s="5">
        <f t="shared" si="50"/>
        <v>463.79999999999984</v>
      </c>
      <c r="N339" s="5">
        <v>-2.2000000000000002</v>
      </c>
      <c r="O339" s="5">
        <f t="shared" si="42"/>
        <v>134.1</v>
      </c>
      <c r="P339" s="5">
        <v>290</v>
      </c>
      <c r="Q339" s="24">
        <f t="shared" si="43"/>
        <v>0.5592307692307692</v>
      </c>
      <c r="R339" s="9">
        <f t="shared" si="46"/>
        <v>2.1809999999999996</v>
      </c>
      <c r="S339" s="9">
        <f t="shared" si="47"/>
        <v>-0.48099999999999965</v>
      </c>
      <c r="T339" s="9">
        <f t="shared" si="51"/>
        <v>160.54086195054938</v>
      </c>
      <c r="V339" s="5">
        <v>1813.6</v>
      </c>
      <c r="X339" s="5">
        <f t="shared" si="52"/>
        <v>256577.39999999991</v>
      </c>
      <c r="Y339" s="25">
        <f t="shared" si="45"/>
        <v>39059.9</v>
      </c>
      <c r="AA339" s="5">
        <v>16.024335964614099</v>
      </c>
    </row>
    <row r="340" spans="1:27" s="5" customFormat="1" x14ac:dyDescent="0.25">
      <c r="A340" s="47"/>
      <c r="B340" s="44"/>
      <c r="C340" s="7">
        <v>41090</v>
      </c>
      <c r="D340" s="5">
        <v>16</v>
      </c>
      <c r="E340" s="5">
        <v>13.9</v>
      </c>
      <c r="F340" s="5">
        <v>18.7</v>
      </c>
      <c r="G340" s="5">
        <f t="shared" si="48"/>
        <v>3094</v>
      </c>
      <c r="H340" s="25">
        <f t="shared" si="44"/>
        <v>447.4</v>
      </c>
      <c r="J340" s="5">
        <v>1.8</v>
      </c>
      <c r="K340" s="5">
        <f t="shared" si="49"/>
        <v>536.59999999999991</v>
      </c>
      <c r="L340" s="5">
        <v>2</v>
      </c>
      <c r="M340" s="5">
        <f t="shared" si="50"/>
        <v>465.79999999999984</v>
      </c>
      <c r="N340" s="5">
        <v>-0.19999999999999996</v>
      </c>
      <c r="O340" s="5">
        <f t="shared" si="42"/>
        <v>133.9</v>
      </c>
      <c r="P340" s="5">
        <v>291</v>
      </c>
      <c r="Q340" s="24">
        <f t="shared" si="43"/>
        <v>0.54692307692307685</v>
      </c>
      <c r="R340" s="9">
        <f t="shared" si="46"/>
        <v>1.0938461538461537</v>
      </c>
      <c r="S340" s="9">
        <f t="shared" si="47"/>
        <v>0.70615384615384635</v>
      </c>
      <c r="T340" s="9">
        <f t="shared" si="51"/>
        <v>161.24701579670324</v>
      </c>
      <c r="V340" s="5">
        <v>1001</v>
      </c>
      <c r="X340" s="5">
        <f t="shared" si="52"/>
        <v>257578.39999999991</v>
      </c>
      <c r="Y340" s="25">
        <f t="shared" si="45"/>
        <v>40060.9</v>
      </c>
      <c r="AA340" s="5">
        <v>16.012394327759999</v>
      </c>
    </row>
    <row r="341" spans="1:27" s="5" customFormat="1" x14ac:dyDescent="0.25">
      <c r="A341" s="47"/>
      <c r="B341" s="44"/>
      <c r="C341" s="7">
        <v>41091</v>
      </c>
      <c r="D341" s="5">
        <v>15.3</v>
      </c>
      <c r="E341" s="5">
        <v>11.4</v>
      </c>
      <c r="F341" s="5">
        <v>19.3</v>
      </c>
      <c r="G341" s="5">
        <f t="shared" si="48"/>
        <v>3109.3</v>
      </c>
      <c r="H341" s="25">
        <f t="shared" si="44"/>
        <v>462.7</v>
      </c>
      <c r="J341" s="5">
        <v>0</v>
      </c>
      <c r="K341" s="5">
        <f t="shared" si="49"/>
        <v>536.59999999999991</v>
      </c>
      <c r="L341" s="5">
        <v>3.9</v>
      </c>
      <c r="M341" s="5">
        <f t="shared" si="50"/>
        <v>469.69999999999982</v>
      </c>
      <c r="N341" s="5">
        <v>-3.9</v>
      </c>
      <c r="O341" s="5">
        <f t="shared" si="42"/>
        <v>130</v>
      </c>
      <c r="P341" s="5">
        <v>292</v>
      </c>
      <c r="Q341" s="24">
        <f t="shared" si="43"/>
        <v>0.53461538461538449</v>
      </c>
      <c r="R341" s="9">
        <f t="shared" si="46"/>
        <v>2.0849999999999995</v>
      </c>
      <c r="S341" s="9">
        <f t="shared" si="47"/>
        <v>-2.0849999999999995</v>
      </c>
      <c r="T341" s="9">
        <f t="shared" si="51"/>
        <v>159.16201579670323</v>
      </c>
      <c r="V341" s="5">
        <v>2329</v>
      </c>
      <c r="X341" s="5">
        <f t="shared" si="52"/>
        <v>259907.39999999991</v>
      </c>
      <c r="Y341" s="25">
        <f t="shared" si="45"/>
        <v>42389.9</v>
      </c>
      <c r="AA341" s="5">
        <v>15.9990912232204</v>
      </c>
    </row>
    <row r="342" spans="1:27" s="5" customFormat="1" x14ac:dyDescent="0.25">
      <c r="A342" s="47"/>
      <c r="B342" s="44"/>
      <c r="C342" s="7">
        <v>41092</v>
      </c>
      <c r="D342" s="5">
        <v>15.4</v>
      </c>
      <c r="E342" s="5">
        <v>12.6</v>
      </c>
      <c r="F342" s="5">
        <v>17.3</v>
      </c>
      <c r="G342" s="5">
        <f t="shared" si="48"/>
        <v>3124.7000000000003</v>
      </c>
      <c r="H342" s="25">
        <f t="shared" si="44"/>
        <v>478.09999999999997</v>
      </c>
      <c r="J342" s="5">
        <v>2.1</v>
      </c>
      <c r="K342" s="5">
        <f t="shared" si="49"/>
        <v>538.69999999999993</v>
      </c>
      <c r="L342" s="5">
        <v>1</v>
      </c>
      <c r="M342" s="5">
        <f t="shared" si="50"/>
        <v>470.69999999999982</v>
      </c>
      <c r="N342" s="5">
        <v>1.1000000000000001</v>
      </c>
      <c r="O342" s="5">
        <f t="shared" si="42"/>
        <v>131.1</v>
      </c>
      <c r="P342" s="5">
        <v>293</v>
      </c>
      <c r="Q342" s="24">
        <f t="shared" si="43"/>
        <v>0.52230769230769225</v>
      </c>
      <c r="R342" s="9">
        <f t="shared" si="46"/>
        <v>0.52230769230769225</v>
      </c>
      <c r="S342" s="9">
        <f t="shared" si="47"/>
        <v>1.5776923076923079</v>
      </c>
      <c r="T342" s="9">
        <f t="shared" si="51"/>
        <v>160.73970810439553</v>
      </c>
      <c r="V342" s="5">
        <v>508.7</v>
      </c>
      <c r="X342" s="5">
        <f t="shared" si="52"/>
        <v>260416.09999999992</v>
      </c>
      <c r="Y342" s="25">
        <f t="shared" si="45"/>
        <v>42898.6</v>
      </c>
      <c r="AA342" s="5">
        <v>15.984440427755599</v>
      </c>
    </row>
    <row r="343" spans="1:27" s="5" customFormat="1" x14ac:dyDescent="0.25">
      <c r="A343" s="47"/>
      <c r="B343" s="44"/>
      <c r="C343" s="7">
        <v>41093</v>
      </c>
      <c r="D343" s="5">
        <v>17.8</v>
      </c>
      <c r="E343" s="5">
        <v>15.8</v>
      </c>
      <c r="F343" s="5">
        <v>19.8</v>
      </c>
      <c r="G343" s="5">
        <f t="shared" si="48"/>
        <v>3142.5000000000005</v>
      </c>
      <c r="H343" s="25">
        <f t="shared" si="44"/>
        <v>495.9</v>
      </c>
      <c r="J343" s="5">
        <v>0.3</v>
      </c>
      <c r="K343" s="5">
        <f t="shared" si="49"/>
        <v>538.99999999999989</v>
      </c>
      <c r="L343" s="5">
        <v>1.1000000000000001</v>
      </c>
      <c r="M343" s="5">
        <f t="shared" si="50"/>
        <v>471.79999999999984</v>
      </c>
      <c r="N343" s="5">
        <v>-0.8</v>
      </c>
      <c r="O343" s="5">
        <f t="shared" si="42"/>
        <v>130.29999999999998</v>
      </c>
      <c r="P343" s="5">
        <v>294</v>
      </c>
      <c r="Q343" s="24">
        <f t="shared" si="43"/>
        <v>0.5099999999999999</v>
      </c>
      <c r="R343" s="9">
        <f t="shared" si="46"/>
        <v>0.56099999999999994</v>
      </c>
      <c r="S343" s="9">
        <f t="shared" si="47"/>
        <v>-0.26099999999999995</v>
      </c>
      <c r="T343" s="9">
        <f t="shared" si="51"/>
        <v>160.47870810439554</v>
      </c>
      <c r="V343" s="5">
        <v>510.4</v>
      </c>
      <c r="X343" s="5">
        <f t="shared" si="52"/>
        <v>260926.49999999991</v>
      </c>
      <c r="Y343" s="25">
        <f t="shared" si="45"/>
        <v>43409</v>
      </c>
      <c r="AA343" s="5">
        <v>15.968456915694301</v>
      </c>
    </row>
    <row r="344" spans="1:27" s="5" customFormat="1" x14ac:dyDescent="0.25">
      <c r="A344" s="47"/>
      <c r="B344" s="44"/>
      <c r="C344" s="7">
        <v>41094</v>
      </c>
      <c r="D344" s="5">
        <v>17.3</v>
      </c>
      <c r="E344" s="5">
        <v>16.2</v>
      </c>
      <c r="F344" s="5">
        <v>19.5</v>
      </c>
      <c r="G344" s="5">
        <f t="shared" si="48"/>
        <v>3159.8000000000006</v>
      </c>
      <c r="H344" s="25">
        <f t="shared" si="44"/>
        <v>513.19999999999993</v>
      </c>
      <c r="J344" s="5">
        <v>3.3</v>
      </c>
      <c r="K344" s="5">
        <f t="shared" si="49"/>
        <v>542.29999999999984</v>
      </c>
      <c r="L344" s="5">
        <v>1.8</v>
      </c>
      <c r="M344" s="5">
        <f t="shared" si="50"/>
        <v>473.59999999999985</v>
      </c>
      <c r="N344" s="5">
        <v>1.4999999999999998</v>
      </c>
      <c r="O344" s="5">
        <f t="shared" si="42"/>
        <v>131.79999999999998</v>
      </c>
      <c r="P344" s="5">
        <v>295</v>
      </c>
      <c r="Q344" s="24">
        <f t="shared" si="43"/>
        <v>0.49769230769230766</v>
      </c>
      <c r="R344" s="9">
        <f t="shared" si="46"/>
        <v>0.89584615384615385</v>
      </c>
      <c r="S344" s="9">
        <f t="shared" si="47"/>
        <v>2.4041538461538461</v>
      </c>
      <c r="T344" s="9">
        <f t="shared" si="51"/>
        <v>162.88286195054937</v>
      </c>
      <c r="V344" s="5">
        <v>773.9</v>
      </c>
      <c r="X344" s="5">
        <f t="shared" si="52"/>
        <v>261700.39999999991</v>
      </c>
      <c r="Y344" s="25">
        <f t="shared" si="45"/>
        <v>44182.9</v>
      </c>
      <c r="AA344" s="5">
        <v>15.9511568050136</v>
      </c>
    </row>
    <row r="345" spans="1:27" s="5" customFormat="1" x14ac:dyDescent="0.25">
      <c r="A345" s="47"/>
      <c r="B345" s="44"/>
      <c r="C345" s="7">
        <v>41095</v>
      </c>
      <c r="D345" s="5">
        <v>15.5</v>
      </c>
      <c r="E345" s="5">
        <v>12.3</v>
      </c>
      <c r="F345" s="5">
        <v>18.100000000000001</v>
      </c>
      <c r="G345" s="5">
        <f t="shared" si="48"/>
        <v>3175.3000000000006</v>
      </c>
      <c r="H345" s="25">
        <f t="shared" si="44"/>
        <v>528.69999999999993</v>
      </c>
      <c r="J345" s="5">
        <v>6.1</v>
      </c>
      <c r="K345" s="5">
        <f t="shared" si="49"/>
        <v>548.39999999999986</v>
      </c>
      <c r="L345" s="5">
        <v>1.9</v>
      </c>
      <c r="M345" s="5">
        <f t="shared" si="50"/>
        <v>475.49999999999983</v>
      </c>
      <c r="N345" s="5">
        <v>4.1999999999999993</v>
      </c>
      <c r="O345" s="5">
        <f t="shared" si="42"/>
        <v>135.99999999999997</v>
      </c>
      <c r="P345" s="5">
        <v>296</v>
      </c>
      <c r="Q345" s="24">
        <f t="shared" si="43"/>
        <v>0.4853846153846153</v>
      </c>
      <c r="R345" s="9">
        <f t="shared" si="46"/>
        <v>0.92223076923076908</v>
      </c>
      <c r="S345" s="9">
        <f t="shared" si="47"/>
        <v>5.1777692307692309</v>
      </c>
      <c r="T345" s="9">
        <f t="shared" si="51"/>
        <v>168.0606311813186</v>
      </c>
      <c r="V345" s="5">
        <v>1278.4000000000001</v>
      </c>
      <c r="X345" s="5">
        <f t="shared" si="52"/>
        <v>262978.79999999993</v>
      </c>
      <c r="Y345" s="25">
        <f t="shared" si="45"/>
        <v>45461.3</v>
      </c>
      <c r="AA345" s="5">
        <v>15.932557300249201</v>
      </c>
    </row>
    <row r="346" spans="1:27" s="5" customFormat="1" x14ac:dyDescent="0.25">
      <c r="A346" s="47"/>
      <c r="B346" s="44"/>
      <c r="C346" s="7">
        <v>41096</v>
      </c>
      <c r="D346" s="5">
        <v>15.3</v>
      </c>
      <c r="E346" s="5">
        <v>13.1</v>
      </c>
      <c r="F346" s="5">
        <v>19.600000000000001</v>
      </c>
      <c r="G346" s="5">
        <f t="shared" si="48"/>
        <v>3190.6000000000008</v>
      </c>
      <c r="H346" s="25">
        <f t="shared" si="44"/>
        <v>543.99999999999989</v>
      </c>
      <c r="J346" s="5">
        <v>8.6</v>
      </c>
      <c r="K346" s="5">
        <f t="shared" si="49"/>
        <v>556.99999999999989</v>
      </c>
      <c r="L346" s="5">
        <v>2.7</v>
      </c>
      <c r="M346" s="5">
        <f t="shared" si="50"/>
        <v>478.19999999999982</v>
      </c>
      <c r="N346" s="5">
        <v>5.8999999999999995</v>
      </c>
      <c r="O346" s="5">
        <f t="shared" ref="O346:O356" si="53">O345+N346</f>
        <v>141.89999999999998</v>
      </c>
      <c r="P346" s="5">
        <v>297</v>
      </c>
      <c r="Q346" s="24">
        <f t="shared" si="43"/>
        <v>0.47307692307692306</v>
      </c>
      <c r="R346" s="9">
        <f t="shared" si="46"/>
        <v>1.2773076923076923</v>
      </c>
      <c r="S346" s="9">
        <f t="shared" si="47"/>
        <v>7.3226923076923072</v>
      </c>
      <c r="T346" s="9">
        <f t="shared" si="51"/>
        <v>175.38332348901091</v>
      </c>
      <c r="V346" s="5">
        <v>1310</v>
      </c>
      <c r="X346" s="5">
        <f t="shared" si="52"/>
        <v>264288.79999999993</v>
      </c>
      <c r="Y346" s="25">
        <f t="shared" si="45"/>
        <v>46771.3</v>
      </c>
      <c r="AA346" s="5">
        <v>15.9126766326445</v>
      </c>
    </row>
    <row r="347" spans="1:27" s="5" customFormat="1" x14ac:dyDescent="0.25">
      <c r="A347" s="47"/>
      <c r="B347" s="44"/>
      <c r="C347" s="7">
        <v>41097</v>
      </c>
      <c r="D347" s="5">
        <v>16.3</v>
      </c>
      <c r="E347" s="5">
        <v>12.9</v>
      </c>
      <c r="F347" s="5">
        <v>20.5</v>
      </c>
      <c r="G347" s="5">
        <f t="shared" si="48"/>
        <v>3206.900000000001</v>
      </c>
      <c r="H347" s="25">
        <f t="shared" si="44"/>
        <v>560.29999999999984</v>
      </c>
      <c r="J347" s="5">
        <v>3.8</v>
      </c>
      <c r="K347" s="5">
        <f t="shared" si="49"/>
        <v>560.79999999999984</v>
      </c>
      <c r="L347" s="5">
        <v>1.8</v>
      </c>
      <c r="M347" s="5">
        <f t="shared" si="50"/>
        <v>479.99999999999983</v>
      </c>
      <c r="N347" s="5">
        <v>1.9999999999999998</v>
      </c>
      <c r="O347" s="5">
        <f t="shared" si="53"/>
        <v>143.89999999999998</v>
      </c>
      <c r="P347" s="5">
        <v>298</v>
      </c>
      <c r="Q347" s="24">
        <f t="shared" si="43"/>
        <v>0.46076923076923071</v>
      </c>
      <c r="R347" s="9">
        <f t="shared" si="46"/>
        <v>0.82938461538461528</v>
      </c>
      <c r="S347" s="9">
        <f t="shared" si="47"/>
        <v>2.9706153846153844</v>
      </c>
      <c r="T347" s="9">
        <f t="shared" si="51"/>
        <v>178.35393887362628</v>
      </c>
      <c r="V347" s="5">
        <v>742.2</v>
      </c>
      <c r="X347" s="5">
        <f t="shared" si="52"/>
        <v>265030.99999999994</v>
      </c>
      <c r="Y347" s="25">
        <f t="shared" si="45"/>
        <v>47513.5</v>
      </c>
      <c r="AA347" s="5">
        <v>15.8915339979484</v>
      </c>
    </row>
    <row r="348" spans="1:27" s="5" customFormat="1" x14ac:dyDescent="0.25">
      <c r="A348" s="47"/>
      <c r="B348" s="44"/>
      <c r="C348" s="7">
        <v>41098</v>
      </c>
      <c r="D348" s="5">
        <v>16.899999999999999</v>
      </c>
      <c r="E348" s="5">
        <v>14.1</v>
      </c>
      <c r="F348" s="5">
        <v>20.6</v>
      </c>
      <c r="G348" s="5">
        <f t="shared" si="48"/>
        <v>3223.8000000000011</v>
      </c>
      <c r="H348" s="25">
        <f t="shared" si="44"/>
        <v>577.19999999999982</v>
      </c>
      <c r="J348" s="5">
        <v>3.4</v>
      </c>
      <c r="K348" s="5">
        <f t="shared" si="49"/>
        <v>564.19999999999982</v>
      </c>
      <c r="L348" s="5">
        <v>3.5</v>
      </c>
      <c r="M348" s="5">
        <f t="shared" si="50"/>
        <v>483.49999999999983</v>
      </c>
      <c r="N348" s="5">
        <v>-0.10000000000000009</v>
      </c>
      <c r="O348" s="5">
        <f t="shared" si="53"/>
        <v>143.79999999999998</v>
      </c>
      <c r="P348" s="5">
        <v>299</v>
      </c>
      <c r="Q348" s="24">
        <f t="shared" si="43"/>
        <v>0.44846153846153847</v>
      </c>
      <c r="R348" s="9">
        <f t="shared" si="46"/>
        <v>1.5696153846153846</v>
      </c>
      <c r="S348" s="9">
        <f t="shared" si="47"/>
        <v>1.8303846153846153</v>
      </c>
      <c r="T348" s="9">
        <f t="shared" si="51"/>
        <v>180.18432348901089</v>
      </c>
      <c r="V348" s="5">
        <v>1853.8</v>
      </c>
      <c r="X348" s="5">
        <f t="shared" si="52"/>
        <v>266884.79999999993</v>
      </c>
      <c r="Y348" s="25">
        <f t="shared" si="45"/>
        <v>49367.3</v>
      </c>
      <c r="AA348" s="5">
        <v>15.869149492282199</v>
      </c>
    </row>
    <row r="349" spans="1:27" s="5" customFormat="1" x14ac:dyDescent="0.25">
      <c r="A349" s="47"/>
      <c r="B349" s="44"/>
      <c r="C349" s="7">
        <v>41099</v>
      </c>
      <c r="D349" s="5">
        <v>16.600000000000001</v>
      </c>
      <c r="E349" s="5">
        <v>13.2</v>
      </c>
      <c r="F349" s="5">
        <v>19.7</v>
      </c>
      <c r="G349" s="5">
        <f t="shared" si="48"/>
        <v>3240.400000000001</v>
      </c>
      <c r="H349" s="25">
        <f t="shared" si="44"/>
        <v>593.79999999999984</v>
      </c>
      <c r="J349" s="5">
        <v>0</v>
      </c>
      <c r="K349" s="5">
        <f t="shared" si="49"/>
        <v>564.19999999999982</v>
      </c>
      <c r="L349" s="5">
        <v>2.2999999999999998</v>
      </c>
      <c r="M349" s="5">
        <f t="shared" si="50"/>
        <v>485.79999999999984</v>
      </c>
      <c r="N349" s="5">
        <v>-2.2999999999999998</v>
      </c>
      <c r="O349" s="5">
        <f t="shared" si="53"/>
        <v>141.49999999999997</v>
      </c>
      <c r="P349" s="5">
        <v>300</v>
      </c>
      <c r="Q349" s="24">
        <f t="shared" si="43"/>
        <v>0.43615384615384611</v>
      </c>
      <c r="R349" s="9">
        <f t="shared" si="46"/>
        <v>1.0031538461538461</v>
      </c>
      <c r="S349" s="9">
        <f t="shared" si="47"/>
        <v>-1.0031538461538461</v>
      </c>
      <c r="T349" s="9">
        <f t="shared" si="51"/>
        <v>179.18116964285704</v>
      </c>
      <c r="V349" s="5">
        <v>1103.4000000000001</v>
      </c>
      <c r="X349" s="5">
        <f t="shared" si="52"/>
        <v>267988.19999999995</v>
      </c>
      <c r="Y349" s="25">
        <f t="shared" si="45"/>
        <v>50470.700000000004</v>
      </c>
      <c r="AA349" s="5">
        <v>15.845544046489801</v>
      </c>
    </row>
    <row r="350" spans="1:27" s="5" customFormat="1" x14ac:dyDescent="0.25">
      <c r="A350" s="47"/>
      <c r="B350" s="44"/>
      <c r="C350" s="7">
        <v>41100</v>
      </c>
      <c r="D350" s="5">
        <v>15.9</v>
      </c>
      <c r="E350" s="5">
        <v>13.8</v>
      </c>
      <c r="F350" s="5">
        <v>19.8</v>
      </c>
      <c r="G350" s="5">
        <f t="shared" si="48"/>
        <v>3256.3000000000011</v>
      </c>
      <c r="H350" s="25">
        <f t="shared" si="44"/>
        <v>609.69999999999982</v>
      </c>
      <c r="J350" s="5">
        <v>1.4</v>
      </c>
      <c r="K350" s="5">
        <f t="shared" si="49"/>
        <v>565.5999999999998</v>
      </c>
      <c r="L350" s="5">
        <v>3.1</v>
      </c>
      <c r="M350" s="5">
        <f t="shared" si="50"/>
        <v>488.89999999999986</v>
      </c>
      <c r="N350" s="5">
        <v>-1.7000000000000002</v>
      </c>
      <c r="O350" s="5">
        <f t="shared" si="53"/>
        <v>139.79999999999998</v>
      </c>
      <c r="P350" s="5">
        <v>301</v>
      </c>
      <c r="Q350" s="24">
        <f t="shared" si="43"/>
        <v>0.42384615384615387</v>
      </c>
      <c r="R350" s="9">
        <f t="shared" si="46"/>
        <v>1.313923076923077</v>
      </c>
      <c r="S350" s="9">
        <f t="shared" si="47"/>
        <v>8.607692307692294E-2</v>
      </c>
      <c r="T350" s="9">
        <f t="shared" si="51"/>
        <v>179.26724656593396</v>
      </c>
      <c r="V350" s="5">
        <v>1478.4</v>
      </c>
      <c r="X350" s="5">
        <f t="shared" si="52"/>
        <v>269466.59999999998</v>
      </c>
      <c r="Y350" s="25">
        <f t="shared" si="45"/>
        <v>51949.100000000006</v>
      </c>
      <c r="AA350" s="5">
        <v>15.8207393593835</v>
      </c>
    </row>
    <row r="351" spans="1:27" s="5" customFormat="1" x14ac:dyDescent="0.25">
      <c r="A351" s="47"/>
      <c r="B351" s="44"/>
      <c r="C351" s="7">
        <v>41101</v>
      </c>
      <c r="D351" s="5">
        <v>15.4</v>
      </c>
      <c r="E351" s="5">
        <v>12</v>
      </c>
      <c r="F351" s="5">
        <v>19.100000000000001</v>
      </c>
      <c r="G351" s="5">
        <f t="shared" si="48"/>
        <v>3271.7000000000012</v>
      </c>
      <c r="H351" s="25">
        <f t="shared" si="44"/>
        <v>625.0999999999998</v>
      </c>
      <c r="J351" s="5">
        <v>2.9</v>
      </c>
      <c r="K351" s="5">
        <f t="shared" si="49"/>
        <v>568.49999999999977</v>
      </c>
      <c r="L351" s="5">
        <v>3.3</v>
      </c>
      <c r="M351" s="5">
        <f t="shared" si="50"/>
        <v>492.19999999999987</v>
      </c>
      <c r="N351" s="5">
        <v>-0.39999999999999991</v>
      </c>
      <c r="O351" s="5">
        <f t="shared" si="53"/>
        <v>139.39999999999998</v>
      </c>
      <c r="P351" s="5">
        <v>302</v>
      </c>
      <c r="Q351" s="24">
        <f t="shared" si="43"/>
        <v>0.41153846153846152</v>
      </c>
      <c r="R351" s="9">
        <f t="shared" si="46"/>
        <v>1.358076923076923</v>
      </c>
      <c r="S351" s="9">
        <f t="shared" si="47"/>
        <v>1.541923076923077</v>
      </c>
      <c r="T351" s="9">
        <f t="shared" si="51"/>
        <v>180.80916964285703</v>
      </c>
      <c r="V351" s="5">
        <v>1947</v>
      </c>
      <c r="X351" s="5">
        <f t="shared" si="52"/>
        <v>271413.59999999998</v>
      </c>
      <c r="Y351" s="25">
        <f t="shared" si="45"/>
        <v>53896.100000000006</v>
      </c>
      <c r="AA351" s="5">
        <v>15.7947578302865</v>
      </c>
    </row>
    <row r="352" spans="1:27" s="5" customFormat="1" x14ac:dyDescent="0.25">
      <c r="A352" s="47"/>
      <c r="B352" s="44"/>
      <c r="C352" s="7">
        <v>41102</v>
      </c>
      <c r="D352" s="5">
        <v>15</v>
      </c>
      <c r="E352" s="5">
        <v>13.4</v>
      </c>
      <c r="F352" s="5">
        <v>17.2</v>
      </c>
      <c r="G352" s="5">
        <f t="shared" si="48"/>
        <v>3286.7000000000012</v>
      </c>
      <c r="H352" s="25">
        <f t="shared" si="44"/>
        <v>640.0999999999998</v>
      </c>
      <c r="J352" s="5">
        <v>11.5</v>
      </c>
      <c r="K352" s="5">
        <f t="shared" si="49"/>
        <v>579.99999999999977</v>
      </c>
      <c r="L352" s="5">
        <v>1.7</v>
      </c>
      <c r="M352" s="5">
        <f t="shared" si="50"/>
        <v>493.89999999999986</v>
      </c>
      <c r="N352" s="5">
        <v>9.8000000000000007</v>
      </c>
      <c r="O352" s="5">
        <f t="shared" si="53"/>
        <v>149.19999999999999</v>
      </c>
      <c r="P352" s="5">
        <v>303</v>
      </c>
      <c r="Q352" s="24">
        <f t="shared" si="43"/>
        <v>0.39923076923076917</v>
      </c>
      <c r="R352" s="9">
        <f t="shared" si="46"/>
        <v>0.67869230769230759</v>
      </c>
      <c r="S352" s="9">
        <f t="shared" si="47"/>
        <v>10.821307692307693</v>
      </c>
      <c r="T352" s="9">
        <f t="shared" si="51"/>
        <v>191.63047733516473</v>
      </c>
      <c r="V352" s="5">
        <v>646.5</v>
      </c>
      <c r="X352" s="5">
        <f t="shared" si="52"/>
        <v>272060.09999999998</v>
      </c>
      <c r="Y352" s="25">
        <f t="shared" si="45"/>
        <v>54542.600000000006</v>
      </c>
      <c r="AA352" s="5">
        <v>15.7676224912632</v>
      </c>
    </row>
    <row r="353" spans="1:27" s="5" customFormat="1" x14ac:dyDescent="0.25">
      <c r="A353" s="47"/>
      <c r="B353" s="44"/>
      <c r="C353" s="7">
        <v>41103</v>
      </c>
      <c r="D353" s="5">
        <v>14.8</v>
      </c>
      <c r="E353" s="5">
        <v>14.1</v>
      </c>
      <c r="F353" s="5">
        <v>16.3</v>
      </c>
      <c r="G353" s="5">
        <f t="shared" si="48"/>
        <v>3301.5000000000014</v>
      </c>
      <c r="H353" s="25">
        <f t="shared" si="44"/>
        <v>654.89999999999975</v>
      </c>
      <c r="J353" s="5">
        <v>7.1</v>
      </c>
      <c r="K353" s="5">
        <f t="shared" si="49"/>
        <v>587.0999999999998</v>
      </c>
      <c r="L353" s="5">
        <v>1.7</v>
      </c>
      <c r="M353" s="5">
        <f t="shared" si="50"/>
        <v>495.59999999999985</v>
      </c>
      <c r="N353" s="5">
        <v>5.3999999999999995</v>
      </c>
      <c r="O353" s="5">
        <f t="shared" si="53"/>
        <v>154.6</v>
      </c>
      <c r="P353" s="5">
        <v>304</v>
      </c>
      <c r="Q353" s="24">
        <f t="shared" si="43"/>
        <v>0.38692307692307681</v>
      </c>
      <c r="R353" s="9">
        <f t="shared" si="46"/>
        <v>0.65776923076923055</v>
      </c>
      <c r="S353" s="9">
        <f t="shared" si="47"/>
        <v>6.4422307692307692</v>
      </c>
      <c r="T353" s="9">
        <f t="shared" si="51"/>
        <v>197.4</v>
      </c>
      <c r="V353" s="5">
        <v>918</v>
      </c>
      <c r="X353" s="5">
        <f t="shared" si="52"/>
        <v>272978.09999999998</v>
      </c>
      <c r="Y353" s="25">
        <f t="shared" si="45"/>
        <v>55460.600000000006</v>
      </c>
      <c r="AA353" s="5">
        <v>15.7393569394096</v>
      </c>
    </row>
    <row r="354" spans="1:27" s="5" customFormat="1" x14ac:dyDescent="0.25">
      <c r="A354" s="47"/>
      <c r="B354" s="44"/>
      <c r="C354" s="7">
        <v>41104</v>
      </c>
      <c r="D354" s="5">
        <v>15.2</v>
      </c>
      <c r="E354" s="5">
        <v>12</v>
      </c>
      <c r="F354" s="5">
        <v>19.2</v>
      </c>
      <c r="G354" s="5">
        <f t="shared" si="48"/>
        <v>3316.7000000000012</v>
      </c>
      <c r="H354" s="25">
        <f t="shared" si="44"/>
        <v>670.0999999999998</v>
      </c>
      <c r="J354" s="5">
        <v>12.8</v>
      </c>
      <c r="K354" s="5">
        <f t="shared" si="49"/>
        <v>599.89999999999975</v>
      </c>
      <c r="L354" s="5">
        <v>3.2</v>
      </c>
      <c r="M354" s="5">
        <f t="shared" si="50"/>
        <v>498.79999999999984</v>
      </c>
      <c r="N354" s="5">
        <v>9.6000000000000014</v>
      </c>
      <c r="O354" s="5">
        <f t="shared" si="53"/>
        <v>164.2</v>
      </c>
      <c r="P354" s="5">
        <v>305</v>
      </c>
      <c r="Q354" s="24">
        <f t="shared" si="43"/>
        <v>0.37461538461538457</v>
      </c>
      <c r="R354" s="9">
        <f t="shared" si="46"/>
        <v>1.1987692307692306</v>
      </c>
      <c r="S354" s="9">
        <f t="shared" si="47"/>
        <v>11.601230769230771</v>
      </c>
      <c r="T354" s="9">
        <f t="shared" si="51"/>
        <v>197.4</v>
      </c>
      <c r="V354" s="5">
        <v>1837.9</v>
      </c>
      <c r="X354" s="5">
        <f t="shared" si="52"/>
        <v>274816</v>
      </c>
      <c r="Y354" s="25">
        <f t="shared" si="45"/>
        <v>57298.500000000007</v>
      </c>
      <c r="AA354" s="5">
        <v>15.7099852695598</v>
      </c>
    </row>
    <row r="355" spans="1:27" s="5" customFormat="1" x14ac:dyDescent="0.25">
      <c r="A355" s="47"/>
      <c r="B355" s="44"/>
      <c r="C355" s="7">
        <v>41105</v>
      </c>
      <c r="D355" s="5">
        <v>14.7</v>
      </c>
      <c r="E355" s="5">
        <v>11.5</v>
      </c>
      <c r="F355" s="5">
        <v>18.600000000000001</v>
      </c>
      <c r="G355" s="5">
        <f t="shared" si="48"/>
        <v>3331.400000000001</v>
      </c>
      <c r="H355" s="25">
        <f t="shared" si="44"/>
        <v>684.79999999999984</v>
      </c>
      <c r="J355" s="5">
        <v>0.3</v>
      </c>
      <c r="K355" s="5">
        <f t="shared" si="49"/>
        <v>600.1999999999997</v>
      </c>
      <c r="L355" s="5">
        <v>3.1</v>
      </c>
      <c r="M355" s="5">
        <f t="shared" si="50"/>
        <v>501.89999999999986</v>
      </c>
      <c r="N355" s="5">
        <v>-2.8000000000000003</v>
      </c>
      <c r="O355" s="5">
        <f t="shared" si="53"/>
        <v>161.39999999999998</v>
      </c>
      <c r="P355" s="5">
        <v>306</v>
      </c>
      <c r="Q355" s="24">
        <f t="shared" si="43"/>
        <v>0.36230769230769222</v>
      </c>
      <c r="R355" s="9">
        <f t="shared" si="46"/>
        <v>1.1231538461538459</v>
      </c>
      <c r="S355" s="9">
        <f t="shared" si="47"/>
        <v>-0.8231538461538459</v>
      </c>
      <c r="T355" s="9">
        <f t="shared" si="51"/>
        <v>196.57684615384616</v>
      </c>
      <c r="V355" s="5">
        <v>1727.2</v>
      </c>
      <c r="X355" s="5">
        <f t="shared" si="52"/>
        <v>276543.2</v>
      </c>
      <c r="Y355" s="25">
        <f t="shared" si="45"/>
        <v>59025.700000000004</v>
      </c>
      <c r="AA355" s="5">
        <v>15.6795320077421</v>
      </c>
    </row>
    <row r="356" spans="1:27" s="5" customFormat="1" x14ac:dyDescent="0.25">
      <c r="A356" s="47"/>
      <c r="B356" s="44"/>
      <c r="C356" s="7">
        <v>41106</v>
      </c>
      <c r="D356" s="5">
        <v>16.399999999999999</v>
      </c>
      <c r="E356" s="5">
        <v>10.6</v>
      </c>
      <c r="F356" s="5">
        <v>20.5</v>
      </c>
      <c r="G356" s="5">
        <f t="shared" si="48"/>
        <v>3347.8000000000011</v>
      </c>
      <c r="H356" s="25">
        <f t="shared" si="44"/>
        <v>701.19999999999982</v>
      </c>
      <c r="J356" s="5">
        <v>0</v>
      </c>
      <c r="K356" s="5">
        <f t="shared" si="49"/>
        <v>600.1999999999997</v>
      </c>
      <c r="L356" s="5">
        <v>2.2000000000000002</v>
      </c>
      <c r="M356" s="5">
        <f t="shared" si="50"/>
        <v>504.09999999999985</v>
      </c>
      <c r="N356" s="5">
        <v>-2.2000000000000002</v>
      </c>
      <c r="O356" s="5">
        <f t="shared" si="53"/>
        <v>159.19999999999999</v>
      </c>
      <c r="P356" s="5">
        <v>307</v>
      </c>
      <c r="Q356" s="24">
        <f t="shared" si="43"/>
        <v>0.35</v>
      </c>
      <c r="R356" s="9">
        <f t="shared" si="46"/>
        <v>0.77</v>
      </c>
      <c r="S356" s="9">
        <f t="shared" si="47"/>
        <v>-0.77</v>
      </c>
      <c r="T356" s="9">
        <f t="shared" si="51"/>
        <v>195.80684615384615</v>
      </c>
      <c r="V356" s="5">
        <v>1070.5999999999999</v>
      </c>
      <c r="X356" s="5">
        <f t="shared" si="52"/>
        <v>277613.8</v>
      </c>
      <c r="Y356" s="25">
        <f t="shared" si="45"/>
        <v>60096.3</v>
      </c>
    </row>
    <row r="357" spans="1:27" s="5" customFormat="1" x14ac:dyDescent="0.25">
      <c r="A357" s="74" t="s">
        <v>50</v>
      </c>
      <c r="B357" s="74"/>
      <c r="C357" s="74"/>
      <c r="D357" s="74"/>
      <c r="E357" s="74"/>
      <c r="F357" s="74"/>
      <c r="G357" s="74"/>
      <c r="H357" s="74"/>
      <c r="I357" s="74"/>
      <c r="J357" s="74"/>
      <c r="K357" s="74"/>
      <c r="L357" s="74"/>
      <c r="M357" s="74"/>
      <c r="N357" s="74"/>
      <c r="O357" s="74"/>
      <c r="P357" s="74"/>
      <c r="Q357" s="74"/>
      <c r="R357" s="74"/>
      <c r="S357" s="74"/>
      <c r="T357" s="74"/>
      <c r="U357" s="74"/>
      <c r="V357" s="74"/>
      <c r="W357" s="74"/>
      <c r="X357" s="74"/>
      <c r="Y357" s="74"/>
      <c r="Z357" s="74"/>
    </row>
  </sheetData>
  <mergeCells count="14">
    <mergeCell ref="D1:I2"/>
    <mergeCell ref="J1:U2"/>
    <mergeCell ref="V1:Z2"/>
    <mergeCell ref="P3:T3"/>
    <mergeCell ref="G4:H4"/>
    <mergeCell ref="X4:Y4"/>
    <mergeCell ref="A313:A338"/>
    <mergeCell ref="A357:Z357"/>
    <mergeCell ref="A212:A241"/>
    <mergeCell ref="A263:A291"/>
    <mergeCell ref="A49:Z49"/>
    <mergeCell ref="A50:A171"/>
    <mergeCell ref="A172:A211"/>
    <mergeCell ref="A292:A312"/>
  </mergeCells>
  <conditionalFormatting sqref="V1:V4">
    <cfRule type="cellIs" dxfId="10" priority="11" operator="between">
      <formula>899.999</formula>
      <formula>0</formula>
    </cfRule>
  </conditionalFormatting>
  <conditionalFormatting sqref="T1:T4">
    <cfRule type="cellIs" dxfId="9" priority="9" operator="equal">
      <formula>0</formula>
    </cfRule>
    <cfRule type="cellIs" dxfId="8" priority="10" operator="lessThanOrEqual">
      <formula>65.8</formula>
    </cfRule>
  </conditionalFormatting>
  <conditionalFormatting sqref="D5:F48 D50:F356 G50 I53 I57 I59 I61 I63 I179 I181 I183 I185 I213 I219 I221 I223 I225 I249 I251 I253 I255 I270 I272 I274 I276 I299 I301 I303 I305 I320 I322 I324 I326">
    <cfRule type="cellIs" dxfId="7" priority="6" operator="between">
      <formula>25</formula>
      <formula>40</formula>
    </cfRule>
    <cfRule type="cellIs" dxfId="6" priority="7" operator="between">
      <formula>0</formula>
      <formula>5</formula>
    </cfRule>
    <cfRule type="cellIs" dxfId="5" priority="8" operator="between">
      <formula>0</formula>
      <formula>-50</formula>
    </cfRule>
  </conditionalFormatting>
  <conditionalFormatting sqref="N5:N48 N50:N356">
    <cfRule type="cellIs" dxfId="4" priority="5" operator="between">
      <formula>0</formula>
      <formula>-40</formula>
    </cfRule>
  </conditionalFormatting>
  <conditionalFormatting sqref="V5:V357">
    <cfRule type="cellIs" dxfId="3" priority="4" operator="between">
      <formula>899.999</formula>
      <formula>0</formula>
    </cfRule>
  </conditionalFormatting>
  <conditionalFormatting sqref="S50:S356">
    <cfRule type="cellIs" dxfId="2" priority="3" operator="lessThanOrEqual">
      <formula>0</formula>
    </cfRule>
  </conditionalFormatting>
  <conditionalFormatting sqref="T5:T357">
    <cfRule type="cellIs" dxfId="1" priority="1" operator="equal">
      <formula>0</formula>
    </cfRule>
    <cfRule type="cellIs" dxfId="0" priority="2" operator="lessThanOrEqual">
      <formula>65.8</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2</vt:i4>
      </vt:variant>
    </vt:vector>
  </HeadingPairs>
  <TitlesOfParts>
    <vt:vector size="2" baseType="lpstr">
      <vt:lpstr>N+</vt:lpstr>
      <vt:lpstr>N-</vt:lpstr>
    </vt:vector>
  </TitlesOfParts>
  <Company>INRA - RENNES</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adminigepp</dc:creator>
  <cp:lastModifiedBy>adminigepp</cp:lastModifiedBy>
  <dcterms:created xsi:type="dcterms:W3CDTF">2019-11-18T13:17:33Z</dcterms:created>
  <dcterms:modified xsi:type="dcterms:W3CDTF">2019-11-26T10:21:12Z</dcterms:modified>
</cp:coreProperties>
</file>